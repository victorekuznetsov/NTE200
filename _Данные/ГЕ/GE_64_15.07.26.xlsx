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A75AD31-6EF4-4492-A29B-0B77773FB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4_20260715-145329 79" sheetId="2" r:id="rId1"/>
    <sheet name="Лист1" sheetId="1" r:id="rId2"/>
  </sheets>
  <definedNames>
    <definedName name="_xlnm._FilterDatabase" localSheetId="0" hidden="1">'events_ru_64_20260715-145329 79'!$A$9:$J$2360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7E553F-022C-4153-96F3-33C2DE21353E}" keepAlive="1" name="Запрос — events_ru_64_20260715-145329 797" description="Соединение с запросом &quot;events_ru_64_20260715-145329 797&quot; в книге." type="5" refreshedVersion="0" background="1">
    <dbPr connection="Provider=Microsoft.Mashup.OleDb.1;Data Source=$Workbook$;Location=&quot;events_ru_64_20260715-145329 797&quot;;Extended Properties=&quot;&quot;" command="SELECT * FROM [events_ru_64_20260715-145329 797]"/>
  </connection>
</connections>
</file>

<file path=xl/sharedStrings.xml><?xml version="1.0" encoding="utf-8"?>
<sst xmlns="http://schemas.openxmlformats.org/spreadsheetml/2006/main" count="10811" uniqueCount="143">
  <si>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</si>
  <si>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</si>
  <si>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</si>
  <si>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</si>
  <si>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</si>
  <si>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</si>
  <si>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</si>
  <si>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</si>
  <si>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</si>
  <si>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</si>
  <si>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</si>
  <si>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</si>
  <si>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</si>
  <si>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</si>
  <si>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</si>
  <si>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</si>
  <si>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</si>
  <si>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</si>
  <si>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</si>
  <si>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</si>
  <si>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</si>
  <si>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</si>
  <si>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</si>
  <si>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</si>
  <si>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</si>
  <si>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</si>
  <si>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</si>
  <si>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</si>
  <si>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Ready</t>
  </si>
  <si>
    <t>Рабочий тормоз на ходу</t>
  </si>
  <si>
    <t>Рабочие тормоза использованы на ходу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</si>
  <si>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</si>
  <si>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</si>
  <si>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</si>
  <si>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</si>
  <si>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</si>
  <si>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</si>
  <si>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</si>
  <si>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</si>
  <si>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</si>
  <si>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</si>
  <si>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</si>
  <si>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</si>
  <si>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</si>
  <si>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</si>
  <si>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</si>
  <si>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Быстрый таймер</t>
  </si>
  <si>
    <t>TMC1 Фаза С+ ИНВ</t>
  </si>
  <si>
    <t>Сбой источника питания IGBT фаза С+</t>
  </si>
  <si>
    <t>Инв1 Выкл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</si>
  <si>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</si>
  <si>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</si>
  <si>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</si>
  <si>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</si>
  <si>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TMC1 ИНВ Фаза А+ </t>
  </si>
  <si>
    <t>Сбой источника питания IGBT в A+</t>
  </si>
  <si>
    <t>Модули фаз С+ и С- вкл.</t>
  </si>
  <si>
    <t>TMC1 Фаза С- ИНВ</t>
  </si>
  <si>
    <t>Модуль фазы А+ не выключился</t>
  </si>
  <si>
    <t>Rest</t>
  </si>
  <si>
    <t>Получено предупреждение ДВС</t>
  </si>
  <si>
    <t>Запрет тяги</t>
  </si>
  <si>
    <t xml:space="preserve">TMC2 ИНВ Фаза A+/фаза A- </t>
  </si>
  <si>
    <t>Отказ, насыщение IGBT фаза A-</t>
  </si>
  <si>
    <t>Инв2 Выкл</t>
  </si>
  <si>
    <t>Контактор GF</t>
  </si>
  <si>
    <t>Команда - Несоответствие обратной связи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</si>
  <si>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</si>
  <si>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</si>
  <si>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</si>
  <si>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</si>
  <si>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Самопроизвольный останов ДВС</t>
  </si>
  <si>
    <t>Unrequested Engine Speed Drop - While Stopped</t>
  </si>
  <si>
    <t>Нет питания</t>
  </si>
  <si>
    <t>Температура окружающего воздуха вне пределов</t>
  </si>
  <si>
    <t>Высокий</t>
  </si>
  <si>
    <t>Установка часов реального времени</t>
  </si>
  <si>
    <t>через WebPTU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</si>
  <si>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</si>
  <si>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</si>
  <si>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</si>
  <si>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</si>
  <si>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</si>
  <si>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</si>
  <si>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</si>
  <si>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</si>
  <si>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Тест VI не пройден</t>
  </si>
  <si>
    <t>Инвертор</t>
  </si>
  <si>
    <t>Сбой источника питания IGBT фаза С-</t>
  </si>
  <si>
    <t>Обнаружен низкий расход охл воздуха</t>
  </si>
  <si>
    <t>TMC2 Фаза С+ ИНВ</t>
  </si>
  <si>
    <t>Модуль фазы С+ не выключился</t>
  </si>
  <si>
    <t>TMC1 Фаза В- ИНВ</t>
  </si>
  <si>
    <t>Модули фаз В+ и В- вкл.</t>
  </si>
  <si>
    <t>TMC1 Чоппер 2 ИНВ (NR)</t>
  </si>
  <si>
    <t>TMC1 Чоппер 1 ИНВ (NR)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</si>
  <si>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</si>
  <si>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</si>
  <si>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</si>
  <si>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</si>
  <si>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</si>
  <si>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</si>
  <si>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</si>
  <si>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</si>
  <si>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</si>
  <si>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</si>
  <si>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</si>
  <si>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</si>
  <si>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</si>
  <si>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Проверка усиления</t>
  </si>
  <si>
    <t>КЗ на землю</t>
  </si>
  <si>
    <t>Изменен серийный номер карты</t>
  </si>
  <si>
    <t>Инвертор №2</t>
  </si>
  <si>
    <t>Инвертор №1</t>
  </si>
  <si>
    <t>Su-Sd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</si>
  <si>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</si>
  <si>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</si>
  <si>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</si>
  <si>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Барометрическое давление вне пределов</t>
  </si>
  <si>
    <t>Низкий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</si>
  <si>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</si>
  <si>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</si>
  <si>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</si>
  <si>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</si>
  <si>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</si>
  <si>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</si>
  <si>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</si>
  <si>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</si>
  <si>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Доступно обновление ПО</t>
  </si>
  <si>
    <t>Инвертор 2</t>
  </si>
  <si>
    <t>Инвертор 1</t>
  </si>
  <si>
    <t>Неправильный файл конфигурации Wabtec</t>
  </si>
  <si>
    <t>Файл конфигурации - старая версия</t>
  </si>
  <si>
    <t>--Изменена настройка системы--</t>
  </si>
  <si>
    <t>--Обновлена версия ПО--</t>
  </si>
  <si>
    <t>Приложение</t>
  </si>
  <si>
    <t>FB197 MCU</t>
  </si>
  <si>
    <t>Неверный тип ПО ИНВЕРТОРА 1</t>
  </si>
  <si>
    <t>Возможное несоответствие версии программного обеспечения</t>
  </si>
  <si>
    <t>Нарушение связи ИНВЕРТОРА 1</t>
  </si>
  <si>
    <t>Нет связи с инвертором 1</t>
  </si>
  <si>
    <t>Нарушение связи ИНВЕРТОРА 2</t>
  </si>
  <si>
    <t>Нет связи с инвертором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</si>
</sst>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2E78-D88E-4A60-BC4C-1DCABFF0793A}">
  <dimension ref="A1:J2360"/>
  <sheetViews>
    <sheetView tabSelected="1" workbookViewId="0">
      <selection activeCell="E26" sqref="E26"/>
    </sheetView>
  </sheetViews>
  <sheetFormatPr defaultRowHeight="15" x14ac:dyDescent="0.25"/>
  <cols>
    <col min="1" max="1" width="16" bestFit="1" customWidth="1"/>
    <col min="5" max="5" width="32.42578125" customWidth="1"/>
    <col min="6" max="6" width="40.1406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"2026-07-15 14:53:29.797"</f>
        <v>2026-07-15 14:53:29.797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"2026-07-15 02:18:02.101"</f>
        <v>2026-07-15 02:18:02.101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"2026-07-14 23:26:04.851"</f>
        <v>2026-07-14 23:26:04.851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"2026-07-14 23:21:24.352"</f>
        <v>2026-07-14 23:21:24.352</v>
      </c>
      <c r="H12" t="s">
        <v>21</v>
      </c>
      <c r="I12">
        <v>2.87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"2026-07-14 17:05:11.101"</f>
        <v>2026-07-14 17:05:11.101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"2026-07-14 13:11:03.072"</f>
        <v>2026-07-14 13:11:03.072</v>
      </c>
      <c r="H14" t="s">
        <v>21</v>
      </c>
      <c r="I14">
        <v>0</v>
      </c>
      <c r="J14" t="s">
        <v>22</v>
      </c>
    </row>
    <row r="15" spans="1:10" x14ac:dyDescent="0.25">
      <c r="A15" s="1"/>
      <c r="B15" t="s">
        <v>23</v>
      </c>
      <c r="C15">
        <v>635</v>
      </c>
      <c r="D15">
        <v>1</v>
      </c>
      <c r="E15" t="s">
        <v>24</v>
      </c>
      <c r="F15" t="s">
        <v>25</v>
      </c>
      <c r="G15" t="str">
        <f>"2026-07-13 21:57:21.848"</f>
        <v>2026-07-13 21:57:21.848</v>
      </c>
      <c r="H15" t="s">
        <v>21</v>
      </c>
    </row>
    <row r="16" spans="1:10" x14ac:dyDescent="0.25">
      <c r="A16" s="1"/>
      <c r="B16" t="s">
        <v>26</v>
      </c>
      <c r="C16">
        <v>635</v>
      </c>
      <c r="D16">
        <v>1</v>
      </c>
      <c r="E16" t="s">
        <v>24</v>
      </c>
      <c r="F16" t="s">
        <v>25</v>
      </c>
      <c r="G16" t="str">
        <f>"2026-07-13 21:51:34.348"</f>
        <v>2026-07-13 21:51:34.348</v>
      </c>
      <c r="H16" t="s">
        <v>21</v>
      </c>
      <c r="I16">
        <v>0</v>
      </c>
      <c r="J16" t="s">
        <v>28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"2026-07-13 09:29:44.060"</f>
        <v>2026-07-13 09:29:44.060</v>
      </c>
      <c r="H17" t="s">
        <v>21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"2026-07-12 13:45:41.076"</f>
        <v>2026-07-12 13:45:41.076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23</v>
      </c>
      <c r="C19">
        <v>635</v>
      </c>
      <c r="D19">
        <v>1</v>
      </c>
      <c r="E19" t="s">
        <v>24</v>
      </c>
      <c r="F19" t="s">
        <v>25</v>
      </c>
      <c r="G19" t="str">
        <f>"2026-07-12 11:38:51.936"</f>
        <v>2026-07-12 11:38:51.936</v>
      </c>
      <c r="H19" t="s">
        <v>21</v>
      </c>
    </row>
    <row r="20" spans="1:10" x14ac:dyDescent="0.25">
      <c r="A20" s="1">
        <v>0</v>
      </c>
      <c r="B20" t="s">
        <v>26</v>
      </c>
      <c r="C20">
        <v>635</v>
      </c>
      <c r="D20">
        <v>1</v>
      </c>
      <c r="E20" t="s">
        <v>24</v>
      </c>
      <c r="F20" t="s">
        <v>25</v>
      </c>
      <c r="G20" t="str">
        <f>"2026-07-12 11:35:52.936"</f>
        <v>2026-07-12 11:35:52.936</v>
      </c>
      <c r="H20" t="s">
        <v>21</v>
      </c>
      <c r="I20">
        <v>0.13</v>
      </c>
      <c r="J20" t="s">
        <v>28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"2026-07-12 00:31:44.208"</f>
        <v>2026-07-12 00:31:44.208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"2026-07-11 20:29:28.324"</f>
        <v>2026-07-11 20:29:28.324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23</v>
      </c>
      <c r="C23">
        <v>635</v>
      </c>
      <c r="D23">
        <v>1</v>
      </c>
      <c r="E23" t="s">
        <v>24</v>
      </c>
      <c r="F23" t="s">
        <v>25</v>
      </c>
      <c r="G23" t="str">
        <f>"2026-07-11 05:54:44.045"</f>
        <v>2026-07-11 05:54:44.045</v>
      </c>
      <c r="H23" t="s">
        <v>21</v>
      </c>
    </row>
    <row r="24" spans="1:10" x14ac:dyDescent="0.25">
      <c r="A24" s="1">
        <v>4</v>
      </c>
      <c r="B24" t="s">
        <v>26</v>
      </c>
      <c r="C24">
        <v>635</v>
      </c>
      <c r="D24">
        <v>1</v>
      </c>
      <c r="E24" t="s">
        <v>24</v>
      </c>
      <c r="F24" t="s">
        <v>25</v>
      </c>
      <c r="G24" t="str">
        <f>"2026-07-11 05:51:50.045"</f>
        <v>2026-07-11 05:51:50.045</v>
      </c>
      <c r="H24" t="s">
        <v>21</v>
      </c>
      <c r="I24">
        <v>0.89</v>
      </c>
      <c r="J24" t="s">
        <v>27</v>
      </c>
    </row>
    <row r="25" spans="1:10" s="3" customFormat="1" x14ac:dyDescent="0.25">
      <c r="A25" s="2">
        <v>5</v>
      </c>
      <c r="B25" s="3" t="s">
        <v>23</v>
      </c>
      <c r="C25" s="3">
        <v>647</v>
      </c>
      <c r="D25" s="3">
        <v>1</v>
      </c>
      <c r="E25" s="3" t="s">
        <v>29</v>
      </c>
      <c r="F25" s="3" t="s">
        <v>30</v>
      </c>
      <c r="G25" s="3" t="str">
        <f>"2026-07-11 05:22:36.193"</f>
        <v>2026-07-11 05:22:36.193</v>
      </c>
      <c r="H25" s="3" t="s">
        <v>21</v>
      </c>
    </row>
    <row r="26" spans="1:10" s="3" customFormat="1" x14ac:dyDescent="0.25">
      <c r="A26" s="2">
        <v>6</v>
      </c>
      <c r="B26" s="3" t="s">
        <v>26</v>
      </c>
      <c r="C26" s="3">
        <v>647</v>
      </c>
      <c r="D26" s="3">
        <v>1</v>
      </c>
      <c r="E26" s="3" t="s">
        <v>29</v>
      </c>
      <c r="F26" s="3" t="s">
        <v>30</v>
      </c>
      <c r="G26" s="3" t="str">
        <f>"2026-07-11 05:22:32.894"</f>
        <v>2026-07-11 05:22:32.894</v>
      </c>
      <c r="H26" s="3" t="s">
        <v>21</v>
      </c>
      <c r="I26" s="3">
        <v>8.26</v>
      </c>
      <c r="J26" s="3" t="s">
        <v>31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"2026-07-11 02:07:47.065"</f>
        <v>2026-07-11 02:07:47.065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"2026-07-10 10:47:26.089"</f>
        <v>2026-07-10 10:47:26.089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"2026-07-10 01:55:29.094"</f>
        <v>2026-07-10 01:55:29.094</v>
      </c>
      <c r="H29" t="s">
        <v>21</v>
      </c>
      <c r="I29">
        <v>0</v>
      </c>
      <c r="J29" t="s">
        <v>22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"2026-07-09 21:29:12.078"</f>
        <v>2026-07-09 21:29:12.078</v>
      </c>
      <c r="H30" t="s">
        <v>21</v>
      </c>
      <c r="I30">
        <v>0</v>
      </c>
      <c r="J30" t="s">
        <v>22</v>
      </c>
    </row>
    <row r="31" spans="1:10" x14ac:dyDescent="0.25">
      <c r="A31" s="1">
        <v>3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"2026-07-09 01:01:28.237"</f>
        <v>2026-07-09 01:01:28.237</v>
      </c>
      <c r="H31" t="s">
        <v>21</v>
      </c>
      <c r="I31">
        <v>0</v>
      </c>
      <c r="J31" t="s">
        <v>22</v>
      </c>
    </row>
    <row r="32" spans="1:10" x14ac:dyDescent="0.25">
      <c r="A32" s="1">
        <v>4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"2026-07-08 23:16:15.063"</f>
        <v>2026-07-08 23:16:15.063</v>
      </c>
      <c r="H32" t="s">
        <v>21</v>
      </c>
      <c r="I32">
        <v>0</v>
      </c>
      <c r="J32" t="s">
        <v>22</v>
      </c>
    </row>
    <row r="33" spans="1:10" x14ac:dyDescent="0.25">
      <c r="A33" s="1">
        <v>5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"2026-07-08 11:25:42.078"</f>
        <v>2026-07-08 11:25:42.078</v>
      </c>
      <c r="H33" t="s">
        <v>21</v>
      </c>
    </row>
    <row r="34" spans="1:10" x14ac:dyDescent="0.25">
      <c r="A34" s="1">
        <v>6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"2026-07-08 00:31:26.052"</f>
        <v>2026-07-08 00:31:26.052</v>
      </c>
      <c r="H34" t="s">
        <v>21</v>
      </c>
      <c r="I34">
        <v>0</v>
      </c>
      <c r="J34" t="s">
        <v>22</v>
      </c>
    </row>
    <row r="35" spans="1:10" x14ac:dyDescent="0.25">
      <c r="A35" s="1">
        <v>7</v>
      </c>
      <c r="B35" t="s">
        <v>23</v>
      </c>
      <c r="C35">
        <v>635</v>
      </c>
      <c r="D35">
        <v>1</v>
      </c>
      <c r="E35" t="s">
        <v>24</v>
      </c>
      <c r="F35" t="s">
        <v>25</v>
      </c>
      <c r="G35" t="str">
        <f>"2026-07-07 22:37:54.011"</f>
        <v>2026-07-07 22:37:54.011</v>
      </c>
      <c r="H35" t="s">
        <v>21</v>
      </c>
    </row>
    <row r="36" spans="1:10" x14ac:dyDescent="0.25">
      <c r="A36" s="1">
        <v>8</v>
      </c>
      <c r="B36" t="s">
        <v>26</v>
      </c>
      <c r="C36">
        <v>635</v>
      </c>
      <c r="D36">
        <v>1</v>
      </c>
      <c r="E36" t="s">
        <v>24</v>
      </c>
      <c r="F36" t="s">
        <v>25</v>
      </c>
      <c r="G36" t="str">
        <f>"2026-07-07 22:33:20.511"</f>
        <v>2026-07-07 22:33:20.511</v>
      </c>
      <c r="H36" t="s">
        <v>21</v>
      </c>
      <c r="I36">
        <v>0</v>
      </c>
      <c r="J36" t="s">
        <v>28</v>
      </c>
    </row>
    <row r="37" spans="1:10" x14ac:dyDescent="0.25">
      <c r="A37" s="1">
        <v>1</v>
      </c>
      <c r="B37" t="s">
        <v>23</v>
      </c>
      <c r="C37">
        <v>635</v>
      </c>
      <c r="D37">
        <v>1</v>
      </c>
      <c r="E37" t="s">
        <v>24</v>
      </c>
      <c r="F37" t="s">
        <v>25</v>
      </c>
      <c r="G37" t="str">
        <f>"2026-07-06 09:00:53.401"</f>
        <v>2026-07-06 09:00:53.401</v>
      </c>
      <c r="H37" t="s">
        <v>21</v>
      </c>
    </row>
    <row r="38" spans="1:10" x14ac:dyDescent="0.25">
      <c r="A38" s="1">
        <v>2</v>
      </c>
      <c r="B38" t="s">
        <v>26</v>
      </c>
      <c r="C38">
        <v>635</v>
      </c>
      <c r="D38">
        <v>1</v>
      </c>
      <c r="E38" t="s">
        <v>24</v>
      </c>
      <c r="F38" t="s">
        <v>25</v>
      </c>
      <c r="G38" t="str">
        <f>"2026-07-06 08:57:13.901"</f>
        <v>2026-07-06 08:57:13.901</v>
      </c>
      <c r="H38" t="s">
        <v>21</v>
      </c>
      <c r="I38">
        <v>-2.16</v>
      </c>
      <c r="J38" t="s">
        <v>27</v>
      </c>
    </row>
    <row r="39" spans="1:10" x14ac:dyDescent="0.25">
      <c r="A39" s="1">
        <v>3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"2026-07-05 08:52:28.313"</f>
        <v>2026-07-05 08:52:28.313</v>
      </c>
      <c r="H39" t="s">
        <v>21</v>
      </c>
      <c r="I39">
        <v>0</v>
      </c>
      <c r="J39" t="s">
        <v>22</v>
      </c>
    </row>
    <row r="40" spans="1:10" x14ac:dyDescent="0.25">
      <c r="A40" s="1">
        <v>4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"2026-07-04 23:44:51.048"</f>
        <v>2026-07-04 23:44:51.048</v>
      </c>
      <c r="H40" t="s">
        <v>21</v>
      </c>
    </row>
    <row r="41" spans="1:10" x14ac:dyDescent="0.25">
      <c r="A41" s="1">
        <v>5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"2026-07-04 23:38:08.040"</f>
        <v>2026-07-04 23:38:08.040</v>
      </c>
      <c r="H41" t="s">
        <v>21</v>
      </c>
      <c r="I41">
        <v>0</v>
      </c>
      <c r="J41" t="s">
        <v>22</v>
      </c>
    </row>
    <row r="42" spans="1:10" x14ac:dyDescent="0.25">
      <c r="A42" s="1">
        <v>6</v>
      </c>
      <c r="B42" t="s">
        <v>19</v>
      </c>
      <c r="C42">
        <v>706</v>
      </c>
      <c r="D42">
        <v>4</v>
      </c>
      <c r="E42" t="s">
        <v>32</v>
      </c>
      <c r="F42" t="s">
        <v>33</v>
      </c>
      <c r="G42" t="str">
        <f>"2026-07-04 23:34:50.104"</f>
        <v>2026-07-04 23:34:50.104</v>
      </c>
      <c r="H42" t="s">
        <v>21</v>
      </c>
      <c r="I42">
        <v>0</v>
      </c>
      <c r="J42" t="s">
        <v>34</v>
      </c>
    </row>
    <row r="43" spans="1:10" x14ac:dyDescent="0.25">
      <c r="A43" s="1">
        <v>7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"2026-07-04 23:34:17.044"</f>
        <v>2026-07-04 23:34:17.044</v>
      </c>
      <c r="H43" t="s">
        <v>21</v>
      </c>
    </row>
    <row r="44" spans="1:10" x14ac:dyDescent="0.25">
      <c r="A44" s="1">
        <v>8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"2026-07-04 23:23:22.039"</f>
        <v>2026-07-04 23:23:22.039</v>
      </c>
      <c r="H44" t="s">
        <v>21</v>
      </c>
    </row>
    <row r="45" spans="1:10" x14ac:dyDescent="0.25">
      <c r="A45" s="1">
        <v>9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"2026-07-04 22:27:59.048"</f>
        <v>2026-07-04 22:27:59.048</v>
      </c>
      <c r="H45" t="s">
        <v>21</v>
      </c>
    </row>
    <row r="46" spans="1:10" x14ac:dyDescent="0.25">
      <c r="A46" s="1">
        <v>0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"2026-07-04 21:07:45.052"</f>
        <v>2026-07-04 21:07:45.052</v>
      </c>
      <c r="H46" t="s">
        <v>21</v>
      </c>
    </row>
    <row r="47" spans="1:10" x14ac:dyDescent="0.25">
      <c r="A47" s="1">
        <v>1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"2026-07-02 12:48:19.082"</f>
        <v>2026-07-02 12:48:19.082</v>
      </c>
      <c r="H47" t="s">
        <v>21</v>
      </c>
    </row>
    <row r="48" spans="1:10" x14ac:dyDescent="0.25">
      <c r="A48" s="1">
        <v>2</v>
      </c>
      <c r="B48" t="s">
        <v>23</v>
      </c>
      <c r="C48">
        <v>635</v>
      </c>
      <c r="D48">
        <v>1</v>
      </c>
      <c r="E48" t="s">
        <v>24</v>
      </c>
      <c r="F48" t="s">
        <v>25</v>
      </c>
      <c r="G48" t="str">
        <f>"2026-07-02 11:34:41.674"</f>
        <v>2026-07-02 11:34:41.674</v>
      </c>
      <c r="H48" t="s">
        <v>21</v>
      </c>
    </row>
    <row r="49" spans="1:10" x14ac:dyDescent="0.25">
      <c r="A49" s="1">
        <v>3</v>
      </c>
      <c r="B49" t="s">
        <v>26</v>
      </c>
      <c r="C49">
        <v>635</v>
      </c>
      <c r="D49">
        <v>1</v>
      </c>
      <c r="E49" t="s">
        <v>24</v>
      </c>
      <c r="F49" t="s">
        <v>25</v>
      </c>
      <c r="G49" t="str">
        <f>"2026-07-02 11:30:19.174"</f>
        <v>2026-07-02 11:30:19.174</v>
      </c>
      <c r="H49" t="s">
        <v>21</v>
      </c>
      <c r="I49">
        <v>0.45</v>
      </c>
      <c r="J49" t="s">
        <v>27</v>
      </c>
    </row>
    <row r="50" spans="1:10" x14ac:dyDescent="0.25">
      <c r="A50" s="1">
        <v>4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"2026-07-02 08:33:36.085"</f>
        <v>2026-07-02 08:33:36.085</v>
      </c>
      <c r="H50" t="s">
        <v>21</v>
      </c>
      <c r="I50">
        <v>0</v>
      </c>
      <c r="J50" t="s">
        <v>22</v>
      </c>
    </row>
    <row r="51" spans="1:10" x14ac:dyDescent="0.25">
      <c r="A51" s="1">
        <v>5</v>
      </c>
      <c r="B51" t="s">
        <v>19</v>
      </c>
      <c r="C51">
        <v>706</v>
      </c>
      <c r="D51">
        <v>2</v>
      </c>
      <c r="E51" t="s">
        <v>32</v>
      </c>
      <c r="F51" t="s">
        <v>35</v>
      </c>
      <c r="G51" t="str">
        <f>"2026-07-02 01:48:01.121"</f>
        <v>2026-07-02 01:48:01.121</v>
      </c>
      <c r="H51" t="s">
        <v>21</v>
      </c>
      <c r="I51">
        <v>0</v>
      </c>
      <c r="J51" t="s">
        <v>34</v>
      </c>
    </row>
    <row r="52" spans="1:10" x14ac:dyDescent="0.25">
      <c r="A52" s="1">
        <v>6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"2026-07-02 01:47:40.301"</f>
        <v>2026-07-02 01:47:40.301</v>
      </c>
      <c r="H52" t="s">
        <v>21</v>
      </c>
    </row>
    <row r="53" spans="1:10" x14ac:dyDescent="0.25">
      <c r="A53" s="1">
        <v>8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"2026-07-01 09:56:27.078"</f>
        <v>2026-07-01 09:56:27.078</v>
      </c>
      <c r="H53" t="s">
        <v>21</v>
      </c>
      <c r="I53">
        <v>0</v>
      </c>
      <c r="J53" t="s">
        <v>22</v>
      </c>
    </row>
    <row r="54" spans="1:10" x14ac:dyDescent="0.25">
      <c r="A54" s="1">
        <v>9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"2026-07-01 01:15:22.071"</f>
        <v>2026-07-01 01:15:22.071</v>
      </c>
      <c r="H54" t="s">
        <v>21</v>
      </c>
      <c r="I54">
        <v>0</v>
      </c>
      <c r="J54" t="s">
        <v>22</v>
      </c>
    </row>
    <row r="55" spans="1:10" x14ac:dyDescent="0.25">
      <c r="A55" s="1">
        <v>0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"2026-06-30 20:08:06.061"</f>
        <v>2026-06-30 20:08:06.061</v>
      </c>
      <c r="H55" t="s">
        <v>21</v>
      </c>
      <c r="I55">
        <v>0</v>
      </c>
      <c r="J55" t="s">
        <v>22</v>
      </c>
    </row>
    <row r="56" spans="1:10" x14ac:dyDescent="0.25">
      <c r="A56" s="1">
        <v>1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"2026-06-30 08:47:52.053"</f>
        <v>2026-06-30 08:47:52.053</v>
      </c>
      <c r="H56" t="s">
        <v>21</v>
      </c>
    </row>
    <row r="57" spans="1:10" x14ac:dyDescent="0.25">
      <c r="A57" s="1">
        <v>2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"2026-06-30 02:04:50.058"</f>
        <v>2026-06-30 02:04:50.058</v>
      </c>
      <c r="H57" t="s">
        <v>21</v>
      </c>
      <c r="I57">
        <v>0</v>
      </c>
      <c r="J57" t="s">
        <v>22</v>
      </c>
    </row>
    <row r="58" spans="1:10" x14ac:dyDescent="0.25">
      <c r="A58" s="1">
        <v>3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"2026-06-29 10:05:02.331"</f>
        <v>2026-06-29 10:05:02.331</v>
      </c>
      <c r="H58" t="s">
        <v>21</v>
      </c>
    </row>
    <row r="59" spans="1:10" x14ac:dyDescent="0.25">
      <c r="A59" s="1">
        <v>4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"2026-06-29 01:42:18.068"</f>
        <v>2026-06-29 01:42:18.068</v>
      </c>
      <c r="H59" t="s">
        <v>21</v>
      </c>
      <c r="I59">
        <v>0</v>
      </c>
      <c r="J59" t="s">
        <v>22</v>
      </c>
    </row>
    <row r="60" spans="1:10" x14ac:dyDescent="0.25">
      <c r="A60" s="1">
        <v>5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"2026-06-28 14:39:01.073"</f>
        <v>2026-06-28 14:39:01.073</v>
      </c>
      <c r="H60" t="s">
        <v>21</v>
      </c>
      <c r="I60">
        <v>0</v>
      </c>
      <c r="J60" t="s">
        <v>22</v>
      </c>
    </row>
    <row r="61" spans="1:10" x14ac:dyDescent="0.25">
      <c r="A61" s="1">
        <v>6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"2026-06-28 01:52:32.086"</f>
        <v>2026-06-28 01:52:32.086</v>
      </c>
      <c r="H61" t="s">
        <v>21</v>
      </c>
      <c r="I61">
        <v>0</v>
      </c>
      <c r="J61" t="s">
        <v>22</v>
      </c>
    </row>
    <row r="62" spans="1:10" x14ac:dyDescent="0.25">
      <c r="A62" s="1">
        <v>7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"2026-06-27 01:09:54.103"</f>
        <v>2026-06-27 01:09:54.103</v>
      </c>
      <c r="H62" t="s">
        <v>21</v>
      </c>
      <c r="I62">
        <v>0</v>
      </c>
      <c r="J62" t="s">
        <v>22</v>
      </c>
    </row>
    <row r="63" spans="1:10" x14ac:dyDescent="0.25">
      <c r="A63" s="1">
        <v>8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"2026-06-26 16:51:27.115"</f>
        <v>2026-06-26 16:51:27.115</v>
      </c>
      <c r="H63" t="s">
        <v>21</v>
      </c>
      <c r="I63">
        <v>0</v>
      </c>
      <c r="J63" t="s">
        <v>22</v>
      </c>
    </row>
    <row r="64" spans="1:10" x14ac:dyDescent="0.25">
      <c r="A64" s="1">
        <v>9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"2026-06-26 00:21:17.246"</f>
        <v>2026-06-26 00:21:17.246</v>
      </c>
      <c r="H64" t="s">
        <v>21</v>
      </c>
      <c r="I64">
        <v>0</v>
      </c>
      <c r="J64" t="s">
        <v>22</v>
      </c>
    </row>
    <row r="65" spans="1:10" x14ac:dyDescent="0.25">
      <c r="A65" s="1">
        <v>0</v>
      </c>
      <c r="B65" t="s">
        <v>23</v>
      </c>
      <c r="C65">
        <v>635</v>
      </c>
      <c r="D65">
        <v>1</v>
      </c>
      <c r="E65" t="s">
        <v>24</v>
      </c>
      <c r="F65" t="s">
        <v>25</v>
      </c>
      <c r="G65" t="str">
        <f>"2026-06-25 08:31:55.456"</f>
        <v>2026-06-25 08:31:55.456</v>
      </c>
      <c r="H65" t="s">
        <v>21</v>
      </c>
    </row>
    <row r="66" spans="1:10" x14ac:dyDescent="0.25">
      <c r="A66" s="1">
        <v>1</v>
      </c>
      <c r="B66" t="s">
        <v>26</v>
      </c>
      <c r="C66">
        <v>635</v>
      </c>
      <c r="D66">
        <v>1</v>
      </c>
      <c r="E66" t="s">
        <v>24</v>
      </c>
      <c r="F66" t="s">
        <v>25</v>
      </c>
      <c r="G66" t="str">
        <f>"2026-06-25 08:26:33.457"</f>
        <v>2026-06-25 08:26:33.457</v>
      </c>
      <c r="H66" t="s">
        <v>21</v>
      </c>
      <c r="I66">
        <v>3.54</v>
      </c>
      <c r="J66" t="s">
        <v>31</v>
      </c>
    </row>
    <row r="67" spans="1:10" x14ac:dyDescent="0.25">
      <c r="A67" s="1">
        <v>2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"2026-06-25 02:27:07.176"</f>
        <v>2026-06-25 02:27:07.176</v>
      </c>
      <c r="H67" t="s">
        <v>21</v>
      </c>
      <c r="I67">
        <v>0</v>
      </c>
      <c r="J67" t="s">
        <v>22</v>
      </c>
    </row>
    <row r="68" spans="1:10" x14ac:dyDescent="0.25">
      <c r="A68" s="1">
        <v>3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"2026-06-25 01:15:37.053"</f>
        <v>2026-06-25 01:15:37.053</v>
      </c>
      <c r="H68" t="s">
        <v>21</v>
      </c>
      <c r="I68">
        <v>0</v>
      </c>
      <c r="J68" t="s">
        <v>22</v>
      </c>
    </row>
    <row r="69" spans="1:10" x14ac:dyDescent="0.25">
      <c r="A69" s="1">
        <v>4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"2026-06-25 01:13:35.062"</f>
        <v>2026-06-25 01:13:35.062</v>
      </c>
      <c r="H69" t="s">
        <v>21</v>
      </c>
      <c r="I69">
        <v>0</v>
      </c>
      <c r="J69" t="s">
        <v>22</v>
      </c>
    </row>
    <row r="70" spans="1:10" x14ac:dyDescent="0.25">
      <c r="A70" s="1">
        <v>5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"2026-06-24 17:34:41.060"</f>
        <v>2026-06-24 17:34:41.060</v>
      </c>
      <c r="H70" t="s">
        <v>21</v>
      </c>
      <c r="I70">
        <v>0</v>
      </c>
      <c r="J70" t="s">
        <v>22</v>
      </c>
    </row>
    <row r="71" spans="1:10" x14ac:dyDescent="0.25">
      <c r="A71" s="1">
        <v>6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"2026-06-24 17:02:52.252"</f>
        <v>2026-06-24 17:02:52.252</v>
      </c>
      <c r="H71" t="s">
        <v>21</v>
      </c>
      <c r="I71">
        <v>0</v>
      </c>
      <c r="J71" t="s">
        <v>22</v>
      </c>
    </row>
    <row r="72" spans="1:10" x14ac:dyDescent="0.25">
      <c r="A72" s="1">
        <v>7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"2026-06-24 14:43:51.056"</f>
        <v>2026-06-24 14:43:51.056</v>
      </c>
      <c r="H72" t="s">
        <v>21</v>
      </c>
      <c r="I72">
        <v>0</v>
      </c>
      <c r="J72" t="s">
        <v>22</v>
      </c>
    </row>
    <row r="73" spans="1:10" x14ac:dyDescent="0.25">
      <c r="A73" s="1">
        <v>8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"2026-06-24 11:59:10.092"</f>
        <v>2026-06-24 11:59:10.092</v>
      </c>
      <c r="H73" t="s">
        <v>21</v>
      </c>
      <c r="I73">
        <v>0</v>
      </c>
      <c r="J73" t="s">
        <v>22</v>
      </c>
    </row>
    <row r="74" spans="1:10" x14ac:dyDescent="0.25">
      <c r="A74" s="1">
        <v>9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"2026-06-23 17:34:57.166"</f>
        <v>2026-06-23 17:34:57.166</v>
      </c>
      <c r="H74" t="s">
        <v>21</v>
      </c>
    </row>
    <row r="75" spans="1:10" x14ac:dyDescent="0.25">
      <c r="A75" s="1">
        <v>0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"2026-06-23 11:00:22.061"</f>
        <v>2026-06-23 11:00:22.061</v>
      </c>
      <c r="H75" t="s">
        <v>21</v>
      </c>
      <c r="I75">
        <v>0</v>
      </c>
      <c r="J75" t="s">
        <v>22</v>
      </c>
    </row>
    <row r="76" spans="1:10" x14ac:dyDescent="0.25">
      <c r="A76" s="1">
        <v>1</v>
      </c>
      <c r="B76" t="s">
        <v>19</v>
      </c>
      <c r="C76">
        <v>706</v>
      </c>
      <c r="D76">
        <v>4</v>
      </c>
      <c r="E76" t="s">
        <v>32</v>
      </c>
      <c r="F76" t="s">
        <v>33</v>
      </c>
      <c r="G76" t="str">
        <f>"2026-06-23 10:23:31.226"</f>
        <v>2026-06-23 10:23:31.226</v>
      </c>
      <c r="H76" t="s">
        <v>21</v>
      </c>
      <c r="I76">
        <v>0</v>
      </c>
      <c r="J76" t="s">
        <v>34</v>
      </c>
    </row>
    <row r="77" spans="1:10" x14ac:dyDescent="0.25">
      <c r="A77" s="1">
        <v>2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"2026-06-23 10:04:08.046"</f>
        <v>2026-06-23 10:04:08.046</v>
      </c>
      <c r="H77" t="s">
        <v>21</v>
      </c>
    </row>
    <row r="78" spans="1:10" x14ac:dyDescent="0.25">
      <c r="A78" s="1">
        <v>3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"2026-06-23 06:14:14.085"</f>
        <v>2026-06-23 06:14:14.085</v>
      </c>
      <c r="H78" t="s">
        <v>21</v>
      </c>
      <c r="I78">
        <v>0</v>
      </c>
      <c r="J78" t="s">
        <v>22</v>
      </c>
    </row>
    <row r="79" spans="1:10" x14ac:dyDescent="0.25">
      <c r="A79" s="1">
        <v>4</v>
      </c>
      <c r="B79" t="s">
        <v>23</v>
      </c>
      <c r="C79">
        <v>635</v>
      </c>
      <c r="D79">
        <v>1</v>
      </c>
      <c r="E79" t="s">
        <v>24</v>
      </c>
      <c r="F79" t="s">
        <v>25</v>
      </c>
      <c r="G79" t="str">
        <f>"2026-06-22 15:23:03.025"</f>
        <v>2026-06-22 15:23:03.025</v>
      </c>
      <c r="H79" t="s">
        <v>21</v>
      </c>
    </row>
    <row r="80" spans="1:10" x14ac:dyDescent="0.25">
      <c r="A80" s="1">
        <v>5</v>
      </c>
      <c r="B80" t="s">
        <v>26</v>
      </c>
      <c r="C80">
        <v>635</v>
      </c>
      <c r="D80">
        <v>1</v>
      </c>
      <c r="E80" t="s">
        <v>24</v>
      </c>
      <c r="F80" t="s">
        <v>25</v>
      </c>
      <c r="G80" t="str">
        <f>"2026-06-22 15:20:03.026"</f>
        <v>2026-06-22 15:20:03.026</v>
      </c>
      <c r="H80" t="s">
        <v>21</v>
      </c>
      <c r="I80">
        <v>1.7</v>
      </c>
      <c r="J80" t="s">
        <v>27</v>
      </c>
    </row>
    <row r="81" spans="1:10" x14ac:dyDescent="0.25">
      <c r="A81" s="1">
        <v>6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"2026-06-22 10:40:30.185"</f>
        <v>2026-06-22 10:40:30.185</v>
      </c>
      <c r="H81" t="s">
        <v>21</v>
      </c>
      <c r="I81">
        <v>0</v>
      </c>
      <c r="J81" t="s">
        <v>22</v>
      </c>
    </row>
    <row r="82" spans="1:10" x14ac:dyDescent="0.25">
      <c r="A82" s="1">
        <v>7</v>
      </c>
      <c r="B82" t="s">
        <v>23</v>
      </c>
      <c r="C82">
        <v>635</v>
      </c>
      <c r="D82">
        <v>1</v>
      </c>
      <c r="E82" t="s">
        <v>24</v>
      </c>
      <c r="F82" t="s">
        <v>25</v>
      </c>
      <c r="G82" t="str">
        <f>"2026-06-22 07:11:44.191"</f>
        <v>2026-06-22 07:11:44.191</v>
      </c>
      <c r="H82" t="s">
        <v>21</v>
      </c>
    </row>
    <row r="83" spans="1:10" x14ac:dyDescent="0.25">
      <c r="A83" s="1">
        <v>8</v>
      </c>
      <c r="B83" t="s">
        <v>26</v>
      </c>
      <c r="C83">
        <v>635</v>
      </c>
      <c r="D83">
        <v>1</v>
      </c>
      <c r="E83" t="s">
        <v>24</v>
      </c>
      <c r="F83" t="s">
        <v>25</v>
      </c>
      <c r="G83" t="str">
        <f>"2026-06-22 07:09:01.191"</f>
        <v>2026-06-22 07:09:01.191</v>
      </c>
      <c r="H83" t="s">
        <v>21</v>
      </c>
      <c r="I83">
        <v>3.97</v>
      </c>
      <c r="J83" t="s">
        <v>31</v>
      </c>
    </row>
    <row r="84" spans="1:10" x14ac:dyDescent="0.25">
      <c r="A84" s="1">
        <v>9</v>
      </c>
      <c r="B84" t="s">
        <v>23</v>
      </c>
      <c r="C84">
        <v>635</v>
      </c>
      <c r="D84">
        <v>1</v>
      </c>
      <c r="E84" t="s">
        <v>24</v>
      </c>
      <c r="F84" t="s">
        <v>25</v>
      </c>
      <c r="G84" t="str">
        <f>"2026-06-21 23:35:07.891"</f>
        <v>2026-06-21 23:35:07.891</v>
      </c>
      <c r="H84" t="s">
        <v>21</v>
      </c>
    </row>
    <row r="85" spans="1:10" x14ac:dyDescent="0.25">
      <c r="A85" s="1">
        <v>0</v>
      </c>
      <c r="B85" t="s">
        <v>26</v>
      </c>
      <c r="C85">
        <v>635</v>
      </c>
      <c r="D85">
        <v>1</v>
      </c>
      <c r="E85" t="s">
        <v>24</v>
      </c>
      <c r="F85" t="s">
        <v>25</v>
      </c>
      <c r="G85" t="str">
        <f>"2026-06-21 23:26:53.891"</f>
        <v>2026-06-21 23:26:53.891</v>
      </c>
      <c r="H85" t="s">
        <v>21</v>
      </c>
      <c r="I85">
        <v>1.07</v>
      </c>
      <c r="J85" t="s">
        <v>27</v>
      </c>
    </row>
    <row r="86" spans="1:10" x14ac:dyDescent="0.25">
      <c r="A86" s="1">
        <v>1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"2026-06-21 22:43:20.092"</f>
        <v>2026-06-21 22:43:20.092</v>
      </c>
      <c r="H86" t="s">
        <v>21</v>
      </c>
      <c r="I86">
        <v>0</v>
      </c>
      <c r="J86" t="s">
        <v>22</v>
      </c>
    </row>
    <row r="87" spans="1:10" x14ac:dyDescent="0.25">
      <c r="A87" s="1">
        <v>2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"2026-06-21 13:25:58.504"</f>
        <v>2026-06-21 13:25:58.504</v>
      </c>
      <c r="H87" t="s">
        <v>21</v>
      </c>
      <c r="I87">
        <v>0</v>
      </c>
      <c r="J87" t="s">
        <v>22</v>
      </c>
    </row>
    <row r="88" spans="1:10" x14ac:dyDescent="0.25">
      <c r="A88" s="1">
        <v>3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"2026-06-21 01:10:20.066"</f>
        <v>2026-06-21 01:10:20.066</v>
      </c>
      <c r="H88" t="s">
        <v>21</v>
      </c>
    </row>
    <row r="89" spans="1:10" x14ac:dyDescent="0.25">
      <c r="A89" s="1">
        <v>4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"2026-06-20 22:46:56.049"</f>
        <v>2026-06-20 22:46:56.049</v>
      </c>
      <c r="H89" t="s">
        <v>21</v>
      </c>
    </row>
    <row r="90" spans="1:10" x14ac:dyDescent="0.25">
      <c r="A90" s="1">
        <v>5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"2026-06-20 13:47:27.074"</f>
        <v>2026-06-20 13:47:27.074</v>
      </c>
      <c r="H90" t="s">
        <v>21</v>
      </c>
      <c r="I90">
        <v>0</v>
      </c>
      <c r="J90" t="s">
        <v>22</v>
      </c>
    </row>
    <row r="91" spans="1:10" x14ac:dyDescent="0.25">
      <c r="A91" s="1">
        <v>6</v>
      </c>
      <c r="B91" t="s">
        <v>23</v>
      </c>
      <c r="C91">
        <v>635</v>
      </c>
      <c r="D91">
        <v>1</v>
      </c>
      <c r="E91" t="s">
        <v>24</v>
      </c>
      <c r="F91" t="s">
        <v>25</v>
      </c>
      <c r="G91" t="str">
        <f>"2026-06-20 12:32:25.173"</f>
        <v>2026-06-20 12:32:25.173</v>
      </c>
      <c r="H91" t="s">
        <v>21</v>
      </c>
    </row>
    <row r="92" spans="1:10" x14ac:dyDescent="0.25">
      <c r="A92" s="1">
        <v>7</v>
      </c>
      <c r="B92" t="s">
        <v>26</v>
      </c>
      <c r="C92">
        <v>635</v>
      </c>
      <c r="D92">
        <v>1</v>
      </c>
      <c r="E92" t="s">
        <v>24</v>
      </c>
      <c r="F92" t="s">
        <v>25</v>
      </c>
      <c r="G92" t="str">
        <f>"2026-06-20 12:25:58.173"</f>
        <v>2026-06-20 12:25:58.173</v>
      </c>
      <c r="H92" t="s">
        <v>21</v>
      </c>
      <c r="I92">
        <v>5.22</v>
      </c>
      <c r="J92" t="s">
        <v>27</v>
      </c>
    </row>
    <row r="93" spans="1:10" x14ac:dyDescent="0.25">
      <c r="A93" s="1">
        <v>8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"2026-06-19 23:03:21.094"</f>
        <v>2026-06-19 23:03:21.094</v>
      </c>
      <c r="H93" t="s">
        <v>21</v>
      </c>
      <c r="I93">
        <v>0</v>
      </c>
      <c r="J93" t="s">
        <v>22</v>
      </c>
    </row>
    <row r="94" spans="1:10" x14ac:dyDescent="0.25">
      <c r="A94" s="1">
        <v>3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"2026-06-18 22:26:53.062"</f>
        <v>2026-06-18 22:26:53.062</v>
      </c>
      <c r="H94" t="s">
        <v>21</v>
      </c>
      <c r="I94">
        <v>0</v>
      </c>
      <c r="J94" t="s">
        <v>22</v>
      </c>
    </row>
    <row r="95" spans="1:10" x14ac:dyDescent="0.25">
      <c r="A95" s="1">
        <v>4</v>
      </c>
      <c r="B95" t="s">
        <v>23</v>
      </c>
      <c r="C95">
        <v>635</v>
      </c>
      <c r="D95">
        <v>1</v>
      </c>
      <c r="E95" t="s">
        <v>24</v>
      </c>
      <c r="F95" t="s">
        <v>25</v>
      </c>
      <c r="G95" t="str">
        <f>"2026-06-18 14:53:50.091"</f>
        <v>2026-06-18 14:53:50.091</v>
      </c>
      <c r="H95" t="s">
        <v>21</v>
      </c>
    </row>
    <row r="96" spans="1:10" x14ac:dyDescent="0.25">
      <c r="A96" s="1">
        <v>5</v>
      </c>
      <c r="B96" t="s">
        <v>26</v>
      </c>
      <c r="C96">
        <v>635</v>
      </c>
      <c r="D96">
        <v>1</v>
      </c>
      <c r="E96" t="s">
        <v>24</v>
      </c>
      <c r="F96" t="s">
        <v>25</v>
      </c>
      <c r="G96" t="str">
        <f>"2026-06-18 14:29:43.191"</f>
        <v>2026-06-18 14:29:43.191</v>
      </c>
      <c r="H96" t="s">
        <v>21</v>
      </c>
      <c r="I96">
        <v>9.91</v>
      </c>
      <c r="J96" t="s">
        <v>27</v>
      </c>
    </row>
    <row r="97" spans="1:10" x14ac:dyDescent="0.25">
      <c r="A97" s="1">
        <v>6</v>
      </c>
      <c r="B97" t="s">
        <v>19</v>
      </c>
      <c r="C97">
        <v>706</v>
      </c>
      <c r="D97">
        <v>2</v>
      </c>
      <c r="E97" t="s">
        <v>32</v>
      </c>
      <c r="F97" t="s">
        <v>35</v>
      </c>
      <c r="G97" t="str">
        <f>"2026-06-18 12:50:03.874"</f>
        <v>2026-06-18 12:50:03.874</v>
      </c>
      <c r="H97" t="s">
        <v>21</v>
      </c>
      <c r="I97">
        <v>0</v>
      </c>
      <c r="J97" t="s">
        <v>34</v>
      </c>
    </row>
    <row r="98" spans="1:10" x14ac:dyDescent="0.25">
      <c r="A98" s="1">
        <v>7</v>
      </c>
      <c r="B98" t="s">
        <v>19</v>
      </c>
      <c r="C98">
        <v>706</v>
      </c>
      <c r="D98">
        <v>4</v>
      </c>
      <c r="E98" t="s">
        <v>32</v>
      </c>
      <c r="F98" t="s">
        <v>33</v>
      </c>
      <c r="G98" t="str">
        <f>"2026-06-17 13:33:35.564"</f>
        <v>2026-06-17 13:33:35.564</v>
      </c>
      <c r="H98" t="s">
        <v>21</v>
      </c>
      <c r="I98">
        <v>0</v>
      </c>
      <c r="J98" t="s">
        <v>34</v>
      </c>
    </row>
    <row r="99" spans="1:10" x14ac:dyDescent="0.25">
      <c r="A99" s="1">
        <v>8</v>
      </c>
      <c r="B99" t="s">
        <v>19</v>
      </c>
      <c r="C99">
        <v>706</v>
      </c>
      <c r="D99">
        <v>2</v>
      </c>
      <c r="E99" t="s">
        <v>32</v>
      </c>
      <c r="F99" t="s">
        <v>35</v>
      </c>
      <c r="G99" t="str">
        <f>"2026-06-17 13:14:52.674"</f>
        <v>2026-06-17 13:14:52.674</v>
      </c>
      <c r="H99" t="s">
        <v>21</v>
      </c>
      <c r="I99">
        <v>0</v>
      </c>
      <c r="J99" t="s">
        <v>34</v>
      </c>
    </row>
    <row r="100" spans="1:10" x14ac:dyDescent="0.25">
      <c r="A100" s="1">
        <v>9</v>
      </c>
      <c r="B100" t="s">
        <v>19</v>
      </c>
      <c r="C100">
        <v>706</v>
      </c>
      <c r="D100">
        <v>4</v>
      </c>
      <c r="E100" t="s">
        <v>32</v>
      </c>
      <c r="F100" t="s">
        <v>33</v>
      </c>
      <c r="G100" t="str">
        <f>"2026-06-17 08:01:06.464"</f>
        <v>2026-06-17 08:01:06.464</v>
      </c>
      <c r="H100" t="s">
        <v>21</v>
      </c>
      <c r="I100">
        <v>0</v>
      </c>
      <c r="J100" t="s">
        <v>34</v>
      </c>
    </row>
    <row r="101" spans="1:10" x14ac:dyDescent="0.25">
      <c r="A101" s="1">
        <v>0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"2026-06-17 08:00:45.064"</f>
        <v>2026-06-17 08:00:45.064</v>
      </c>
      <c r="H101" t="s">
        <v>21</v>
      </c>
      <c r="I101">
        <v>0</v>
      </c>
      <c r="J101" t="s">
        <v>22</v>
      </c>
    </row>
    <row r="102" spans="1:10" x14ac:dyDescent="0.25">
      <c r="A102" s="1">
        <v>1</v>
      </c>
      <c r="B102" t="s">
        <v>19</v>
      </c>
      <c r="C102">
        <v>706</v>
      </c>
      <c r="D102">
        <v>4</v>
      </c>
      <c r="E102" t="s">
        <v>32</v>
      </c>
      <c r="F102" t="s">
        <v>33</v>
      </c>
      <c r="G102" t="str">
        <f>"2026-06-17 01:48:27.851"</f>
        <v>2026-06-17 01:48:27.851</v>
      </c>
      <c r="H102" t="s">
        <v>21</v>
      </c>
      <c r="I102">
        <v>0</v>
      </c>
      <c r="J102" t="s">
        <v>34</v>
      </c>
    </row>
    <row r="103" spans="1:10" x14ac:dyDescent="0.25">
      <c r="A103" s="1">
        <v>2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"2026-06-17 01:48:09.061"</f>
        <v>2026-06-17 01:48:09.061</v>
      </c>
      <c r="H103" t="s">
        <v>21</v>
      </c>
      <c r="I103">
        <v>0</v>
      </c>
      <c r="J103" t="s">
        <v>22</v>
      </c>
    </row>
    <row r="104" spans="1:10" x14ac:dyDescent="0.25">
      <c r="A104" s="1">
        <v>3</v>
      </c>
      <c r="B104" t="s">
        <v>19</v>
      </c>
      <c r="C104">
        <v>706</v>
      </c>
      <c r="D104">
        <v>2</v>
      </c>
      <c r="E104" t="s">
        <v>32</v>
      </c>
      <c r="F104" t="s">
        <v>35</v>
      </c>
      <c r="G104" t="str">
        <f>"2026-06-17 00:51:56.689"</f>
        <v>2026-06-17 00:51:56.689</v>
      </c>
      <c r="H104" t="s">
        <v>21</v>
      </c>
      <c r="I104">
        <v>0</v>
      </c>
      <c r="J104" t="s">
        <v>34</v>
      </c>
    </row>
    <row r="105" spans="1:10" x14ac:dyDescent="0.25">
      <c r="A105" s="1">
        <v>4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"2026-06-17 00:51:41.299"</f>
        <v>2026-06-17 00:51:41.299</v>
      </c>
      <c r="H105" t="s">
        <v>21</v>
      </c>
      <c r="I105">
        <v>0</v>
      </c>
      <c r="J105" t="s">
        <v>22</v>
      </c>
    </row>
    <row r="106" spans="1:10" x14ac:dyDescent="0.25">
      <c r="A106" s="1">
        <v>5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"2026-06-16 22:47:44.039"</f>
        <v>2026-06-16 22:47:44.039</v>
      </c>
      <c r="H106" t="s">
        <v>21</v>
      </c>
    </row>
    <row r="107" spans="1:10" x14ac:dyDescent="0.25">
      <c r="A107" s="1">
        <v>6</v>
      </c>
      <c r="B107" t="s">
        <v>19</v>
      </c>
      <c r="C107">
        <v>706</v>
      </c>
      <c r="D107">
        <v>2</v>
      </c>
      <c r="E107" t="s">
        <v>32</v>
      </c>
      <c r="F107" t="s">
        <v>35</v>
      </c>
      <c r="G107" t="str">
        <f>"2026-06-16 13:56:23.325"</f>
        <v>2026-06-16 13:56:23.325</v>
      </c>
      <c r="H107" t="s">
        <v>21</v>
      </c>
      <c r="I107">
        <v>0</v>
      </c>
      <c r="J107" t="s">
        <v>34</v>
      </c>
    </row>
    <row r="108" spans="1:10" s="3" customFormat="1" x14ac:dyDescent="0.25">
      <c r="A108" s="2">
        <v>7</v>
      </c>
      <c r="B108" s="3" t="s">
        <v>23</v>
      </c>
      <c r="C108" s="3">
        <v>647</v>
      </c>
      <c r="D108" s="3">
        <v>1</v>
      </c>
      <c r="E108" s="3" t="s">
        <v>29</v>
      </c>
      <c r="F108" s="3" t="s">
        <v>30</v>
      </c>
      <c r="G108" s="3" t="str">
        <f>"2026-06-15 18:13:34.292"</f>
        <v>2026-06-15 18:13:34.292</v>
      </c>
      <c r="H108" s="3" t="s">
        <v>21</v>
      </c>
    </row>
    <row r="109" spans="1:10" s="3" customFormat="1" x14ac:dyDescent="0.25">
      <c r="A109" s="2">
        <v>8</v>
      </c>
      <c r="B109" s="3" t="s">
        <v>26</v>
      </c>
      <c r="C109" s="3">
        <v>647</v>
      </c>
      <c r="D109" s="3">
        <v>1</v>
      </c>
      <c r="E109" s="3" t="s">
        <v>29</v>
      </c>
      <c r="F109" s="3" t="s">
        <v>30</v>
      </c>
      <c r="G109" s="3" t="str">
        <f>"2026-06-15 18:13:22.992"</f>
        <v>2026-06-15 18:13:22.992</v>
      </c>
      <c r="H109" s="3" t="s">
        <v>21</v>
      </c>
      <c r="I109" s="3">
        <v>9.0399999999999991</v>
      </c>
      <c r="J109" s="3" t="s">
        <v>31</v>
      </c>
    </row>
    <row r="110" spans="1:10" s="3" customFormat="1" x14ac:dyDescent="0.25">
      <c r="A110" s="2">
        <v>9</v>
      </c>
      <c r="B110" s="3" t="s">
        <v>23</v>
      </c>
      <c r="C110" s="3">
        <v>647</v>
      </c>
      <c r="D110" s="3">
        <v>1</v>
      </c>
      <c r="E110" s="3" t="s">
        <v>29</v>
      </c>
      <c r="F110" s="3" t="s">
        <v>30</v>
      </c>
      <c r="G110" s="3" t="str">
        <f>"2026-06-14 11:27:39.592"</f>
        <v>2026-06-14 11:27:39.592</v>
      </c>
      <c r="H110" s="3" t="s">
        <v>21</v>
      </c>
    </row>
    <row r="111" spans="1:10" s="3" customFormat="1" x14ac:dyDescent="0.25">
      <c r="A111" s="2">
        <v>10</v>
      </c>
      <c r="B111" s="3" t="s">
        <v>26</v>
      </c>
      <c r="C111" s="3">
        <v>647</v>
      </c>
      <c r="D111" s="3">
        <v>1</v>
      </c>
      <c r="E111" s="3" t="s">
        <v>29</v>
      </c>
      <c r="F111" s="3" t="s">
        <v>30</v>
      </c>
      <c r="G111" s="3" t="str">
        <f>"2026-06-14 11:27:37.792"</f>
        <v>2026-06-14 11:27:37.792</v>
      </c>
      <c r="H111" s="3" t="s">
        <v>21</v>
      </c>
      <c r="I111" s="3">
        <v>14.48</v>
      </c>
      <c r="J111" s="3" t="s">
        <v>31</v>
      </c>
    </row>
    <row r="112" spans="1:10" x14ac:dyDescent="0.25">
      <c r="A112" s="1">
        <v>11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"2026-06-13 19:19:09.435"</f>
        <v>2026-06-13 19:19:09.435</v>
      </c>
      <c r="H112" t="s">
        <v>21</v>
      </c>
      <c r="I112">
        <v>0</v>
      </c>
      <c r="J112" t="s">
        <v>22</v>
      </c>
    </row>
    <row r="113" spans="1:10" x14ac:dyDescent="0.25">
      <c r="A113" s="1">
        <v>12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"2026-06-12 20:20:55.043"</f>
        <v>2026-06-12 20:20:55.043</v>
      </c>
      <c r="H113" t="s">
        <v>21</v>
      </c>
      <c r="I113">
        <v>0</v>
      </c>
      <c r="J113" t="s">
        <v>22</v>
      </c>
    </row>
    <row r="114" spans="1:10" x14ac:dyDescent="0.25">
      <c r="A114" s="1">
        <v>13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"2026-06-12 20:09:49.030"</f>
        <v>2026-06-12 20:09:49.030</v>
      </c>
      <c r="H114" t="s">
        <v>21</v>
      </c>
    </row>
    <row r="115" spans="1:10" x14ac:dyDescent="0.25">
      <c r="A115" s="1">
        <v>14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"2026-06-12 15:46:17.039"</f>
        <v>2026-06-12 15:46:17.039</v>
      </c>
      <c r="H115" t="s">
        <v>21</v>
      </c>
      <c r="I115">
        <v>0</v>
      </c>
      <c r="J115" t="s">
        <v>22</v>
      </c>
    </row>
    <row r="116" spans="1:10" x14ac:dyDescent="0.25">
      <c r="A116" s="1">
        <v>15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"2026-06-12 15:11:34.216"</f>
        <v>2026-06-12 15:11:34.216</v>
      </c>
      <c r="H116" t="s">
        <v>21</v>
      </c>
      <c r="I116">
        <v>0</v>
      </c>
      <c r="J116" t="s">
        <v>22</v>
      </c>
    </row>
    <row r="117" spans="1:10" x14ac:dyDescent="0.25">
      <c r="A117" s="1">
        <v>16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"2026-06-12 11:43:08.106"</f>
        <v>2026-06-12 11:43:08.106</v>
      </c>
      <c r="H117" t="s">
        <v>21</v>
      </c>
      <c r="I117">
        <v>0</v>
      </c>
      <c r="J117" t="s">
        <v>22</v>
      </c>
    </row>
    <row r="118" spans="1:10" x14ac:dyDescent="0.25">
      <c r="A118" s="1">
        <v>17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"2026-06-12 11:01:46.039"</f>
        <v>2026-06-12 11:01:46.039</v>
      </c>
      <c r="H118" t="s">
        <v>21</v>
      </c>
      <c r="I118">
        <v>0</v>
      </c>
      <c r="J118" t="s">
        <v>22</v>
      </c>
    </row>
    <row r="119" spans="1:10" x14ac:dyDescent="0.25">
      <c r="A119" s="1">
        <v>18</v>
      </c>
      <c r="B119" t="s">
        <v>19</v>
      </c>
      <c r="C119">
        <v>706</v>
      </c>
      <c r="D119">
        <v>2</v>
      </c>
      <c r="E119" t="s">
        <v>32</v>
      </c>
      <c r="F119" t="s">
        <v>35</v>
      </c>
      <c r="G119" t="str">
        <f>"2026-06-12 10:56:16.916"</f>
        <v>2026-06-12 10:56:16.916</v>
      </c>
      <c r="H119" t="s">
        <v>21</v>
      </c>
      <c r="I119">
        <v>0</v>
      </c>
      <c r="J119" t="s">
        <v>34</v>
      </c>
    </row>
    <row r="120" spans="1:10" x14ac:dyDescent="0.25">
      <c r="A120" s="1">
        <v>19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"2026-06-12 10:41:19.096"</f>
        <v>2026-06-12 10:41:19.096</v>
      </c>
      <c r="H120" t="s">
        <v>21</v>
      </c>
      <c r="I120">
        <v>0</v>
      </c>
      <c r="J120" t="s">
        <v>22</v>
      </c>
    </row>
    <row r="121" spans="1:10" x14ac:dyDescent="0.25">
      <c r="A121" s="1">
        <v>20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"2026-06-12 09:26:44.141"</f>
        <v>2026-06-12 09:26:44.141</v>
      </c>
      <c r="H121" t="s">
        <v>21</v>
      </c>
    </row>
    <row r="122" spans="1:10" x14ac:dyDescent="0.25">
      <c r="A122" s="1">
        <v>23</v>
      </c>
      <c r="B122" t="s">
        <v>19</v>
      </c>
      <c r="C122">
        <v>706</v>
      </c>
      <c r="D122">
        <v>4</v>
      </c>
      <c r="E122" t="s">
        <v>32</v>
      </c>
      <c r="F122" t="s">
        <v>33</v>
      </c>
      <c r="G122" t="str">
        <f>"2026-06-11 13:29:21.110"</f>
        <v>2026-06-11 13:29:21.110</v>
      </c>
      <c r="H122" t="s">
        <v>21</v>
      </c>
      <c r="I122">
        <v>0</v>
      </c>
      <c r="J122" t="s">
        <v>34</v>
      </c>
    </row>
    <row r="123" spans="1:10" x14ac:dyDescent="0.25">
      <c r="A123" s="1">
        <v>24</v>
      </c>
      <c r="B123" t="s">
        <v>23</v>
      </c>
      <c r="C123">
        <v>635</v>
      </c>
      <c r="D123">
        <v>1</v>
      </c>
      <c r="E123" t="s">
        <v>24</v>
      </c>
      <c r="F123" t="s">
        <v>25</v>
      </c>
      <c r="G123" t="str">
        <f>"2026-06-10 15:26:43.067"</f>
        <v>2026-06-10 15:26:43.067</v>
      </c>
      <c r="H123" t="s">
        <v>21</v>
      </c>
    </row>
    <row r="124" spans="1:10" x14ac:dyDescent="0.25">
      <c r="A124" s="1">
        <v>25</v>
      </c>
      <c r="B124" t="s">
        <v>26</v>
      </c>
      <c r="C124">
        <v>635</v>
      </c>
      <c r="D124">
        <v>1</v>
      </c>
      <c r="E124" t="s">
        <v>24</v>
      </c>
      <c r="F124" t="s">
        <v>25</v>
      </c>
      <c r="G124" t="str">
        <f>"2026-06-10 15:10:14.567"</f>
        <v>2026-06-10 15:10:14.567</v>
      </c>
      <c r="H124" t="s">
        <v>21</v>
      </c>
      <c r="I124">
        <v>8.3699999999999992</v>
      </c>
      <c r="J124" t="s">
        <v>27</v>
      </c>
    </row>
    <row r="125" spans="1:10" x14ac:dyDescent="0.25">
      <c r="A125" s="1">
        <v>26</v>
      </c>
      <c r="B125" t="s">
        <v>19</v>
      </c>
      <c r="C125">
        <v>706</v>
      </c>
      <c r="D125">
        <v>4</v>
      </c>
      <c r="E125" t="s">
        <v>32</v>
      </c>
      <c r="F125" t="s">
        <v>33</v>
      </c>
      <c r="G125" t="str">
        <f>"2026-06-10 13:54:23.270"</f>
        <v>2026-06-10 13:54:23.270</v>
      </c>
      <c r="H125" t="s">
        <v>21</v>
      </c>
      <c r="I125">
        <v>0</v>
      </c>
      <c r="J125" t="s">
        <v>34</v>
      </c>
    </row>
    <row r="126" spans="1:10" x14ac:dyDescent="0.25">
      <c r="A126" s="1">
        <v>27</v>
      </c>
      <c r="B126" t="s">
        <v>23</v>
      </c>
      <c r="C126">
        <v>635</v>
      </c>
      <c r="D126">
        <v>1</v>
      </c>
      <c r="E126" t="s">
        <v>24</v>
      </c>
      <c r="F126" t="s">
        <v>25</v>
      </c>
      <c r="G126" t="str">
        <f>"2026-06-09 17:01:01.267"</f>
        <v>2026-06-09 17:01:01.267</v>
      </c>
      <c r="H126" t="s">
        <v>21</v>
      </c>
    </row>
    <row r="127" spans="1:10" x14ac:dyDescent="0.25">
      <c r="A127" s="1">
        <v>28</v>
      </c>
      <c r="B127" t="s">
        <v>26</v>
      </c>
      <c r="C127">
        <v>635</v>
      </c>
      <c r="D127">
        <v>1</v>
      </c>
      <c r="E127" t="s">
        <v>24</v>
      </c>
      <c r="F127" t="s">
        <v>25</v>
      </c>
      <c r="G127" t="str">
        <f>"2026-06-09 16:34:48.267"</f>
        <v>2026-06-09 16:34:48.267</v>
      </c>
      <c r="H127" t="s">
        <v>21</v>
      </c>
      <c r="I127">
        <v>10.76</v>
      </c>
      <c r="J127" t="s">
        <v>31</v>
      </c>
    </row>
    <row r="128" spans="1:10" x14ac:dyDescent="0.25">
      <c r="A128" s="1">
        <v>29</v>
      </c>
      <c r="B128" t="s">
        <v>19</v>
      </c>
      <c r="C128">
        <v>706</v>
      </c>
      <c r="D128">
        <v>4</v>
      </c>
      <c r="E128" t="s">
        <v>32</v>
      </c>
      <c r="F128" t="s">
        <v>33</v>
      </c>
      <c r="G128" t="str">
        <f>"2026-06-09 10:09:03.440"</f>
        <v>2026-06-09 10:09:03.440</v>
      </c>
      <c r="H128" t="s">
        <v>21</v>
      </c>
      <c r="I128">
        <v>0</v>
      </c>
      <c r="J128" t="s">
        <v>34</v>
      </c>
    </row>
    <row r="129" spans="1:10" x14ac:dyDescent="0.25">
      <c r="A129" s="1">
        <v>30</v>
      </c>
      <c r="B129" t="s">
        <v>23</v>
      </c>
      <c r="C129">
        <v>635</v>
      </c>
      <c r="D129">
        <v>1</v>
      </c>
      <c r="E129" t="s">
        <v>24</v>
      </c>
      <c r="F129" t="s">
        <v>25</v>
      </c>
      <c r="G129" t="str">
        <f>"2026-06-08 18:24:27.167"</f>
        <v>2026-06-08 18:24:27.167</v>
      </c>
      <c r="H129" t="s">
        <v>21</v>
      </c>
    </row>
    <row r="130" spans="1:10" x14ac:dyDescent="0.25">
      <c r="A130" s="1">
        <v>31</v>
      </c>
      <c r="B130" t="s">
        <v>26</v>
      </c>
      <c r="C130">
        <v>635</v>
      </c>
      <c r="D130">
        <v>1</v>
      </c>
      <c r="E130" t="s">
        <v>24</v>
      </c>
      <c r="F130" t="s">
        <v>25</v>
      </c>
      <c r="G130" t="str">
        <f>"2026-06-08 17:53:02.667"</f>
        <v>2026-06-08 17:53:02.667</v>
      </c>
      <c r="H130" t="s">
        <v>21</v>
      </c>
      <c r="I130">
        <v>5.98</v>
      </c>
      <c r="J130" t="s">
        <v>27</v>
      </c>
    </row>
    <row r="131" spans="1:10" x14ac:dyDescent="0.25">
      <c r="A131" s="1">
        <v>32</v>
      </c>
      <c r="B131" t="s">
        <v>23</v>
      </c>
      <c r="C131">
        <v>635</v>
      </c>
      <c r="D131">
        <v>1</v>
      </c>
      <c r="E131" t="s">
        <v>24</v>
      </c>
      <c r="F131" t="s">
        <v>25</v>
      </c>
      <c r="G131" t="str">
        <f>"2026-06-08 15:13:34.967"</f>
        <v>2026-06-08 15:13:34.967</v>
      </c>
      <c r="H131" t="s">
        <v>21</v>
      </c>
    </row>
    <row r="132" spans="1:10" x14ac:dyDescent="0.25">
      <c r="A132" s="1">
        <v>33</v>
      </c>
      <c r="B132" t="s">
        <v>26</v>
      </c>
      <c r="C132">
        <v>635</v>
      </c>
      <c r="D132">
        <v>1</v>
      </c>
      <c r="E132" t="s">
        <v>24</v>
      </c>
      <c r="F132" t="s">
        <v>25</v>
      </c>
      <c r="G132" t="str">
        <f>"2026-06-08 14:59:20.967"</f>
        <v>2026-06-08 14:59:20.967</v>
      </c>
      <c r="H132" t="s">
        <v>21</v>
      </c>
      <c r="I132">
        <v>8.75</v>
      </c>
      <c r="J132" t="s">
        <v>27</v>
      </c>
    </row>
    <row r="133" spans="1:10" x14ac:dyDescent="0.25">
      <c r="A133" s="1">
        <v>34</v>
      </c>
      <c r="B133" t="s">
        <v>23</v>
      </c>
      <c r="C133">
        <v>630</v>
      </c>
      <c r="D133">
        <v>5</v>
      </c>
      <c r="E133" t="s">
        <v>36</v>
      </c>
      <c r="F133" t="s">
        <v>37</v>
      </c>
      <c r="G133" t="str">
        <f>"2026-06-08 13:41:53.567"</f>
        <v>2026-06-08 13:41:53.567</v>
      </c>
      <c r="H133" t="s">
        <v>38</v>
      </c>
    </row>
    <row r="134" spans="1:10" x14ac:dyDescent="0.25">
      <c r="A134" s="1">
        <v>35</v>
      </c>
      <c r="B134" t="s">
        <v>19</v>
      </c>
      <c r="C134">
        <v>706</v>
      </c>
      <c r="D134">
        <v>4</v>
      </c>
      <c r="E134" t="s">
        <v>32</v>
      </c>
      <c r="F134" t="s">
        <v>33</v>
      </c>
      <c r="G134" t="str">
        <f>"2026-06-08 13:41:23.420"</f>
        <v>2026-06-08 13:41:23.420</v>
      </c>
      <c r="H134" t="s">
        <v>21</v>
      </c>
      <c r="I134">
        <v>0</v>
      </c>
      <c r="J134" t="s">
        <v>34</v>
      </c>
    </row>
    <row r="135" spans="1:10" x14ac:dyDescent="0.25">
      <c r="A135" s="1">
        <v>36</v>
      </c>
      <c r="B135" t="s">
        <v>39</v>
      </c>
      <c r="C135">
        <v>630</v>
      </c>
      <c r="D135">
        <v>5</v>
      </c>
      <c r="E135" t="s">
        <v>36</v>
      </c>
      <c r="F135" t="s">
        <v>37</v>
      </c>
      <c r="G135" t="str">
        <f>"2026-06-08 13:16:46.867"</f>
        <v>2026-06-08 13:16:46.867</v>
      </c>
      <c r="H135" t="s">
        <v>38</v>
      </c>
      <c r="I135">
        <v>0</v>
      </c>
      <c r="J135" t="s">
        <v>34</v>
      </c>
    </row>
    <row r="136" spans="1:10" x14ac:dyDescent="0.25">
      <c r="A136" s="1">
        <v>37</v>
      </c>
      <c r="B136" t="s">
        <v>23</v>
      </c>
      <c r="C136">
        <v>630</v>
      </c>
      <c r="D136">
        <v>5</v>
      </c>
      <c r="E136" t="s">
        <v>36</v>
      </c>
      <c r="F136" t="s">
        <v>37</v>
      </c>
      <c r="G136" t="str">
        <f>"2026-06-08 13:07:49.067"</f>
        <v>2026-06-08 13:07:49.067</v>
      </c>
      <c r="H136" t="s">
        <v>38</v>
      </c>
    </row>
    <row r="137" spans="1:10" x14ac:dyDescent="0.25">
      <c r="A137" s="1">
        <v>38</v>
      </c>
      <c r="B137" t="s">
        <v>19</v>
      </c>
      <c r="C137">
        <v>706</v>
      </c>
      <c r="D137">
        <v>2</v>
      </c>
      <c r="E137" t="s">
        <v>32</v>
      </c>
      <c r="F137" t="s">
        <v>35</v>
      </c>
      <c r="G137" t="str">
        <f>"2026-06-08 13:07:18.970"</f>
        <v>2026-06-08 13:07:18.970</v>
      </c>
      <c r="H137" t="s">
        <v>21</v>
      </c>
      <c r="I137">
        <v>0</v>
      </c>
      <c r="J137" t="s">
        <v>34</v>
      </c>
    </row>
    <row r="138" spans="1:10" x14ac:dyDescent="0.25">
      <c r="A138" s="1">
        <v>39</v>
      </c>
      <c r="B138" t="s">
        <v>39</v>
      </c>
      <c r="C138">
        <v>630</v>
      </c>
      <c r="D138">
        <v>5</v>
      </c>
      <c r="E138" t="s">
        <v>36</v>
      </c>
      <c r="F138" t="s">
        <v>37</v>
      </c>
      <c r="G138" t="str">
        <f>"2026-06-08 12:41:30.167"</f>
        <v>2026-06-08 12:41:30.167</v>
      </c>
      <c r="H138" t="s">
        <v>38</v>
      </c>
      <c r="I138">
        <v>0</v>
      </c>
      <c r="J138" t="s">
        <v>34</v>
      </c>
    </row>
    <row r="139" spans="1:10" x14ac:dyDescent="0.25">
      <c r="A139" s="1">
        <v>40</v>
      </c>
      <c r="B139" t="s">
        <v>23</v>
      </c>
      <c r="C139">
        <v>635</v>
      </c>
      <c r="D139">
        <v>1</v>
      </c>
      <c r="E139" t="s">
        <v>24</v>
      </c>
      <c r="F139" t="s">
        <v>25</v>
      </c>
      <c r="G139" t="str">
        <f>"2026-06-08 10:09:36.367"</f>
        <v>2026-06-08 10:09:36.367</v>
      </c>
      <c r="H139" t="s">
        <v>21</v>
      </c>
    </row>
    <row r="140" spans="1:10" x14ac:dyDescent="0.25">
      <c r="A140" s="1">
        <v>41</v>
      </c>
      <c r="B140" t="s">
        <v>26</v>
      </c>
      <c r="C140">
        <v>635</v>
      </c>
      <c r="D140">
        <v>1</v>
      </c>
      <c r="E140" t="s">
        <v>24</v>
      </c>
      <c r="F140" t="s">
        <v>25</v>
      </c>
      <c r="G140" t="str">
        <f>"2026-06-08 10:06:55.367"</f>
        <v>2026-06-08 10:06:55.367</v>
      </c>
      <c r="H140" t="s">
        <v>21</v>
      </c>
      <c r="I140">
        <v>3.59</v>
      </c>
      <c r="J140" t="s">
        <v>27</v>
      </c>
    </row>
    <row r="141" spans="1:10" x14ac:dyDescent="0.25">
      <c r="A141" s="1">
        <v>42</v>
      </c>
      <c r="B141" t="s">
        <v>23</v>
      </c>
      <c r="C141">
        <v>630</v>
      </c>
      <c r="D141">
        <v>5</v>
      </c>
      <c r="E141" t="s">
        <v>36</v>
      </c>
      <c r="F141" t="s">
        <v>37</v>
      </c>
      <c r="G141" t="str">
        <f>"2026-06-07 13:54:30.767"</f>
        <v>2026-06-07 13:54:30.767</v>
      </c>
      <c r="H141" t="s">
        <v>38</v>
      </c>
    </row>
    <row r="142" spans="1:10" x14ac:dyDescent="0.25">
      <c r="A142" s="1">
        <v>43</v>
      </c>
      <c r="B142" t="s">
        <v>19</v>
      </c>
      <c r="C142">
        <v>706</v>
      </c>
      <c r="D142">
        <v>2</v>
      </c>
      <c r="E142" t="s">
        <v>32</v>
      </c>
      <c r="F142" t="s">
        <v>35</v>
      </c>
      <c r="G142" t="str">
        <f>"2026-06-07 13:54:00.570"</f>
        <v>2026-06-07 13:54:00.570</v>
      </c>
      <c r="H142" t="s">
        <v>21</v>
      </c>
      <c r="I142">
        <v>0</v>
      </c>
      <c r="J142" t="s">
        <v>34</v>
      </c>
    </row>
    <row r="143" spans="1:10" x14ac:dyDescent="0.25">
      <c r="A143" s="1">
        <v>44</v>
      </c>
      <c r="B143" t="s">
        <v>39</v>
      </c>
      <c r="C143">
        <v>630</v>
      </c>
      <c r="D143">
        <v>5</v>
      </c>
      <c r="E143" t="s">
        <v>36</v>
      </c>
      <c r="F143" t="s">
        <v>37</v>
      </c>
      <c r="G143" t="str">
        <f>"2026-06-07 13:02:51.268"</f>
        <v>2026-06-07 13:02:51.268</v>
      </c>
      <c r="H143" t="s">
        <v>38</v>
      </c>
      <c r="I143">
        <v>0</v>
      </c>
      <c r="J143" t="s">
        <v>34</v>
      </c>
    </row>
    <row r="144" spans="1:10" s="3" customFormat="1" x14ac:dyDescent="0.25">
      <c r="A144" s="2">
        <v>45</v>
      </c>
      <c r="B144" s="3" t="s">
        <v>23</v>
      </c>
      <c r="C144" s="3">
        <v>647</v>
      </c>
      <c r="D144" s="3">
        <v>1</v>
      </c>
      <c r="E144" s="3" t="s">
        <v>29</v>
      </c>
      <c r="F144" s="3" t="s">
        <v>30</v>
      </c>
      <c r="G144" s="3" t="str">
        <f>"2026-06-07 10:20:26.367"</f>
        <v>2026-06-07 10:20:26.367</v>
      </c>
      <c r="H144" s="3" t="s">
        <v>21</v>
      </c>
    </row>
    <row r="145" spans="1:10" s="3" customFormat="1" x14ac:dyDescent="0.25">
      <c r="A145" s="2">
        <v>46</v>
      </c>
      <c r="B145" s="3" t="s">
        <v>26</v>
      </c>
      <c r="C145" s="3">
        <v>647</v>
      </c>
      <c r="D145" s="3">
        <v>1</v>
      </c>
      <c r="E145" s="3" t="s">
        <v>29</v>
      </c>
      <c r="F145" s="3" t="s">
        <v>30</v>
      </c>
      <c r="G145" s="3" t="str">
        <f>"2026-06-07 10:20:23.668"</f>
        <v>2026-06-07 10:20:23.668</v>
      </c>
      <c r="H145" s="3" t="s">
        <v>21</v>
      </c>
      <c r="I145" s="3">
        <v>26.09</v>
      </c>
      <c r="J145" s="3" t="s">
        <v>31</v>
      </c>
    </row>
    <row r="146" spans="1:10" x14ac:dyDescent="0.25">
      <c r="A146" s="1">
        <v>48</v>
      </c>
      <c r="B146" t="s">
        <v>23</v>
      </c>
      <c r="C146">
        <v>635</v>
      </c>
      <c r="D146">
        <v>1</v>
      </c>
      <c r="E146" t="s">
        <v>24</v>
      </c>
      <c r="F146" t="s">
        <v>25</v>
      </c>
      <c r="G146" t="str">
        <f>"2026-06-07 01:18:11.267"</f>
        <v>2026-06-07 01:18:11.267</v>
      </c>
      <c r="H146" t="s">
        <v>21</v>
      </c>
    </row>
    <row r="147" spans="1:10" x14ac:dyDescent="0.25">
      <c r="A147" s="1">
        <v>49</v>
      </c>
      <c r="B147" t="s">
        <v>26</v>
      </c>
      <c r="C147">
        <v>635</v>
      </c>
      <c r="D147">
        <v>1</v>
      </c>
      <c r="E147" t="s">
        <v>24</v>
      </c>
      <c r="F147" t="s">
        <v>25</v>
      </c>
      <c r="G147" t="str">
        <f>"2026-06-07 01:12:27.767"</f>
        <v>2026-06-07 01:12:27.767</v>
      </c>
      <c r="H147" t="s">
        <v>21</v>
      </c>
      <c r="I147">
        <v>5.35</v>
      </c>
      <c r="J147" t="s">
        <v>31</v>
      </c>
    </row>
    <row r="148" spans="1:10" x14ac:dyDescent="0.25">
      <c r="A148" s="1">
        <v>50</v>
      </c>
      <c r="B148" t="s">
        <v>23</v>
      </c>
      <c r="C148">
        <v>630</v>
      </c>
      <c r="D148">
        <v>5</v>
      </c>
      <c r="E148" t="s">
        <v>36</v>
      </c>
      <c r="F148" t="s">
        <v>37</v>
      </c>
      <c r="G148" t="str">
        <f>"2026-06-06 14:11:47.367"</f>
        <v>2026-06-06 14:11:47.367</v>
      </c>
      <c r="H148" t="s">
        <v>38</v>
      </c>
    </row>
    <row r="149" spans="1:10" x14ac:dyDescent="0.25">
      <c r="A149" s="1">
        <v>51</v>
      </c>
      <c r="B149" t="s">
        <v>19</v>
      </c>
      <c r="C149">
        <v>706</v>
      </c>
      <c r="D149">
        <v>2</v>
      </c>
      <c r="E149" t="s">
        <v>32</v>
      </c>
      <c r="F149" t="s">
        <v>35</v>
      </c>
      <c r="G149" t="str">
        <f>"2026-06-06 14:11:17.270"</f>
        <v>2026-06-06 14:11:17.270</v>
      </c>
      <c r="H149" t="s">
        <v>21</v>
      </c>
      <c r="I149">
        <v>0</v>
      </c>
      <c r="J149" t="s">
        <v>34</v>
      </c>
    </row>
    <row r="150" spans="1:10" x14ac:dyDescent="0.25">
      <c r="A150" s="1">
        <v>52</v>
      </c>
      <c r="B150" t="s">
        <v>39</v>
      </c>
      <c r="C150">
        <v>630</v>
      </c>
      <c r="D150">
        <v>5</v>
      </c>
      <c r="E150" t="s">
        <v>36</v>
      </c>
      <c r="F150" t="s">
        <v>37</v>
      </c>
      <c r="G150" t="str">
        <f>"2026-06-06 13:28:01.867"</f>
        <v>2026-06-06 13:28:01.867</v>
      </c>
      <c r="H150" t="s">
        <v>38</v>
      </c>
      <c r="I150">
        <v>0</v>
      </c>
      <c r="J150" t="s">
        <v>34</v>
      </c>
    </row>
    <row r="151" spans="1:10" x14ac:dyDescent="0.25">
      <c r="A151" s="1">
        <v>53</v>
      </c>
      <c r="B151" t="s">
        <v>23</v>
      </c>
      <c r="C151">
        <v>635</v>
      </c>
      <c r="D151">
        <v>1</v>
      </c>
      <c r="E151" t="s">
        <v>24</v>
      </c>
      <c r="F151" t="s">
        <v>25</v>
      </c>
      <c r="G151" t="str">
        <f>"2026-06-05 21:12:24.267"</f>
        <v>2026-06-05 21:12:24.267</v>
      </c>
      <c r="H151" t="s">
        <v>21</v>
      </c>
    </row>
    <row r="152" spans="1:10" x14ac:dyDescent="0.25">
      <c r="A152" s="1">
        <v>54</v>
      </c>
      <c r="B152" t="s">
        <v>26</v>
      </c>
      <c r="C152">
        <v>635</v>
      </c>
      <c r="D152">
        <v>1</v>
      </c>
      <c r="E152" t="s">
        <v>24</v>
      </c>
      <c r="F152" t="s">
        <v>25</v>
      </c>
      <c r="G152" t="str">
        <f>"2026-06-05 21:10:48.267"</f>
        <v>2026-06-05 21:10:48.267</v>
      </c>
      <c r="H152" t="s">
        <v>21</v>
      </c>
      <c r="I152">
        <v>-4.05</v>
      </c>
      <c r="J152" t="s">
        <v>27</v>
      </c>
    </row>
    <row r="153" spans="1:10" x14ac:dyDescent="0.25">
      <c r="A153" s="1">
        <v>55</v>
      </c>
      <c r="B153" t="s">
        <v>23</v>
      </c>
      <c r="C153">
        <v>630</v>
      </c>
      <c r="D153">
        <v>5</v>
      </c>
      <c r="E153" t="s">
        <v>36</v>
      </c>
      <c r="F153" t="s">
        <v>37</v>
      </c>
      <c r="G153" t="str">
        <f>"2026-06-05 18:02:54.767"</f>
        <v>2026-06-05 18:02:54.767</v>
      </c>
      <c r="H153" t="s">
        <v>38</v>
      </c>
    </row>
    <row r="154" spans="1:10" x14ac:dyDescent="0.25">
      <c r="A154" s="1">
        <v>56</v>
      </c>
      <c r="B154" t="s">
        <v>19</v>
      </c>
      <c r="C154">
        <v>706</v>
      </c>
      <c r="D154">
        <v>4</v>
      </c>
      <c r="E154" t="s">
        <v>32</v>
      </c>
      <c r="F154" t="s">
        <v>33</v>
      </c>
      <c r="G154" t="str">
        <f>"2026-06-05 18:02:24.790"</f>
        <v>2026-06-05 18:02:24.790</v>
      </c>
      <c r="H154" t="s">
        <v>21</v>
      </c>
      <c r="I154">
        <v>0</v>
      </c>
      <c r="J154" t="s">
        <v>34</v>
      </c>
    </row>
    <row r="155" spans="1:10" x14ac:dyDescent="0.25">
      <c r="A155" s="1">
        <v>57</v>
      </c>
      <c r="B155" t="s">
        <v>39</v>
      </c>
      <c r="C155">
        <v>630</v>
      </c>
      <c r="D155">
        <v>5</v>
      </c>
      <c r="E155" t="s">
        <v>36</v>
      </c>
      <c r="F155" t="s">
        <v>37</v>
      </c>
      <c r="G155" t="str">
        <f>"2026-06-05 17:59:04.967"</f>
        <v>2026-06-05 17:59:04.967</v>
      </c>
      <c r="H155" t="s">
        <v>38</v>
      </c>
      <c r="I155">
        <v>0</v>
      </c>
      <c r="J155" t="s">
        <v>34</v>
      </c>
    </row>
    <row r="156" spans="1:10" x14ac:dyDescent="0.25">
      <c r="A156" s="1">
        <v>58</v>
      </c>
      <c r="B156" t="s">
        <v>19</v>
      </c>
      <c r="C156">
        <v>706</v>
      </c>
      <c r="D156">
        <v>2</v>
      </c>
      <c r="E156" t="s">
        <v>32</v>
      </c>
      <c r="F156" t="s">
        <v>35</v>
      </c>
      <c r="G156" t="str">
        <f>"2026-06-05 14:08:48.170"</f>
        <v>2026-06-05 14:08:48.170</v>
      </c>
      <c r="H156" t="s">
        <v>21</v>
      </c>
      <c r="I156">
        <v>0</v>
      </c>
      <c r="J156" t="s">
        <v>34</v>
      </c>
    </row>
    <row r="157" spans="1:10" x14ac:dyDescent="0.25">
      <c r="A157" s="1">
        <v>59</v>
      </c>
      <c r="B157" t="s">
        <v>23</v>
      </c>
      <c r="C157">
        <v>630</v>
      </c>
      <c r="D157">
        <v>5</v>
      </c>
      <c r="E157" t="s">
        <v>36</v>
      </c>
      <c r="F157" t="s">
        <v>37</v>
      </c>
      <c r="G157" t="str">
        <f>"2026-06-05 13:50:01.867"</f>
        <v>2026-06-05 13:50:01.867</v>
      </c>
      <c r="H157" t="s">
        <v>38</v>
      </c>
    </row>
    <row r="158" spans="1:10" x14ac:dyDescent="0.25">
      <c r="A158" s="1">
        <v>60</v>
      </c>
      <c r="B158" t="s">
        <v>39</v>
      </c>
      <c r="C158">
        <v>630</v>
      </c>
      <c r="D158">
        <v>5</v>
      </c>
      <c r="E158" t="s">
        <v>36</v>
      </c>
      <c r="F158" t="s">
        <v>37</v>
      </c>
      <c r="G158" t="str">
        <f>"2026-06-05 13:46:37.267"</f>
        <v>2026-06-05 13:46:37.267</v>
      </c>
      <c r="H158" t="s">
        <v>38</v>
      </c>
      <c r="I158">
        <v>0</v>
      </c>
      <c r="J158" t="s">
        <v>34</v>
      </c>
    </row>
    <row r="159" spans="1:10" x14ac:dyDescent="0.25">
      <c r="A159" s="1">
        <v>62</v>
      </c>
      <c r="B159" t="s">
        <v>23</v>
      </c>
      <c r="C159">
        <v>635</v>
      </c>
      <c r="D159">
        <v>1</v>
      </c>
      <c r="E159" t="s">
        <v>24</v>
      </c>
      <c r="F159" t="s">
        <v>25</v>
      </c>
      <c r="G159" t="str">
        <f>"2026-06-04 22:30:24.167"</f>
        <v>2026-06-04 22:30:24.167</v>
      </c>
      <c r="H159" t="s">
        <v>21</v>
      </c>
    </row>
    <row r="160" spans="1:10" x14ac:dyDescent="0.25">
      <c r="A160" s="1">
        <v>63</v>
      </c>
      <c r="B160" t="s">
        <v>26</v>
      </c>
      <c r="C160">
        <v>635</v>
      </c>
      <c r="D160">
        <v>1</v>
      </c>
      <c r="E160" t="s">
        <v>24</v>
      </c>
      <c r="F160" t="s">
        <v>25</v>
      </c>
      <c r="G160" t="str">
        <f>"2026-06-04 22:23:02.267"</f>
        <v>2026-06-04 22:23:02.267</v>
      </c>
      <c r="H160" t="s">
        <v>21</v>
      </c>
      <c r="I160">
        <v>0.01</v>
      </c>
      <c r="J160" t="s">
        <v>28</v>
      </c>
    </row>
    <row r="161" spans="1:10" x14ac:dyDescent="0.25">
      <c r="A161" s="1">
        <v>64</v>
      </c>
      <c r="B161" t="s">
        <v>19</v>
      </c>
      <c r="C161">
        <v>706</v>
      </c>
      <c r="D161">
        <v>4</v>
      </c>
      <c r="E161" t="s">
        <v>32</v>
      </c>
      <c r="F161" t="s">
        <v>33</v>
      </c>
      <c r="G161" t="str">
        <f>"2026-06-04 13:40:07.430"</f>
        <v>2026-06-04 13:40:07.430</v>
      </c>
      <c r="H161" t="s">
        <v>21</v>
      </c>
      <c r="I161">
        <v>0</v>
      </c>
      <c r="J161" t="s">
        <v>34</v>
      </c>
    </row>
    <row r="162" spans="1:10" x14ac:dyDescent="0.25">
      <c r="A162" s="1">
        <v>65</v>
      </c>
      <c r="B162" t="s">
        <v>19</v>
      </c>
      <c r="C162">
        <v>706</v>
      </c>
      <c r="D162">
        <v>4</v>
      </c>
      <c r="E162" t="s">
        <v>32</v>
      </c>
      <c r="F162" t="s">
        <v>33</v>
      </c>
      <c r="G162" t="str">
        <f>"2026-06-04 13:03:51.890"</f>
        <v>2026-06-04 13:03:51.890</v>
      </c>
      <c r="H162" t="s">
        <v>21</v>
      </c>
      <c r="I162">
        <v>0</v>
      </c>
      <c r="J162" t="s">
        <v>34</v>
      </c>
    </row>
    <row r="163" spans="1:10" x14ac:dyDescent="0.25">
      <c r="A163" s="1">
        <v>66</v>
      </c>
      <c r="B163" t="s">
        <v>19</v>
      </c>
      <c r="C163">
        <v>706</v>
      </c>
      <c r="D163">
        <v>2</v>
      </c>
      <c r="E163" t="s">
        <v>32</v>
      </c>
      <c r="F163" t="s">
        <v>35</v>
      </c>
      <c r="G163" t="str">
        <f>"2026-06-04 08:11:45.170"</f>
        <v>2026-06-04 08:11:45.170</v>
      </c>
      <c r="H163" t="s">
        <v>21</v>
      </c>
      <c r="I163">
        <v>0</v>
      </c>
      <c r="J163" t="s">
        <v>34</v>
      </c>
    </row>
    <row r="164" spans="1:10" x14ac:dyDescent="0.25">
      <c r="A164" s="1">
        <v>67</v>
      </c>
      <c r="B164" t="s">
        <v>19</v>
      </c>
      <c r="C164">
        <v>706</v>
      </c>
      <c r="D164">
        <v>3</v>
      </c>
      <c r="E164" t="s">
        <v>32</v>
      </c>
      <c r="F164" t="s">
        <v>40</v>
      </c>
      <c r="G164" t="str">
        <f>"2026-06-04 08:11:29.840"</f>
        <v>2026-06-04 08:11:29.840</v>
      </c>
      <c r="H164" t="s">
        <v>21</v>
      </c>
      <c r="I164">
        <v>0</v>
      </c>
      <c r="J164" t="s">
        <v>34</v>
      </c>
    </row>
    <row r="165" spans="1:10" x14ac:dyDescent="0.25">
      <c r="A165" s="1">
        <v>69</v>
      </c>
      <c r="B165" t="s">
        <v>19</v>
      </c>
      <c r="C165">
        <v>706</v>
      </c>
      <c r="D165">
        <v>2</v>
      </c>
      <c r="E165" t="s">
        <v>32</v>
      </c>
      <c r="F165" t="s">
        <v>35</v>
      </c>
      <c r="G165" t="str">
        <f>"2026-06-03 12:59:18.270"</f>
        <v>2026-06-03 12:59:18.270</v>
      </c>
      <c r="H165" t="s">
        <v>21</v>
      </c>
      <c r="I165">
        <v>0</v>
      </c>
      <c r="J165" t="s">
        <v>34</v>
      </c>
    </row>
    <row r="166" spans="1:10" x14ac:dyDescent="0.25">
      <c r="A166" s="1">
        <v>71</v>
      </c>
      <c r="B166" t="s">
        <v>23</v>
      </c>
      <c r="C166">
        <v>635</v>
      </c>
      <c r="D166">
        <v>1</v>
      </c>
      <c r="E166" t="s">
        <v>24</v>
      </c>
      <c r="F166" t="s">
        <v>25</v>
      </c>
      <c r="G166" t="str">
        <f>"2026-06-03 09:57:47.109"</f>
        <v>2026-06-03 09:57:47.109</v>
      </c>
      <c r="H166" t="s">
        <v>21</v>
      </c>
    </row>
    <row r="167" spans="1:10" x14ac:dyDescent="0.25">
      <c r="A167" s="1">
        <v>72</v>
      </c>
      <c r="B167" t="s">
        <v>26</v>
      </c>
      <c r="C167">
        <v>635</v>
      </c>
      <c r="D167">
        <v>1</v>
      </c>
      <c r="E167" t="s">
        <v>24</v>
      </c>
      <c r="F167" t="s">
        <v>25</v>
      </c>
      <c r="G167" t="str">
        <f>"2026-06-03 09:36:53.109"</f>
        <v>2026-06-03 09:36:53.109</v>
      </c>
      <c r="H167" t="s">
        <v>21</v>
      </c>
      <c r="I167">
        <v>7.93</v>
      </c>
      <c r="J167" t="s">
        <v>27</v>
      </c>
    </row>
    <row r="168" spans="1:10" x14ac:dyDescent="0.25">
      <c r="A168" s="1">
        <v>73</v>
      </c>
      <c r="B168" t="s">
        <v>19</v>
      </c>
      <c r="C168">
        <v>706</v>
      </c>
      <c r="D168">
        <v>4</v>
      </c>
      <c r="E168" t="s">
        <v>32</v>
      </c>
      <c r="F168" t="s">
        <v>33</v>
      </c>
      <c r="G168" t="str">
        <f>"2026-06-02 13:29:49.500"</f>
        <v>2026-06-02 13:29:49.500</v>
      </c>
      <c r="H168" t="s">
        <v>21</v>
      </c>
      <c r="I168">
        <v>0</v>
      </c>
      <c r="J168" t="s">
        <v>34</v>
      </c>
    </row>
    <row r="169" spans="1:10" x14ac:dyDescent="0.25">
      <c r="A169" s="1">
        <v>74</v>
      </c>
      <c r="B169" t="s">
        <v>23</v>
      </c>
      <c r="C169">
        <v>635</v>
      </c>
      <c r="D169">
        <v>1</v>
      </c>
      <c r="E169" t="s">
        <v>24</v>
      </c>
      <c r="F169" t="s">
        <v>25</v>
      </c>
      <c r="G169" t="str">
        <f>"2026-06-02 08:14:40.109"</f>
        <v>2026-06-02 08:14:40.109</v>
      </c>
      <c r="H169" t="s">
        <v>21</v>
      </c>
    </row>
    <row r="170" spans="1:10" x14ac:dyDescent="0.25">
      <c r="A170" s="1">
        <v>75</v>
      </c>
      <c r="B170" t="s">
        <v>26</v>
      </c>
      <c r="C170">
        <v>635</v>
      </c>
      <c r="D170">
        <v>1</v>
      </c>
      <c r="E170" t="s">
        <v>24</v>
      </c>
      <c r="F170" t="s">
        <v>25</v>
      </c>
      <c r="G170" t="str">
        <f>"2026-06-02 08:10:57.109"</f>
        <v>2026-06-02 08:10:57.109</v>
      </c>
      <c r="H170" t="s">
        <v>21</v>
      </c>
      <c r="I170">
        <v>7.54</v>
      </c>
      <c r="J170" t="s">
        <v>27</v>
      </c>
    </row>
    <row r="171" spans="1:10" x14ac:dyDescent="0.25">
      <c r="A171" s="1">
        <v>76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"2026-06-01 15:05:16.010"</f>
        <v>2026-06-01 15:05:16.010</v>
      </c>
      <c r="H171" t="s">
        <v>21</v>
      </c>
      <c r="I171">
        <v>0</v>
      </c>
      <c r="J171" t="s">
        <v>22</v>
      </c>
    </row>
    <row r="172" spans="1:10" x14ac:dyDescent="0.25">
      <c r="A172" s="1">
        <v>77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"2026-06-01 14:52:09.017"</f>
        <v>2026-06-01 14:52:09.017</v>
      </c>
      <c r="H172" t="s">
        <v>21</v>
      </c>
      <c r="I172">
        <v>0</v>
      </c>
      <c r="J172" t="s">
        <v>22</v>
      </c>
    </row>
    <row r="173" spans="1:10" x14ac:dyDescent="0.25">
      <c r="A173" s="1">
        <v>78</v>
      </c>
      <c r="B173" t="s">
        <v>19</v>
      </c>
      <c r="C173">
        <v>706</v>
      </c>
      <c r="D173">
        <v>4</v>
      </c>
      <c r="E173" t="s">
        <v>32</v>
      </c>
      <c r="F173" t="s">
        <v>33</v>
      </c>
      <c r="G173" t="str">
        <f>"2026-06-01 14:47:48.460"</f>
        <v>2026-06-01 14:47:48.460</v>
      </c>
      <c r="H173" t="s">
        <v>21</v>
      </c>
      <c r="I173">
        <v>0</v>
      </c>
      <c r="J173" t="s">
        <v>34</v>
      </c>
    </row>
    <row r="174" spans="1:10" x14ac:dyDescent="0.25">
      <c r="A174" s="1">
        <v>79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"2026-06-01 14:37:54.100"</f>
        <v>2026-06-01 14:37:54.100</v>
      </c>
      <c r="H174" t="s">
        <v>21</v>
      </c>
    </row>
    <row r="175" spans="1:10" x14ac:dyDescent="0.25">
      <c r="A175" s="1">
        <v>80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"2026-06-01 11:41:40.170"</f>
        <v>2026-06-01 11:41:40.170</v>
      </c>
      <c r="H175" t="s">
        <v>21</v>
      </c>
      <c r="I175">
        <v>0</v>
      </c>
      <c r="J175" t="s">
        <v>22</v>
      </c>
    </row>
    <row r="176" spans="1:10" x14ac:dyDescent="0.25">
      <c r="A176" s="1">
        <v>81</v>
      </c>
      <c r="B176" t="s">
        <v>23</v>
      </c>
      <c r="C176">
        <v>635</v>
      </c>
      <c r="D176">
        <v>1</v>
      </c>
      <c r="E176" t="s">
        <v>24</v>
      </c>
      <c r="F176" t="s">
        <v>25</v>
      </c>
      <c r="G176" t="str">
        <f>"2026-06-01 05:34:50.076"</f>
        <v>2026-06-01 05:34:50.076</v>
      </c>
      <c r="H176" t="s">
        <v>21</v>
      </c>
    </row>
    <row r="177" spans="1:10" x14ac:dyDescent="0.25">
      <c r="A177" s="1">
        <v>82</v>
      </c>
      <c r="B177" t="s">
        <v>26</v>
      </c>
      <c r="C177">
        <v>635</v>
      </c>
      <c r="D177">
        <v>1</v>
      </c>
      <c r="E177" t="s">
        <v>24</v>
      </c>
      <c r="F177" t="s">
        <v>25</v>
      </c>
      <c r="G177" t="str">
        <f>"2026-06-01 05:34:04.076"</f>
        <v>2026-06-01 05:34:04.076</v>
      </c>
      <c r="H177" t="s">
        <v>21</v>
      </c>
      <c r="I177">
        <v>2.09</v>
      </c>
      <c r="J177" t="s">
        <v>27</v>
      </c>
    </row>
    <row r="178" spans="1:10" x14ac:dyDescent="0.25">
      <c r="A178" s="1">
        <v>83</v>
      </c>
      <c r="B178" t="s">
        <v>19</v>
      </c>
      <c r="C178">
        <v>706</v>
      </c>
      <c r="D178">
        <v>4</v>
      </c>
      <c r="E178" t="s">
        <v>32</v>
      </c>
      <c r="F178" t="s">
        <v>33</v>
      </c>
      <c r="G178" t="str">
        <f>"2026-05-31 13:37:19.916"</f>
        <v>2026-05-31 13:37:19.916</v>
      </c>
      <c r="H178" t="s">
        <v>21</v>
      </c>
      <c r="I178">
        <v>0</v>
      </c>
      <c r="J178" t="s">
        <v>34</v>
      </c>
    </row>
    <row r="179" spans="1:10" x14ac:dyDescent="0.25">
      <c r="A179" s="1">
        <v>84</v>
      </c>
      <c r="B179" t="s">
        <v>19</v>
      </c>
      <c r="C179">
        <v>706</v>
      </c>
      <c r="D179">
        <v>4</v>
      </c>
      <c r="E179" t="s">
        <v>32</v>
      </c>
      <c r="F179" t="s">
        <v>33</v>
      </c>
      <c r="G179" t="str">
        <f>"2026-05-30 08:16:31.156"</f>
        <v>2026-05-30 08:16:31.156</v>
      </c>
      <c r="H179" t="s">
        <v>21</v>
      </c>
      <c r="I179">
        <v>0</v>
      </c>
      <c r="J179" t="s">
        <v>34</v>
      </c>
    </row>
    <row r="180" spans="1:10" x14ac:dyDescent="0.25">
      <c r="A180" s="1">
        <v>85</v>
      </c>
      <c r="B180" t="s">
        <v>19</v>
      </c>
      <c r="C180">
        <v>706</v>
      </c>
      <c r="D180">
        <v>3</v>
      </c>
      <c r="E180" t="s">
        <v>32</v>
      </c>
      <c r="F180" t="s">
        <v>40</v>
      </c>
      <c r="G180" t="str">
        <f>"2026-05-30 08:16:17.506"</f>
        <v>2026-05-30 08:16:17.506</v>
      </c>
      <c r="H180" t="s">
        <v>21</v>
      </c>
      <c r="I180">
        <v>0</v>
      </c>
      <c r="J180" t="s">
        <v>34</v>
      </c>
    </row>
    <row r="181" spans="1:10" x14ac:dyDescent="0.25">
      <c r="A181" s="1">
        <v>86</v>
      </c>
      <c r="B181" t="s">
        <v>23</v>
      </c>
      <c r="C181">
        <v>635</v>
      </c>
      <c r="D181">
        <v>1</v>
      </c>
      <c r="E181" t="s">
        <v>24</v>
      </c>
      <c r="F181" t="s">
        <v>25</v>
      </c>
      <c r="G181" t="str">
        <f>"2026-05-30 06:47:52.676"</f>
        <v>2026-05-30 06:47:52.676</v>
      </c>
      <c r="H181" t="s">
        <v>21</v>
      </c>
    </row>
    <row r="182" spans="1:10" x14ac:dyDescent="0.25">
      <c r="A182" s="1">
        <v>87</v>
      </c>
      <c r="B182" t="s">
        <v>26</v>
      </c>
      <c r="C182">
        <v>635</v>
      </c>
      <c r="D182">
        <v>1</v>
      </c>
      <c r="E182" t="s">
        <v>24</v>
      </c>
      <c r="F182" t="s">
        <v>25</v>
      </c>
      <c r="G182" t="str">
        <f>"2026-05-30 06:38:19.176"</f>
        <v>2026-05-30 06:38:19.176</v>
      </c>
      <c r="H182" t="s">
        <v>21</v>
      </c>
      <c r="I182">
        <v>0</v>
      </c>
      <c r="J182" t="s">
        <v>28</v>
      </c>
    </row>
    <row r="183" spans="1:10" x14ac:dyDescent="0.25">
      <c r="A183" s="1">
        <v>88</v>
      </c>
      <c r="B183" t="s">
        <v>19</v>
      </c>
      <c r="C183">
        <v>706</v>
      </c>
      <c r="D183">
        <v>4</v>
      </c>
      <c r="E183" t="s">
        <v>32</v>
      </c>
      <c r="F183" t="s">
        <v>33</v>
      </c>
      <c r="G183" t="str">
        <f>"2026-05-29 16:23:26.446"</f>
        <v>2026-05-29 16:23:26.446</v>
      </c>
      <c r="H183" t="s">
        <v>21</v>
      </c>
      <c r="I183">
        <v>0</v>
      </c>
      <c r="J183" t="s">
        <v>34</v>
      </c>
    </row>
    <row r="184" spans="1:10" x14ac:dyDescent="0.25">
      <c r="A184" s="1">
        <v>89</v>
      </c>
      <c r="B184" t="s">
        <v>19</v>
      </c>
      <c r="C184">
        <v>706</v>
      </c>
      <c r="D184">
        <v>3</v>
      </c>
      <c r="E184" t="s">
        <v>32</v>
      </c>
      <c r="F184" t="s">
        <v>40</v>
      </c>
      <c r="G184" t="str">
        <f>"2026-05-29 16:16:52.326"</f>
        <v>2026-05-29 16:16:52.326</v>
      </c>
      <c r="H184" t="s">
        <v>21</v>
      </c>
      <c r="I184">
        <v>0</v>
      </c>
      <c r="J184" t="s">
        <v>34</v>
      </c>
    </row>
    <row r="185" spans="1:10" s="3" customFormat="1" x14ac:dyDescent="0.25">
      <c r="A185" s="2">
        <v>90</v>
      </c>
      <c r="B185" s="3" t="s">
        <v>23</v>
      </c>
      <c r="C185" s="3">
        <v>647</v>
      </c>
      <c r="D185" s="3">
        <v>1</v>
      </c>
      <c r="E185" s="3" t="s">
        <v>29</v>
      </c>
      <c r="F185" s="3" t="s">
        <v>30</v>
      </c>
      <c r="G185" s="3" t="str">
        <f>"2026-05-28 18:46:03.377"</f>
        <v>2026-05-28 18:46:03.377</v>
      </c>
      <c r="H185" s="3" t="s">
        <v>21</v>
      </c>
    </row>
    <row r="186" spans="1:10" s="3" customFormat="1" x14ac:dyDescent="0.25">
      <c r="A186" s="2">
        <v>91</v>
      </c>
      <c r="B186" s="3" t="s">
        <v>26</v>
      </c>
      <c r="C186" s="3">
        <v>647</v>
      </c>
      <c r="D186" s="3">
        <v>1</v>
      </c>
      <c r="E186" s="3" t="s">
        <v>29</v>
      </c>
      <c r="F186" s="3" t="s">
        <v>30</v>
      </c>
      <c r="G186" s="3" t="str">
        <f>"2026-05-28 18:46:01.677"</f>
        <v>2026-05-28 18:46:01.677</v>
      </c>
      <c r="H186" s="3" t="s">
        <v>21</v>
      </c>
      <c r="I186" s="3">
        <v>20.2</v>
      </c>
      <c r="J186" s="3" t="s">
        <v>31</v>
      </c>
    </row>
    <row r="187" spans="1:10" x14ac:dyDescent="0.25">
      <c r="A187" s="1">
        <v>92</v>
      </c>
      <c r="B187" t="s">
        <v>23</v>
      </c>
      <c r="C187">
        <v>635</v>
      </c>
      <c r="D187">
        <v>1</v>
      </c>
      <c r="E187" t="s">
        <v>24</v>
      </c>
      <c r="F187" t="s">
        <v>25</v>
      </c>
      <c r="G187" t="str">
        <f>"2026-05-28 13:40:50.976"</f>
        <v>2026-05-28 13:40:50.976</v>
      </c>
      <c r="H187" t="s">
        <v>21</v>
      </c>
    </row>
    <row r="188" spans="1:10" x14ac:dyDescent="0.25">
      <c r="A188" s="1">
        <v>93</v>
      </c>
      <c r="B188" t="s">
        <v>26</v>
      </c>
      <c r="C188">
        <v>635</v>
      </c>
      <c r="D188">
        <v>1</v>
      </c>
      <c r="E188" t="s">
        <v>24</v>
      </c>
      <c r="F188" t="s">
        <v>25</v>
      </c>
      <c r="G188" t="str">
        <f>"2026-05-28 13:24:48.476"</f>
        <v>2026-05-28 13:24:48.476</v>
      </c>
      <c r="H188" t="s">
        <v>21</v>
      </c>
      <c r="I188">
        <v>9.6199999999999992</v>
      </c>
      <c r="J188" t="s">
        <v>27</v>
      </c>
    </row>
    <row r="189" spans="1:10" x14ac:dyDescent="0.25">
      <c r="A189" s="1">
        <v>94</v>
      </c>
      <c r="B189" t="s">
        <v>23</v>
      </c>
      <c r="C189">
        <v>635</v>
      </c>
      <c r="D189">
        <v>1</v>
      </c>
      <c r="E189" t="s">
        <v>24</v>
      </c>
      <c r="F189" t="s">
        <v>25</v>
      </c>
      <c r="G189" t="str">
        <f>"2026-05-27 14:10:23.776"</f>
        <v>2026-05-27 14:10:23.776</v>
      </c>
      <c r="H189" t="s">
        <v>21</v>
      </c>
    </row>
    <row r="190" spans="1:10" x14ac:dyDescent="0.25">
      <c r="A190" s="1">
        <v>95</v>
      </c>
      <c r="B190" t="s">
        <v>26</v>
      </c>
      <c r="C190">
        <v>635</v>
      </c>
      <c r="D190">
        <v>1</v>
      </c>
      <c r="E190" t="s">
        <v>24</v>
      </c>
      <c r="F190" t="s">
        <v>25</v>
      </c>
      <c r="G190" t="str">
        <f>"2026-05-27 13:48:17.776"</f>
        <v>2026-05-27 13:48:17.776</v>
      </c>
      <c r="H190" t="s">
        <v>21</v>
      </c>
      <c r="I190">
        <v>7.67</v>
      </c>
      <c r="J190" t="s">
        <v>27</v>
      </c>
    </row>
    <row r="191" spans="1:10" x14ac:dyDescent="0.25">
      <c r="A191" s="1">
        <v>97</v>
      </c>
      <c r="B191" t="s">
        <v>19</v>
      </c>
      <c r="C191">
        <v>706</v>
      </c>
      <c r="D191">
        <v>2</v>
      </c>
      <c r="E191" t="s">
        <v>32</v>
      </c>
      <c r="F191" t="s">
        <v>35</v>
      </c>
      <c r="G191" t="str">
        <f>"2026-05-26 20:34:11.766"</f>
        <v>2026-05-26 20:34:11.766</v>
      </c>
      <c r="H191" t="s">
        <v>21</v>
      </c>
      <c r="I191">
        <v>0</v>
      </c>
      <c r="J191" t="s">
        <v>34</v>
      </c>
    </row>
    <row r="192" spans="1:10" x14ac:dyDescent="0.25">
      <c r="A192" s="1">
        <v>98</v>
      </c>
      <c r="B192" t="s">
        <v>19</v>
      </c>
      <c r="C192">
        <v>706</v>
      </c>
      <c r="D192">
        <v>3</v>
      </c>
      <c r="E192" t="s">
        <v>32</v>
      </c>
      <c r="F192" t="s">
        <v>40</v>
      </c>
      <c r="G192" t="str">
        <f>"2026-05-26 20:33:57.846"</f>
        <v>2026-05-26 20:33:57.846</v>
      </c>
      <c r="H192" t="s">
        <v>21</v>
      </c>
      <c r="I192">
        <v>0</v>
      </c>
      <c r="J192" t="s">
        <v>34</v>
      </c>
    </row>
    <row r="193" spans="1:10" x14ac:dyDescent="0.25">
      <c r="A193" s="1">
        <v>99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"2026-05-26 20:30:52.006"</f>
        <v>2026-05-26 20:30:52.006</v>
      </c>
      <c r="H193" t="s">
        <v>21</v>
      </c>
      <c r="I193">
        <v>0</v>
      </c>
      <c r="J193" t="s">
        <v>22</v>
      </c>
    </row>
    <row r="194" spans="1:10" x14ac:dyDescent="0.25">
      <c r="A194" s="1">
        <v>0</v>
      </c>
      <c r="B194" t="s">
        <v>39</v>
      </c>
      <c r="C194">
        <v>630</v>
      </c>
      <c r="D194">
        <v>5</v>
      </c>
      <c r="E194" t="s">
        <v>36</v>
      </c>
      <c r="F194" t="s">
        <v>37</v>
      </c>
      <c r="G194" t="str">
        <f>"2026-05-26 18:55:38.763"</f>
        <v>2026-05-26 18:55:38.763</v>
      </c>
      <c r="H194" t="s">
        <v>38</v>
      </c>
      <c r="I194">
        <v>0</v>
      </c>
      <c r="J194" t="s">
        <v>34</v>
      </c>
    </row>
    <row r="195" spans="1:10" x14ac:dyDescent="0.25">
      <c r="A195" s="1">
        <v>1</v>
      </c>
      <c r="B195" t="s">
        <v>23</v>
      </c>
      <c r="C195">
        <v>630</v>
      </c>
      <c r="D195">
        <v>5</v>
      </c>
      <c r="E195" t="s">
        <v>36</v>
      </c>
      <c r="F195" t="s">
        <v>37</v>
      </c>
      <c r="G195" t="str">
        <f>"2026-05-26 18:30:47.563"</f>
        <v>2026-05-26 18:30:47.563</v>
      </c>
      <c r="H195" t="s">
        <v>38</v>
      </c>
    </row>
    <row r="196" spans="1:10" x14ac:dyDescent="0.25">
      <c r="A196" s="1">
        <v>2</v>
      </c>
      <c r="B196" t="s">
        <v>19</v>
      </c>
      <c r="C196">
        <v>706</v>
      </c>
      <c r="D196">
        <v>4</v>
      </c>
      <c r="E196" t="s">
        <v>32</v>
      </c>
      <c r="F196" t="s">
        <v>33</v>
      </c>
      <c r="G196" t="str">
        <f>"2026-05-26 18:30:17.489"</f>
        <v>2026-05-26 18:30:17.489</v>
      </c>
      <c r="H196" t="s">
        <v>21</v>
      </c>
      <c r="I196">
        <v>0</v>
      </c>
      <c r="J196" t="s">
        <v>34</v>
      </c>
    </row>
    <row r="197" spans="1:10" x14ac:dyDescent="0.25">
      <c r="A197" s="1">
        <v>3</v>
      </c>
      <c r="B197" t="s">
        <v>39</v>
      </c>
      <c r="C197">
        <v>630</v>
      </c>
      <c r="D197">
        <v>5</v>
      </c>
      <c r="E197" t="s">
        <v>36</v>
      </c>
      <c r="F197" t="s">
        <v>37</v>
      </c>
      <c r="G197" t="str">
        <f>"2026-05-26 17:47:02.363"</f>
        <v>2026-05-26 17:47:02.363</v>
      </c>
      <c r="H197" t="s">
        <v>38</v>
      </c>
      <c r="I197">
        <v>0</v>
      </c>
      <c r="J197" t="s">
        <v>34</v>
      </c>
    </row>
    <row r="198" spans="1:10" x14ac:dyDescent="0.25">
      <c r="A198" s="1">
        <v>4</v>
      </c>
      <c r="B198" t="s">
        <v>23</v>
      </c>
      <c r="C198">
        <v>630</v>
      </c>
      <c r="D198">
        <v>5</v>
      </c>
      <c r="E198" t="s">
        <v>36</v>
      </c>
      <c r="F198" t="s">
        <v>37</v>
      </c>
      <c r="G198" t="str">
        <f>"2026-05-26 17:41:53.662"</f>
        <v>2026-05-26 17:41:53.662</v>
      </c>
      <c r="H198" t="s">
        <v>38</v>
      </c>
    </row>
    <row r="199" spans="1:10" x14ac:dyDescent="0.25">
      <c r="A199" s="1">
        <v>5</v>
      </c>
      <c r="B199" t="s">
        <v>19</v>
      </c>
      <c r="C199">
        <v>706</v>
      </c>
      <c r="D199">
        <v>4</v>
      </c>
      <c r="E199" t="s">
        <v>32</v>
      </c>
      <c r="F199" t="s">
        <v>33</v>
      </c>
      <c r="G199" t="str">
        <f>"2026-05-26 17:41:23.559"</f>
        <v>2026-05-26 17:41:23.559</v>
      </c>
      <c r="H199" t="s">
        <v>21</v>
      </c>
      <c r="I199">
        <v>0</v>
      </c>
      <c r="J199" t="s">
        <v>34</v>
      </c>
    </row>
    <row r="200" spans="1:10" x14ac:dyDescent="0.25">
      <c r="A200" s="1">
        <v>6</v>
      </c>
      <c r="B200" t="s">
        <v>39</v>
      </c>
      <c r="C200">
        <v>630</v>
      </c>
      <c r="D200">
        <v>5</v>
      </c>
      <c r="E200" t="s">
        <v>36</v>
      </c>
      <c r="F200" t="s">
        <v>37</v>
      </c>
      <c r="G200" t="str">
        <f>"2026-05-26 17:37:15.763"</f>
        <v>2026-05-26 17:37:15.763</v>
      </c>
      <c r="H200" t="s">
        <v>38</v>
      </c>
      <c r="I200">
        <v>0</v>
      </c>
      <c r="J200" t="s">
        <v>34</v>
      </c>
    </row>
    <row r="201" spans="1:10" x14ac:dyDescent="0.25">
      <c r="A201" s="1">
        <v>7</v>
      </c>
      <c r="B201" t="s">
        <v>19</v>
      </c>
      <c r="C201">
        <v>706</v>
      </c>
      <c r="D201">
        <v>4</v>
      </c>
      <c r="E201" t="s">
        <v>32</v>
      </c>
      <c r="F201" t="s">
        <v>33</v>
      </c>
      <c r="G201" t="str">
        <f>"2026-05-26 12:36:27.229"</f>
        <v>2026-05-26 12:36:27.229</v>
      </c>
      <c r="H201" t="s">
        <v>21</v>
      </c>
      <c r="I201">
        <v>0</v>
      </c>
      <c r="J201" t="s">
        <v>34</v>
      </c>
    </row>
    <row r="202" spans="1:10" x14ac:dyDescent="0.25">
      <c r="A202" s="1">
        <v>8</v>
      </c>
      <c r="B202" t="s">
        <v>23</v>
      </c>
      <c r="C202">
        <v>630</v>
      </c>
      <c r="D202">
        <v>5</v>
      </c>
      <c r="E202" t="s">
        <v>36</v>
      </c>
      <c r="F202" t="s">
        <v>37</v>
      </c>
      <c r="G202" t="str">
        <f>"2026-05-26 12:08:10.463"</f>
        <v>2026-05-26 12:08:10.463</v>
      </c>
      <c r="H202" t="s">
        <v>38</v>
      </c>
    </row>
    <row r="203" spans="1:10" x14ac:dyDescent="0.25">
      <c r="A203" s="1">
        <v>9</v>
      </c>
      <c r="B203" t="s">
        <v>39</v>
      </c>
      <c r="C203">
        <v>630</v>
      </c>
      <c r="D203">
        <v>5</v>
      </c>
      <c r="E203" t="s">
        <v>36</v>
      </c>
      <c r="F203" t="s">
        <v>37</v>
      </c>
      <c r="G203" t="str">
        <f>"2026-05-26 11:58:49.163"</f>
        <v>2026-05-26 11:58:49.163</v>
      </c>
      <c r="H203" t="s">
        <v>38</v>
      </c>
      <c r="I203">
        <v>0</v>
      </c>
      <c r="J203" t="s">
        <v>34</v>
      </c>
    </row>
    <row r="204" spans="1:10" x14ac:dyDescent="0.25">
      <c r="A204" s="1">
        <v>10</v>
      </c>
      <c r="B204" t="s">
        <v>19</v>
      </c>
      <c r="C204">
        <v>706</v>
      </c>
      <c r="D204">
        <v>4</v>
      </c>
      <c r="E204" t="s">
        <v>32</v>
      </c>
      <c r="F204" t="s">
        <v>33</v>
      </c>
      <c r="G204" t="str">
        <f>"2026-05-25 12:33:46.309"</f>
        <v>2026-05-25 12:33:46.309</v>
      </c>
      <c r="H204" t="s">
        <v>21</v>
      </c>
      <c r="I204">
        <v>0</v>
      </c>
      <c r="J204" t="s">
        <v>34</v>
      </c>
    </row>
    <row r="205" spans="1:10" x14ac:dyDescent="0.25">
      <c r="A205" s="1">
        <v>11</v>
      </c>
      <c r="B205" t="s">
        <v>23</v>
      </c>
      <c r="C205">
        <v>635</v>
      </c>
      <c r="D205">
        <v>1</v>
      </c>
      <c r="E205" t="s">
        <v>24</v>
      </c>
      <c r="F205" t="s">
        <v>25</v>
      </c>
      <c r="G205" t="str">
        <f>"2026-05-24 16:17:43.662"</f>
        <v>2026-05-24 16:17:43.662</v>
      </c>
      <c r="H205" t="s">
        <v>21</v>
      </c>
    </row>
    <row r="206" spans="1:10" x14ac:dyDescent="0.25">
      <c r="A206" s="1">
        <v>12</v>
      </c>
      <c r="B206" t="s">
        <v>26</v>
      </c>
      <c r="C206">
        <v>635</v>
      </c>
      <c r="D206">
        <v>1</v>
      </c>
      <c r="E206" t="s">
        <v>24</v>
      </c>
      <c r="F206" t="s">
        <v>25</v>
      </c>
      <c r="G206" t="str">
        <f>"2026-05-24 15:46:16.162"</f>
        <v>2026-05-24 15:46:16.162</v>
      </c>
      <c r="H206" t="s">
        <v>21</v>
      </c>
      <c r="I206">
        <v>9.99</v>
      </c>
      <c r="J206" t="s">
        <v>31</v>
      </c>
    </row>
    <row r="207" spans="1:10" x14ac:dyDescent="0.25">
      <c r="A207" s="1">
        <v>13</v>
      </c>
      <c r="B207" t="s">
        <v>19</v>
      </c>
      <c r="C207">
        <v>706</v>
      </c>
      <c r="D207">
        <v>4</v>
      </c>
      <c r="E207" t="s">
        <v>32</v>
      </c>
      <c r="F207" t="s">
        <v>33</v>
      </c>
      <c r="G207" t="str">
        <f>"2026-05-24 13:20:20.239"</f>
        <v>2026-05-24 13:20:20.239</v>
      </c>
      <c r="H207" t="s">
        <v>21</v>
      </c>
      <c r="I207">
        <v>0</v>
      </c>
      <c r="J207" t="s">
        <v>34</v>
      </c>
    </row>
    <row r="208" spans="1:10" x14ac:dyDescent="0.25">
      <c r="A208" s="1">
        <v>14</v>
      </c>
      <c r="B208" t="s">
        <v>23</v>
      </c>
      <c r="C208">
        <v>630</v>
      </c>
      <c r="D208">
        <v>5</v>
      </c>
      <c r="E208" t="s">
        <v>36</v>
      </c>
      <c r="F208" t="s">
        <v>37</v>
      </c>
      <c r="G208" t="str">
        <f>"2026-05-24 12:55:39.863"</f>
        <v>2026-05-24 12:55:39.863</v>
      </c>
      <c r="H208" t="s">
        <v>38</v>
      </c>
    </row>
    <row r="209" spans="1:10" x14ac:dyDescent="0.25">
      <c r="A209" s="1">
        <v>15</v>
      </c>
      <c r="B209" t="s">
        <v>39</v>
      </c>
      <c r="C209">
        <v>630</v>
      </c>
      <c r="D209">
        <v>5</v>
      </c>
      <c r="E209" t="s">
        <v>36</v>
      </c>
      <c r="F209" t="s">
        <v>37</v>
      </c>
      <c r="G209" t="str">
        <f>"2026-05-24 12:41:52.063"</f>
        <v>2026-05-24 12:41:52.063</v>
      </c>
      <c r="H209" t="s">
        <v>38</v>
      </c>
      <c r="I209">
        <v>0</v>
      </c>
      <c r="J209" t="s">
        <v>34</v>
      </c>
    </row>
    <row r="210" spans="1:10" x14ac:dyDescent="0.25">
      <c r="A210" s="1">
        <v>16</v>
      </c>
      <c r="B210" t="s">
        <v>19</v>
      </c>
      <c r="C210">
        <v>706</v>
      </c>
      <c r="D210">
        <v>2</v>
      </c>
      <c r="E210" t="s">
        <v>32</v>
      </c>
      <c r="F210" t="s">
        <v>35</v>
      </c>
      <c r="G210" t="str">
        <f>"2026-05-24 08:06:46.849"</f>
        <v>2026-05-24 08:06:46.849</v>
      </c>
      <c r="H210" t="s">
        <v>21</v>
      </c>
      <c r="I210">
        <v>0</v>
      </c>
      <c r="J210" t="s">
        <v>34</v>
      </c>
    </row>
    <row r="211" spans="1:10" x14ac:dyDescent="0.25">
      <c r="A211" s="1">
        <v>17</v>
      </c>
      <c r="B211" t="s">
        <v>19</v>
      </c>
      <c r="C211">
        <v>706</v>
      </c>
      <c r="D211">
        <v>4</v>
      </c>
      <c r="E211" t="s">
        <v>32</v>
      </c>
      <c r="F211" t="s">
        <v>33</v>
      </c>
      <c r="G211" t="str">
        <f>"2026-05-24 07:49:18.209"</f>
        <v>2026-05-24 07:49:18.209</v>
      </c>
      <c r="H211" t="s">
        <v>21</v>
      </c>
      <c r="I211">
        <v>0</v>
      </c>
      <c r="J211" t="s">
        <v>34</v>
      </c>
    </row>
    <row r="212" spans="1:10" x14ac:dyDescent="0.25">
      <c r="A212" s="1">
        <v>18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"2026-05-24 07:38:40.059"</f>
        <v>2026-05-24 07:38:40.059</v>
      </c>
      <c r="H212" t="s">
        <v>21</v>
      </c>
    </row>
    <row r="213" spans="1:10" x14ac:dyDescent="0.25">
      <c r="A213" s="1">
        <v>19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"2026-05-24 07:27:35.229"</f>
        <v>2026-05-24 07:27:35.229</v>
      </c>
      <c r="H213" t="s">
        <v>21</v>
      </c>
    </row>
    <row r="214" spans="1:10" x14ac:dyDescent="0.25">
      <c r="A214" s="1">
        <v>20</v>
      </c>
      <c r="B214" t="s">
        <v>19</v>
      </c>
      <c r="C214">
        <v>706</v>
      </c>
      <c r="D214">
        <v>4</v>
      </c>
      <c r="E214" t="s">
        <v>32</v>
      </c>
      <c r="F214" t="s">
        <v>33</v>
      </c>
      <c r="G214" t="str">
        <f>"2026-05-24 06:27:28.479"</f>
        <v>2026-05-24 06:27:28.479</v>
      </c>
      <c r="H214" t="s">
        <v>21</v>
      </c>
      <c r="I214">
        <v>0</v>
      </c>
      <c r="J214" t="s">
        <v>34</v>
      </c>
    </row>
    <row r="215" spans="1:10" x14ac:dyDescent="0.25">
      <c r="A215" s="1">
        <v>21</v>
      </c>
      <c r="B215" t="s">
        <v>23</v>
      </c>
      <c r="C215">
        <v>635</v>
      </c>
      <c r="D215">
        <v>1</v>
      </c>
      <c r="E215" t="s">
        <v>24</v>
      </c>
      <c r="F215" t="s">
        <v>25</v>
      </c>
      <c r="G215" t="str">
        <f>"2026-05-23 22:50:13.858"</f>
        <v>2026-05-23 22:50:13.858</v>
      </c>
      <c r="H215" t="s">
        <v>21</v>
      </c>
    </row>
    <row r="216" spans="1:10" x14ac:dyDescent="0.25">
      <c r="A216" s="1">
        <v>22</v>
      </c>
      <c r="B216" t="s">
        <v>26</v>
      </c>
      <c r="C216">
        <v>635</v>
      </c>
      <c r="D216">
        <v>1</v>
      </c>
      <c r="E216" t="s">
        <v>24</v>
      </c>
      <c r="F216" t="s">
        <v>25</v>
      </c>
      <c r="G216" t="str">
        <f>"2026-05-23 22:47:38.358"</f>
        <v>2026-05-23 22:47:38.358</v>
      </c>
      <c r="H216" t="s">
        <v>21</v>
      </c>
      <c r="I216">
        <v>0.44</v>
      </c>
      <c r="J216" t="s">
        <v>31</v>
      </c>
    </row>
    <row r="217" spans="1:10" x14ac:dyDescent="0.25">
      <c r="A217" s="1">
        <v>23</v>
      </c>
      <c r="B217" t="s">
        <v>23</v>
      </c>
      <c r="C217">
        <v>635</v>
      </c>
      <c r="D217">
        <v>1</v>
      </c>
      <c r="E217" t="s">
        <v>24</v>
      </c>
      <c r="F217" t="s">
        <v>25</v>
      </c>
      <c r="G217" t="str">
        <f>"2026-05-23 22:13:00.858"</f>
        <v>2026-05-23 22:13:00.858</v>
      </c>
      <c r="H217" t="s">
        <v>21</v>
      </c>
    </row>
    <row r="218" spans="1:10" x14ac:dyDescent="0.25">
      <c r="A218" s="1">
        <v>24</v>
      </c>
      <c r="B218" t="s">
        <v>26</v>
      </c>
      <c r="C218">
        <v>635</v>
      </c>
      <c r="D218">
        <v>1</v>
      </c>
      <c r="E218" t="s">
        <v>24</v>
      </c>
      <c r="F218" t="s">
        <v>25</v>
      </c>
      <c r="G218" t="str">
        <f>"2026-05-23 22:12:15.858"</f>
        <v>2026-05-23 22:12:15.858</v>
      </c>
      <c r="H218" t="s">
        <v>21</v>
      </c>
      <c r="I218">
        <v>8</v>
      </c>
      <c r="J218" t="s">
        <v>27</v>
      </c>
    </row>
    <row r="219" spans="1:10" s="3" customFormat="1" x14ac:dyDescent="0.25">
      <c r="A219" s="2">
        <v>25</v>
      </c>
      <c r="B219" s="3" t="s">
        <v>23</v>
      </c>
      <c r="C219" s="3">
        <v>647</v>
      </c>
      <c r="D219" s="3">
        <v>1</v>
      </c>
      <c r="E219" s="3" t="s">
        <v>29</v>
      </c>
      <c r="F219" s="3" t="s">
        <v>30</v>
      </c>
      <c r="G219" s="3" t="str">
        <f>"2026-05-23 16:19:38.306"</f>
        <v>2026-05-23 16:19:38.306</v>
      </c>
      <c r="H219" s="3" t="s">
        <v>21</v>
      </c>
    </row>
    <row r="220" spans="1:10" s="3" customFormat="1" x14ac:dyDescent="0.25">
      <c r="A220" s="2">
        <v>26</v>
      </c>
      <c r="B220" s="3" t="s">
        <v>26</v>
      </c>
      <c r="C220" s="3">
        <v>647</v>
      </c>
      <c r="D220" s="3">
        <v>1</v>
      </c>
      <c r="E220" s="3" t="s">
        <v>29</v>
      </c>
      <c r="F220" s="3" t="s">
        <v>30</v>
      </c>
      <c r="G220" s="3" t="str">
        <f>"2026-05-23 16:19:36.207"</f>
        <v>2026-05-23 16:19:36.207</v>
      </c>
      <c r="H220" s="3" t="s">
        <v>21</v>
      </c>
      <c r="I220" s="3">
        <v>20.100000000000001</v>
      </c>
      <c r="J220" s="3" t="s">
        <v>31</v>
      </c>
    </row>
    <row r="221" spans="1:10" x14ac:dyDescent="0.25">
      <c r="A221" s="1">
        <v>27</v>
      </c>
      <c r="B221" t="s">
        <v>23</v>
      </c>
      <c r="C221">
        <v>630</v>
      </c>
      <c r="D221">
        <v>5</v>
      </c>
      <c r="E221" t="s">
        <v>36</v>
      </c>
      <c r="F221" t="s">
        <v>37</v>
      </c>
      <c r="G221" t="str">
        <f>"2026-05-23 13:30:25.806"</f>
        <v>2026-05-23 13:30:25.806</v>
      </c>
      <c r="H221" t="s">
        <v>38</v>
      </c>
    </row>
    <row r="222" spans="1:10" x14ac:dyDescent="0.25">
      <c r="A222" s="1">
        <v>28</v>
      </c>
      <c r="B222" t="s">
        <v>19</v>
      </c>
      <c r="C222">
        <v>706</v>
      </c>
      <c r="D222">
        <v>2</v>
      </c>
      <c r="E222" t="s">
        <v>32</v>
      </c>
      <c r="F222" t="s">
        <v>35</v>
      </c>
      <c r="G222" t="str">
        <f>"2026-05-23 13:29:55.629"</f>
        <v>2026-05-23 13:29:55.629</v>
      </c>
      <c r="H222" t="s">
        <v>21</v>
      </c>
      <c r="I222">
        <v>0</v>
      </c>
      <c r="J222" t="s">
        <v>34</v>
      </c>
    </row>
    <row r="223" spans="1:10" x14ac:dyDescent="0.25">
      <c r="A223" s="1">
        <v>29</v>
      </c>
      <c r="B223" t="s">
        <v>39</v>
      </c>
      <c r="C223">
        <v>630</v>
      </c>
      <c r="D223">
        <v>5</v>
      </c>
      <c r="E223" t="s">
        <v>36</v>
      </c>
      <c r="F223" t="s">
        <v>37</v>
      </c>
      <c r="G223" t="str">
        <f>"2026-05-23 12:40:13.007"</f>
        <v>2026-05-23 12:40:13.007</v>
      </c>
      <c r="H223" t="s">
        <v>38</v>
      </c>
      <c r="I223">
        <v>0</v>
      </c>
      <c r="J223" t="s">
        <v>34</v>
      </c>
    </row>
    <row r="224" spans="1:10" x14ac:dyDescent="0.25">
      <c r="A224" s="1">
        <v>30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"2026-05-21 20:52:56.039"</f>
        <v>2026-05-21 20:52:56.039</v>
      </c>
      <c r="H224" t="s">
        <v>21</v>
      </c>
      <c r="I224">
        <v>0</v>
      </c>
      <c r="J224" t="s">
        <v>22</v>
      </c>
    </row>
    <row r="225" spans="1:10" x14ac:dyDescent="0.25">
      <c r="A225" s="1">
        <v>31</v>
      </c>
      <c r="B225" t="s">
        <v>19</v>
      </c>
      <c r="C225">
        <v>706</v>
      </c>
      <c r="D225">
        <v>4</v>
      </c>
      <c r="E225" t="s">
        <v>32</v>
      </c>
      <c r="F225" t="s">
        <v>33</v>
      </c>
      <c r="G225" t="str">
        <f>"2026-05-21 19:12:00.843"</f>
        <v>2026-05-21 19:12:00.843</v>
      </c>
      <c r="H225" t="s">
        <v>21</v>
      </c>
      <c r="I225">
        <v>0</v>
      </c>
      <c r="J225" t="s">
        <v>34</v>
      </c>
    </row>
    <row r="226" spans="1:10" x14ac:dyDescent="0.25">
      <c r="A226" s="1">
        <v>32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"2026-05-21 19:06:17.073"</f>
        <v>2026-05-21 19:06:17.073</v>
      </c>
      <c r="H226" t="s">
        <v>21</v>
      </c>
      <c r="I226">
        <v>0</v>
      </c>
      <c r="J226" t="s">
        <v>22</v>
      </c>
    </row>
    <row r="227" spans="1:10" x14ac:dyDescent="0.25">
      <c r="A227" s="1">
        <v>33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"2026-05-21 18:00:27.148"</f>
        <v>2026-05-21 18:00:27.148</v>
      </c>
      <c r="H227" t="s">
        <v>21</v>
      </c>
    </row>
    <row r="228" spans="1:10" x14ac:dyDescent="0.25">
      <c r="A228" s="1">
        <v>34</v>
      </c>
      <c r="B228" t="s">
        <v>19</v>
      </c>
      <c r="C228">
        <v>706</v>
      </c>
      <c r="D228">
        <v>4</v>
      </c>
      <c r="E228" t="s">
        <v>32</v>
      </c>
      <c r="F228" t="s">
        <v>33</v>
      </c>
      <c r="G228" t="str">
        <f>"2026-05-21 13:40:13.238"</f>
        <v>2026-05-21 13:40:13.238</v>
      </c>
      <c r="H228" t="s">
        <v>21</v>
      </c>
      <c r="I228">
        <v>0</v>
      </c>
      <c r="J228" t="s">
        <v>34</v>
      </c>
    </row>
    <row r="229" spans="1:10" x14ac:dyDescent="0.25">
      <c r="A229" s="1">
        <v>35</v>
      </c>
      <c r="B229" t="s">
        <v>23</v>
      </c>
      <c r="C229">
        <v>635</v>
      </c>
      <c r="D229">
        <v>1</v>
      </c>
      <c r="E229" t="s">
        <v>24</v>
      </c>
      <c r="F229" t="s">
        <v>25</v>
      </c>
      <c r="G229" t="str">
        <f>"2026-05-20 18:18:04.300"</f>
        <v>2026-05-20 18:18:04.300</v>
      </c>
      <c r="H229" t="s">
        <v>21</v>
      </c>
    </row>
    <row r="230" spans="1:10" x14ac:dyDescent="0.25">
      <c r="A230" s="1">
        <v>36</v>
      </c>
      <c r="B230" t="s">
        <v>26</v>
      </c>
      <c r="C230">
        <v>635</v>
      </c>
      <c r="D230">
        <v>1</v>
      </c>
      <c r="E230" t="s">
        <v>24</v>
      </c>
      <c r="F230" t="s">
        <v>25</v>
      </c>
      <c r="G230" t="str">
        <f>"2026-05-20 17:53:32.800"</f>
        <v>2026-05-20 17:53:32.800</v>
      </c>
      <c r="H230" t="s">
        <v>21</v>
      </c>
      <c r="I230">
        <v>7.13</v>
      </c>
      <c r="J230" t="s">
        <v>27</v>
      </c>
    </row>
    <row r="231" spans="1:10" x14ac:dyDescent="0.25">
      <c r="A231" s="1">
        <v>37</v>
      </c>
      <c r="B231" t="s">
        <v>19</v>
      </c>
      <c r="C231">
        <v>706</v>
      </c>
      <c r="D231">
        <v>4</v>
      </c>
      <c r="E231" t="s">
        <v>32</v>
      </c>
      <c r="F231" t="s">
        <v>33</v>
      </c>
      <c r="G231" t="str">
        <f>"2026-05-20 08:39:55.088"</f>
        <v>2026-05-20 08:39:55.088</v>
      </c>
      <c r="H231" t="s">
        <v>21</v>
      </c>
      <c r="I231">
        <v>0</v>
      </c>
      <c r="J231" t="s">
        <v>34</v>
      </c>
    </row>
    <row r="232" spans="1:10" x14ac:dyDescent="0.25">
      <c r="A232" s="1">
        <v>38</v>
      </c>
      <c r="B232" t="s">
        <v>19</v>
      </c>
      <c r="C232">
        <v>706</v>
      </c>
      <c r="D232">
        <v>3</v>
      </c>
      <c r="E232" t="s">
        <v>32</v>
      </c>
      <c r="F232" t="s">
        <v>40</v>
      </c>
      <c r="G232" t="str">
        <f>"2026-05-20 08:32:05.268"</f>
        <v>2026-05-20 08:32:05.268</v>
      </c>
      <c r="H232" t="s">
        <v>21</v>
      </c>
      <c r="I232">
        <v>0</v>
      </c>
      <c r="J232" t="s">
        <v>34</v>
      </c>
    </row>
    <row r="233" spans="1:10" x14ac:dyDescent="0.25">
      <c r="A233" s="1">
        <v>39</v>
      </c>
      <c r="B233" t="s">
        <v>23</v>
      </c>
      <c r="C233">
        <v>61</v>
      </c>
      <c r="D233">
        <v>2</v>
      </c>
      <c r="E233" t="s">
        <v>41</v>
      </c>
      <c r="F233" t="s">
        <v>42</v>
      </c>
      <c r="G233" t="str">
        <f>"2026-05-18 19:08:06.593"</f>
        <v>2026-05-18 19:08:06.593</v>
      </c>
      <c r="H233" t="s">
        <v>21</v>
      </c>
    </row>
    <row r="234" spans="1:10" x14ac:dyDescent="0.25">
      <c r="A234" s="1">
        <v>40</v>
      </c>
      <c r="B234" t="s">
        <v>39</v>
      </c>
      <c r="C234">
        <v>61</v>
      </c>
      <c r="D234">
        <v>2</v>
      </c>
      <c r="E234" t="s">
        <v>41</v>
      </c>
      <c r="F234" t="s">
        <v>42</v>
      </c>
      <c r="G234" t="str">
        <f>"2026-05-18 19:07:47.093"</f>
        <v>2026-05-18 19:07:47.093</v>
      </c>
      <c r="H234" t="s">
        <v>21</v>
      </c>
      <c r="I234">
        <v>37.69</v>
      </c>
      <c r="J234" t="s">
        <v>31</v>
      </c>
    </row>
    <row r="235" spans="1:10" x14ac:dyDescent="0.25">
      <c r="A235" s="1">
        <v>41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"2026-05-18 12:21:31.988"</f>
        <v>2026-05-18 12:21:31.988</v>
      </c>
      <c r="H235" t="s">
        <v>21</v>
      </c>
    </row>
    <row r="236" spans="1:10" s="3" customFormat="1" x14ac:dyDescent="0.25">
      <c r="A236" s="2">
        <v>42</v>
      </c>
      <c r="B236" s="3" t="s">
        <v>23</v>
      </c>
      <c r="C236" s="3">
        <v>647</v>
      </c>
      <c r="D236" s="3">
        <v>1</v>
      </c>
      <c r="E236" s="3" t="s">
        <v>29</v>
      </c>
      <c r="F236" s="3" t="s">
        <v>30</v>
      </c>
      <c r="G236" s="3" t="str">
        <f>"2026-05-18 03:02:11.677"</f>
        <v>2026-05-18 03:02:11.677</v>
      </c>
      <c r="H236" s="3" t="s">
        <v>21</v>
      </c>
    </row>
    <row r="237" spans="1:10" s="3" customFormat="1" x14ac:dyDescent="0.25">
      <c r="A237" s="2">
        <v>43</v>
      </c>
      <c r="B237" s="3" t="s">
        <v>26</v>
      </c>
      <c r="C237" s="3">
        <v>647</v>
      </c>
      <c r="D237" s="3">
        <v>1</v>
      </c>
      <c r="E237" s="3" t="s">
        <v>29</v>
      </c>
      <c r="F237" s="3" t="s">
        <v>30</v>
      </c>
      <c r="G237" s="3" t="str">
        <f>"2026-05-18 03:02:08.977"</f>
        <v>2026-05-18 03:02:08.977</v>
      </c>
      <c r="H237" s="3" t="s">
        <v>21</v>
      </c>
      <c r="I237" s="3">
        <v>23.44</v>
      </c>
      <c r="J237" s="3" t="s">
        <v>31</v>
      </c>
    </row>
    <row r="238" spans="1:10" s="3" customFormat="1" x14ac:dyDescent="0.25">
      <c r="A238" s="2">
        <v>44</v>
      </c>
      <c r="B238" s="3" t="s">
        <v>23</v>
      </c>
      <c r="C238" s="3">
        <v>647</v>
      </c>
      <c r="D238" s="3">
        <v>1</v>
      </c>
      <c r="E238" s="3" t="s">
        <v>29</v>
      </c>
      <c r="F238" s="3" t="s">
        <v>30</v>
      </c>
      <c r="G238" s="3" t="str">
        <f>"2026-05-16 00:01:02.677"</f>
        <v>2026-05-16 00:01:02.677</v>
      </c>
      <c r="H238" s="3" t="s">
        <v>21</v>
      </c>
    </row>
    <row r="239" spans="1:10" s="3" customFormat="1" x14ac:dyDescent="0.25">
      <c r="A239" s="2">
        <v>45</v>
      </c>
      <c r="B239" s="3" t="s">
        <v>26</v>
      </c>
      <c r="C239" s="3">
        <v>647</v>
      </c>
      <c r="D239" s="3">
        <v>1</v>
      </c>
      <c r="E239" s="3" t="s">
        <v>29</v>
      </c>
      <c r="F239" s="3" t="s">
        <v>30</v>
      </c>
      <c r="G239" s="3" t="str">
        <f>"2026-05-16 00:00:59.377"</f>
        <v>2026-05-16 00:00:59.377</v>
      </c>
      <c r="H239" s="3" t="s">
        <v>21</v>
      </c>
      <c r="I239" s="3">
        <v>13.06</v>
      </c>
      <c r="J239" s="3" t="s">
        <v>31</v>
      </c>
    </row>
    <row r="240" spans="1:10" x14ac:dyDescent="0.25">
      <c r="A240" s="1">
        <v>46</v>
      </c>
      <c r="B240" t="s">
        <v>23</v>
      </c>
      <c r="C240">
        <v>635</v>
      </c>
      <c r="D240">
        <v>1</v>
      </c>
      <c r="E240" t="s">
        <v>24</v>
      </c>
      <c r="F240" t="s">
        <v>25</v>
      </c>
      <c r="G240" t="str">
        <f>"2026-05-15 04:25:00.577"</f>
        <v>2026-05-15 04:25:00.577</v>
      </c>
      <c r="H240" t="s">
        <v>21</v>
      </c>
    </row>
    <row r="241" spans="1:10" x14ac:dyDescent="0.25">
      <c r="A241" s="1">
        <v>47</v>
      </c>
      <c r="B241" t="s">
        <v>26</v>
      </c>
      <c r="C241">
        <v>635</v>
      </c>
      <c r="D241">
        <v>1</v>
      </c>
      <c r="E241" t="s">
        <v>24</v>
      </c>
      <c r="F241" t="s">
        <v>25</v>
      </c>
      <c r="G241" t="str">
        <f>"2026-05-15 04:21:30.577"</f>
        <v>2026-05-15 04:21:30.577</v>
      </c>
      <c r="H241" t="s">
        <v>21</v>
      </c>
      <c r="I241">
        <v>8.69</v>
      </c>
      <c r="J241" t="s">
        <v>27</v>
      </c>
    </row>
    <row r="242" spans="1:10" s="3" customFormat="1" x14ac:dyDescent="0.25">
      <c r="A242" s="2">
        <v>48</v>
      </c>
      <c r="B242" s="3" t="s">
        <v>23</v>
      </c>
      <c r="C242" s="3">
        <v>647</v>
      </c>
      <c r="D242" s="3">
        <v>1</v>
      </c>
      <c r="E242" s="3" t="s">
        <v>29</v>
      </c>
      <c r="F242" s="3" t="s">
        <v>30</v>
      </c>
      <c r="G242" s="3" t="str">
        <f>"2026-05-14 17:37:05.877"</f>
        <v>2026-05-14 17:37:05.877</v>
      </c>
      <c r="H242" s="3" t="s">
        <v>21</v>
      </c>
    </row>
    <row r="243" spans="1:10" s="3" customFormat="1" x14ac:dyDescent="0.25">
      <c r="A243" s="2">
        <v>49</v>
      </c>
      <c r="B243" s="3" t="s">
        <v>26</v>
      </c>
      <c r="C243" s="3">
        <v>647</v>
      </c>
      <c r="D243" s="3">
        <v>1</v>
      </c>
      <c r="E243" s="3" t="s">
        <v>29</v>
      </c>
      <c r="F243" s="3" t="s">
        <v>30</v>
      </c>
      <c r="G243" s="3" t="str">
        <f>"2026-05-14 17:37:03.577"</f>
        <v>2026-05-14 17:37:03.577</v>
      </c>
      <c r="H243" s="3" t="s">
        <v>21</v>
      </c>
      <c r="I243" s="3">
        <v>12.12</v>
      </c>
      <c r="J243" s="3" t="s">
        <v>31</v>
      </c>
    </row>
    <row r="244" spans="1:10" s="3" customFormat="1" x14ac:dyDescent="0.25">
      <c r="A244" s="2">
        <v>50</v>
      </c>
      <c r="B244" s="3" t="s">
        <v>23</v>
      </c>
      <c r="C244" s="3">
        <v>647</v>
      </c>
      <c r="D244" s="3">
        <v>1</v>
      </c>
      <c r="E244" s="3" t="s">
        <v>29</v>
      </c>
      <c r="F244" s="3" t="s">
        <v>30</v>
      </c>
      <c r="G244" s="3" t="str">
        <f>"2026-05-14 00:18:35.977"</f>
        <v>2026-05-14 00:18:35.977</v>
      </c>
      <c r="H244" s="3" t="s">
        <v>21</v>
      </c>
    </row>
    <row r="245" spans="1:10" s="3" customFormat="1" x14ac:dyDescent="0.25">
      <c r="A245" s="2">
        <v>51</v>
      </c>
      <c r="B245" s="3" t="s">
        <v>26</v>
      </c>
      <c r="C245" s="3">
        <v>647</v>
      </c>
      <c r="D245" s="3">
        <v>1</v>
      </c>
      <c r="E245" s="3" t="s">
        <v>29</v>
      </c>
      <c r="F245" s="3" t="s">
        <v>30</v>
      </c>
      <c r="G245" s="3" t="str">
        <f>"2026-05-14 00:18:33.478"</f>
        <v>2026-05-14 00:18:33.478</v>
      </c>
      <c r="H245" s="3" t="s">
        <v>21</v>
      </c>
      <c r="I245" s="3">
        <v>19.940000000000001</v>
      </c>
      <c r="J245" s="3" t="s">
        <v>31</v>
      </c>
    </row>
    <row r="246" spans="1:10" x14ac:dyDescent="0.25">
      <c r="A246" s="1">
        <v>52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"2026-05-13 14:08:19.975"</f>
        <v>2026-05-13 14:08:19.975</v>
      </c>
      <c r="H246" t="s">
        <v>21</v>
      </c>
      <c r="I246">
        <v>0</v>
      </c>
      <c r="J246" t="s">
        <v>22</v>
      </c>
    </row>
    <row r="247" spans="1:10" x14ac:dyDescent="0.25">
      <c r="A247" s="1">
        <v>53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"2026-05-12 22:16:56.985"</f>
        <v>2026-05-12 22:16:56.985</v>
      </c>
      <c r="H247" t="s">
        <v>21</v>
      </c>
    </row>
    <row r="248" spans="1:10" x14ac:dyDescent="0.25">
      <c r="A248" s="1">
        <v>54</v>
      </c>
      <c r="B248" t="s">
        <v>19</v>
      </c>
      <c r="C248">
        <v>706</v>
      </c>
      <c r="D248">
        <v>2</v>
      </c>
      <c r="E248" t="s">
        <v>32</v>
      </c>
      <c r="F248" t="s">
        <v>35</v>
      </c>
      <c r="G248" t="str">
        <f>"2026-05-12 22:11:08.483"</f>
        <v>2026-05-12 22:11:08.483</v>
      </c>
      <c r="H248" t="s">
        <v>21</v>
      </c>
      <c r="I248">
        <v>0</v>
      </c>
      <c r="J248" t="s">
        <v>34</v>
      </c>
    </row>
    <row r="249" spans="1:10" x14ac:dyDescent="0.25">
      <c r="A249" s="1">
        <v>55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"2026-05-12 22:10:54.153"</f>
        <v>2026-05-12 22:10:54.153</v>
      </c>
      <c r="H249" t="s">
        <v>21</v>
      </c>
      <c r="I249">
        <v>0</v>
      </c>
      <c r="J249" t="s">
        <v>22</v>
      </c>
    </row>
    <row r="250" spans="1:10" x14ac:dyDescent="0.25">
      <c r="A250" s="1">
        <v>56</v>
      </c>
      <c r="B250" t="s">
        <v>19</v>
      </c>
      <c r="C250">
        <v>706</v>
      </c>
      <c r="D250">
        <v>2</v>
      </c>
      <c r="E250" t="s">
        <v>32</v>
      </c>
      <c r="F250" t="s">
        <v>35</v>
      </c>
      <c r="G250" t="str">
        <f>"2026-05-12 21:53:30.162"</f>
        <v>2026-05-12 21:53:30.162</v>
      </c>
      <c r="H250" t="s">
        <v>21</v>
      </c>
      <c r="I250">
        <v>0</v>
      </c>
      <c r="J250" t="s">
        <v>34</v>
      </c>
    </row>
    <row r="251" spans="1:10" x14ac:dyDescent="0.25">
      <c r="A251" s="1">
        <v>57</v>
      </c>
      <c r="B251" t="s">
        <v>19</v>
      </c>
      <c r="C251">
        <v>706</v>
      </c>
      <c r="D251">
        <v>2</v>
      </c>
      <c r="E251" t="s">
        <v>32</v>
      </c>
      <c r="F251" t="s">
        <v>35</v>
      </c>
      <c r="G251" t="str">
        <f>"2026-05-12 20:46:48.262"</f>
        <v>2026-05-12 20:46:48.262</v>
      </c>
      <c r="H251" t="s">
        <v>21</v>
      </c>
      <c r="I251">
        <v>0</v>
      </c>
      <c r="J251" t="s">
        <v>34</v>
      </c>
    </row>
    <row r="252" spans="1:10" x14ac:dyDescent="0.25">
      <c r="A252" s="1">
        <v>58</v>
      </c>
      <c r="B252" t="s">
        <v>19</v>
      </c>
      <c r="C252">
        <v>706</v>
      </c>
      <c r="D252">
        <v>4</v>
      </c>
      <c r="E252" t="s">
        <v>32</v>
      </c>
      <c r="F252" t="s">
        <v>33</v>
      </c>
      <c r="G252" t="str">
        <f>"2026-05-12 20:10:01.652"</f>
        <v>2026-05-12 20:10:01.652</v>
      </c>
      <c r="H252" t="s">
        <v>21</v>
      </c>
      <c r="I252">
        <v>0</v>
      </c>
      <c r="J252" t="s">
        <v>34</v>
      </c>
    </row>
    <row r="253" spans="1:10" x14ac:dyDescent="0.25">
      <c r="A253" s="1">
        <v>59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"2026-05-12 20:06:24.962"</f>
        <v>2026-05-12 20:06:24.962</v>
      </c>
      <c r="H253" t="s">
        <v>21</v>
      </c>
    </row>
    <row r="254" spans="1:10" x14ac:dyDescent="0.25">
      <c r="A254" s="1">
        <v>60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"2026-05-12 18:49:42.988"</f>
        <v>2026-05-12 18:49:42.988</v>
      </c>
      <c r="H254" t="s">
        <v>21</v>
      </c>
      <c r="I254">
        <v>0</v>
      </c>
      <c r="J254" t="s">
        <v>22</v>
      </c>
    </row>
    <row r="255" spans="1:10" x14ac:dyDescent="0.25">
      <c r="A255" s="1">
        <v>61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"2026-05-12 13:22:23.989"</f>
        <v>2026-05-12 13:22:23.989</v>
      </c>
      <c r="H255" t="s">
        <v>21</v>
      </c>
      <c r="I255">
        <v>0</v>
      </c>
      <c r="J255" t="s">
        <v>22</v>
      </c>
    </row>
    <row r="256" spans="1:10" x14ac:dyDescent="0.25">
      <c r="A256" s="1">
        <v>62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"2026-05-11 12:48:37.181"</f>
        <v>2026-05-11 12:48:37.181</v>
      </c>
      <c r="H256" t="s">
        <v>21</v>
      </c>
      <c r="I256">
        <v>0</v>
      </c>
      <c r="J256" t="s">
        <v>22</v>
      </c>
    </row>
    <row r="257" spans="1:10" x14ac:dyDescent="0.25">
      <c r="A257" s="1">
        <v>63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"2026-05-10 16:44:16.063"</f>
        <v>2026-05-10 16:44:16.063</v>
      </c>
      <c r="H257" t="s">
        <v>21</v>
      </c>
    </row>
    <row r="258" spans="1:10" x14ac:dyDescent="0.25">
      <c r="A258" s="1">
        <v>64</v>
      </c>
      <c r="B258" t="s">
        <v>19</v>
      </c>
      <c r="C258">
        <v>706</v>
      </c>
      <c r="D258">
        <v>4</v>
      </c>
      <c r="E258" t="s">
        <v>32</v>
      </c>
      <c r="F258" t="s">
        <v>33</v>
      </c>
      <c r="G258" t="str">
        <f>"2026-05-10 15:49:48.525"</f>
        <v>2026-05-10 15:49:48.525</v>
      </c>
      <c r="H258" t="s">
        <v>21</v>
      </c>
      <c r="I258">
        <v>0</v>
      </c>
      <c r="J258" t="s">
        <v>34</v>
      </c>
    </row>
    <row r="259" spans="1:10" x14ac:dyDescent="0.25">
      <c r="A259" s="1">
        <v>65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"2026-05-10 15:30:30.275"</f>
        <v>2026-05-10 15:30:30.275</v>
      </c>
      <c r="H259" t="s">
        <v>21</v>
      </c>
      <c r="I259">
        <v>0</v>
      </c>
      <c r="J259" t="s">
        <v>22</v>
      </c>
    </row>
    <row r="260" spans="1:10" x14ac:dyDescent="0.25">
      <c r="A260" s="1">
        <v>66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"2026-05-10 13:43:21.965"</f>
        <v>2026-05-10 13:43:21.965</v>
      </c>
      <c r="H260" t="s">
        <v>21</v>
      </c>
    </row>
    <row r="261" spans="1:10" x14ac:dyDescent="0.25">
      <c r="A261" s="1">
        <v>67</v>
      </c>
      <c r="B261" t="s">
        <v>23</v>
      </c>
      <c r="C261">
        <v>635</v>
      </c>
      <c r="D261">
        <v>1</v>
      </c>
      <c r="E261" t="s">
        <v>24</v>
      </c>
      <c r="F261" t="s">
        <v>25</v>
      </c>
      <c r="G261" t="str">
        <f>"2026-05-09 23:41:07.029"</f>
        <v>2026-05-09 23:41:07.029</v>
      </c>
      <c r="H261" t="s">
        <v>21</v>
      </c>
    </row>
    <row r="262" spans="1:10" x14ac:dyDescent="0.25">
      <c r="A262" s="1">
        <v>68</v>
      </c>
      <c r="B262" t="s">
        <v>26</v>
      </c>
      <c r="C262">
        <v>635</v>
      </c>
      <c r="D262">
        <v>1</v>
      </c>
      <c r="E262" t="s">
        <v>24</v>
      </c>
      <c r="F262" t="s">
        <v>25</v>
      </c>
      <c r="G262" t="str">
        <f>"2026-05-09 23:18:09.529"</f>
        <v>2026-05-09 23:18:09.529</v>
      </c>
      <c r="H262" t="s">
        <v>21</v>
      </c>
      <c r="I262">
        <v>8.3000000000000007</v>
      </c>
      <c r="J262" t="s">
        <v>27</v>
      </c>
    </row>
    <row r="263" spans="1:10" s="3" customFormat="1" x14ac:dyDescent="0.25">
      <c r="A263" s="2">
        <v>69</v>
      </c>
      <c r="B263" s="3" t="s">
        <v>23</v>
      </c>
      <c r="C263" s="3">
        <v>647</v>
      </c>
      <c r="D263" s="3">
        <v>1</v>
      </c>
      <c r="E263" s="3" t="s">
        <v>29</v>
      </c>
      <c r="F263" s="3" t="s">
        <v>30</v>
      </c>
      <c r="G263" s="3" t="str">
        <f>"2026-05-09 05:12:03.929"</f>
        <v>2026-05-09 05:12:03.929</v>
      </c>
      <c r="H263" s="3" t="s">
        <v>21</v>
      </c>
    </row>
    <row r="264" spans="1:10" s="3" customFormat="1" x14ac:dyDescent="0.25">
      <c r="A264" s="2">
        <v>70</v>
      </c>
      <c r="B264" s="3" t="s">
        <v>26</v>
      </c>
      <c r="C264" s="3">
        <v>647</v>
      </c>
      <c r="D264" s="3">
        <v>1</v>
      </c>
      <c r="E264" s="3" t="s">
        <v>29</v>
      </c>
      <c r="F264" s="3" t="s">
        <v>30</v>
      </c>
      <c r="G264" s="3" t="str">
        <f>"2026-05-09 05:12:02.230"</f>
        <v>2026-05-09 05:12:02.230</v>
      </c>
      <c r="H264" s="3" t="s">
        <v>21</v>
      </c>
      <c r="I264" s="3">
        <v>16.64</v>
      </c>
      <c r="J264" s="3" t="s">
        <v>31</v>
      </c>
    </row>
    <row r="265" spans="1:10" x14ac:dyDescent="0.25">
      <c r="A265" s="1">
        <v>71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"2026-05-08 13:23:27.227"</f>
        <v>2026-05-08 13:23:27.227</v>
      </c>
      <c r="H265" t="s">
        <v>21</v>
      </c>
      <c r="I265">
        <v>0</v>
      </c>
      <c r="J265" t="s">
        <v>22</v>
      </c>
    </row>
    <row r="266" spans="1:10" x14ac:dyDescent="0.25">
      <c r="A266" s="1">
        <v>72</v>
      </c>
      <c r="B266" t="s">
        <v>23</v>
      </c>
      <c r="C266">
        <v>635</v>
      </c>
      <c r="D266">
        <v>1</v>
      </c>
      <c r="E266" t="s">
        <v>24</v>
      </c>
      <c r="F266" t="s">
        <v>25</v>
      </c>
      <c r="G266" t="str">
        <f>"2026-05-06 23:50:10.788"</f>
        <v>2026-05-06 23:50:10.788</v>
      </c>
      <c r="H266" t="s">
        <v>21</v>
      </c>
    </row>
    <row r="267" spans="1:10" x14ac:dyDescent="0.25">
      <c r="A267" s="1">
        <v>73</v>
      </c>
      <c r="B267" t="s">
        <v>26</v>
      </c>
      <c r="C267">
        <v>635</v>
      </c>
      <c r="D267">
        <v>1</v>
      </c>
      <c r="E267" t="s">
        <v>24</v>
      </c>
      <c r="F267" t="s">
        <v>25</v>
      </c>
      <c r="G267" t="str">
        <f>"2026-05-06 23:19:08.788"</f>
        <v>2026-05-06 23:19:08.788</v>
      </c>
      <c r="H267" t="s">
        <v>21</v>
      </c>
      <c r="I267">
        <v>9.89</v>
      </c>
      <c r="J267" t="s">
        <v>31</v>
      </c>
    </row>
    <row r="268" spans="1:10" x14ac:dyDescent="0.25">
      <c r="A268" s="1">
        <v>74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"2026-05-06 14:12:44.971"</f>
        <v>2026-05-06 14:12:44.971</v>
      </c>
      <c r="H268" t="s">
        <v>21</v>
      </c>
    </row>
    <row r="269" spans="1:10" x14ac:dyDescent="0.25">
      <c r="A269" s="1">
        <v>75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"2026-05-06 14:00:38.151"</f>
        <v>2026-05-06 14:00:38.151</v>
      </c>
      <c r="H269" t="s">
        <v>21</v>
      </c>
      <c r="I269">
        <v>0</v>
      </c>
      <c r="J269" t="s">
        <v>22</v>
      </c>
    </row>
    <row r="270" spans="1:10" x14ac:dyDescent="0.25">
      <c r="A270" s="1">
        <v>76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"2026-05-06 13:37:50.997"</f>
        <v>2026-05-06 13:37:50.997</v>
      </c>
      <c r="H270" t="s">
        <v>21</v>
      </c>
    </row>
    <row r="271" spans="1:10" x14ac:dyDescent="0.25">
      <c r="A271" s="1">
        <v>78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"2026-05-05 13:39:16.987"</f>
        <v>2026-05-05 13:39:16.987</v>
      </c>
      <c r="H271" t="s">
        <v>21</v>
      </c>
      <c r="I271">
        <v>0</v>
      </c>
      <c r="J271" t="s">
        <v>22</v>
      </c>
    </row>
    <row r="272" spans="1:10" x14ac:dyDescent="0.25">
      <c r="A272" s="1">
        <v>79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"2026-05-04 13:26:50.976"</f>
        <v>2026-05-04 13:26:50.976</v>
      </c>
      <c r="H272" t="s">
        <v>21</v>
      </c>
      <c r="I272">
        <v>0</v>
      </c>
      <c r="J272" t="s">
        <v>22</v>
      </c>
    </row>
    <row r="273" spans="1:10" x14ac:dyDescent="0.25">
      <c r="A273" s="1">
        <v>80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"2026-05-03 13:55:41.031"</f>
        <v>2026-05-03 13:55:41.031</v>
      </c>
      <c r="H273" t="s">
        <v>21</v>
      </c>
      <c r="I273">
        <v>0</v>
      </c>
      <c r="J273" t="s">
        <v>22</v>
      </c>
    </row>
    <row r="274" spans="1:10" x14ac:dyDescent="0.25">
      <c r="A274" s="1">
        <v>81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"2026-05-03 12:54:42.975"</f>
        <v>2026-05-03 12:54:42.975</v>
      </c>
      <c r="H274" t="s">
        <v>21</v>
      </c>
      <c r="I274">
        <v>0</v>
      </c>
      <c r="J274" t="s">
        <v>22</v>
      </c>
    </row>
    <row r="275" spans="1:10" x14ac:dyDescent="0.25">
      <c r="A275" s="1">
        <v>82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"2026-05-01 13:57:53.206"</f>
        <v>2026-05-01 13:57:53.206</v>
      </c>
      <c r="H275" t="s">
        <v>21</v>
      </c>
      <c r="I275">
        <v>0</v>
      </c>
      <c r="J275" t="s">
        <v>22</v>
      </c>
    </row>
    <row r="276" spans="1:10" x14ac:dyDescent="0.25">
      <c r="A276" s="1">
        <v>83</v>
      </c>
      <c r="B276" t="s">
        <v>23</v>
      </c>
      <c r="C276">
        <v>61</v>
      </c>
      <c r="D276">
        <v>2</v>
      </c>
      <c r="E276" t="s">
        <v>41</v>
      </c>
      <c r="F276" t="s">
        <v>42</v>
      </c>
      <c r="G276" t="str">
        <f>"2026-05-01 07:09:23.792"</f>
        <v>2026-05-01 07:09:23.792</v>
      </c>
      <c r="H276" t="s">
        <v>21</v>
      </c>
    </row>
    <row r="277" spans="1:10" x14ac:dyDescent="0.25">
      <c r="A277" s="1">
        <v>84</v>
      </c>
      <c r="B277" t="s">
        <v>39</v>
      </c>
      <c r="C277">
        <v>61</v>
      </c>
      <c r="D277">
        <v>2</v>
      </c>
      <c r="E277" t="s">
        <v>41</v>
      </c>
      <c r="F277" t="s">
        <v>42</v>
      </c>
      <c r="G277" t="str">
        <f>"2026-05-01 07:09:12.793"</f>
        <v>2026-05-01 07:09:12.793</v>
      </c>
      <c r="H277" t="s">
        <v>21</v>
      </c>
      <c r="I277">
        <v>35.380000000000003</v>
      </c>
      <c r="J277" t="s">
        <v>31</v>
      </c>
    </row>
    <row r="278" spans="1:10" s="3" customFormat="1" x14ac:dyDescent="0.25">
      <c r="A278" s="2">
        <v>85</v>
      </c>
      <c r="B278" s="3" t="s">
        <v>23</v>
      </c>
      <c r="C278" s="3">
        <v>647</v>
      </c>
      <c r="D278" s="3">
        <v>1</v>
      </c>
      <c r="E278" s="3" t="s">
        <v>29</v>
      </c>
      <c r="F278" s="3" t="s">
        <v>30</v>
      </c>
      <c r="G278" s="3" t="str">
        <f>"2026-04-30 00:44:32.493"</f>
        <v>2026-04-30 00:44:32.493</v>
      </c>
      <c r="H278" s="3" t="s">
        <v>21</v>
      </c>
    </row>
    <row r="279" spans="1:10" s="3" customFormat="1" x14ac:dyDescent="0.25">
      <c r="A279" s="2">
        <v>86</v>
      </c>
      <c r="B279" s="3" t="s">
        <v>26</v>
      </c>
      <c r="C279" s="3">
        <v>647</v>
      </c>
      <c r="D279" s="3">
        <v>1</v>
      </c>
      <c r="E279" s="3" t="s">
        <v>29</v>
      </c>
      <c r="F279" s="3" t="s">
        <v>30</v>
      </c>
      <c r="G279" s="3" t="str">
        <f>"2026-04-30 00:44:29.394"</f>
        <v>2026-04-30 00:44:29.394</v>
      </c>
      <c r="H279" s="3" t="s">
        <v>21</v>
      </c>
      <c r="I279" s="3">
        <v>10.85</v>
      </c>
      <c r="J279" s="3" t="s">
        <v>31</v>
      </c>
    </row>
    <row r="280" spans="1:10" x14ac:dyDescent="0.25">
      <c r="A280" s="1">
        <v>87</v>
      </c>
      <c r="B280" t="s">
        <v>19</v>
      </c>
      <c r="C280">
        <v>706</v>
      </c>
      <c r="D280">
        <v>4</v>
      </c>
      <c r="E280" t="s">
        <v>32</v>
      </c>
      <c r="F280" t="s">
        <v>33</v>
      </c>
      <c r="G280" t="str">
        <f>"2026-04-29 22:21:48.415"</f>
        <v>2026-04-29 22:21:48.415</v>
      </c>
      <c r="H280" t="s">
        <v>21</v>
      </c>
      <c r="I280">
        <v>0</v>
      </c>
      <c r="J280" t="s">
        <v>34</v>
      </c>
    </row>
    <row r="281" spans="1:10" x14ac:dyDescent="0.25">
      <c r="A281" s="1">
        <v>88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"2026-04-29 22:01:14.975"</f>
        <v>2026-04-29 22:01:14.975</v>
      </c>
      <c r="H281" t="s">
        <v>21</v>
      </c>
    </row>
    <row r="282" spans="1:10" x14ac:dyDescent="0.25">
      <c r="A282" s="1">
        <v>89</v>
      </c>
      <c r="B282" t="s">
        <v>19</v>
      </c>
      <c r="C282">
        <v>706</v>
      </c>
      <c r="D282">
        <v>4</v>
      </c>
      <c r="E282" t="s">
        <v>32</v>
      </c>
      <c r="F282" t="s">
        <v>33</v>
      </c>
      <c r="G282" t="str">
        <f>"2026-04-29 21:53:14.592"</f>
        <v>2026-04-29 21:53:14.592</v>
      </c>
      <c r="H282" t="s">
        <v>21</v>
      </c>
      <c r="I282">
        <v>0</v>
      </c>
      <c r="J282" t="s">
        <v>34</v>
      </c>
    </row>
    <row r="283" spans="1:10" x14ac:dyDescent="0.25">
      <c r="A283" s="1">
        <v>90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"2026-04-29 21:52:12.102"</f>
        <v>2026-04-29 21:52:12.102</v>
      </c>
      <c r="H283" t="s">
        <v>21</v>
      </c>
    </row>
    <row r="284" spans="1:10" x14ac:dyDescent="0.25">
      <c r="A284" s="1">
        <v>91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"2026-04-29 13:48:28.010"</f>
        <v>2026-04-29 13:48:28.010</v>
      </c>
      <c r="H284" t="s">
        <v>21</v>
      </c>
      <c r="I284">
        <v>0</v>
      </c>
      <c r="J284" t="s">
        <v>22</v>
      </c>
    </row>
    <row r="285" spans="1:10" x14ac:dyDescent="0.25">
      <c r="A285" s="1">
        <v>92</v>
      </c>
      <c r="B285" t="s">
        <v>23</v>
      </c>
      <c r="C285">
        <v>635</v>
      </c>
      <c r="D285">
        <v>1</v>
      </c>
      <c r="E285" t="s">
        <v>24</v>
      </c>
      <c r="F285" t="s">
        <v>25</v>
      </c>
      <c r="G285" t="str">
        <f>"2026-04-29 07:33:22.331"</f>
        <v>2026-04-29 07:33:22.331</v>
      </c>
      <c r="H285" t="s">
        <v>21</v>
      </c>
    </row>
    <row r="286" spans="1:10" x14ac:dyDescent="0.25">
      <c r="A286" s="1">
        <v>93</v>
      </c>
      <c r="B286" t="s">
        <v>26</v>
      </c>
      <c r="C286">
        <v>635</v>
      </c>
      <c r="D286">
        <v>1</v>
      </c>
      <c r="E286" t="s">
        <v>24</v>
      </c>
      <c r="F286" t="s">
        <v>25</v>
      </c>
      <c r="G286" t="str">
        <f>"2026-04-29 07:31:22.331"</f>
        <v>2026-04-29 07:31:22.331</v>
      </c>
      <c r="H286" t="s">
        <v>21</v>
      </c>
      <c r="I286">
        <v>8.5500000000000007</v>
      </c>
      <c r="J286" t="s">
        <v>27</v>
      </c>
    </row>
    <row r="287" spans="1:10" x14ac:dyDescent="0.25">
      <c r="A287" s="1">
        <v>94</v>
      </c>
      <c r="B287" t="s">
        <v>23</v>
      </c>
      <c r="C287">
        <v>635</v>
      </c>
      <c r="D287">
        <v>1</v>
      </c>
      <c r="E287" t="s">
        <v>24</v>
      </c>
      <c r="F287" t="s">
        <v>25</v>
      </c>
      <c r="G287" t="str">
        <f>"2026-04-28 20:55:50.431"</f>
        <v>2026-04-28 20:55:50.431</v>
      </c>
      <c r="H287" t="s">
        <v>21</v>
      </c>
    </row>
    <row r="288" spans="1:10" x14ac:dyDescent="0.25">
      <c r="A288" s="1">
        <v>95</v>
      </c>
      <c r="B288" t="s">
        <v>26</v>
      </c>
      <c r="C288">
        <v>635</v>
      </c>
      <c r="D288">
        <v>1</v>
      </c>
      <c r="E288" t="s">
        <v>24</v>
      </c>
      <c r="F288" t="s">
        <v>25</v>
      </c>
      <c r="G288" t="str">
        <f>"2026-04-28 20:24:08.431"</f>
        <v>2026-04-28 20:24:08.431</v>
      </c>
      <c r="H288" t="s">
        <v>21</v>
      </c>
      <c r="I288">
        <v>4.6399999999999997</v>
      </c>
      <c r="J288" t="s">
        <v>27</v>
      </c>
    </row>
    <row r="289" spans="1:10" x14ac:dyDescent="0.25">
      <c r="A289" s="1">
        <v>96</v>
      </c>
      <c r="B289" t="s">
        <v>19</v>
      </c>
      <c r="C289">
        <v>706</v>
      </c>
      <c r="D289">
        <v>2</v>
      </c>
      <c r="E289" t="s">
        <v>32</v>
      </c>
      <c r="F289" t="s">
        <v>35</v>
      </c>
      <c r="G289" t="str">
        <f>"2026-04-28 13:37:42.136"</f>
        <v>2026-04-28 13:37:42.136</v>
      </c>
      <c r="H289" t="s">
        <v>21</v>
      </c>
      <c r="I289">
        <v>0</v>
      </c>
      <c r="J289" t="s">
        <v>34</v>
      </c>
    </row>
    <row r="290" spans="1:10" x14ac:dyDescent="0.25">
      <c r="A290" s="1">
        <v>97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"2026-04-28 13:37:27.986"</f>
        <v>2026-04-28 13:37:27.986</v>
      </c>
      <c r="H290" t="s">
        <v>21</v>
      </c>
    </row>
    <row r="291" spans="1:10" x14ac:dyDescent="0.25">
      <c r="A291" s="1">
        <v>98</v>
      </c>
      <c r="B291" t="s">
        <v>23</v>
      </c>
      <c r="C291">
        <v>635</v>
      </c>
      <c r="D291">
        <v>1</v>
      </c>
      <c r="E291" t="s">
        <v>24</v>
      </c>
      <c r="F291" t="s">
        <v>25</v>
      </c>
      <c r="G291" t="str">
        <f>"2026-04-28 11:54:00.575"</f>
        <v>2026-04-28 11:54:00.575</v>
      </c>
      <c r="H291" t="s">
        <v>21</v>
      </c>
    </row>
    <row r="292" spans="1:10" x14ac:dyDescent="0.25">
      <c r="A292" s="1">
        <v>99</v>
      </c>
      <c r="B292" t="s">
        <v>26</v>
      </c>
      <c r="C292">
        <v>635</v>
      </c>
      <c r="D292">
        <v>1</v>
      </c>
      <c r="E292" t="s">
        <v>24</v>
      </c>
      <c r="F292" t="s">
        <v>25</v>
      </c>
      <c r="G292" t="str">
        <f>"2026-04-28 11:50:12.575"</f>
        <v>2026-04-28 11:50:12.575</v>
      </c>
      <c r="H292" t="s">
        <v>21</v>
      </c>
      <c r="I292">
        <v>6.12</v>
      </c>
      <c r="J292" t="s">
        <v>27</v>
      </c>
    </row>
    <row r="293" spans="1:10" x14ac:dyDescent="0.25">
      <c r="A293" s="1">
        <v>1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"2026-04-26 13:27:54.971"</f>
        <v>2026-04-26 13:27:54.971</v>
      </c>
      <c r="H293" t="s">
        <v>21</v>
      </c>
      <c r="I293">
        <v>0</v>
      </c>
      <c r="J293" t="s">
        <v>22</v>
      </c>
    </row>
    <row r="294" spans="1:10" x14ac:dyDescent="0.25">
      <c r="A294" s="1">
        <v>3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"2026-04-25 14:22:53.973"</f>
        <v>2026-04-25 14:22:53.973</v>
      </c>
      <c r="H294" t="s">
        <v>21</v>
      </c>
    </row>
    <row r="295" spans="1:10" x14ac:dyDescent="0.25">
      <c r="A295" s="1">
        <v>4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"2026-04-25 13:48:57.223"</f>
        <v>2026-04-25 13:48:57.223</v>
      </c>
      <c r="H295" t="s">
        <v>21</v>
      </c>
      <c r="I295">
        <v>0</v>
      </c>
      <c r="J295" t="s">
        <v>22</v>
      </c>
    </row>
    <row r="296" spans="1:10" x14ac:dyDescent="0.25">
      <c r="A296" s="1">
        <v>5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"2026-04-24 13:46:45.990"</f>
        <v>2026-04-24 13:46:45.990</v>
      </c>
      <c r="H296" t="s">
        <v>21</v>
      </c>
    </row>
    <row r="297" spans="1:10" x14ac:dyDescent="0.25">
      <c r="A297" s="1">
        <v>6</v>
      </c>
      <c r="B297" t="s">
        <v>23</v>
      </c>
      <c r="C297">
        <v>635</v>
      </c>
      <c r="D297">
        <v>1</v>
      </c>
      <c r="E297" t="s">
        <v>24</v>
      </c>
      <c r="F297" t="s">
        <v>25</v>
      </c>
      <c r="G297" t="str">
        <f>"2026-04-24 04:22:44.482"</f>
        <v>2026-04-24 04:22:44.482</v>
      </c>
      <c r="H297" t="s">
        <v>21</v>
      </c>
    </row>
    <row r="298" spans="1:10" x14ac:dyDescent="0.25">
      <c r="A298" s="1">
        <v>7</v>
      </c>
      <c r="B298" t="s">
        <v>26</v>
      </c>
      <c r="C298">
        <v>635</v>
      </c>
      <c r="D298">
        <v>1</v>
      </c>
      <c r="E298" t="s">
        <v>24</v>
      </c>
      <c r="F298" t="s">
        <v>25</v>
      </c>
      <c r="G298" t="str">
        <f>"2026-04-24 04:18:27.982"</f>
        <v>2026-04-24 04:18:27.982</v>
      </c>
      <c r="H298" t="s">
        <v>21</v>
      </c>
      <c r="I298">
        <v>7.38</v>
      </c>
      <c r="J298" t="s">
        <v>27</v>
      </c>
    </row>
    <row r="299" spans="1:10" s="3" customFormat="1" x14ac:dyDescent="0.25">
      <c r="A299" s="2">
        <v>8</v>
      </c>
      <c r="B299" s="3" t="s">
        <v>23</v>
      </c>
      <c r="C299" s="3">
        <v>647</v>
      </c>
      <c r="D299" s="3">
        <v>1</v>
      </c>
      <c r="E299" s="3" t="s">
        <v>29</v>
      </c>
      <c r="F299" s="3" t="s">
        <v>30</v>
      </c>
      <c r="G299" s="3" t="str">
        <f>"2026-04-24 02:21:31.783"</f>
        <v>2026-04-24 02:21:31.783</v>
      </c>
      <c r="H299" s="3" t="s">
        <v>21</v>
      </c>
    </row>
    <row r="300" spans="1:10" s="3" customFormat="1" x14ac:dyDescent="0.25">
      <c r="A300" s="2">
        <v>9</v>
      </c>
      <c r="B300" s="3" t="s">
        <v>26</v>
      </c>
      <c r="C300" s="3">
        <v>647</v>
      </c>
      <c r="D300" s="3">
        <v>1</v>
      </c>
      <c r="E300" s="3" t="s">
        <v>29</v>
      </c>
      <c r="F300" s="3" t="s">
        <v>30</v>
      </c>
      <c r="G300" s="3" t="str">
        <f>"2026-04-24 02:21:29.683"</f>
        <v>2026-04-24 02:21:29.683</v>
      </c>
      <c r="H300" s="3" t="s">
        <v>21</v>
      </c>
      <c r="I300" s="3">
        <v>18.77</v>
      </c>
      <c r="J300" s="3" t="s">
        <v>31</v>
      </c>
    </row>
    <row r="301" spans="1:10" x14ac:dyDescent="0.25">
      <c r="A301" s="1">
        <v>10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"2026-04-23 13:43:56.975"</f>
        <v>2026-04-23 13:43:56.975</v>
      </c>
      <c r="H301" t="s">
        <v>21</v>
      </c>
      <c r="I301">
        <v>0</v>
      </c>
      <c r="J301" t="s">
        <v>22</v>
      </c>
    </row>
    <row r="302" spans="1:10" s="3" customFormat="1" x14ac:dyDescent="0.25">
      <c r="A302" s="2">
        <v>11</v>
      </c>
      <c r="B302" s="3" t="s">
        <v>23</v>
      </c>
      <c r="C302" s="3">
        <v>647</v>
      </c>
      <c r="D302" s="3">
        <v>1</v>
      </c>
      <c r="E302" s="3" t="s">
        <v>29</v>
      </c>
      <c r="F302" s="3" t="s">
        <v>30</v>
      </c>
      <c r="G302" s="3" t="str">
        <f>"2026-04-23 01:54:54.628"</f>
        <v>2026-04-23 01:54:54.628</v>
      </c>
      <c r="H302" s="3" t="s">
        <v>21</v>
      </c>
    </row>
    <row r="303" spans="1:10" s="3" customFormat="1" x14ac:dyDescent="0.25">
      <c r="A303" s="2">
        <v>12</v>
      </c>
      <c r="B303" s="3" t="s">
        <v>26</v>
      </c>
      <c r="C303" s="3">
        <v>647</v>
      </c>
      <c r="D303" s="3">
        <v>1</v>
      </c>
      <c r="E303" s="3" t="s">
        <v>29</v>
      </c>
      <c r="F303" s="3" t="s">
        <v>30</v>
      </c>
      <c r="G303" s="3" t="str">
        <f>"2026-04-23 01:54:53.528"</f>
        <v>2026-04-23 01:54:53.528</v>
      </c>
      <c r="H303" s="3" t="s">
        <v>21</v>
      </c>
      <c r="I303" s="3">
        <v>15.77</v>
      </c>
      <c r="J303" s="3" t="s">
        <v>31</v>
      </c>
    </row>
    <row r="304" spans="1:10" x14ac:dyDescent="0.25">
      <c r="A304" s="1">
        <v>13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"2026-04-22 18:34:12.012"</f>
        <v>2026-04-22 18:34:12.012</v>
      </c>
      <c r="H304" t="s">
        <v>21</v>
      </c>
      <c r="I304">
        <v>0</v>
      </c>
      <c r="J304" t="s">
        <v>22</v>
      </c>
    </row>
    <row r="305" spans="1:10" x14ac:dyDescent="0.25">
      <c r="A305" s="1">
        <v>14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"2026-04-22 12:46:07.989"</f>
        <v>2026-04-22 12:46:07.989</v>
      </c>
      <c r="H305" t="s">
        <v>21</v>
      </c>
      <c r="I305">
        <v>0</v>
      </c>
      <c r="J305" t="s">
        <v>22</v>
      </c>
    </row>
    <row r="306" spans="1:10" x14ac:dyDescent="0.25">
      <c r="A306" s="1">
        <v>15</v>
      </c>
      <c r="B306" t="s">
        <v>23</v>
      </c>
      <c r="C306">
        <v>635</v>
      </c>
      <c r="D306">
        <v>1</v>
      </c>
      <c r="E306" t="s">
        <v>24</v>
      </c>
      <c r="F306" t="s">
        <v>25</v>
      </c>
      <c r="G306" t="str">
        <f>"2026-04-21 19:07:52.174"</f>
        <v>2026-04-21 19:07:52.174</v>
      </c>
      <c r="H306" t="s">
        <v>21</v>
      </c>
    </row>
    <row r="307" spans="1:10" x14ac:dyDescent="0.25">
      <c r="A307" s="1">
        <v>16</v>
      </c>
      <c r="B307" t="s">
        <v>26</v>
      </c>
      <c r="C307">
        <v>635</v>
      </c>
      <c r="D307">
        <v>1</v>
      </c>
      <c r="E307" t="s">
        <v>24</v>
      </c>
      <c r="F307" t="s">
        <v>25</v>
      </c>
      <c r="G307" t="str">
        <f>"2026-04-21 19:02:11.674"</f>
        <v>2026-04-21 19:02:11.674</v>
      </c>
      <c r="H307" t="s">
        <v>21</v>
      </c>
      <c r="I307">
        <v>5.07</v>
      </c>
      <c r="J307" t="s">
        <v>27</v>
      </c>
    </row>
    <row r="308" spans="1:10" x14ac:dyDescent="0.25">
      <c r="A308" s="1">
        <v>17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"2026-04-21 14:16:04.951"</f>
        <v>2026-04-21 14:16:04.951</v>
      </c>
      <c r="H308" t="s">
        <v>21</v>
      </c>
      <c r="I308">
        <v>0</v>
      </c>
      <c r="J308" t="s">
        <v>22</v>
      </c>
    </row>
    <row r="309" spans="1:10" x14ac:dyDescent="0.25">
      <c r="A309" s="1">
        <v>18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"2026-04-21 13:53:16.963"</f>
        <v>2026-04-21 13:53:16.963</v>
      </c>
      <c r="H309" t="s">
        <v>21</v>
      </c>
    </row>
    <row r="310" spans="1:10" x14ac:dyDescent="0.25">
      <c r="A310" s="1">
        <v>19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"2026-04-21 13:48:27.139"</f>
        <v>2026-04-21 13:48:27.139</v>
      </c>
      <c r="H310" t="s">
        <v>21</v>
      </c>
      <c r="I310">
        <v>0</v>
      </c>
      <c r="J310" t="s">
        <v>22</v>
      </c>
    </row>
    <row r="311" spans="1:10" x14ac:dyDescent="0.25">
      <c r="A311" s="1">
        <v>20</v>
      </c>
      <c r="B311" t="s">
        <v>19</v>
      </c>
      <c r="C311">
        <v>706</v>
      </c>
      <c r="D311">
        <v>4</v>
      </c>
      <c r="E311" t="s">
        <v>32</v>
      </c>
      <c r="F311" t="s">
        <v>33</v>
      </c>
      <c r="G311" t="str">
        <f>"2026-04-19 05:47:31.853"</f>
        <v>2026-04-19 05:47:31.853</v>
      </c>
      <c r="H311" t="s">
        <v>21</v>
      </c>
      <c r="I311">
        <v>0</v>
      </c>
      <c r="J311" t="s">
        <v>34</v>
      </c>
    </row>
    <row r="312" spans="1:10" x14ac:dyDescent="0.25">
      <c r="A312" s="1">
        <v>21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"2026-04-19 05:46:30.963"</f>
        <v>2026-04-19 05:46:30.963</v>
      </c>
      <c r="H312" t="s">
        <v>21</v>
      </c>
      <c r="I312">
        <v>0</v>
      </c>
      <c r="J312" t="s">
        <v>22</v>
      </c>
    </row>
    <row r="313" spans="1:10" x14ac:dyDescent="0.25">
      <c r="A313" s="1">
        <v>22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"2026-04-19 05:36:51.963"</f>
        <v>2026-04-19 05:36:51.963</v>
      </c>
      <c r="H313" t="s">
        <v>21</v>
      </c>
      <c r="I313">
        <v>0</v>
      </c>
      <c r="J313" t="s">
        <v>22</v>
      </c>
    </row>
    <row r="314" spans="1:10" x14ac:dyDescent="0.25">
      <c r="A314" s="1">
        <v>23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"2026-04-19 05:18:49.946"</f>
        <v>2026-04-19 05:18:49.946</v>
      </c>
      <c r="H314" t="s">
        <v>21</v>
      </c>
    </row>
    <row r="315" spans="1:10" x14ac:dyDescent="0.25">
      <c r="A315" s="1">
        <v>24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"2026-04-19 05:09:33.963"</f>
        <v>2026-04-19 05:09:33.963</v>
      </c>
      <c r="H315" t="s">
        <v>21</v>
      </c>
      <c r="I315">
        <v>0</v>
      </c>
      <c r="J315" t="s">
        <v>22</v>
      </c>
    </row>
    <row r="316" spans="1:10" x14ac:dyDescent="0.25">
      <c r="A316" s="1">
        <v>25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"2026-04-19 04:59:58.964"</f>
        <v>2026-04-19 04:59:58.964</v>
      </c>
      <c r="H316" t="s">
        <v>21</v>
      </c>
      <c r="I316">
        <v>0</v>
      </c>
      <c r="J316" t="s">
        <v>22</v>
      </c>
    </row>
    <row r="317" spans="1:10" x14ac:dyDescent="0.25">
      <c r="A317" s="1">
        <v>26</v>
      </c>
      <c r="B317" t="s">
        <v>19</v>
      </c>
      <c r="C317">
        <v>706</v>
      </c>
      <c r="D317">
        <v>4</v>
      </c>
      <c r="E317" t="s">
        <v>32</v>
      </c>
      <c r="F317" t="s">
        <v>33</v>
      </c>
      <c r="G317" t="str">
        <f>"2026-04-19 04:53:07.526"</f>
        <v>2026-04-19 04:53:07.526</v>
      </c>
      <c r="H317" t="s">
        <v>21</v>
      </c>
      <c r="I317">
        <v>0</v>
      </c>
      <c r="J317" t="s">
        <v>34</v>
      </c>
    </row>
    <row r="318" spans="1:10" x14ac:dyDescent="0.25">
      <c r="A318" s="1">
        <v>27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"2026-04-19 04:41:28.056"</f>
        <v>2026-04-19 04:41:28.056</v>
      </c>
      <c r="H318" t="s">
        <v>21</v>
      </c>
      <c r="I318">
        <v>0</v>
      </c>
      <c r="J318" t="s">
        <v>22</v>
      </c>
    </row>
    <row r="319" spans="1:10" x14ac:dyDescent="0.25">
      <c r="A319" s="1">
        <v>28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"2026-04-18 13:30:40.160"</f>
        <v>2026-04-18 13:30:40.160</v>
      </c>
      <c r="H319" t="s">
        <v>21</v>
      </c>
      <c r="I319">
        <v>0</v>
      </c>
      <c r="J319" t="s">
        <v>22</v>
      </c>
    </row>
    <row r="320" spans="1:10" x14ac:dyDescent="0.25">
      <c r="A320" s="1">
        <v>29</v>
      </c>
      <c r="B320" t="s">
        <v>23</v>
      </c>
      <c r="C320">
        <v>635</v>
      </c>
      <c r="D320">
        <v>1</v>
      </c>
      <c r="E320" t="s">
        <v>24</v>
      </c>
      <c r="F320" t="s">
        <v>25</v>
      </c>
      <c r="G320" t="str">
        <f>"2026-04-18 06:21:30.198"</f>
        <v>2026-04-18 06:21:30.198</v>
      </c>
      <c r="H320" t="s">
        <v>21</v>
      </c>
    </row>
    <row r="321" spans="1:10" x14ac:dyDescent="0.25">
      <c r="A321" s="1">
        <v>30</v>
      </c>
      <c r="B321" t="s">
        <v>26</v>
      </c>
      <c r="C321">
        <v>635</v>
      </c>
      <c r="D321">
        <v>1</v>
      </c>
      <c r="E321" t="s">
        <v>24</v>
      </c>
      <c r="F321" t="s">
        <v>25</v>
      </c>
      <c r="G321" t="str">
        <f>"2026-04-18 06:17:27.699"</f>
        <v>2026-04-18 06:17:27.699</v>
      </c>
      <c r="H321" t="s">
        <v>21</v>
      </c>
      <c r="I321">
        <v>5.3</v>
      </c>
      <c r="J321" t="s">
        <v>28</v>
      </c>
    </row>
    <row r="322" spans="1:10" x14ac:dyDescent="0.25">
      <c r="A322" s="1">
        <v>31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"2026-04-17 17:20:06.077"</f>
        <v>2026-04-17 17:20:06.077</v>
      </c>
      <c r="H322" t="s">
        <v>21</v>
      </c>
      <c r="I322">
        <v>0</v>
      </c>
      <c r="J322" t="s">
        <v>22</v>
      </c>
    </row>
    <row r="323" spans="1:10" x14ac:dyDescent="0.25">
      <c r="A323" s="1">
        <v>32</v>
      </c>
      <c r="B323" t="s">
        <v>23</v>
      </c>
      <c r="C323">
        <v>635</v>
      </c>
      <c r="D323">
        <v>1</v>
      </c>
      <c r="E323" t="s">
        <v>24</v>
      </c>
      <c r="F323" t="s">
        <v>25</v>
      </c>
      <c r="G323" t="str">
        <f>"2026-04-17 10:19:46.816"</f>
        <v>2026-04-17 10:19:46.816</v>
      </c>
      <c r="H323" t="s">
        <v>21</v>
      </c>
    </row>
    <row r="324" spans="1:10" x14ac:dyDescent="0.25">
      <c r="A324" s="1">
        <v>33</v>
      </c>
      <c r="B324" t="s">
        <v>26</v>
      </c>
      <c r="C324">
        <v>635</v>
      </c>
      <c r="D324">
        <v>1</v>
      </c>
      <c r="E324" t="s">
        <v>24</v>
      </c>
      <c r="F324" t="s">
        <v>25</v>
      </c>
      <c r="G324" t="str">
        <f>"2026-04-17 10:13:26.317"</f>
        <v>2026-04-17 10:13:26.317</v>
      </c>
      <c r="H324" t="s">
        <v>21</v>
      </c>
      <c r="I324">
        <v>3.26</v>
      </c>
      <c r="J324" t="s">
        <v>27</v>
      </c>
    </row>
    <row r="325" spans="1:10" x14ac:dyDescent="0.25">
      <c r="A325" s="1">
        <v>34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"2026-04-16 16:19:07.006"</f>
        <v>2026-04-16 16:19:07.006</v>
      </c>
      <c r="H325" t="s">
        <v>21</v>
      </c>
      <c r="I325">
        <v>0</v>
      </c>
      <c r="J325" t="s">
        <v>22</v>
      </c>
    </row>
    <row r="326" spans="1:10" x14ac:dyDescent="0.25">
      <c r="A326" s="1">
        <v>35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"2026-04-15 08:35:57.958"</f>
        <v>2026-04-15 08:35:57.958</v>
      </c>
      <c r="H326" t="s">
        <v>21</v>
      </c>
    </row>
    <row r="327" spans="1:10" x14ac:dyDescent="0.25">
      <c r="A327" s="1">
        <v>36</v>
      </c>
      <c r="B327" t="s">
        <v>23</v>
      </c>
      <c r="C327">
        <v>635</v>
      </c>
      <c r="D327">
        <v>1</v>
      </c>
      <c r="E327" t="s">
        <v>24</v>
      </c>
      <c r="F327" t="s">
        <v>25</v>
      </c>
      <c r="G327" t="str">
        <f>"2026-04-13 15:23:48.992"</f>
        <v>2026-04-13 15:23:48.992</v>
      </c>
      <c r="H327" t="s">
        <v>21</v>
      </c>
    </row>
    <row r="328" spans="1:10" x14ac:dyDescent="0.25">
      <c r="A328" s="1">
        <v>37</v>
      </c>
      <c r="B328" t="s">
        <v>26</v>
      </c>
      <c r="C328">
        <v>635</v>
      </c>
      <c r="D328">
        <v>1</v>
      </c>
      <c r="E328" t="s">
        <v>24</v>
      </c>
      <c r="F328" t="s">
        <v>25</v>
      </c>
      <c r="G328" t="str">
        <f>"2026-04-13 14:53:36.492"</f>
        <v>2026-04-13 14:53:36.492</v>
      </c>
      <c r="H328" t="s">
        <v>21</v>
      </c>
      <c r="I328">
        <v>3.56</v>
      </c>
      <c r="J328" t="s">
        <v>31</v>
      </c>
    </row>
    <row r="329" spans="1:10" x14ac:dyDescent="0.25">
      <c r="A329" s="1">
        <v>38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"2026-04-12 14:06:36.963"</f>
        <v>2026-04-12 14:06:36.963</v>
      </c>
      <c r="H329" t="s">
        <v>21</v>
      </c>
    </row>
    <row r="330" spans="1:10" s="3" customFormat="1" x14ac:dyDescent="0.25">
      <c r="A330" s="2">
        <v>39</v>
      </c>
      <c r="B330" s="3" t="s">
        <v>23</v>
      </c>
      <c r="C330" s="3">
        <v>647</v>
      </c>
      <c r="D330" s="3">
        <v>1</v>
      </c>
      <c r="E330" s="3" t="s">
        <v>29</v>
      </c>
      <c r="F330" s="3" t="s">
        <v>30</v>
      </c>
      <c r="G330" s="3" t="str">
        <f>"2026-04-12 08:18:09.379"</f>
        <v>2026-04-12 08:18:09.379</v>
      </c>
      <c r="H330" s="3" t="s">
        <v>21</v>
      </c>
    </row>
    <row r="331" spans="1:10" s="3" customFormat="1" x14ac:dyDescent="0.25">
      <c r="A331" s="2">
        <v>40</v>
      </c>
      <c r="B331" s="3" t="s">
        <v>26</v>
      </c>
      <c r="C331" s="3">
        <v>647</v>
      </c>
      <c r="D331" s="3">
        <v>1</v>
      </c>
      <c r="E331" s="3" t="s">
        <v>29</v>
      </c>
      <c r="F331" s="3" t="s">
        <v>30</v>
      </c>
      <c r="G331" s="3" t="str">
        <f>"2026-04-12 08:18:06.079"</f>
        <v>2026-04-12 08:18:06.079</v>
      </c>
      <c r="H331" s="3" t="s">
        <v>21</v>
      </c>
      <c r="I331" s="3">
        <v>10.14</v>
      </c>
      <c r="J331" s="3" t="s">
        <v>31</v>
      </c>
    </row>
    <row r="332" spans="1:10" x14ac:dyDescent="0.25">
      <c r="A332" s="1">
        <v>41</v>
      </c>
      <c r="B332" t="s">
        <v>23</v>
      </c>
      <c r="C332">
        <v>635</v>
      </c>
      <c r="D332">
        <v>1</v>
      </c>
      <c r="E332" t="s">
        <v>24</v>
      </c>
      <c r="F332" t="s">
        <v>25</v>
      </c>
      <c r="G332" t="str">
        <f>"2026-04-10 17:11:12.278"</f>
        <v>2026-04-10 17:11:12.278</v>
      </c>
      <c r="H332" t="s">
        <v>21</v>
      </c>
    </row>
    <row r="333" spans="1:10" x14ac:dyDescent="0.25">
      <c r="A333" s="1">
        <v>42</v>
      </c>
      <c r="B333" t="s">
        <v>26</v>
      </c>
      <c r="C333">
        <v>635</v>
      </c>
      <c r="D333">
        <v>1</v>
      </c>
      <c r="E333" t="s">
        <v>24</v>
      </c>
      <c r="F333" t="s">
        <v>25</v>
      </c>
      <c r="G333" t="str">
        <f>"2026-04-10 17:05:49.779"</f>
        <v>2026-04-10 17:05:49.779</v>
      </c>
      <c r="H333" t="s">
        <v>21</v>
      </c>
      <c r="I333">
        <v>0.28999999999999998</v>
      </c>
      <c r="J333" t="s">
        <v>28</v>
      </c>
    </row>
    <row r="334" spans="1:10" x14ac:dyDescent="0.25">
      <c r="A334" s="1">
        <v>44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"2026-04-09 09:15:11.978"</f>
        <v>2026-04-09 09:15:11.978</v>
      </c>
      <c r="H334" t="s">
        <v>21</v>
      </c>
      <c r="I334">
        <v>0</v>
      </c>
      <c r="J334" t="s">
        <v>22</v>
      </c>
    </row>
    <row r="335" spans="1:10" x14ac:dyDescent="0.25">
      <c r="A335" s="1">
        <v>45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"2026-04-08 16:57:50.961"</f>
        <v>2026-04-08 16:57:50.961</v>
      </c>
      <c r="H335" t="s">
        <v>21</v>
      </c>
    </row>
    <row r="336" spans="1:10" x14ac:dyDescent="0.25">
      <c r="A336" s="1">
        <v>46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"2026-04-08 16:03:20.954"</f>
        <v>2026-04-08 16:03:20.954</v>
      </c>
      <c r="H336" t="s">
        <v>21</v>
      </c>
    </row>
    <row r="337" spans="1:10" x14ac:dyDescent="0.25">
      <c r="A337" s="1">
        <v>47</v>
      </c>
      <c r="B337" t="s">
        <v>19</v>
      </c>
      <c r="C337">
        <v>706</v>
      </c>
      <c r="D337">
        <v>4</v>
      </c>
      <c r="E337" t="s">
        <v>32</v>
      </c>
      <c r="F337" t="s">
        <v>33</v>
      </c>
      <c r="G337" t="str">
        <f>"2026-04-08 15:53:45.214"</f>
        <v>2026-04-08 15:53:45.214</v>
      </c>
      <c r="H337" t="s">
        <v>21</v>
      </c>
      <c r="I337">
        <v>0</v>
      </c>
      <c r="J337" t="s">
        <v>34</v>
      </c>
    </row>
    <row r="338" spans="1:10" x14ac:dyDescent="0.25">
      <c r="A338" s="1">
        <v>48</v>
      </c>
      <c r="B338" t="s">
        <v>19</v>
      </c>
      <c r="C338">
        <v>706</v>
      </c>
      <c r="D338">
        <v>4</v>
      </c>
      <c r="E338" t="s">
        <v>32</v>
      </c>
      <c r="F338" t="s">
        <v>33</v>
      </c>
      <c r="G338" t="str">
        <f>"2026-04-08 15:34:47.844"</f>
        <v>2026-04-08 15:34:47.844</v>
      </c>
      <c r="H338" t="s">
        <v>21</v>
      </c>
      <c r="I338">
        <v>0</v>
      </c>
      <c r="J338" t="s">
        <v>34</v>
      </c>
    </row>
    <row r="339" spans="1:10" x14ac:dyDescent="0.25">
      <c r="A339" s="1">
        <v>49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"2026-04-08 15:24:51.974"</f>
        <v>2026-04-08 15:24:51.974</v>
      </c>
      <c r="H339" t="s">
        <v>21</v>
      </c>
    </row>
    <row r="340" spans="1:10" x14ac:dyDescent="0.25">
      <c r="A340" s="1">
        <v>50</v>
      </c>
      <c r="B340" t="s">
        <v>19</v>
      </c>
      <c r="C340">
        <v>706</v>
      </c>
      <c r="D340">
        <v>4</v>
      </c>
      <c r="E340" t="s">
        <v>32</v>
      </c>
      <c r="F340" t="s">
        <v>33</v>
      </c>
      <c r="G340" t="str">
        <f>"2026-04-08 15:09:24.242"</f>
        <v>2026-04-08 15:09:24.242</v>
      </c>
      <c r="H340" t="s">
        <v>21</v>
      </c>
      <c r="I340">
        <v>0</v>
      </c>
      <c r="J340" t="s">
        <v>34</v>
      </c>
    </row>
    <row r="341" spans="1:10" x14ac:dyDescent="0.25">
      <c r="A341" s="1">
        <v>51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"2026-04-08 15:05:31.042"</f>
        <v>2026-04-08 15:05:31.042</v>
      </c>
      <c r="H341" t="s">
        <v>21</v>
      </c>
    </row>
    <row r="342" spans="1:10" x14ac:dyDescent="0.25">
      <c r="A342" s="1">
        <v>52</v>
      </c>
      <c r="B342" t="s">
        <v>39</v>
      </c>
      <c r="C342">
        <v>630</v>
      </c>
      <c r="D342">
        <v>5</v>
      </c>
      <c r="E342" t="s">
        <v>36</v>
      </c>
      <c r="F342" t="s">
        <v>37</v>
      </c>
      <c r="G342" t="str">
        <f>"2026-04-08 12:20:22.270"</f>
        <v>2026-04-08 12:20:22.270</v>
      </c>
      <c r="H342" t="s">
        <v>38</v>
      </c>
      <c r="I342">
        <v>0</v>
      </c>
      <c r="J342" t="s">
        <v>34</v>
      </c>
    </row>
    <row r="343" spans="1:10" x14ac:dyDescent="0.25">
      <c r="A343" s="1">
        <v>53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"2026-04-08 12:15:19.453"</f>
        <v>2026-04-08 12:15:19.453</v>
      </c>
      <c r="H343" t="s">
        <v>21</v>
      </c>
    </row>
    <row r="344" spans="1:10" x14ac:dyDescent="0.25">
      <c r="A344" s="1">
        <v>54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"2026-04-07 08:53:32.973"</f>
        <v>2026-04-07 08:53:32.973</v>
      </c>
      <c r="H344" t="s">
        <v>21</v>
      </c>
      <c r="I344">
        <v>0</v>
      </c>
      <c r="J344" t="s">
        <v>22</v>
      </c>
    </row>
    <row r="345" spans="1:10" x14ac:dyDescent="0.25">
      <c r="A345" s="1">
        <v>55</v>
      </c>
      <c r="B345" t="s">
        <v>23</v>
      </c>
      <c r="C345">
        <v>61</v>
      </c>
      <c r="D345">
        <v>2</v>
      </c>
      <c r="E345" t="s">
        <v>41</v>
      </c>
      <c r="F345" t="s">
        <v>42</v>
      </c>
      <c r="G345" t="str">
        <f>"2026-04-06 22:38:58.162"</f>
        <v>2026-04-06 22:38:58.162</v>
      </c>
      <c r="H345" t="s">
        <v>21</v>
      </c>
    </row>
    <row r="346" spans="1:10" x14ac:dyDescent="0.25">
      <c r="A346" s="1">
        <v>56</v>
      </c>
      <c r="B346" t="s">
        <v>39</v>
      </c>
      <c r="C346">
        <v>61</v>
      </c>
      <c r="D346">
        <v>2</v>
      </c>
      <c r="E346" t="s">
        <v>41</v>
      </c>
      <c r="F346" t="s">
        <v>42</v>
      </c>
      <c r="G346" t="str">
        <f>"2026-04-06 22:38:43.362"</f>
        <v>2026-04-06 22:38:43.362</v>
      </c>
      <c r="H346" t="s">
        <v>21</v>
      </c>
      <c r="I346">
        <v>35.29</v>
      </c>
      <c r="J346" t="s">
        <v>31</v>
      </c>
    </row>
    <row r="347" spans="1:10" x14ac:dyDescent="0.25">
      <c r="A347" s="1">
        <v>57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"2026-04-04 11:13:24.950"</f>
        <v>2026-04-04 11:13:24.950</v>
      </c>
      <c r="H347" t="s">
        <v>21</v>
      </c>
      <c r="I347">
        <v>0</v>
      </c>
      <c r="J347" t="s">
        <v>22</v>
      </c>
    </row>
    <row r="348" spans="1:10" x14ac:dyDescent="0.25">
      <c r="A348" s="1">
        <v>58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"2026-04-02 11:15:10.948"</f>
        <v>2026-04-02 11:15:10.948</v>
      </c>
      <c r="H348" t="s">
        <v>21</v>
      </c>
      <c r="I348">
        <v>0</v>
      </c>
      <c r="J348" t="s">
        <v>22</v>
      </c>
    </row>
    <row r="349" spans="1:10" x14ac:dyDescent="0.25">
      <c r="A349" s="1">
        <v>59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"2026-04-01 08:58:20.087"</f>
        <v>2026-04-01 08:58:20.087</v>
      </c>
      <c r="H349" t="s">
        <v>21</v>
      </c>
    </row>
    <row r="350" spans="1:10" x14ac:dyDescent="0.25">
      <c r="A350" s="1">
        <v>60</v>
      </c>
      <c r="B350" t="s">
        <v>23</v>
      </c>
      <c r="C350">
        <v>635</v>
      </c>
      <c r="D350">
        <v>1</v>
      </c>
      <c r="E350" t="s">
        <v>24</v>
      </c>
      <c r="F350" t="s">
        <v>25</v>
      </c>
      <c r="G350" t="str">
        <f>"2026-04-01 04:55:00.019"</f>
        <v>2026-04-01 04:55:00.019</v>
      </c>
      <c r="H350" t="s">
        <v>21</v>
      </c>
    </row>
    <row r="351" spans="1:10" x14ac:dyDescent="0.25">
      <c r="A351" s="1">
        <v>61</v>
      </c>
      <c r="B351" t="s">
        <v>26</v>
      </c>
      <c r="C351">
        <v>635</v>
      </c>
      <c r="D351">
        <v>1</v>
      </c>
      <c r="E351" t="s">
        <v>24</v>
      </c>
      <c r="F351" t="s">
        <v>25</v>
      </c>
      <c r="G351" t="str">
        <f>"2026-04-01 04:53:05.519"</f>
        <v>2026-04-01 04:53:05.519</v>
      </c>
      <c r="H351" t="s">
        <v>21</v>
      </c>
      <c r="I351">
        <v>9.98</v>
      </c>
      <c r="J351" t="s">
        <v>31</v>
      </c>
    </row>
    <row r="352" spans="1:10" x14ac:dyDescent="0.25">
      <c r="A352" s="1">
        <v>62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"2026-03-31 16:39:02.219"</f>
        <v>2026-03-31 16:39:02.219</v>
      </c>
      <c r="H352" t="s">
        <v>21</v>
      </c>
    </row>
    <row r="353" spans="1:10" x14ac:dyDescent="0.25">
      <c r="A353" s="1">
        <v>63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"2026-03-31 16:35:44.319"</f>
        <v>2026-03-31 16:35:44.319</v>
      </c>
      <c r="H353" t="s">
        <v>21</v>
      </c>
      <c r="I353">
        <v>3.53</v>
      </c>
      <c r="J353" t="s">
        <v>27</v>
      </c>
    </row>
    <row r="354" spans="1:10" x14ac:dyDescent="0.25">
      <c r="A354" s="1">
        <v>65</v>
      </c>
      <c r="B354" t="s">
        <v>23</v>
      </c>
      <c r="C354">
        <v>635</v>
      </c>
      <c r="D354">
        <v>1</v>
      </c>
      <c r="E354" t="s">
        <v>24</v>
      </c>
      <c r="F354" t="s">
        <v>25</v>
      </c>
      <c r="G354" t="str">
        <f>"2026-03-31 02:48:00.119"</f>
        <v>2026-03-31 02:48:00.119</v>
      </c>
      <c r="H354" t="s">
        <v>21</v>
      </c>
    </row>
    <row r="355" spans="1:10" x14ac:dyDescent="0.25">
      <c r="A355" s="1">
        <v>66</v>
      </c>
      <c r="B355" t="s">
        <v>26</v>
      </c>
      <c r="C355">
        <v>635</v>
      </c>
      <c r="D355">
        <v>1</v>
      </c>
      <c r="E355" t="s">
        <v>24</v>
      </c>
      <c r="F355" t="s">
        <v>25</v>
      </c>
      <c r="G355" t="str">
        <f>"2026-03-31 02:43:39.119"</f>
        <v>2026-03-31 02:43:39.119</v>
      </c>
      <c r="H355" t="s">
        <v>21</v>
      </c>
      <c r="I355">
        <v>6.14</v>
      </c>
      <c r="J355" t="s">
        <v>27</v>
      </c>
    </row>
    <row r="356" spans="1:10" x14ac:dyDescent="0.25">
      <c r="A356" s="1">
        <v>67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"2026-03-29 12:55:21.998"</f>
        <v>2026-03-29 12:55:21.998</v>
      </c>
      <c r="H356" t="s">
        <v>21</v>
      </c>
      <c r="I356">
        <v>0</v>
      </c>
      <c r="J356" t="s">
        <v>22</v>
      </c>
    </row>
    <row r="357" spans="1:10" x14ac:dyDescent="0.25">
      <c r="A357" s="1">
        <v>68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"2026-03-28 19:51:05.953"</f>
        <v>2026-03-28 19:51:05.953</v>
      </c>
      <c r="H357" t="s">
        <v>21</v>
      </c>
      <c r="I357">
        <v>0</v>
      </c>
      <c r="J357" t="s">
        <v>22</v>
      </c>
    </row>
    <row r="358" spans="1:10" x14ac:dyDescent="0.25">
      <c r="A358" s="1">
        <v>69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"2026-03-28 17:32:02.953"</f>
        <v>2026-03-28 17:32:02.953</v>
      </c>
      <c r="H358" t="s">
        <v>21</v>
      </c>
      <c r="I358">
        <v>0</v>
      </c>
      <c r="J358" t="s">
        <v>22</v>
      </c>
    </row>
    <row r="359" spans="1:10" x14ac:dyDescent="0.25">
      <c r="A359" s="1">
        <v>70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"2026-03-28 16:48:50.063"</f>
        <v>2026-03-28 16:48:50.063</v>
      </c>
      <c r="H359" t="s">
        <v>21</v>
      </c>
      <c r="I359">
        <v>0</v>
      </c>
      <c r="J359" t="s">
        <v>22</v>
      </c>
    </row>
    <row r="360" spans="1:10" x14ac:dyDescent="0.25">
      <c r="A360" s="1">
        <v>71</v>
      </c>
      <c r="B360" t="s">
        <v>19</v>
      </c>
      <c r="C360">
        <v>706</v>
      </c>
      <c r="D360">
        <v>2</v>
      </c>
      <c r="E360" t="s">
        <v>32</v>
      </c>
      <c r="F360" t="s">
        <v>35</v>
      </c>
      <c r="G360" t="str">
        <f>"2026-03-28 16:33:54.720"</f>
        <v>2026-03-28 16:33:54.720</v>
      </c>
      <c r="H360" t="s">
        <v>21</v>
      </c>
      <c r="I360">
        <v>0</v>
      </c>
      <c r="J360" t="s">
        <v>34</v>
      </c>
    </row>
    <row r="361" spans="1:10" x14ac:dyDescent="0.25">
      <c r="A361" s="1">
        <v>72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"2026-03-28 16:26:41.950"</f>
        <v>2026-03-28 16:26:41.950</v>
      </c>
      <c r="H361" t="s">
        <v>21</v>
      </c>
      <c r="I361">
        <v>0</v>
      </c>
      <c r="J361" t="s">
        <v>22</v>
      </c>
    </row>
    <row r="362" spans="1:10" x14ac:dyDescent="0.25">
      <c r="A362" s="1">
        <v>73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"2026-03-28 15:36:10.218"</f>
        <v>2026-03-28 15:36:10.218</v>
      </c>
      <c r="H362" t="s">
        <v>21</v>
      </c>
      <c r="I362">
        <v>0</v>
      </c>
      <c r="J362" t="s">
        <v>22</v>
      </c>
    </row>
    <row r="363" spans="1:10" s="3" customFormat="1" x14ac:dyDescent="0.25">
      <c r="A363" s="2">
        <v>74</v>
      </c>
      <c r="B363" s="3" t="s">
        <v>23</v>
      </c>
      <c r="C363" s="3">
        <v>647</v>
      </c>
      <c r="D363" s="3">
        <v>1</v>
      </c>
      <c r="E363" s="3" t="s">
        <v>29</v>
      </c>
      <c r="F363" s="3" t="s">
        <v>30</v>
      </c>
      <c r="G363" s="3" t="str">
        <f>"2026-03-27 19:11:21.281"</f>
        <v>2026-03-27 19:11:21.281</v>
      </c>
      <c r="H363" s="3" t="s">
        <v>21</v>
      </c>
    </row>
    <row r="364" spans="1:10" s="3" customFormat="1" x14ac:dyDescent="0.25">
      <c r="A364" s="2">
        <v>75</v>
      </c>
      <c r="B364" s="3" t="s">
        <v>26</v>
      </c>
      <c r="C364" s="3">
        <v>647</v>
      </c>
      <c r="D364" s="3">
        <v>1</v>
      </c>
      <c r="E364" s="3" t="s">
        <v>29</v>
      </c>
      <c r="F364" s="3" t="s">
        <v>30</v>
      </c>
      <c r="G364" s="3" t="str">
        <f>"2026-03-27 19:11:19.981"</f>
        <v>2026-03-27 19:11:19.981</v>
      </c>
      <c r="H364" s="3" t="s">
        <v>21</v>
      </c>
      <c r="I364" s="3">
        <v>25.46</v>
      </c>
      <c r="J364" s="3" t="s">
        <v>31</v>
      </c>
    </row>
    <row r="365" spans="1:10" s="3" customFormat="1" x14ac:dyDescent="0.25">
      <c r="A365" s="2">
        <v>76</v>
      </c>
      <c r="B365" s="3" t="s">
        <v>23</v>
      </c>
      <c r="C365" s="3">
        <v>647</v>
      </c>
      <c r="D365" s="3">
        <v>1</v>
      </c>
      <c r="E365" s="3" t="s">
        <v>29</v>
      </c>
      <c r="F365" s="3" t="s">
        <v>30</v>
      </c>
      <c r="G365" s="3" t="str">
        <f>"2026-03-27 19:11:14.881"</f>
        <v>2026-03-27 19:11:14.881</v>
      </c>
      <c r="H365" s="3" t="s">
        <v>21</v>
      </c>
    </row>
    <row r="366" spans="1:10" s="3" customFormat="1" x14ac:dyDescent="0.25">
      <c r="A366" s="2">
        <v>77</v>
      </c>
      <c r="B366" s="3" t="s">
        <v>26</v>
      </c>
      <c r="C366" s="3">
        <v>647</v>
      </c>
      <c r="D366" s="3">
        <v>1</v>
      </c>
      <c r="E366" s="3" t="s">
        <v>29</v>
      </c>
      <c r="F366" s="3" t="s">
        <v>30</v>
      </c>
      <c r="G366" s="3" t="str">
        <f>"2026-03-27 19:11:13.781"</f>
        <v>2026-03-27 19:11:13.781</v>
      </c>
      <c r="H366" s="3" t="s">
        <v>21</v>
      </c>
      <c r="I366" s="3">
        <v>23.6</v>
      </c>
      <c r="J366" s="3" t="s">
        <v>31</v>
      </c>
    </row>
    <row r="367" spans="1:10" x14ac:dyDescent="0.25">
      <c r="A367" s="1">
        <v>78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"2026-03-27 13:12:16.959"</f>
        <v>2026-03-27 13:12:16.959</v>
      </c>
      <c r="H367" t="s">
        <v>21</v>
      </c>
      <c r="I367">
        <v>0</v>
      </c>
      <c r="J367" t="s">
        <v>22</v>
      </c>
    </row>
    <row r="368" spans="1:10" s="3" customFormat="1" x14ac:dyDescent="0.25">
      <c r="A368" s="2">
        <v>79</v>
      </c>
      <c r="B368" s="3" t="s">
        <v>23</v>
      </c>
      <c r="C368" s="3">
        <v>647</v>
      </c>
      <c r="D368" s="3">
        <v>1</v>
      </c>
      <c r="E368" s="3" t="s">
        <v>29</v>
      </c>
      <c r="F368" s="3" t="s">
        <v>30</v>
      </c>
      <c r="G368" s="3" t="str">
        <f>"2026-03-26 11:13:16.193"</f>
        <v>2026-03-26 11:13:16.193</v>
      </c>
      <c r="H368" s="3" t="s">
        <v>21</v>
      </c>
    </row>
    <row r="369" spans="1:10" s="3" customFormat="1" x14ac:dyDescent="0.25">
      <c r="A369" s="2">
        <v>80</v>
      </c>
      <c r="B369" s="3" t="s">
        <v>26</v>
      </c>
      <c r="C369" s="3">
        <v>647</v>
      </c>
      <c r="D369" s="3">
        <v>1</v>
      </c>
      <c r="E369" s="3" t="s">
        <v>29</v>
      </c>
      <c r="F369" s="3" t="s">
        <v>30</v>
      </c>
      <c r="G369" s="3" t="str">
        <f>"2026-03-26 11:13:14.693"</f>
        <v>2026-03-26 11:13:14.693</v>
      </c>
      <c r="H369" s="3" t="s">
        <v>21</v>
      </c>
      <c r="I369" s="3">
        <v>8.8000000000000007</v>
      </c>
      <c r="J369" s="3" t="s">
        <v>31</v>
      </c>
    </row>
    <row r="370" spans="1:10" x14ac:dyDescent="0.25">
      <c r="A370" s="1">
        <v>82</v>
      </c>
      <c r="B370" t="s">
        <v>23</v>
      </c>
      <c r="C370">
        <v>61</v>
      </c>
      <c r="D370">
        <v>2</v>
      </c>
      <c r="E370" t="s">
        <v>41</v>
      </c>
      <c r="F370" t="s">
        <v>42</v>
      </c>
      <c r="G370" t="str">
        <f>"2026-03-24 19:09:19.093"</f>
        <v>2026-03-24 19:09:19.093</v>
      </c>
      <c r="H370" t="s">
        <v>21</v>
      </c>
    </row>
    <row r="371" spans="1:10" x14ac:dyDescent="0.25">
      <c r="A371" s="1">
        <v>83</v>
      </c>
      <c r="B371" t="s">
        <v>39</v>
      </c>
      <c r="C371">
        <v>61</v>
      </c>
      <c r="D371">
        <v>2</v>
      </c>
      <c r="E371" t="s">
        <v>41</v>
      </c>
      <c r="F371" t="s">
        <v>42</v>
      </c>
      <c r="G371" t="str">
        <f>"2026-03-24 19:09:12.493"</f>
        <v>2026-03-24 19:09:12.493</v>
      </c>
      <c r="H371" t="s">
        <v>21</v>
      </c>
      <c r="I371">
        <v>35.64</v>
      </c>
      <c r="J371" t="s">
        <v>31</v>
      </c>
    </row>
    <row r="372" spans="1:10" x14ac:dyDescent="0.25">
      <c r="A372" s="1">
        <v>84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"2026-03-24 13:49:52.950"</f>
        <v>2026-03-24 13:49:52.950</v>
      </c>
      <c r="H372" t="s">
        <v>21</v>
      </c>
    </row>
    <row r="373" spans="1:10" x14ac:dyDescent="0.25">
      <c r="A373" s="1">
        <v>85</v>
      </c>
      <c r="B373" t="s">
        <v>23</v>
      </c>
      <c r="C373">
        <v>635</v>
      </c>
      <c r="D373">
        <v>1</v>
      </c>
      <c r="E373" t="s">
        <v>24</v>
      </c>
      <c r="F373" t="s">
        <v>25</v>
      </c>
      <c r="G373" t="str">
        <f>"2026-03-24 10:10:08.111"</f>
        <v>2026-03-24 10:10:08.111</v>
      </c>
      <c r="H373" t="s">
        <v>21</v>
      </c>
    </row>
    <row r="374" spans="1:10" x14ac:dyDescent="0.25">
      <c r="A374" s="1">
        <v>86</v>
      </c>
      <c r="B374" t="s">
        <v>26</v>
      </c>
      <c r="C374">
        <v>635</v>
      </c>
      <c r="D374">
        <v>1</v>
      </c>
      <c r="E374" t="s">
        <v>24</v>
      </c>
      <c r="F374" t="s">
        <v>25</v>
      </c>
      <c r="G374" t="str">
        <f>"2026-03-24 10:06:49.111"</f>
        <v>2026-03-24 10:06:49.111</v>
      </c>
      <c r="H374" t="s">
        <v>21</v>
      </c>
      <c r="I374">
        <v>2.77</v>
      </c>
      <c r="J374" t="s">
        <v>27</v>
      </c>
    </row>
    <row r="375" spans="1:10" x14ac:dyDescent="0.25">
      <c r="A375" s="1">
        <v>87</v>
      </c>
      <c r="B375" t="s">
        <v>23</v>
      </c>
      <c r="C375">
        <v>635</v>
      </c>
      <c r="D375">
        <v>1</v>
      </c>
      <c r="E375" t="s">
        <v>24</v>
      </c>
      <c r="F375" t="s">
        <v>25</v>
      </c>
      <c r="G375" t="str">
        <f>"2026-03-23 19:47:19.911"</f>
        <v>2026-03-23 19:47:19.911</v>
      </c>
      <c r="H375" t="s">
        <v>21</v>
      </c>
    </row>
    <row r="376" spans="1:10" x14ac:dyDescent="0.25">
      <c r="A376" s="1">
        <v>88</v>
      </c>
      <c r="B376" t="s">
        <v>26</v>
      </c>
      <c r="C376">
        <v>635</v>
      </c>
      <c r="D376">
        <v>1</v>
      </c>
      <c r="E376" t="s">
        <v>24</v>
      </c>
      <c r="F376" t="s">
        <v>25</v>
      </c>
      <c r="G376" t="str">
        <f>"2026-03-23 19:45:00.412"</f>
        <v>2026-03-23 19:45:00.412</v>
      </c>
      <c r="H376" t="s">
        <v>21</v>
      </c>
      <c r="I376">
        <v>7.9</v>
      </c>
      <c r="J376" t="s">
        <v>27</v>
      </c>
    </row>
    <row r="377" spans="1:10" x14ac:dyDescent="0.25">
      <c r="A377" s="1">
        <v>89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"2026-03-23 11:39:43.978"</f>
        <v>2026-03-23 11:39:43.978</v>
      </c>
      <c r="H377" t="s">
        <v>21</v>
      </c>
      <c r="I377">
        <v>0</v>
      </c>
      <c r="J377" t="s">
        <v>22</v>
      </c>
    </row>
    <row r="378" spans="1:10" x14ac:dyDescent="0.25">
      <c r="A378" s="1">
        <v>90</v>
      </c>
      <c r="B378" t="s">
        <v>23</v>
      </c>
      <c r="C378">
        <v>61</v>
      </c>
      <c r="D378">
        <v>2</v>
      </c>
      <c r="E378" t="s">
        <v>41</v>
      </c>
      <c r="F378" t="s">
        <v>42</v>
      </c>
      <c r="G378" t="str">
        <f>"2026-03-23 11:08:35.295"</f>
        <v>2026-03-23 11:08:35.295</v>
      </c>
      <c r="H378" t="s">
        <v>21</v>
      </c>
    </row>
    <row r="379" spans="1:10" x14ac:dyDescent="0.25">
      <c r="A379" s="1">
        <v>91</v>
      </c>
      <c r="B379" t="s">
        <v>39</v>
      </c>
      <c r="C379">
        <v>61</v>
      </c>
      <c r="D379">
        <v>2</v>
      </c>
      <c r="E379" t="s">
        <v>41</v>
      </c>
      <c r="F379" t="s">
        <v>42</v>
      </c>
      <c r="G379" t="str">
        <f>"2026-03-23 11:08:25.895"</f>
        <v>2026-03-23 11:08:25.895</v>
      </c>
      <c r="H379" t="s">
        <v>21</v>
      </c>
      <c r="I379">
        <v>35.380000000000003</v>
      </c>
      <c r="J379" t="s">
        <v>31</v>
      </c>
    </row>
    <row r="380" spans="1:10" x14ac:dyDescent="0.25">
      <c r="A380" s="1">
        <v>92</v>
      </c>
      <c r="B380" t="s">
        <v>23</v>
      </c>
      <c r="C380">
        <v>61</v>
      </c>
      <c r="D380">
        <v>2</v>
      </c>
      <c r="E380" t="s">
        <v>41</v>
      </c>
      <c r="F380" t="s">
        <v>42</v>
      </c>
      <c r="G380" t="str">
        <f>"2026-03-23 09:41:53.595"</f>
        <v>2026-03-23 09:41:53.595</v>
      </c>
      <c r="H380" t="s">
        <v>21</v>
      </c>
    </row>
    <row r="381" spans="1:10" x14ac:dyDescent="0.25">
      <c r="A381" s="1">
        <v>93</v>
      </c>
      <c r="B381" t="s">
        <v>39</v>
      </c>
      <c r="C381">
        <v>61</v>
      </c>
      <c r="D381">
        <v>2</v>
      </c>
      <c r="E381" t="s">
        <v>41</v>
      </c>
      <c r="F381" t="s">
        <v>42</v>
      </c>
      <c r="G381" t="str">
        <f>"2026-03-23 09:41:44.095"</f>
        <v>2026-03-23 09:41:44.095</v>
      </c>
      <c r="H381" t="s">
        <v>21</v>
      </c>
      <c r="I381">
        <v>35.49</v>
      </c>
      <c r="J381" t="s">
        <v>31</v>
      </c>
    </row>
    <row r="382" spans="1:10" x14ac:dyDescent="0.25">
      <c r="A382" s="1">
        <v>94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"2026-03-22 10:29:03.953"</f>
        <v>2026-03-22 10:29:03.953</v>
      </c>
      <c r="H382" t="s">
        <v>21</v>
      </c>
      <c r="I382">
        <v>0</v>
      </c>
      <c r="J382" t="s">
        <v>22</v>
      </c>
    </row>
    <row r="383" spans="1:10" x14ac:dyDescent="0.25">
      <c r="A383" s="1">
        <v>95</v>
      </c>
      <c r="B383" t="s">
        <v>23</v>
      </c>
      <c r="C383">
        <v>61</v>
      </c>
      <c r="D383">
        <v>2</v>
      </c>
      <c r="E383" t="s">
        <v>41</v>
      </c>
      <c r="F383" t="s">
        <v>42</v>
      </c>
      <c r="G383" t="str">
        <f>"2026-03-20 03:40:19.502"</f>
        <v>2026-03-20 03:40:19.502</v>
      </c>
      <c r="H383" t="s">
        <v>21</v>
      </c>
    </row>
    <row r="384" spans="1:10" x14ac:dyDescent="0.25">
      <c r="A384" s="1">
        <v>96</v>
      </c>
      <c r="B384" t="s">
        <v>39</v>
      </c>
      <c r="C384">
        <v>61</v>
      </c>
      <c r="D384">
        <v>2</v>
      </c>
      <c r="E384" t="s">
        <v>41</v>
      </c>
      <c r="F384" t="s">
        <v>42</v>
      </c>
      <c r="G384" t="str">
        <f>"2026-03-20 03:40:14.502"</f>
        <v>2026-03-20 03:40:14.502</v>
      </c>
      <c r="H384" t="s">
        <v>21</v>
      </c>
      <c r="I384">
        <v>36.74</v>
      </c>
      <c r="J384" t="s">
        <v>31</v>
      </c>
    </row>
    <row r="385" spans="1:10" x14ac:dyDescent="0.25">
      <c r="A385" s="1">
        <v>97</v>
      </c>
      <c r="B385" t="s">
        <v>23</v>
      </c>
      <c r="C385">
        <v>61</v>
      </c>
      <c r="D385">
        <v>2</v>
      </c>
      <c r="E385" t="s">
        <v>41</v>
      </c>
      <c r="F385" t="s">
        <v>42</v>
      </c>
      <c r="G385" t="str">
        <f>"2026-03-20 03:22:57.702"</f>
        <v>2026-03-20 03:22:57.702</v>
      </c>
      <c r="H385" t="s">
        <v>21</v>
      </c>
    </row>
    <row r="386" spans="1:10" x14ac:dyDescent="0.25">
      <c r="A386" s="1">
        <v>98</v>
      </c>
      <c r="B386" t="s">
        <v>39</v>
      </c>
      <c r="C386">
        <v>61</v>
      </c>
      <c r="D386">
        <v>2</v>
      </c>
      <c r="E386" t="s">
        <v>41</v>
      </c>
      <c r="F386" t="s">
        <v>42</v>
      </c>
      <c r="G386" t="str">
        <f>"2026-03-20 03:22:54.002"</f>
        <v>2026-03-20 03:22:54.002</v>
      </c>
      <c r="H386" t="s">
        <v>21</v>
      </c>
      <c r="I386">
        <v>35.35</v>
      </c>
      <c r="J386" t="s">
        <v>31</v>
      </c>
    </row>
    <row r="387" spans="1:10" x14ac:dyDescent="0.25">
      <c r="A387" s="1">
        <v>99</v>
      </c>
      <c r="B387" t="s">
        <v>23</v>
      </c>
      <c r="C387">
        <v>61</v>
      </c>
      <c r="D387">
        <v>2</v>
      </c>
      <c r="E387" t="s">
        <v>41</v>
      </c>
      <c r="F387" t="s">
        <v>42</v>
      </c>
      <c r="G387" t="str">
        <f>"2026-03-20 02:06:08.202"</f>
        <v>2026-03-20 02:06:08.202</v>
      </c>
      <c r="H387" t="s">
        <v>21</v>
      </c>
    </row>
    <row r="388" spans="1:10" x14ac:dyDescent="0.25">
      <c r="A388" s="1">
        <v>0</v>
      </c>
      <c r="B388" t="s">
        <v>39</v>
      </c>
      <c r="C388">
        <v>61</v>
      </c>
      <c r="D388">
        <v>2</v>
      </c>
      <c r="E388" t="s">
        <v>41</v>
      </c>
      <c r="F388" t="s">
        <v>42</v>
      </c>
      <c r="G388" t="str">
        <f>"2026-03-20 02:06:01.802"</f>
        <v>2026-03-20 02:06:01.802</v>
      </c>
      <c r="H388" t="s">
        <v>21</v>
      </c>
      <c r="I388">
        <v>37.64</v>
      </c>
      <c r="J388" t="s">
        <v>31</v>
      </c>
    </row>
    <row r="389" spans="1:10" x14ac:dyDescent="0.25">
      <c r="A389" s="1">
        <v>1</v>
      </c>
      <c r="B389" t="s">
        <v>23</v>
      </c>
      <c r="C389">
        <v>635</v>
      </c>
      <c r="D389">
        <v>1</v>
      </c>
      <c r="E389" t="s">
        <v>24</v>
      </c>
      <c r="F389" t="s">
        <v>25</v>
      </c>
      <c r="G389" t="str">
        <f>"2026-03-20 01:26:15.941"</f>
        <v>2026-03-20 01:26:15.941</v>
      </c>
      <c r="H389" t="s">
        <v>21</v>
      </c>
    </row>
    <row r="390" spans="1:10" x14ac:dyDescent="0.25">
      <c r="A390" s="1">
        <v>2</v>
      </c>
      <c r="B390" t="s">
        <v>26</v>
      </c>
      <c r="C390">
        <v>635</v>
      </c>
      <c r="D390">
        <v>1</v>
      </c>
      <c r="E390" t="s">
        <v>24</v>
      </c>
      <c r="F390" t="s">
        <v>25</v>
      </c>
      <c r="G390" t="str">
        <f>"2026-03-20 01:18:19.941"</f>
        <v>2026-03-20 01:18:19.941</v>
      </c>
      <c r="H390" t="s">
        <v>21</v>
      </c>
      <c r="I390">
        <v>8.75</v>
      </c>
      <c r="J390" t="s">
        <v>28</v>
      </c>
    </row>
    <row r="391" spans="1:10" x14ac:dyDescent="0.25">
      <c r="A391" s="1">
        <v>3</v>
      </c>
      <c r="B391" t="s">
        <v>23</v>
      </c>
      <c r="C391">
        <v>635</v>
      </c>
      <c r="D391">
        <v>1</v>
      </c>
      <c r="E391" t="s">
        <v>24</v>
      </c>
      <c r="F391" t="s">
        <v>25</v>
      </c>
      <c r="G391" t="str">
        <f>"2026-03-19 22:06:22.641"</f>
        <v>2026-03-19 22:06:22.641</v>
      </c>
      <c r="H391" t="s">
        <v>21</v>
      </c>
    </row>
    <row r="392" spans="1:10" x14ac:dyDescent="0.25">
      <c r="A392" s="1">
        <v>4</v>
      </c>
      <c r="B392" t="s">
        <v>26</v>
      </c>
      <c r="C392">
        <v>635</v>
      </c>
      <c r="D392">
        <v>1</v>
      </c>
      <c r="E392" t="s">
        <v>24</v>
      </c>
      <c r="F392" t="s">
        <v>25</v>
      </c>
      <c r="G392" t="str">
        <f>"2026-03-19 21:58:58.641"</f>
        <v>2026-03-19 21:58:58.641</v>
      </c>
      <c r="H392" t="s">
        <v>21</v>
      </c>
      <c r="I392">
        <v>6.62</v>
      </c>
      <c r="J392" t="s">
        <v>27</v>
      </c>
    </row>
    <row r="393" spans="1:10" x14ac:dyDescent="0.25">
      <c r="A393" s="1">
        <v>5</v>
      </c>
      <c r="B393" t="s">
        <v>23</v>
      </c>
      <c r="C393">
        <v>635</v>
      </c>
      <c r="D393">
        <v>1</v>
      </c>
      <c r="E393" t="s">
        <v>24</v>
      </c>
      <c r="F393" t="s">
        <v>25</v>
      </c>
      <c r="G393" t="str">
        <f>"2026-03-19 21:00:14.241"</f>
        <v>2026-03-19 21:00:14.241</v>
      </c>
      <c r="H393" t="s">
        <v>21</v>
      </c>
    </row>
    <row r="394" spans="1:10" x14ac:dyDescent="0.25">
      <c r="A394" s="1">
        <v>6</v>
      </c>
      <c r="B394" t="s">
        <v>26</v>
      </c>
      <c r="C394">
        <v>635</v>
      </c>
      <c r="D394">
        <v>1</v>
      </c>
      <c r="E394" t="s">
        <v>24</v>
      </c>
      <c r="F394" t="s">
        <v>25</v>
      </c>
      <c r="G394" t="str">
        <f>"2026-03-19 20:50:06.241"</f>
        <v>2026-03-19 20:50:06.241</v>
      </c>
      <c r="H394" t="s">
        <v>21</v>
      </c>
      <c r="I394">
        <v>9.4</v>
      </c>
      <c r="J394" t="s">
        <v>31</v>
      </c>
    </row>
    <row r="395" spans="1:10" s="3" customFormat="1" x14ac:dyDescent="0.25">
      <c r="A395" s="2">
        <v>7</v>
      </c>
      <c r="B395" s="3" t="s">
        <v>23</v>
      </c>
      <c r="C395" s="3">
        <v>647</v>
      </c>
      <c r="D395" s="3">
        <v>1</v>
      </c>
      <c r="E395" s="3" t="s">
        <v>29</v>
      </c>
      <c r="F395" s="3" t="s">
        <v>30</v>
      </c>
      <c r="G395" s="3" t="str">
        <f>"2026-03-19 17:21:28.390"</f>
        <v>2026-03-19 17:21:28.390</v>
      </c>
      <c r="H395" s="3" t="s">
        <v>21</v>
      </c>
    </row>
    <row r="396" spans="1:10" s="3" customFormat="1" x14ac:dyDescent="0.25">
      <c r="A396" s="2">
        <v>8</v>
      </c>
      <c r="B396" s="3" t="s">
        <v>26</v>
      </c>
      <c r="C396" s="3">
        <v>647</v>
      </c>
      <c r="D396" s="3">
        <v>1</v>
      </c>
      <c r="E396" s="3" t="s">
        <v>29</v>
      </c>
      <c r="F396" s="3" t="s">
        <v>30</v>
      </c>
      <c r="G396" s="3" t="str">
        <f>"2026-03-19 17:21:25.890"</f>
        <v>2026-03-19 17:21:25.890</v>
      </c>
      <c r="H396" s="3" t="s">
        <v>21</v>
      </c>
      <c r="I396" s="3">
        <v>9.2799999999999994</v>
      </c>
      <c r="J396" s="3" t="s">
        <v>31</v>
      </c>
    </row>
    <row r="397" spans="1:10" x14ac:dyDescent="0.25">
      <c r="A397" s="1">
        <v>9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"2026-03-19 10:06:54.159"</f>
        <v>2026-03-19 10:06:54.159</v>
      </c>
      <c r="H397" t="s">
        <v>21</v>
      </c>
      <c r="I397">
        <v>0</v>
      </c>
      <c r="J397" t="s">
        <v>22</v>
      </c>
    </row>
    <row r="398" spans="1:10" x14ac:dyDescent="0.25">
      <c r="A398" s="1">
        <v>10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"2026-03-18 12:42:16.934"</f>
        <v>2026-03-18 12:42:16.934</v>
      </c>
      <c r="H398" t="s">
        <v>21</v>
      </c>
      <c r="I398">
        <v>0</v>
      </c>
      <c r="J398" t="s">
        <v>22</v>
      </c>
    </row>
    <row r="399" spans="1:10" x14ac:dyDescent="0.25">
      <c r="A399" s="1">
        <v>11</v>
      </c>
      <c r="B399" t="s">
        <v>19</v>
      </c>
      <c r="C399">
        <v>706</v>
      </c>
      <c r="D399">
        <v>2</v>
      </c>
      <c r="E399" t="s">
        <v>32</v>
      </c>
      <c r="F399" t="s">
        <v>35</v>
      </c>
      <c r="G399" t="str">
        <f>"2026-03-18 11:20:33.773"</f>
        <v>2026-03-18 11:20:33.773</v>
      </c>
      <c r="H399" t="s">
        <v>21</v>
      </c>
      <c r="I399">
        <v>0</v>
      </c>
      <c r="J399" t="s">
        <v>34</v>
      </c>
    </row>
    <row r="400" spans="1:10" x14ac:dyDescent="0.25">
      <c r="A400" s="1">
        <v>12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"2026-03-18 09:55:03.053"</f>
        <v>2026-03-18 09:55:03.053</v>
      </c>
      <c r="H400" t="s">
        <v>21</v>
      </c>
      <c r="I400">
        <v>0</v>
      </c>
      <c r="J400" t="s">
        <v>22</v>
      </c>
    </row>
    <row r="401" spans="1:10" x14ac:dyDescent="0.25">
      <c r="A401" s="1">
        <v>13</v>
      </c>
      <c r="B401" t="s">
        <v>23</v>
      </c>
      <c r="C401">
        <v>635</v>
      </c>
      <c r="D401">
        <v>1</v>
      </c>
      <c r="E401" t="s">
        <v>24</v>
      </c>
      <c r="F401" t="s">
        <v>25</v>
      </c>
      <c r="G401" t="str">
        <f>"2026-03-18 02:00:02.083"</f>
        <v>2026-03-18 02:00:02.083</v>
      </c>
      <c r="H401" t="s">
        <v>21</v>
      </c>
    </row>
    <row r="402" spans="1:10" x14ac:dyDescent="0.25">
      <c r="A402" s="1">
        <v>14</v>
      </c>
      <c r="B402" t="s">
        <v>26</v>
      </c>
      <c r="C402">
        <v>635</v>
      </c>
      <c r="D402">
        <v>1</v>
      </c>
      <c r="E402" t="s">
        <v>24</v>
      </c>
      <c r="F402" t="s">
        <v>25</v>
      </c>
      <c r="G402" t="str">
        <f>"2026-03-18 01:56:13.083"</f>
        <v>2026-03-18 01:56:13.083</v>
      </c>
      <c r="H402" t="s">
        <v>21</v>
      </c>
      <c r="I402">
        <v>0</v>
      </c>
      <c r="J402" t="s">
        <v>28</v>
      </c>
    </row>
    <row r="403" spans="1:10" x14ac:dyDescent="0.25">
      <c r="A403" s="1">
        <v>15</v>
      </c>
      <c r="B403" t="s">
        <v>43</v>
      </c>
      <c r="C403">
        <v>86</v>
      </c>
      <c r="D403">
        <v>17</v>
      </c>
      <c r="E403" t="s">
        <v>44</v>
      </c>
      <c r="F403" t="s">
        <v>45</v>
      </c>
      <c r="G403" t="str">
        <f>"2026-03-17 15:49:13.921"</f>
        <v>2026-03-17 15:49:13.921</v>
      </c>
      <c r="H403" t="s">
        <v>21</v>
      </c>
    </row>
    <row r="404" spans="1:10" x14ac:dyDescent="0.25">
      <c r="A404" s="1">
        <v>16</v>
      </c>
      <c r="B404" t="s">
        <v>43</v>
      </c>
      <c r="C404">
        <v>86</v>
      </c>
      <c r="D404">
        <v>8</v>
      </c>
      <c r="E404" t="s">
        <v>44</v>
      </c>
      <c r="F404" t="s">
        <v>46</v>
      </c>
      <c r="G404" t="str">
        <f>"2026-03-17 15:49:13.918"</f>
        <v>2026-03-17 15:49:13.918</v>
      </c>
      <c r="H404" t="s">
        <v>21</v>
      </c>
    </row>
    <row r="405" spans="1:10" x14ac:dyDescent="0.25">
      <c r="A405" s="1">
        <v>17</v>
      </c>
      <c r="B405" t="s">
        <v>39</v>
      </c>
      <c r="C405">
        <v>86</v>
      </c>
      <c r="D405">
        <v>17</v>
      </c>
      <c r="E405" t="s">
        <v>44</v>
      </c>
      <c r="F405" t="s">
        <v>45</v>
      </c>
      <c r="G405" t="str">
        <f>"2026-03-17 15:48:43.872"</f>
        <v>2026-03-17 15:48:43.872</v>
      </c>
      <c r="H405" t="s">
        <v>21</v>
      </c>
      <c r="I405">
        <v>4.49</v>
      </c>
      <c r="J405" t="s">
        <v>28</v>
      </c>
    </row>
    <row r="406" spans="1:10" x14ac:dyDescent="0.25">
      <c r="A406" s="1">
        <v>18</v>
      </c>
      <c r="B406" t="s">
        <v>39</v>
      </c>
      <c r="C406">
        <v>86</v>
      </c>
      <c r="D406">
        <v>8</v>
      </c>
      <c r="E406" t="s">
        <v>44</v>
      </c>
      <c r="F406" t="s">
        <v>46</v>
      </c>
      <c r="G406" t="str">
        <f>"2026-03-17 15:48:43.867"</f>
        <v>2026-03-17 15:48:43.867</v>
      </c>
      <c r="H406" t="s">
        <v>21</v>
      </c>
      <c r="I406">
        <v>4.49</v>
      </c>
      <c r="J406" t="s">
        <v>28</v>
      </c>
    </row>
    <row r="407" spans="1:10" x14ac:dyDescent="0.25">
      <c r="A407" s="1">
        <v>19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"2026-03-17 15:48:36.286"</f>
        <v>2026-03-17 15:48:36.286</v>
      </c>
      <c r="H407" t="s">
        <v>21</v>
      </c>
      <c r="I407">
        <v>0</v>
      </c>
      <c r="J407" t="s">
        <v>22</v>
      </c>
    </row>
    <row r="408" spans="1:10" x14ac:dyDescent="0.25">
      <c r="A408" s="1">
        <v>20</v>
      </c>
      <c r="B408" t="s">
        <v>23</v>
      </c>
      <c r="C408">
        <v>635</v>
      </c>
      <c r="D408">
        <v>1</v>
      </c>
      <c r="E408" t="s">
        <v>24</v>
      </c>
      <c r="F408" t="s">
        <v>25</v>
      </c>
      <c r="G408" t="str">
        <f>"2026-03-16 00:05:38.693"</f>
        <v>2026-03-16 00:05:38.693</v>
      </c>
      <c r="H408" t="s">
        <v>21</v>
      </c>
    </row>
    <row r="409" spans="1:10" x14ac:dyDescent="0.25">
      <c r="A409" s="1">
        <v>21</v>
      </c>
      <c r="B409" t="s">
        <v>26</v>
      </c>
      <c r="C409">
        <v>635</v>
      </c>
      <c r="D409">
        <v>1</v>
      </c>
      <c r="E409" t="s">
        <v>24</v>
      </c>
      <c r="F409" t="s">
        <v>25</v>
      </c>
      <c r="G409" t="str">
        <f>"2026-03-16 00:01:01.192"</f>
        <v>2026-03-16 00:01:01.192</v>
      </c>
      <c r="H409" t="s">
        <v>21</v>
      </c>
      <c r="I409">
        <v>2.2000000000000002</v>
      </c>
      <c r="J409" t="s">
        <v>27</v>
      </c>
    </row>
    <row r="410" spans="1:10" x14ac:dyDescent="0.25">
      <c r="A410" s="1">
        <v>22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"2026-03-15 20:07:42.934"</f>
        <v>2026-03-15 20:07:42.934</v>
      </c>
      <c r="H410" t="s">
        <v>21</v>
      </c>
    </row>
    <row r="411" spans="1:10" x14ac:dyDescent="0.25">
      <c r="A411" s="1">
        <v>23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"2026-03-15 13:41:23.945"</f>
        <v>2026-03-15 13:41:23.945</v>
      </c>
      <c r="H411" t="s">
        <v>21</v>
      </c>
    </row>
    <row r="412" spans="1:10" x14ac:dyDescent="0.25">
      <c r="A412" s="1">
        <v>24</v>
      </c>
      <c r="B412" t="s">
        <v>43</v>
      </c>
      <c r="C412">
        <v>135</v>
      </c>
      <c r="D412">
        <v>7</v>
      </c>
      <c r="E412" t="s">
        <v>47</v>
      </c>
      <c r="F412" t="s">
        <v>48</v>
      </c>
      <c r="G412" t="str">
        <f>"2026-03-15 04:29:43.755"</f>
        <v>2026-03-15 04:29:43.755</v>
      </c>
      <c r="H412" t="s">
        <v>49</v>
      </c>
    </row>
    <row r="413" spans="1:10" x14ac:dyDescent="0.25">
      <c r="A413" s="1">
        <v>25</v>
      </c>
      <c r="B413" t="s">
        <v>39</v>
      </c>
      <c r="C413">
        <v>135</v>
      </c>
      <c r="D413">
        <v>7</v>
      </c>
      <c r="E413" t="s">
        <v>47</v>
      </c>
      <c r="F413" t="s">
        <v>48</v>
      </c>
      <c r="G413" t="str">
        <f>"2026-03-15 04:29:38.690"</f>
        <v>2026-03-15 04:29:38.690</v>
      </c>
      <c r="H413" t="s">
        <v>49</v>
      </c>
      <c r="I413">
        <v>27.15</v>
      </c>
      <c r="J413" t="s">
        <v>27</v>
      </c>
    </row>
    <row r="414" spans="1:10" x14ac:dyDescent="0.25">
      <c r="A414" s="1">
        <v>26</v>
      </c>
      <c r="B414" t="s">
        <v>23</v>
      </c>
      <c r="C414">
        <v>635</v>
      </c>
      <c r="D414">
        <v>1</v>
      </c>
      <c r="E414" t="s">
        <v>24</v>
      </c>
      <c r="F414" t="s">
        <v>25</v>
      </c>
      <c r="G414" t="str">
        <f>"2026-03-14 23:00:04.415"</f>
        <v>2026-03-14 23:00:04.415</v>
      </c>
      <c r="H414" t="s">
        <v>21</v>
      </c>
    </row>
    <row r="415" spans="1:10" x14ac:dyDescent="0.25">
      <c r="A415" s="1">
        <v>27</v>
      </c>
      <c r="B415" t="s">
        <v>26</v>
      </c>
      <c r="C415">
        <v>635</v>
      </c>
      <c r="D415">
        <v>1</v>
      </c>
      <c r="E415" t="s">
        <v>24</v>
      </c>
      <c r="F415" t="s">
        <v>25</v>
      </c>
      <c r="G415" t="str">
        <f>"2026-03-14 22:57:32.915"</f>
        <v>2026-03-14 22:57:32.915</v>
      </c>
      <c r="H415" t="s">
        <v>21</v>
      </c>
      <c r="I415">
        <v>4.2</v>
      </c>
      <c r="J415" t="s">
        <v>27</v>
      </c>
    </row>
    <row r="416" spans="1:10" x14ac:dyDescent="0.25">
      <c r="A416" s="1">
        <v>28</v>
      </c>
      <c r="B416" t="s">
        <v>43</v>
      </c>
      <c r="C416">
        <v>135</v>
      </c>
      <c r="D416">
        <v>7</v>
      </c>
      <c r="E416" t="s">
        <v>47</v>
      </c>
      <c r="F416" t="s">
        <v>48</v>
      </c>
      <c r="G416" t="str">
        <f>"2026-03-14 21:42:00.755"</f>
        <v>2026-03-14 21:42:00.755</v>
      </c>
      <c r="H416" t="s">
        <v>49</v>
      </c>
    </row>
    <row r="417" spans="1:10" x14ac:dyDescent="0.25">
      <c r="A417" s="1">
        <v>29</v>
      </c>
      <c r="B417" t="s">
        <v>39</v>
      </c>
      <c r="C417">
        <v>135</v>
      </c>
      <c r="D417">
        <v>7</v>
      </c>
      <c r="E417" t="s">
        <v>47</v>
      </c>
      <c r="F417" t="s">
        <v>48</v>
      </c>
      <c r="G417" t="str">
        <f>"2026-03-14 21:41:55.750"</f>
        <v>2026-03-14 21:41:55.750</v>
      </c>
      <c r="H417" t="s">
        <v>49</v>
      </c>
      <c r="I417">
        <v>21.66</v>
      </c>
      <c r="J417" t="s">
        <v>27</v>
      </c>
    </row>
    <row r="418" spans="1:10" x14ac:dyDescent="0.25">
      <c r="A418" s="1">
        <v>30</v>
      </c>
      <c r="B418" t="s">
        <v>23</v>
      </c>
      <c r="C418">
        <v>635</v>
      </c>
      <c r="D418">
        <v>1</v>
      </c>
      <c r="E418" t="s">
        <v>24</v>
      </c>
      <c r="F418" t="s">
        <v>25</v>
      </c>
      <c r="G418" t="str">
        <f>"2026-03-14 20:10:13.615"</f>
        <v>2026-03-14 20:10:13.615</v>
      </c>
      <c r="H418" t="s">
        <v>21</v>
      </c>
    </row>
    <row r="419" spans="1:10" x14ac:dyDescent="0.25">
      <c r="A419" s="1">
        <v>31</v>
      </c>
      <c r="B419" t="s">
        <v>26</v>
      </c>
      <c r="C419">
        <v>635</v>
      </c>
      <c r="D419">
        <v>1</v>
      </c>
      <c r="E419" t="s">
        <v>24</v>
      </c>
      <c r="F419" t="s">
        <v>25</v>
      </c>
      <c r="G419" t="str">
        <f>"2026-03-14 20:05:16.615"</f>
        <v>2026-03-14 20:05:16.615</v>
      </c>
      <c r="H419" t="s">
        <v>21</v>
      </c>
      <c r="I419">
        <v>2.78</v>
      </c>
      <c r="J419" t="s">
        <v>27</v>
      </c>
    </row>
    <row r="420" spans="1:10" s="3" customFormat="1" x14ac:dyDescent="0.25">
      <c r="A420" s="2">
        <v>32</v>
      </c>
      <c r="B420" s="3" t="s">
        <v>23</v>
      </c>
      <c r="C420" s="3">
        <v>647</v>
      </c>
      <c r="D420" s="3">
        <v>1</v>
      </c>
      <c r="E420" s="3" t="s">
        <v>29</v>
      </c>
      <c r="F420" s="3" t="s">
        <v>30</v>
      </c>
      <c r="G420" s="3" t="str">
        <f>"2026-03-14 07:01:48.615"</f>
        <v>2026-03-14 07:01:48.615</v>
      </c>
      <c r="H420" s="3" t="s">
        <v>21</v>
      </c>
    </row>
    <row r="421" spans="1:10" s="3" customFormat="1" x14ac:dyDescent="0.25">
      <c r="A421" s="2">
        <v>33</v>
      </c>
      <c r="B421" s="3" t="s">
        <v>26</v>
      </c>
      <c r="C421" s="3">
        <v>647</v>
      </c>
      <c r="D421" s="3">
        <v>1</v>
      </c>
      <c r="E421" s="3" t="s">
        <v>29</v>
      </c>
      <c r="F421" s="3" t="s">
        <v>30</v>
      </c>
      <c r="G421" s="3" t="str">
        <f>"2026-03-14 07:01:44.116"</f>
        <v>2026-03-14 07:01:44.116</v>
      </c>
      <c r="H421" s="3" t="s">
        <v>21</v>
      </c>
      <c r="I421" s="3">
        <v>9.0299999999999994</v>
      </c>
      <c r="J421" s="3" t="s">
        <v>31</v>
      </c>
    </row>
    <row r="422" spans="1:10" x14ac:dyDescent="0.25">
      <c r="A422" s="1">
        <v>34</v>
      </c>
      <c r="B422" t="s">
        <v>23</v>
      </c>
      <c r="C422">
        <v>635</v>
      </c>
      <c r="D422">
        <v>1</v>
      </c>
      <c r="E422" t="s">
        <v>24</v>
      </c>
      <c r="F422" t="s">
        <v>25</v>
      </c>
      <c r="G422" t="str">
        <f>"2026-03-12 16:45:44.215"</f>
        <v>2026-03-12 16:45:44.215</v>
      </c>
      <c r="H422" t="s">
        <v>21</v>
      </c>
    </row>
    <row r="423" spans="1:10" x14ac:dyDescent="0.25">
      <c r="A423" s="1">
        <v>35</v>
      </c>
      <c r="B423" t="s">
        <v>26</v>
      </c>
      <c r="C423">
        <v>635</v>
      </c>
      <c r="D423">
        <v>1</v>
      </c>
      <c r="E423" t="s">
        <v>24</v>
      </c>
      <c r="F423" t="s">
        <v>25</v>
      </c>
      <c r="G423" t="str">
        <f>"2026-03-12 16:36:07.215"</f>
        <v>2026-03-12 16:36:07.215</v>
      </c>
      <c r="H423" t="s">
        <v>21</v>
      </c>
      <c r="I423">
        <v>0</v>
      </c>
      <c r="J423" t="s">
        <v>28</v>
      </c>
    </row>
    <row r="424" spans="1:10" x14ac:dyDescent="0.25">
      <c r="A424" s="1">
        <v>36</v>
      </c>
      <c r="B424" t="s">
        <v>50</v>
      </c>
      <c r="C424">
        <v>33</v>
      </c>
      <c r="D424">
        <v>1</v>
      </c>
      <c r="E424" t="s">
        <v>51</v>
      </c>
      <c r="F424" t="s">
        <v>52</v>
      </c>
      <c r="G424" t="str">
        <f>"2026-03-11 06:25:32.116"</f>
        <v>2026-03-11 06:25:32.116</v>
      </c>
      <c r="H424" t="s">
        <v>53</v>
      </c>
    </row>
    <row r="425" spans="1:10" x14ac:dyDescent="0.25">
      <c r="A425" s="1">
        <v>37</v>
      </c>
      <c r="B425" t="s">
        <v>39</v>
      </c>
      <c r="C425">
        <v>33</v>
      </c>
      <c r="D425">
        <v>1</v>
      </c>
      <c r="E425" t="s">
        <v>51</v>
      </c>
      <c r="F425" t="s">
        <v>52</v>
      </c>
      <c r="G425" t="str">
        <f>"2026-03-11 06:25:22.295"</f>
        <v>2026-03-11 06:25:22.295</v>
      </c>
      <c r="H425" t="s">
        <v>53</v>
      </c>
      <c r="I425">
        <v>6.9</v>
      </c>
      <c r="J425" t="s">
        <v>27</v>
      </c>
    </row>
    <row r="426" spans="1:10" s="3" customFormat="1" x14ac:dyDescent="0.25">
      <c r="A426" s="2">
        <v>38</v>
      </c>
      <c r="B426" s="3" t="s">
        <v>23</v>
      </c>
      <c r="C426" s="3">
        <v>647</v>
      </c>
      <c r="D426" s="3">
        <v>1</v>
      </c>
      <c r="E426" s="3" t="s">
        <v>29</v>
      </c>
      <c r="F426" s="3" t="s">
        <v>30</v>
      </c>
      <c r="G426" s="3" t="str">
        <f>"2026-03-10 22:56:08.816"</f>
        <v>2026-03-10 22:56:08.816</v>
      </c>
      <c r="H426" s="3" t="s">
        <v>21</v>
      </c>
    </row>
    <row r="427" spans="1:10" s="3" customFormat="1" x14ac:dyDescent="0.25">
      <c r="A427" s="2">
        <v>39</v>
      </c>
      <c r="B427" s="3" t="s">
        <v>26</v>
      </c>
      <c r="C427" s="3">
        <v>647</v>
      </c>
      <c r="D427" s="3">
        <v>1</v>
      </c>
      <c r="E427" s="3" t="s">
        <v>29</v>
      </c>
      <c r="F427" s="3" t="s">
        <v>30</v>
      </c>
      <c r="G427" s="3" t="str">
        <f>"2026-03-10 22:56:07.116"</f>
        <v>2026-03-10 22:56:07.116</v>
      </c>
      <c r="H427" s="3" t="s">
        <v>21</v>
      </c>
      <c r="I427" s="3">
        <v>14.91</v>
      </c>
      <c r="J427" s="3" t="s">
        <v>31</v>
      </c>
    </row>
    <row r="428" spans="1:10" s="3" customFormat="1" x14ac:dyDescent="0.25">
      <c r="A428" s="2">
        <v>40</v>
      </c>
      <c r="B428" s="3" t="s">
        <v>23</v>
      </c>
      <c r="C428" s="3">
        <v>647</v>
      </c>
      <c r="D428" s="3">
        <v>1</v>
      </c>
      <c r="E428" s="3" t="s">
        <v>29</v>
      </c>
      <c r="F428" s="3" t="s">
        <v>30</v>
      </c>
      <c r="G428" s="3" t="str">
        <f>"2026-03-10 14:25:06.616"</f>
        <v>2026-03-10 14:25:06.616</v>
      </c>
      <c r="H428" s="3" t="s">
        <v>21</v>
      </c>
    </row>
    <row r="429" spans="1:10" s="3" customFormat="1" x14ac:dyDescent="0.25">
      <c r="A429" s="2">
        <v>41</v>
      </c>
      <c r="B429" s="3" t="s">
        <v>26</v>
      </c>
      <c r="C429" s="3">
        <v>647</v>
      </c>
      <c r="D429" s="3">
        <v>1</v>
      </c>
      <c r="E429" s="3" t="s">
        <v>29</v>
      </c>
      <c r="F429" s="3" t="s">
        <v>30</v>
      </c>
      <c r="G429" s="3" t="str">
        <f>"2026-03-10 14:24:59.716"</f>
        <v>2026-03-10 14:24:59.716</v>
      </c>
      <c r="H429" s="3" t="s">
        <v>21</v>
      </c>
      <c r="I429" s="3">
        <v>10.82</v>
      </c>
      <c r="J429" s="3" t="s">
        <v>31</v>
      </c>
    </row>
    <row r="430" spans="1:10" x14ac:dyDescent="0.25">
      <c r="A430" s="1">
        <v>42</v>
      </c>
      <c r="B430" t="s">
        <v>43</v>
      </c>
      <c r="C430">
        <v>117</v>
      </c>
      <c r="D430">
        <v>7</v>
      </c>
      <c r="E430" t="s">
        <v>54</v>
      </c>
      <c r="F430" t="s">
        <v>55</v>
      </c>
      <c r="G430" t="str">
        <f>"2026-03-10 05:09:31.355"</f>
        <v>2026-03-10 05:09:31.355</v>
      </c>
      <c r="H430" t="s">
        <v>49</v>
      </c>
    </row>
    <row r="431" spans="1:10" x14ac:dyDescent="0.25">
      <c r="A431" s="1">
        <v>43</v>
      </c>
      <c r="B431" t="s">
        <v>39</v>
      </c>
      <c r="C431">
        <v>117</v>
      </c>
      <c r="D431">
        <v>7</v>
      </c>
      <c r="E431" t="s">
        <v>54</v>
      </c>
      <c r="F431" t="s">
        <v>55</v>
      </c>
      <c r="G431" t="str">
        <f>"2026-03-10 05:09:26.310"</f>
        <v>2026-03-10 05:09:26.310</v>
      </c>
      <c r="H431" t="s">
        <v>49</v>
      </c>
      <c r="I431">
        <v>6.83</v>
      </c>
      <c r="J431" t="s">
        <v>27</v>
      </c>
    </row>
    <row r="432" spans="1:10" x14ac:dyDescent="0.25">
      <c r="A432" s="1">
        <v>45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"2026-03-09 18:15:50.176"</f>
        <v>2026-03-09 18:15:50.176</v>
      </c>
      <c r="H432" t="s">
        <v>21</v>
      </c>
    </row>
    <row r="433" spans="1:10" x14ac:dyDescent="0.25">
      <c r="A433" s="1">
        <v>46</v>
      </c>
      <c r="B433" t="s">
        <v>43</v>
      </c>
      <c r="C433">
        <v>135</v>
      </c>
      <c r="D433">
        <v>7</v>
      </c>
      <c r="E433" t="s">
        <v>47</v>
      </c>
      <c r="F433" t="s">
        <v>48</v>
      </c>
      <c r="G433" t="str">
        <f>"2026-03-09 04:44:36.490"</f>
        <v>2026-03-09 04:44:36.490</v>
      </c>
      <c r="H433" t="s">
        <v>49</v>
      </c>
    </row>
    <row r="434" spans="1:10" x14ac:dyDescent="0.25">
      <c r="A434" s="1">
        <v>47</v>
      </c>
      <c r="B434" t="s">
        <v>39</v>
      </c>
      <c r="C434">
        <v>135</v>
      </c>
      <c r="D434">
        <v>7</v>
      </c>
      <c r="E434" t="s">
        <v>47</v>
      </c>
      <c r="F434" t="s">
        <v>48</v>
      </c>
      <c r="G434" t="str">
        <f>"2026-03-09 04:44:31.437"</f>
        <v>2026-03-09 04:44:31.437</v>
      </c>
      <c r="H434" t="s">
        <v>49</v>
      </c>
      <c r="I434">
        <v>6.95</v>
      </c>
      <c r="J434" t="s">
        <v>27</v>
      </c>
    </row>
    <row r="435" spans="1:10" x14ac:dyDescent="0.25">
      <c r="A435" s="1">
        <v>48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"2026-03-09 02:04:50.450"</f>
        <v>2026-03-09 02:04:50.450</v>
      </c>
      <c r="H435" t="s">
        <v>21</v>
      </c>
    </row>
    <row r="436" spans="1:10" x14ac:dyDescent="0.25">
      <c r="A436" s="1">
        <v>49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"2026-03-09 02:00:50.450"</f>
        <v>2026-03-09 02:00:50.450</v>
      </c>
      <c r="H436" t="s">
        <v>21</v>
      </c>
      <c r="I436">
        <v>1.77</v>
      </c>
      <c r="J436" t="s">
        <v>27</v>
      </c>
    </row>
    <row r="437" spans="1:10" x14ac:dyDescent="0.25">
      <c r="A437" s="1">
        <v>50</v>
      </c>
      <c r="B437" t="s">
        <v>43</v>
      </c>
      <c r="C437">
        <v>135</v>
      </c>
      <c r="D437">
        <v>7</v>
      </c>
      <c r="E437" t="s">
        <v>47</v>
      </c>
      <c r="F437" t="s">
        <v>48</v>
      </c>
      <c r="G437" t="str">
        <f>"2026-03-09 01:44:50.989"</f>
        <v>2026-03-09 01:44:50.989</v>
      </c>
      <c r="H437" t="s">
        <v>49</v>
      </c>
    </row>
    <row r="438" spans="1:10" x14ac:dyDescent="0.25">
      <c r="A438" s="1">
        <v>51</v>
      </c>
      <c r="B438" t="s">
        <v>39</v>
      </c>
      <c r="C438">
        <v>135</v>
      </c>
      <c r="D438">
        <v>7</v>
      </c>
      <c r="E438" t="s">
        <v>47</v>
      </c>
      <c r="F438" t="s">
        <v>48</v>
      </c>
      <c r="G438" t="str">
        <f>"2026-03-09 01:44:45.937"</f>
        <v>2026-03-09 01:44:45.937</v>
      </c>
      <c r="H438" t="s">
        <v>49</v>
      </c>
      <c r="I438">
        <v>8.7100000000000009</v>
      </c>
      <c r="J438" t="s">
        <v>27</v>
      </c>
    </row>
    <row r="439" spans="1:10" x14ac:dyDescent="0.25">
      <c r="A439" s="1">
        <v>52</v>
      </c>
      <c r="B439" t="s">
        <v>23</v>
      </c>
      <c r="C439">
        <v>635</v>
      </c>
      <c r="D439">
        <v>1</v>
      </c>
      <c r="E439" t="s">
        <v>24</v>
      </c>
      <c r="F439" t="s">
        <v>25</v>
      </c>
      <c r="G439" t="str">
        <f>"2026-03-08 23:03:26.050"</f>
        <v>2026-03-08 23:03:26.050</v>
      </c>
      <c r="H439" t="s">
        <v>21</v>
      </c>
    </row>
    <row r="440" spans="1:10" x14ac:dyDescent="0.25">
      <c r="A440" s="1">
        <v>53</v>
      </c>
      <c r="B440" t="s">
        <v>26</v>
      </c>
      <c r="C440">
        <v>635</v>
      </c>
      <c r="D440">
        <v>1</v>
      </c>
      <c r="E440" t="s">
        <v>24</v>
      </c>
      <c r="F440" t="s">
        <v>25</v>
      </c>
      <c r="G440" t="str">
        <f>"2026-03-08 22:57:40.550"</f>
        <v>2026-03-08 22:57:40.550</v>
      </c>
      <c r="H440" t="s">
        <v>21</v>
      </c>
      <c r="I440">
        <v>0.01</v>
      </c>
      <c r="J440" t="s">
        <v>28</v>
      </c>
    </row>
    <row r="441" spans="1:10" x14ac:dyDescent="0.25">
      <c r="A441" s="1">
        <v>54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"2026-03-08 16:51:38.932"</f>
        <v>2026-03-08 16:51:38.932</v>
      </c>
      <c r="H441" t="s">
        <v>21</v>
      </c>
    </row>
    <row r="442" spans="1:10" x14ac:dyDescent="0.25">
      <c r="A442" s="1">
        <v>55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"2026-03-08 16:37:52.933"</f>
        <v>2026-03-08 16:37:52.933</v>
      </c>
      <c r="H442" t="s">
        <v>21</v>
      </c>
      <c r="I442">
        <v>0</v>
      </c>
      <c r="J442" t="s">
        <v>22</v>
      </c>
    </row>
    <row r="443" spans="1:10" x14ac:dyDescent="0.25">
      <c r="A443" s="1">
        <v>56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"2026-03-08 16:17:39.968"</f>
        <v>2026-03-08 16:17:39.968</v>
      </c>
      <c r="H443" t="s">
        <v>21</v>
      </c>
      <c r="I443">
        <v>0</v>
      </c>
      <c r="J443" t="s">
        <v>22</v>
      </c>
    </row>
    <row r="444" spans="1:10" x14ac:dyDescent="0.25">
      <c r="A444" s="1">
        <v>57</v>
      </c>
      <c r="B444" t="s">
        <v>19</v>
      </c>
      <c r="C444">
        <v>706</v>
      </c>
      <c r="D444">
        <v>2</v>
      </c>
      <c r="E444" t="s">
        <v>32</v>
      </c>
      <c r="F444" t="s">
        <v>35</v>
      </c>
      <c r="G444" t="str">
        <f>"2026-03-08 15:33:47.508"</f>
        <v>2026-03-08 15:33:47.508</v>
      </c>
      <c r="H444" t="s">
        <v>21</v>
      </c>
      <c r="I444">
        <v>0</v>
      </c>
      <c r="J444" t="s">
        <v>34</v>
      </c>
    </row>
    <row r="445" spans="1:10" x14ac:dyDescent="0.25">
      <c r="A445" s="1">
        <v>58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"2026-03-08 15:33:17.918"</f>
        <v>2026-03-08 15:33:17.918</v>
      </c>
      <c r="H445" t="s">
        <v>21</v>
      </c>
    </row>
    <row r="446" spans="1:10" x14ac:dyDescent="0.25">
      <c r="A446" s="1">
        <v>59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"2026-03-07 22:59:44.920"</f>
        <v>2026-03-07 22:59:44.920</v>
      </c>
      <c r="H446" t="s">
        <v>21</v>
      </c>
      <c r="I446">
        <v>0</v>
      </c>
      <c r="J446" t="s">
        <v>22</v>
      </c>
    </row>
    <row r="447" spans="1:10" x14ac:dyDescent="0.25">
      <c r="A447" s="1">
        <v>60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"2026-03-07 20:26:54.923"</f>
        <v>2026-03-07 20:26:54.923</v>
      </c>
      <c r="H447" t="s">
        <v>21</v>
      </c>
      <c r="I447">
        <v>0</v>
      </c>
      <c r="J447" t="s">
        <v>22</v>
      </c>
    </row>
    <row r="448" spans="1:10" x14ac:dyDescent="0.25">
      <c r="A448" s="1">
        <v>61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"2026-03-07 18:49:24.955"</f>
        <v>2026-03-07 18:49:24.955</v>
      </c>
      <c r="H448" t="s">
        <v>21</v>
      </c>
      <c r="I448">
        <v>0</v>
      </c>
      <c r="J448" t="s">
        <v>22</v>
      </c>
    </row>
    <row r="449" spans="1:10" x14ac:dyDescent="0.25">
      <c r="A449" s="1">
        <v>62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"2026-03-06 08:14:45.928"</f>
        <v>2026-03-06 08:14:45.928</v>
      </c>
      <c r="H449" t="s">
        <v>21</v>
      </c>
      <c r="I449">
        <v>0</v>
      </c>
      <c r="J449" t="s">
        <v>22</v>
      </c>
    </row>
    <row r="450" spans="1:10" x14ac:dyDescent="0.25">
      <c r="A450" s="1">
        <v>63</v>
      </c>
      <c r="B450" t="s">
        <v>43</v>
      </c>
      <c r="C450">
        <v>135</v>
      </c>
      <c r="D450">
        <v>7</v>
      </c>
      <c r="E450" t="s">
        <v>47</v>
      </c>
      <c r="F450" t="s">
        <v>48</v>
      </c>
      <c r="G450" t="str">
        <f>"2026-03-06 03:33:19.137"</f>
        <v>2026-03-06 03:33:19.137</v>
      </c>
      <c r="H450" t="s">
        <v>49</v>
      </c>
    </row>
    <row r="451" spans="1:10" x14ac:dyDescent="0.25">
      <c r="A451" s="1">
        <v>64</v>
      </c>
      <c r="B451" t="s">
        <v>39</v>
      </c>
      <c r="C451">
        <v>135</v>
      </c>
      <c r="D451">
        <v>7</v>
      </c>
      <c r="E451" t="s">
        <v>47</v>
      </c>
      <c r="F451" t="s">
        <v>48</v>
      </c>
      <c r="G451" t="str">
        <f>"2026-03-06 03:33:14.078"</f>
        <v>2026-03-06 03:33:14.078</v>
      </c>
      <c r="H451" t="s">
        <v>49</v>
      </c>
      <c r="I451">
        <v>23.86</v>
      </c>
      <c r="J451" t="s">
        <v>27</v>
      </c>
    </row>
    <row r="452" spans="1:10" x14ac:dyDescent="0.25">
      <c r="A452" s="1">
        <v>65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"2026-03-05 09:09:24.095"</f>
        <v>2026-03-05 09:09:24.095</v>
      </c>
      <c r="H452" t="s">
        <v>21</v>
      </c>
      <c r="I452">
        <v>0</v>
      </c>
      <c r="J452" t="s">
        <v>22</v>
      </c>
    </row>
    <row r="453" spans="1:10" x14ac:dyDescent="0.25">
      <c r="A453" s="1">
        <v>66</v>
      </c>
      <c r="B453" t="s">
        <v>43</v>
      </c>
      <c r="C453">
        <v>135</v>
      </c>
      <c r="D453">
        <v>4</v>
      </c>
      <c r="E453" t="s">
        <v>47</v>
      </c>
      <c r="F453" t="s">
        <v>56</v>
      </c>
      <c r="G453" t="str">
        <f>"2026-03-05 04:52:38.496"</f>
        <v>2026-03-05 04:52:38.496</v>
      </c>
      <c r="H453" t="s">
        <v>49</v>
      </c>
    </row>
    <row r="454" spans="1:10" x14ac:dyDescent="0.25">
      <c r="A454" s="1">
        <v>67</v>
      </c>
      <c r="B454" t="s">
        <v>39</v>
      </c>
      <c r="C454">
        <v>135</v>
      </c>
      <c r="D454">
        <v>4</v>
      </c>
      <c r="E454" t="s">
        <v>47</v>
      </c>
      <c r="F454" t="s">
        <v>56</v>
      </c>
      <c r="G454" t="str">
        <f>"2026-03-05 04:52:33.477"</f>
        <v>2026-03-05 04:52:33.477</v>
      </c>
      <c r="H454" t="s">
        <v>49</v>
      </c>
      <c r="I454">
        <v>6.7</v>
      </c>
      <c r="J454" t="s">
        <v>27</v>
      </c>
    </row>
    <row r="455" spans="1:10" x14ac:dyDescent="0.25">
      <c r="A455" s="1">
        <v>68</v>
      </c>
      <c r="B455" t="s">
        <v>23</v>
      </c>
      <c r="C455">
        <v>61</v>
      </c>
      <c r="D455">
        <v>2</v>
      </c>
      <c r="E455" t="s">
        <v>41</v>
      </c>
      <c r="F455" t="s">
        <v>42</v>
      </c>
      <c r="G455" t="str">
        <f>"2026-03-04 07:16:05.063"</f>
        <v>2026-03-04 07:16:05.063</v>
      </c>
      <c r="H455" t="s">
        <v>21</v>
      </c>
    </row>
    <row r="456" spans="1:10" x14ac:dyDescent="0.25">
      <c r="A456" s="1">
        <v>69</v>
      </c>
      <c r="B456" t="s">
        <v>39</v>
      </c>
      <c r="C456">
        <v>61</v>
      </c>
      <c r="D456">
        <v>2</v>
      </c>
      <c r="E456" t="s">
        <v>41</v>
      </c>
      <c r="F456" t="s">
        <v>42</v>
      </c>
      <c r="G456" t="str">
        <f>"2026-03-04 07:15:57.164"</f>
        <v>2026-03-04 07:15:57.164</v>
      </c>
      <c r="H456" t="s">
        <v>21</v>
      </c>
      <c r="I456">
        <v>35.31</v>
      </c>
      <c r="J456" t="s">
        <v>31</v>
      </c>
    </row>
    <row r="457" spans="1:10" x14ac:dyDescent="0.25">
      <c r="A457" s="1">
        <v>70</v>
      </c>
      <c r="B457" t="s">
        <v>23</v>
      </c>
      <c r="C457">
        <v>635</v>
      </c>
      <c r="D457">
        <v>1</v>
      </c>
      <c r="E457" t="s">
        <v>24</v>
      </c>
      <c r="F457" t="s">
        <v>25</v>
      </c>
      <c r="G457" t="str">
        <f>"2026-03-02 05:18:15.331"</f>
        <v>2026-03-02 05:18:15.331</v>
      </c>
      <c r="H457" t="s">
        <v>21</v>
      </c>
    </row>
    <row r="458" spans="1:10" x14ac:dyDescent="0.25">
      <c r="A458" s="1">
        <v>71</v>
      </c>
      <c r="B458" t="s">
        <v>26</v>
      </c>
      <c r="C458">
        <v>635</v>
      </c>
      <c r="D458">
        <v>1</v>
      </c>
      <c r="E458" t="s">
        <v>24</v>
      </c>
      <c r="F458" t="s">
        <v>25</v>
      </c>
      <c r="G458" t="str">
        <f>"2026-03-02 05:08:39.331"</f>
        <v>2026-03-02 05:08:39.331</v>
      </c>
      <c r="H458" t="s">
        <v>21</v>
      </c>
      <c r="I458">
        <v>4.7699999999999996</v>
      </c>
      <c r="J458" t="s">
        <v>31</v>
      </c>
    </row>
    <row r="459" spans="1:10" x14ac:dyDescent="0.25">
      <c r="A459" s="1">
        <v>72</v>
      </c>
      <c r="B459" t="s">
        <v>23</v>
      </c>
      <c r="C459">
        <v>635</v>
      </c>
      <c r="D459">
        <v>1</v>
      </c>
      <c r="E459" t="s">
        <v>24</v>
      </c>
      <c r="F459" t="s">
        <v>25</v>
      </c>
      <c r="G459" t="str">
        <f>"2026-03-01 13:40:00.631"</f>
        <v>2026-03-01 13:40:00.631</v>
      </c>
      <c r="H459" t="s">
        <v>21</v>
      </c>
    </row>
    <row r="460" spans="1:10" x14ac:dyDescent="0.25">
      <c r="A460" s="1">
        <v>73</v>
      </c>
      <c r="B460" t="s">
        <v>26</v>
      </c>
      <c r="C460">
        <v>635</v>
      </c>
      <c r="D460">
        <v>1</v>
      </c>
      <c r="E460" t="s">
        <v>24</v>
      </c>
      <c r="F460" t="s">
        <v>25</v>
      </c>
      <c r="G460" t="str">
        <f>"2026-03-01 13:34:41.631"</f>
        <v>2026-03-01 13:34:41.631</v>
      </c>
      <c r="H460" t="s">
        <v>21</v>
      </c>
      <c r="I460">
        <v>2.88</v>
      </c>
      <c r="J460" t="s">
        <v>27</v>
      </c>
    </row>
    <row r="461" spans="1:10" x14ac:dyDescent="0.25">
      <c r="A461" s="1">
        <v>74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"2026-02-27 16:43:29.954"</f>
        <v>2026-02-27 16:43:29.954</v>
      </c>
      <c r="H461" t="s">
        <v>21</v>
      </c>
      <c r="I461">
        <v>0</v>
      </c>
      <c r="J461" t="s">
        <v>22</v>
      </c>
    </row>
    <row r="462" spans="1:10" x14ac:dyDescent="0.25">
      <c r="A462" s="1">
        <v>75</v>
      </c>
      <c r="B462" t="s">
        <v>23</v>
      </c>
      <c r="C462">
        <v>635</v>
      </c>
      <c r="D462">
        <v>1</v>
      </c>
      <c r="E462" t="s">
        <v>24</v>
      </c>
      <c r="F462" t="s">
        <v>25</v>
      </c>
      <c r="G462" t="str">
        <f>"2026-02-27 15:25:29.559"</f>
        <v>2026-02-27 15:25:29.559</v>
      </c>
      <c r="H462" t="s">
        <v>21</v>
      </c>
    </row>
    <row r="463" spans="1:10" x14ac:dyDescent="0.25">
      <c r="A463" s="1">
        <v>76</v>
      </c>
      <c r="B463" t="s">
        <v>26</v>
      </c>
      <c r="C463">
        <v>635</v>
      </c>
      <c r="D463">
        <v>1</v>
      </c>
      <c r="E463" t="s">
        <v>24</v>
      </c>
      <c r="F463" t="s">
        <v>25</v>
      </c>
      <c r="G463" t="str">
        <f>"2026-02-27 15:21:06.059"</f>
        <v>2026-02-27 15:21:06.059</v>
      </c>
      <c r="H463" t="s">
        <v>21</v>
      </c>
      <c r="I463">
        <v>7.63</v>
      </c>
      <c r="J463" t="s">
        <v>27</v>
      </c>
    </row>
    <row r="464" spans="1:10" x14ac:dyDescent="0.25">
      <c r="A464" s="1">
        <v>77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"2026-02-26 20:06:41.947"</f>
        <v>2026-02-26 20:06:41.947</v>
      </c>
      <c r="H464" t="s">
        <v>21</v>
      </c>
    </row>
    <row r="465" spans="1:10" x14ac:dyDescent="0.25">
      <c r="A465" s="1">
        <v>78</v>
      </c>
      <c r="B465" t="s">
        <v>23</v>
      </c>
      <c r="C465">
        <v>61</v>
      </c>
      <c r="D465">
        <v>2</v>
      </c>
      <c r="E465" t="s">
        <v>41</v>
      </c>
      <c r="F465" t="s">
        <v>42</v>
      </c>
      <c r="G465" t="str">
        <f>"2026-02-25 23:23:34.941"</f>
        <v>2026-02-25 23:23:34.941</v>
      </c>
      <c r="H465" t="s">
        <v>21</v>
      </c>
    </row>
    <row r="466" spans="1:10" x14ac:dyDescent="0.25">
      <c r="A466" s="1">
        <v>79</v>
      </c>
      <c r="B466" t="s">
        <v>39</v>
      </c>
      <c r="C466">
        <v>61</v>
      </c>
      <c r="D466">
        <v>2</v>
      </c>
      <c r="E466" t="s">
        <v>41</v>
      </c>
      <c r="F466" t="s">
        <v>42</v>
      </c>
      <c r="G466" t="str">
        <f>"2026-02-25 23:23:22.142"</f>
        <v>2026-02-25 23:23:22.142</v>
      </c>
      <c r="H466" t="s">
        <v>21</v>
      </c>
      <c r="I466">
        <v>36.99</v>
      </c>
      <c r="J466" t="s">
        <v>31</v>
      </c>
    </row>
    <row r="467" spans="1:10" x14ac:dyDescent="0.25">
      <c r="A467" s="1">
        <v>80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"2026-02-25 22:16:30.972"</f>
        <v>2026-02-25 22:16:30.972</v>
      </c>
      <c r="H467" t="s">
        <v>21</v>
      </c>
    </row>
    <row r="468" spans="1:10" x14ac:dyDescent="0.25">
      <c r="A468" s="1">
        <v>81</v>
      </c>
      <c r="B468" t="s">
        <v>19</v>
      </c>
      <c r="C468">
        <v>706</v>
      </c>
      <c r="D468">
        <v>2</v>
      </c>
      <c r="E468" t="s">
        <v>32</v>
      </c>
      <c r="F468" t="s">
        <v>35</v>
      </c>
      <c r="G468" t="str">
        <f>"2026-02-24 20:05:27.263"</f>
        <v>2026-02-24 20:05:27.263</v>
      </c>
      <c r="H468" t="s">
        <v>21</v>
      </c>
      <c r="I468">
        <v>0</v>
      </c>
      <c r="J468" t="s">
        <v>34</v>
      </c>
    </row>
    <row r="469" spans="1:10" x14ac:dyDescent="0.25">
      <c r="A469" s="1">
        <v>82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"2026-02-24 20:03:24.933"</f>
        <v>2026-02-24 20:03:24.933</v>
      </c>
      <c r="H469" t="s">
        <v>21</v>
      </c>
      <c r="I469">
        <v>0</v>
      </c>
      <c r="J469" t="s">
        <v>22</v>
      </c>
    </row>
    <row r="470" spans="1:10" x14ac:dyDescent="0.25">
      <c r="A470" s="1">
        <v>83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"2026-02-24 17:09:10.927"</f>
        <v>2026-02-24 17:09:10.927</v>
      </c>
      <c r="H470" t="s">
        <v>21</v>
      </c>
      <c r="I470">
        <v>0</v>
      </c>
      <c r="J470" t="s">
        <v>22</v>
      </c>
    </row>
    <row r="471" spans="1:10" x14ac:dyDescent="0.25">
      <c r="A471" s="1">
        <v>84</v>
      </c>
      <c r="B471" t="s">
        <v>39</v>
      </c>
      <c r="C471">
        <v>630</v>
      </c>
      <c r="D471">
        <v>5</v>
      </c>
      <c r="E471" t="s">
        <v>36</v>
      </c>
      <c r="F471" t="s">
        <v>37</v>
      </c>
      <c r="G471" t="str">
        <f>"2026-02-24 15:30:05.672"</f>
        <v>2026-02-24 15:30:05.672</v>
      </c>
      <c r="H471" t="s">
        <v>38</v>
      </c>
      <c r="I471">
        <v>0</v>
      </c>
      <c r="J471" t="s">
        <v>34</v>
      </c>
    </row>
    <row r="472" spans="1:10" x14ac:dyDescent="0.25">
      <c r="A472" s="1">
        <v>85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"2026-02-24 15:25:02.924"</f>
        <v>2026-02-24 15:25:02.924</v>
      </c>
      <c r="H472" t="s">
        <v>21</v>
      </c>
      <c r="I472">
        <v>0</v>
      </c>
      <c r="J472" t="s">
        <v>22</v>
      </c>
    </row>
    <row r="473" spans="1:10" x14ac:dyDescent="0.25">
      <c r="A473" s="1">
        <v>86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"2026-02-24 10:50:27.934"</f>
        <v>2026-02-24 10:50:27.934</v>
      </c>
      <c r="H473" t="s">
        <v>21</v>
      </c>
      <c r="I473">
        <v>0</v>
      </c>
      <c r="J473" t="s">
        <v>22</v>
      </c>
    </row>
    <row r="474" spans="1:10" x14ac:dyDescent="0.25">
      <c r="A474" s="1">
        <v>87</v>
      </c>
      <c r="B474" t="s">
        <v>23</v>
      </c>
      <c r="C474">
        <v>635</v>
      </c>
      <c r="D474">
        <v>1</v>
      </c>
      <c r="E474" t="s">
        <v>24</v>
      </c>
      <c r="F474" t="s">
        <v>25</v>
      </c>
      <c r="G474" t="str">
        <f>"2026-02-24 08:57:48.355"</f>
        <v>2026-02-24 08:57:48.355</v>
      </c>
      <c r="H474" t="s">
        <v>21</v>
      </c>
    </row>
    <row r="475" spans="1:10" x14ac:dyDescent="0.25">
      <c r="A475" s="1">
        <v>88</v>
      </c>
      <c r="B475" t="s">
        <v>26</v>
      </c>
      <c r="C475">
        <v>635</v>
      </c>
      <c r="D475">
        <v>1</v>
      </c>
      <c r="E475" t="s">
        <v>24</v>
      </c>
      <c r="F475" t="s">
        <v>25</v>
      </c>
      <c r="G475" t="str">
        <f>"2026-02-24 08:45:08.856"</f>
        <v>2026-02-24 08:45:08.856</v>
      </c>
      <c r="H475" t="s">
        <v>21</v>
      </c>
      <c r="I475">
        <v>11.46</v>
      </c>
      <c r="J475" t="s">
        <v>31</v>
      </c>
    </row>
    <row r="476" spans="1:10" x14ac:dyDescent="0.25">
      <c r="A476" s="1">
        <v>89</v>
      </c>
      <c r="B476" t="s">
        <v>43</v>
      </c>
      <c r="C476">
        <v>137</v>
      </c>
      <c r="D476">
        <v>4</v>
      </c>
      <c r="E476" t="s">
        <v>57</v>
      </c>
      <c r="F476" t="s">
        <v>56</v>
      </c>
      <c r="G476" t="str">
        <f>"2026-02-24 07:48:48.710"</f>
        <v>2026-02-24 07:48:48.710</v>
      </c>
      <c r="H476" t="s">
        <v>49</v>
      </c>
    </row>
    <row r="477" spans="1:10" x14ac:dyDescent="0.25">
      <c r="A477" s="1">
        <v>90</v>
      </c>
      <c r="B477" t="s">
        <v>39</v>
      </c>
      <c r="C477">
        <v>137</v>
      </c>
      <c r="D477">
        <v>4</v>
      </c>
      <c r="E477" t="s">
        <v>57</v>
      </c>
      <c r="F477" t="s">
        <v>56</v>
      </c>
      <c r="G477" t="str">
        <f>"2026-02-24 07:48:43.629"</f>
        <v>2026-02-24 07:48:43.629</v>
      </c>
      <c r="H477" t="s">
        <v>49</v>
      </c>
      <c r="I477">
        <v>16.62</v>
      </c>
      <c r="J477" t="s">
        <v>27</v>
      </c>
    </row>
    <row r="478" spans="1:10" x14ac:dyDescent="0.25">
      <c r="A478" s="1">
        <v>91</v>
      </c>
      <c r="B478" t="s">
        <v>43</v>
      </c>
      <c r="C478">
        <v>137</v>
      </c>
      <c r="D478">
        <v>4</v>
      </c>
      <c r="E478" t="s">
        <v>57</v>
      </c>
      <c r="F478" t="s">
        <v>56</v>
      </c>
      <c r="G478" t="str">
        <f>"2026-02-24 05:13:03.610"</f>
        <v>2026-02-24 05:13:03.610</v>
      </c>
      <c r="H478" t="s">
        <v>49</v>
      </c>
    </row>
    <row r="479" spans="1:10" x14ac:dyDescent="0.25">
      <c r="A479" s="1">
        <v>92</v>
      </c>
      <c r="B479" t="s">
        <v>39</v>
      </c>
      <c r="C479">
        <v>137</v>
      </c>
      <c r="D479">
        <v>4</v>
      </c>
      <c r="E479" t="s">
        <v>57</v>
      </c>
      <c r="F479" t="s">
        <v>56</v>
      </c>
      <c r="G479" t="str">
        <f>"2026-02-24 05:12:58.569"</f>
        <v>2026-02-24 05:12:58.569</v>
      </c>
      <c r="H479" t="s">
        <v>49</v>
      </c>
      <c r="I479">
        <v>17.600000000000001</v>
      </c>
      <c r="J479" t="s">
        <v>28</v>
      </c>
    </row>
    <row r="480" spans="1:10" x14ac:dyDescent="0.25">
      <c r="A480" s="1">
        <v>93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"2026-02-23 10:34:35.955"</f>
        <v>2026-02-23 10:34:35.955</v>
      </c>
      <c r="H480" t="s">
        <v>21</v>
      </c>
      <c r="I480">
        <v>0</v>
      </c>
      <c r="J480" t="s">
        <v>22</v>
      </c>
    </row>
    <row r="481" spans="1:10" x14ac:dyDescent="0.25">
      <c r="A481" s="1">
        <v>94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"2026-02-22 13:55:12.158"</f>
        <v>2026-02-22 13:55:12.158</v>
      </c>
      <c r="H481" t="s">
        <v>21</v>
      </c>
    </row>
    <row r="482" spans="1:10" x14ac:dyDescent="0.25">
      <c r="A482" s="1">
        <v>95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"2026-02-21 19:57:03.946"</f>
        <v>2026-02-21 19:57:03.946</v>
      </c>
      <c r="H482" t="s">
        <v>21</v>
      </c>
    </row>
    <row r="483" spans="1:10" x14ac:dyDescent="0.25">
      <c r="A483" s="1">
        <v>96</v>
      </c>
      <c r="B483" t="s">
        <v>23</v>
      </c>
      <c r="C483">
        <v>635</v>
      </c>
      <c r="D483">
        <v>1</v>
      </c>
      <c r="E483" t="s">
        <v>24</v>
      </c>
      <c r="F483" t="s">
        <v>25</v>
      </c>
      <c r="G483" t="str">
        <f>"2026-02-21 04:47:35.554"</f>
        <v>2026-02-21 04:47:35.554</v>
      </c>
      <c r="H483" t="s">
        <v>21</v>
      </c>
    </row>
    <row r="484" spans="1:10" x14ac:dyDescent="0.25">
      <c r="A484" s="1">
        <v>97</v>
      </c>
      <c r="B484" t="s">
        <v>26</v>
      </c>
      <c r="C484">
        <v>635</v>
      </c>
      <c r="D484">
        <v>1</v>
      </c>
      <c r="E484" t="s">
        <v>24</v>
      </c>
      <c r="F484" t="s">
        <v>25</v>
      </c>
      <c r="G484" t="str">
        <f>"2026-02-21 04:42:08.054"</f>
        <v>2026-02-21 04:42:08.054</v>
      </c>
      <c r="H484" t="s">
        <v>21</v>
      </c>
      <c r="I484">
        <v>3.5</v>
      </c>
      <c r="J484" t="s">
        <v>27</v>
      </c>
    </row>
    <row r="485" spans="1:10" x14ac:dyDescent="0.25">
      <c r="A485" s="1">
        <v>98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"2026-02-20 10:17:39.954"</f>
        <v>2026-02-20 10:17:39.954</v>
      </c>
      <c r="H485" t="s">
        <v>21</v>
      </c>
      <c r="I485">
        <v>0</v>
      </c>
      <c r="J485" t="s">
        <v>22</v>
      </c>
    </row>
    <row r="486" spans="1:10" x14ac:dyDescent="0.25">
      <c r="A486" s="1">
        <v>99</v>
      </c>
      <c r="B486" t="s">
        <v>23</v>
      </c>
      <c r="C486">
        <v>635</v>
      </c>
      <c r="D486">
        <v>1</v>
      </c>
      <c r="E486" t="s">
        <v>24</v>
      </c>
      <c r="F486" t="s">
        <v>25</v>
      </c>
      <c r="G486" t="str">
        <f>"2026-02-20 07:35:02.824"</f>
        <v>2026-02-20 07:35:02.824</v>
      </c>
      <c r="H486" t="s">
        <v>21</v>
      </c>
    </row>
    <row r="487" spans="1:10" x14ac:dyDescent="0.25">
      <c r="A487" s="1">
        <v>0</v>
      </c>
      <c r="B487" t="s">
        <v>26</v>
      </c>
      <c r="C487">
        <v>635</v>
      </c>
      <c r="D487">
        <v>1</v>
      </c>
      <c r="E487" t="s">
        <v>24</v>
      </c>
      <c r="F487" t="s">
        <v>25</v>
      </c>
      <c r="G487" t="str">
        <f>"2026-02-20 07:34:04.824"</f>
        <v>2026-02-20 07:34:04.824</v>
      </c>
      <c r="H487" t="s">
        <v>21</v>
      </c>
      <c r="I487">
        <v>4.1500000000000004</v>
      </c>
      <c r="J487" t="s">
        <v>31</v>
      </c>
    </row>
    <row r="488" spans="1:10" x14ac:dyDescent="0.25">
      <c r="A488" s="1">
        <v>1</v>
      </c>
      <c r="B488" t="s">
        <v>43</v>
      </c>
      <c r="C488">
        <v>117</v>
      </c>
      <c r="D488">
        <v>1</v>
      </c>
      <c r="E488" t="s">
        <v>54</v>
      </c>
      <c r="F488" t="s">
        <v>58</v>
      </c>
      <c r="G488" t="str">
        <f>"2026-02-20 04:48:05.097"</f>
        <v>2026-02-20 04:48:05.097</v>
      </c>
      <c r="H488" t="s">
        <v>49</v>
      </c>
    </row>
    <row r="489" spans="1:10" x14ac:dyDescent="0.25">
      <c r="A489" s="1">
        <v>2</v>
      </c>
      <c r="B489" t="s">
        <v>39</v>
      </c>
      <c r="C489">
        <v>117</v>
      </c>
      <c r="D489">
        <v>1</v>
      </c>
      <c r="E489" t="s">
        <v>54</v>
      </c>
      <c r="F489" t="s">
        <v>58</v>
      </c>
      <c r="G489" t="str">
        <f>"2026-02-20 04:47:59.998"</f>
        <v>2026-02-20 04:47:59.998</v>
      </c>
      <c r="H489" t="s">
        <v>49</v>
      </c>
      <c r="I489">
        <v>9.52</v>
      </c>
      <c r="J489" t="s">
        <v>27</v>
      </c>
    </row>
    <row r="490" spans="1:10" x14ac:dyDescent="0.25">
      <c r="A490" s="1">
        <v>3</v>
      </c>
      <c r="B490" t="s">
        <v>23</v>
      </c>
      <c r="C490">
        <v>635</v>
      </c>
      <c r="D490">
        <v>1</v>
      </c>
      <c r="E490" t="s">
        <v>24</v>
      </c>
      <c r="F490" t="s">
        <v>25</v>
      </c>
      <c r="G490" t="str">
        <f>"2026-02-20 03:39:17.024"</f>
        <v>2026-02-20 03:39:17.024</v>
      </c>
      <c r="H490" t="s">
        <v>21</v>
      </c>
    </row>
    <row r="491" spans="1:10" x14ac:dyDescent="0.25">
      <c r="A491" s="1">
        <v>4</v>
      </c>
      <c r="B491" t="s">
        <v>26</v>
      </c>
      <c r="C491">
        <v>635</v>
      </c>
      <c r="D491">
        <v>1</v>
      </c>
      <c r="E491" t="s">
        <v>24</v>
      </c>
      <c r="F491" t="s">
        <v>25</v>
      </c>
      <c r="G491" t="str">
        <f>"2026-02-20 03:30:31.524"</f>
        <v>2026-02-20 03:30:31.524</v>
      </c>
      <c r="H491" t="s">
        <v>21</v>
      </c>
      <c r="I491">
        <v>4.6399999999999997</v>
      </c>
      <c r="J491" t="s">
        <v>27</v>
      </c>
    </row>
    <row r="492" spans="1:10" x14ac:dyDescent="0.25">
      <c r="A492" s="1">
        <v>5</v>
      </c>
      <c r="B492" t="s">
        <v>43</v>
      </c>
      <c r="C492">
        <v>117</v>
      </c>
      <c r="D492">
        <v>7</v>
      </c>
      <c r="E492" t="s">
        <v>54</v>
      </c>
      <c r="F492" t="s">
        <v>55</v>
      </c>
      <c r="G492" t="str">
        <f>"2026-02-20 01:44:23.297"</f>
        <v>2026-02-20 01:44:23.297</v>
      </c>
      <c r="H492" t="s">
        <v>49</v>
      </c>
    </row>
    <row r="493" spans="1:10" x14ac:dyDescent="0.25">
      <c r="A493" s="1">
        <v>6</v>
      </c>
      <c r="B493" t="s">
        <v>39</v>
      </c>
      <c r="C493">
        <v>117</v>
      </c>
      <c r="D493">
        <v>7</v>
      </c>
      <c r="E493" t="s">
        <v>54</v>
      </c>
      <c r="F493" t="s">
        <v>55</v>
      </c>
      <c r="G493" t="str">
        <f>"2026-02-20 01:44:18.238"</f>
        <v>2026-02-20 01:44:18.238</v>
      </c>
      <c r="H493" t="s">
        <v>49</v>
      </c>
      <c r="I493">
        <v>17.52</v>
      </c>
      <c r="J493" t="s">
        <v>27</v>
      </c>
    </row>
    <row r="494" spans="1:10" x14ac:dyDescent="0.25">
      <c r="A494" s="1">
        <v>7</v>
      </c>
      <c r="B494" t="s">
        <v>43</v>
      </c>
      <c r="C494">
        <v>137</v>
      </c>
      <c r="D494">
        <v>4</v>
      </c>
      <c r="E494" t="s">
        <v>57</v>
      </c>
      <c r="F494" t="s">
        <v>56</v>
      </c>
      <c r="G494" t="str">
        <f>"2026-02-19 23:33:43.297"</f>
        <v>2026-02-19 23:33:43.297</v>
      </c>
      <c r="H494" t="s">
        <v>49</v>
      </c>
    </row>
    <row r="495" spans="1:10" x14ac:dyDescent="0.25">
      <c r="A495" s="1">
        <v>8</v>
      </c>
      <c r="B495" t="s">
        <v>39</v>
      </c>
      <c r="C495">
        <v>137</v>
      </c>
      <c r="D495">
        <v>4</v>
      </c>
      <c r="E495" t="s">
        <v>57</v>
      </c>
      <c r="F495" t="s">
        <v>56</v>
      </c>
      <c r="G495" t="str">
        <f>"2026-02-19 23:33:38.278"</f>
        <v>2026-02-19 23:33:38.278</v>
      </c>
      <c r="H495" t="s">
        <v>49</v>
      </c>
      <c r="I495">
        <v>28.44</v>
      </c>
      <c r="J495" t="s">
        <v>27</v>
      </c>
    </row>
    <row r="496" spans="1:10" x14ac:dyDescent="0.25">
      <c r="A496" s="1">
        <v>9</v>
      </c>
      <c r="B496" t="s">
        <v>43</v>
      </c>
      <c r="C496">
        <v>117</v>
      </c>
      <c r="D496">
        <v>7</v>
      </c>
      <c r="E496" t="s">
        <v>54</v>
      </c>
      <c r="F496" t="s">
        <v>55</v>
      </c>
      <c r="G496" t="str">
        <f>"2026-02-19 22:21:47.597"</f>
        <v>2026-02-19 22:21:47.597</v>
      </c>
      <c r="H496" t="s">
        <v>49</v>
      </c>
    </row>
    <row r="497" spans="1:10" x14ac:dyDescent="0.25">
      <c r="A497" s="1">
        <v>10</v>
      </c>
      <c r="B497" t="s">
        <v>39</v>
      </c>
      <c r="C497">
        <v>117</v>
      </c>
      <c r="D497">
        <v>7</v>
      </c>
      <c r="E497" t="s">
        <v>54</v>
      </c>
      <c r="F497" t="s">
        <v>55</v>
      </c>
      <c r="G497" t="str">
        <f>"2026-02-19 22:21:42.538"</f>
        <v>2026-02-19 22:21:42.538</v>
      </c>
      <c r="H497" t="s">
        <v>49</v>
      </c>
      <c r="I497">
        <v>16.07</v>
      </c>
      <c r="J497" t="s">
        <v>27</v>
      </c>
    </row>
    <row r="498" spans="1:10" x14ac:dyDescent="0.25">
      <c r="A498" s="1">
        <v>11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"2026-02-19 19:57:55.925"</f>
        <v>2026-02-19 19:57:55.925</v>
      </c>
      <c r="H498" t="s">
        <v>21</v>
      </c>
    </row>
    <row r="499" spans="1:10" x14ac:dyDescent="0.25">
      <c r="A499" s="1">
        <v>13</v>
      </c>
      <c r="B499" t="s">
        <v>43</v>
      </c>
      <c r="C499">
        <v>137</v>
      </c>
      <c r="D499">
        <v>4</v>
      </c>
      <c r="E499" t="s">
        <v>57</v>
      </c>
      <c r="F499" t="s">
        <v>56</v>
      </c>
      <c r="G499" t="str">
        <f>"2026-02-19 03:56:15.290"</f>
        <v>2026-02-19 03:56:15.290</v>
      </c>
      <c r="H499" t="s">
        <v>49</v>
      </c>
    </row>
    <row r="500" spans="1:10" x14ac:dyDescent="0.25">
      <c r="A500" s="1">
        <v>14</v>
      </c>
      <c r="B500" t="s">
        <v>39</v>
      </c>
      <c r="C500">
        <v>137</v>
      </c>
      <c r="D500">
        <v>4</v>
      </c>
      <c r="E500" t="s">
        <v>57</v>
      </c>
      <c r="F500" t="s">
        <v>56</v>
      </c>
      <c r="G500" t="str">
        <f>"2026-02-19 03:56:10.289"</f>
        <v>2026-02-19 03:56:10.289</v>
      </c>
      <c r="H500" t="s">
        <v>49</v>
      </c>
      <c r="I500">
        <v>14.33</v>
      </c>
      <c r="J500" t="s">
        <v>27</v>
      </c>
    </row>
    <row r="501" spans="1:10" x14ac:dyDescent="0.25">
      <c r="A501" s="1">
        <v>15</v>
      </c>
      <c r="B501" t="s">
        <v>23</v>
      </c>
      <c r="C501">
        <v>635</v>
      </c>
      <c r="D501">
        <v>1</v>
      </c>
      <c r="E501" t="s">
        <v>24</v>
      </c>
      <c r="F501" t="s">
        <v>25</v>
      </c>
      <c r="G501" t="str">
        <f>"2026-02-17 08:17:22.515"</f>
        <v>2026-02-17 08:17:22.515</v>
      </c>
      <c r="H501" t="s">
        <v>21</v>
      </c>
    </row>
    <row r="502" spans="1:10" x14ac:dyDescent="0.25">
      <c r="A502" s="1">
        <v>16</v>
      </c>
      <c r="B502" t="s">
        <v>26</v>
      </c>
      <c r="C502">
        <v>635</v>
      </c>
      <c r="D502">
        <v>1</v>
      </c>
      <c r="E502" t="s">
        <v>24</v>
      </c>
      <c r="F502" t="s">
        <v>25</v>
      </c>
      <c r="G502" t="str">
        <f>"2026-02-17 07:50:49.515"</f>
        <v>2026-02-17 07:50:49.515</v>
      </c>
      <c r="H502" t="s">
        <v>21</v>
      </c>
      <c r="I502">
        <v>8.94</v>
      </c>
      <c r="J502" t="s">
        <v>31</v>
      </c>
    </row>
    <row r="503" spans="1:10" x14ac:dyDescent="0.25">
      <c r="A503" s="1">
        <v>17</v>
      </c>
      <c r="B503" t="s">
        <v>43</v>
      </c>
      <c r="C503">
        <v>137</v>
      </c>
      <c r="D503">
        <v>4</v>
      </c>
      <c r="E503" t="s">
        <v>57</v>
      </c>
      <c r="F503" t="s">
        <v>56</v>
      </c>
      <c r="G503" t="str">
        <f>"2026-02-17 04:58:25.390"</f>
        <v>2026-02-17 04:58:25.390</v>
      </c>
      <c r="H503" t="s">
        <v>49</v>
      </c>
    </row>
    <row r="504" spans="1:10" x14ac:dyDescent="0.25">
      <c r="A504" s="1">
        <v>18</v>
      </c>
      <c r="B504" t="s">
        <v>39</v>
      </c>
      <c r="C504">
        <v>137</v>
      </c>
      <c r="D504">
        <v>4</v>
      </c>
      <c r="E504" t="s">
        <v>57</v>
      </c>
      <c r="F504" t="s">
        <v>56</v>
      </c>
      <c r="G504" t="str">
        <f>"2026-02-17 04:58:20.389"</f>
        <v>2026-02-17 04:58:20.389</v>
      </c>
      <c r="H504" t="s">
        <v>49</v>
      </c>
      <c r="I504">
        <v>8.4600000000000009</v>
      </c>
      <c r="J504" t="s">
        <v>27</v>
      </c>
    </row>
    <row r="505" spans="1:10" s="3" customFormat="1" x14ac:dyDescent="0.25">
      <c r="A505" s="2">
        <v>19</v>
      </c>
      <c r="B505" s="3" t="s">
        <v>23</v>
      </c>
      <c r="C505" s="3">
        <v>647</v>
      </c>
      <c r="D505" s="3">
        <v>1</v>
      </c>
      <c r="E505" s="3" t="s">
        <v>29</v>
      </c>
      <c r="F505" s="3" t="s">
        <v>30</v>
      </c>
      <c r="G505" s="3" t="str">
        <f>"2026-02-14 16:43:07.263"</f>
        <v>2026-02-14 16:43:07.263</v>
      </c>
      <c r="H505" s="3" t="s">
        <v>21</v>
      </c>
    </row>
    <row r="506" spans="1:10" s="3" customFormat="1" x14ac:dyDescent="0.25">
      <c r="A506" s="2">
        <v>20</v>
      </c>
      <c r="B506" s="3" t="s">
        <v>26</v>
      </c>
      <c r="C506" s="3">
        <v>647</v>
      </c>
      <c r="D506" s="3">
        <v>1</v>
      </c>
      <c r="E506" s="3" t="s">
        <v>29</v>
      </c>
      <c r="F506" s="3" t="s">
        <v>30</v>
      </c>
      <c r="G506" s="3" t="str">
        <f>"2026-02-14 16:43:00.164"</f>
        <v>2026-02-14 16:43:00.164</v>
      </c>
      <c r="H506" s="3" t="s">
        <v>21</v>
      </c>
      <c r="I506" s="3">
        <v>12.84</v>
      </c>
      <c r="J506" s="3" t="s">
        <v>31</v>
      </c>
    </row>
    <row r="507" spans="1:10" x14ac:dyDescent="0.25">
      <c r="A507" s="1">
        <v>21</v>
      </c>
      <c r="B507" t="s">
        <v>19</v>
      </c>
      <c r="C507">
        <v>706</v>
      </c>
      <c r="D507">
        <v>4</v>
      </c>
      <c r="E507" t="s">
        <v>32</v>
      </c>
      <c r="F507" t="s">
        <v>33</v>
      </c>
      <c r="G507" t="str">
        <f>"2026-02-14 09:55:47.586"</f>
        <v>2026-02-14 09:55:47.586</v>
      </c>
      <c r="H507" t="s">
        <v>21</v>
      </c>
      <c r="I507">
        <v>0</v>
      </c>
      <c r="J507" t="s">
        <v>34</v>
      </c>
    </row>
    <row r="508" spans="1:10" x14ac:dyDescent="0.25">
      <c r="A508" s="1">
        <v>22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"2026-02-14 08:48:20.916"</f>
        <v>2026-02-14 08:48:20.916</v>
      </c>
      <c r="H508" t="s">
        <v>21</v>
      </c>
    </row>
    <row r="509" spans="1:10" x14ac:dyDescent="0.25">
      <c r="A509" s="1">
        <v>23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"2026-02-14 08:14:59.914"</f>
        <v>2026-02-14 08:14:59.914</v>
      </c>
      <c r="H509" t="s">
        <v>21</v>
      </c>
      <c r="I509">
        <v>0</v>
      </c>
      <c r="J509" t="s">
        <v>22</v>
      </c>
    </row>
    <row r="510" spans="1:10" x14ac:dyDescent="0.25">
      <c r="A510" s="1">
        <v>24</v>
      </c>
      <c r="B510" t="s">
        <v>19</v>
      </c>
      <c r="C510">
        <v>706</v>
      </c>
      <c r="D510">
        <v>2</v>
      </c>
      <c r="E510" t="s">
        <v>32</v>
      </c>
      <c r="F510" t="s">
        <v>35</v>
      </c>
      <c r="G510" t="str">
        <f>"2026-02-13 18:34:31.498"</f>
        <v>2026-02-13 18:34:31.498</v>
      </c>
      <c r="H510" t="s">
        <v>21</v>
      </c>
      <c r="I510">
        <v>0</v>
      </c>
      <c r="J510" t="s">
        <v>34</v>
      </c>
    </row>
    <row r="511" spans="1:10" x14ac:dyDescent="0.25">
      <c r="A511" s="1">
        <v>25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"2026-02-13 18:05:37.908"</f>
        <v>2026-02-13 18:05:37.908</v>
      </c>
      <c r="H511" t="s">
        <v>21</v>
      </c>
      <c r="I511">
        <v>0</v>
      </c>
      <c r="J511" t="s">
        <v>22</v>
      </c>
    </row>
    <row r="512" spans="1:10" x14ac:dyDescent="0.25">
      <c r="A512" s="1">
        <v>26</v>
      </c>
      <c r="B512" t="s">
        <v>19</v>
      </c>
      <c r="C512">
        <v>706</v>
      </c>
      <c r="D512">
        <v>4</v>
      </c>
      <c r="E512" t="s">
        <v>32</v>
      </c>
      <c r="F512" t="s">
        <v>33</v>
      </c>
      <c r="G512" t="str">
        <f>"2026-02-13 17:50:48.035"</f>
        <v>2026-02-13 17:50:48.035</v>
      </c>
      <c r="H512" t="s">
        <v>21</v>
      </c>
      <c r="I512">
        <v>0</v>
      </c>
      <c r="J512" t="s">
        <v>34</v>
      </c>
    </row>
    <row r="513" spans="1:10" x14ac:dyDescent="0.25">
      <c r="A513" s="1">
        <v>27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"2026-02-13 17:39:32.915"</f>
        <v>2026-02-13 17:39:32.915</v>
      </c>
      <c r="H513" t="s">
        <v>21</v>
      </c>
    </row>
    <row r="514" spans="1:10" x14ac:dyDescent="0.25">
      <c r="A514" s="1">
        <v>28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"2026-02-13 15:03:58.416"</f>
        <v>2026-02-13 15:03:58.416</v>
      </c>
      <c r="H514" t="s">
        <v>21</v>
      </c>
      <c r="I514">
        <v>0</v>
      </c>
      <c r="J514" t="s">
        <v>22</v>
      </c>
    </row>
    <row r="515" spans="1:10" x14ac:dyDescent="0.25">
      <c r="A515" s="1">
        <v>29</v>
      </c>
      <c r="B515" t="s">
        <v>19</v>
      </c>
      <c r="C515">
        <v>706</v>
      </c>
      <c r="D515">
        <v>2</v>
      </c>
      <c r="E515" t="s">
        <v>32</v>
      </c>
      <c r="F515" t="s">
        <v>35</v>
      </c>
      <c r="G515" t="str">
        <f>"2026-02-12 13:17:24.595"</f>
        <v>2026-02-12 13:17:24.595</v>
      </c>
      <c r="H515" t="s">
        <v>21</v>
      </c>
      <c r="I515">
        <v>0</v>
      </c>
      <c r="J515" t="s">
        <v>34</v>
      </c>
    </row>
    <row r="516" spans="1:10" x14ac:dyDescent="0.25">
      <c r="A516" s="1">
        <v>30</v>
      </c>
      <c r="B516" t="s">
        <v>23</v>
      </c>
      <c r="C516">
        <v>61</v>
      </c>
      <c r="D516">
        <v>2</v>
      </c>
      <c r="E516" t="s">
        <v>41</v>
      </c>
      <c r="F516" t="s">
        <v>42</v>
      </c>
      <c r="G516" t="str">
        <f>"2026-02-12 11:05:48.387"</f>
        <v>2026-02-12 11:05:48.387</v>
      </c>
      <c r="H516" t="s">
        <v>21</v>
      </c>
    </row>
    <row r="517" spans="1:10" x14ac:dyDescent="0.25">
      <c r="A517" s="1">
        <v>31</v>
      </c>
      <c r="B517" t="s">
        <v>39</v>
      </c>
      <c r="C517">
        <v>61</v>
      </c>
      <c r="D517">
        <v>2</v>
      </c>
      <c r="E517" t="s">
        <v>41</v>
      </c>
      <c r="F517" t="s">
        <v>42</v>
      </c>
      <c r="G517" t="str">
        <f>"2026-02-12 11:05:36.686"</f>
        <v>2026-02-12 11:05:36.686</v>
      </c>
      <c r="H517" t="s">
        <v>21</v>
      </c>
      <c r="I517">
        <v>37.31</v>
      </c>
      <c r="J517" t="s">
        <v>31</v>
      </c>
    </row>
    <row r="518" spans="1:10" x14ac:dyDescent="0.25">
      <c r="A518" s="1">
        <v>32</v>
      </c>
      <c r="B518" t="s">
        <v>19</v>
      </c>
      <c r="C518">
        <v>706</v>
      </c>
      <c r="D518">
        <v>2</v>
      </c>
      <c r="E518" t="s">
        <v>32</v>
      </c>
      <c r="F518" t="s">
        <v>35</v>
      </c>
      <c r="G518" t="str">
        <f>"2026-02-11 12:23:31.395"</f>
        <v>2026-02-11 12:23:31.395</v>
      </c>
      <c r="H518" t="s">
        <v>21</v>
      </c>
      <c r="I518">
        <v>0</v>
      </c>
      <c r="J518" t="s">
        <v>34</v>
      </c>
    </row>
    <row r="519" spans="1:10" s="3" customFormat="1" x14ac:dyDescent="0.25">
      <c r="A519" s="2">
        <v>33</v>
      </c>
      <c r="B519" s="3" t="s">
        <v>23</v>
      </c>
      <c r="C519" s="3">
        <v>647</v>
      </c>
      <c r="D519" s="3">
        <v>1</v>
      </c>
      <c r="E519" s="3" t="s">
        <v>29</v>
      </c>
      <c r="F519" s="3" t="s">
        <v>30</v>
      </c>
      <c r="G519" s="3" t="str">
        <f>"2026-02-10 20:10:25.087"</f>
        <v>2026-02-10 20:10:25.087</v>
      </c>
      <c r="H519" s="3" t="s">
        <v>21</v>
      </c>
    </row>
    <row r="520" spans="1:10" s="3" customFormat="1" x14ac:dyDescent="0.25">
      <c r="A520" s="2">
        <v>34</v>
      </c>
      <c r="B520" s="3" t="s">
        <v>26</v>
      </c>
      <c r="C520" s="3">
        <v>647</v>
      </c>
      <c r="D520" s="3">
        <v>1</v>
      </c>
      <c r="E520" s="3" t="s">
        <v>29</v>
      </c>
      <c r="F520" s="3" t="s">
        <v>30</v>
      </c>
      <c r="G520" s="3" t="str">
        <f>"2026-02-10 20:10:21.287"</f>
        <v>2026-02-10 20:10:21.287</v>
      </c>
      <c r="H520" s="3" t="s">
        <v>21</v>
      </c>
      <c r="I520" s="3">
        <v>9.23</v>
      </c>
      <c r="J520" s="3" t="s">
        <v>31</v>
      </c>
    </row>
    <row r="521" spans="1:10" x14ac:dyDescent="0.25">
      <c r="A521" s="1">
        <v>35</v>
      </c>
      <c r="B521" t="s">
        <v>19</v>
      </c>
      <c r="C521">
        <v>706</v>
      </c>
      <c r="D521">
        <v>2</v>
      </c>
      <c r="E521" t="s">
        <v>32</v>
      </c>
      <c r="F521" t="s">
        <v>35</v>
      </c>
      <c r="G521" t="str">
        <f>"2026-02-10 15:24:29.795"</f>
        <v>2026-02-10 15:24:29.795</v>
      </c>
      <c r="H521" t="s">
        <v>21</v>
      </c>
      <c r="I521">
        <v>0</v>
      </c>
      <c r="J521" t="s">
        <v>34</v>
      </c>
    </row>
    <row r="522" spans="1:10" x14ac:dyDescent="0.25">
      <c r="A522" s="1">
        <v>36</v>
      </c>
      <c r="B522" t="s">
        <v>23</v>
      </c>
      <c r="C522">
        <v>630</v>
      </c>
      <c r="D522">
        <v>5</v>
      </c>
      <c r="E522" t="s">
        <v>36</v>
      </c>
      <c r="F522" t="s">
        <v>37</v>
      </c>
      <c r="G522" t="str">
        <f>"2026-02-10 15:22:07.187"</f>
        <v>2026-02-10 15:22:07.187</v>
      </c>
      <c r="H522" t="s">
        <v>38</v>
      </c>
    </row>
    <row r="523" spans="1:10" x14ac:dyDescent="0.25">
      <c r="A523" s="1">
        <v>37</v>
      </c>
      <c r="B523" t="s">
        <v>39</v>
      </c>
      <c r="C523">
        <v>630</v>
      </c>
      <c r="D523">
        <v>5</v>
      </c>
      <c r="E523" t="s">
        <v>36</v>
      </c>
      <c r="F523" t="s">
        <v>37</v>
      </c>
      <c r="G523" t="str">
        <f>"2026-02-10 15:19:49.387"</f>
        <v>2026-02-10 15:19:49.387</v>
      </c>
      <c r="H523" t="s">
        <v>38</v>
      </c>
      <c r="I523">
        <v>0</v>
      </c>
      <c r="J523" t="s">
        <v>34</v>
      </c>
    </row>
    <row r="524" spans="1:10" x14ac:dyDescent="0.25">
      <c r="A524" s="1">
        <v>38</v>
      </c>
      <c r="B524" t="s">
        <v>23</v>
      </c>
      <c r="C524">
        <v>635</v>
      </c>
      <c r="D524">
        <v>1</v>
      </c>
      <c r="E524" t="s">
        <v>24</v>
      </c>
      <c r="F524" t="s">
        <v>25</v>
      </c>
      <c r="G524" t="str">
        <f>"2026-02-09 19:02:38.733"</f>
        <v>2026-02-09 19:02:38.733</v>
      </c>
      <c r="H524" t="s">
        <v>21</v>
      </c>
    </row>
    <row r="525" spans="1:10" x14ac:dyDescent="0.25">
      <c r="A525" s="1">
        <v>39</v>
      </c>
      <c r="B525" t="s">
        <v>26</v>
      </c>
      <c r="C525">
        <v>635</v>
      </c>
      <c r="D525">
        <v>1</v>
      </c>
      <c r="E525" t="s">
        <v>24</v>
      </c>
      <c r="F525" t="s">
        <v>25</v>
      </c>
      <c r="G525" t="str">
        <f>"2026-02-09 18:39:26.233"</f>
        <v>2026-02-09 18:39:26.233</v>
      </c>
      <c r="H525" t="s">
        <v>21</v>
      </c>
      <c r="I525">
        <v>9.6300000000000008</v>
      </c>
      <c r="J525" t="s">
        <v>31</v>
      </c>
    </row>
    <row r="526" spans="1:10" x14ac:dyDescent="0.25">
      <c r="A526" s="1">
        <v>40</v>
      </c>
      <c r="B526" t="s">
        <v>23</v>
      </c>
      <c r="C526">
        <v>635</v>
      </c>
      <c r="D526">
        <v>1</v>
      </c>
      <c r="E526" t="s">
        <v>24</v>
      </c>
      <c r="F526" t="s">
        <v>25</v>
      </c>
      <c r="G526" t="str">
        <f>"2026-02-08 18:48:52.933"</f>
        <v>2026-02-08 18:48:52.933</v>
      </c>
      <c r="H526" t="s">
        <v>21</v>
      </c>
    </row>
    <row r="527" spans="1:10" x14ac:dyDescent="0.25">
      <c r="A527" s="1">
        <v>41</v>
      </c>
      <c r="B527" t="s">
        <v>26</v>
      </c>
      <c r="C527">
        <v>635</v>
      </c>
      <c r="D527">
        <v>1</v>
      </c>
      <c r="E527" t="s">
        <v>24</v>
      </c>
      <c r="F527" t="s">
        <v>25</v>
      </c>
      <c r="G527" t="str">
        <f>"2026-02-08 18:24:01.433"</f>
        <v>2026-02-08 18:24:01.433</v>
      </c>
      <c r="H527" t="s">
        <v>21</v>
      </c>
      <c r="I527">
        <v>7.99</v>
      </c>
      <c r="J527" t="s">
        <v>31</v>
      </c>
    </row>
    <row r="528" spans="1:10" x14ac:dyDescent="0.25">
      <c r="A528" s="1">
        <v>42</v>
      </c>
      <c r="B528" t="s">
        <v>19</v>
      </c>
      <c r="C528">
        <v>706</v>
      </c>
      <c r="D528">
        <v>2</v>
      </c>
      <c r="E528" t="s">
        <v>32</v>
      </c>
      <c r="F528" t="s">
        <v>35</v>
      </c>
      <c r="G528" t="str">
        <f>"2026-02-08 13:09:37.195"</f>
        <v>2026-02-08 13:09:37.195</v>
      </c>
      <c r="H528" t="s">
        <v>21</v>
      </c>
      <c r="I528">
        <v>0</v>
      </c>
      <c r="J528" t="s">
        <v>34</v>
      </c>
    </row>
    <row r="529" spans="1:10" x14ac:dyDescent="0.25">
      <c r="A529" s="1">
        <v>43</v>
      </c>
      <c r="B529" t="s">
        <v>23</v>
      </c>
      <c r="C529">
        <v>635</v>
      </c>
      <c r="D529">
        <v>1</v>
      </c>
      <c r="E529" t="s">
        <v>24</v>
      </c>
      <c r="F529" t="s">
        <v>25</v>
      </c>
      <c r="G529" t="str">
        <f>"2026-02-07 20:55:00.633"</f>
        <v>2026-02-07 20:55:00.633</v>
      </c>
      <c r="H529" t="s">
        <v>21</v>
      </c>
    </row>
    <row r="530" spans="1:10" x14ac:dyDescent="0.25">
      <c r="A530" s="1">
        <v>44</v>
      </c>
      <c r="B530" t="s">
        <v>26</v>
      </c>
      <c r="C530">
        <v>635</v>
      </c>
      <c r="D530">
        <v>1</v>
      </c>
      <c r="E530" t="s">
        <v>24</v>
      </c>
      <c r="F530" t="s">
        <v>25</v>
      </c>
      <c r="G530" t="str">
        <f>"2026-02-07 20:52:11.633"</f>
        <v>2026-02-07 20:52:11.633</v>
      </c>
      <c r="H530" t="s">
        <v>21</v>
      </c>
      <c r="I530">
        <v>7.98</v>
      </c>
      <c r="J530" t="s">
        <v>27</v>
      </c>
    </row>
    <row r="531" spans="1:10" x14ac:dyDescent="0.25">
      <c r="A531" s="1">
        <v>45</v>
      </c>
      <c r="B531" t="s">
        <v>23</v>
      </c>
      <c r="C531">
        <v>635</v>
      </c>
      <c r="D531">
        <v>1</v>
      </c>
      <c r="E531" t="s">
        <v>24</v>
      </c>
      <c r="F531" t="s">
        <v>25</v>
      </c>
      <c r="G531" t="str">
        <f>"2026-02-07 12:19:44.633"</f>
        <v>2026-02-07 12:19:44.633</v>
      </c>
      <c r="H531" t="s">
        <v>21</v>
      </c>
    </row>
    <row r="532" spans="1:10" x14ac:dyDescent="0.25">
      <c r="A532" s="1">
        <v>46</v>
      </c>
      <c r="B532" t="s">
        <v>26</v>
      </c>
      <c r="C532">
        <v>635</v>
      </c>
      <c r="D532">
        <v>1</v>
      </c>
      <c r="E532" t="s">
        <v>24</v>
      </c>
      <c r="F532" t="s">
        <v>25</v>
      </c>
      <c r="G532" t="str">
        <f>"2026-02-07 12:15:17.633"</f>
        <v>2026-02-07 12:15:17.633</v>
      </c>
      <c r="H532" t="s">
        <v>21</v>
      </c>
      <c r="I532">
        <v>6.75</v>
      </c>
      <c r="J532" t="s">
        <v>27</v>
      </c>
    </row>
    <row r="533" spans="1:10" s="3" customFormat="1" x14ac:dyDescent="0.25">
      <c r="A533" s="2">
        <v>47</v>
      </c>
      <c r="B533" s="3" t="s">
        <v>23</v>
      </c>
      <c r="C533" s="3">
        <v>647</v>
      </c>
      <c r="D533" s="3">
        <v>1</v>
      </c>
      <c r="E533" s="3" t="s">
        <v>29</v>
      </c>
      <c r="F533" s="3" t="s">
        <v>30</v>
      </c>
      <c r="G533" s="3" t="str">
        <f>"2026-02-06 12:15:57.987"</f>
        <v>2026-02-06 12:15:57.987</v>
      </c>
      <c r="H533" s="3" t="s">
        <v>21</v>
      </c>
    </row>
    <row r="534" spans="1:10" s="3" customFormat="1" x14ac:dyDescent="0.25">
      <c r="A534" s="2">
        <v>48</v>
      </c>
      <c r="B534" s="3" t="s">
        <v>26</v>
      </c>
      <c r="C534" s="3">
        <v>647</v>
      </c>
      <c r="D534" s="3">
        <v>1</v>
      </c>
      <c r="E534" s="3" t="s">
        <v>29</v>
      </c>
      <c r="F534" s="3" t="s">
        <v>30</v>
      </c>
      <c r="G534" s="3" t="str">
        <f>"2026-02-06 12:15:55.487"</f>
        <v>2026-02-06 12:15:55.487</v>
      </c>
      <c r="H534" s="3" t="s">
        <v>21</v>
      </c>
      <c r="I534" s="3">
        <v>14.19</v>
      </c>
      <c r="J534" s="3" t="s">
        <v>31</v>
      </c>
    </row>
    <row r="535" spans="1:10" x14ac:dyDescent="0.25">
      <c r="A535" s="1">
        <v>49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"2026-02-04 15:52:20.895"</f>
        <v>2026-02-04 15:52:20.895</v>
      </c>
      <c r="H535" t="s">
        <v>21</v>
      </c>
    </row>
    <row r="536" spans="1:10" x14ac:dyDescent="0.25">
      <c r="A536" s="1">
        <v>50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"2026-02-04 15:22:46.905"</f>
        <v>2026-02-04 15:22:46.905</v>
      </c>
      <c r="H536" t="s">
        <v>21</v>
      </c>
      <c r="I536">
        <v>0</v>
      </c>
      <c r="J536" t="s">
        <v>22</v>
      </c>
    </row>
    <row r="537" spans="1:10" x14ac:dyDescent="0.25">
      <c r="A537" s="1">
        <v>51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"2026-02-04 10:11:15.087"</f>
        <v>2026-02-04 10:11:15.087</v>
      </c>
      <c r="H537" t="s">
        <v>21</v>
      </c>
      <c r="I537">
        <v>0</v>
      </c>
      <c r="J537" t="s">
        <v>22</v>
      </c>
    </row>
    <row r="538" spans="1:10" x14ac:dyDescent="0.25">
      <c r="A538" s="1">
        <v>52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"2026-02-04 06:42:59.902"</f>
        <v>2026-02-04 06:42:59.902</v>
      </c>
      <c r="H538" t="s">
        <v>21</v>
      </c>
    </row>
    <row r="539" spans="1:10" x14ac:dyDescent="0.25">
      <c r="A539" s="1">
        <v>56</v>
      </c>
      <c r="B539" t="s">
        <v>23</v>
      </c>
      <c r="C539">
        <v>61</v>
      </c>
      <c r="D539">
        <v>2</v>
      </c>
      <c r="E539" t="s">
        <v>41</v>
      </c>
      <c r="F539" t="s">
        <v>42</v>
      </c>
      <c r="G539" t="str">
        <f>"2026-02-02 19:18:59.798"</f>
        <v>2026-02-02 19:18:59.798</v>
      </c>
      <c r="H539" t="s">
        <v>21</v>
      </c>
    </row>
    <row r="540" spans="1:10" x14ac:dyDescent="0.25">
      <c r="A540" s="1">
        <v>57</v>
      </c>
      <c r="B540" t="s">
        <v>39</v>
      </c>
      <c r="C540">
        <v>61</v>
      </c>
      <c r="D540">
        <v>2</v>
      </c>
      <c r="E540" t="s">
        <v>41</v>
      </c>
      <c r="F540" t="s">
        <v>42</v>
      </c>
      <c r="G540" t="str">
        <f>"2026-02-02 19:18:48.498"</f>
        <v>2026-02-02 19:18:48.498</v>
      </c>
      <c r="H540" t="s">
        <v>21</v>
      </c>
      <c r="I540">
        <v>36.99</v>
      </c>
      <c r="J540" t="s">
        <v>31</v>
      </c>
    </row>
    <row r="541" spans="1:10" x14ac:dyDescent="0.25">
      <c r="A541" s="1">
        <v>58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"2026-02-02 15:11:42.917"</f>
        <v>2026-02-02 15:11:42.917</v>
      </c>
      <c r="H541" t="s">
        <v>21</v>
      </c>
      <c r="I541">
        <v>0</v>
      </c>
      <c r="J541" t="s">
        <v>22</v>
      </c>
    </row>
    <row r="542" spans="1:10" x14ac:dyDescent="0.25">
      <c r="A542" s="1">
        <v>59</v>
      </c>
      <c r="B542" t="s">
        <v>19</v>
      </c>
      <c r="C542">
        <v>706</v>
      </c>
      <c r="D542">
        <v>4</v>
      </c>
      <c r="E542" t="s">
        <v>32</v>
      </c>
      <c r="F542" t="s">
        <v>33</v>
      </c>
      <c r="G542" t="str">
        <f>"2026-02-02 14:57:21.823"</f>
        <v>2026-02-02 14:57:21.823</v>
      </c>
      <c r="H542" t="s">
        <v>21</v>
      </c>
      <c r="I542">
        <v>0</v>
      </c>
      <c r="J542" t="s">
        <v>34</v>
      </c>
    </row>
    <row r="543" spans="1:10" x14ac:dyDescent="0.25">
      <c r="A543" s="1">
        <v>60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"2026-02-02 14:31:08.913"</f>
        <v>2026-02-02 14:31:08.913</v>
      </c>
      <c r="H543" t="s">
        <v>21</v>
      </c>
      <c r="I543">
        <v>0</v>
      </c>
      <c r="J543" t="s">
        <v>22</v>
      </c>
    </row>
    <row r="544" spans="1:10" x14ac:dyDescent="0.25">
      <c r="A544" s="1">
        <v>61</v>
      </c>
      <c r="B544" t="s">
        <v>39</v>
      </c>
      <c r="C544">
        <v>630</v>
      </c>
      <c r="D544">
        <v>5</v>
      </c>
      <c r="E544" t="s">
        <v>36</v>
      </c>
      <c r="F544" t="s">
        <v>37</v>
      </c>
      <c r="G544" t="str">
        <f>"2026-02-02 11:45:48.480"</f>
        <v>2026-02-02 11:45:48.480</v>
      </c>
      <c r="H544" t="s">
        <v>38</v>
      </c>
      <c r="I544">
        <v>0</v>
      </c>
      <c r="J544" t="s">
        <v>34</v>
      </c>
    </row>
    <row r="545" spans="1:10" x14ac:dyDescent="0.25">
      <c r="A545" s="1">
        <v>62</v>
      </c>
      <c r="B545" t="s">
        <v>23</v>
      </c>
      <c r="C545">
        <v>635</v>
      </c>
      <c r="D545">
        <v>1</v>
      </c>
      <c r="E545" t="s">
        <v>24</v>
      </c>
      <c r="F545" t="s">
        <v>25</v>
      </c>
      <c r="G545" t="str">
        <f>"2026-02-01 08:14:08.026"</f>
        <v>2026-02-01 08:14:08.026</v>
      </c>
      <c r="H545" t="s">
        <v>21</v>
      </c>
    </row>
    <row r="546" spans="1:10" x14ac:dyDescent="0.25">
      <c r="A546" s="1">
        <v>63</v>
      </c>
      <c r="B546" t="s">
        <v>26</v>
      </c>
      <c r="C546">
        <v>635</v>
      </c>
      <c r="D546">
        <v>1</v>
      </c>
      <c r="E546" t="s">
        <v>24</v>
      </c>
      <c r="F546" t="s">
        <v>25</v>
      </c>
      <c r="G546" t="str">
        <f>"2026-02-01 07:50:28.526"</f>
        <v>2026-02-01 07:50:28.526</v>
      </c>
      <c r="H546" t="s">
        <v>21</v>
      </c>
      <c r="I546">
        <v>7.08</v>
      </c>
      <c r="J546" t="s">
        <v>27</v>
      </c>
    </row>
    <row r="547" spans="1:10" x14ac:dyDescent="0.25">
      <c r="A547" s="1">
        <v>64</v>
      </c>
      <c r="B547" t="s">
        <v>23</v>
      </c>
      <c r="C547">
        <v>635</v>
      </c>
      <c r="D547">
        <v>1</v>
      </c>
      <c r="E547" t="s">
        <v>24</v>
      </c>
      <c r="F547" t="s">
        <v>25</v>
      </c>
      <c r="G547" t="str">
        <f>"2026-01-31 20:35:56.526"</f>
        <v>2026-01-31 20:35:56.526</v>
      </c>
      <c r="H547" t="s">
        <v>21</v>
      </c>
    </row>
    <row r="548" spans="1:10" x14ac:dyDescent="0.25">
      <c r="A548" s="1">
        <v>65</v>
      </c>
      <c r="B548" t="s">
        <v>26</v>
      </c>
      <c r="C548">
        <v>635</v>
      </c>
      <c r="D548">
        <v>1</v>
      </c>
      <c r="E548" t="s">
        <v>24</v>
      </c>
      <c r="F548" t="s">
        <v>25</v>
      </c>
      <c r="G548" t="str">
        <f>"2026-01-31 20:25:09.026"</f>
        <v>2026-01-31 20:25:09.026</v>
      </c>
      <c r="H548" t="s">
        <v>21</v>
      </c>
      <c r="I548">
        <v>4.0999999999999996</v>
      </c>
      <c r="J548" t="s">
        <v>27</v>
      </c>
    </row>
    <row r="549" spans="1:10" x14ac:dyDescent="0.25">
      <c r="A549" s="1">
        <v>66</v>
      </c>
      <c r="B549" t="s">
        <v>19</v>
      </c>
      <c r="C549">
        <v>706</v>
      </c>
      <c r="D549">
        <v>4</v>
      </c>
      <c r="E549" t="s">
        <v>32</v>
      </c>
      <c r="F549" t="s">
        <v>33</v>
      </c>
      <c r="G549" t="str">
        <f>"2026-01-31 12:24:06.466"</f>
        <v>2026-01-31 12:24:06.466</v>
      </c>
      <c r="H549" t="s">
        <v>21</v>
      </c>
      <c r="I549">
        <v>0</v>
      </c>
      <c r="J549" t="s">
        <v>34</v>
      </c>
    </row>
    <row r="550" spans="1:10" x14ac:dyDescent="0.25">
      <c r="A550" s="1">
        <v>67</v>
      </c>
      <c r="B550" t="s">
        <v>19</v>
      </c>
      <c r="C550">
        <v>706</v>
      </c>
      <c r="D550">
        <v>3</v>
      </c>
      <c r="E550" t="s">
        <v>32</v>
      </c>
      <c r="F550" t="s">
        <v>40</v>
      </c>
      <c r="G550" t="str">
        <f>"2026-01-31 11:59:04.466"</f>
        <v>2026-01-31 11:59:04.466</v>
      </c>
      <c r="H550" t="s">
        <v>21</v>
      </c>
      <c r="I550">
        <v>0</v>
      </c>
      <c r="J550" t="s">
        <v>34</v>
      </c>
    </row>
    <row r="551" spans="1:10" x14ac:dyDescent="0.25">
      <c r="A551" s="1">
        <v>68</v>
      </c>
      <c r="B551" t="s">
        <v>19</v>
      </c>
      <c r="C551">
        <v>706</v>
      </c>
      <c r="D551">
        <v>4</v>
      </c>
      <c r="E551" t="s">
        <v>32</v>
      </c>
      <c r="F551" t="s">
        <v>33</v>
      </c>
      <c r="G551" t="str">
        <f>"2026-01-29 15:00:42.116"</f>
        <v>2026-01-29 15:00:42.116</v>
      </c>
      <c r="H551" t="s">
        <v>21</v>
      </c>
      <c r="I551">
        <v>0</v>
      </c>
      <c r="J551" t="s">
        <v>34</v>
      </c>
    </row>
    <row r="552" spans="1:10" x14ac:dyDescent="0.25">
      <c r="A552" s="1">
        <v>69</v>
      </c>
      <c r="B552" t="s">
        <v>23</v>
      </c>
      <c r="C552">
        <v>635</v>
      </c>
      <c r="D552">
        <v>1</v>
      </c>
      <c r="E552" t="s">
        <v>24</v>
      </c>
      <c r="F552" t="s">
        <v>25</v>
      </c>
      <c r="G552" t="str">
        <f>"2026-01-28 12:39:11.526"</f>
        <v>2026-01-28 12:39:11.526</v>
      </c>
      <c r="H552" t="s">
        <v>21</v>
      </c>
    </row>
    <row r="553" spans="1:10" x14ac:dyDescent="0.25">
      <c r="A553" s="1">
        <v>70</v>
      </c>
      <c r="B553" t="s">
        <v>26</v>
      </c>
      <c r="C553">
        <v>635</v>
      </c>
      <c r="D553">
        <v>1</v>
      </c>
      <c r="E553" t="s">
        <v>24</v>
      </c>
      <c r="F553" t="s">
        <v>25</v>
      </c>
      <c r="G553" t="str">
        <f>"2026-01-28 12:31:36.026"</f>
        <v>2026-01-28 12:31:36.026</v>
      </c>
      <c r="H553" t="s">
        <v>21</v>
      </c>
      <c r="I553">
        <v>6.04</v>
      </c>
      <c r="J553" t="s">
        <v>27</v>
      </c>
    </row>
    <row r="554" spans="1:10" x14ac:dyDescent="0.25">
      <c r="A554" s="1">
        <v>71</v>
      </c>
      <c r="B554" t="s">
        <v>23</v>
      </c>
      <c r="C554">
        <v>635</v>
      </c>
      <c r="D554">
        <v>1</v>
      </c>
      <c r="E554" t="s">
        <v>24</v>
      </c>
      <c r="F554" t="s">
        <v>25</v>
      </c>
      <c r="G554" t="str">
        <f>"2026-01-28 11:17:13.526"</f>
        <v>2026-01-28 11:17:13.526</v>
      </c>
      <c r="H554" t="s">
        <v>21</v>
      </c>
    </row>
    <row r="555" spans="1:10" x14ac:dyDescent="0.25">
      <c r="A555" s="1">
        <v>72</v>
      </c>
      <c r="B555" t="s">
        <v>26</v>
      </c>
      <c r="C555">
        <v>635</v>
      </c>
      <c r="D555">
        <v>1</v>
      </c>
      <c r="E555" t="s">
        <v>24</v>
      </c>
      <c r="F555" t="s">
        <v>25</v>
      </c>
      <c r="G555" t="str">
        <f>"2026-01-28 10:16:34.126"</f>
        <v>2026-01-28 10:16:34.126</v>
      </c>
      <c r="H555" t="s">
        <v>21</v>
      </c>
      <c r="I555">
        <v>6.43</v>
      </c>
      <c r="J555" t="s">
        <v>27</v>
      </c>
    </row>
    <row r="556" spans="1:10" x14ac:dyDescent="0.25">
      <c r="A556" s="1">
        <v>73</v>
      </c>
      <c r="B556" t="s">
        <v>23</v>
      </c>
      <c r="C556">
        <v>635</v>
      </c>
      <c r="D556">
        <v>1</v>
      </c>
      <c r="E556" t="s">
        <v>24</v>
      </c>
      <c r="F556" t="s">
        <v>25</v>
      </c>
      <c r="G556" t="str">
        <f>"2026-01-28 10:08:47.626"</f>
        <v>2026-01-28 10:08:47.626</v>
      </c>
      <c r="H556" t="s">
        <v>21</v>
      </c>
    </row>
    <row r="557" spans="1:10" x14ac:dyDescent="0.25">
      <c r="A557" s="1">
        <v>74</v>
      </c>
      <c r="B557" t="s">
        <v>26</v>
      </c>
      <c r="C557">
        <v>635</v>
      </c>
      <c r="D557">
        <v>1</v>
      </c>
      <c r="E557" t="s">
        <v>24</v>
      </c>
      <c r="F557" t="s">
        <v>25</v>
      </c>
      <c r="G557" t="str">
        <f>"2026-01-28 10:04:07.626"</f>
        <v>2026-01-28 10:04:07.626</v>
      </c>
      <c r="H557" t="s">
        <v>21</v>
      </c>
      <c r="I557">
        <v>6.33</v>
      </c>
      <c r="J557" t="s">
        <v>27</v>
      </c>
    </row>
    <row r="558" spans="1:10" x14ac:dyDescent="0.25">
      <c r="A558" s="1">
        <v>75</v>
      </c>
      <c r="B558" t="s">
        <v>23</v>
      </c>
      <c r="C558">
        <v>635</v>
      </c>
      <c r="D558">
        <v>1</v>
      </c>
      <c r="E558" t="s">
        <v>24</v>
      </c>
      <c r="F558" t="s">
        <v>25</v>
      </c>
      <c r="G558" t="str">
        <f>"2026-01-28 09:57:06.126"</f>
        <v>2026-01-28 09:57:06.126</v>
      </c>
      <c r="H558" t="s">
        <v>21</v>
      </c>
    </row>
    <row r="559" spans="1:10" x14ac:dyDescent="0.25">
      <c r="A559" s="1">
        <v>76</v>
      </c>
      <c r="B559" t="s">
        <v>26</v>
      </c>
      <c r="C559">
        <v>635</v>
      </c>
      <c r="D559">
        <v>1</v>
      </c>
      <c r="E559" t="s">
        <v>24</v>
      </c>
      <c r="F559" t="s">
        <v>25</v>
      </c>
      <c r="G559" t="str">
        <f>"2026-01-28 09:47:57.126"</f>
        <v>2026-01-28 09:47:57.126</v>
      </c>
      <c r="H559" t="s">
        <v>21</v>
      </c>
      <c r="I559">
        <v>5.41</v>
      </c>
      <c r="J559" t="s">
        <v>27</v>
      </c>
    </row>
    <row r="560" spans="1:10" x14ac:dyDescent="0.25">
      <c r="A560" s="1">
        <v>77</v>
      </c>
      <c r="B560" t="s">
        <v>23</v>
      </c>
      <c r="C560">
        <v>635</v>
      </c>
      <c r="D560">
        <v>1</v>
      </c>
      <c r="E560" t="s">
        <v>24</v>
      </c>
      <c r="F560" t="s">
        <v>25</v>
      </c>
      <c r="G560" t="str">
        <f>"2026-01-28 09:39:52.126"</f>
        <v>2026-01-28 09:39:52.126</v>
      </c>
      <c r="H560" t="s">
        <v>21</v>
      </c>
    </row>
    <row r="561" spans="1:10" x14ac:dyDescent="0.25">
      <c r="A561" s="1">
        <v>78</v>
      </c>
      <c r="B561" t="s">
        <v>26</v>
      </c>
      <c r="C561">
        <v>635</v>
      </c>
      <c r="D561">
        <v>1</v>
      </c>
      <c r="E561" t="s">
        <v>24</v>
      </c>
      <c r="F561" t="s">
        <v>25</v>
      </c>
      <c r="G561" t="str">
        <f>"2026-01-28 09:31:29.626"</f>
        <v>2026-01-28 09:31:29.626</v>
      </c>
      <c r="H561" t="s">
        <v>21</v>
      </c>
      <c r="I561">
        <v>6.08</v>
      </c>
      <c r="J561" t="s">
        <v>27</v>
      </c>
    </row>
    <row r="562" spans="1:10" x14ac:dyDescent="0.25">
      <c r="A562" s="1">
        <v>79</v>
      </c>
      <c r="B562" t="s">
        <v>23</v>
      </c>
      <c r="C562">
        <v>635</v>
      </c>
      <c r="D562">
        <v>1</v>
      </c>
      <c r="E562" t="s">
        <v>24</v>
      </c>
      <c r="F562" t="s">
        <v>25</v>
      </c>
      <c r="G562" t="str">
        <f>"2026-01-28 09:23:36.626"</f>
        <v>2026-01-28 09:23:36.626</v>
      </c>
      <c r="H562" t="s">
        <v>21</v>
      </c>
    </row>
    <row r="563" spans="1:10" x14ac:dyDescent="0.25">
      <c r="A563" s="1">
        <v>80</v>
      </c>
      <c r="B563" t="s">
        <v>26</v>
      </c>
      <c r="C563">
        <v>635</v>
      </c>
      <c r="D563">
        <v>1</v>
      </c>
      <c r="E563" t="s">
        <v>24</v>
      </c>
      <c r="F563" t="s">
        <v>25</v>
      </c>
      <c r="G563" t="str">
        <f>"2026-01-28 09:19:19.626"</f>
        <v>2026-01-28 09:19:19.626</v>
      </c>
      <c r="H563" t="s">
        <v>21</v>
      </c>
      <c r="I563">
        <v>6.91</v>
      </c>
      <c r="J563" t="s">
        <v>27</v>
      </c>
    </row>
    <row r="564" spans="1:10" x14ac:dyDescent="0.25">
      <c r="A564" s="1">
        <v>81</v>
      </c>
      <c r="B564" t="s">
        <v>23</v>
      </c>
      <c r="C564">
        <v>635</v>
      </c>
      <c r="D564">
        <v>1</v>
      </c>
      <c r="E564" t="s">
        <v>24</v>
      </c>
      <c r="F564" t="s">
        <v>25</v>
      </c>
      <c r="G564" t="str">
        <f>"2026-01-28 09:12:12.126"</f>
        <v>2026-01-28 09:12:12.126</v>
      </c>
      <c r="H564" t="s">
        <v>21</v>
      </c>
    </row>
    <row r="565" spans="1:10" x14ac:dyDescent="0.25">
      <c r="A565" s="1">
        <v>82</v>
      </c>
      <c r="B565" t="s">
        <v>26</v>
      </c>
      <c r="C565">
        <v>635</v>
      </c>
      <c r="D565">
        <v>1</v>
      </c>
      <c r="E565" t="s">
        <v>24</v>
      </c>
      <c r="F565" t="s">
        <v>25</v>
      </c>
      <c r="G565" t="str">
        <f>"2026-01-28 08:59:50.726"</f>
        <v>2026-01-28 08:59:50.726</v>
      </c>
      <c r="H565" t="s">
        <v>21</v>
      </c>
      <c r="I565">
        <v>2.71</v>
      </c>
      <c r="J565" t="s">
        <v>27</v>
      </c>
    </row>
    <row r="566" spans="1:10" x14ac:dyDescent="0.25">
      <c r="A566" s="1">
        <v>83</v>
      </c>
      <c r="B566" t="s">
        <v>23</v>
      </c>
      <c r="C566">
        <v>635</v>
      </c>
      <c r="D566">
        <v>1</v>
      </c>
      <c r="E566" t="s">
        <v>24</v>
      </c>
      <c r="F566" t="s">
        <v>25</v>
      </c>
      <c r="G566" t="str">
        <f>"2026-01-28 03:46:52.926"</f>
        <v>2026-01-28 03:46:52.926</v>
      </c>
      <c r="H566" t="s">
        <v>21</v>
      </c>
    </row>
    <row r="567" spans="1:10" x14ac:dyDescent="0.25">
      <c r="A567" s="1">
        <v>84</v>
      </c>
      <c r="B567" t="s">
        <v>26</v>
      </c>
      <c r="C567">
        <v>635</v>
      </c>
      <c r="D567">
        <v>1</v>
      </c>
      <c r="E567" t="s">
        <v>24</v>
      </c>
      <c r="F567" t="s">
        <v>25</v>
      </c>
      <c r="G567" t="str">
        <f>"2026-01-28 03:43:00.926"</f>
        <v>2026-01-28 03:43:00.926</v>
      </c>
      <c r="H567" t="s">
        <v>21</v>
      </c>
      <c r="I567">
        <v>7.3</v>
      </c>
      <c r="J567" t="s">
        <v>27</v>
      </c>
    </row>
    <row r="568" spans="1:10" x14ac:dyDescent="0.25">
      <c r="A568" s="1">
        <v>85</v>
      </c>
      <c r="B568" t="s">
        <v>23</v>
      </c>
      <c r="C568">
        <v>61</v>
      </c>
      <c r="D568">
        <v>2</v>
      </c>
      <c r="E568" t="s">
        <v>41</v>
      </c>
      <c r="F568" t="s">
        <v>42</v>
      </c>
      <c r="G568" t="str">
        <f>"2026-01-27 16:33:48.180"</f>
        <v>2026-01-27 16:33:48.180</v>
      </c>
      <c r="H568" t="s">
        <v>21</v>
      </c>
    </row>
    <row r="569" spans="1:10" x14ac:dyDescent="0.25">
      <c r="A569" s="1">
        <v>86</v>
      </c>
      <c r="B569" t="s">
        <v>39</v>
      </c>
      <c r="C569">
        <v>61</v>
      </c>
      <c r="D569">
        <v>2</v>
      </c>
      <c r="E569" t="s">
        <v>41</v>
      </c>
      <c r="F569" t="s">
        <v>42</v>
      </c>
      <c r="G569" t="str">
        <f>"2026-01-27 16:33:42.180"</f>
        <v>2026-01-27 16:33:42.180</v>
      </c>
      <c r="H569" t="s">
        <v>21</v>
      </c>
      <c r="I569">
        <v>35.18</v>
      </c>
      <c r="J569" t="s">
        <v>31</v>
      </c>
    </row>
    <row r="570" spans="1:10" x14ac:dyDescent="0.25">
      <c r="A570" s="1">
        <v>87</v>
      </c>
      <c r="B570" t="s">
        <v>19</v>
      </c>
      <c r="C570">
        <v>706</v>
      </c>
      <c r="D570">
        <v>4</v>
      </c>
      <c r="E570" t="s">
        <v>32</v>
      </c>
      <c r="F570" t="s">
        <v>33</v>
      </c>
      <c r="G570" t="str">
        <f>"2026-01-27 15:23:31.276"</f>
        <v>2026-01-27 15:23:31.276</v>
      </c>
      <c r="H570" t="s">
        <v>21</v>
      </c>
      <c r="I570">
        <v>0</v>
      </c>
      <c r="J570" t="s">
        <v>34</v>
      </c>
    </row>
    <row r="571" spans="1:10" s="3" customFormat="1" x14ac:dyDescent="0.25">
      <c r="A571" s="2">
        <v>88</v>
      </c>
      <c r="B571" s="3" t="s">
        <v>23</v>
      </c>
      <c r="C571" s="3">
        <v>647</v>
      </c>
      <c r="D571" s="3">
        <v>1</v>
      </c>
      <c r="E571" s="3" t="s">
        <v>29</v>
      </c>
      <c r="F571" s="3" t="s">
        <v>30</v>
      </c>
      <c r="G571" s="3" t="str">
        <f>"2026-01-27 10:58:33.980"</f>
        <v>2026-01-27 10:58:33.980</v>
      </c>
      <c r="H571" s="3" t="s">
        <v>21</v>
      </c>
    </row>
    <row r="572" spans="1:10" s="3" customFormat="1" x14ac:dyDescent="0.25">
      <c r="A572" s="2">
        <v>89</v>
      </c>
      <c r="B572" s="3" t="s">
        <v>26</v>
      </c>
      <c r="C572" s="3">
        <v>647</v>
      </c>
      <c r="D572" s="3">
        <v>1</v>
      </c>
      <c r="E572" s="3" t="s">
        <v>29</v>
      </c>
      <c r="F572" s="3" t="s">
        <v>30</v>
      </c>
      <c r="G572" s="3" t="str">
        <f>"2026-01-27 10:58:31.881"</f>
        <v>2026-01-27 10:58:31.881</v>
      </c>
      <c r="H572" s="3" t="s">
        <v>21</v>
      </c>
      <c r="I572" s="3">
        <v>19.89</v>
      </c>
      <c r="J572" s="3" t="s">
        <v>31</v>
      </c>
    </row>
    <row r="573" spans="1:10" x14ac:dyDescent="0.25">
      <c r="A573" s="1">
        <v>90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"2026-01-26 18:57:47.886"</f>
        <v>2026-01-26 18:57:47.886</v>
      </c>
      <c r="H573" t="s">
        <v>21</v>
      </c>
      <c r="I573">
        <v>0</v>
      </c>
      <c r="J573" t="s">
        <v>22</v>
      </c>
    </row>
    <row r="574" spans="1:10" x14ac:dyDescent="0.25">
      <c r="A574" s="1">
        <v>91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"2026-01-26 18:52:38.919"</f>
        <v>2026-01-26 18:52:38.919</v>
      </c>
      <c r="H574" t="s">
        <v>21</v>
      </c>
      <c r="I574">
        <v>0</v>
      </c>
      <c r="J574" t="s">
        <v>22</v>
      </c>
    </row>
    <row r="575" spans="1:10" x14ac:dyDescent="0.25">
      <c r="A575" s="1">
        <v>92</v>
      </c>
      <c r="B575" t="s">
        <v>19</v>
      </c>
      <c r="C575">
        <v>706</v>
      </c>
      <c r="D575">
        <v>4</v>
      </c>
      <c r="E575" t="s">
        <v>32</v>
      </c>
      <c r="F575" t="s">
        <v>33</v>
      </c>
      <c r="G575" t="str">
        <f>"2026-01-26 18:50:08.600"</f>
        <v>2026-01-26 18:50:08.600</v>
      </c>
      <c r="H575" t="s">
        <v>21</v>
      </c>
      <c r="I575">
        <v>0</v>
      </c>
      <c r="J575" t="s">
        <v>59</v>
      </c>
    </row>
    <row r="576" spans="1:10" x14ac:dyDescent="0.25">
      <c r="A576" s="1">
        <v>94</v>
      </c>
      <c r="B576" t="s">
        <v>19</v>
      </c>
      <c r="C576">
        <v>706</v>
      </c>
      <c r="D576">
        <v>2</v>
      </c>
      <c r="E576" t="s">
        <v>32</v>
      </c>
      <c r="F576" t="s">
        <v>35</v>
      </c>
      <c r="G576" t="str">
        <f>"2026-01-23 00:01:22.800"</f>
        <v>2026-01-23 00:01:22.800</v>
      </c>
      <c r="H576" t="s">
        <v>21</v>
      </c>
      <c r="I576">
        <v>0</v>
      </c>
      <c r="J576" t="s">
        <v>34</v>
      </c>
    </row>
    <row r="577" spans="1:10" x14ac:dyDescent="0.25">
      <c r="A577" s="1">
        <v>95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"2026-01-22 22:56:48.000"</f>
        <v>2026-01-22 22:56:48.000</v>
      </c>
      <c r="H577" t="s">
        <v>21</v>
      </c>
      <c r="I577">
        <v>0</v>
      </c>
      <c r="J577" t="s">
        <v>22</v>
      </c>
    </row>
    <row r="578" spans="1:10" x14ac:dyDescent="0.25">
      <c r="A578" s="1">
        <v>96</v>
      </c>
      <c r="B578" t="s">
        <v>19</v>
      </c>
      <c r="C578">
        <v>706</v>
      </c>
      <c r="D578">
        <v>2</v>
      </c>
      <c r="E578" t="s">
        <v>32</v>
      </c>
      <c r="F578" t="s">
        <v>35</v>
      </c>
      <c r="G578" t="str">
        <f>"2026-01-22 22:27:18.849"</f>
        <v>2026-01-22 22:27:18.849</v>
      </c>
      <c r="H578" t="s">
        <v>21</v>
      </c>
      <c r="I578">
        <v>0</v>
      </c>
      <c r="J578" t="s">
        <v>34</v>
      </c>
    </row>
    <row r="579" spans="1:10" x14ac:dyDescent="0.25">
      <c r="A579" s="1">
        <v>97</v>
      </c>
      <c r="B579" t="s">
        <v>19</v>
      </c>
      <c r="C579">
        <v>706</v>
      </c>
      <c r="D579">
        <v>4</v>
      </c>
      <c r="E579" t="s">
        <v>32</v>
      </c>
      <c r="F579" t="s">
        <v>33</v>
      </c>
      <c r="G579" t="str">
        <f>"2026-01-22 22:13:01.139"</f>
        <v>2026-01-22 22:13:01.139</v>
      </c>
      <c r="H579" t="s">
        <v>21</v>
      </c>
      <c r="I579">
        <v>0</v>
      </c>
      <c r="J579" t="s">
        <v>34</v>
      </c>
    </row>
    <row r="580" spans="1:10" x14ac:dyDescent="0.25">
      <c r="A580" s="1">
        <v>98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"2026-01-22 21:58:06.899"</f>
        <v>2026-01-22 21:58:06.899</v>
      </c>
      <c r="H580" t="s">
        <v>21</v>
      </c>
      <c r="I580">
        <v>0</v>
      </c>
      <c r="J580" t="s">
        <v>22</v>
      </c>
    </row>
    <row r="581" spans="1:10" x14ac:dyDescent="0.25">
      <c r="A581" s="1">
        <v>99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"2026-01-22 17:49:48.016"</f>
        <v>2026-01-22 17:49:48.016</v>
      </c>
      <c r="H581" t="s">
        <v>21</v>
      </c>
      <c r="I581">
        <v>0</v>
      </c>
      <c r="J581" t="s">
        <v>22</v>
      </c>
    </row>
    <row r="582" spans="1:10" x14ac:dyDescent="0.25">
      <c r="A582" s="1">
        <v>0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"2026-01-22 17:27:11.898"</f>
        <v>2026-01-22 17:27:11.898</v>
      </c>
      <c r="H582" t="s">
        <v>21</v>
      </c>
      <c r="I582">
        <v>0</v>
      </c>
      <c r="J582" t="s">
        <v>22</v>
      </c>
    </row>
    <row r="583" spans="1:10" x14ac:dyDescent="0.25">
      <c r="A583" s="1">
        <v>1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"2026-01-22 15:18:23.893"</f>
        <v>2026-01-22 15:18:23.893</v>
      </c>
      <c r="H583" t="s">
        <v>21</v>
      </c>
      <c r="I583">
        <v>0</v>
      </c>
      <c r="J583" t="s">
        <v>22</v>
      </c>
    </row>
    <row r="584" spans="1:10" x14ac:dyDescent="0.25">
      <c r="A584" s="1">
        <v>2</v>
      </c>
      <c r="B584" t="s">
        <v>19</v>
      </c>
      <c r="C584">
        <v>706</v>
      </c>
      <c r="D584">
        <v>3</v>
      </c>
      <c r="E584" t="s">
        <v>32</v>
      </c>
      <c r="F584" t="s">
        <v>40</v>
      </c>
      <c r="G584" t="str">
        <f>"2026-01-22 14:15:36.316"</f>
        <v>2026-01-22 14:15:36.316</v>
      </c>
      <c r="H584" t="s">
        <v>21</v>
      </c>
      <c r="I584">
        <v>0</v>
      </c>
      <c r="J584" t="s">
        <v>34</v>
      </c>
    </row>
    <row r="585" spans="1:10" x14ac:dyDescent="0.25">
      <c r="A585" s="1">
        <v>3</v>
      </c>
      <c r="B585" t="s">
        <v>23</v>
      </c>
      <c r="C585">
        <v>635</v>
      </c>
      <c r="D585">
        <v>1</v>
      </c>
      <c r="E585" t="s">
        <v>24</v>
      </c>
      <c r="F585" t="s">
        <v>25</v>
      </c>
      <c r="G585" t="str">
        <f>"2026-01-22 08:22:35.297"</f>
        <v>2026-01-22 08:22:35.297</v>
      </c>
      <c r="H585" t="s">
        <v>21</v>
      </c>
    </row>
    <row r="586" spans="1:10" x14ac:dyDescent="0.25">
      <c r="A586" s="1">
        <v>4</v>
      </c>
      <c r="B586" t="s">
        <v>26</v>
      </c>
      <c r="C586">
        <v>635</v>
      </c>
      <c r="D586">
        <v>1</v>
      </c>
      <c r="E586" t="s">
        <v>24</v>
      </c>
      <c r="F586" t="s">
        <v>25</v>
      </c>
      <c r="G586" t="str">
        <f>"2026-01-22 08:20:16.297"</f>
        <v>2026-01-22 08:20:16.297</v>
      </c>
      <c r="H586" t="s">
        <v>21</v>
      </c>
      <c r="I586">
        <v>6.47</v>
      </c>
      <c r="J586" t="s">
        <v>27</v>
      </c>
    </row>
    <row r="587" spans="1:10" x14ac:dyDescent="0.25">
      <c r="A587" s="1">
        <v>5</v>
      </c>
      <c r="B587" t="s">
        <v>23</v>
      </c>
      <c r="C587">
        <v>635</v>
      </c>
      <c r="D587">
        <v>1</v>
      </c>
      <c r="E587" t="s">
        <v>24</v>
      </c>
      <c r="F587" t="s">
        <v>25</v>
      </c>
      <c r="G587" t="str">
        <f>"2026-01-21 11:03:49.797"</f>
        <v>2026-01-21 11:03:49.797</v>
      </c>
      <c r="H587" t="s">
        <v>21</v>
      </c>
    </row>
    <row r="588" spans="1:10" x14ac:dyDescent="0.25">
      <c r="A588" s="1">
        <v>6</v>
      </c>
      <c r="B588" t="s">
        <v>26</v>
      </c>
      <c r="C588">
        <v>635</v>
      </c>
      <c r="D588">
        <v>1</v>
      </c>
      <c r="E588" t="s">
        <v>24</v>
      </c>
      <c r="F588" t="s">
        <v>25</v>
      </c>
      <c r="G588" t="str">
        <f>"2026-01-21 10:57:32.797"</f>
        <v>2026-01-21 10:57:32.797</v>
      </c>
      <c r="H588" t="s">
        <v>21</v>
      </c>
      <c r="I588">
        <v>9.25</v>
      </c>
      <c r="J588" t="s">
        <v>27</v>
      </c>
    </row>
    <row r="589" spans="1:10" x14ac:dyDescent="0.25">
      <c r="A589" s="1">
        <v>7</v>
      </c>
      <c r="B589" t="s">
        <v>23</v>
      </c>
      <c r="C589">
        <v>635</v>
      </c>
      <c r="D589">
        <v>1</v>
      </c>
      <c r="E589" t="s">
        <v>24</v>
      </c>
      <c r="F589" t="s">
        <v>25</v>
      </c>
      <c r="G589" t="str">
        <f>"2026-01-21 05:45:46.497"</f>
        <v>2026-01-21 05:45:46.497</v>
      </c>
      <c r="H589" t="s">
        <v>21</v>
      </c>
    </row>
    <row r="590" spans="1:10" x14ac:dyDescent="0.25">
      <c r="A590" s="1">
        <v>8</v>
      </c>
      <c r="B590" t="s">
        <v>26</v>
      </c>
      <c r="C590">
        <v>635</v>
      </c>
      <c r="D590">
        <v>1</v>
      </c>
      <c r="E590" t="s">
        <v>24</v>
      </c>
      <c r="F590" t="s">
        <v>25</v>
      </c>
      <c r="G590" t="str">
        <f>"2026-01-21 05:45:07.497"</f>
        <v>2026-01-21 05:45:07.497</v>
      </c>
      <c r="H590" t="s">
        <v>21</v>
      </c>
      <c r="I590">
        <v>8.0399999999999991</v>
      </c>
      <c r="J590" t="s">
        <v>27</v>
      </c>
    </row>
    <row r="591" spans="1:10" s="3" customFormat="1" x14ac:dyDescent="0.25">
      <c r="A591" s="2">
        <v>9</v>
      </c>
      <c r="B591" s="3" t="s">
        <v>23</v>
      </c>
      <c r="C591" s="3">
        <v>647</v>
      </c>
      <c r="D591" s="3">
        <v>1</v>
      </c>
      <c r="E591" s="3" t="s">
        <v>29</v>
      </c>
      <c r="F591" s="3" t="s">
        <v>30</v>
      </c>
      <c r="G591" s="3" t="str">
        <f>"2026-01-20 16:49:48.797"</f>
        <v>2026-01-20 16:49:48.797</v>
      </c>
      <c r="H591" s="3" t="s">
        <v>21</v>
      </c>
    </row>
    <row r="592" spans="1:10" s="3" customFormat="1" x14ac:dyDescent="0.25">
      <c r="A592" s="2">
        <v>10</v>
      </c>
      <c r="B592" s="3" t="s">
        <v>26</v>
      </c>
      <c r="C592" s="3">
        <v>647</v>
      </c>
      <c r="D592" s="3">
        <v>1</v>
      </c>
      <c r="E592" s="3" t="s">
        <v>29</v>
      </c>
      <c r="F592" s="3" t="s">
        <v>30</v>
      </c>
      <c r="G592" s="3" t="str">
        <f>"2026-01-20 16:49:47.197"</f>
        <v>2026-01-20 16:49:47.197</v>
      </c>
      <c r="H592" s="3" t="s">
        <v>21</v>
      </c>
      <c r="I592" s="3">
        <v>16.27</v>
      </c>
      <c r="J592" s="3" t="s">
        <v>31</v>
      </c>
    </row>
    <row r="593" spans="1:10" x14ac:dyDescent="0.25">
      <c r="A593" s="1">
        <v>11</v>
      </c>
      <c r="B593" t="s">
        <v>23</v>
      </c>
      <c r="C593">
        <v>635</v>
      </c>
      <c r="D593">
        <v>1</v>
      </c>
      <c r="E593" t="s">
        <v>24</v>
      </c>
      <c r="F593" t="s">
        <v>25</v>
      </c>
      <c r="G593" t="str">
        <f>"2026-01-20 06:31:18.497"</f>
        <v>2026-01-20 06:31:18.497</v>
      </c>
      <c r="H593" t="s">
        <v>21</v>
      </c>
    </row>
    <row r="594" spans="1:10" x14ac:dyDescent="0.25">
      <c r="A594" s="1">
        <v>12</v>
      </c>
      <c r="B594" t="s">
        <v>26</v>
      </c>
      <c r="C594">
        <v>635</v>
      </c>
      <c r="D594">
        <v>1</v>
      </c>
      <c r="E594" t="s">
        <v>24</v>
      </c>
      <c r="F594" t="s">
        <v>25</v>
      </c>
      <c r="G594" t="str">
        <f>"2026-01-20 06:24:44.497"</f>
        <v>2026-01-20 06:24:44.497</v>
      </c>
      <c r="H594" t="s">
        <v>21</v>
      </c>
      <c r="I594">
        <v>4.1399999999999997</v>
      </c>
      <c r="J594" t="s">
        <v>27</v>
      </c>
    </row>
    <row r="595" spans="1:10" x14ac:dyDescent="0.25">
      <c r="A595" s="1">
        <v>13</v>
      </c>
      <c r="B595" t="s">
        <v>23</v>
      </c>
      <c r="C595">
        <v>630</v>
      </c>
      <c r="D595">
        <v>5</v>
      </c>
      <c r="E595" t="s">
        <v>36</v>
      </c>
      <c r="F595" t="s">
        <v>37</v>
      </c>
      <c r="G595" t="str">
        <f>"2026-01-19 14:57:25.497"</f>
        <v>2026-01-19 14:57:25.497</v>
      </c>
      <c r="H595" t="s">
        <v>38</v>
      </c>
    </row>
    <row r="596" spans="1:10" x14ac:dyDescent="0.25">
      <c r="A596" s="1">
        <v>14</v>
      </c>
      <c r="B596" t="s">
        <v>19</v>
      </c>
      <c r="C596">
        <v>706</v>
      </c>
      <c r="D596">
        <v>4</v>
      </c>
      <c r="E596" t="s">
        <v>32</v>
      </c>
      <c r="F596" t="s">
        <v>33</v>
      </c>
      <c r="G596" t="str">
        <f>"2026-01-19 14:56:55.456"</f>
        <v>2026-01-19 14:56:55.456</v>
      </c>
      <c r="H596" t="s">
        <v>21</v>
      </c>
      <c r="I596">
        <v>0</v>
      </c>
      <c r="J596" t="s">
        <v>34</v>
      </c>
    </row>
    <row r="597" spans="1:10" x14ac:dyDescent="0.25">
      <c r="A597" s="1">
        <v>15</v>
      </c>
      <c r="B597" t="s">
        <v>39</v>
      </c>
      <c r="C597">
        <v>630</v>
      </c>
      <c r="D597">
        <v>5</v>
      </c>
      <c r="E597" t="s">
        <v>36</v>
      </c>
      <c r="F597" t="s">
        <v>37</v>
      </c>
      <c r="G597" t="str">
        <f>"2026-01-19 14:56:00.397"</f>
        <v>2026-01-19 14:56:00.397</v>
      </c>
      <c r="H597" t="s">
        <v>38</v>
      </c>
      <c r="I597">
        <v>0</v>
      </c>
      <c r="J597" t="s">
        <v>34</v>
      </c>
    </row>
    <row r="598" spans="1:10" x14ac:dyDescent="0.25">
      <c r="A598" s="1">
        <v>16</v>
      </c>
      <c r="B598" t="s">
        <v>23</v>
      </c>
      <c r="C598">
        <v>635</v>
      </c>
      <c r="D598">
        <v>1</v>
      </c>
      <c r="E598" t="s">
        <v>24</v>
      </c>
      <c r="F598" t="s">
        <v>25</v>
      </c>
      <c r="G598" t="str">
        <f>"2026-01-19 11:43:15.897"</f>
        <v>2026-01-19 11:43:15.897</v>
      </c>
      <c r="H598" t="s">
        <v>21</v>
      </c>
    </row>
    <row r="599" spans="1:10" x14ac:dyDescent="0.25">
      <c r="A599" s="1">
        <v>17</v>
      </c>
      <c r="B599" t="s">
        <v>26</v>
      </c>
      <c r="C599">
        <v>635</v>
      </c>
      <c r="D599">
        <v>1</v>
      </c>
      <c r="E599" t="s">
        <v>24</v>
      </c>
      <c r="F599" t="s">
        <v>25</v>
      </c>
      <c r="G599" t="str">
        <f>"2026-01-19 11:21:48.897"</f>
        <v>2026-01-19 11:21:48.897</v>
      </c>
      <c r="H599" t="s">
        <v>21</v>
      </c>
      <c r="I599">
        <v>5.87</v>
      </c>
      <c r="J599" t="s">
        <v>27</v>
      </c>
    </row>
    <row r="600" spans="1:10" s="3" customFormat="1" x14ac:dyDescent="0.25">
      <c r="A600" s="2">
        <v>19</v>
      </c>
      <c r="B600" s="3" t="s">
        <v>23</v>
      </c>
      <c r="C600" s="3">
        <v>647</v>
      </c>
      <c r="D600" s="3">
        <v>1</v>
      </c>
      <c r="E600" s="3" t="s">
        <v>29</v>
      </c>
      <c r="F600" s="3" t="s">
        <v>30</v>
      </c>
      <c r="G600" s="3" t="str">
        <f>"2026-01-16 21:32:53.297"</f>
        <v>2026-01-16 21:32:53.297</v>
      </c>
      <c r="H600" s="3" t="s">
        <v>21</v>
      </c>
    </row>
    <row r="601" spans="1:10" s="3" customFormat="1" x14ac:dyDescent="0.25">
      <c r="A601" s="2">
        <v>20</v>
      </c>
      <c r="B601" s="3" t="s">
        <v>26</v>
      </c>
      <c r="C601" s="3">
        <v>647</v>
      </c>
      <c r="D601" s="3">
        <v>1</v>
      </c>
      <c r="E601" s="3" t="s">
        <v>29</v>
      </c>
      <c r="F601" s="3" t="s">
        <v>30</v>
      </c>
      <c r="G601" s="3" t="str">
        <f>"2026-01-16 21:32:51.197"</f>
        <v>2026-01-16 21:32:51.197</v>
      </c>
      <c r="H601" s="3" t="s">
        <v>21</v>
      </c>
      <c r="I601" s="3">
        <v>11.87</v>
      </c>
      <c r="J601" s="3" t="s">
        <v>31</v>
      </c>
    </row>
    <row r="602" spans="1:10" x14ac:dyDescent="0.25">
      <c r="A602" s="1">
        <v>21</v>
      </c>
      <c r="B602" t="s">
        <v>23</v>
      </c>
      <c r="C602">
        <v>61</v>
      </c>
      <c r="D602">
        <v>2</v>
      </c>
      <c r="E602" t="s">
        <v>41</v>
      </c>
      <c r="F602" t="s">
        <v>42</v>
      </c>
      <c r="G602" t="str">
        <f>"2026-01-16 19:09:49.690"</f>
        <v>2026-01-16 19:09:49.690</v>
      </c>
      <c r="H602" t="s">
        <v>21</v>
      </c>
    </row>
    <row r="603" spans="1:10" x14ac:dyDescent="0.25">
      <c r="A603" s="1">
        <v>22</v>
      </c>
      <c r="B603" t="s">
        <v>39</v>
      </c>
      <c r="C603">
        <v>61</v>
      </c>
      <c r="D603">
        <v>2</v>
      </c>
      <c r="E603" t="s">
        <v>41</v>
      </c>
      <c r="F603" t="s">
        <v>42</v>
      </c>
      <c r="G603" t="str">
        <f>"2026-01-16 19:09:40.390"</f>
        <v>2026-01-16 19:09:40.390</v>
      </c>
      <c r="H603" t="s">
        <v>21</v>
      </c>
      <c r="I603">
        <v>35.5</v>
      </c>
      <c r="J603" t="s">
        <v>31</v>
      </c>
    </row>
    <row r="604" spans="1:10" x14ac:dyDescent="0.25">
      <c r="A604" s="1">
        <v>23</v>
      </c>
      <c r="B604" t="s">
        <v>23</v>
      </c>
      <c r="C604">
        <v>61</v>
      </c>
      <c r="D604">
        <v>2</v>
      </c>
      <c r="E604" t="s">
        <v>41</v>
      </c>
      <c r="F604" t="s">
        <v>42</v>
      </c>
      <c r="G604" t="str">
        <f>"2026-01-14 11:56:27.790"</f>
        <v>2026-01-14 11:56:27.790</v>
      </c>
      <c r="H604" t="s">
        <v>21</v>
      </c>
    </row>
    <row r="605" spans="1:10" x14ac:dyDescent="0.25">
      <c r="A605" s="1">
        <v>24</v>
      </c>
      <c r="B605" t="s">
        <v>39</v>
      </c>
      <c r="C605">
        <v>61</v>
      </c>
      <c r="D605">
        <v>2</v>
      </c>
      <c r="E605" t="s">
        <v>41</v>
      </c>
      <c r="F605" t="s">
        <v>42</v>
      </c>
      <c r="G605" t="str">
        <f>"2026-01-14 11:56:18.490"</f>
        <v>2026-01-14 11:56:18.490</v>
      </c>
      <c r="H605" t="s">
        <v>21</v>
      </c>
      <c r="I605">
        <v>35.67</v>
      </c>
      <c r="J605" t="s">
        <v>31</v>
      </c>
    </row>
    <row r="606" spans="1:10" s="3" customFormat="1" x14ac:dyDescent="0.25">
      <c r="A606" s="2">
        <v>25</v>
      </c>
      <c r="B606" s="3" t="s">
        <v>23</v>
      </c>
      <c r="C606" s="3">
        <v>647</v>
      </c>
      <c r="D606" s="3">
        <v>1</v>
      </c>
      <c r="E606" s="3" t="s">
        <v>29</v>
      </c>
      <c r="F606" s="3" t="s">
        <v>30</v>
      </c>
      <c r="G606" s="3" t="str">
        <f>"2026-01-13 21:36:48.897"</f>
        <v>2026-01-13 21:36:48.897</v>
      </c>
      <c r="H606" s="3" t="s">
        <v>21</v>
      </c>
    </row>
    <row r="607" spans="1:10" s="3" customFormat="1" x14ac:dyDescent="0.25">
      <c r="A607" s="2">
        <v>26</v>
      </c>
      <c r="B607" s="3" t="s">
        <v>26</v>
      </c>
      <c r="C607" s="3">
        <v>647</v>
      </c>
      <c r="D607" s="3">
        <v>1</v>
      </c>
      <c r="E607" s="3" t="s">
        <v>29</v>
      </c>
      <c r="F607" s="3" t="s">
        <v>30</v>
      </c>
      <c r="G607" s="3" t="str">
        <f>"2026-01-13 21:36:46.597"</f>
        <v>2026-01-13 21:36:46.597</v>
      </c>
      <c r="H607" s="3" t="s">
        <v>21</v>
      </c>
      <c r="I607" s="3">
        <v>26.13</v>
      </c>
      <c r="J607" s="3" t="s">
        <v>31</v>
      </c>
    </row>
    <row r="608" spans="1:10" x14ac:dyDescent="0.25">
      <c r="A608" s="1">
        <v>27</v>
      </c>
      <c r="B608" t="s">
        <v>23</v>
      </c>
      <c r="C608">
        <v>61</v>
      </c>
      <c r="D608">
        <v>2</v>
      </c>
      <c r="E608" t="s">
        <v>41</v>
      </c>
      <c r="F608" t="s">
        <v>42</v>
      </c>
      <c r="G608" t="str">
        <f>"2026-01-13 19:03:29.890"</f>
        <v>2026-01-13 19:03:29.890</v>
      </c>
      <c r="H608" t="s">
        <v>21</v>
      </c>
    </row>
    <row r="609" spans="1:10" x14ac:dyDescent="0.25">
      <c r="A609" s="1">
        <v>28</v>
      </c>
      <c r="B609" t="s">
        <v>39</v>
      </c>
      <c r="C609">
        <v>61</v>
      </c>
      <c r="D609">
        <v>2</v>
      </c>
      <c r="E609" t="s">
        <v>41</v>
      </c>
      <c r="F609" t="s">
        <v>42</v>
      </c>
      <c r="G609" t="str">
        <f>"2026-01-13 19:03:19.890"</f>
        <v>2026-01-13 19:03:19.890</v>
      </c>
      <c r="H609" t="s">
        <v>21</v>
      </c>
      <c r="I609">
        <v>36.479999999999997</v>
      </c>
      <c r="J609" t="s">
        <v>31</v>
      </c>
    </row>
    <row r="610" spans="1:10" x14ac:dyDescent="0.25">
      <c r="A610" s="1">
        <v>29</v>
      </c>
      <c r="B610" t="s">
        <v>23</v>
      </c>
      <c r="C610">
        <v>635</v>
      </c>
      <c r="D610">
        <v>1</v>
      </c>
      <c r="E610" t="s">
        <v>24</v>
      </c>
      <c r="F610" t="s">
        <v>25</v>
      </c>
      <c r="G610" t="str">
        <f>"2026-01-12 20:08:42.697"</f>
        <v>2026-01-12 20:08:42.697</v>
      </c>
      <c r="H610" t="s">
        <v>21</v>
      </c>
    </row>
    <row r="611" spans="1:10" x14ac:dyDescent="0.25">
      <c r="A611" s="1">
        <v>30</v>
      </c>
      <c r="B611" t="s">
        <v>26</v>
      </c>
      <c r="C611">
        <v>635</v>
      </c>
      <c r="D611">
        <v>1</v>
      </c>
      <c r="E611" t="s">
        <v>24</v>
      </c>
      <c r="F611" t="s">
        <v>25</v>
      </c>
      <c r="G611" t="str">
        <f>"2026-01-12 20:05:34.197"</f>
        <v>2026-01-12 20:05:34.197</v>
      </c>
      <c r="H611" t="s">
        <v>21</v>
      </c>
      <c r="I611">
        <v>6.18</v>
      </c>
      <c r="J611" t="s">
        <v>27</v>
      </c>
    </row>
    <row r="612" spans="1:10" x14ac:dyDescent="0.25">
      <c r="A612" s="1">
        <v>31</v>
      </c>
      <c r="B612" t="s">
        <v>23</v>
      </c>
      <c r="C612">
        <v>635</v>
      </c>
      <c r="D612">
        <v>1</v>
      </c>
      <c r="E612" t="s">
        <v>24</v>
      </c>
      <c r="F612" t="s">
        <v>25</v>
      </c>
      <c r="G612" t="str">
        <f>"2026-01-12 08:12:45.697"</f>
        <v>2026-01-12 08:12:45.697</v>
      </c>
      <c r="H612" t="s">
        <v>21</v>
      </c>
    </row>
    <row r="613" spans="1:10" x14ac:dyDescent="0.25">
      <c r="A613" s="1">
        <v>32</v>
      </c>
      <c r="B613" t="s">
        <v>26</v>
      </c>
      <c r="C613">
        <v>635</v>
      </c>
      <c r="D613">
        <v>1</v>
      </c>
      <c r="E613" t="s">
        <v>24</v>
      </c>
      <c r="F613" t="s">
        <v>25</v>
      </c>
      <c r="G613" t="str">
        <f>"2026-01-12 08:09:38.697"</f>
        <v>2026-01-12 08:09:38.697</v>
      </c>
      <c r="H613" t="s">
        <v>21</v>
      </c>
      <c r="I613">
        <v>9.32</v>
      </c>
      <c r="J613" t="s">
        <v>31</v>
      </c>
    </row>
    <row r="614" spans="1:10" x14ac:dyDescent="0.25">
      <c r="A614" s="1">
        <v>33</v>
      </c>
      <c r="B614" t="s">
        <v>19</v>
      </c>
      <c r="C614">
        <v>706</v>
      </c>
      <c r="D614">
        <v>2</v>
      </c>
      <c r="E614" t="s">
        <v>32</v>
      </c>
      <c r="F614" t="s">
        <v>35</v>
      </c>
      <c r="G614" t="str">
        <f>"2026-01-12 04:40:00.266"</f>
        <v>2026-01-12 04:40:00.266</v>
      </c>
      <c r="H614" t="s">
        <v>21</v>
      </c>
      <c r="I614">
        <v>0</v>
      </c>
      <c r="J614" t="s">
        <v>34</v>
      </c>
    </row>
    <row r="615" spans="1:10" x14ac:dyDescent="0.25">
      <c r="A615" s="1">
        <v>34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"2026-01-12 04:06:10.886"</f>
        <v>2026-01-12 04:06:10.886</v>
      </c>
      <c r="H615" t="s">
        <v>21</v>
      </c>
      <c r="I615">
        <v>0</v>
      </c>
      <c r="J615" t="s">
        <v>22</v>
      </c>
    </row>
    <row r="616" spans="1:10" x14ac:dyDescent="0.25">
      <c r="A616" s="1">
        <v>35</v>
      </c>
      <c r="B616" t="s">
        <v>19</v>
      </c>
      <c r="C616">
        <v>706</v>
      </c>
      <c r="D616">
        <v>2</v>
      </c>
      <c r="E616" t="s">
        <v>32</v>
      </c>
      <c r="F616" t="s">
        <v>35</v>
      </c>
      <c r="G616" t="str">
        <f>"2026-01-12 03:36:11.906"</f>
        <v>2026-01-12 03:36:11.906</v>
      </c>
      <c r="H616" t="s">
        <v>21</v>
      </c>
      <c r="I616">
        <v>0</v>
      </c>
      <c r="J616" t="s">
        <v>34</v>
      </c>
    </row>
    <row r="617" spans="1:10" x14ac:dyDescent="0.25">
      <c r="A617" s="1">
        <v>36</v>
      </c>
      <c r="B617" t="s">
        <v>19</v>
      </c>
      <c r="C617">
        <v>706</v>
      </c>
      <c r="D617">
        <v>4</v>
      </c>
      <c r="E617" t="s">
        <v>32</v>
      </c>
      <c r="F617" t="s">
        <v>33</v>
      </c>
      <c r="G617" t="str">
        <f>"2026-01-12 03:36:02.206"</f>
        <v>2026-01-12 03:36:02.206</v>
      </c>
      <c r="H617" t="s">
        <v>21</v>
      </c>
      <c r="I617">
        <v>0</v>
      </c>
      <c r="J617" t="s">
        <v>34</v>
      </c>
    </row>
    <row r="618" spans="1:10" x14ac:dyDescent="0.25">
      <c r="A618" s="1">
        <v>37</v>
      </c>
      <c r="B618" t="s">
        <v>23</v>
      </c>
      <c r="C618">
        <v>630</v>
      </c>
      <c r="D618">
        <v>5</v>
      </c>
      <c r="E618" t="s">
        <v>36</v>
      </c>
      <c r="F618" t="s">
        <v>37</v>
      </c>
      <c r="G618" t="str">
        <f>"2026-01-12 03:03:56.737"</f>
        <v>2026-01-12 03:03:56.737</v>
      </c>
      <c r="H618" t="s">
        <v>38</v>
      </c>
    </row>
    <row r="619" spans="1:10" x14ac:dyDescent="0.25">
      <c r="A619" s="1">
        <v>38</v>
      </c>
      <c r="B619" t="s">
        <v>39</v>
      </c>
      <c r="C619">
        <v>630</v>
      </c>
      <c r="D619">
        <v>5</v>
      </c>
      <c r="E619" t="s">
        <v>36</v>
      </c>
      <c r="F619" t="s">
        <v>37</v>
      </c>
      <c r="G619" t="str">
        <f>"2026-01-12 02:58:29.738"</f>
        <v>2026-01-12 02:58:29.738</v>
      </c>
      <c r="H619" t="s">
        <v>38</v>
      </c>
      <c r="I619">
        <v>0</v>
      </c>
      <c r="J619" t="s">
        <v>34</v>
      </c>
    </row>
    <row r="620" spans="1:10" x14ac:dyDescent="0.25">
      <c r="A620" s="1">
        <v>39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"2026-01-12 02:53:26.886"</f>
        <v>2026-01-12 02:53:26.886</v>
      </c>
      <c r="H620" t="s">
        <v>21</v>
      </c>
      <c r="I620">
        <v>0</v>
      </c>
      <c r="J620" t="s">
        <v>22</v>
      </c>
    </row>
    <row r="621" spans="1:10" x14ac:dyDescent="0.25">
      <c r="A621" s="1">
        <v>40</v>
      </c>
      <c r="B621" t="s">
        <v>39</v>
      </c>
      <c r="C621">
        <v>630</v>
      </c>
      <c r="D621">
        <v>5</v>
      </c>
      <c r="E621" t="s">
        <v>36</v>
      </c>
      <c r="F621" t="s">
        <v>37</v>
      </c>
      <c r="G621" t="str">
        <f>"2026-01-12 02:15:28.693"</f>
        <v>2026-01-12 02:15:28.693</v>
      </c>
      <c r="H621" t="s">
        <v>38</v>
      </c>
      <c r="I621">
        <v>0</v>
      </c>
      <c r="J621" t="s">
        <v>34</v>
      </c>
    </row>
    <row r="622" spans="1:10" x14ac:dyDescent="0.25">
      <c r="A622" s="1">
        <v>41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"2026-01-12 02:10:25.883"</f>
        <v>2026-01-12 02:10:25.883</v>
      </c>
      <c r="H622" t="s">
        <v>21</v>
      </c>
    </row>
    <row r="623" spans="1:10" x14ac:dyDescent="0.25">
      <c r="A623" s="1">
        <v>42</v>
      </c>
      <c r="B623" t="s">
        <v>23</v>
      </c>
      <c r="C623">
        <v>635</v>
      </c>
      <c r="D623">
        <v>1</v>
      </c>
      <c r="E623" t="s">
        <v>24</v>
      </c>
      <c r="F623" t="s">
        <v>25</v>
      </c>
      <c r="G623" t="str">
        <f>"2026-01-11 09:21:38.488"</f>
        <v>2026-01-11 09:21:38.488</v>
      </c>
      <c r="H623" t="s">
        <v>21</v>
      </c>
    </row>
    <row r="624" spans="1:10" x14ac:dyDescent="0.25">
      <c r="A624" s="1">
        <v>43</v>
      </c>
      <c r="B624" t="s">
        <v>26</v>
      </c>
      <c r="C624">
        <v>635</v>
      </c>
      <c r="D624">
        <v>1</v>
      </c>
      <c r="E624" t="s">
        <v>24</v>
      </c>
      <c r="F624" t="s">
        <v>25</v>
      </c>
      <c r="G624" t="str">
        <f>"2026-01-11 09:18:08.488"</f>
        <v>2026-01-11 09:18:08.488</v>
      </c>
      <c r="H624" t="s">
        <v>21</v>
      </c>
      <c r="I624">
        <v>5.63</v>
      </c>
      <c r="J624" t="s">
        <v>27</v>
      </c>
    </row>
    <row r="625" spans="1:10" x14ac:dyDescent="0.25">
      <c r="A625" s="1">
        <v>45</v>
      </c>
      <c r="B625" t="s">
        <v>23</v>
      </c>
      <c r="C625">
        <v>635</v>
      </c>
      <c r="D625">
        <v>1</v>
      </c>
      <c r="E625" t="s">
        <v>24</v>
      </c>
      <c r="F625" t="s">
        <v>25</v>
      </c>
      <c r="G625" t="str">
        <f>"2026-01-10 00:58:22.988"</f>
        <v>2026-01-10 00:58:22.988</v>
      </c>
      <c r="H625" t="s">
        <v>21</v>
      </c>
    </row>
    <row r="626" spans="1:10" x14ac:dyDescent="0.25">
      <c r="A626" s="1">
        <v>46</v>
      </c>
      <c r="B626" t="s">
        <v>26</v>
      </c>
      <c r="C626">
        <v>635</v>
      </c>
      <c r="D626">
        <v>1</v>
      </c>
      <c r="E626" t="s">
        <v>24</v>
      </c>
      <c r="F626" t="s">
        <v>25</v>
      </c>
      <c r="G626" t="str">
        <f>"2026-01-10 00:41:36.488"</f>
        <v>2026-01-10 00:41:36.488</v>
      </c>
      <c r="H626" t="s">
        <v>21</v>
      </c>
      <c r="I626">
        <v>7.03</v>
      </c>
      <c r="J626" t="s">
        <v>27</v>
      </c>
    </row>
    <row r="627" spans="1:10" x14ac:dyDescent="0.25">
      <c r="A627" s="1">
        <v>47</v>
      </c>
      <c r="B627" t="s">
        <v>23</v>
      </c>
      <c r="C627">
        <v>635</v>
      </c>
      <c r="D627">
        <v>1</v>
      </c>
      <c r="E627" t="s">
        <v>24</v>
      </c>
      <c r="F627" t="s">
        <v>25</v>
      </c>
      <c r="G627" t="str">
        <f>"2026-01-09 23:42:20.988"</f>
        <v>2026-01-09 23:42:20.988</v>
      </c>
      <c r="H627" t="s">
        <v>21</v>
      </c>
    </row>
    <row r="628" spans="1:10" x14ac:dyDescent="0.25">
      <c r="A628" s="1">
        <v>48</v>
      </c>
      <c r="B628" t="s">
        <v>26</v>
      </c>
      <c r="C628">
        <v>635</v>
      </c>
      <c r="D628">
        <v>1</v>
      </c>
      <c r="E628" t="s">
        <v>24</v>
      </c>
      <c r="F628" t="s">
        <v>25</v>
      </c>
      <c r="G628" t="str">
        <f>"2026-01-09 23:25:49.988"</f>
        <v>2026-01-09 23:25:49.988</v>
      </c>
      <c r="H628" t="s">
        <v>21</v>
      </c>
      <c r="I628">
        <v>9.49</v>
      </c>
      <c r="J628" t="s">
        <v>27</v>
      </c>
    </row>
    <row r="629" spans="1:10" x14ac:dyDescent="0.25">
      <c r="A629" s="1">
        <v>49</v>
      </c>
      <c r="B629" t="s">
        <v>23</v>
      </c>
      <c r="C629">
        <v>61</v>
      </c>
      <c r="D629">
        <v>2</v>
      </c>
      <c r="E629" t="s">
        <v>41</v>
      </c>
      <c r="F629" t="s">
        <v>42</v>
      </c>
      <c r="G629" t="str">
        <f>"2026-01-09 15:54:47.088"</f>
        <v>2026-01-09 15:54:47.088</v>
      </c>
      <c r="H629" t="s">
        <v>21</v>
      </c>
    </row>
    <row r="630" spans="1:10" x14ac:dyDescent="0.25">
      <c r="A630" s="1">
        <v>50</v>
      </c>
      <c r="B630" t="s">
        <v>39</v>
      </c>
      <c r="C630">
        <v>61</v>
      </c>
      <c r="D630">
        <v>2</v>
      </c>
      <c r="E630" t="s">
        <v>41</v>
      </c>
      <c r="F630" t="s">
        <v>42</v>
      </c>
      <c r="G630" t="str">
        <f>"2026-01-09 15:54:25.888"</f>
        <v>2026-01-09 15:54:25.888</v>
      </c>
      <c r="H630" t="s">
        <v>21</v>
      </c>
      <c r="I630">
        <v>36.869999999999997</v>
      </c>
      <c r="J630" t="s">
        <v>31</v>
      </c>
    </row>
    <row r="631" spans="1:10" x14ac:dyDescent="0.25">
      <c r="A631" s="1">
        <v>51</v>
      </c>
      <c r="B631" t="s">
        <v>23</v>
      </c>
      <c r="C631">
        <v>61</v>
      </c>
      <c r="D631">
        <v>2</v>
      </c>
      <c r="E631" t="s">
        <v>41</v>
      </c>
      <c r="F631" t="s">
        <v>42</v>
      </c>
      <c r="G631" t="str">
        <f>"2026-01-09 14:48:21.988"</f>
        <v>2026-01-09 14:48:21.988</v>
      </c>
      <c r="H631" t="s">
        <v>21</v>
      </c>
    </row>
    <row r="632" spans="1:10" x14ac:dyDescent="0.25">
      <c r="A632" s="1">
        <v>52</v>
      </c>
      <c r="B632" t="s">
        <v>39</v>
      </c>
      <c r="C632">
        <v>61</v>
      </c>
      <c r="D632">
        <v>2</v>
      </c>
      <c r="E632" t="s">
        <v>41</v>
      </c>
      <c r="F632" t="s">
        <v>42</v>
      </c>
      <c r="G632" t="str">
        <f>"2026-01-09 14:48:08.589"</f>
        <v>2026-01-09 14:48:08.589</v>
      </c>
      <c r="H632" t="s">
        <v>21</v>
      </c>
      <c r="I632">
        <v>36.83</v>
      </c>
      <c r="J632" t="s">
        <v>31</v>
      </c>
    </row>
    <row r="633" spans="1:10" x14ac:dyDescent="0.25">
      <c r="A633" s="1">
        <v>53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"2026-01-09 13:33:01.882"</f>
        <v>2026-01-09 13:33:01.882</v>
      </c>
      <c r="H633" t="s">
        <v>21</v>
      </c>
      <c r="I633">
        <v>0</v>
      </c>
      <c r="J633" t="s">
        <v>22</v>
      </c>
    </row>
    <row r="634" spans="1:10" s="3" customFormat="1" x14ac:dyDescent="0.25">
      <c r="A634" s="2">
        <v>54</v>
      </c>
      <c r="B634" s="3" t="s">
        <v>23</v>
      </c>
      <c r="C634" s="3">
        <v>647</v>
      </c>
      <c r="D634" s="3">
        <v>1</v>
      </c>
      <c r="E634" s="3" t="s">
        <v>29</v>
      </c>
      <c r="F634" s="3" t="s">
        <v>30</v>
      </c>
      <c r="G634" s="3" t="str">
        <f>"2026-01-09 05:05:52.219"</f>
        <v>2026-01-09 05:05:52.219</v>
      </c>
      <c r="H634" s="3" t="s">
        <v>21</v>
      </c>
    </row>
    <row r="635" spans="1:10" s="3" customFormat="1" x14ac:dyDescent="0.25">
      <c r="A635" s="2">
        <v>55</v>
      </c>
      <c r="B635" s="3" t="s">
        <v>26</v>
      </c>
      <c r="C635" s="3">
        <v>647</v>
      </c>
      <c r="D635" s="3">
        <v>1</v>
      </c>
      <c r="E635" s="3" t="s">
        <v>29</v>
      </c>
      <c r="F635" s="3" t="s">
        <v>30</v>
      </c>
      <c r="G635" s="3" t="str">
        <f>"2026-01-09 05:05:50.719"</f>
        <v>2026-01-09 05:05:50.719</v>
      </c>
      <c r="H635" s="3" t="s">
        <v>21</v>
      </c>
      <c r="I635" s="3">
        <v>15.13</v>
      </c>
      <c r="J635" s="3" t="s">
        <v>31</v>
      </c>
    </row>
    <row r="636" spans="1:10" s="3" customFormat="1" x14ac:dyDescent="0.25">
      <c r="A636" s="2">
        <v>56</v>
      </c>
      <c r="B636" s="3" t="s">
        <v>23</v>
      </c>
      <c r="C636" s="3">
        <v>647</v>
      </c>
      <c r="D636" s="3">
        <v>1</v>
      </c>
      <c r="E636" s="3" t="s">
        <v>29</v>
      </c>
      <c r="F636" s="3" t="s">
        <v>30</v>
      </c>
      <c r="G636" s="3" t="str">
        <f>"2026-01-09 02:24:02.919"</f>
        <v>2026-01-09 02:24:02.919</v>
      </c>
      <c r="H636" s="3" t="s">
        <v>21</v>
      </c>
    </row>
    <row r="637" spans="1:10" s="3" customFormat="1" x14ac:dyDescent="0.25">
      <c r="A637" s="2">
        <v>57</v>
      </c>
      <c r="B637" s="3" t="s">
        <v>26</v>
      </c>
      <c r="C637" s="3">
        <v>647</v>
      </c>
      <c r="D637" s="3">
        <v>1</v>
      </c>
      <c r="E637" s="3" t="s">
        <v>29</v>
      </c>
      <c r="F637" s="3" t="s">
        <v>30</v>
      </c>
      <c r="G637" s="3" t="str">
        <f>"2026-01-09 02:23:54.019"</f>
        <v>2026-01-09 02:23:54.019</v>
      </c>
      <c r="H637" s="3" t="s">
        <v>21</v>
      </c>
      <c r="I637" s="3">
        <v>30.47</v>
      </c>
      <c r="J637" s="3" t="s">
        <v>31</v>
      </c>
    </row>
    <row r="638" spans="1:10" x14ac:dyDescent="0.25">
      <c r="A638" s="1">
        <v>58</v>
      </c>
      <c r="B638" t="s">
        <v>23</v>
      </c>
      <c r="C638">
        <v>635</v>
      </c>
      <c r="D638">
        <v>1</v>
      </c>
      <c r="E638" t="s">
        <v>24</v>
      </c>
      <c r="F638" t="s">
        <v>25</v>
      </c>
      <c r="G638" t="str">
        <f>"2026-01-08 00:04:44.719"</f>
        <v>2026-01-08 00:04:44.719</v>
      </c>
      <c r="H638" t="s">
        <v>21</v>
      </c>
    </row>
    <row r="639" spans="1:10" x14ac:dyDescent="0.25">
      <c r="A639" s="1">
        <v>59</v>
      </c>
      <c r="B639" t="s">
        <v>26</v>
      </c>
      <c r="C639">
        <v>635</v>
      </c>
      <c r="D639">
        <v>1</v>
      </c>
      <c r="E639" t="s">
        <v>24</v>
      </c>
      <c r="F639" t="s">
        <v>25</v>
      </c>
      <c r="G639" t="str">
        <f>"2026-01-08 00:00:48.719"</f>
        <v>2026-01-08 00:00:48.719</v>
      </c>
      <c r="H639" t="s">
        <v>21</v>
      </c>
      <c r="I639">
        <v>6.97</v>
      </c>
      <c r="J639" t="s">
        <v>27</v>
      </c>
    </row>
    <row r="640" spans="1:10" x14ac:dyDescent="0.25">
      <c r="A640" s="1">
        <v>60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"2026-01-06 13:26:35.047"</f>
        <v>2026-01-06 13:26:35.047</v>
      </c>
      <c r="H640" t="s">
        <v>21</v>
      </c>
      <c r="I640">
        <v>0</v>
      </c>
      <c r="J640" t="s">
        <v>22</v>
      </c>
    </row>
    <row r="641" spans="1:10" x14ac:dyDescent="0.25">
      <c r="A641" s="1">
        <v>61</v>
      </c>
      <c r="B641" t="s">
        <v>23</v>
      </c>
      <c r="C641">
        <v>635</v>
      </c>
      <c r="D641">
        <v>1</v>
      </c>
      <c r="E641" t="s">
        <v>24</v>
      </c>
      <c r="F641" t="s">
        <v>25</v>
      </c>
      <c r="G641" t="str">
        <f>"2026-01-06 10:44:50.696"</f>
        <v>2026-01-06 10:44:50.696</v>
      </c>
      <c r="H641" t="s">
        <v>21</v>
      </c>
    </row>
    <row r="642" spans="1:10" x14ac:dyDescent="0.25">
      <c r="A642" s="1">
        <v>62</v>
      </c>
      <c r="B642" t="s">
        <v>26</v>
      </c>
      <c r="C642">
        <v>635</v>
      </c>
      <c r="D642">
        <v>1</v>
      </c>
      <c r="E642" t="s">
        <v>24</v>
      </c>
      <c r="F642" t="s">
        <v>25</v>
      </c>
      <c r="G642" t="str">
        <f>"2026-01-06 10:42:27.196"</f>
        <v>2026-01-06 10:42:27.196</v>
      </c>
      <c r="H642" t="s">
        <v>21</v>
      </c>
      <c r="I642">
        <v>4</v>
      </c>
      <c r="J642" t="s">
        <v>28</v>
      </c>
    </row>
    <row r="643" spans="1:10" s="3" customFormat="1" x14ac:dyDescent="0.25">
      <c r="A643" s="2">
        <v>63</v>
      </c>
      <c r="B643" s="3" t="s">
        <v>23</v>
      </c>
      <c r="C643" s="3">
        <v>647</v>
      </c>
      <c r="D643" s="3">
        <v>1</v>
      </c>
      <c r="E643" s="3" t="s">
        <v>29</v>
      </c>
      <c r="F643" s="3" t="s">
        <v>30</v>
      </c>
      <c r="G643" s="3" t="str">
        <f>"2026-01-06 05:31:22.597"</f>
        <v>2026-01-06 05:31:22.597</v>
      </c>
      <c r="H643" s="3" t="s">
        <v>21</v>
      </c>
    </row>
    <row r="644" spans="1:10" s="3" customFormat="1" x14ac:dyDescent="0.25">
      <c r="A644" s="2">
        <v>64</v>
      </c>
      <c r="B644" s="3" t="s">
        <v>26</v>
      </c>
      <c r="C644" s="3">
        <v>647</v>
      </c>
      <c r="D644" s="3">
        <v>1</v>
      </c>
      <c r="E644" s="3" t="s">
        <v>29</v>
      </c>
      <c r="F644" s="3" t="s">
        <v>30</v>
      </c>
      <c r="G644" s="3" t="str">
        <f>"2026-01-06 05:31:20.697"</f>
        <v>2026-01-06 05:31:20.697</v>
      </c>
      <c r="H644" s="3" t="s">
        <v>21</v>
      </c>
      <c r="I644" s="3">
        <v>16.37</v>
      </c>
      <c r="J644" s="3" t="s">
        <v>31</v>
      </c>
    </row>
    <row r="645" spans="1:10" s="3" customFormat="1" x14ac:dyDescent="0.25">
      <c r="A645" s="2">
        <v>65</v>
      </c>
      <c r="B645" s="3" t="s">
        <v>23</v>
      </c>
      <c r="C645" s="3">
        <v>647</v>
      </c>
      <c r="D645" s="3">
        <v>1</v>
      </c>
      <c r="E645" s="3" t="s">
        <v>29</v>
      </c>
      <c r="F645" s="3" t="s">
        <v>30</v>
      </c>
      <c r="G645" s="3" t="str">
        <f>"2026-01-05 07:26:34.297"</f>
        <v>2026-01-05 07:26:34.297</v>
      </c>
      <c r="H645" s="3" t="s">
        <v>21</v>
      </c>
    </row>
    <row r="646" spans="1:10" s="3" customFormat="1" x14ac:dyDescent="0.25">
      <c r="A646" s="2">
        <v>66</v>
      </c>
      <c r="B646" s="3" t="s">
        <v>26</v>
      </c>
      <c r="C646" s="3">
        <v>647</v>
      </c>
      <c r="D646" s="3">
        <v>1</v>
      </c>
      <c r="E646" s="3" t="s">
        <v>29</v>
      </c>
      <c r="F646" s="3" t="s">
        <v>30</v>
      </c>
      <c r="G646" s="3" t="str">
        <f>"2026-01-05 07:26:24.797"</f>
        <v>2026-01-05 07:26:24.797</v>
      </c>
      <c r="H646" s="3" t="s">
        <v>21</v>
      </c>
      <c r="I646" s="3">
        <v>13.04</v>
      </c>
      <c r="J646" s="3" t="s">
        <v>31</v>
      </c>
    </row>
    <row r="647" spans="1:10" x14ac:dyDescent="0.25">
      <c r="A647" s="1">
        <v>67</v>
      </c>
      <c r="B647" t="s">
        <v>23</v>
      </c>
      <c r="C647">
        <v>61</v>
      </c>
      <c r="D647">
        <v>2</v>
      </c>
      <c r="E647" t="s">
        <v>41</v>
      </c>
      <c r="F647" t="s">
        <v>42</v>
      </c>
      <c r="G647" t="str">
        <f>"2026-01-05 06:53:55.797"</f>
        <v>2026-01-05 06:53:55.797</v>
      </c>
      <c r="H647" t="s">
        <v>21</v>
      </c>
    </row>
    <row r="648" spans="1:10" x14ac:dyDescent="0.25">
      <c r="A648" s="1">
        <v>68</v>
      </c>
      <c r="B648" t="s">
        <v>39</v>
      </c>
      <c r="C648">
        <v>61</v>
      </c>
      <c r="D648">
        <v>2</v>
      </c>
      <c r="E648" t="s">
        <v>41</v>
      </c>
      <c r="F648" t="s">
        <v>42</v>
      </c>
      <c r="G648" t="str">
        <f>"2026-01-05 06:53:42.797"</f>
        <v>2026-01-05 06:53:42.797</v>
      </c>
      <c r="H648" t="s">
        <v>21</v>
      </c>
      <c r="I648">
        <v>36.82</v>
      </c>
      <c r="J648" t="s">
        <v>31</v>
      </c>
    </row>
    <row r="649" spans="1:10" x14ac:dyDescent="0.25">
      <c r="A649" s="1">
        <v>69</v>
      </c>
      <c r="B649" t="s">
        <v>23</v>
      </c>
      <c r="C649">
        <v>635</v>
      </c>
      <c r="D649">
        <v>1</v>
      </c>
      <c r="E649" t="s">
        <v>24</v>
      </c>
      <c r="F649" t="s">
        <v>25</v>
      </c>
      <c r="G649" t="str">
        <f>"2026-01-05 02:34:56.096"</f>
        <v>2026-01-05 02:34:56.096</v>
      </c>
      <c r="H649" t="s">
        <v>21</v>
      </c>
    </row>
    <row r="650" spans="1:10" x14ac:dyDescent="0.25">
      <c r="A650" s="1">
        <v>70</v>
      </c>
      <c r="B650" t="s">
        <v>26</v>
      </c>
      <c r="C650">
        <v>635</v>
      </c>
      <c r="D650">
        <v>1</v>
      </c>
      <c r="E650" t="s">
        <v>24</v>
      </c>
      <c r="F650" t="s">
        <v>25</v>
      </c>
      <c r="G650" t="str">
        <f>"2026-01-05 02:18:44.096"</f>
        <v>2026-01-05 02:18:44.096</v>
      </c>
      <c r="H650" t="s">
        <v>21</v>
      </c>
      <c r="I650">
        <v>8.02</v>
      </c>
      <c r="J650" t="s">
        <v>27</v>
      </c>
    </row>
    <row r="651" spans="1:10" x14ac:dyDescent="0.25">
      <c r="A651" s="1">
        <v>71</v>
      </c>
      <c r="B651" t="s">
        <v>23</v>
      </c>
      <c r="C651">
        <v>635</v>
      </c>
      <c r="D651">
        <v>1</v>
      </c>
      <c r="E651" t="s">
        <v>24</v>
      </c>
      <c r="F651" t="s">
        <v>25</v>
      </c>
      <c r="G651" t="str">
        <f>"2026-01-04 23:54:45.196"</f>
        <v>2026-01-04 23:54:45.196</v>
      </c>
      <c r="H651" t="s">
        <v>21</v>
      </c>
    </row>
    <row r="652" spans="1:10" x14ac:dyDescent="0.25">
      <c r="A652" s="1">
        <v>72</v>
      </c>
      <c r="B652" t="s">
        <v>26</v>
      </c>
      <c r="C652">
        <v>635</v>
      </c>
      <c r="D652">
        <v>1</v>
      </c>
      <c r="E652" t="s">
        <v>24</v>
      </c>
      <c r="F652" t="s">
        <v>25</v>
      </c>
      <c r="G652" t="str">
        <f>"2026-01-04 23:33:00.196"</f>
        <v>2026-01-04 23:33:00.196</v>
      </c>
      <c r="H652" t="s">
        <v>21</v>
      </c>
      <c r="I652">
        <v>9.2899999999999991</v>
      </c>
      <c r="J652" t="s">
        <v>31</v>
      </c>
    </row>
    <row r="653" spans="1:10" x14ac:dyDescent="0.25">
      <c r="A653" s="1">
        <v>73</v>
      </c>
      <c r="B653" t="s">
        <v>23</v>
      </c>
      <c r="C653">
        <v>635</v>
      </c>
      <c r="D653">
        <v>1</v>
      </c>
      <c r="E653" t="s">
        <v>24</v>
      </c>
      <c r="F653" t="s">
        <v>25</v>
      </c>
      <c r="G653" t="str">
        <f>"2026-01-04 08:24:15.296"</f>
        <v>2026-01-04 08:24:15.296</v>
      </c>
      <c r="H653" t="s">
        <v>21</v>
      </c>
    </row>
    <row r="654" spans="1:10" x14ac:dyDescent="0.25">
      <c r="A654" s="1">
        <v>74</v>
      </c>
      <c r="B654" t="s">
        <v>26</v>
      </c>
      <c r="C654">
        <v>635</v>
      </c>
      <c r="D654">
        <v>1</v>
      </c>
      <c r="E654" t="s">
        <v>24</v>
      </c>
      <c r="F654" t="s">
        <v>25</v>
      </c>
      <c r="G654" t="str">
        <f>"2026-01-04 08:22:12.396"</f>
        <v>2026-01-04 08:22:12.396</v>
      </c>
      <c r="H654" t="s">
        <v>21</v>
      </c>
      <c r="I654">
        <v>4.9400000000000004</v>
      </c>
      <c r="J654" t="s">
        <v>27</v>
      </c>
    </row>
    <row r="655" spans="1:10" s="3" customFormat="1" x14ac:dyDescent="0.25">
      <c r="A655" s="2">
        <v>75</v>
      </c>
      <c r="B655" s="3" t="s">
        <v>23</v>
      </c>
      <c r="C655" s="3">
        <v>647</v>
      </c>
      <c r="D655" s="3">
        <v>1</v>
      </c>
      <c r="E655" s="3" t="s">
        <v>29</v>
      </c>
      <c r="F655" s="3" t="s">
        <v>30</v>
      </c>
      <c r="G655" s="3" t="str">
        <f>"2026-01-04 03:29:53.197"</f>
        <v>2026-01-04 03:29:53.197</v>
      </c>
      <c r="H655" s="3" t="s">
        <v>21</v>
      </c>
    </row>
    <row r="656" spans="1:10" s="3" customFormat="1" x14ac:dyDescent="0.25">
      <c r="A656" s="2">
        <v>76</v>
      </c>
      <c r="B656" s="3" t="s">
        <v>26</v>
      </c>
      <c r="C656" s="3">
        <v>647</v>
      </c>
      <c r="D656" s="3">
        <v>1</v>
      </c>
      <c r="E656" s="3" t="s">
        <v>29</v>
      </c>
      <c r="F656" s="3" t="s">
        <v>30</v>
      </c>
      <c r="G656" s="3" t="str">
        <f>"2026-01-04 03:29:44.097"</f>
        <v>2026-01-04 03:29:44.097</v>
      </c>
      <c r="H656" s="3" t="s">
        <v>21</v>
      </c>
      <c r="I656" s="3">
        <v>10.83</v>
      </c>
      <c r="J656" s="3" t="s">
        <v>31</v>
      </c>
    </row>
    <row r="657" spans="1:10" s="3" customFormat="1" x14ac:dyDescent="0.25">
      <c r="A657" s="2">
        <v>77</v>
      </c>
      <c r="B657" s="3" t="s">
        <v>23</v>
      </c>
      <c r="C657" s="3">
        <v>647</v>
      </c>
      <c r="D657" s="3">
        <v>1</v>
      </c>
      <c r="E657" s="3" t="s">
        <v>29</v>
      </c>
      <c r="F657" s="3" t="s">
        <v>30</v>
      </c>
      <c r="G657" s="3" t="str">
        <f>"2026-01-03 06:59:05.097"</f>
        <v>2026-01-03 06:59:05.097</v>
      </c>
      <c r="H657" s="3" t="s">
        <v>21</v>
      </c>
    </row>
    <row r="658" spans="1:10" s="3" customFormat="1" x14ac:dyDescent="0.25">
      <c r="A658" s="2">
        <v>78</v>
      </c>
      <c r="B658" s="3" t="s">
        <v>26</v>
      </c>
      <c r="C658" s="3">
        <v>647</v>
      </c>
      <c r="D658" s="3">
        <v>1</v>
      </c>
      <c r="E658" s="3" t="s">
        <v>29</v>
      </c>
      <c r="F658" s="3" t="s">
        <v>30</v>
      </c>
      <c r="G658" s="3" t="str">
        <f>"2026-01-03 06:59:03.597"</f>
        <v>2026-01-03 06:59:03.597</v>
      </c>
      <c r="H658" s="3" t="s">
        <v>21</v>
      </c>
      <c r="I658" s="3">
        <v>24.06</v>
      </c>
      <c r="J658" s="3" t="s">
        <v>31</v>
      </c>
    </row>
    <row r="659" spans="1:10" x14ac:dyDescent="0.25">
      <c r="A659" s="1">
        <v>79</v>
      </c>
      <c r="B659" t="s">
        <v>23</v>
      </c>
      <c r="C659">
        <v>635</v>
      </c>
      <c r="D659">
        <v>1</v>
      </c>
      <c r="E659" t="s">
        <v>24</v>
      </c>
      <c r="F659" t="s">
        <v>25</v>
      </c>
      <c r="G659" t="str">
        <f>"2026-01-02 20:50:30.496"</f>
        <v>2026-01-02 20:50:30.496</v>
      </c>
      <c r="H659" t="s">
        <v>21</v>
      </c>
    </row>
    <row r="660" spans="1:10" x14ac:dyDescent="0.25">
      <c r="A660" s="1">
        <v>80</v>
      </c>
      <c r="B660" t="s">
        <v>26</v>
      </c>
      <c r="C660">
        <v>635</v>
      </c>
      <c r="D660">
        <v>1</v>
      </c>
      <c r="E660" t="s">
        <v>24</v>
      </c>
      <c r="F660" t="s">
        <v>25</v>
      </c>
      <c r="G660" t="str">
        <f>"2026-01-02 20:33:52.496"</f>
        <v>2026-01-02 20:33:52.496</v>
      </c>
      <c r="H660" t="s">
        <v>21</v>
      </c>
      <c r="I660">
        <v>4.8</v>
      </c>
      <c r="J660" t="s">
        <v>31</v>
      </c>
    </row>
    <row r="661" spans="1:10" x14ac:dyDescent="0.25">
      <c r="A661" s="1">
        <v>81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"2026-01-01 16:00:18.853"</f>
        <v>2026-01-01 16:00:18.853</v>
      </c>
      <c r="H661" t="s">
        <v>21</v>
      </c>
    </row>
    <row r="662" spans="1:10" x14ac:dyDescent="0.25">
      <c r="A662" s="1">
        <v>82</v>
      </c>
      <c r="B662" t="s">
        <v>19</v>
      </c>
      <c r="C662">
        <v>706</v>
      </c>
      <c r="D662">
        <v>4</v>
      </c>
      <c r="E662" t="s">
        <v>32</v>
      </c>
      <c r="F662" t="s">
        <v>33</v>
      </c>
      <c r="G662" t="str">
        <f>"2026-01-01 09:19:18.052"</f>
        <v>2026-01-01 09:19:18.052</v>
      </c>
      <c r="H662" t="s">
        <v>21</v>
      </c>
      <c r="I662">
        <v>0</v>
      </c>
      <c r="J662" t="s">
        <v>34</v>
      </c>
    </row>
    <row r="663" spans="1:10" x14ac:dyDescent="0.25">
      <c r="A663" s="1">
        <v>83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"2026-01-01 09:18:59.932"</f>
        <v>2026-01-01 09:18:59.932</v>
      </c>
      <c r="H663" t="s">
        <v>21</v>
      </c>
      <c r="I663">
        <v>0</v>
      </c>
      <c r="J663" t="s">
        <v>22</v>
      </c>
    </row>
    <row r="664" spans="1:10" x14ac:dyDescent="0.25">
      <c r="A664" s="1">
        <v>84</v>
      </c>
      <c r="B664" t="s">
        <v>39</v>
      </c>
      <c r="C664">
        <v>630</v>
      </c>
      <c r="D664">
        <v>5</v>
      </c>
      <c r="E664" t="s">
        <v>36</v>
      </c>
      <c r="F664" t="s">
        <v>37</v>
      </c>
      <c r="G664" t="str">
        <f>"2026-01-01 08:15:46.708"</f>
        <v>2026-01-01 08:15:46.708</v>
      </c>
      <c r="H664" t="s">
        <v>38</v>
      </c>
      <c r="I664">
        <v>0</v>
      </c>
      <c r="J664" t="s">
        <v>34</v>
      </c>
    </row>
    <row r="665" spans="1:10" x14ac:dyDescent="0.25">
      <c r="A665" s="1">
        <v>85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"2026-01-01 08:10:43.876"</f>
        <v>2026-01-01 08:10:43.876</v>
      </c>
      <c r="H665" t="s">
        <v>21</v>
      </c>
    </row>
    <row r="666" spans="1:10" x14ac:dyDescent="0.25">
      <c r="A666" s="1">
        <v>86</v>
      </c>
      <c r="B666" t="s">
        <v>19</v>
      </c>
      <c r="C666">
        <v>706</v>
      </c>
      <c r="D666">
        <v>2</v>
      </c>
      <c r="E666" t="s">
        <v>32</v>
      </c>
      <c r="F666" t="s">
        <v>35</v>
      </c>
      <c r="G666" t="str">
        <f>"2026-01-01 07:58:56.753"</f>
        <v>2026-01-01 07:58:56.753</v>
      </c>
      <c r="H666" t="s">
        <v>21</v>
      </c>
      <c r="I666">
        <v>0</v>
      </c>
      <c r="J666" t="s">
        <v>34</v>
      </c>
    </row>
    <row r="667" spans="1:10" x14ac:dyDescent="0.25">
      <c r="A667" s="1">
        <v>87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"2026-01-01 07:58:40.863"</f>
        <v>2026-01-01 07:58:40.863</v>
      </c>
      <c r="H667" t="s">
        <v>21</v>
      </c>
      <c r="I667">
        <v>0</v>
      </c>
      <c r="J667" t="s">
        <v>22</v>
      </c>
    </row>
    <row r="668" spans="1:10" x14ac:dyDescent="0.25">
      <c r="A668" s="1">
        <v>88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"2026-01-01 05:42:42.865"</f>
        <v>2026-01-01 05:42:42.865</v>
      </c>
      <c r="H668" t="s">
        <v>21</v>
      </c>
    </row>
    <row r="669" spans="1:10" x14ac:dyDescent="0.25">
      <c r="A669" s="1">
        <v>89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"2026-01-01 04:16:33.985"</f>
        <v>2026-01-01 04:16:33.985</v>
      </c>
      <c r="H669" t="s">
        <v>21</v>
      </c>
      <c r="I669">
        <v>0</v>
      </c>
      <c r="J669" t="s">
        <v>22</v>
      </c>
    </row>
    <row r="670" spans="1:10" x14ac:dyDescent="0.25">
      <c r="A670" s="1">
        <v>90</v>
      </c>
      <c r="B670" t="s">
        <v>39</v>
      </c>
      <c r="C670">
        <v>630</v>
      </c>
      <c r="D670">
        <v>5</v>
      </c>
      <c r="E670" t="s">
        <v>36</v>
      </c>
      <c r="F670" t="s">
        <v>37</v>
      </c>
      <c r="G670" t="str">
        <f>"2026-01-01 03:05:55.694"</f>
        <v>2026-01-01 03:05:55.694</v>
      </c>
      <c r="H670" t="s">
        <v>38</v>
      </c>
      <c r="I670">
        <v>0</v>
      </c>
      <c r="J670" t="s">
        <v>34</v>
      </c>
    </row>
    <row r="671" spans="1:10" x14ac:dyDescent="0.25">
      <c r="A671" s="1">
        <v>91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"2026-01-01 03:00:52.862"</f>
        <v>2026-01-01 03:00:52.862</v>
      </c>
      <c r="H671" t="s">
        <v>21</v>
      </c>
      <c r="I671">
        <v>0</v>
      </c>
      <c r="J671" t="s">
        <v>22</v>
      </c>
    </row>
    <row r="672" spans="1:10" x14ac:dyDescent="0.25">
      <c r="A672" s="1">
        <v>92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"2026-01-01 02:18:24.873"</f>
        <v>2026-01-01 02:18:24.873</v>
      </c>
      <c r="H672" t="s">
        <v>21</v>
      </c>
      <c r="I672">
        <v>0</v>
      </c>
      <c r="J672" t="s">
        <v>22</v>
      </c>
    </row>
    <row r="673" spans="1:10" x14ac:dyDescent="0.25">
      <c r="A673" s="1">
        <v>93</v>
      </c>
      <c r="B673" t="s">
        <v>39</v>
      </c>
      <c r="C673">
        <v>630</v>
      </c>
      <c r="D673">
        <v>5</v>
      </c>
      <c r="E673" t="s">
        <v>36</v>
      </c>
      <c r="F673" t="s">
        <v>37</v>
      </c>
      <c r="G673" t="str">
        <f>"2025-12-31 22:41:57.851"</f>
        <v>2025-12-31 22:41:57.851</v>
      </c>
      <c r="H673" t="s">
        <v>38</v>
      </c>
      <c r="I673">
        <v>0</v>
      </c>
      <c r="J673" t="s">
        <v>34</v>
      </c>
    </row>
    <row r="674" spans="1:10" x14ac:dyDescent="0.25">
      <c r="A674" s="1">
        <v>94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"2025-12-31 22:36:55.053"</f>
        <v>2025-12-31 22:36:55.053</v>
      </c>
      <c r="H674" t="s">
        <v>21</v>
      </c>
      <c r="I674">
        <v>0</v>
      </c>
      <c r="J674" t="s">
        <v>22</v>
      </c>
    </row>
    <row r="675" spans="1:10" x14ac:dyDescent="0.25">
      <c r="A675" s="1">
        <v>95</v>
      </c>
      <c r="B675" t="s">
        <v>39</v>
      </c>
      <c r="C675">
        <v>630</v>
      </c>
      <c r="D675">
        <v>5</v>
      </c>
      <c r="E675" t="s">
        <v>36</v>
      </c>
      <c r="F675" t="s">
        <v>37</v>
      </c>
      <c r="G675" t="str">
        <f>"2025-12-31 21:46:49.720"</f>
        <v>2025-12-31 21:46:49.720</v>
      </c>
      <c r="H675" t="s">
        <v>38</v>
      </c>
      <c r="I675">
        <v>0</v>
      </c>
      <c r="J675" t="s">
        <v>34</v>
      </c>
    </row>
    <row r="676" spans="1:10" x14ac:dyDescent="0.25">
      <c r="A676" s="1">
        <v>96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"2025-12-31 21:41:46.889"</f>
        <v>2025-12-31 21:41:46.889</v>
      </c>
      <c r="H676" t="s">
        <v>21</v>
      </c>
      <c r="I676">
        <v>0</v>
      </c>
      <c r="J676" t="s">
        <v>22</v>
      </c>
    </row>
    <row r="677" spans="1:10" x14ac:dyDescent="0.25">
      <c r="A677" s="1">
        <v>97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"2025-12-31 20:52:42.115"</f>
        <v>2025-12-31 20:52:42.115</v>
      </c>
      <c r="H677" t="s">
        <v>21</v>
      </c>
    </row>
    <row r="678" spans="1:10" x14ac:dyDescent="0.25">
      <c r="A678" s="1">
        <v>98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"2025-12-31 18:08:02.910"</f>
        <v>2025-12-31 18:08:02.910</v>
      </c>
      <c r="H678" t="s">
        <v>21</v>
      </c>
      <c r="I678">
        <v>0</v>
      </c>
      <c r="J678" t="s">
        <v>22</v>
      </c>
    </row>
    <row r="679" spans="1:10" x14ac:dyDescent="0.25">
      <c r="A679" s="1">
        <v>99</v>
      </c>
      <c r="B679" t="s">
        <v>19</v>
      </c>
      <c r="C679">
        <v>706</v>
      </c>
      <c r="D679">
        <v>2</v>
      </c>
      <c r="E679" t="s">
        <v>32</v>
      </c>
      <c r="F679" t="s">
        <v>35</v>
      </c>
      <c r="G679" t="str">
        <f>"2025-12-31 16:52:53.764"</f>
        <v>2025-12-31 16:52:53.764</v>
      </c>
      <c r="H679" t="s">
        <v>21</v>
      </c>
      <c r="I679">
        <v>0</v>
      </c>
      <c r="J679" t="s">
        <v>34</v>
      </c>
    </row>
    <row r="680" spans="1:10" x14ac:dyDescent="0.25">
      <c r="A680" s="1">
        <v>0</v>
      </c>
      <c r="B680" t="s">
        <v>23</v>
      </c>
      <c r="C680">
        <v>61</v>
      </c>
      <c r="D680">
        <v>2</v>
      </c>
      <c r="E680" t="s">
        <v>41</v>
      </c>
      <c r="F680" t="s">
        <v>42</v>
      </c>
      <c r="G680" t="str">
        <f>"2025-12-31 07:07:21.587"</f>
        <v>2025-12-31 07:07:21.587</v>
      </c>
      <c r="H680" t="s">
        <v>21</v>
      </c>
    </row>
    <row r="681" spans="1:10" x14ac:dyDescent="0.25">
      <c r="A681" s="1">
        <v>1</v>
      </c>
      <c r="B681" t="s">
        <v>39</v>
      </c>
      <c r="C681">
        <v>61</v>
      </c>
      <c r="D681">
        <v>2</v>
      </c>
      <c r="E681" t="s">
        <v>41</v>
      </c>
      <c r="F681" t="s">
        <v>42</v>
      </c>
      <c r="G681" t="str">
        <f>"2025-12-31 07:07:11.487"</f>
        <v>2025-12-31 07:07:11.487</v>
      </c>
      <c r="H681" t="s">
        <v>21</v>
      </c>
      <c r="I681">
        <v>36.799999999999997</v>
      </c>
      <c r="J681" t="s">
        <v>31</v>
      </c>
    </row>
    <row r="682" spans="1:10" s="3" customFormat="1" x14ac:dyDescent="0.25">
      <c r="A682" s="2">
        <v>2</v>
      </c>
      <c r="B682" s="3" t="s">
        <v>23</v>
      </c>
      <c r="C682" s="3">
        <v>647</v>
      </c>
      <c r="D682" s="3">
        <v>1</v>
      </c>
      <c r="E682" s="3" t="s">
        <v>29</v>
      </c>
      <c r="F682" s="3" t="s">
        <v>30</v>
      </c>
      <c r="G682" s="3" t="str">
        <f>"2025-12-31 03:46:14.595"</f>
        <v>2025-12-31 03:46:14.595</v>
      </c>
      <c r="H682" s="3" t="s">
        <v>21</v>
      </c>
    </row>
    <row r="683" spans="1:10" s="3" customFormat="1" x14ac:dyDescent="0.25">
      <c r="A683" s="2">
        <v>3</v>
      </c>
      <c r="B683" s="3" t="s">
        <v>26</v>
      </c>
      <c r="C683" s="3">
        <v>647</v>
      </c>
      <c r="D683" s="3">
        <v>1</v>
      </c>
      <c r="E683" s="3" t="s">
        <v>29</v>
      </c>
      <c r="F683" s="3" t="s">
        <v>30</v>
      </c>
      <c r="G683" s="3" t="str">
        <f>"2025-12-31 03:46:09.895"</f>
        <v>2025-12-31 03:46:09.895</v>
      </c>
      <c r="H683" s="3" t="s">
        <v>21</v>
      </c>
      <c r="I683" s="3">
        <v>8.1999999999999993</v>
      </c>
      <c r="J683" s="3" t="s">
        <v>31</v>
      </c>
    </row>
    <row r="684" spans="1:10" x14ac:dyDescent="0.25">
      <c r="A684" s="1">
        <v>4</v>
      </c>
      <c r="B684" t="s">
        <v>23</v>
      </c>
      <c r="C684">
        <v>619</v>
      </c>
      <c r="D684">
        <v>1</v>
      </c>
      <c r="E684" t="s">
        <v>60</v>
      </c>
      <c r="F684" t="s">
        <v>25</v>
      </c>
      <c r="G684" t="str">
        <f>"2025-12-31 03:42:22.146"</f>
        <v>2025-12-31 03:42:22.146</v>
      </c>
      <c r="H684" t="s">
        <v>61</v>
      </c>
    </row>
    <row r="685" spans="1:10" x14ac:dyDescent="0.25">
      <c r="A685" s="1">
        <v>5</v>
      </c>
      <c r="B685" t="s">
        <v>26</v>
      </c>
      <c r="C685">
        <v>619</v>
      </c>
      <c r="D685">
        <v>1</v>
      </c>
      <c r="E685" t="s">
        <v>60</v>
      </c>
      <c r="F685" t="s">
        <v>25</v>
      </c>
      <c r="G685" t="str">
        <f>"2025-12-31 03:42:13.394"</f>
        <v>2025-12-31 03:42:13.394</v>
      </c>
      <c r="H685" t="s">
        <v>61</v>
      </c>
      <c r="I685">
        <v>24.81</v>
      </c>
      <c r="J685" t="s">
        <v>27</v>
      </c>
    </row>
    <row r="686" spans="1:10" x14ac:dyDescent="0.25">
      <c r="A686" s="1">
        <v>6</v>
      </c>
      <c r="B686" t="s">
        <v>23</v>
      </c>
      <c r="C686">
        <v>630</v>
      </c>
      <c r="D686">
        <v>5</v>
      </c>
      <c r="E686" t="s">
        <v>36</v>
      </c>
      <c r="F686" t="s">
        <v>37</v>
      </c>
      <c r="G686" t="str">
        <f>"2025-12-31 03:25:59.695"</f>
        <v>2025-12-31 03:25:59.695</v>
      </c>
      <c r="H686" t="s">
        <v>38</v>
      </c>
    </row>
    <row r="687" spans="1:10" x14ac:dyDescent="0.25">
      <c r="A687" s="1">
        <v>7</v>
      </c>
      <c r="B687" t="s">
        <v>19</v>
      </c>
      <c r="C687">
        <v>706</v>
      </c>
      <c r="D687">
        <v>2</v>
      </c>
      <c r="E687" t="s">
        <v>32</v>
      </c>
      <c r="F687" t="s">
        <v>35</v>
      </c>
      <c r="G687" t="str">
        <f>"2025-12-31 03:25:29.464"</f>
        <v>2025-12-31 03:25:29.464</v>
      </c>
      <c r="H687" t="s">
        <v>21</v>
      </c>
      <c r="I687">
        <v>0</v>
      </c>
      <c r="J687" t="s">
        <v>34</v>
      </c>
    </row>
    <row r="688" spans="1:10" x14ac:dyDescent="0.25">
      <c r="A688" s="1">
        <v>8</v>
      </c>
      <c r="B688" t="s">
        <v>39</v>
      </c>
      <c r="C688">
        <v>630</v>
      </c>
      <c r="D688">
        <v>5</v>
      </c>
      <c r="E688" t="s">
        <v>36</v>
      </c>
      <c r="F688" t="s">
        <v>37</v>
      </c>
      <c r="G688" t="str">
        <f>"2025-12-31 02:52:35.795"</f>
        <v>2025-12-31 02:52:35.795</v>
      </c>
      <c r="H688" t="s">
        <v>38</v>
      </c>
      <c r="I688">
        <v>0</v>
      </c>
      <c r="J688" t="s">
        <v>34</v>
      </c>
    </row>
    <row r="689" spans="1:10" x14ac:dyDescent="0.25">
      <c r="A689" s="1">
        <v>9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"2025-12-30 22:55:15.884"</f>
        <v>2025-12-30 22:55:15.884</v>
      </c>
      <c r="H689" t="s">
        <v>21</v>
      </c>
      <c r="I689">
        <v>0</v>
      </c>
      <c r="J689" t="s">
        <v>22</v>
      </c>
    </row>
    <row r="690" spans="1:10" x14ac:dyDescent="0.25">
      <c r="A690" s="1">
        <v>10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"2025-12-30 22:39:09.875"</f>
        <v>2025-12-30 22:39:09.875</v>
      </c>
      <c r="H690" t="s">
        <v>21</v>
      </c>
      <c r="I690">
        <v>0</v>
      </c>
      <c r="J690" t="s">
        <v>22</v>
      </c>
    </row>
    <row r="691" spans="1:10" x14ac:dyDescent="0.25">
      <c r="A691" s="1">
        <v>11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"2025-12-30 22:25:42.926"</f>
        <v>2025-12-30 22:25:42.926</v>
      </c>
      <c r="H691" t="s">
        <v>21</v>
      </c>
      <c r="I691">
        <v>0</v>
      </c>
      <c r="J691" t="s">
        <v>22</v>
      </c>
    </row>
    <row r="692" spans="1:10" x14ac:dyDescent="0.25">
      <c r="A692" s="1">
        <v>12</v>
      </c>
      <c r="B692" t="s">
        <v>23</v>
      </c>
      <c r="C692">
        <v>630</v>
      </c>
      <c r="D692">
        <v>5</v>
      </c>
      <c r="E692" t="s">
        <v>36</v>
      </c>
      <c r="F692" t="s">
        <v>37</v>
      </c>
      <c r="G692" t="str">
        <f>"2025-12-30 21:49:35.210"</f>
        <v>2025-12-30 21:49:35.210</v>
      </c>
      <c r="H692" t="s">
        <v>38</v>
      </c>
    </row>
    <row r="693" spans="1:10" x14ac:dyDescent="0.25">
      <c r="A693" s="1">
        <v>13</v>
      </c>
      <c r="B693" t="s">
        <v>19</v>
      </c>
      <c r="C693">
        <v>706</v>
      </c>
      <c r="D693">
        <v>4</v>
      </c>
      <c r="E693" t="s">
        <v>32</v>
      </c>
      <c r="F693" t="s">
        <v>33</v>
      </c>
      <c r="G693" t="str">
        <f>"2025-12-30 21:49:05.112"</f>
        <v>2025-12-30 21:49:05.112</v>
      </c>
      <c r="H693" t="s">
        <v>21</v>
      </c>
      <c r="I693">
        <v>0</v>
      </c>
      <c r="J693" t="s">
        <v>34</v>
      </c>
    </row>
    <row r="694" spans="1:10" x14ac:dyDescent="0.25">
      <c r="A694" s="1">
        <v>14</v>
      </c>
      <c r="B694" t="s">
        <v>39</v>
      </c>
      <c r="C694">
        <v>630</v>
      </c>
      <c r="D694">
        <v>5</v>
      </c>
      <c r="E694" t="s">
        <v>36</v>
      </c>
      <c r="F694" t="s">
        <v>37</v>
      </c>
      <c r="G694" t="str">
        <f>"2025-12-30 21:45:01.210"</f>
        <v>2025-12-30 21:45:01.210</v>
      </c>
      <c r="H694" t="s">
        <v>38</v>
      </c>
      <c r="I694">
        <v>0</v>
      </c>
      <c r="J694" t="s">
        <v>34</v>
      </c>
    </row>
    <row r="695" spans="1:10" x14ac:dyDescent="0.25">
      <c r="A695" s="1">
        <v>15</v>
      </c>
      <c r="B695" t="s">
        <v>19</v>
      </c>
      <c r="C695">
        <v>706</v>
      </c>
      <c r="D695">
        <v>3</v>
      </c>
      <c r="E695" t="s">
        <v>32</v>
      </c>
      <c r="F695" t="s">
        <v>40</v>
      </c>
      <c r="G695" t="str">
        <f>"2025-12-30 21:39:56.602"</f>
        <v>2025-12-30 21:39:56.602</v>
      </c>
      <c r="H695" t="s">
        <v>21</v>
      </c>
      <c r="I695">
        <v>0</v>
      </c>
      <c r="J695" t="s">
        <v>34</v>
      </c>
    </row>
    <row r="696" spans="1:10" x14ac:dyDescent="0.25">
      <c r="A696" s="1">
        <v>16</v>
      </c>
      <c r="B696" t="s">
        <v>23</v>
      </c>
      <c r="C696">
        <v>619</v>
      </c>
      <c r="D696">
        <v>1</v>
      </c>
      <c r="E696" t="s">
        <v>60</v>
      </c>
      <c r="F696" t="s">
        <v>25</v>
      </c>
      <c r="G696" t="str">
        <f>"2025-12-30 11:43:33.361"</f>
        <v>2025-12-30 11:43:33.361</v>
      </c>
      <c r="H696" t="s">
        <v>61</v>
      </c>
    </row>
    <row r="697" spans="1:10" x14ac:dyDescent="0.25">
      <c r="A697" s="1">
        <v>17</v>
      </c>
      <c r="B697" t="s">
        <v>26</v>
      </c>
      <c r="C697">
        <v>619</v>
      </c>
      <c r="D697">
        <v>1</v>
      </c>
      <c r="E697" t="s">
        <v>60</v>
      </c>
      <c r="F697" t="s">
        <v>25</v>
      </c>
      <c r="G697" t="str">
        <f>"2025-12-30 11:43:26.710"</f>
        <v>2025-12-30 11:43:26.710</v>
      </c>
      <c r="H697" t="s">
        <v>61</v>
      </c>
      <c r="I697">
        <v>-4.32</v>
      </c>
      <c r="J697" t="s">
        <v>27</v>
      </c>
    </row>
    <row r="698" spans="1:10" s="3" customFormat="1" x14ac:dyDescent="0.25">
      <c r="A698" s="2">
        <v>18</v>
      </c>
      <c r="B698" s="3" t="s">
        <v>23</v>
      </c>
      <c r="C698" s="3">
        <v>647</v>
      </c>
      <c r="D698" s="3">
        <v>1</v>
      </c>
      <c r="E698" s="3" t="s">
        <v>29</v>
      </c>
      <c r="F698" s="3" t="s">
        <v>30</v>
      </c>
      <c r="G698" s="3" t="str">
        <f>"2025-12-29 15:19:00.710"</f>
        <v>2025-12-29 15:19:00.710</v>
      </c>
      <c r="H698" s="3" t="s">
        <v>21</v>
      </c>
    </row>
    <row r="699" spans="1:10" s="3" customFormat="1" x14ac:dyDescent="0.25">
      <c r="A699" s="2">
        <v>19</v>
      </c>
      <c r="B699" s="3" t="s">
        <v>26</v>
      </c>
      <c r="C699" s="3">
        <v>647</v>
      </c>
      <c r="D699" s="3">
        <v>1</v>
      </c>
      <c r="E699" s="3" t="s">
        <v>29</v>
      </c>
      <c r="F699" s="3" t="s">
        <v>30</v>
      </c>
      <c r="G699" s="3" t="str">
        <f>"2025-12-29 15:18:54.610"</f>
        <v>2025-12-29 15:18:54.610</v>
      </c>
      <c r="H699" s="3" t="s">
        <v>21</v>
      </c>
      <c r="I699" s="3">
        <v>14.12</v>
      </c>
      <c r="J699" s="3" t="s">
        <v>31</v>
      </c>
    </row>
    <row r="700" spans="1:10" s="3" customFormat="1" x14ac:dyDescent="0.25">
      <c r="A700" s="2">
        <v>20</v>
      </c>
      <c r="B700" s="3" t="s">
        <v>23</v>
      </c>
      <c r="C700" s="3">
        <v>647</v>
      </c>
      <c r="D700" s="3">
        <v>1</v>
      </c>
      <c r="E700" s="3" t="s">
        <v>29</v>
      </c>
      <c r="F700" s="3" t="s">
        <v>30</v>
      </c>
      <c r="G700" s="3" t="str">
        <f>"2025-12-28 20:04:13.410"</f>
        <v>2025-12-28 20:04:13.410</v>
      </c>
      <c r="H700" s="3" t="s">
        <v>21</v>
      </c>
    </row>
    <row r="701" spans="1:10" s="3" customFormat="1" x14ac:dyDescent="0.25">
      <c r="A701" s="2">
        <v>21</v>
      </c>
      <c r="B701" s="3" t="s">
        <v>26</v>
      </c>
      <c r="C701" s="3">
        <v>647</v>
      </c>
      <c r="D701" s="3">
        <v>1</v>
      </c>
      <c r="E701" s="3" t="s">
        <v>29</v>
      </c>
      <c r="F701" s="3" t="s">
        <v>30</v>
      </c>
      <c r="G701" s="3" t="str">
        <f>"2025-12-28 20:04:11.810"</f>
        <v>2025-12-28 20:04:11.810</v>
      </c>
      <c r="H701" s="3" t="s">
        <v>21</v>
      </c>
      <c r="I701" s="3">
        <v>22.78</v>
      </c>
      <c r="J701" s="3" t="s">
        <v>31</v>
      </c>
    </row>
    <row r="702" spans="1:10" x14ac:dyDescent="0.25">
      <c r="A702" s="1">
        <v>22</v>
      </c>
      <c r="B702" t="s">
        <v>23</v>
      </c>
      <c r="C702">
        <v>619</v>
      </c>
      <c r="D702">
        <v>1</v>
      </c>
      <c r="E702" t="s">
        <v>60</v>
      </c>
      <c r="F702" t="s">
        <v>25</v>
      </c>
      <c r="G702" t="str">
        <f>"2025-12-28 14:19:00.962"</f>
        <v>2025-12-28 14:19:00.962</v>
      </c>
      <c r="H702" t="s">
        <v>61</v>
      </c>
    </row>
    <row r="703" spans="1:10" x14ac:dyDescent="0.25">
      <c r="A703" s="1">
        <v>23</v>
      </c>
      <c r="B703" t="s">
        <v>26</v>
      </c>
      <c r="C703">
        <v>619</v>
      </c>
      <c r="D703">
        <v>1</v>
      </c>
      <c r="E703" t="s">
        <v>60</v>
      </c>
      <c r="F703" t="s">
        <v>25</v>
      </c>
      <c r="G703" t="str">
        <f>"2025-12-28 14:18:54.310"</f>
        <v>2025-12-28 14:18:54.310</v>
      </c>
      <c r="H703" t="s">
        <v>61</v>
      </c>
      <c r="I703">
        <v>0</v>
      </c>
      <c r="J703" t="s">
        <v>28</v>
      </c>
    </row>
    <row r="704" spans="1:10" x14ac:dyDescent="0.25">
      <c r="A704" s="1">
        <v>24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"2025-12-28 13:20:20.892"</f>
        <v>2025-12-28 13:20:20.892</v>
      </c>
      <c r="H704" t="s">
        <v>21</v>
      </c>
    </row>
    <row r="705" spans="1:10" x14ac:dyDescent="0.25">
      <c r="A705" s="1">
        <v>25</v>
      </c>
      <c r="B705" t="s">
        <v>23</v>
      </c>
      <c r="C705">
        <v>635</v>
      </c>
      <c r="D705">
        <v>1</v>
      </c>
      <c r="E705" t="s">
        <v>24</v>
      </c>
      <c r="F705" t="s">
        <v>25</v>
      </c>
      <c r="G705" t="str">
        <f>"2025-12-27 00:41:37.387"</f>
        <v>2025-12-27 00:41:37.387</v>
      </c>
      <c r="H705" t="s">
        <v>21</v>
      </c>
    </row>
    <row r="706" spans="1:10" x14ac:dyDescent="0.25">
      <c r="A706" s="1">
        <v>26</v>
      </c>
      <c r="B706" t="s">
        <v>26</v>
      </c>
      <c r="C706">
        <v>635</v>
      </c>
      <c r="D706">
        <v>1</v>
      </c>
      <c r="E706" t="s">
        <v>24</v>
      </c>
      <c r="F706" t="s">
        <v>25</v>
      </c>
      <c r="G706" t="str">
        <f>"2025-12-27 00:19:15.487"</f>
        <v>2025-12-27 00:19:15.487</v>
      </c>
      <c r="H706" t="s">
        <v>21</v>
      </c>
      <c r="I706">
        <v>9.35</v>
      </c>
      <c r="J706" t="s">
        <v>27</v>
      </c>
    </row>
    <row r="707" spans="1:10" x14ac:dyDescent="0.25">
      <c r="A707" s="1">
        <v>27</v>
      </c>
      <c r="B707" t="s">
        <v>23</v>
      </c>
      <c r="C707">
        <v>635</v>
      </c>
      <c r="D707">
        <v>1</v>
      </c>
      <c r="E707" t="s">
        <v>24</v>
      </c>
      <c r="F707" t="s">
        <v>25</v>
      </c>
      <c r="G707" t="str">
        <f>"2025-12-26 20:00:55.587"</f>
        <v>2025-12-26 20:00:55.587</v>
      </c>
      <c r="H707" t="s">
        <v>21</v>
      </c>
    </row>
    <row r="708" spans="1:10" x14ac:dyDescent="0.25">
      <c r="A708" s="1">
        <v>28</v>
      </c>
      <c r="B708" t="s">
        <v>26</v>
      </c>
      <c r="C708">
        <v>635</v>
      </c>
      <c r="D708">
        <v>1</v>
      </c>
      <c r="E708" t="s">
        <v>24</v>
      </c>
      <c r="F708" t="s">
        <v>25</v>
      </c>
      <c r="G708" t="str">
        <f>"2025-12-26 19:44:59.687"</f>
        <v>2025-12-26 19:44:59.687</v>
      </c>
      <c r="H708" t="s">
        <v>21</v>
      </c>
      <c r="I708">
        <v>6.78</v>
      </c>
      <c r="J708" t="s">
        <v>27</v>
      </c>
    </row>
    <row r="709" spans="1:10" x14ac:dyDescent="0.25">
      <c r="A709" s="1">
        <v>29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"2025-12-26 13:34:10.878"</f>
        <v>2025-12-26 13:34:10.878</v>
      </c>
      <c r="H709" t="s">
        <v>21</v>
      </c>
      <c r="I709">
        <v>0</v>
      </c>
      <c r="J709" t="s">
        <v>22</v>
      </c>
    </row>
    <row r="710" spans="1:10" x14ac:dyDescent="0.25">
      <c r="A710" s="1">
        <v>30</v>
      </c>
      <c r="B710" t="s">
        <v>23</v>
      </c>
      <c r="C710">
        <v>635</v>
      </c>
      <c r="D710">
        <v>1</v>
      </c>
      <c r="E710" t="s">
        <v>24</v>
      </c>
      <c r="F710" t="s">
        <v>25</v>
      </c>
      <c r="G710" t="str">
        <f>"2025-12-26 11:18:31.889"</f>
        <v>2025-12-26 11:18:31.889</v>
      </c>
      <c r="H710" t="s">
        <v>21</v>
      </c>
    </row>
    <row r="711" spans="1:10" x14ac:dyDescent="0.25">
      <c r="A711" s="1">
        <v>31</v>
      </c>
      <c r="B711" t="s">
        <v>26</v>
      </c>
      <c r="C711">
        <v>635</v>
      </c>
      <c r="D711">
        <v>1</v>
      </c>
      <c r="E711" t="s">
        <v>24</v>
      </c>
      <c r="F711" t="s">
        <v>25</v>
      </c>
      <c r="G711" t="str">
        <f>"2025-12-26 11:14:34.389"</f>
        <v>2025-12-26 11:14:34.389</v>
      </c>
      <c r="H711" t="s">
        <v>21</v>
      </c>
      <c r="I711">
        <v>3.99</v>
      </c>
      <c r="J711" t="s">
        <v>31</v>
      </c>
    </row>
    <row r="712" spans="1:10" s="3" customFormat="1" x14ac:dyDescent="0.25">
      <c r="A712" s="2">
        <v>32</v>
      </c>
      <c r="B712" s="3" t="s">
        <v>23</v>
      </c>
      <c r="C712" s="3">
        <v>647</v>
      </c>
      <c r="D712" s="3">
        <v>1</v>
      </c>
      <c r="E712" s="3" t="s">
        <v>29</v>
      </c>
      <c r="F712" s="3" t="s">
        <v>30</v>
      </c>
      <c r="G712" s="3" t="str">
        <f>"2025-12-25 09:39:59.389"</f>
        <v>2025-12-25 09:39:59.389</v>
      </c>
      <c r="H712" s="3" t="s">
        <v>21</v>
      </c>
    </row>
    <row r="713" spans="1:10" s="3" customFormat="1" x14ac:dyDescent="0.25">
      <c r="A713" s="2">
        <v>33</v>
      </c>
      <c r="B713" s="3" t="s">
        <v>26</v>
      </c>
      <c r="C713" s="3">
        <v>647</v>
      </c>
      <c r="D713" s="3">
        <v>1</v>
      </c>
      <c r="E713" s="3" t="s">
        <v>29</v>
      </c>
      <c r="F713" s="3" t="s">
        <v>30</v>
      </c>
      <c r="G713" s="3" t="str">
        <f>"2025-12-25 09:39:55.489"</f>
        <v>2025-12-25 09:39:55.489</v>
      </c>
      <c r="H713" s="3" t="s">
        <v>21</v>
      </c>
      <c r="I713" s="3">
        <v>15.11</v>
      </c>
      <c r="J713" s="3" t="s">
        <v>31</v>
      </c>
    </row>
    <row r="714" spans="1:10" x14ac:dyDescent="0.25">
      <c r="A714" s="1">
        <v>34</v>
      </c>
      <c r="B714" t="s">
        <v>23</v>
      </c>
      <c r="C714">
        <v>619</v>
      </c>
      <c r="D714">
        <v>1</v>
      </c>
      <c r="E714" t="s">
        <v>60</v>
      </c>
      <c r="F714" t="s">
        <v>25</v>
      </c>
      <c r="G714" t="str">
        <f>"2025-12-25 07:34:25.489"</f>
        <v>2025-12-25 07:34:25.489</v>
      </c>
      <c r="H714" t="s">
        <v>61</v>
      </c>
    </row>
    <row r="715" spans="1:10" x14ac:dyDescent="0.25">
      <c r="A715" s="1">
        <v>35</v>
      </c>
      <c r="B715" t="s">
        <v>26</v>
      </c>
      <c r="C715">
        <v>619</v>
      </c>
      <c r="D715">
        <v>1</v>
      </c>
      <c r="E715" t="s">
        <v>60</v>
      </c>
      <c r="F715" t="s">
        <v>25</v>
      </c>
      <c r="G715" t="str">
        <f>"2025-12-25 07:34:18.841"</f>
        <v>2025-12-25 07:34:18.841</v>
      </c>
      <c r="H715" t="s">
        <v>61</v>
      </c>
      <c r="I715">
        <v>-0.06</v>
      </c>
      <c r="J715" t="s">
        <v>28</v>
      </c>
    </row>
    <row r="716" spans="1:10" x14ac:dyDescent="0.25">
      <c r="A716" s="1">
        <v>36</v>
      </c>
      <c r="B716" t="s">
        <v>50</v>
      </c>
      <c r="C716">
        <v>216</v>
      </c>
      <c r="D716">
        <v>5</v>
      </c>
      <c r="E716" t="s">
        <v>62</v>
      </c>
      <c r="F716" t="s">
        <v>63</v>
      </c>
      <c r="G716" t="str">
        <f>"2025-12-24 18:46:19.391"</f>
        <v>2025-12-24 18:46:19.391</v>
      </c>
      <c r="H716" t="s">
        <v>64</v>
      </c>
    </row>
    <row r="717" spans="1:10" x14ac:dyDescent="0.25">
      <c r="A717" s="1">
        <v>37</v>
      </c>
      <c r="B717" t="s">
        <v>39</v>
      </c>
      <c r="C717">
        <v>216</v>
      </c>
      <c r="D717">
        <v>5</v>
      </c>
      <c r="E717" t="s">
        <v>62</v>
      </c>
      <c r="F717" t="s">
        <v>63</v>
      </c>
      <c r="G717" t="str">
        <f>"2025-12-24 18:46:16.096"</f>
        <v>2025-12-24 18:46:16.096</v>
      </c>
      <c r="H717" t="s">
        <v>64</v>
      </c>
      <c r="I717">
        <v>25.53</v>
      </c>
      <c r="J717" t="s">
        <v>27</v>
      </c>
    </row>
    <row r="718" spans="1:10" x14ac:dyDescent="0.25">
      <c r="A718" s="1">
        <v>38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"2025-12-24 16:40:02.871"</f>
        <v>2025-12-24 16:40:02.871</v>
      </c>
      <c r="H718" t="s">
        <v>21</v>
      </c>
      <c r="I718">
        <v>0</v>
      </c>
      <c r="J718" t="s">
        <v>22</v>
      </c>
    </row>
    <row r="719" spans="1:10" x14ac:dyDescent="0.25">
      <c r="A719" s="1">
        <v>39</v>
      </c>
      <c r="B719" t="s">
        <v>19</v>
      </c>
      <c r="C719">
        <v>706</v>
      </c>
      <c r="D719">
        <v>2</v>
      </c>
      <c r="E719" t="s">
        <v>32</v>
      </c>
      <c r="F719" t="s">
        <v>35</v>
      </c>
      <c r="G719" t="str">
        <f>"2025-12-24 15:59:17.774"</f>
        <v>2025-12-24 15:59:17.774</v>
      </c>
      <c r="H719" t="s">
        <v>21</v>
      </c>
      <c r="I719">
        <v>0</v>
      </c>
      <c r="J719" t="s">
        <v>34</v>
      </c>
    </row>
    <row r="720" spans="1:10" x14ac:dyDescent="0.25">
      <c r="A720" s="1">
        <v>40</v>
      </c>
      <c r="B720" t="s">
        <v>50</v>
      </c>
      <c r="C720">
        <v>216</v>
      </c>
      <c r="D720">
        <v>5</v>
      </c>
      <c r="E720" t="s">
        <v>62</v>
      </c>
      <c r="F720" t="s">
        <v>63</v>
      </c>
      <c r="G720" t="str">
        <f>"2025-12-24 11:45:34.295"</f>
        <v>2025-12-24 11:45:34.295</v>
      </c>
      <c r="H720" t="s">
        <v>64</v>
      </c>
    </row>
    <row r="721" spans="1:10" x14ac:dyDescent="0.25">
      <c r="A721" s="1">
        <v>41</v>
      </c>
      <c r="B721" t="s">
        <v>39</v>
      </c>
      <c r="C721">
        <v>216</v>
      </c>
      <c r="D721">
        <v>5</v>
      </c>
      <c r="E721" t="s">
        <v>62</v>
      </c>
      <c r="F721" t="s">
        <v>63</v>
      </c>
      <c r="G721" t="str">
        <f>"2025-12-24 11:45:31.259"</f>
        <v>2025-12-24 11:45:31.259</v>
      </c>
      <c r="H721" t="s">
        <v>64</v>
      </c>
      <c r="I721">
        <v>22.13</v>
      </c>
      <c r="J721" t="s">
        <v>27</v>
      </c>
    </row>
    <row r="722" spans="1:10" x14ac:dyDescent="0.25">
      <c r="A722" s="1">
        <v>42</v>
      </c>
      <c r="B722" t="s">
        <v>19</v>
      </c>
      <c r="C722">
        <v>706</v>
      </c>
      <c r="D722">
        <v>2</v>
      </c>
      <c r="E722" t="s">
        <v>32</v>
      </c>
      <c r="F722" t="s">
        <v>35</v>
      </c>
      <c r="G722" t="str">
        <f>"2025-12-24 11:34:53.074"</f>
        <v>2025-12-24 11:34:53.074</v>
      </c>
      <c r="H722" t="s">
        <v>21</v>
      </c>
      <c r="I722">
        <v>0</v>
      </c>
      <c r="J722" t="s">
        <v>34</v>
      </c>
    </row>
    <row r="723" spans="1:10" x14ac:dyDescent="0.25">
      <c r="A723" s="1">
        <v>43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"2025-12-24 11:34:33.854"</f>
        <v>2025-12-24 11:34:33.854</v>
      </c>
      <c r="H723" t="s">
        <v>21</v>
      </c>
    </row>
    <row r="724" spans="1:10" x14ac:dyDescent="0.25">
      <c r="A724" s="1">
        <v>44</v>
      </c>
      <c r="B724" t="s">
        <v>39</v>
      </c>
      <c r="C724">
        <v>30</v>
      </c>
      <c r="D724">
        <v>1</v>
      </c>
      <c r="E724" t="s">
        <v>65</v>
      </c>
      <c r="F724" t="s">
        <v>66</v>
      </c>
      <c r="G724" t="str">
        <f>"2025-12-24 11:11:41.629"</f>
        <v>2025-12-24 11:11:41.629</v>
      </c>
      <c r="H724" t="s">
        <v>38</v>
      </c>
      <c r="I724">
        <v>0</v>
      </c>
      <c r="J724" t="s">
        <v>34</v>
      </c>
    </row>
    <row r="725" spans="1:10" x14ac:dyDescent="0.25">
      <c r="A725" s="1">
        <v>45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"2025-12-24 11:11:30.007"</f>
        <v>2025-12-24 11:11:30.007</v>
      </c>
      <c r="H725" t="s">
        <v>21</v>
      </c>
      <c r="I725">
        <v>0</v>
      </c>
      <c r="J725" t="s">
        <v>22</v>
      </c>
    </row>
    <row r="726" spans="1:10" x14ac:dyDescent="0.25">
      <c r="A726" s="1">
        <v>46</v>
      </c>
      <c r="B726" t="s">
        <v>39</v>
      </c>
      <c r="C726">
        <v>30</v>
      </c>
      <c r="D726">
        <v>1</v>
      </c>
      <c r="E726" t="s">
        <v>65</v>
      </c>
      <c r="F726" t="s">
        <v>66</v>
      </c>
      <c r="G726" t="str">
        <f>"2025-12-24 10:56:05.598"</f>
        <v>2025-12-24 10:56:05.598</v>
      </c>
      <c r="H726" t="s">
        <v>38</v>
      </c>
      <c r="I726">
        <v>0</v>
      </c>
      <c r="J726" t="s">
        <v>34</v>
      </c>
    </row>
    <row r="727" spans="1:10" x14ac:dyDescent="0.25">
      <c r="A727" s="1">
        <v>47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"2025-12-24 10:55:53.885"</f>
        <v>2025-12-24 10:55:53.885</v>
      </c>
      <c r="H727" t="s">
        <v>21</v>
      </c>
      <c r="I727">
        <v>0</v>
      </c>
      <c r="J727" t="s">
        <v>22</v>
      </c>
    </row>
    <row r="728" spans="1:10" x14ac:dyDescent="0.25">
      <c r="A728" s="1">
        <v>48</v>
      </c>
      <c r="B728" t="s">
        <v>50</v>
      </c>
      <c r="C728">
        <v>30</v>
      </c>
      <c r="D728">
        <v>1</v>
      </c>
      <c r="E728" t="s">
        <v>65</v>
      </c>
      <c r="F728" t="s">
        <v>66</v>
      </c>
      <c r="G728" t="str">
        <f>"2025-12-24 10:23:02.802"</f>
        <v>2025-12-24 10:23:02.802</v>
      </c>
      <c r="H728" t="s">
        <v>38</v>
      </c>
    </row>
    <row r="729" spans="1:10" x14ac:dyDescent="0.25">
      <c r="A729" s="1">
        <v>49</v>
      </c>
      <c r="B729" t="s">
        <v>39</v>
      </c>
      <c r="C729">
        <v>30</v>
      </c>
      <c r="D729">
        <v>1</v>
      </c>
      <c r="E729" t="s">
        <v>65</v>
      </c>
      <c r="F729" t="s">
        <v>66</v>
      </c>
      <c r="G729" t="str">
        <f>"2025-12-24 10:02:39.614"</f>
        <v>2025-12-24 10:02:39.614</v>
      </c>
      <c r="H729" t="s">
        <v>38</v>
      </c>
      <c r="I729">
        <v>22</v>
      </c>
      <c r="J729" t="s">
        <v>31</v>
      </c>
    </row>
    <row r="730" spans="1:10" x14ac:dyDescent="0.25">
      <c r="A730" s="1">
        <v>50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"2025-12-24 09:51:30.871"</f>
        <v>2025-12-24 09:51:30.871</v>
      </c>
      <c r="H730" t="s">
        <v>21</v>
      </c>
    </row>
    <row r="731" spans="1:10" x14ac:dyDescent="0.25">
      <c r="A731" s="1">
        <v>51</v>
      </c>
      <c r="B731" t="s">
        <v>50</v>
      </c>
      <c r="C731">
        <v>216</v>
      </c>
      <c r="D731">
        <v>5</v>
      </c>
      <c r="E731" t="s">
        <v>62</v>
      </c>
      <c r="F731" t="s">
        <v>63</v>
      </c>
      <c r="G731" t="str">
        <f>"2025-12-24 09:20:39.789"</f>
        <v>2025-12-24 09:20:39.789</v>
      </c>
      <c r="H731" t="s">
        <v>64</v>
      </c>
    </row>
    <row r="732" spans="1:10" x14ac:dyDescent="0.25">
      <c r="A732" s="1">
        <v>52</v>
      </c>
      <c r="B732" t="s">
        <v>39</v>
      </c>
      <c r="C732">
        <v>216</v>
      </c>
      <c r="D732">
        <v>5</v>
      </c>
      <c r="E732" t="s">
        <v>62</v>
      </c>
      <c r="F732" t="s">
        <v>63</v>
      </c>
      <c r="G732" t="str">
        <f>"2025-12-24 09:20:36.547"</f>
        <v>2025-12-24 09:20:36.547</v>
      </c>
      <c r="H732" t="s">
        <v>64</v>
      </c>
      <c r="I732">
        <v>4.76</v>
      </c>
      <c r="J732" t="s">
        <v>31</v>
      </c>
    </row>
    <row r="733" spans="1:10" x14ac:dyDescent="0.25">
      <c r="A733" s="1">
        <v>53</v>
      </c>
      <c r="B733" t="s">
        <v>50</v>
      </c>
      <c r="C733">
        <v>216</v>
      </c>
      <c r="D733">
        <v>5</v>
      </c>
      <c r="E733" t="s">
        <v>62</v>
      </c>
      <c r="F733" t="s">
        <v>63</v>
      </c>
      <c r="G733" t="str">
        <f>"2025-12-24 08:59:03.489"</f>
        <v>2025-12-24 08:59:03.489</v>
      </c>
      <c r="H733" t="s">
        <v>64</v>
      </c>
    </row>
    <row r="734" spans="1:10" x14ac:dyDescent="0.25">
      <c r="A734" s="1">
        <v>54</v>
      </c>
      <c r="B734" t="s">
        <v>39</v>
      </c>
      <c r="C734">
        <v>216</v>
      </c>
      <c r="D734">
        <v>5</v>
      </c>
      <c r="E734" t="s">
        <v>62</v>
      </c>
      <c r="F734" t="s">
        <v>63</v>
      </c>
      <c r="G734" t="str">
        <f>"2025-12-24 08:59:00.327"</f>
        <v>2025-12-24 08:59:00.327</v>
      </c>
      <c r="H734" t="s">
        <v>64</v>
      </c>
      <c r="I734">
        <v>6.29</v>
      </c>
      <c r="J734" t="s">
        <v>27</v>
      </c>
    </row>
    <row r="735" spans="1:10" x14ac:dyDescent="0.25">
      <c r="A735" s="1">
        <v>56</v>
      </c>
      <c r="B735" t="s">
        <v>23</v>
      </c>
      <c r="C735">
        <v>635</v>
      </c>
      <c r="D735">
        <v>1</v>
      </c>
      <c r="E735" t="s">
        <v>24</v>
      </c>
      <c r="F735" t="s">
        <v>25</v>
      </c>
      <c r="G735" t="str">
        <f>"2025-12-22 04:47:22.281"</f>
        <v>2025-12-22 04:47:22.281</v>
      </c>
      <c r="H735" t="s">
        <v>21</v>
      </c>
    </row>
    <row r="736" spans="1:10" x14ac:dyDescent="0.25">
      <c r="A736" s="1">
        <v>57</v>
      </c>
      <c r="B736" t="s">
        <v>26</v>
      </c>
      <c r="C736">
        <v>635</v>
      </c>
      <c r="D736">
        <v>1</v>
      </c>
      <c r="E736" t="s">
        <v>24</v>
      </c>
      <c r="F736" t="s">
        <v>25</v>
      </c>
      <c r="G736" t="str">
        <f>"2025-12-22 04:24:57.781"</f>
        <v>2025-12-22 04:24:57.781</v>
      </c>
      <c r="H736" t="s">
        <v>21</v>
      </c>
      <c r="I736">
        <v>5.64</v>
      </c>
      <c r="J736" t="s">
        <v>27</v>
      </c>
    </row>
    <row r="737" spans="1:10" x14ac:dyDescent="0.25">
      <c r="A737" s="1">
        <v>58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"2025-12-21 13:55:33.953"</f>
        <v>2025-12-21 13:55:33.953</v>
      </c>
      <c r="H737" t="s">
        <v>21</v>
      </c>
      <c r="I737">
        <v>0</v>
      </c>
      <c r="J737" t="s">
        <v>22</v>
      </c>
    </row>
    <row r="738" spans="1:10" x14ac:dyDescent="0.25">
      <c r="A738" s="1">
        <v>59</v>
      </c>
      <c r="B738" t="s">
        <v>19</v>
      </c>
      <c r="C738">
        <v>706</v>
      </c>
      <c r="D738">
        <v>4</v>
      </c>
      <c r="E738" t="s">
        <v>32</v>
      </c>
      <c r="F738" t="s">
        <v>33</v>
      </c>
      <c r="G738" t="str">
        <f>"2025-12-21 12:17:41.849"</f>
        <v>2025-12-21 12:17:41.849</v>
      </c>
      <c r="H738" t="s">
        <v>21</v>
      </c>
      <c r="I738">
        <v>0</v>
      </c>
      <c r="J738" t="s">
        <v>34</v>
      </c>
    </row>
    <row r="739" spans="1:10" x14ac:dyDescent="0.25">
      <c r="A739" s="1">
        <v>60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"2025-12-21 12:16:56.959"</f>
        <v>2025-12-21 12:16:56.959</v>
      </c>
      <c r="H739" t="s">
        <v>21</v>
      </c>
    </row>
    <row r="740" spans="1:10" x14ac:dyDescent="0.25">
      <c r="A740" s="1">
        <v>61</v>
      </c>
      <c r="B740" t="s">
        <v>23</v>
      </c>
      <c r="C740">
        <v>630</v>
      </c>
      <c r="D740">
        <v>5</v>
      </c>
      <c r="E740" t="s">
        <v>36</v>
      </c>
      <c r="F740" t="s">
        <v>37</v>
      </c>
      <c r="G740" t="str">
        <f>"2025-12-21 06:40:20.742"</f>
        <v>2025-12-21 06:40:20.742</v>
      </c>
      <c r="H740" t="s">
        <v>38</v>
      </c>
    </row>
    <row r="741" spans="1:10" x14ac:dyDescent="0.25">
      <c r="A741" s="1">
        <v>62</v>
      </c>
      <c r="B741" t="s">
        <v>19</v>
      </c>
      <c r="C741">
        <v>706</v>
      </c>
      <c r="D741">
        <v>4</v>
      </c>
      <c r="E741" t="s">
        <v>32</v>
      </c>
      <c r="F741" t="s">
        <v>33</v>
      </c>
      <c r="G741" t="str">
        <f>"2025-12-21 06:39:50.601"</f>
        <v>2025-12-21 06:39:50.601</v>
      </c>
      <c r="H741" t="s">
        <v>21</v>
      </c>
      <c r="I741">
        <v>0</v>
      </c>
      <c r="J741" t="s">
        <v>34</v>
      </c>
    </row>
    <row r="742" spans="1:10" x14ac:dyDescent="0.25">
      <c r="A742" s="1">
        <v>63</v>
      </c>
      <c r="B742" t="s">
        <v>39</v>
      </c>
      <c r="C742">
        <v>630</v>
      </c>
      <c r="D742">
        <v>5</v>
      </c>
      <c r="E742" t="s">
        <v>36</v>
      </c>
      <c r="F742" t="s">
        <v>37</v>
      </c>
      <c r="G742" t="str">
        <f>"2025-12-21 06:33:24.542"</f>
        <v>2025-12-21 06:33:24.542</v>
      </c>
      <c r="H742" t="s">
        <v>38</v>
      </c>
      <c r="I742">
        <v>0</v>
      </c>
      <c r="J742" t="s">
        <v>34</v>
      </c>
    </row>
    <row r="743" spans="1:10" x14ac:dyDescent="0.25">
      <c r="A743" s="1">
        <v>64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"2025-12-21 06:28:21.851"</f>
        <v>2025-12-21 06:28:21.851</v>
      </c>
      <c r="H743" t="s">
        <v>21</v>
      </c>
      <c r="I743">
        <v>0</v>
      </c>
      <c r="J743" t="s">
        <v>22</v>
      </c>
    </row>
    <row r="744" spans="1:10" x14ac:dyDescent="0.25">
      <c r="A744" s="1">
        <v>65</v>
      </c>
      <c r="B744" t="s">
        <v>39</v>
      </c>
      <c r="C744">
        <v>630</v>
      </c>
      <c r="D744">
        <v>5</v>
      </c>
      <c r="E744" t="s">
        <v>36</v>
      </c>
      <c r="F744" t="s">
        <v>37</v>
      </c>
      <c r="G744" t="str">
        <f>"2025-12-21 06:24:52.530"</f>
        <v>2025-12-21 06:24:52.530</v>
      </c>
      <c r="H744" t="s">
        <v>38</v>
      </c>
      <c r="I744">
        <v>0</v>
      </c>
      <c r="J744" t="s">
        <v>34</v>
      </c>
    </row>
    <row r="745" spans="1:10" x14ac:dyDescent="0.25">
      <c r="A745" s="1">
        <v>66</v>
      </c>
      <c r="B745" t="s">
        <v>19</v>
      </c>
      <c r="C745">
        <v>706</v>
      </c>
      <c r="D745">
        <v>3</v>
      </c>
      <c r="E745" t="s">
        <v>32</v>
      </c>
      <c r="F745" t="s">
        <v>40</v>
      </c>
      <c r="G745" t="str">
        <f>"2025-12-21 06:19:48.458"</f>
        <v>2025-12-21 06:19:48.458</v>
      </c>
      <c r="H745" t="s">
        <v>21</v>
      </c>
      <c r="I745">
        <v>0</v>
      </c>
      <c r="J745" t="s">
        <v>34</v>
      </c>
    </row>
    <row r="746" spans="1:10" x14ac:dyDescent="0.25">
      <c r="A746" s="1">
        <v>67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"2025-12-21 06:16:05.998"</f>
        <v>2025-12-21 06:16:05.998</v>
      </c>
      <c r="H746" t="s">
        <v>21</v>
      </c>
      <c r="I746">
        <v>0</v>
      </c>
      <c r="J746" t="s">
        <v>22</v>
      </c>
    </row>
    <row r="747" spans="1:10" x14ac:dyDescent="0.25">
      <c r="A747" s="1">
        <v>68</v>
      </c>
      <c r="B747" t="s">
        <v>39</v>
      </c>
      <c r="C747">
        <v>630</v>
      </c>
      <c r="D747">
        <v>5</v>
      </c>
      <c r="E747" t="s">
        <v>36</v>
      </c>
      <c r="F747" t="s">
        <v>37</v>
      </c>
      <c r="G747" t="str">
        <f>"2025-12-21 06:03:57.892"</f>
        <v>2025-12-21 06:03:57.892</v>
      </c>
      <c r="H747" t="s">
        <v>38</v>
      </c>
      <c r="I747">
        <v>0</v>
      </c>
      <c r="J747" t="s">
        <v>34</v>
      </c>
    </row>
    <row r="748" spans="1:10" s="3" customFormat="1" x14ac:dyDescent="0.25">
      <c r="A748" s="2">
        <v>69</v>
      </c>
      <c r="B748" s="3" t="s">
        <v>23</v>
      </c>
      <c r="C748" s="3">
        <v>647</v>
      </c>
      <c r="D748" s="3">
        <v>1</v>
      </c>
      <c r="E748" s="3" t="s">
        <v>29</v>
      </c>
      <c r="F748" s="3" t="s">
        <v>30</v>
      </c>
      <c r="G748" s="3" t="str">
        <f>"2025-12-21 00:59:12.293"</f>
        <v>2025-12-21 00:59:12.293</v>
      </c>
      <c r="H748" s="3" t="s">
        <v>21</v>
      </c>
    </row>
    <row r="749" spans="1:10" s="3" customFormat="1" x14ac:dyDescent="0.25">
      <c r="A749" s="2">
        <v>70</v>
      </c>
      <c r="B749" s="3" t="s">
        <v>26</v>
      </c>
      <c r="C749" s="3">
        <v>647</v>
      </c>
      <c r="D749" s="3">
        <v>1</v>
      </c>
      <c r="E749" s="3" t="s">
        <v>29</v>
      </c>
      <c r="F749" s="3" t="s">
        <v>30</v>
      </c>
      <c r="G749" s="3" t="str">
        <f>"2025-12-21 00:59:10.192"</f>
        <v>2025-12-21 00:59:10.192</v>
      </c>
      <c r="H749" s="3" t="s">
        <v>21</v>
      </c>
      <c r="I749" s="3">
        <v>11.59</v>
      </c>
      <c r="J749" s="3" t="s">
        <v>31</v>
      </c>
    </row>
    <row r="750" spans="1:10" x14ac:dyDescent="0.25">
      <c r="A750" s="1">
        <v>71</v>
      </c>
      <c r="B750" t="s">
        <v>23</v>
      </c>
      <c r="C750">
        <v>635</v>
      </c>
      <c r="D750">
        <v>1</v>
      </c>
      <c r="E750" t="s">
        <v>24</v>
      </c>
      <c r="F750" t="s">
        <v>25</v>
      </c>
      <c r="G750" t="str">
        <f>"2025-12-20 17:27:09.744"</f>
        <v>2025-12-20 17:27:09.744</v>
      </c>
      <c r="H750" t="s">
        <v>21</v>
      </c>
    </row>
    <row r="751" spans="1:10" x14ac:dyDescent="0.25">
      <c r="A751" s="1">
        <v>72</v>
      </c>
      <c r="B751" t="s">
        <v>26</v>
      </c>
      <c r="C751">
        <v>635</v>
      </c>
      <c r="D751">
        <v>1</v>
      </c>
      <c r="E751" t="s">
        <v>24</v>
      </c>
      <c r="F751" t="s">
        <v>25</v>
      </c>
      <c r="G751" t="str">
        <f>"2025-12-20 17:24:07.744"</f>
        <v>2025-12-20 17:24:07.744</v>
      </c>
      <c r="H751" t="s">
        <v>21</v>
      </c>
      <c r="I751">
        <v>6.34</v>
      </c>
      <c r="J751" t="s">
        <v>27</v>
      </c>
    </row>
    <row r="752" spans="1:10" x14ac:dyDescent="0.25">
      <c r="A752" s="1">
        <v>73</v>
      </c>
      <c r="B752" t="s">
        <v>23</v>
      </c>
      <c r="C752">
        <v>635</v>
      </c>
      <c r="D752">
        <v>1</v>
      </c>
      <c r="E752" t="s">
        <v>24</v>
      </c>
      <c r="F752" t="s">
        <v>25</v>
      </c>
      <c r="G752" t="str">
        <f>"2025-12-20 07:14:04.644"</f>
        <v>2025-12-20 07:14:04.644</v>
      </c>
      <c r="H752" t="s">
        <v>21</v>
      </c>
    </row>
    <row r="753" spans="1:10" x14ac:dyDescent="0.25">
      <c r="A753" s="1">
        <v>74</v>
      </c>
      <c r="B753" t="s">
        <v>26</v>
      </c>
      <c r="C753">
        <v>635</v>
      </c>
      <c r="D753">
        <v>1</v>
      </c>
      <c r="E753" t="s">
        <v>24</v>
      </c>
      <c r="F753" t="s">
        <v>25</v>
      </c>
      <c r="G753" t="str">
        <f>"2025-12-20 07:08:04.245"</f>
        <v>2025-12-20 07:08:04.245</v>
      </c>
      <c r="H753" t="s">
        <v>21</v>
      </c>
      <c r="I753">
        <v>4.3099999999999996</v>
      </c>
      <c r="J753" t="s">
        <v>27</v>
      </c>
    </row>
    <row r="754" spans="1:10" x14ac:dyDescent="0.25">
      <c r="A754" s="1">
        <v>75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"2025-12-20 01:53:27.854"</f>
        <v>2025-12-20 01:53:27.854</v>
      </c>
      <c r="H754" t="s">
        <v>21</v>
      </c>
      <c r="I754">
        <v>0</v>
      </c>
      <c r="J754" t="s">
        <v>22</v>
      </c>
    </row>
    <row r="755" spans="1:10" x14ac:dyDescent="0.25">
      <c r="A755" s="1">
        <v>76</v>
      </c>
      <c r="B755" t="s">
        <v>23</v>
      </c>
      <c r="C755">
        <v>635</v>
      </c>
      <c r="D755">
        <v>1</v>
      </c>
      <c r="E755" t="s">
        <v>24</v>
      </c>
      <c r="F755" t="s">
        <v>25</v>
      </c>
      <c r="G755" t="str">
        <f>"2025-12-19 23:49:35.045"</f>
        <v>2025-12-19 23:49:35.045</v>
      </c>
      <c r="H755" t="s">
        <v>21</v>
      </c>
    </row>
    <row r="756" spans="1:10" x14ac:dyDescent="0.25">
      <c r="A756" s="1">
        <v>77</v>
      </c>
      <c r="B756" t="s">
        <v>26</v>
      </c>
      <c r="C756">
        <v>635</v>
      </c>
      <c r="D756">
        <v>1</v>
      </c>
      <c r="E756" t="s">
        <v>24</v>
      </c>
      <c r="F756" t="s">
        <v>25</v>
      </c>
      <c r="G756" t="str">
        <f>"2025-12-19 23:30:16.545"</f>
        <v>2025-12-19 23:30:16.545</v>
      </c>
      <c r="H756" t="s">
        <v>21</v>
      </c>
      <c r="I756">
        <v>7.84</v>
      </c>
      <c r="J756" t="s">
        <v>27</v>
      </c>
    </row>
    <row r="757" spans="1:10" x14ac:dyDescent="0.25">
      <c r="A757" s="1">
        <v>78</v>
      </c>
      <c r="B757" t="s">
        <v>23</v>
      </c>
      <c r="C757">
        <v>61</v>
      </c>
      <c r="D757">
        <v>2</v>
      </c>
      <c r="E757" t="s">
        <v>41</v>
      </c>
      <c r="F757" t="s">
        <v>42</v>
      </c>
      <c r="G757" t="str">
        <f>"2025-12-19 09:57:07.399"</f>
        <v>2025-12-19 09:57:07.399</v>
      </c>
      <c r="H757" t="s">
        <v>21</v>
      </c>
    </row>
    <row r="758" spans="1:10" x14ac:dyDescent="0.25">
      <c r="A758" s="1">
        <v>79</v>
      </c>
      <c r="B758" t="s">
        <v>39</v>
      </c>
      <c r="C758">
        <v>61</v>
      </c>
      <c r="D758">
        <v>2</v>
      </c>
      <c r="E758" t="s">
        <v>41</v>
      </c>
      <c r="F758" t="s">
        <v>42</v>
      </c>
      <c r="G758" t="str">
        <f>"2025-12-19 09:56:57.599"</f>
        <v>2025-12-19 09:56:57.599</v>
      </c>
      <c r="H758" t="s">
        <v>21</v>
      </c>
      <c r="I758">
        <v>36.49</v>
      </c>
      <c r="J758" t="s">
        <v>31</v>
      </c>
    </row>
    <row r="759" spans="1:10" s="3" customFormat="1" x14ac:dyDescent="0.25">
      <c r="A759" s="2">
        <v>80</v>
      </c>
      <c r="B759" s="3" t="s">
        <v>23</v>
      </c>
      <c r="C759" s="3">
        <v>647</v>
      </c>
      <c r="D759" s="3">
        <v>1</v>
      </c>
      <c r="E759" s="3" t="s">
        <v>29</v>
      </c>
      <c r="F759" s="3" t="s">
        <v>30</v>
      </c>
      <c r="G759" s="3" t="str">
        <f>"2025-12-19 02:01:43.999"</f>
        <v>2025-12-19 02:01:43.999</v>
      </c>
      <c r="H759" s="3" t="s">
        <v>21</v>
      </c>
    </row>
    <row r="760" spans="1:10" s="3" customFormat="1" x14ac:dyDescent="0.25">
      <c r="A760" s="2">
        <v>81</v>
      </c>
      <c r="B760" s="3" t="s">
        <v>26</v>
      </c>
      <c r="C760" s="3">
        <v>647</v>
      </c>
      <c r="D760" s="3">
        <v>1</v>
      </c>
      <c r="E760" s="3" t="s">
        <v>29</v>
      </c>
      <c r="F760" s="3" t="s">
        <v>30</v>
      </c>
      <c r="G760" s="3" t="str">
        <f>"2025-12-19 02:01:41.099"</f>
        <v>2025-12-19 02:01:41.099</v>
      </c>
      <c r="H760" s="3" t="s">
        <v>21</v>
      </c>
      <c r="I760" s="3">
        <v>21.94</v>
      </c>
      <c r="J760" s="3" t="s">
        <v>31</v>
      </c>
    </row>
    <row r="761" spans="1:10" x14ac:dyDescent="0.25">
      <c r="A761" s="1">
        <v>82</v>
      </c>
      <c r="B761" t="s">
        <v>23</v>
      </c>
      <c r="C761">
        <v>635</v>
      </c>
      <c r="D761">
        <v>1</v>
      </c>
      <c r="E761" t="s">
        <v>24</v>
      </c>
      <c r="F761" t="s">
        <v>25</v>
      </c>
      <c r="G761" t="str">
        <f>"2025-12-18 18:00:02.845"</f>
        <v>2025-12-18 18:00:02.845</v>
      </c>
      <c r="H761" t="s">
        <v>21</v>
      </c>
    </row>
    <row r="762" spans="1:10" x14ac:dyDescent="0.25">
      <c r="A762" s="1">
        <v>83</v>
      </c>
      <c r="B762" t="s">
        <v>26</v>
      </c>
      <c r="C762">
        <v>635</v>
      </c>
      <c r="D762">
        <v>1</v>
      </c>
      <c r="E762" t="s">
        <v>24</v>
      </c>
      <c r="F762" t="s">
        <v>25</v>
      </c>
      <c r="G762" t="str">
        <f>"2025-12-18 17:49:11.345"</f>
        <v>2025-12-18 17:49:11.345</v>
      </c>
      <c r="H762" t="s">
        <v>21</v>
      </c>
      <c r="I762">
        <v>3.14</v>
      </c>
      <c r="J762" t="s">
        <v>27</v>
      </c>
    </row>
    <row r="763" spans="1:10" x14ac:dyDescent="0.25">
      <c r="A763" s="1">
        <v>84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"2025-12-18 15:37:26.847"</f>
        <v>2025-12-18 15:37:26.847</v>
      </c>
      <c r="H763" t="s">
        <v>21</v>
      </c>
    </row>
    <row r="764" spans="1:10" x14ac:dyDescent="0.25">
      <c r="A764" s="1">
        <v>85</v>
      </c>
      <c r="B764" t="s">
        <v>39</v>
      </c>
      <c r="C764">
        <v>630</v>
      </c>
      <c r="D764">
        <v>5</v>
      </c>
      <c r="E764" t="s">
        <v>36</v>
      </c>
      <c r="F764" t="s">
        <v>37</v>
      </c>
      <c r="G764" t="str">
        <f>"2025-12-18 15:10:52.185"</f>
        <v>2025-12-18 15:10:52.185</v>
      </c>
      <c r="H764" t="s">
        <v>38</v>
      </c>
      <c r="I764">
        <v>0</v>
      </c>
      <c r="J764" t="s">
        <v>34</v>
      </c>
    </row>
    <row r="765" spans="1:10" x14ac:dyDescent="0.25">
      <c r="A765" s="1">
        <v>86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"2025-12-18 14:43:06.846"</f>
        <v>2025-12-18 14:43:06.846</v>
      </c>
      <c r="H765" t="s">
        <v>21</v>
      </c>
    </row>
    <row r="766" spans="1:10" x14ac:dyDescent="0.25">
      <c r="A766" s="1">
        <v>87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"2025-12-18 14:20:43.917"</f>
        <v>2025-12-18 14:20:43.917</v>
      </c>
      <c r="H766" t="s">
        <v>21</v>
      </c>
      <c r="I766">
        <v>0</v>
      </c>
      <c r="J766" t="s">
        <v>22</v>
      </c>
    </row>
    <row r="767" spans="1:10" x14ac:dyDescent="0.25">
      <c r="A767" s="1">
        <v>88</v>
      </c>
      <c r="B767" t="s">
        <v>19</v>
      </c>
      <c r="C767">
        <v>706</v>
      </c>
      <c r="D767">
        <v>4</v>
      </c>
      <c r="E767" t="s">
        <v>32</v>
      </c>
      <c r="F767" t="s">
        <v>33</v>
      </c>
      <c r="G767" t="str">
        <f>"2025-12-18 14:01:35.332"</f>
        <v>2025-12-18 14:01:35.332</v>
      </c>
      <c r="H767" t="s">
        <v>21</v>
      </c>
      <c r="I767">
        <v>0</v>
      </c>
      <c r="J767" t="s">
        <v>34</v>
      </c>
    </row>
    <row r="768" spans="1:10" x14ac:dyDescent="0.25">
      <c r="A768" s="1">
        <v>89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"2025-12-18 14:01:01.842"</f>
        <v>2025-12-18 14:01:01.842</v>
      </c>
      <c r="H768" t="s">
        <v>21</v>
      </c>
    </row>
    <row r="769" spans="1:10" x14ac:dyDescent="0.25">
      <c r="A769" s="1">
        <v>90</v>
      </c>
      <c r="B769" t="s">
        <v>19</v>
      </c>
      <c r="C769">
        <v>706</v>
      </c>
      <c r="D769">
        <v>4</v>
      </c>
      <c r="E769" t="s">
        <v>32</v>
      </c>
      <c r="F769" t="s">
        <v>33</v>
      </c>
      <c r="G769" t="str">
        <f>"2025-12-18 13:59:34.397"</f>
        <v>2025-12-18 13:59:34.397</v>
      </c>
      <c r="H769" t="s">
        <v>21</v>
      </c>
      <c r="I769">
        <v>0</v>
      </c>
      <c r="J769" t="s">
        <v>34</v>
      </c>
    </row>
    <row r="770" spans="1:10" x14ac:dyDescent="0.25">
      <c r="A770" s="1">
        <v>91</v>
      </c>
      <c r="B770" t="s">
        <v>19</v>
      </c>
      <c r="C770">
        <v>706</v>
      </c>
      <c r="D770">
        <v>3</v>
      </c>
      <c r="E770" t="s">
        <v>32</v>
      </c>
      <c r="F770" t="s">
        <v>40</v>
      </c>
      <c r="G770" t="str">
        <f>"2025-12-18 13:59:16.277"</f>
        <v>2025-12-18 13:59:16.277</v>
      </c>
      <c r="H770" t="s">
        <v>21</v>
      </c>
      <c r="I770">
        <v>0</v>
      </c>
      <c r="J770" t="s">
        <v>34</v>
      </c>
    </row>
    <row r="771" spans="1:10" x14ac:dyDescent="0.25">
      <c r="A771" s="1">
        <v>92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"2025-12-18 13:13:17.837"</f>
        <v>2025-12-18 13:13:17.837</v>
      </c>
      <c r="H771" t="s">
        <v>21</v>
      </c>
    </row>
    <row r="772" spans="1:10" x14ac:dyDescent="0.25">
      <c r="A772" s="1">
        <v>93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"2025-12-18 13:10:44.875"</f>
        <v>2025-12-18 13:10:44.875</v>
      </c>
      <c r="H772" t="s">
        <v>21</v>
      </c>
    </row>
    <row r="773" spans="1:10" x14ac:dyDescent="0.25">
      <c r="A773" s="1">
        <v>94</v>
      </c>
      <c r="B773" t="s">
        <v>23</v>
      </c>
      <c r="C773">
        <v>635</v>
      </c>
      <c r="D773">
        <v>1</v>
      </c>
      <c r="E773" t="s">
        <v>24</v>
      </c>
      <c r="F773" t="s">
        <v>25</v>
      </c>
      <c r="G773" t="str">
        <f>"2025-12-17 21:34:48.389"</f>
        <v>2025-12-17 21:34:48.389</v>
      </c>
      <c r="H773" t="s">
        <v>21</v>
      </c>
    </row>
    <row r="774" spans="1:10" x14ac:dyDescent="0.25">
      <c r="A774" s="1">
        <v>95</v>
      </c>
      <c r="B774" t="s">
        <v>26</v>
      </c>
      <c r="C774">
        <v>635</v>
      </c>
      <c r="D774">
        <v>1</v>
      </c>
      <c r="E774" t="s">
        <v>24</v>
      </c>
      <c r="F774" t="s">
        <v>25</v>
      </c>
      <c r="G774" t="str">
        <f>"2025-12-17 21:32:34.889"</f>
        <v>2025-12-17 21:32:34.889</v>
      </c>
      <c r="H774" t="s">
        <v>21</v>
      </c>
      <c r="I774">
        <v>8.26</v>
      </c>
      <c r="J774" t="s">
        <v>27</v>
      </c>
    </row>
    <row r="775" spans="1:10" x14ac:dyDescent="0.25">
      <c r="A775" s="1">
        <v>96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"2025-12-17 10:06:23.861"</f>
        <v>2025-12-17 10:06:23.861</v>
      </c>
      <c r="H775" t="s">
        <v>21</v>
      </c>
      <c r="I775">
        <v>0</v>
      </c>
      <c r="J775" t="s">
        <v>22</v>
      </c>
    </row>
    <row r="776" spans="1:10" x14ac:dyDescent="0.25">
      <c r="A776" s="1">
        <v>97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"2025-12-15 13:14:57.831"</f>
        <v>2025-12-15 13:14:57.831</v>
      </c>
      <c r="H776" t="s">
        <v>21</v>
      </c>
    </row>
    <row r="777" spans="1:10" x14ac:dyDescent="0.25">
      <c r="A777" s="1">
        <v>98</v>
      </c>
      <c r="B777" t="s">
        <v>23</v>
      </c>
      <c r="C777">
        <v>635</v>
      </c>
      <c r="D777">
        <v>1</v>
      </c>
      <c r="E777" t="s">
        <v>24</v>
      </c>
      <c r="F777" t="s">
        <v>25</v>
      </c>
      <c r="G777" t="str">
        <f>"2025-12-14 23:17:09.263"</f>
        <v>2025-12-14 23:17:09.263</v>
      </c>
      <c r="H777" t="s">
        <v>21</v>
      </c>
    </row>
    <row r="778" spans="1:10" x14ac:dyDescent="0.25">
      <c r="A778" s="1">
        <v>99</v>
      </c>
      <c r="B778" t="s">
        <v>26</v>
      </c>
      <c r="C778">
        <v>635</v>
      </c>
      <c r="D778">
        <v>1</v>
      </c>
      <c r="E778" t="s">
        <v>24</v>
      </c>
      <c r="F778" t="s">
        <v>25</v>
      </c>
      <c r="G778" t="str">
        <f>"2025-12-14 22:53:12.263"</f>
        <v>2025-12-14 22:53:12.263</v>
      </c>
      <c r="H778" t="s">
        <v>21</v>
      </c>
      <c r="I778">
        <v>8.2899999999999991</v>
      </c>
      <c r="J778" t="s">
        <v>27</v>
      </c>
    </row>
    <row r="779" spans="1:10" x14ac:dyDescent="0.25">
      <c r="A779" s="1">
        <v>0</v>
      </c>
      <c r="B779" t="s">
        <v>23</v>
      </c>
      <c r="C779">
        <v>635</v>
      </c>
      <c r="D779">
        <v>1</v>
      </c>
      <c r="E779" t="s">
        <v>24</v>
      </c>
      <c r="F779" t="s">
        <v>25</v>
      </c>
      <c r="G779" t="str">
        <f>"2025-12-14 09:00:32.863"</f>
        <v>2025-12-14 09:00:32.863</v>
      </c>
      <c r="H779" t="s">
        <v>21</v>
      </c>
    </row>
    <row r="780" spans="1:10" x14ac:dyDescent="0.25">
      <c r="A780" s="1">
        <v>1</v>
      </c>
      <c r="B780" t="s">
        <v>26</v>
      </c>
      <c r="C780">
        <v>635</v>
      </c>
      <c r="D780">
        <v>1</v>
      </c>
      <c r="E780" t="s">
        <v>24</v>
      </c>
      <c r="F780" t="s">
        <v>25</v>
      </c>
      <c r="G780" t="str">
        <f>"2025-12-14 08:56:25.364"</f>
        <v>2025-12-14 08:56:25.364</v>
      </c>
      <c r="H780" t="s">
        <v>21</v>
      </c>
      <c r="I780">
        <v>0.55000000000000004</v>
      </c>
      <c r="J780" t="s">
        <v>31</v>
      </c>
    </row>
    <row r="781" spans="1:10" x14ac:dyDescent="0.25">
      <c r="A781" s="1">
        <v>2</v>
      </c>
      <c r="B781" t="s">
        <v>23</v>
      </c>
      <c r="C781">
        <v>98</v>
      </c>
      <c r="D781">
        <v>1</v>
      </c>
      <c r="E781" t="s">
        <v>67</v>
      </c>
      <c r="F781" t="s">
        <v>68</v>
      </c>
      <c r="G781" t="str">
        <f>"2025-12-13 20:54:02.195"</f>
        <v>2025-12-13 20:54:02.195</v>
      </c>
      <c r="H781" t="s">
        <v>21</v>
      </c>
    </row>
    <row r="782" spans="1:10" x14ac:dyDescent="0.25">
      <c r="A782" s="1">
        <v>3</v>
      </c>
      <c r="B782" t="s">
        <v>26</v>
      </c>
      <c r="C782">
        <v>98</v>
      </c>
      <c r="D782">
        <v>1</v>
      </c>
      <c r="E782" t="s">
        <v>67</v>
      </c>
      <c r="F782" t="s">
        <v>68</v>
      </c>
      <c r="G782" t="str">
        <f>"2025-12-13 20:54:01.196"</f>
        <v>2025-12-13 20:54:01.196</v>
      </c>
      <c r="H782" t="s">
        <v>21</v>
      </c>
      <c r="I782">
        <v>11.01</v>
      </c>
      <c r="J782" t="s">
        <v>27</v>
      </c>
    </row>
    <row r="783" spans="1:10" x14ac:dyDescent="0.25">
      <c r="A783" s="1">
        <v>4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"2025-12-12 11:07:32.857"</f>
        <v>2025-12-12 11:07:32.857</v>
      </c>
      <c r="H783" t="s">
        <v>21</v>
      </c>
      <c r="I783">
        <v>0</v>
      </c>
      <c r="J783" t="s">
        <v>22</v>
      </c>
    </row>
    <row r="784" spans="1:10" x14ac:dyDescent="0.25">
      <c r="A784" s="1">
        <v>5</v>
      </c>
      <c r="B784" t="s">
        <v>23</v>
      </c>
      <c r="C784">
        <v>635</v>
      </c>
      <c r="D784">
        <v>1</v>
      </c>
      <c r="E784" t="s">
        <v>24</v>
      </c>
      <c r="F784" t="s">
        <v>25</v>
      </c>
      <c r="G784" t="str">
        <f>"2025-12-12 03:46:08.078"</f>
        <v>2025-12-12 03:46:08.078</v>
      </c>
      <c r="H784" t="s">
        <v>21</v>
      </c>
    </row>
    <row r="785" spans="1:10" x14ac:dyDescent="0.25">
      <c r="A785" s="1">
        <v>6</v>
      </c>
      <c r="B785" t="s">
        <v>26</v>
      </c>
      <c r="C785">
        <v>635</v>
      </c>
      <c r="D785">
        <v>1</v>
      </c>
      <c r="E785" t="s">
        <v>24</v>
      </c>
      <c r="F785" t="s">
        <v>25</v>
      </c>
      <c r="G785" t="str">
        <f>"2025-12-12 03:42:37.578"</f>
        <v>2025-12-12 03:42:37.578</v>
      </c>
      <c r="H785" t="s">
        <v>21</v>
      </c>
      <c r="I785">
        <v>4.37</v>
      </c>
      <c r="J785" t="s">
        <v>28</v>
      </c>
    </row>
    <row r="786" spans="1:10" x14ac:dyDescent="0.25">
      <c r="A786" s="1">
        <v>7</v>
      </c>
      <c r="B786" t="s">
        <v>23</v>
      </c>
      <c r="C786">
        <v>635</v>
      </c>
      <c r="D786">
        <v>1</v>
      </c>
      <c r="E786" t="s">
        <v>24</v>
      </c>
      <c r="F786" t="s">
        <v>25</v>
      </c>
      <c r="G786" t="str">
        <f>"2025-12-11 18:56:17.478"</f>
        <v>2025-12-11 18:56:17.478</v>
      </c>
      <c r="H786" t="s">
        <v>21</v>
      </c>
    </row>
    <row r="787" spans="1:10" x14ac:dyDescent="0.25">
      <c r="A787" s="1">
        <v>8</v>
      </c>
      <c r="B787" t="s">
        <v>26</v>
      </c>
      <c r="C787">
        <v>635</v>
      </c>
      <c r="D787">
        <v>1</v>
      </c>
      <c r="E787" t="s">
        <v>24</v>
      </c>
      <c r="F787" t="s">
        <v>25</v>
      </c>
      <c r="G787" t="str">
        <f>"2025-12-11 18:51:14.478"</f>
        <v>2025-12-11 18:51:14.478</v>
      </c>
      <c r="H787" t="s">
        <v>21</v>
      </c>
      <c r="I787">
        <v>2.78</v>
      </c>
      <c r="J787" t="s">
        <v>27</v>
      </c>
    </row>
    <row r="788" spans="1:10" x14ac:dyDescent="0.25">
      <c r="A788" s="1">
        <v>10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"2025-12-10 11:35:08.830"</f>
        <v>2025-12-10 11:35:08.830</v>
      </c>
      <c r="H788" t="s">
        <v>21</v>
      </c>
      <c r="I788">
        <v>0</v>
      </c>
      <c r="J788" t="s">
        <v>22</v>
      </c>
    </row>
    <row r="789" spans="1:10" x14ac:dyDescent="0.25">
      <c r="A789" s="1">
        <v>11</v>
      </c>
      <c r="B789" t="s">
        <v>23</v>
      </c>
      <c r="C789">
        <v>630</v>
      </c>
      <c r="D789">
        <v>5</v>
      </c>
      <c r="E789" t="s">
        <v>36</v>
      </c>
      <c r="F789" t="s">
        <v>37</v>
      </c>
      <c r="G789" t="str">
        <f>"2025-12-10 11:13:44.930"</f>
        <v>2025-12-10 11:13:44.930</v>
      </c>
      <c r="H789" t="s">
        <v>38</v>
      </c>
    </row>
    <row r="790" spans="1:10" x14ac:dyDescent="0.25">
      <c r="A790" s="1">
        <v>12</v>
      </c>
      <c r="B790" t="s">
        <v>19</v>
      </c>
      <c r="C790">
        <v>706</v>
      </c>
      <c r="D790">
        <v>4</v>
      </c>
      <c r="E790" t="s">
        <v>32</v>
      </c>
      <c r="F790" t="s">
        <v>33</v>
      </c>
      <c r="G790" t="str">
        <f>"2025-12-10 11:13:14.832"</f>
        <v>2025-12-10 11:13:14.832</v>
      </c>
      <c r="H790" t="s">
        <v>21</v>
      </c>
      <c r="I790">
        <v>0</v>
      </c>
      <c r="J790" t="s">
        <v>34</v>
      </c>
    </row>
    <row r="791" spans="1:10" x14ac:dyDescent="0.25">
      <c r="A791" s="1">
        <v>13</v>
      </c>
      <c r="B791" t="s">
        <v>19</v>
      </c>
      <c r="C791">
        <v>706</v>
      </c>
      <c r="D791">
        <v>2</v>
      </c>
      <c r="E791" t="s">
        <v>32</v>
      </c>
      <c r="F791" t="s">
        <v>35</v>
      </c>
      <c r="G791" t="str">
        <f>"2025-12-10 11:12:36.072"</f>
        <v>2025-12-10 11:12:36.072</v>
      </c>
      <c r="H791" t="s">
        <v>21</v>
      </c>
      <c r="I791">
        <v>0</v>
      </c>
      <c r="J791" t="s">
        <v>34</v>
      </c>
    </row>
    <row r="792" spans="1:10" x14ac:dyDescent="0.25">
      <c r="A792" s="1">
        <v>14</v>
      </c>
      <c r="B792" t="s">
        <v>19</v>
      </c>
      <c r="C792">
        <v>706</v>
      </c>
      <c r="D792">
        <v>4</v>
      </c>
      <c r="E792" t="s">
        <v>32</v>
      </c>
      <c r="F792" t="s">
        <v>33</v>
      </c>
      <c r="G792" t="str">
        <f>"2025-12-10 11:12:17.232"</f>
        <v>2025-12-10 11:12:17.232</v>
      </c>
      <c r="H792" t="s">
        <v>21</v>
      </c>
      <c r="I792">
        <v>0</v>
      </c>
      <c r="J792" t="s">
        <v>34</v>
      </c>
    </row>
    <row r="793" spans="1:10" x14ac:dyDescent="0.25">
      <c r="A793" s="1">
        <v>15</v>
      </c>
      <c r="B793" t="s">
        <v>39</v>
      </c>
      <c r="C793">
        <v>630</v>
      </c>
      <c r="D793">
        <v>5</v>
      </c>
      <c r="E793" t="s">
        <v>36</v>
      </c>
      <c r="F793" t="s">
        <v>37</v>
      </c>
      <c r="G793" t="str">
        <f>"2025-12-10 11:08:56.631"</f>
        <v>2025-12-10 11:08:56.631</v>
      </c>
      <c r="H793" t="s">
        <v>38</v>
      </c>
      <c r="I793">
        <v>0</v>
      </c>
      <c r="J793" t="s">
        <v>34</v>
      </c>
    </row>
    <row r="794" spans="1:10" x14ac:dyDescent="0.25">
      <c r="A794" s="1">
        <v>16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"2025-12-10 11:03:53.832"</f>
        <v>2025-12-10 11:03:53.832</v>
      </c>
      <c r="H794" t="s">
        <v>21</v>
      </c>
      <c r="I794">
        <v>0</v>
      </c>
      <c r="J794" t="s">
        <v>22</v>
      </c>
    </row>
    <row r="795" spans="1:10" x14ac:dyDescent="0.25">
      <c r="A795" s="1">
        <v>17</v>
      </c>
      <c r="B795" t="s">
        <v>39</v>
      </c>
      <c r="C795">
        <v>630</v>
      </c>
      <c r="D795">
        <v>5</v>
      </c>
      <c r="E795" t="s">
        <v>36</v>
      </c>
      <c r="F795" t="s">
        <v>37</v>
      </c>
      <c r="G795" t="str">
        <f>"2025-12-10 10:58:29.596"</f>
        <v>2025-12-10 10:58:29.596</v>
      </c>
      <c r="H795" t="s">
        <v>38</v>
      </c>
      <c r="I795">
        <v>0</v>
      </c>
      <c r="J795" t="s">
        <v>34</v>
      </c>
    </row>
    <row r="796" spans="1:10" x14ac:dyDescent="0.25">
      <c r="A796" s="1">
        <v>18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"2025-12-10 10:53:26.828"</f>
        <v>2025-12-10 10:53:26.828</v>
      </c>
      <c r="H796" t="s">
        <v>21</v>
      </c>
    </row>
    <row r="797" spans="1:10" x14ac:dyDescent="0.25">
      <c r="A797" s="1">
        <v>19</v>
      </c>
      <c r="B797" t="s">
        <v>23</v>
      </c>
      <c r="C797">
        <v>61</v>
      </c>
      <c r="D797">
        <v>2</v>
      </c>
      <c r="E797" t="s">
        <v>41</v>
      </c>
      <c r="F797" t="s">
        <v>42</v>
      </c>
      <c r="G797" t="str">
        <f>"2025-12-09 19:42:01.607"</f>
        <v>2025-12-09 19:42:01.607</v>
      </c>
      <c r="H797" t="s">
        <v>21</v>
      </c>
    </row>
    <row r="798" spans="1:10" x14ac:dyDescent="0.25">
      <c r="A798" s="1">
        <v>20</v>
      </c>
      <c r="B798" t="s">
        <v>39</v>
      </c>
      <c r="C798">
        <v>61</v>
      </c>
      <c r="D798">
        <v>2</v>
      </c>
      <c r="E798" t="s">
        <v>41</v>
      </c>
      <c r="F798" t="s">
        <v>42</v>
      </c>
      <c r="G798" t="str">
        <f>"2025-12-09 19:41:49.307"</f>
        <v>2025-12-09 19:41:49.307</v>
      </c>
      <c r="H798" t="s">
        <v>21</v>
      </c>
      <c r="I798">
        <v>36.840000000000003</v>
      </c>
      <c r="J798" t="s">
        <v>31</v>
      </c>
    </row>
    <row r="799" spans="1:10" x14ac:dyDescent="0.25">
      <c r="A799" s="1">
        <v>21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"2025-12-09 13:07:59.056"</f>
        <v>2025-12-09 13:07:59.056</v>
      </c>
      <c r="H799" t="s">
        <v>21</v>
      </c>
      <c r="I799">
        <v>0</v>
      </c>
      <c r="J799" t="s">
        <v>22</v>
      </c>
    </row>
    <row r="800" spans="1:10" x14ac:dyDescent="0.25">
      <c r="A800" s="1">
        <v>22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"2025-12-09 12:53:22.832"</f>
        <v>2025-12-09 12:53:22.832</v>
      </c>
      <c r="H800" t="s">
        <v>21</v>
      </c>
    </row>
    <row r="801" spans="1:10" x14ac:dyDescent="0.25">
      <c r="A801" s="1">
        <v>23</v>
      </c>
      <c r="B801" t="s">
        <v>23</v>
      </c>
      <c r="C801">
        <v>635</v>
      </c>
      <c r="D801">
        <v>1</v>
      </c>
      <c r="E801" t="s">
        <v>24</v>
      </c>
      <c r="F801" t="s">
        <v>25</v>
      </c>
      <c r="G801" t="str">
        <f>"2025-12-09 11:44:37.423"</f>
        <v>2025-12-09 11:44:37.423</v>
      </c>
      <c r="H801" t="s">
        <v>21</v>
      </c>
    </row>
    <row r="802" spans="1:10" x14ac:dyDescent="0.25">
      <c r="A802" s="1">
        <v>24</v>
      </c>
      <c r="B802" t="s">
        <v>26</v>
      </c>
      <c r="C802">
        <v>635</v>
      </c>
      <c r="D802">
        <v>1</v>
      </c>
      <c r="E802" t="s">
        <v>24</v>
      </c>
      <c r="F802" t="s">
        <v>25</v>
      </c>
      <c r="G802" t="str">
        <f>"2025-12-09 11:41:29.923"</f>
        <v>2025-12-09 11:41:29.923</v>
      </c>
      <c r="H802" t="s">
        <v>21</v>
      </c>
      <c r="I802">
        <v>3.27</v>
      </c>
      <c r="J802" t="s">
        <v>27</v>
      </c>
    </row>
    <row r="803" spans="1:10" x14ac:dyDescent="0.25">
      <c r="A803" s="1">
        <v>25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"2025-12-09 11:23:45.834"</f>
        <v>2025-12-09 11:23:45.834</v>
      </c>
      <c r="H803" t="s">
        <v>21</v>
      </c>
    </row>
    <row r="804" spans="1:10" x14ac:dyDescent="0.25">
      <c r="A804" s="1">
        <v>26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"2025-12-09 10:29:58.827"</f>
        <v>2025-12-09 10:29:58.827</v>
      </c>
      <c r="H804" t="s">
        <v>21</v>
      </c>
    </row>
    <row r="805" spans="1:10" x14ac:dyDescent="0.25">
      <c r="A805" s="1">
        <v>27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"2025-12-09 10:17:51.834"</f>
        <v>2025-12-09 10:17:51.834</v>
      </c>
      <c r="H805" t="s">
        <v>21</v>
      </c>
    </row>
    <row r="806" spans="1:10" x14ac:dyDescent="0.25">
      <c r="A806" s="1">
        <v>28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"2025-12-09 10:11:09.901"</f>
        <v>2025-12-09 10:11:09.901</v>
      </c>
      <c r="H806" t="s">
        <v>21</v>
      </c>
    </row>
    <row r="807" spans="1:10" x14ac:dyDescent="0.25">
      <c r="A807" s="1">
        <v>29</v>
      </c>
      <c r="B807" t="s">
        <v>23</v>
      </c>
      <c r="C807">
        <v>635</v>
      </c>
      <c r="D807">
        <v>1</v>
      </c>
      <c r="E807" t="s">
        <v>24</v>
      </c>
      <c r="F807" t="s">
        <v>25</v>
      </c>
      <c r="G807" t="str">
        <f>"2025-12-07 23:05:35.177"</f>
        <v>2025-12-07 23:05:35.177</v>
      </c>
      <c r="H807" t="s">
        <v>21</v>
      </c>
    </row>
    <row r="808" spans="1:10" x14ac:dyDescent="0.25">
      <c r="A808" s="1">
        <v>30</v>
      </c>
      <c r="B808" t="s">
        <v>26</v>
      </c>
      <c r="C808">
        <v>635</v>
      </c>
      <c r="D808">
        <v>1</v>
      </c>
      <c r="E808" t="s">
        <v>24</v>
      </c>
      <c r="F808" t="s">
        <v>25</v>
      </c>
      <c r="G808" t="str">
        <f>"2025-12-07 23:00:54.777"</f>
        <v>2025-12-07 23:00:54.777</v>
      </c>
      <c r="H808" t="s">
        <v>21</v>
      </c>
      <c r="I808">
        <v>4.28</v>
      </c>
      <c r="J808" t="s">
        <v>27</v>
      </c>
    </row>
    <row r="809" spans="1:10" x14ac:dyDescent="0.25">
      <c r="A809" s="1">
        <v>31</v>
      </c>
      <c r="B809" t="s">
        <v>23</v>
      </c>
      <c r="C809">
        <v>635</v>
      </c>
      <c r="D809">
        <v>1</v>
      </c>
      <c r="E809" t="s">
        <v>24</v>
      </c>
      <c r="F809" t="s">
        <v>25</v>
      </c>
      <c r="G809" t="str">
        <f>"2025-12-07 17:38:22.477"</f>
        <v>2025-12-07 17:38:22.477</v>
      </c>
      <c r="H809" t="s">
        <v>21</v>
      </c>
    </row>
    <row r="810" spans="1:10" x14ac:dyDescent="0.25">
      <c r="A810" s="1">
        <v>32</v>
      </c>
      <c r="B810" t="s">
        <v>26</v>
      </c>
      <c r="C810">
        <v>635</v>
      </c>
      <c r="D810">
        <v>1</v>
      </c>
      <c r="E810" t="s">
        <v>24</v>
      </c>
      <c r="F810" t="s">
        <v>25</v>
      </c>
      <c r="G810" t="str">
        <f>"2025-12-07 17:32:41.977"</f>
        <v>2025-12-07 17:32:41.977</v>
      </c>
      <c r="H810" t="s">
        <v>21</v>
      </c>
      <c r="I810">
        <v>0</v>
      </c>
      <c r="J810" t="s">
        <v>28</v>
      </c>
    </row>
    <row r="811" spans="1:10" s="3" customFormat="1" x14ac:dyDescent="0.25">
      <c r="A811" s="2">
        <v>33</v>
      </c>
      <c r="B811" s="3" t="s">
        <v>23</v>
      </c>
      <c r="C811" s="3">
        <v>647</v>
      </c>
      <c r="D811" s="3">
        <v>1</v>
      </c>
      <c r="E811" s="3" t="s">
        <v>29</v>
      </c>
      <c r="F811" s="3" t="s">
        <v>30</v>
      </c>
      <c r="G811" s="3" t="str">
        <f>"2025-12-07 09:11:51.677"</f>
        <v>2025-12-07 09:11:51.677</v>
      </c>
      <c r="H811" s="3" t="s">
        <v>21</v>
      </c>
    </row>
    <row r="812" spans="1:10" s="3" customFormat="1" x14ac:dyDescent="0.25">
      <c r="A812" s="2">
        <v>34</v>
      </c>
      <c r="B812" s="3" t="s">
        <v>26</v>
      </c>
      <c r="C812" s="3">
        <v>647</v>
      </c>
      <c r="D812" s="3">
        <v>1</v>
      </c>
      <c r="E812" s="3" t="s">
        <v>29</v>
      </c>
      <c r="F812" s="3" t="s">
        <v>30</v>
      </c>
      <c r="G812" s="3" t="str">
        <f>"2025-12-07 09:11:46.778"</f>
        <v>2025-12-07 09:11:46.778</v>
      </c>
      <c r="H812" s="3" t="s">
        <v>21</v>
      </c>
      <c r="I812" s="3">
        <v>8.9600000000000009</v>
      </c>
      <c r="J812" s="3" t="s">
        <v>31</v>
      </c>
    </row>
    <row r="813" spans="1:10" x14ac:dyDescent="0.25">
      <c r="A813" s="1">
        <v>35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"2025-12-06 15:24:55.018"</f>
        <v>2025-12-06 15:24:55.018</v>
      </c>
      <c r="H813" t="s">
        <v>21</v>
      </c>
      <c r="I813">
        <v>0</v>
      </c>
      <c r="J813" t="s">
        <v>22</v>
      </c>
    </row>
    <row r="814" spans="1:10" x14ac:dyDescent="0.25">
      <c r="A814" s="1">
        <v>36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"2025-12-05 09:11:38.851"</f>
        <v>2025-12-05 09:11:38.851</v>
      </c>
      <c r="H814" t="s">
        <v>21</v>
      </c>
      <c r="I814">
        <v>0</v>
      </c>
      <c r="J814" t="s">
        <v>22</v>
      </c>
    </row>
    <row r="815" spans="1:10" x14ac:dyDescent="0.25">
      <c r="A815" s="1">
        <v>37</v>
      </c>
      <c r="B815" t="s">
        <v>23</v>
      </c>
      <c r="C815">
        <v>635</v>
      </c>
      <c r="D815">
        <v>1</v>
      </c>
      <c r="E815" t="s">
        <v>24</v>
      </c>
      <c r="F815" t="s">
        <v>25</v>
      </c>
      <c r="G815" t="str">
        <f>"2025-12-04 06:19:04.053"</f>
        <v>2025-12-04 06:19:04.053</v>
      </c>
      <c r="H815" t="s">
        <v>21</v>
      </c>
    </row>
    <row r="816" spans="1:10" x14ac:dyDescent="0.25">
      <c r="A816" s="1">
        <v>38</v>
      </c>
      <c r="B816" t="s">
        <v>26</v>
      </c>
      <c r="C816">
        <v>635</v>
      </c>
      <c r="D816">
        <v>1</v>
      </c>
      <c r="E816" t="s">
        <v>24</v>
      </c>
      <c r="F816" t="s">
        <v>25</v>
      </c>
      <c r="G816" t="str">
        <f>"2025-12-04 06:15:35.053"</f>
        <v>2025-12-04 06:15:35.053</v>
      </c>
      <c r="H816" t="s">
        <v>21</v>
      </c>
      <c r="I816">
        <v>7.45</v>
      </c>
      <c r="J816" t="s">
        <v>27</v>
      </c>
    </row>
    <row r="817" spans="1:10" x14ac:dyDescent="0.25">
      <c r="A817" s="1">
        <v>39</v>
      </c>
      <c r="B817" t="s">
        <v>23</v>
      </c>
      <c r="C817">
        <v>61</v>
      </c>
      <c r="D817">
        <v>2</v>
      </c>
      <c r="E817" t="s">
        <v>41</v>
      </c>
      <c r="F817" t="s">
        <v>42</v>
      </c>
      <c r="G817" t="str">
        <f>"2025-12-03 18:55:39.886"</f>
        <v>2025-12-03 18:55:39.886</v>
      </c>
      <c r="H817" t="s">
        <v>21</v>
      </c>
    </row>
    <row r="818" spans="1:10" x14ac:dyDescent="0.25">
      <c r="A818" s="1">
        <v>40</v>
      </c>
      <c r="B818" t="s">
        <v>39</v>
      </c>
      <c r="C818">
        <v>61</v>
      </c>
      <c r="D818">
        <v>2</v>
      </c>
      <c r="E818" t="s">
        <v>41</v>
      </c>
      <c r="F818" t="s">
        <v>42</v>
      </c>
      <c r="G818" t="str">
        <f>"2025-12-03 18:55:27.986"</f>
        <v>2025-12-03 18:55:27.986</v>
      </c>
      <c r="H818" t="s">
        <v>21</v>
      </c>
      <c r="I818">
        <v>36.729999999999997</v>
      </c>
      <c r="J818" t="s">
        <v>31</v>
      </c>
    </row>
    <row r="819" spans="1:10" s="3" customFormat="1" x14ac:dyDescent="0.25">
      <c r="A819" s="2">
        <v>41</v>
      </c>
      <c r="B819" s="3" t="s">
        <v>23</v>
      </c>
      <c r="C819" s="3">
        <v>647</v>
      </c>
      <c r="D819" s="3">
        <v>1</v>
      </c>
      <c r="E819" s="3" t="s">
        <v>29</v>
      </c>
      <c r="F819" s="3" t="s">
        <v>30</v>
      </c>
      <c r="G819" s="3" t="str">
        <f>"2025-12-03 13:26:42.354"</f>
        <v>2025-12-03 13:26:42.354</v>
      </c>
      <c r="H819" s="3" t="s">
        <v>21</v>
      </c>
    </row>
    <row r="820" spans="1:10" s="3" customFormat="1" x14ac:dyDescent="0.25">
      <c r="A820" s="2">
        <v>42</v>
      </c>
      <c r="B820" s="3" t="s">
        <v>26</v>
      </c>
      <c r="C820" s="3">
        <v>647</v>
      </c>
      <c r="D820" s="3">
        <v>1</v>
      </c>
      <c r="E820" s="3" t="s">
        <v>29</v>
      </c>
      <c r="F820" s="3" t="s">
        <v>30</v>
      </c>
      <c r="G820" s="3" t="str">
        <f>"2025-12-03 13:26:40.854"</f>
        <v>2025-12-03 13:26:40.854</v>
      </c>
      <c r="H820" s="3" t="s">
        <v>21</v>
      </c>
      <c r="I820" s="3">
        <v>18.170000000000002</v>
      </c>
      <c r="J820" s="3" t="s">
        <v>31</v>
      </c>
    </row>
    <row r="821" spans="1:10" x14ac:dyDescent="0.25">
      <c r="A821" s="1">
        <v>43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"2025-12-03 11:28:56.824"</f>
        <v>2025-12-03 11:28:56.824</v>
      </c>
      <c r="H821" t="s">
        <v>21</v>
      </c>
      <c r="I821">
        <v>0</v>
      </c>
      <c r="J821" t="s">
        <v>22</v>
      </c>
    </row>
    <row r="822" spans="1:10" s="3" customFormat="1" x14ac:dyDescent="0.25">
      <c r="A822" s="2">
        <v>44</v>
      </c>
      <c r="B822" s="3" t="s">
        <v>23</v>
      </c>
      <c r="C822" s="3">
        <v>647</v>
      </c>
      <c r="D822" s="3">
        <v>1</v>
      </c>
      <c r="E822" s="3" t="s">
        <v>29</v>
      </c>
      <c r="F822" s="3" t="s">
        <v>30</v>
      </c>
      <c r="G822" s="3" t="str">
        <f>"2025-12-02 11:10:19.483"</f>
        <v>2025-12-02 11:10:19.483</v>
      </c>
      <c r="H822" s="3" t="s">
        <v>21</v>
      </c>
    </row>
    <row r="823" spans="1:10" s="3" customFormat="1" x14ac:dyDescent="0.25">
      <c r="A823" s="2">
        <v>45</v>
      </c>
      <c r="B823" s="3" t="s">
        <v>26</v>
      </c>
      <c r="C823" s="3">
        <v>647</v>
      </c>
      <c r="D823" s="3">
        <v>1</v>
      </c>
      <c r="E823" s="3" t="s">
        <v>29</v>
      </c>
      <c r="F823" s="3" t="s">
        <v>30</v>
      </c>
      <c r="G823" s="3" t="str">
        <f>"2025-12-02 11:10:13.384"</f>
        <v>2025-12-02 11:10:13.384</v>
      </c>
      <c r="H823" s="3" t="s">
        <v>21</v>
      </c>
      <c r="I823" s="3">
        <v>14.99</v>
      </c>
      <c r="J823" s="3" t="s">
        <v>31</v>
      </c>
    </row>
    <row r="824" spans="1:10" x14ac:dyDescent="0.25">
      <c r="A824" s="1">
        <v>46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"2025-12-02 01:40:12.825"</f>
        <v>2025-12-02 01:40:12.825</v>
      </c>
      <c r="H824" t="s">
        <v>21</v>
      </c>
    </row>
    <row r="825" spans="1:10" x14ac:dyDescent="0.25">
      <c r="A825" s="1">
        <v>47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"2025-12-01 20:38:31.682"</f>
        <v>2025-12-01 20:38:31.682</v>
      </c>
      <c r="H825" t="s">
        <v>21</v>
      </c>
    </row>
    <row r="826" spans="1:10" x14ac:dyDescent="0.25">
      <c r="A826" s="1">
        <v>48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"2025-12-01 20:33:58.182"</f>
        <v>2025-12-01 20:33:58.182</v>
      </c>
      <c r="H826" t="s">
        <v>21</v>
      </c>
      <c r="I826">
        <v>6.77</v>
      </c>
      <c r="J826" t="s">
        <v>27</v>
      </c>
    </row>
    <row r="827" spans="1:10" x14ac:dyDescent="0.25">
      <c r="A827" s="1">
        <v>49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"2025-12-01 14:55:00.983"</f>
        <v>2025-12-01 14:55:00.983</v>
      </c>
      <c r="H827" t="s">
        <v>21</v>
      </c>
    </row>
    <row r="828" spans="1:10" x14ac:dyDescent="0.25">
      <c r="A828" s="1">
        <v>50</v>
      </c>
      <c r="B828" t="s">
        <v>23</v>
      </c>
      <c r="C828">
        <v>635</v>
      </c>
      <c r="D828">
        <v>1</v>
      </c>
      <c r="E828" t="s">
        <v>24</v>
      </c>
      <c r="F828" t="s">
        <v>25</v>
      </c>
      <c r="G828" t="str">
        <f>"2025-11-30 22:31:42.720"</f>
        <v>2025-11-30 22:31:42.720</v>
      </c>
      <c r="H828" t="s">
        <v>21</v>
      </c>
    </row>
    <row r="829" spans="1:10" x14ac:dyDescent="0.25">
      <c r="A829" s="1">
        <v>51</v>
      </c>
      <c r="B829" t="s">
        <v>26</v>
      </c>
      <c r="C829">
        <v>635</v>
      </c>
      <c r="D829">
        <v>1</v>
      </c>
      <c r="E829" t="s">
        <v>24</v>
      </c>
      <c r="F829" t="s">
        <v>25</v>
      </c>
      <c r="G829" t="str">
        <f>"2025-11-30 22:28:59.221"</f>
        <v>2025-11-30 22:28:59.221</v>
      </c>
      <c r="H829" t="s">
        <v>21</v>
      </c>
      <c r="I829">
        <v>9.34</v>
      </c>
      <c r="J829" t="s">
        <v>31</v>
      </c>
    </row>
    <row r="830" spans="1:10" x14ac:dyDescent="0.25">
      <c r="A830" s="1">
        <v>52</v>
      </c>
      <c r="B830" t="s">
        <v>23</v>
      </c>
      <c r="C830">
        <v>61</v>
      </c>
      <c r="D830">
        <v>2</v>
      </c>
      <c r="E830" t="s">
        <v>41</v>
      </c>
      <c r="F830" t="s">
        <v>42</v>
      </c>
      <c r="G830" t="str">
        <f>"2025-11-30 12:05:50.781"</f>
        <v>2025-11-30 12:05:50.781</v>
      </c>
      <c r="H830" t="s">
        <v>21</v>
      </c>
    </row>
    <row r="831" spans="1:10" x14ac:dyDescent="0.25">
      <c r="A831" s="1">
        <v>53</v>
      </c>
      <c r="B831" t="s">
        <v>39</v>
      </c>
      <c r="C831">
        <v>61</v>
      </c>
      <c r="D831">
        <v>2</v>
      </c>
      <c r="E831" t="s">
        <v>41</v>
      </c>
      <c r="F831" t="s">
        <v>42</v>
      </c>
      <c r="G831" t="str">
        <f>"2025-11-30 12:05:41.481"</f>
        <v>2025-11-30 12:05:41.481</v>
      </c>
      <c r="H831" t="s">
        <v>21</v>
      </c>
      <c r="I831">
        <v>35.18</v>
      </c>
      <c r="J831" t="s">
        <v>31</v>
      </c>
    </row>
    <row r="832" spans="1:10" x14ac:dyDescent="0.25">
      <c r="A832" s="1">
        <v>54</v>
      </c>
      <c r="B832" t="s">
        <v>19</v>
      </c>
      <c r="C832">
        <v>706</v>
      </c>
      <c r="D832">
        <v>4</v>
      </c>
      <c r="E832" t="s">
        <v>32</v>
      </c>
      <c r="F832" t="s">
        <v>33</v>
      </c>
      <c r="G832" t="str">
        <f>"2025-11-29 22:04:31.850"</f>
        <v>2025-11-29 22:04:31.850</v>
      </c>
      <c r="H832" t="s">
        <v>21</v>
      </c>
      <c r="I832">
        <v>0</v>
      </c>
      <c r="J832" t="s">
        <v>34</v>
      </c>
    </row>
    <row r="833" spans="1:10" x14ac:dyDescent="0.25">
      <c r="A833" s="1">
        <v>55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"2025-11-29 22:04:05.810"</f>
        <v>2025-11-29 22:04:05.810</v>
      </c>
      <c r="H833" t="s">
        <v>21</v>
      </c>
      <c r="I833">
        <v>0</v>
      </c>
      <c r="J833" t="s">
        <v>22</v>
      </c>
    </row>
    <row r="834" spans="1:10" x14ac:dyDescent="0.25">
      <c r="A834" s="1">
        <v>56</v>
      </c>
      <c r="B834" t="s">
        <v>39</v>
      </c>
      <c r="C834">
        <v>630</v>
      </c>
      <c r="D834">
        <v>5</v>
      </c>
      <c r="E834" t="s">
        <v>36</v>
      </c>
      <c r="F834" t="s">
        <v>37</v>
      </c>
      <c r="G834" t="str">
        <f>"2025-11-29 21:41:41.578"</f>
        <v>2025-11-29 21:41:41.578</v>
      </c>
      <c r="H834" t="s">
        <v>38</v>
      </c>
      <c r="I834">
        <v>0</v>
      </c>
      <c r="J834" t="s">
        <v>34</v>
      </c>
    </row>
    <row r="835" spans="1:10" x14ac:dyDescent="0.25">
      <c r="A835" s="1">
        <v>57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"2025-11-29 21:36:38.827"</f>
        <v>2025-11-29 21:36:38.827</v>
      </c>
      <c r="H835" t="s">
        <v>21</v>
      </c>
      <c r="I835">
        <v>0</v>
      </c>
      <c r="J835" t="s">
        <v>22</v>
      </c>
    </row>
    <row r="836" spans="1:10" x14ac:dyDescent="0.25">
      <c r="A836" s="1">
        <v>58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"2025-11-29 19:46:09.830"</f>
        <v>2025-11-29 19:46:09.830</v>
      </c>
      <c r="H836" t="s">
        <v>21</v>
      </c>
    </row>
    <row r="837" spans="1:10" x14ac:dyDescent="0.25">
      <c r="A837" s="1">
        <v>59</v>
      </c>
      <c r="B837" t="s">
        <v>39</v>
      </c>
      <c r="C837">
        <v>630</v>
      </c>
      <c r="D837">
        <v>5</v>
      </c>
      <c r="E837" t="s">
        <v>36</v>
      </c>
      <c r="F837" t="s">
        <v>37</v>
      </c>
      <c r="G837" t="str">
        <f>"2025-11-29 18:40:31.452"</f>
        <v>2025-11-29 18:40:31.452</v>
      </c>
      <c r="H837" t="s">
        <v>38</v>
      </c>
      <c r="I837">
        <v>0</v>
      </c>
      <c r="J837" t="s">
        <v>34</v>
      </c>
    </row>
    <row r="838" spans="1:10" x14ac:dyDescent="0.25">
      <c r="A838" s="1">
        <v>60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"2025-11-29 18:35:28.820"</f>
        <v>2025-11-29 18:35:28.820</v>
      </c>
      <c r="H838" t="s">
        <v>21</v>
      </c>
      <c r="I838">
        <v>0</v>
      </c>
      <c r="J838" t="s">
        <v>22</v>
      </c>
    </row>
    <row r="839" spans="1:10" x14ac:dyDescent="0.25">
      <c r="A839" s="1">
        <v>61</v>
      </c>
      <c r="B839" t="s">
        <v>23</v>
      </c>
      <c r="C839">
        <v>630</v>
      </c>
      <c r="D839">
        <v>5</v>
      </c>
      <c r="E839" t="s">
        <v>36</v>
      </c>
      <c r="F839" t="s">
        <v>37</v>
      </c>
      <c r="G839" t="str">
        <f>"2025-11-29 18:08:32.925"</f>
        <v>2025-11-29 18:08:32.925</v>
      </c>
      <c r="H839" t="s">
        <v>38</v>
      </c>
    </row>
    <row r="840" spans="1:10" x14ac:dyDescent="0.25">
      <c r="A840" s="1">
        <v>62</v>
      </c>
      <c r="B840" t="s">
        <v>19</v>
      </c>
      <c r="C840">
        <v>706</v>
      </c>
      <c r="D840">
        <v>4</v>
      </c>
      <c r="E840" t="s">
        <v>32</v>
      </c>
      <c r="F840" t="s">
        <v>33</v>
      </c>
      <c r="G840" t="str">
        <f>"2025-11-29 18:08:02.847"</f>
        <v>2025-11-29 18:08:02.847</v>
      </c>
      <c r="H840" t="s">
        <v>21</v>
      </c>
      <c r="I840">
        <v>0</v>
      </c>
      <c r="J840" t="s">
        <v>34</v>
      </c>
    </row>
    <row r="841" spans="1:10" x14ac:dyDescent="0.25">
      <c r="A841" s="1">
        <v>63</v>
      </c>
      <c r="B841" t="s">
        <v>39</v>
      </c>
      <c r="C841">
        <v>630</v>
      </c>
      <c r="D841">
        <v>5</v>
      </c>
      <c r="E841" t="s">
        <v>36</v>
      </c>
      <c r="F841" t="s">
        <v>37</v>
      </c>
      <c r="G841" t="str">
        <f>"2025-11-29 17:55:57.526"</f>
        <v>2025-11-29 17:55:57.526</v>
      </c>
      <c r="H841" t="s">
        <v>38</v>
      </c>
      <c r="I841">
        <v>0</v>
      </c>
      <c r="J841" t="s">
        <v>34</v>
      </c>
    </row>
    <row r="842" spans="1:10" x14ac:dyDescent="0.25">
      <c r="A842" s="1">
        <v>64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"2025-11-29 17:50:54.847"</f>
        <v>2025-11-29 17:50:54.847</v>
      </c>
      <c r="H842" t="s">
        <v>21</v>
      </c>
      <c r="I842">
        <v>0</v>
      </c>
      <c r="J842" t="s">
        <v>22</v>
      </c>
    </row>
    <row r="843" spans="1:10" s="3" customFormat="1" x14ac:dyDescent="0.25">
      <c r="A843" s="2">
        <v>65</v>
      </c>
      <c r="B843" s="3" t="s">
        <v>23</v>
      </c>
      <c r="C843" s="3">
        <v>647</v>
      </c>
      <c r="D843" s="3">
        <v>1</v>
      </c>
      <c r="E843" s="3" t="s">
        <v>29</v>
      </c>
      <c r="F843" s="3" t="s">
        <v>30</v>
      </c>
      <c r="G843" s="3" t="str">
        <f>"2025-11-28 18:10:36.071"</f>
        <v>2025-11-28 18:10:36.071</v>
      </c>
      <c r="H843" s="3" t="s">
        <v>21</v>
      </c>
    </row>
    <row r="844" spans="1:10" s="3" customFormat="1" x14ac:dyDescent="0.25">
      <c r="A844" s="2">
        <v>66</v>
      </c>
      <c r="B844" s="3" t="s">
        <v>26</v>
      </c>
      <c r="C844" s="3">
        <v>647</v>
      </c>
      <c r="D844" s="3">
        <v>1</v>
      </c>
      <c r="E844" s="3" t="s">
        <v>29</v>
      </c>
      <c r="F844" s="3" t="s">
        <v>30</v>
      </c>
      <c r="G844" s="3" t="str">
        <f>"2025-11-28 18:10:34.772"</f>
        <v>2025-11-28 18:10:34.772</v>
      </c>
      <c r="H844" s="3" t="s">
        <v>21</v>
      </c>
      <c r="I844" s="3">
        <v>13.43</v>
      </c>
      <c r="J844" s="3" t="s">
        <v>31</v>
      </c>
    </row>
    <row r="845" spans="1:10" x14ac:dyDescent="0.25">
      <c r="A845" s="1">
        <v>67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"2025-11-28 14:36:05.813"</f>
        <v>2025-11-28 14:36:05.813</v>
      </c>
      <c r="H845" t="s">
        <v>21</v>
      </c>
      <c r="I845">
        <v>0</v>
      </c>
      <c r="J845" t="s">
        <v>22</v>
      </c>
    </row>
    <row r="846" spans="1:10" x14ac:dyDescent="0.25">
      <c r="A846" s="1">
        <v>68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"2025-11-25 09:03:00.837"</f>
        <v>2025-11-25 09:03:00.837</v>
      </c>
      <c r="H846" t="s">
        <v>21</v>
      </c>
      <c r="I846">
        <v>0</v>
      </c>
      <c r="J846" t="s">
        <v>22</v>
      </c>
    </row>
    <row r="847" spans="1:10" x14ac:dyDescent="0.25">
      <c r="A847" s="1">
        <v>69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"2025-11-24 08:48:16.046"</f>
        <v>2025-11-24 08:48:16.046</v>
      </c>
      <c r="H847" t="s">
        <v>21</v>
      </c>
      <c r="I847">
        <v>0</v>
      </c>
      <c r="J847" t="s">
        <v>22</v>
      </c>
    </row>
    <row r="848" spans="1:10" x14ac:dyDescent="0.25">
      <c r="A848" s="1">
        <v>70</v>
      </c>
      <c r="B848" t="s">
        <v>23</v>
      </c>
      <c r="C848">
        <v>635</v>
      </c>
      <c r="D848">
        <v>1</v>
      </c>
      <c r="E848" t="s">
        <v>24</v>
      </c>
      <c r="F848" t="s">
        <v>25</v>
      </c>
      <c r="G848" t="str">
        <f>"2025-11-23 14:55:58.735"</f>
        <v>2025-11-23 14:55:58.735</v>
      </c>
      <c r="H848" t="s">
        <v>21</v>
      </c>
    </row>
    <row r="849" spans="1:10" x14ac:dyDescent="0.25">
      <c r="A849" s="1">
        <v>71</v>
      </c>
      <c r="B849" t="s">
        <v>26</v>
      </c>
      <c r="C849">
        <v>635</v>
      </c>
      <c r="D849">
        <v>1</v>
      </c>
      <c r="E849" t="s">
        <v>24</v>
      </c>
      <c r="F849" t="s">
        <v>25</v>
      </c>
      <c r="G849" t="str">
        <f>"2025-11-23 14:52:08.235"</f>
        <v>2025-11-23 14:52:08.235</v>
      </c>
      <c r="H849" t="s">
        <v>21</v>
      </c>
      <c r="I849">
        <v>8.93</v>
      </c>
      <c r="J849" t="s">
        <v>31</v>
      </c>
    </row>
    <row r="850" spans="1:10" x14ac:dyDescent="0.25">
      <c r="A850" s="1">
        <v>72</v>
      </c>
      <c r="B850" t="s">
        <v>23</v>
      </c>
      <c r="C850">
        <v>635</v>
      </c>
      <c r="D850">
        <v>1</v>
      </c>
      <c r="E850" t="s">
        <v>24</v>
      </c>
      <c r="F850" t="s">
        <v>25</v>
      </c>
      <c r="G850" t="str">
        <f>"2025-11-22 17:38:36.235"</f>
        <v>2025-11-22 17:38:36.235</v>
      </c>
      <c r="H850" t="s">
        <v>21</v>
      </c>
    </row>
    <row r="851" spans="1:10" x14ac:dyDescent="0.25">
      <c r="A851" s="1">
        <v>73</v>
      </c>
      <c r="B851" t="s">
        <v>26</v>
      </c>
      <c r="C851">
        <v>635</v>
      </c>
      <c r="D851">
        <v>1</v>
      </c>
      <c r="E851" t="s">
        <v>24</v>
      </c>
      <c r="F851" t="s">
        <v>25</v>
      </c>
      <c r="G851" t="str">
        <f>"2025-11-22 17:33:05.235"</f>
        <v>2025-11-22 17:33:05.235</v>
      </c>
      <c r="H851" t="s">
        <v>21</v>
      </c>
      <c r="I851">
        <v>5.26</v>
      </c>
      <c r="J851" t="s">
        <v>31</v>
      </c>
    </row>
    <row r="852" spans="1:10" x14ac:dyDescent="0.25">
      <c r="A852" s="1">
        <v>74</v>
      </c>
      <c r="B852" t="s">
        <v>23</v>
      </c>
      <c r="C852">
        <v>635</v>
      </c>
      <c r="D852">
        <v>1</v>
      </c>
      <c r="E852" t="s">
        <v>24</v>
      </c>
      <c r="F852" t="s">
        <v>25</v>
      </c>
      <c r="G852" t="str">
        <f>"2025-11-22 12:09:17.435"</f>
        <v>2025-11-22 12:09:17.435</v>
      </c>
      <c r="H852" t="s">
        <v>21</v>
      </c>
    </row>
    <row r="853" spans="1:10" x14ac:dyDescent="0.25">
      <c r="A853" s="1">
        <v>75</v>
      </c>
      <c r="B853" t="s">
        <v>26</v>
      </c>
      <c r="C853">
        <v>635</v>
      </c>
      <c r="D853">
        <v>1</v>
      </c>
      <c r="E853" t="s">
        <v>24</v>
      </c>
      <c r="F853" t="s">
        <v>25</v>
      </c>
      <c r="G853" t="str">
        <f>"2025-11-22 12:05:30.435"</f>
        <v>2025-11-22 12:05:30.435</v>
      </c>
      <c r="H853" t="s">
        <v>21</v>
      </c>
      <c r="I853">
        <v>5.89</v>
      </c>
      <c r="J853" t="s">
        <v>27</v>
      </c>
    </row>
    <row r="854" spans="1:10" x14ac:dyDescent="0.25">
      <c r="A854" s="1">
        <v>76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"2025-11-20 08:23:39.826"</f>
        <v>2025-11-20 08:23:39.826</v>
      </c>
      <c r="H854" t="s">
        <v>21</v>
      </c>
      <c r="I854">
        <v>0</v>
      </c>
      <c r="J854" t="s">
        <v>22</v>
      </c>
    </row>
    <row r="855" spans="1:10" x14ac:dyDescent="0.25">
      <c r="A855" s="1">
        <v>77</v>
      </c>
      <c r="B855" t="s">
        <v>39</v>
      </c>
      <c r="C855">
        <v>30</v>
      </c>
      <c r="D855">
        <v>1</v>
      </c>
      <c r="E855" t="s">
        <v>65</v>
      </c>
      <c r="F855" t="s">
        <v>66</v>
      </c>
      <c r="G855" t="str">
        <f>"2025-11-20 08:20:48.649"</f>
        <v>2025-11-20 08:20:48.649</v>
      </c>
      <c r="H855" t="s">
        <v>38</v>
      </c>
      <c r="I855">
        <v>0</v>
      </c>
      <c r="J855" t="s">
        <v>34</v>
      </c>
    </row>
    <row r="856" spans="1:10" x14ac:dyDescent="0.25">
      <c r="A856" s="1">
        <v>78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"2025-11-20 08:20:36.999"</f>
        <v>2025-11-20 08:20:36.999</v>
      </c>
      <c r="H856" t="s">
        <v>21</v>
      </c>
      <c r="I856">
        <v>0</v>
      </c>
      <c r="J856" t="s">
        <v>22</v>
      </c>
    </row>
    <row r="857" spans="1:10" s="3" customFormat="1" x14ac:dyDescent="0.25">
      <c r="A857" s="2">
        <v>79</v>
      </c>
      <c r="B857" s="3" t="s">
        <v>23</v>
      </c>
      <c r="C857" s="3">
        <v>647</v>
      </c>
      <c r="D857" s="3">
        <v>1</v>
      </c>
      <c r="E857" s="3" t="s">
        <v>29</v>
      </c>
      <c r="F857" s="3" t="s">
        <v>30</v>
      </c>
      <c r="G857" s="3" t="str">
        <f>"2025-11-19 17:32:04.496"</f>
        <v>2025-11-19 17:32:04.496</v>
      </c>
      <c r="H857" s="3" t="s">
        <v>21</v>
      </c>
    </row>
    <row r="858" spans="1:10" s="3" customFormat="1" x14ac:dyDescent="0.25">
      <c r="A858" s="2">
        <v>80</v>
      </c>
      <c r="B858" s="3" t="s">
        <v>26</v>
      </c>
      <c r="C858" s="3">
        <v>647</v>
      </c>
      <c r="D858" s="3">
        <v>1</v>
      </c>
      <c r="E858" s="3" t="s">
        <v>29</v>
      </c>
      <c r="F858" s="3" t="s">
        <v>30</v>
      </c>
      <c r="G858" s="3" t="str">
        <f>"2025-11-19 17:32:00.696"</f>
        <v>2025-11-19 17:32:00.696</v>
      </c>
      <c r="H858" s="3" t="s">
        <v>21</v>
      </c>
      <c r="I858" s="3">
        <v>8.8699999999999992</v>
      </c>
      <c r="J858" s="3" t="s">
        <v>31</v>
      </c>
    </row>
    <row r="859" spans="1:10" x14ac:dyDescent="0.25">
      <c r="A859" s="1">
        <v>81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"2025-11-19 12:35:58.803"</f>
        <v>2025-11-19 12:35:58.803</v>
      </c>
      <c r="H859" t="s">
        <v>21</v>
      </c>
    </row>
    <row r="860" spans="1:10" x14ac:dyDescent="0.25">
      <c r="A860" s="1">
        <v>82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"2025-11-19 12:17:51.962"</f>
        <v>2025-11-19 12:17:51.962</v>
      </c>
      <c r="H860" t="s">
        <v>21</v>
      </c>
    </row>
    <row r="861" spans="1:10" x14ac:dyDescent="0.25">
      <c r="A861" s="1">
        <v>83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"2025-11-19 10:57:52.807"</f>
        <v>2025-11-19 10:57:52.807</v>
      </c>
      <c r="H861" t="s">
        <v>21</v>
      </c>
    </row>
    <row r="862" spans="1:10" x14ac:dyDescent="0.25">
      <c r="A862" s="1">
        <v>84</v>
      </c>
      <c r="B862" t="s">
        <v>23</v>
      </c>
      <c r="C862">
        <v>630</v>
      </c>
      <c r="D862">
        <v>5</v>
      </c>
      <c r="E862" t="s">
        <v>36</v>
      </c>
      <c r="F862" t="s">
        <v>37</v>
      </c>
      <c r="G862" t="str">
        <f>"2025-11-19 10:52:58.830"</f>
        <v>2025-11-19 10:52:58.830</v>
      </c>
      <c r="H862" t="s">
        <v>38</v>
      </c>
    </row>
    <row r="863" spans="1:10" x14ac:dyDescent="0.25">
      <c r="A863" s="1">
        <v>85</v>
      </c>
      <c r="B863" t="s">
        <v>19</v>
      </c>
      <c r="C863">
        <v>706</v>
      </c>
      <c r="D863">
        <v>2</v>
      </c>
      <c r="E863" t="s">
        <v>32</v>
      </c>
      <c r="F863" t="s">
        <v>35</v>
      </c>
      <c r="G863" t="str">
        <f>"2025-11-19 10:52:28.828"</f>
        <v>2025-11-19 10:52:28.828</v>
      </c>
      <c r="H863" t="s">
        <v>21</v>
      </c>
      <c r="I863">
        <v>0</v>
      </c>
      <c r="J863" t="s">
        <v>34</v>
      </c>
    </row>
    <row r="864" spans="1:10" x14ac:dyDescent="0.25">
      <c r="A864" s="1">
        <v>86</v>
      </c>
      <c r="B864" t="s">
        <v>39</v>
      </c>
      <c r="C864">
        <v>630</v>
      </c>
      <c r="D864">
        <v>5</v>
      </c>
      <c r="E864" t="s">
        <v>36</v>
      </c>
      <c r="F864" t="s">
        <v>37</v>
      </c>
      <c r="G864" t="str">
        <f>"2025-11-19 10:21:27.630"</f>
        <v>2025-11-19 10:21:27.630</v>
      </c>
      <c r="H864" t="s">
        <v>38</v>
      </c>
      <c r="I864">
        <v>0</v>
      </c>
      <c r="J864" t="s">
        <v>34</v>
      </c>
    </row>
    <row r="865" spans="1:10" x14ac:dyDescent="0.25">
      <c r="A865" s="1">
        <v>87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"2025-11-19 10:16:24.818"</f>
        <v>2025-11-19 10:16:24.818</v>
      </c>
      <c r="H865" t="s">
        <v>21</v>
      </c>
    </row>
    <row r="866" spans="1:10" x14ac:dyDescent="0.25">
      <c r="A866" s="1">
        <v>88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"2025-11-19 08:45:47.055"</f>
        <v>2025-11-19 08:45:47.055</v>
      </c>
      <c r="H866" t="s">
        <v>21</v>
      </c>
    </row>
    <row r="867" spans="1:10" x14ac:dyDescent="0.25">
      <c r="A867" s="1">
        <v>89</v>
      </c>
      <c r="B867" t="s">
        <v>23</v>
      </c>
      <c r="C867">
        <v>635</v>
      </c>
      <c r="D867">
        <v>1</v>
      </c>
      <c r="E867" t="s">
        <v>24</v>
      </c>
      <c r="F867" t="s">
        <v>25</v>
      </c>
      <c r="G867" t="str">
        <f>"2025-11-18 11:50:41.207"</f>
        <v>2025-11-18 11:50:41.207</v>
      </c>
      <c r="H867" t="s">
        <v>21</v>
      </c>
    </row>
    <row r="868" spans="1:10" x14ac:dyDescent="0.25">
      <c r="A868" s="1">
        <v>90</v>
      </c>
      <c r="B868" t="s">
        <v>26</v>
      </c>
      <c r="C868">
        <v>635</v>
      </c>
      <c r="D868">
        <v>1</v>
      </c>
      <c r="E868" t="s">
        <v>24</v>
      </c>
      <c r="F868" t="s">
        <v>25</v>
      </c>
      <c r="G868" t="str">
        <f>"2025-11-18 11:45:19.207"</f>
        <v>2025-11-18 11:45:19.207</v>
      </c>
      <c r="H868" t="s">
        <v>21</v>
      </c>
      <c r="I868">
        <v>2.16</v>
      </c>
      <c r="J868" t="s">
        <v>27</v>
      </c>
    </row>
    <row r="869" spans="1:10" x14ac:dyDescent="0.25">
      <c r="A869" s="1">
        <v>91</v>
      </c>
      <c r="B869" t="s">
        <v>23</v>
      </c>
      <c r="C869">
        <v>635</v>
      </c>
      <c r="D869">
        <v>1</v>
      </c>
      <c r="E869" t="s">
        <v>24</v>
      </c>
      <c r="F869" t="s">
        <v>25</v>
      </c>
      <c r="G869" t="str">
        <f>"2025-11-17 03:24:14.107"</f>
        <v>2025-11-17 03:24:14.107</v>
      </c>
      <c r="H869" t="s">
        <v>21</v>
      </c>
    </row>
    <row r="870" spans="1:10" x14ac:dyDescent="0.25">
      <c r="A870" s="1">
        <v>92</v>
      </c>
      <c r="B870" t="s">
        <v>26</v>
      </c>
      <c r="C870">
        <v>635</v>
      </c>
      <c r="D870">
        <v>1</v>
      </c>
      <c r="E870" t="s">
        <v>24</v>
      </c>
      <c r="F870" t="s">
        <v>25</v>
      </c>
      <c r="G870" t="str">
        <f>"2025-11-17 03:18:51.607"</f>
        <v>2025-11-17 03:18:51.607</v>
      </c>
      <c r="H870" t="s">
        <v>21</v>
      </c>
      <c r="I870">
        <v>2.09</v>
      </c>
      <c r="J870" t="s">
        <v>31</v>
      </c>
    </row>
    <row r="871" spans="1:10" x14ac:dyDescent="0.25">
      <c r="A871" s="1">
        <v>93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"2025-11-16 20:36:30.808"</f>
        <v>2025-11-16 20:36:30.808</v>
      </c>
      <c r="H871" t="s">
        <v>21</v>
      </c>
    </row>
    <row r="872" spans="1:10" x14ac:dyDescent="0.25">
      <c r="A872" s="1">
        <v>94</v>
      </c>
      <c r="B872" t="s">
        <v>23</v>
      </c>
      <c r="C872">
        <v>61</v>
      </c>
      <c r="D872">
        <v>2</v>
      </c>
      <c r="E872" t="s">
        <v>41</v>
      </c>
      <c r="F872" t="s">
        <v>42</v>
      </c>
      <c r="G872" t="str">
        <f>"2025-11-16 07:40:43.311"</f>
        <v>2025-11-16 07:40:43.311</v>
      </c>
      <c r="H872" t="s">
        <v>21</v>
      </c>
    </row>
    <row r="873" spans="1:10" x14ac:dyDescent="0.25">
      <c r="A873" s="1">
        <v>95</v>
      </c>
      <c r="B873" t="s">
        <v>39</v>
      </c>
      <c r="C873">
        <v>61</v>
      </c>
      <c r="D873">
        <v>2</v>
      </c>
      <c r="E873" t="s">
        <v>41</v>
      </c>
      <c r="F873" t="s">
        <v>42</v>
      </c>
      <c r="G873" t="str">
        <f>"2025-11-16 07:40:34.011"</f>
        <v>2025-11-16 07:40:34.011</v>
      </c>
      <c r="H873" t="s">
        <v>21</v>
      </c>
      <c r="I873">
        <v>35.24</v>
      </c>
      <c r="J873" t="s">
        <v>31</v>
      </c>
    </row>
    <row r="874" spans="1:10" x14ac:dyDescent="0.25">
      <c r="A874" s="1">
        <v>96</v>
      </c>
      <c r="B874" t="s">
        <v>23</v>
      </c>
      <c r="C874">
        <v>61</v>
      </c>
      <c r="D874">
        <v>2</v>
      </c>
      <c r="E874" t="s">
        <v>41</v>
      </c>
      <c r="F874" t="s">
        <v>42</v>
      </c>
      <c r="G874" t="str">
        <f>"2025-11-16 02:18:19.911"</f>
        <v>2025-11-16 02:18:19.911</v>
      </c>
      <c r="H874" t="s">
        <v>21</v>
      </c>
    </row>
    <row r="875" spans="1:10" x14ac:dyDescent="0.25">
      <c r="A875" s="1">
        <v>97</v>
      </c>
      <c r="B875" t="s">
        <v>39</v>
      </c>
      <c r="C875">
        <v>61</v>
      </c>
      <c r="D875">
        <v>2</v>
      </c>
      <c r="E875" t="s">
        <v>41</v>
      </c>
      <c r="F875" t="s">
        <v>42</v>
      </c>
      <c r="G875" t="str">
        <f>"2025-11-16 02:18:10.911"</f>
        <v>2025-11-16 02:18:10.911</v>
      </c>
      <c r="H875" t="s">
        <v>21</v>
      </c>
      <c r="I875">
        <v>36.159999999999997</v>
      </c>
      <c r="J875" t="s">
        <v>31</v>
      </c>
    </row>
    <row r="876" spans="1:10" x14ac:dyDescent="0.25">
      <c r="A876" s="1">
        <v>98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"2025-11-14 21:09:43.831"</f>
        <v>2025-11-14 21:09:43.831</v>
      </c>
      <c r="H876" t="s">
        <v>21</v>
      </c>
      <c r="I876">
        <v>0</v>
      </c>
      <c r="J876" t="s">
        <v>22</v>
      </c>
    </row>
    <row r="877" spans="1:10" x14ac:dyDescent="0.25">
      <c r="A877" s="1">
        <v>99</v>
      </c>
      <c r="B877" t="s">
        <v>23</v>
      </c>
      <c r="C877">
        <v>635</v>
      </c>
      <c r="D877">
        <v>1</v>
      </c>
      <c r="E877" t="s">
        <v>24</v>
      </c>
      <c r="F877" t="s">
        <v>25</v>
      </c>
      <c r="G877" t="str">
        <f>"2025-11-14 05:59:15.132"</f>
        <v>2025-11-14 05:59:15.132</v>
      </c>
      <c r="H877" t="s">
        <v>21</v>
      </c>
    </row>
    <row r="878" spans="1:10" x14ac:dyDescent="0.25">
      <c r="A878" s="1">
        <v>0</v>
      </c>
      <c r="B878" t="s">
        <v>26</v>
      </c>
      <c r="C878">
        <v>635</v>
      </c>
      <c r="D878">
        <v>1</v>
      </c>
      <c r="E878" t="s">
        <v>24</v>
      </c>
      <c r="F878" t="s">
        <v>25</v>
      </c>
      <c r="G878" t="str">
        <f>"2025-11-14 05:52:50.632"</f>
        <v>2025-11-14 05:52:50.632</v>
      </c>
      <c r="H878" t="s">
        <v>21</v>
      </c>
      <c r="I878">
        <v>2.08</v>
      </c>
      <c r="J878" t="s">
        <v>27</v>
      </c>
    </row>
    <row r="879" spans="1:10" x14ac:dyDescent="0.25">
      <c r="A879" s="1">
        <v>1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"2025-11-13 22:49:01.791"</f>
        <v>2025-11-13 22:49:01.791</v>
      </c>
      <c r="H879" t="s">
        <v>21</v>
      </c>
    </row>
    <row r="880" spans="1:10" x14ac:dyDescent="0.25">
      <c r="A880" s="1">
        <v>2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"2025-11-11 15:25:15.914"</f>
        <v>2025-11-11 15:25:15.914</v>
      </c>
      <c r="H880" t="s">
        <v>21</v>
      </c>
      <c r="I880">
        <v>0</v>
      </c>
      <c r="J880" t="s">
        <v>22</v>
      </c>
    </row>
    <row r="881" spans="1:10" s="3" customFormat="1" x14ac:dyDescent="0.25">
      <c r="A881" s="2">
        <v>3</v>
      </c>
      <c r="B881" s="3" t="s">
        <v>23</v>
      </c>
      <c r="C881" s="3">
        <v>647</v>
      </c>
      <c r="D881" s="3">
        <v>1</v>
      </c>
      <c r="E881" s="3" t="s">
        <v>29</v>
      </c>
      <c r="F881" s="3" t="s">
        <v>30</v>
      </c>
      <c r="G881" s="3" t="str">
        <f>"2025-11-11 03:36:19.529"</f>
        <v>2025-11-11 03:36:19.529</v>
      </c>
      <c r="H881" s="3" t="s">
        <v>21</v>
      </c>
    </row>
    <row r="882" spans="1:10" s="3" customFormat="1" x14ac:dyDescent="0.25">
      <c r="A882" s="2">
        <v>4</v>
      </c>
      <c r="B882" s="3" t="s">
        <v>26</v>
      </c>
      <c r="C882" s="3">
        <v>647</v>
      </c>
      <c r="D882" s="3">
        <v>1</v>
      </c>
      <c r="E882" s="3" t="s">
        <v>29</v>
      </c>
      <c r="F882" s="3" t="s">
        <v>30</v>
      </c>
      <c r="G882" s="3" t="str">
        <f>"2025-11-11 03:36:17.629"</f>
        <v>2025-11-11 03:36:17.629</v>
      </c>
      <c r="H882" s="3" t="s">
        <v>21</v>
      </c>
      <c r="I882" s="3">
        <v>9.14</v>
      </c>
      <c r="J882" s="3" t="s">
        <v>31</v>
      </c>
    </row>
    <row r="883" spans="1:10" x14ac:dyDescent="0.25">
      <c r="A883" s="1">
        <v>5</v>
      </c>
      <c r="B883" t="s">
        <v>23</v>
      </c>
      <c r="C883">
        <v>635</v>
      </c>
      <c r="D883">
        <v>1</v>
      </c>
      <c r="E883" t="s">
        <v>24</v>
      </c>
      <c r="F883" t="s">
        <v>25</v>
      </c>
      <c r="G883" t="str">
        <f>"2025-11-11 03:05:25.876"</f>
        <v>2025-11-11 03:05:25.876</v>
      </c>
      <c r="H883" t="s">
        <v>21</v>
      </c>
    </row>
    <row r="884" spans="1:10" x14ac:dyDescent="0.25">
      <c r="A884" s="1">
        <v>6</v>
      </c>
      <c r="B884" t="s">
        <v>26</v>
      </c>
      <c r="C884">
        <v>635</v>
      </c>
      <c r="D884">
        <v>1</v>
      </c>
      <c r="E884" t="s">
        <v>24</v>
      </c>
      <c r="F884" t="s">
        <v>25</v>
      </c>
      <c r="G884" t="str">
        <f>"2025-11-11 02:56:39.376"</f>
        <v>2025-11-11 02:56:39.376</v>
      </c>
      <c r="H884" t="s">
        <v>21</v>
      </c>
      <c r="I884">
        <v>2.0499999999999998</v>
      </c>
      <c r="J884" t="s">
        <v>27</v>
      </c>
    </row>
    <row r="885" spans="1:10" s="3" customFormat="1" x14ac:dyDescent="0.25">
      <c r="A885" s="2">
        <v>7</v>
      </c>
      <c r="B885" s="3" t="s">
        <v>23</v>
      </c>
      <c r="C885" s="3">
        <v>647</v>
      </c>
      <c r="D885" s="3">
        <v>1</v>
      </c>
      <c r="E885" s="3" t="s">
        <v>29</v>
      </c>
      <c r="F885" s="3" t="s">
        <v>30</v>
      </c>
      <c r="G885" s="3" t="str">
        <f>"2025-11-10 07:13:32.129"</f>
        <v>2025-11-10 07:13:32.129</v>
      </c>
      <c r="H885" s="3" t="s">
        <v>21</v>
      </c>
    </row>
    <row r="886" spans="1:10" s="3" customFormat="1" x14ac:dyDescent="0.25">
      <c r="A886" s="2">
        <v>8</v>
      </c>
      <c r="B886" s="3" t="s">
        <v>26</v>
      </c>
      <c r="C886" s="3">
        <v>647</v>
      </c>
      <c r="D886" s="3">
        <v>1</v>
      </c>
      <c r="E886" s="3" t="s">
        <v>29</v>
      </c>
      <c r="F886" s="3" t="s">
        <v>30</v>
      </c>
      <c r="G886" s="3" t="str">
        <f>"2025-11-10 07:13:24.229"</f>
        <v>2025-11-10 07:13:24.229</v>
      </c>
      <c r="H886" s="3" t="s">
        <v>21</v>
      </c>
      <c r="I886" s="3">
        <v>8.9700000000000006</v>
      </c>
      <c r="J886" s="3" t="s">
        <v>31</v>
      </c>
    </row>
    <row r="887" spans="1:10" x14ac:dyDescent="0.25">
      <c r="A887" s="1">
        <v>9</v>
      </c>
      <c r="B887" t="s">
        <v>23</v>
      </c>
      <c r="C887">
        <v>630</v>
      </c>
      <c r="D887">
        <v>5</v>
      </c>
      <c r="E887" t="s">
        <v>36</v>
      </c>
      <c r="F887" t="s">
        <v>37</v>
      </c>
      <c r="G887" t="str">
        <f>"2025-11-10 05:30:45.928"</f>
        <v>2025-11-10 05:30:45.928</v>
      </c>
      <c r="H887" t="s">
        <v>38</v>
      </c>
    </row>
    <row r="888" spans="1:10" x14ac:dyDescent="0.25">
      <c r="A888" s="1">
        <v>10</v>
      </c>
      <c r="B888" t="s">
        <v>19</v>
      </c>
      <c r="C888">
        <v>706</v>
      </c>
      <c r="D888">
        <v>2</v>
      </c>
      <c r="E888" t="s">
        <v>32</v>
      </c>
      <c r="F888" t="s">
        <v>35</v>
      </c>
      <c r="G888" t="str">
        <f>"2025-11-10 05:30:15.835"</f>
        <v>2025-11-10 05:30:15.835</v>
      </c>
      <c r="H888" t="s">
        <v>21</v>
      </c>
      <c r="I888">
        <v>0</v>
      </c>
      <c r="J888" t="s">
        <v>34</v>
      </c>
    </row>
    <row r="889" spans="1:10" x14ac:dyDescent="0.25">
      <c r="A889" s="1">
        <v>11</v>
      </c>
      <c r="B889" t="s">
        <v>39</v>
      </c>
      <c r="C889">
        <v>630</v>
      </c>
      <c r="D889">
        <v>5</v>
      </c>
      <c r="E889" t="s">
        <v>36</v>
      </c>
      <c r="F889" t="s">
        <v>37</v>
      </c>
      <c r="G889" t="str">
        <f>"2025-11-10 04:11:30.429"</f>
        <v>2025-11-10 04:11:30.429</v>
      </c>
      <c r="H889" t="s">
        <v>38</v>
      </c>
      <c r="I889">
        <v>0</v>
      </c>
      <c r="J889" t="s">
        <v>34</v>
      </c>
    </row>
    <row r="890" spans="1:10" x14ac:dyDescent="0.25">
      <c r="A890" s="1">
        <v>12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"2025-11-10 04:06:27.795"</f>
        <v>2025-11-10 04:06:27.795</v>
      </c>
      <c r="H890" t="s">
        <v>21</v>
      </c>
      <c r="I890">
        <v>0</v>
      </c>
      <c r="J890" t="s">
        <v>22</v>
      </c>
    </row>
    <row r="891" spans="1:10" x14ac:dyDescent="0.25">
      <c r="A891" s="1">
        <v>13</v>
      </c>
      <c r="B891" t="s">
        <v>39</v>
      </c>
      <c r="C891">
        <v>630</v>
      </c>
      <c r="D891">
        <v>5</v>
      </c>
      <c r="E891" t="s">
        <v>36</v>
      </c>
      <c r="F891" t="s">
        <v>37</v>
      </c>
      <c r="G891" t="str">
        <f>"2025-11-10 03:43:59.541"</f>
        <v>2025-11-10 03:43:59.541</v>
      </c>
      <c r="H891" t="s">
        <v>38</v>
      </c>
      <c r="I891">
        <v>0</v>
      </c>
      <c r="J891" t="s">
        <v>34</v>
      </c>
    </row>
    <row r="892" spans="1:10" x14ac:dyDescent="0.25">
      <c r="A892" s="1">
        <v>14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"2025-11-10 03:38:56.787"</f>
        <v>2025-11-10 03:38:56.787</v>
      </c>
      <c r="H892" t="s">
        <v>21</v>
      </c>
      <c r="I892">
        <v>0</v>
      </c>
      <c r="J892" t="s">
        <v>22</v>
      </c>
    </row>
    <row r="893" spans="1:10" x14ac:dyDescent="0.25">
      <c r="A893" s="1">
        <v>15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"2025-11-10 03:34:45.893"</f>
        <v>2025-11-10 03:34:45.893</v>
      </c>
      <c r="H893" t="s">
        <v>21</v>
      </c>
    </row>
    <row r="894" spans="1:10" x14ac:dyDescent="0.25">
      <c r="A894" s="1">
        <v>16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"2025-11-09 01:39:25.785"</f>
        <v>2025-11-09 01:39:25.785</v>
      </c>
      <c r="H894" t="s">
        <v>21</v>
      </c>
      <c r="I894">
        <v>0</v>
      </c>
      <c r="J894" t="s">
        <v>22</v>
      </c>
    </row>
    <row r="895" spans="1:10" x14ac:dyDescent="0.25">
      <c r="A895" s="1">
        <v>17</v>
      </c>
      <c r="B895" t="s">
        <v>23</v>
      </c>
      <c r="C895">
        <v>630</v>
      </c>
      <c r="D895">
        <v>5</v>
      </c>
      <c r="E895" t="s">
        <v>36</v>
      </c>
      <c r="F895" t="s">
        <v>37</v>
      </c>
      <c r="G895" t="str">
        <f>"2025-11-09 01:34:20.915"</f>
        <v>2025-11-09 01:34:20.915</v>
      </c>
      <c r="H895" t="s">
        <v>38</v>
      </c>
    </row>
    <row r="896" spans="1:10" x14ac:dyDescent="0.25">
      <c r="A896" s="1">
        <v>18</v>
      </c>
      <c r="B896" t="s">
        <v>19</v>
      </c>
      <c r="C896">
        <v>706</v>
      </c>
      <c r="D896">
        <v>4</v>
      </c>
      <c r="E896" t="s">
        <v>32</v>
      </c>
      <c r="F896" t="s">
        <v>33</v>
      </c>
      <c r="G896" t="str">
        <f>"2025-11-09 01:33:50.833"</f>
        <v>2025-11-09 01:33:50.833</v>
      </c>
      <c r="H896" t="s">
        <v>21</v>
      </c>
      <c r="I896">
        <v>0</v>
      </c>
      <c r="J896" t="s">
        <v>34</v>
      </c>
    </row>
    <row r="897" spans="1:10" x14ac:dyDescent="0.25">
      <c r="A897" s="1">
        <v>19</v>
      </c>
      <c r="B897" t="s">
        <v>19</v>
      </c>
      <c r="C897">
        <v>706</v>
      </c>
      <c r="D897">
        <v>4</v>
      </c>
      <c r="E897" t="s">
        <v>32</v>
      </c>
      <c r="F897" t="s">
        <v>33</v>
      </c>
      <c r="G897" t="str">
        <f>"2025-11-09 01:33:32.033"</f>
        <v>2025-11-09 01:33:32.033</v>
      </c>
      <c r="H897" t="s">
        <v>21</v>
      </c>
      <c r="I897">
        <v>0</v>
      </c>
      <c r="J897" t="s">
        <v>34</v>
      </c>
    </row>
    <row r="898" spans="1:10" x14ac:dyDescent="0.25">
      <c r="A898" s="1">
        <v>20</v>
      </c>
      <c r="B898" t="s">
        <v>39</v>
      </c>
      <c r="C898">
        <v>630</v>
      </c>
      <c r="D898">
        <v>5</v>
      </c>
      <c r="E898" t="s">
        <v>36</v>
      </c>
      <c r="F898" t="s">
        <v>37</v>
      </c>
      <c r="G898" t="str">
        <f>"2025-11-09 01:31:20.615"</f>
        <v>2025-11-09 01:31:20.615</v>
      </c>
      <c r="H898" t="s">
        <v>38</v>
      </c>
      <c r="I898">
        <v>0</v>
      </c>
      <c r="J898" t="s">
        <v>34</v>
      </c>
    </row>
    <row r="899" spans="1:10" x14ac:dyDescent="0.25">
      <c r="A899" s="1">
        <v>21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"2025-11-09 01:26:17.783"</f>
        <v>2025-11-09 01:26:17.783</v>
      </c>
      <c r="H899" t="s">
        <v>21</v>
      </c>
    </row>
    <row r="900" spans="1:10" x14ac:dyDescent="0.25">
      <c r="A900" s="1">
        <v>22</v>
      </c>
      <c r="B900" t="s">
        <v>39</v>
      </c>
      <c r="C900">
        <v>630</v>
      </c>
      <c r="D900">
        <v>5</v>
      </c>
      <c r="E900" t="s">
        <v>36</v>
      </c>
      <c r="F900" t="s">
        <v>37</v>
      </c>
      <c r="G900" t="str">
        <f>"2025-11-08 22:33:25.495"</f>
        <v>2025-11-08 22:33:25.495</v>
      </c>
      <c r="H900" t="s">
        <v>38</v>
      </c>
      <c r="I900">
        <v>0</v>
      </c>
      <c r="J900" t="s">
        <v>34</v>
      </c>
    </row>
    <row r="901" spans="1:10" x14ac:dyDescent="0.25">
      <c r="A901" s="1">
        <v>23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"2025-11-08 22:28:22.815"</f>
        <v>2025-11-08 22:28:22.815</v>
      </c>
      <c r="H901" t="s">
        <v>21</v>
      </c>
      <c r="I901">
        <v>0</v>
      </c>
      <c r="J901" t="s">
        <v>22</v>
      </c>
    </row>
    <row r="902" spans="1:10" x14ac:dyDescent="0.25">
      <c r="A902" s="1">
        <v>24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"2025-11-08 01:52:01.790"</f>
        <v>2025-11-08 01:52:01.790</v>
      </c>
      <c r="H902" t="s">
        <v>21</v>
      </c>
      <c r="I902">
        <v>0</v>
      </c>
      <c r="J902" t="s">
        <v>22</v>
      </c>
    </row>
    <row r="903" spans="1:10" x14ac:dyDescent="0.25">
      <c r="A903" s="1">
        <v>25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"2025-11-05 20:18:00.920"</f>
        <v>2025-11-05 20:18:00.920</v>
      </c>
      <c r="H903" t="s">
        <v>21</v>
      </c>
    </row>
    <row r="904" spans="1:10" x14ac:dyDescent="0.25">
      <c r="A904" s="1">
        <v>26</v>
      </c>
      <c r="B904" t="s">
        <v>23</v>
      </c>
      <c r="C904">
        <v>635</v>
      </c>
      <c r="D904">
        <v>1</v>
      </c>
      <c r="E904" t="s">
        <v>24</v>
      </c>
      <c r="F904" t="s">
        <v>25</v>
      </c>
      <c r="G904" t="str">
        <f>"2025-11-04 18:34:17.041"</f>
        <v>2025-11-04 18:34:17.041</v>
      </c>
      <c r="H904" t="s">
        <v>21</v>
      </c>
    </row>
    <row r="905" spans="1:10" x14ac:dyDescent="0.25">
      <c r="A905" s="1">
        <v>27</v>
      </c>
      <c r="B905" t="s">
        <v>26</v>
      </c>
      <c r="C905">
        <v>635</v>
      </c>
      <c r="D905">
        <v>1</v>
      </c>
      <c r="E905" t="s">
        <v>24</v>
      </c>
      <c r="F905" t="s">
        <v>25</v>
      </c>
      <c r="G905" t="str">
        <f>"2025-11-04 18:30:43.041"</f>
        <v>2025-11-04 18:30:43.041</v>
      </c>
      <c r="H905" t="s">
        <v>21</v>
      </c>
      <c r="I905">
        <v>1.48</v>
      </c>
      <c r="J905" t="s">
        <v>31</v>
      </c>
    </row>
    <row r="906" spans="1:10" x14ac:dyDescent="0.25">
      <c r="A906" s="1">
        <v>28</v>
      </c>
      <c r="B906" t="s">
        <v>23</v>
      </c>
      <c r="C906">
        <v>61</v>
      </c>
      <c r="D906">
        <v>2</v>
      </c>
      <c r="E906" t="s">
        <v>41</v>
      </c>
      <c r="F906" t="s">
        <v>42</v>
      </c>
      <c r="G906" t="str">
        <f>"2025-11-03 22:08:01.042"</f>
        <v>2025-11-03 22:08:01.042</v>
      </c>
      <c r="H906" t="s">
        <v>21</v>
      </c>
    </row>
    <row r="907" spans="1:10" x14ac:dyDescent="0.25">
      <c r="A907" s="1">
        <v>29</v>
      </c>
      <c r="B907" t="s">
        <v>39</v>
      </c>
      <c r="C907">
        <v>61</v>
      </c>
      <c r="D907">
        <v>2</v>
      </c>
      <c r="E907" t="s">
        <v>41</v>
      </c>
      <c r="F907" t="s">
        <v>42</v>
      </c>
      <c r="G907" t="str">
        <f>"2025-11-03 22:07:53.042"</f>
        <v>2025-11-03 22:07:53.042</v>
      </c>
      <c r="H907" t="s">
        <v>21</v>
      </c>
      <c r="I907">
        <v>35.99</v>
      </c>
      <c r="J907" t="s">
        <v>31</v>
      </c>
    </row>
    <row r="908" spans="1:10" x14ac:dyDescent="0.25">
      <c r="A908" s="1">
        <v>30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"2025-11-03 21:53:43.857"</f>
        <v>2025-11-03 21:53:43.857</v>
      </c>
      <c r="H908" t="s">
        <v>21</v>
      </c>
      <c r="I908">
        <v>0</v>
      </c>
      <c r="J908" t="s">
        <v>22</v>
      </c>
    </row>
    <row r="909" spans="1:10" x14ac:dyDescent="0.25">
      <c r="A909" s="1">
        <v>31</v>
      </c>
      <c r="B909" t="s">
        <v>23</v>
      </c>
      <c r="C909">
        <v>635</v>
      </c>
      <c r="D909">
        <v>1</v>
      </c>
      <c r="E909" t="s">
        <v>24</v>
      </c>
      <c r="F909" t="s">
        <v>25</v>
      </c>
      <c r="G909" t="str">
        <f>"2025-11-03 17:47:32.637"</f>
        <v>2025-11-03 17:47:32.637</v>
      </c>
      <c r="H909" t="s">
        <v>21</v>
      </c>
    </row>
    <row r="910" spans="1:10" x14ac:dyDescent="0.25">
      <c r="A910" s="1">
        <v>32</v>
      </c>
      <c r="B910" t="s">
        <v>26</v>
      </c>
      <c r="C910">
        <v>635</v>
      </c>
      <c r="D910">
        <v>1</v>
      </c>
      <c r="E910" t="s">
        <v>24</v>
      </c>
      <c r="F910" t="s">
        <v>25</v>
      </c>
      <c r="G910" t="str">
        <f>"2025-11-03 17:42:28.137"</f>
        <v>2025-11-03 17:42:28.137</v>
      </c>
      <c r="H910" t="s">
        <v>21</v>
      </c>
      <c r="I910">
        <v>2.33</v>
      </c>
      <c r="J910" t="s">
        <v>27</v>
      </c>
    </row>
    <row r="911" spans="1:10" x14ac:dyDescent="0.25">
      <c r="A911" s="1">
        <v>33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"2025-11-03 11:46:22.819"</f>
        <v>2025-11-03 11:46:22.819</v>
      </c>
      <c r="H911" t="s">
        <v>21</v>
      </c>
      <c r="I911">
        <v>0</v>
      </c>
      <c r="J911" t="s">
        <v>22</v>
      </c>
    </row>
    <row r="912" spans="1:10" x14ac:dyDescent="0.25">
      <c r="A912" s="1">
        <v>34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"2025-11-02 20:15:17.810"</f>
        <v>2025-11-02 20:15:17.810</v>
      </c>
      <c r="H912" t="s">
        <v>21</v>
      </c>
      <c r="I912">
        <v>0</v>
      </c>
      <c r="J912" t="s">
        <v>22</v>
      </c>
    </row>
    <row r="913" spans="1:10" x14ac:dyDescent="0.25">
      <c r="A913" s="1">
        <v>35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"2025-11-01 20:58:08.809"</f>
        <v>2025-11-01 20:58:08.809</v>
      </c>
      <c r="H913" t="s">
        <v>21</v>
      </c>
      <c r="I913">
        <v>0</v>
      </c>
      <c r="J913" t="s">
        <v>22</v>
      </c>
    </row>
    <row r="914" spans="1:10" s="3" customFormat="1" x14ac:dyDescent="0.25">
      <c r="A914" s="2">
        <v>36</v>
      </c>
      <c r="B914" s="3" t="s">
        <v>23</v>
      </c>
      <c r="C914" s="3">
        <v>647</v>
      </c>
      <c r="D914" s="3">
        <v>1</v>
      </c>
      <c r="E914" s="3" t="s">
        <v>29</v>
      </c>
      <c r="F914" s="3" t="s">
        <v>30</v>
      </c>
      <c r="G914" s="3" t="str">
        <f>"2025-11-01 07:36:24.869"</f>
        <v>2025-11-01 07:36:24.869</v>
      </c>
      <c r="H914" s="3" t="s">
        <v>21</v>
      </c>
    </row>
    <row r="915" spans="1:10" s="3" customFormat="1" x14ac:dyDescent="0.25">
      <c r="A915" s="2">
        <v>37</v>
      </c>
      <c r="B915" s="3" t="s">
        <v>26</v>
      </c>
      <c r="C915" s="3">
        <v>647</v>
      </c>
      <c r="D915" s="3">
        <v>1</v>
      </c>
      <c r="E915" s="3" t="s">
        <v>29</v>
      </c>
      <c r="F915" s="3" t="s">
        <v>30</v>
      </c>
      <c r="G915" s="3" t="str">
        <f>"2025-11-01 07:36:21.769"</f>
        <v>2025-11-01 07:36:21.769</v>
      </c>
      <c r="H915" s="3" t="s">
        <v>21</v>
      </c>
      <c r="I915" s="3">
        <v>15.62</v>
      </c>
      <c r="J915" s="3" t="s">
        <v>31</v>
      </c>
    </row>
    <row r="916" spans="1:10" s="3" customFormat="1" x14ac:dyDescent="0.25">
      <c r="A916" s="2">
        <v>38</v>
      </c>
      <c r="B916" s="3" t="s">
        <v>23</v>
      </c>
      <c r="C916" s="3">
        <v>647</v>
      </c>
      <c r="D916" s="3">
        <v>1</v>
      </c>
      <c r="E916" s="3" t="s">
        <v>29</v>
      </c>
      <c r="F916" s="3" t="s">
        <v>30</v>
      </c>
      <c r="G916" s="3" t="str">
        <f>"2025-11-01 03:59:42.369"</f>
        <v>2025-11-01 03:59:42.369</v>
      </c>
      <c r="H916" s="3" t="s">
        <v>21</v>
      </c>
    </row>
    <row r="917" spans="1:10" s="3" customFormat="1" x14ac:dyDescent="0.25">
      <c r="A917" s="2">
        <v>39</v>
      </c>
      <c r="B917" s="3" t="s">
        <v>26</v>
      </c>
      <c r="C917" s="3">
        <v>647</v>
      </c>
      <c r="D917" s="3">
        <v>1</v>
      </c>
      <c r="E917" s="3" t="s">
        <v>29</v>
      </c>
      <c r="F917" s="3" t="s">
        <v>30</v>
      </c>
      <c r="G917" s="3" t="str">
        <f>"2025-11-01 03:59:40.470"</f>
        <v>2025-11-01 03:59:40.470</v>
      </c>
      <c r="H917" s="3" t="s">
        <v>21</v>
      </c>
      <c r="I917" s="3">
        <v>16.66</v>
      </c>
      <c r="J917" s="3" t="s">
        <v>31</v>
      </c>
    </row>
    <row r="918" spans="1:10" x14ac:dyDescent="0.25">
      <c r="A918" s="1">
        <v>40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"2025-10-31 21:18:50.892"</f>
        <v>2025-10-31 21:18:50.892</v>
      </c>
      <c r="H918" t="s">
        <v>21</v>
      </c>
      <c r="I918">
        <v>0</v>
      </c>
      <c r="J918" t="s">
        <v>22</v>
      </c>
    </row>
    <row r="919" spans="1:10" x14ac:dyDescent="0.25">
      <c r="A919" s="1">
        <v>41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"2025-10-29 05:30:37.969"</f>
        <v>2025-10-29 05:30:37.969</v>
      </c>
      <c r="H919" t="s">
        <v>21</v>
      </c>
    </row>
    <row r="920" spans="1:10" x14ac:dyDescent="0.25">
      <c r="A920" s="1">
        <v>42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"2025-10-29 05:20:35.828"</f>
        <v>2025-10-29 05:20:35.828</v>
      </c>
      <c r="H920" t="s">
        <v>21</v>
      </c>
      <c r="I920">
        <v>0</v>
      </c>
      <c r="J920" t="s">
        <v>22</v>
      </c>
    </row>
    <row r="921" spans="1:10" x14ac:dyDescent="0.25">
      <c r="A921" s="1">
        <v>43</v>
      </c>
      <c r="B921" t="s">
        <v>19</v>
      </c>
      <c r="C921">
        <v>706</v>
      </c>
      <c r="D921">
        <v>2</v>
      </c>
      <c r="E921" t="s">
        <v>32</v>
      </c>
      <c r="F921" t="s">
        <v>35</v>
      </c>
      <c r="G921" t="str">
        <f>"2025-10-29 05:15:42.666"</f>
        <v>2025-10-29 05:15:42.666</v>
      </c>
      <c r="H921" t="s">
        <v>21</v>
      </c>
      <c r="I921">
        <v>0</v>
      </c>
      <c r="J921" t="s">
        <v>34</v>
      </c>
    </row>
    <row r="922" spans="1:10" x14ac:dyDescent="0.25">
      <c r="A922" s="1">
        <v>44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"2025-10-29 05:12:02.786"</f>
        <v>2025-10-29 05:12:02.786</v>
      </c>
      <c r="H922" t="s">
        <v>21</v>
      </c>
      <c r="I922">
        <v>0</v>
      </c>
      <c r="J922" t="s">
        <v>22</v>
      </c>
    </row>
    <row r="923" spans="1:10" x14ac:dyDescent="0.25">
      <c r="A923" s="1">
        <v>45</v>
      </c>
      <c r="B923" t="s">
        <v>39</v>
      </c>
      <c r="C923">
        <v>630</v>
      </c>
      <c r="D923">
        <v>5</v>
      </c>
      <c r="E923" t="s">
        <v>36</v>
      </c>
      <c r="F923" t="s">
        <v>37</v>
      </c>
      <c r="G923" t="str">
        <f>"2025-10-29 05:02:08.626"</f>
        <v>2025-10-29 05:02:08.626</v>
      </c>
      <c r="H923" t="s">
        <v>38</v>
      </c>
      <c r="I923">
        <v>0</v>
      </c>
      <c r="J923" t="s">
        <v>34</v>
      </c>
    </row>
    <row r="924" spans="1:10" x14ac:dyDescent="0.25">
      <c r="A924" s="1">
        <v>46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"2025-10-29 04:57:05.789"</f>
        <v>2025-10-29 04:57:05.789</v>
      </c>
      <c r="H924" t="s">
        <v>21</v>
      </c>
      <c r="I924">
        <v>0</v>
      </c>
      <c r="J924" t="s">
        <v>22</v>
      </c>
    </row>
    <row r="925" spans="1:10" x14ac:dyDescent="0.25">
      <c r="A925" s="1">
        <v>47</v>
      </c>
      <c r="B925" t="s">
        <v>39</v>
      </c>
      <c r="C925">
        <v>630</v>
      </c>
      <c r="D925">
        <v>5</v>
      </c>
      <c r="E925" t="s">
        <v>36</v>
      </c>
      <c r="F925" t="s">
        <v>37</v>
      </c>
      <c r="G925" t="str">
        <f>"2025-10-29 02:53:51.585"</f>
        <v>2025-10-29 02:53:51.585</v>
      </c>
      <c r="H925" t="s">
        <v>38</v>
      </c>
      <c r="I925">
        <v>0</v>
      </c>
      <c r="J925" t="s">
        <v>34</v>
      </c>
    </row>
    <row r="926" spans="1:10" x14ac:dyDescent="0.25">
      <c r="A926" s="1">
        <v>48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"2025-10-29 02:48:48.807"</f>
        <v>2025-10-29 02:48:48.807</v>
      </c>
      <c r="H926" t="s">
        <v>21</v>
      </c>
      <c r="I926">
        <v>0</v>
      </c>
      <c r="J926" t="s">
        <v>22</v>
      </c>
    </row>
    <row r="927" spans="1:10" x14ac:dyDescent="0.25">
      <c r="A927" s="1">
        <v>49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"2025-10-28 21:14:28.782"</f>
        <v>2025-10-28 21:14:28.782</v>
      </c>
      <c r="H927" t="s">
        <v>21</v>
      </c>
    </row>
    <row r="928" spans="1:10" x14ac:dyDescent="0.25">
      <c r="A928" s="1">
        <v>50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"2025-10-27 22:04:57.974"</f>
        <v>2025-10-27 22:04:57.974</v>
      </c>
      <c r="H928" t="s">
        <v>21</v>
      </c>
      <c r="I928">
        <v>0</v>
      </c>
      <c r="J928" t="s">
        <v>22</v>
      </c>
    </row>
    <row r="929" spans="1:10" s="3" customFormat="1" x14ac:dyDescent="0.25">
      <c r="A929" s="2">
        <v>51</v>
      </c>
      <c r="B929" s="3" t="s">
        <v>23</v>
      </c>
      <c r="C929" s="3">
        <v>647</v>
      </c>
      <c r="D929" s="3">
        <v>1</v>
      </c>
      <c r="E929" s="3" t="s">
        <v>29</v>
      </c>
      <c r="F929" s="3" t="s">
        <v>30</v>
      </c>
      <c r="G929" s="3" t="str">
        <f>"2025-10-27 04:46:36.772"</f>
        <v>2025-10-27 04:46:36.772</v>
      </c>
      <c r="H929" s="3" t="s">
        <v>21</v>
      </c>
    </row>
    <row r="930" spans="1:10" s="3" customFormat="1" x14ac:dyDescent="0.25">
      <c r="A930" s="2">
        <v>52</v>
      </c>
      <c r="B930" s="3" t="s">
        <v>26</v>
      </c>
      <c r="C930" s="3">
        <v>647</v>
      </c>
      <c r="D930" s="3">
        <v>1</v>
      </c>
      <c r="E930" s="3" t="s">
        <v>29</v>
      </c>
      <c r="F930" s="3" t="s">
        <v>30</v>
      </c>
      <c r="G930" s="3" t="str">
        <f>"2025-10-27 04:46:35.472"</f>
        <v>2025-10-27 04:46:35.472</v>
      </c>
      <c r="H930" s="3" t="s">
        <v>21</v>
      </c>
      <c r="I930" s="3">
        <v>19.86</v>
      </c>
      <c r="J930" s="3" t="s">
        <v>31</v>
      </c>
    </row>
    <row r="931" spans="1:10" x14ac:dyDescent="0.25">
      <c r="A931" s="1">
        <v>53</v>
      </c>
      <c r="B931" t="s">
        <v>23</v>
      </c>
      <c r="C931">
        <v>635</v>
      </c>
      <c r="D931">
        <v>1</v>
      </c>
      <c r="E931" t="s">
        <v>24</v>
      </c>
      <c r="F931" t="s">
        <v>25</v>
      </c>
      <c r="G931" t="str">
        <f>"2025-10-27 04:12:22.019"</f>
        <v>2025-10-27 04:12:22.019</v>
      </c>
      <c r="H931" t="s">
        <v>21</v>
      </c>
    </row>
    <row r="932" spans="1:10" x14ac:dyDescent="0.25">
      <c r="A932" s="1">
        <v>54</v>
      </c>
      <c r="B932" t="s">
        <v>26</v>
      </c>
      <c r="C932">
        <v>635</v>
      </c>
      <c r="D932">
        <v>1</v>
      </c>
      <c r="E932" t="s">
        <v>24</v>
      </c>
      <c r="F932" t="s">
        <v>25</v>
      </c>
      <c r="G932" t="str">
        <f>"2025-10-27 04:07:50.519"</f>
        <v>2025-10-27 04:07:50.519</v>
      </c>
      <c r="H932" t="s">
        <v>21</v>
      </c>
      <c r="I932">
        <v>3.28</v>
      </c>
      <c r="J932" t="s">
        <v>31</v>
      </c>
    </row>
    <row r="933" spans="1:10" x14ac:dyDescent="0.25">
      <c r="A933" s="1">
        <v>55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"2025-10-24 22:17:28.780"</f>
        <v>2025-10-24 22:17:28.780</v>
      </c>
      <c r="H933" t="s">
        <v>21</v>
      </c>
    </row>
    <row r="934" spans="1:10" x14ac:dyDescent="0.25">
      <c r="A934" s="1">
        <v>56</v>
      </c>
      <c r="B934" t="s">
        <v>23</v>
      </c>
      <c r="C934">
        <v>635</v>
      </c>
      <c r="D934">
        <v>1</v>
      </c>
      <c r="E934" t="s">
        <v>24</v>
      </c>
      <c r="F934" t="s">
        <v>25</v>
      </c>
      <c r="G934" t="str">
        <f>"2025-10-24 06:45:15.690"</f>
        <v>2025-10-24 06:45:15.690</v>
      </c>
      <c r="H934" t="s">
        <v>21</v>
      </c>
    </row>
    <row r="935" spans="1:10" x14ac:dyDescent="0.25">
      <c r="A935" s="1">
        <v>57</v>
      </c>
      <c r="B935" t="s">
        <v>26</v>
      </c>
      <c r="C935">
        <v>635</v>
      </c>
      <c r="D935">
        <v>1</v>
      </c>
      <c r="E935" t="s">
        <v>24</v>
      </c>
      <c r="F935" t="s">
        <v>25</v>
      </c>
      <c r="G935" t="str">
        <f>"2025-10-24 06:37:24.190"</f>
        <v>2025-10-24 06:37:24.190</v>
      </c>
      <c r="H935" t="s">
        <v>21</v>
      </c>
      <c r="I935">
        <v>0.18</v>
      </c>
      <c r="J935" t="s">
        <v>28</v>
      </c>
    </row>
    <row r="936" spans="1:10" x14ac:dyDescent="0.25">
      <c r="A936" s="1">
        <v>58</v>
      </c>
      <c r="B936" t="s">
        <v>23</v>
      </c>
      <c r="C936">
        <v>635</v>
      </c>
      <c r="D936">
        <v>1</v>
      </c>
      <c r="E936" t="s">
        <v>24</v>
      </c>
      <c r="F936" t="s">
        <v>25</v>
      </c>
      <c r="G936" t="str">
        <f>"2025-10-23 11:05:04.990"</f>
        <v>2025-10-23 11:05:04.990</v>
      </c>
      <c r="H936" t="s">
        <v>21</v>
      </c>
    </row>
    <row r="937" spans="1:10" x14ac:dyDescent="0.25">
      <c r="A937" s="1">
        <v>59</v>
      </c>
      <c r="B937" t="s">
        <v>26</v>
      </c>
      <c r="C937">
        <v>635</v>
      </c>
      <c r="D937">
        <v>1</v>
      </c>
      <c r="E937" t="s">
        <v>24</v>
      </c>
      <c r="F937" t="s">
        <v>25</v>
      </c>
      <c r="G937" t="str">
        <f>"2025-10-23 10:58:03.491"</f>
        <v>2025-10-23 10:58:03.491</v>
      </c>
      <c r="H937" t="s">
        <v>21</v>
      </c>
      <c r="I937">
        <v>1.67</v>
      </c>
      <c r="J937" t="s">
        <v>27</v>
      </c>
    </row>
    <row r="938" spans="1:10" x14ac:dyDescent="0.25">
      <c r="A938" s="1">
        <v>60</v>
      </c>
      <c r="B938" t="s">
        <v>23</v>
      </c>
      <c r="C938">
        <v>98</v>
      </c>
      <c r="D938">
        <v>1</v>
      </c>
      <c r="E938" t="s">
        <v>67</v>
      </c>
      <c r="F938" t="s">
        <v>68</v>
      </c>
      <c r="G938" t="str">
        <f>"2025-10-23 07:43:00.351"</f>
        <v>2025-10-23 07:43:00.351</v>
      </c>
      <c r="H938" t="s">
        <v>21</v>
      </c>
    </row>
    <row r="939" spans="1:10" x14ac:dyDescent="0.25">
      <c r="A939" s="1">
        <v>61</v>
      </c>
      <c r="B939" t="s">
        <v>26</v>
      </c>
      <c r="C939">
        <v>98</v>
      </c>
      <c r="D939">
        <v>1</v>
      </c>
      <c r="E939" t="s">
        <v>67</v>
      </c>
      <c r="F939" t="s">
        <v>68</v>
      </c>
      <c r="G939" t="str">
        <f>"2025-10-23 07:42:59.351"</f>
        <v>2025-10-23 07:42:59.351</v>
      </c>
      <c r="H939" t="s">
        <v>21</v>
      </c>
      <c r="I939">
        <v>2.16</v>
      </c>
      <c r="J939" t="s">
        <v>27</v>
      </c>
    </row>
    <row r="940" spans="1:10" x14ac:dyDescent="0.25">
      <c r="A940" s="1">
        <v>62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"2025-10-22 23:53:55.840"</f>
        <v>2025-10-22 23:53:55.840</v>
      </c>
      <c r="H940" t="s">
        <v>21</v>
      </c>
      <c r="I940">
        <v>0</v>
      </c>
      <c r="J940" t="s">
        <v>22</v>
      </c>
    </row>
    <row r="941" spans="1:10" x14ac:dyDescent="0.25">
      <c r="A941" s="1">
        <v>63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"2025-10-20 20:07:58.803"</f>
        <v>2025-10-20 20:07:58.803</v>
      </c>
      <c r="H941" t="s">
        <v>21</v>
      </c>
      <c r="I941">
        <v>0</v>
      </c>
      <c r="J941" t="s">
        <v>22</v>
      </c>
    </row>
    <row r="942" spans="1:10" s="3" customFormat="1" x14ac:dyDescent="0.25">
      <c r="A942" s="2">
        <v>64</v>
      </c>
      <c r="B942" s="3" t="s">
        <v>23</v>
      </c>
      <c r="C942" s="3">
        <v>647</v>
      </c>
      <c r="D942" s="3">
        <v>1</v>
      </c>
      <c r="E942" s="3" t="s">
        <v>29</v>
      </c>
      <c r="F942" s="3" t="s">
        <v>30</v>
      </c>
      <c r="G942" s="3" t="str">
        <f>"2025-10-19 18:40:26.824"</f>
        <v>2025-10-19 18:40:26.824</v>
      </c>
      <c r="H942" s="3" t="s">
        <v>21</v>
      </c>
    </row>
    <row r="943" spans="1:10" s="3" customFormat="1" x14ac:dyDescent="0.25">
      <c r="A943" s="2">
        <v>65</v>
      </c>
      <c r="B943" s="3" t="s">
        <v>26</v>
      </c>
      <c r="C943" s="3">
        <v>647</v>
      </c>
      <c r="D943" s="3">
        <v>1</v>
      </c>
      <c r="E943" s="3" t="s">
        <v>29</v>
      </c>
      <c r="F943" s="3" t="s">
        <v>30</v>
      </c>
      <c r="G943" s="3" t="str">
        <f>"2025-10-19 18:40:22.524"</f>
        <v>2025-10-19 18:40:22.524</v>
      </c>
      <c r="H943" s="3" t="s">
        <v>21</v>
      </c>
      <c r="I943" s="3">
        <v>14.33</v>
      </c>
      <c r="J943" s="3" t="s">
        <v>31</v>
      </c>
    </row>
    <row r="944" spans="1:10" x14ac:dyDescent="0.25">
      <c r="A944" s="1">
        <v>66</v>
      </c>
      <c r="B944" t="s">
        <v>23</v>
      </c>
      <c r="C944">
        <v>635</v>
      </c>
      <c r="D944">
        <v>1</v>
      </c>
      <c r="E944" t="s">
        <v>24</v>
      </c>
      <c r="F944" t="s">
        <v>25</v>
      </c>
      <c r="G944" t="str">
        <f>"2025-10-19 17:47:48.923"</f>
        <v>2025-10-19 17:47:48.923</v>
      </c>
      <c r="H944" t="s">
        <v>21</v>
      </c>
    </row>
    <row r="945" spans="1:10" x14ac:dyDescent="0.25">
      <c r="A945" s="1">
        <v>67</v>
      </c>
      <c r="B945" t="s">
        <v>26</v>
      </c>
      <c r="C945">
        <v>635</v>
      </c>
      <c r="D945">
        <v>1</v>
      </c>
      <c r="E945" t="s">
        <v>24</v>
      </c>
      <c r="F945" t="s">
        <v>25</v>
      </c>
      <c r="G945" t="str">
        <f>"2025-10-19 17:26:52.423"</f>
        <v>2025-10-19 17:26:52.423</v>
      </c>
      <c r="H945" t="s">
        <v>21</v>
      </c>
      <c r="I945">
        <v>5</v>
      </c>
      <c r="J945" t="s">
        <v>31</v>
      </c>
    </row>
    <row r="946" spans="1:10" x14ac:dyDescent="0.25">
      <c r="A946" s="1">
        <v>68</v>
      </c>
      <c r="B946" t="s">
        <v>23</v>
      </c>
      <c r="C946">
        <v>635</v>
      </c>
      <c r="D946">
        <v>1</v>
      </c>
      <c r="E946" t="s">
        <v>24</v>
      </c>
      <c r="F946" t="s">
        <v>25</v>
      </c>
      <c r="G946" t="str">
        <f>"2025-10-19 06:24:15.823"</f>
        <v>2025-10-19 06:24:15.823</v>
      </c>
      <c r="H946" t="s">
        <v>21</v>
      </c>
    </row>
    <row r="947" spans="1:10" x14ac:dyDescent="0.25">
      <c r="A947" s="1">
        <v>69</v>
      </c>
      <c r="B947" t="s">
        <v>26</v>
      </c>
      <c r="C947">
        <v>635</v>
      </c>
      <c r="D947">
        <v>1</v>
      </c>
      <c r="E947" t="s">
        <v>24</v>
      </c>
      <c r="F947" t="s">
        <v>25</v>
      </c>
      <c r="G947" t="str">
        <f>"2025-10-19 06:18:58.823"</f>
        <v>2025-10-19 06:18:58.823</v>
      </c>
      <c r="H947" t="s">
        <v>21</v>
      </c>
      <c r="I947">
        <v>2.14</v>
      </c>
      <c r="J947" t="s">
        <v>31</v>
      </c>
    </row>
    <row r="948" spans="1:10" x14ac:dyDescent="0.25">
      <c r="A948" s="1">
        <v>70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"2025-10-18 15:58:08.005"</f>
        <v>2025-10-18 15:58:08.005</v>
      </c>
      <c r="H948" t="s">
        <v>21</v>
      </c>
      <c r="I948">
        <v>0</v>
      </c>
      <c r="J948" t="s">
        <v>22</v>
      </c>
    </row>
    <row r="949" spans="1:10" x14ac:dyDescent="0.25">
      <c r="A949" s="1">
        <v>71</v>
      </c>
      <c r="B949" t="s">
        <v>23</v>
      </c>
      <c r="C949">
        <v>630</v>
      </c>
      <c r="D949">
        <v>5</v>
      </c>
      <c r="E949" t="s">
        <v>36</v>
      </c>
      <c r="F949" t="s">
        <v>37</v>
      </c>
      <c r="G949" t="str">
        <f>"2025-10-18 15:43:08.270"</f>
        <v>2025-10-18 15:43:08.270</v>
      </c>
      <c r="H949" t="s">
        <v>38</v>
      </c>
    </row>
    <row r="950" spans="1:10" x14ac:dyDescent="0.25">
      <c r="A950" s="1">
        <v>72</v>
      </c>
      <c r="B950" t="s">
        <v>19</v>
      </c>
      <c r="C950">
        <v>706</v>
      </c>
      <c r="D950">
        <v>2</v>
      </c>
      <c r="E950" t="s">
        <v>32</v>
      </c>
      <c r="F950" t="s">
        <v>35</v>
      </c>
      <c r="G950" t="str">
        <f>"2025-10-18 15:42:38.078"</f>
        <v>2025-10-18 15:42:38.078</v>
      </c>
      <c r="H950" t="s">
        <v>21</v>
      </c>
      <c r="I950">
        <v>0</v>
      </c>
      <c r="J950" t="s">
        <v>34</v>
      </c>
    </row>
    <row r="951" spans="1:10" x14ac:dyDescent="0.25">
      <c r="A951" s="1">
        <v>73</v>
      </c>
      <c r="B951" t="s">
        <v>39</v>
      </c>
      <c r="C951">
        <v>630</v>
      </c>
      <c r="D951">
        <v>5</v>
      </c>
      <c r="E951" t="s">
        <v>36</v>
      </c>
      <c r="F951" t="s">
        <v>37</v>
      </c>
      <c r="G951" t="str">
        <f>"2025-10-18 15:39:07.471"</f>
        <v>2025-10-18 15:39:07.471</v>
      </c>
      <c r="H951" t="s">
        <v>38</v>
      </c>
      <c r="I951">
        <v>0</v>
      </c>
      <c r="J951" t="s">
        <v>34</v>
      </c>
    </row>
    <row r="952" spans="1:10" x14ac:dyDescent="0.25">
      <c r="A952" s="1">
        <v>74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"2025-10-18 15:34:04.778"</f>
        <v>2025-10-18 15:34:04.778</v>
      </c>
      <c r="H952" t="s">
        <v>21</v>
      </c>
      <c r="I952">
        <v>0</v>
      </c>
      <c r="J952" t="s">
        <v>22</v>
      </c>
    </row>
    <row r="953" spans="1:10" x14ac:dyDescent="0.25">
      <c r="A953" s="1">
        <v>75</v>
      </c>
      <c r="B953" t="s">
        <v>39</v>
      </c>
      <c r="C953">
        <v>630</v>
      </c>
      <c r="D953">
        <v>5</v>
      </c>
      <c r="E953" t="s">
        <v>36</v>
      </c>
      <c r="F953" t="s">
        <v>37</v>
      </c>
      <c r="G953" t="str">
        <f>"2025-10-18 14:48:20.605"</f>
        <v>2025-10-18 14:48:20.605</v>
      </c>
      <c r="H953" t="s">
        <v>38</v>
      </c>
      <c r="I953">
        <v>0</v>
      </c>
      <c r="J953" t="s">
        <v>34</v>
      </c>
    </row>
    <row r="954" spans="1:10" x14ac:dyDescent="0.25">
      <c r="A954" s="1">
        <v>76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"2025-10-18 14:43:17.766"</f>
        <v>2025-10-18 14:43:17.766</v>
      </c>
      <c r="H954" t="s">
        <v>21</v>
      </c>
    </row>
    <row r="955" spans="1:10" x14ac:dyDescent="0.25">
      <c r="A955" s="1">
        <v>77</v>
      </c>
      <c r="B955" t="s">
        <v>39</v>
      </c>
      <c r="C955">
        <v>630</v>
      </c>
      <c r="D955">
        <v>5</v>
      </c>
      <c r="E955" t="s">
        <v>36</v>
      </c>
      <c r="F955" t="s">
        <v>37</v>
      </c>
      <c r="G955" t="str">
        <f>"2025-10-18 14:16:26.475"</f>
        <v>2025-10-18 14:16:26.475</v>
      </c>
      <c r="H955" t="s">
        <v>38</v>
      </c>
      <c r="I955">
        <v>0</v>
      </c>
      <c r="J955" t="s">
        <v>34</v>
      </c>
    </row>
    <row r="956" spans="1:10" x14ac:dyDescent="0.25">
      <c r="A956" s="1">
        <v>78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"2025-10-18 14:11:23.768"</f>
        <v>2025-10-18 14:11:23.768</v>
      </c>
      <c r="H956" t="s">
        <v>21</v>
      </c>
      <c r="I956">
        <v>0</v>
      </c>
      <c r="J956" t="s">
        <v>22</v>
      </c>
    </row>
    <row r="957" spans="1:10" x14ac:dyDescent="0.25">
      <c r="A957" s="1">
        <v>79</v>
      </c>
      <c r="B957" t="s">
        <v>39</v>
      </c>
      <c r="C957">
        <v>630</v>
      </c>
      <c r="D957">
        <v>5</v>
      </c>
      <c r="E957" t="s">
        <v>36</v>
      </c>
      <c r="F957" t="s">
        <v>37</v>
      </c>
      <c r="G957" t="str">
        <f>"2025-10-18 12:38:52.789"</f>
        <v>2025-10-18 12:38:52.789</v>
      </c>
      <c r="H957" t="s">
        <v>38</v>
      </c>
      <c r="I957">
        <v>0</v>
      </c>
      <c r="J957" t="s">
        <v>34</v>
      </c>
    </row>
    <row r="958" spans="1:10" x14ac:dyDescent="0.25">
      <c r="A958" s="1">
        <v>80</v>
      </c>
      <c r="B958" t="s">
        <v>23</v>
      </c>
      <c r="C958">
        <v>630</v>
      </c>
      <c r="D958">
        <v>5</v>
      </c>
      <c r="E958" t="s">
        <v>36</v>
      </c>
      <c r="F958" t="s">
        <v>37</v>
      </c>
      <c r="G958" t="str">
        <f>"2025-10-18 10:36:58.189"</f>
        <v>2025-10-18 10:36:58.189</v>
      </c>
      <c r="H958" t="s">
        <v>38</v>
      </c>
    </row>
    <row r="959" spans="1:10" x14ac:dyDescent="0.25">
      <c r="A959" s="1">
        <v>81</v>
      </c>
      <c r="B959" t="s">
        <v>19</v>
      </c>
      <c r="C959">
        <v>706</v>
      </c>
      <c r="D959">
        <v>2</v>
      </c>
      <c r="E959" t="s">
        <v>32</v>
      </c>
      <c r="F959" t="s">
        <v>35</v>
      </c>
      <c r="G959" t="str">
        <f>"2025-10-18 10:36:28.177"</f>
        <v>2025-10-18 10:36:28.177</v>
      </c>
      <c r="H959" t="s">
        <v>21</v>
      </c>
      <c r="I959">
        <v>0</v>
      </c>
      <c r="J959" t="s">
        <v>34</v>
      </c>
    </row>
    <row r="960" spans="1:10" x14ac:dyDescent="0.25">
      <c r="A960" s="1">
        <v>82</v>
      </c>
      <c r="B960" t="s">
        <v>39</v>
      </c>
      <c r="C960">
        <v>630</v>
      </c>
      <c r="D960">
        <v>5</v>
      </c>
      <c r="E960" t="s">
        <v>36</v>
      </c>
      <c r="F960" t="s">
        <v>37</v>
      </c>
      <c r="G960" t="str">
        <f>"2025-10-18 10:31:39.690"</f>
        <v>2025-10-18 10:31:39.690</v>
      </c>
      <c r="H960" t="s">
        <v>38</v>
      </c>
      <c r="I960">
        <v>0</v>
      </c>
      <c r="J960" t="s">
        <v>34</v>
      </c>
    </row>
    <row r="961" spans="1:10" x14ac:dyDescent="0.25">
      <c r="A961" s="1">
        <v>83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"2025-10-17 20:53:54.767"</f>
        <v>2025-10-17 20:53:54.767</v>
      </c>
      <c r="H961" t="s">
        <v>21</v>
      </c>
    </row>
    <row r="962" spans="1:10" x14ac:dyDescent="0.25">
      <c r="A962" s="1">
        <v>84</v>
      </c>
      <c r="B962" t="s">
        <v>23</v>
      </c>
      <c r="C962">
        <v>635</v>
      </c>
      <c r="D962">
        <v>1</v>
      </c>
      <c r="E962" t="s">
        <v>24</v>
      </c>
      <c r="F962" t="s">
        <v>25</v>
      </c>
      <c r="G962" t="str">
        <f>"2025-10-17 04:25:12.062"</f>
        <v>2025-10-17 04:25:12.062</v>
      </c>
      <c r="H962" t="s">
        <v>21</v>
      </c>
    </row>
    <row r="963" spans="1:10" x14ac:dyDescent="0.25">
      <c r="A963" s="1">
        <v>85</v>
      </c>
      <c r="B963" t="s">
        <v>26</v>
      </c>
      <c r="C963">
        <v>635</v>
      </c>
      <c r="D963">
        <v>1</v>
      </c>
      <c r="E963" t="s">
        <v>24</v>
      </c>
      <c r="F963" t="s">
        <v>25</v>
      </c>
      <c r="G963" t="str">
        <f>"2025-10-17 04:13:59.062"</f>
        <v>2025-10-17 04:13:59.062</v>
      </c>
      <c r="H963" t="s">
        <v>21</v>
      </c>
      <c r="I963">
        <v>6.68</v>
      </c>
      <c r="J963" t="s">
        <v>27</v>
      </c>
    </row>
    <row r="964" spans="1:10" x14ac:dyDescent="0.25">
      <c r="A964" s="1">
        <v>86</v>
      </c>
      <c r="B964" t="s">
        <v>23</v>
      </c>
      <c r="C964">
        <v>635</v>
      </c>
      <c r="D964">
        <v>1</v>
      </c>
      <c r="E964" t="s">
        <v>24</v>
      </c>
      <c r="F964" t="s">
        <v>25</v>
      </c>
      <c r="G964" t="str">
        <f>"2025-10-13 18:33:06.062"</f>
        <v>2025-10-13 18:33:06.062</v>
      </c>
      <c r="H964" t="s">
        <v>21</v>
      </c>
    </row>
    <row r="965" spans="1:10" x14ac:dyDescent="0.25">
      <c r="A965" s="1">
        <v>87</v>
      </c>
      <c r="B965" t="s">
        <v>26</v>
      </c>
      <c r="C965">
        <v>635</v>
      </c>
      <c r="D965">
        <v>1</v>
      </c>
      <c r="E965" t="s">
        <v>24</v>
      </c>
      <c r="F965" t="s">
        <v>25</v>
      </c>
      <c r="G965" t="str">
        <f>"2025-10-13 18:09:58.062"</f>
        <v>2025-10-13 18:09:58.062</v>
      </c>
      <c r="H965" t="s">
        <v>21</v>
      </c>
      <c r="I965">
        <v>9.2799999999999994</v>
      </c>
      <c r="J965" t="s">
        <v>27</v>
      </c>
    </row>
    <row r="966" spans="1:10" s="3" customFormat="1" x14ac:dyDescent="0.25">
      <c r="A966" s="2">
        <v>88</v>
      </c>
      <c r="B966" s="3" t="s">
        <v>23</v>
      </c>
      <c r="C966" s="3">
        <v>647</v>
      </c>
      <c r="D966" s="3">
        <v>1</v>
      </c>
      <c r="E966" s="3" t="s">
        <v>29</v>
      </c>
      <c r="F966" s="3" t="s">
        <v>30</v>
      </c>
      <c r="G966" s="3" t="str">
        <f>"2025-10-13 10:44:52.563"</f>
        <v>2025-10-13 10:44:52.563</v>
      </c>
      <c r="H966" s="3" t="s">
        <v>21</v>
      </c>
    </row>
    <row r="967" spans="1:10" s="3" customFormat="1" x14ac:dyDescent="0.25">
      <c r="A967" s="2">
        <v>89</v>
      </c>
      <c r="B967" s="3" t="s">
        <v>26</v>
      </c>
      <c r="C967" s="3">
        <v>647</v>
      </c>
      <c r="D967" s="3">
        <v>1</v>
      </c>
      <c r="E967" s="3" t="s">
        <v>29</v>
      </c>
      <c r="F967" s="3" t="s">
        <v>30</v>
      </c>
      <c r="G967" s="3" t="str">
        <f>"2025-10-13 10:44:51.263"</f>
        <v>2025-10-13 10:44:51.263</v>
      </c>
      <c r="H967" s="3" t="s">
        <v>21</v>
      </c>
      <c r="I967" s="3">
        <v>12.96</v>
      </c>
      <c r="J967" s="3" t="s">
        <v>31</v>
      </c>
    </row>
    <row r="968" spans="1:10" s="3" customFormat="1" x14ac:dyDescent="0.25">
      <c r="A968" s="2">
        <v>90</v>
      </c>
      <c r="B968" s="3" t="s">
        <v>23</v>
      </c>
      <c r="C968" s="3">
        <v>647</v>
      </c>
      <c r="D968" s="3">
        <v>1</v>
      </c>
      <c r="E968" s="3" t="s">
        <v>29</v>
      </c>
      <c r="F968" s="3" t="s">
        <v>30</v>
      </c>
      <c r="G968" s="3" t="str">
        <f>"2025-10-09 19:31:36.863"</f>
        <v>2025-10-09 19:31:36.863</v>
      </c>
      <c r="H968" s="3" t="s">
        <v>21</v>
      </c>
    </row>
    <row r="969" spans="1:10" s="3" customFormat="1" x14ac:dyDescent="0.25">
      <c r="A969" s="2">
        <v>91</v>
      </c>
      <c r="B969" s="3" t="s">
        <v>26</v>
      </c>
      <c r="C969" s="3">
        <v>647</v>
      </c>
      <c r="D969" s="3">
        <v>1</v>
      </c>
      <c r="E969" s="3" t="s">
        <v>29</v>
      </c>
      <c r="F969" s="3" t="s">
        <v>30</v>
      </c>
      <c r="G969" s="3" t="str">
        <f>"2025-10-09 19:31:35.063"</f>
        <v>2025-10-09 19:31:35.063</v>
      </c>
      <c r="H969" s="3" t="s">
        <v>21</v>
      </c>
      <c r="I969" s="3">
        <v>14.48</v>
      </c>
      <c r="J969" s="3" t="s">
        <v>31</v>
      </c>
    </row>
    <row r="970" spans="1:10" x14ac:dyDescent="0.25">
      <c r="A970" s="1">
        <v>92</v>
      </c>
      <c r="B970" t="s">
        <v>23</v>
      </c>
      <c r="C970">
        <v>635</v>
      </c>
      <c r="D970">
        <v>1</v>
      </c>
      <c r="E970" t="s">
        <v>24</v>
      </c>
      <c r="F970" t="s">
        <v>25</v>
      </c>
      <c r="G970" t="str">
        <f>"2025-10-08 15:57:14.462"</f>
        <v>2025-10-08 15:57:14.462</v>
      </c>
      <c r="H970" t="s">
        <v>21</v>
      </c>
    </row>
    <row r="971" spans="1:10" x14ac:dyDescent="0.25">
      <c r="A971" s="1">
        <v>93</v>
      </c>
      <c r="B971" t="s">
        <v>26</v>
      </c>
      <c r="C971">
        <v>635</v>
      </c>
      <c r="D971">
        <v>1</v>
      </c>
      <c r="E971" t="s">
        <v>24</v>
      </c>
      <c r="F971" t="s">
        <v>25</v>
      </c>
      <c r="G971" t="str">
        <f>"2025-10-08 15:27:20.963"</f>
        <v>2025-10-08 15:27:20.963</v>
      </c>
      <c r="H971" t="s">
        <v>21</v>
      </c>
      <c r="I971">
        <v>7.32</v>
      </c>
      <c r="J971" t="s">
        <v>27</v>
      </c>
    </row>
    <row r="972" spans="1:10" x14ac:dyDescent="0.25">
      <c r="A972" s="1">
        <v>94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"2025-10-08 02:28:46.752"</f>
        <v>2025-10-08 02:28:46.752</v>
      </c>
      <c r="H972" t="s">
        <v>21</v>
      </c>
      <c r="I972">
        <v>0</v>
      </c>
      <c r="J972" t="s">
        <v>22</v>
      </c>
    </row>
    <row r="973" spans="1:10" x14ac:dyDescent="0.25">
      <c r="A973" s="1">
        <v>95</v>
      </c>
      <c r="B973" t="s">
        <v>23</v>
      </c>
      <c r="C973">
        <v>630</v>
      </c>
      <c r="D973">
        <v>5</v>
      </c>
      <c r="E973" t="s">
        <v>36</v>
      </c>
      <c r="F973" t="s">
        <v>37</v>
      </c>
      <c r="G973" t="str">
        <f>"2025-10-08 00:17:25.855"</f>
        <v>2025-10-08 00:17:25.855</v>
      </c>
      <c r="H973" t="s">
        <v>38</v>
      </c>
    </row>
    <row r="974" spans="1:10" x14ac:dyDescent="0.25">
      <c r="A974" s="1">
        <v>96</v>
      </c>
      <c r="B974" t="s">
        <v>19</v>
      </c>
      <c r="C974">
        <v>706</v>
      </c>
      <c r="D974">
        <v>2</v>
      </c>
      <c r="E974" t="s">
        <v>32</v>
      </c>
      <c r="F974" t="s">
        <v>35</v>
      </c>
      <c r="G974" t="str">
        <f>"2025-10-08 00:16:55.741"</f>
        <v>2025-10-08 00:16:55.741</v>
      </c>
      <c r="H974" t="s">
        <v>21</v>
      </c>
      <c r="I974">
        <v>0</v>
      </c>
      <c r="J974" t="s">
        <v>34</v>
      </c>
    </row>
    <row r="975" spans="1:10" x14ac:dyDescent="0.25">
      <c r="A975" s="1">
        <v>97</v>
      </c>
      <c r="B975" t="s">
        <v>39</v>
      </c>
      <c r="C975">
        <v>630</v>
      </c>
      <c r="D975">
        <v>5</v>
      </c>
      <c r="E975" t="s">
        <v>36</v>
      </c>
      <c r="F975" t="s">
        <v>37</v>
      </c>
      <c r="G975" t="str">
        <f>"2025-10-07 23:51:53.655"</f>
        <v>2025-10-07 23:51:53.655</v>
      </c>
      <c r="H975" t="s">
        <v>38</v>
      </c>
      <c r="I975">
        <v>0</v>
      </c>
      <c r="J975" t="s">
        <v>34</v>
      </c>
    </row>
    <row r="976" spans="1:10" x14ac:dyDescent="0.25">
      <c r="A976" s="1">
        <v>98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"2025-10-07 23:46:50.811"</f>
        <v>2025-10-07 23:46:50.811</v>
      </c>
      <c r="H976" t="s">
        <v>21</v>
      </c>
      <c r="I976">
        <v>0</v>
      </c>
      <c r="J976" t="s">
        <v>22</v>
      </c>
    </row>
    <row r="977" spans="1:10" x14ac:dyDescent="0.25">
      <c r="A977" s="1">
        <v>99</v>
      </c>
      <c r="B977" t="s">
        <v>39</v>
      </c>
      <c r="C977">
        <v>630</v>
      </c>
      <c r="D977">
        <v>5</v>
      </c>
      <c r="E977" t="s">
        <v>36</v>
      </c>
      <c r="F977" t="s">
        <v>37</v>
      </c>
      <c r="G977" t="str">
        <f>"2025-10-07 22:13:16.337"</f>
        <v>2025-10-07 22:13:16.337</v>
      </c>
      <c r="H977" t="s">
        <v>38</v>
      </c>
      <c r="I977">
        <v>0</v>
      </c>
      <c r="J977" t="s">
        <v>34</v>
      </c>
    </row>
    <row r="978" spans="1:10" s="3" customFormat="1" x14ac:dyDescent="0.25">
      <c r="A978" s="2">
        <v>0</v>
      </c>
      <c r="B978" s="3" t="s">
        <v>23</v>
      </c>
      <c r="C978" s="3">
        <v>647</v>
      </c>
      <c r="D978" s="3">
        <v>1</v>
      </c>
      <c r="E978" s="3" t="s">
        <v>29</v>
      </c>
      <c r="F978" s="3" t="s">
        <v>30</v>
      </c>
      <c r="G978" s="3" t="str">
        <f>"2025-10-05 14:09:22.937"</f>
        <v>2025-10-05 14:09:22.937</v>
      </c>
      <c r="H978" s="3" t="s">
        <v>21</v>
      </c>
    </row>
    <row r="979" spans="1:10" s="3" customFormat="1" x14ac:dyDescent="0.25">
      <c r="A979" s="2">
        <v>1</v>
      </c>
      <c r="B979" s="3" t="s">
        <v>26</v>
      </c>
      <c r="C979" s="3">
        <v>647</v>
      </c>
      <c r="D979" s="3">
        <v>1</v>
      </c>
      <c r="E979" s="3" t="s">
        <v>29</v>
      </c>
      <c r="F979" s="3" t="s">
        <v>30</v>
      </c>
      <c r="G979" s="3" t="str">
        <f>"2025-10-05 14:09:21.637"</f>
        <v>2025-10-05 14:09:21.637</v>
      </c>
      <c r="H979" s="3" t="s">
        <v>21</v>
      </c>
      <c r="I979" s="3">
        <v>18.010000000000002</v>
      </c>
      <c r="J979" s="3" t="s">
        <v>31</v>
      </c>
    </row>
    <row r="980" spans="1:10" s="3" customFormat="1" x14ac:dyDescent="0.25">
      <c r="A980" s="2">
        <v>2</v>
      </c>
      <c r="B980" s="3" t="s">
        <v>23</v>
      </c>
      <c r="C980" s="3">
        <v>647</v>
      </c>
      <c r="D980" s="3">
        <v>1</v>
      </c>
      <c r="E980" s="3" t="s">
        <v>29</v>
      </c>
      <c r="F980" s="3" t="s">
        <v>30</v>
      </c>
      <c r="G980" s="3" t="str">
        <f>"2025-10-04 12:19:59.737"</f>
        <v>2025-10-04 12:19:59.737</v>
      </c>
      <c r="H980" s="3" t="s">
        <v>21</v>
      </c>
    </row>
    <row r="981" spans="1:10" s="3" customFormat="1" x14ac:dyDescent="0.25">
      <c r="A981" s="2">
        <v>3</v>
      </c>
      <c r="B981" s="3" t="s">
        <v>26</v>
      </c>
      <c r="C981" s="3">
        <v>647</v>
      </c>
      <c r="D981" s="3">
        <v>1</v>
      </c>
      <c r="E981" s="3" t="s">
        <v>29</v>
      </c>
      <c r="F981" s="3" t="s">
        <v>30</v>
      </c>
      <c r="G981" s="3" t="str">
        <f>"2025-10-04 12:19:53.637"</f>
        <v>2025-10-04 12:19:53.637</v>
      </c>
      <c r="H981" s="3" t="s">
        <v>21</v>
      </c>
      <c r="I981" s="3">
        <v>11.36</v>
      </c>
      <c r="J981" s="3" t="s">
        <v>31</v>
      </c>
    </row>
    <row r="982" spans="1:10" x14ac:dyDescent="0.25">
      <c r="A982" s="1">
        <v>4</v>
      </c>
      <c r="B982" t="s">
        <v>23</v>
      </c>
      <c r="C982">
        <v>635</v>
      </c>
      <c r="D982">
        <v>1</v>
      </c>
      <c r="E982" t="s">
        <v>24</v>
      </c>
      <c r="F982" t="s">
        <v>25</v>
      </c>
      <c r="G982" t="str">
        <f>"2025-10-03 16:39:45.789"</f>
        <v>2025-10-03 16:39:45.789</v>
      </c>
      <c r="H982" t="s">
        <v>21</v>
      </c>
    </row>
    <row r="983" spans="1:10" x14ac:dyDescent="0.25">
      <c r="A983" s="1">
        <v>5</v>
      </c>
      <c r="B983" t="s">
        <v>26</v>
      </c>
      <c r="C983">
        <v>635</v>
      </c>
      <c r="D983">
        <v>1</v>
      </c>
      <c r="E983" t="s">
        <v>24</v>
      </c>
      <c r="F983" t="s">
        <v>25</v>
      </c>
      <c r="G983" t="str">
        <f>"2025-10-03 16:26:13.789"</f>
        <v>2025-10-03 16:26:13.789</v>
      </c>
      <c r="H983" t="s">
        <v>21</v>
      </c>
      <c r="I983">
        <v>7.68</v>
      </c>
      <c r="J983" t="s">
        <v>27</v>
      </c>
    </row>
    <row r="984" spans="1:10" x14ac:dyDescent="0.25">
      <c r="A984" s="1">
        <v>6</v>
      </c>
      <c r="B984" t="s">
        <v>23</v>
      </c>
      <c r="C984">
        <v>630</v>
      </c>
      <c r="D984">
        <v>5</v>
      </c>
      <c r="E984" t="s">
        <v>36</v>
      </c>
      <c r="F984" t="s">
        <v>37</v>
      </c>
      <c r="G984" t="str">
        <f>"2025-10-03 08:36:44.237"</f>
        <v>2025-10-03 08:36:44.237</v>
      </c>
      <c r="H984" t="s">
        <v>38</v>
      </c>
    </row>
    <row r="985" spans="1:10" x14ac:dyDescent="0.25">
      <c r="A985" s="1">
        <v>7</v>
      </c>
      <c r="B985" t="s">
        <v>19</v>
      </c>
      <c r="C985">
        <v>706</v>
      </c>
      <c r="D985">
        <v>2</v>
      </c>
      <c r="E985" t="s">
        <v>32</v>
      </c>
      <c r="F985" t="s">
        <v>35</v>
      </c>
      <c r="G985" t="str">
        <f>"2025-10-03 08:36:14.148"</f>
        <v>2025-10-03 08:36:14.148</v>
      </c>
      <c r="H985" t="s">
        <v>21</v>
      </c>
      <c r="I985">
        <v>0</v>
      </c>
      <c r="J985" t="s">
        <v>34</v>
      </c>
    </row>
    <row r="986" spans="1:10" x14ac:dyDescent="0.25">
      <c r="A986" s="1">
        <v>8</v>
      </c>
      <c r="B986" t="s">
        <v>39</v>
      </c>
      <c r="C986">
        <v>630</v>
      </c>
      <c r="D986">
        <v>5</v>
      </c>
      <c r="E986" t="s">
        <v>36</v>
      </c>
      <c r="F986" t="s">
        <v>37</v>
      </c>
      <c r="G986" t="str">
        <f>"2025-10-03 08:34:17.037"</f>
        <v>2025-10-03 08:34:17.037</v>
      </c>
      <c r="H986" t="s">
        <v>38</v>
      </c>
      <c r="I986">
        <v>0</v>
      </c>
      <c r="J986" t="s">
        <v>34</v>
      </c>
    </row>
    <row r="987" spans="1:10" s="3" customFormat="1" x14ac:dyDescent="0.25">
      <c r="A987" s="2">
        <v>9</v>
      </c>
      <c r="B987" s="3" t="s">
        <v>23</v>
      </c>
      <c r="C987" s="3">
        <v>647</v>
      </c>
      <c r="D987" s="3">
        <v>1</v>
      </c>
      <c r="E987" s="3" t="s">
        <v>29</v>
      </c>
      <c r="F987" s="3" t="s">
        <v>30</v>
      </c>
      <c r="G987" s="3" t="str">
        <f>"2025-10-02 15:41:14.537"</f>
        <v>2025-10-02 15:41:14.537</v>
      </c>
      <c r="H987" s="3" t="s">
        <v>21</v>
      </c>
    </row>
    <row r="988" spans="1:10" s="3" customFormat="1" x14ac:dyDescent="0.25">
      <c r="A988" s="2">
        <v>10</v>
      </c>
      <c r="B988" s="3" t="s">
        <v>26</v>
      </c>
      <c r="C988" s="3">
        <v>647</v>
      </c>
      <c r="D988" s="3">
        <v>1</v>
      </c>
      <c r="E988" s="3" t="s">
        <v>29</v>
      </c>
      <c r="F988" s="3" t="s">
        <v>30</v>
      </c>
      <c r="G988" s="3" t="str">
        <f>"2025-10-02 15:41:11.837"</f>
        <v>2025-10-02 15:41:11.837</v>
      </c>
      <c r="H988" s="3" t="s">
        <v>21</v>
      </c>
      <c r="I988" s="3">
        <v>15.91</v>
      </c>
      <c r="J988" s="3" t="s">
        <v>31</v>
      </c>
    </row>
    <row r="989" spans="1:10" x14ac:dyDescent="0.25">
      <c r="A989" s="1">
        <v>11</v>
      </c>
      <c r="B989" t="s">
        <v>23</v>
      </c>
      <c r="C989">
        <v>635</v>
      </c>
      <c r="D989">
        <v>1</v>
      </c>
      <c r="E989" t="s">
        <v>24</v>
      </c>
      <c r="F989" t="s">
        <v>25</v>
      </c>
      <c r="G989" t="str">
        <f>"2025-10-02 12:22:54.789"</f>
        <v>2025-10-02 12:22:54.789</v>
      </c>
      <c r="H989" t="s">
        <v>21</v>
      </c>
    </row>
    <row r="990" spans="1:10" x14ac:dyDescent="0.25">
      <c r="A990" s="1">
        <v>12</v>
      </c>
      <c r="B990" t="s">
        <v>26</v>
      </c>
      <c r="C990">
        <v>635</v>
      </c>
      <c r="D990">
        <v>1</v>
      </c>
      <c r="E990" t="s">
        <v>24</v>
      </c>
      <c r="F990" t="s">
        <v>25</v>
      </c>
      <c r="G990" t="str">
        <f>"2025-10-02 11:54:45.290"</f>
        <v>2025-10-02 11:54:45.290</v>
      </c>
      <c r="H990" t="s">
        <v>21</v>
      </c>
      <c r="I990">
        <v>5.37</v>
      </c>
      <c r="J990" t="s">
        <v>27</v>
      </c>
    </row>
    <row r="991" spans="1:10" x14ac:dyDescent="0.25">
      <c r="A991" s="1">
        <v>13</v>
      </c>
      <c r="B991" t="s">
        <v>19</v>
      </c>
      <c r="C991">
        <v>706</v>
      </c>
      <c r="D991">
        <v>4</v>
      </c>
      <c r="E991" t="s">
        <v>32</v>
      </c>
      <c r="F991" t="s">
        <v>33</v>
      </c>
      <c r="G991" t="str">
        <f>"2025-10-01 18:17:44.828"</f>
        <v>2025-10-01 18:17:44.828</v>
      </c>
      <c r="H991" t="s">
        <v>21</v>
      </c>
      <c r="I991">
        <v>0</v>
      </c>
      <c r="J991" t="s">
        <v>34</v>
      </c>
    </row>
    <row r="992" spans="1:10" x14ac:dyDescent="0.25">
      <c r="A992" s="1">
        <v>14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"2025-10-01 18:15:05.748"</f>
        <v>2025-10-01 18:15:05.748</v>
      </c>
      <c r="H992" t="s">
        <v>21</v>
      </c>
      <c r="I992">
        <v>0</v>
      </c>
      <c r="J992" t="s">
        <v>22</v>
      </c>
    </row>
    <row r="993" spans="1:10" x14ac:dyDescent="0.25">
      <c r="A993" s="1">
        <v>15</v>
      </c>
      <c r="B993" t="s">
        <v>19</v>
      </c>
      <c r="C993">
        <v>706</v>
      </c>
      <c r="D993">
        <v>2</v>
      </c>
      <c r="E993" t="s">
        <v>32</v>
      </c>
      <c r="F993" t="s">
        <v>35</v>
      </c>
      <c r="G993" t="str">
        <f>"2025-10-01 18:13:50.965"</f>
        <v>2025-10-01 18:13:50.965</v>
      </c>
      <c r="H993" t="s">
        <v>21</v>
      </c>
      <c r="I993">
        <v>0</v>
      </c>
      <c r="J993" t="s">
        <v>34</v>
      </c>
    </row>
    <row r="994" spans="1:10" x14ac:dyDescent="0.25">
      <c r="A994" s="1">
        <v>16</v>
      </c>
      <c r="B994" t="s">
        <v>19</v>
      </c>
      <c r="C994">
        <v>706</v>
      </c>
      <c r="D994">
        <v>4</v>
      </c>
      <c r="E994" t="s">
        <v>32</v>
      </c>
      <c r="F994" t="s">
        <v>33</v>
      </c>
      <c r="G994" t="str">
        <f>"2025-10-01 18:13:01.705"</f>
        <v>2025-10-01 18:13:01.705</v>
      </c>
      <c r="H994" t="s">
        <v>21</v>
      </c>
      <c r="I994">
        <v>0</v>
      </c>
      <c r="J994" t="s">
        <v>34</v>
      </c>
    </row>
    <row r="995" spans="1:10" x14ac:dyDescent="0.25">
      <c r="A995" s="1">
        <v>17</v>
      </c>
      <c r="B995" t="s">
        <v>19</v>
      </c>
      <c r="C995">
        <v>706</v>
      </c>
      <c r="D995">
        <v>2</v>
      </c>
      <c r="E995" t="s">
        <v>32</v>
      </c>
      <c r="F995" t="s">
        <v>35</v>
      </c>
      <c r="G995" t="str">
        <f>"2025-10-01 18:10:52.365"</f>
        <v>2025-10-01 18:10:52.365</v>
      </c>
      <c r="H995" t="s">
        <v>21</v>
      </c>
      <c r="I995">
        <v>0</v>
      </c>
      <c r="J995" t="s">
        <v>34</v>
      </c>
    </row>
    <row r="996" spans="1:10" x14ac:dyDescent="0.25">
      <c r="A996" s="1">
        <v>18</v>
      </c>
      <c r="B996" t="s">
        <v>19</v>
      </c>
      <c r="C996">
        <v>706</v>
      </c>
      <c r="D996">
        <v>4</v>
      </c>
      <c r="E996" t="s">
        <v>32</v>
      </c>
      <c r="F996" t="s">
        <v>33</v>
      </c>
      <c r="G996" t="str">
        <f>"2025-10-01 18:10:31.515"</f>
        <v>2025-10-01 18:10:31.515</v>
      </c>
      <c r="H996" t="s">
        <v>21</v>
      </c>
      <c r="I996">
        <v>0</v>
      </c>
      <c r="J996" t="s">
        <v>34</v>
      </c>
    </row>
    <row r="997" spans="1:10" x14ac:dyDescent="0.25">
      <c r="A997" s="1">
        <v>19</v>
      </c>
      <c r="B997" t="s">
        <v>23</v>
      </c>
      <c r="C997">
        <v>635</v>
      </c>
      <c r="D997">
        <v>1</v>
      </c>
      <c r="E997" t="s">
        <v>24</v>
      </c>
      <c r="F997" t="s">
        <v>25</v>
      </c>
      <c r="G997" t="str">
        <f>"2025-09-30 15:06:44.282"</f>
        <v>2025-09-30 15:06:44.282</v>
      </c>
      <c r="H997" t="s">
        <v>21</v>
      </c>
    </row>
    <row r="998" spans="1:10" x14ac:dyDescent="0.25">
      <c r="A998" s="1">
        <v>20</v>
      </c>
      <c r="B998" t="s">
        <v>26</v>
      </c>
      <c r="C998">
        <v>635</v>
      </c>
      <c r="D998">
        <v>1</v>
      </c>
      <c r="E998" t="s">
        <v>24</v>
      </c>
      <c r="F998" t="s">
        <v>25</v>
      </c>
      <c r="G998" t="str">
        <f>"2025-09-30 15:04:15.782"</f>
        <v>2025-09-30 15:04:15.782</v>
      </c>
      <c r="H998" t="s">
        <v>21</v>
      </c>
      <c r="I998">
        <v>5.52</v>
      </c>
      <c r="J998" t="s">
        <v>27</v>
      </c>
    </row>
    <row r="999" spans="1:10" s="3" customFormat="1" x14ac:dyDescent="0.25">
      <c r="A999" s="2">
        <v>21</v>
      </c>
      <c r="B999" s="3" t="s">
        <v>23</v>
      </c>
      <c r="C999" s="3">
        <v>647</v>
      </c>
      <c r="D999" s="3">
        <v>1</v>
      </c>
      <c r="E999" s="3" t="s">
        <v>29</v>
      </c>
      <c r="F999" s="3" t="s">
        <v>30</v>
      </c>
      <c r="G999" s="3" t="str">
        <f>"2025-09-27 17:16:19.482"</f>
        <v>2025-09-27 17:16:19.482</v>
      </c>
      <c r="H999" s="3" t="s">
        <v>21</v>
      </c>
    </row>
    <row r="1000" spans="1:10" s="3" customFormat="1" x14ac:dyDescent="0.25">
      <c r="A1000" s="2">
        <v>22</v>
      </c>
      <c r="B1000" s="3" t="s">
        <v>26</v>
      </c>
      <c r="C1000" s="3">
        <v>647</v>
      </c>
      <c r="D1000" s="3">
        <v>1</v>
      </c>
      <c r="E1000" s="3" t="s">
        <v>29</v>
      </c>
      <c r="F1000" s="3" t="s">
        <v>30</v>
      </c>
      <c r="G1000" s="3" t="str">
        <f>"2025-09-27 17:16:18.383"</f>
        <v>2025-09-27 17:16:18.383</v>
      </c>
      <c r="H1000" s="3" t="s">
        <v>21</v>
      </c>
      <c r="I1000" s="3">
        <v>8.2799999999999994</v>
      </c>
      <c r="J1000" s="3" t="s">
        <v>31</v>
      </c>
    </row>
    <row r="1001" spans="1:10" x14ac:dyDescent="0.25">
      <c r="A1001" s="1">
        <v>23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"2025-09-27 11:55:29.755"</f>
        <v>2025-09-27 11:55:29.755</v>
      </c>
      <c r="H1001" t="s">
        <v>21</v>
      </c>
    </row>
    <row r="1002" spans="1:10" x14ac:dyDescent="0.25">
      <c r="A1002" s="1">
        <v>24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"2025-09-27 11:47:07.765"</f>
        <v>2025-09-27 11:47:07.765</v>
      </c>
      <c r="H1002" t="s">
        <v>21</v>
      </c>
      <c r="I1002">
        <v>0</v>
      </c>
      <c r="J1002" t="s">
        <v>22</v>
      </c>
    </row>
    <row r="1003" spans="1:10" x14ac:dyDescent="0.25">
      <c r="A1003" s="1">
        <v>25</v>
      </c>
      <c r="B1003" t="s">
        <v>19</v>
      </c>
      <c r="C1003">
        <v>706</v>
      </c>
      <c r="D1003">
        <v>2</v>
      </c>
      <c r="E1003" t="s">
        <v>32</v>
      </c>
      <c r="F1003" t="s">
        <v>35</v>
      </c>
      <c r="G1003" t="str">
        <f>"2025-09-27 11:02:48.561"</f>
        <v>2025-09-27 11:02:48.561</v>
      </c>
      <c r="H1003" t="s">
        <v>21</v>
      </c>
      <c r="I1003">
        <v>0</v>
      </c>
      <c r="J1003" t="s">
        <v>34</v>
      </c>
    </row>
    <row r="1004" spans="1:10" x14ac:dyDescent="0.25">
      <c r="A1004" s="1">
        <v>26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"2025-09-27 11:02:06.751"</f>
        <v>2025-09-27 11:02:06.751</v>
      </c>
      <c r="H1004" t="s">
        <v>21</v>
      </c>
      <c r="I1004">
        <v>0</v>
      </c>
      <c r="J1004" t="s">
        <v>22</v>
      </c>
    </row>
    <row r="1005" spans="1:10" x14ac:dyDescent="0.25">
      <c r="A1005" s="1">
        <v>27</v>
      </c>
      <c r="B1005" t="s">
        <v>19</v>
      </c>
      <c r="C1005">
        <v>706</v>
      </c>
      <c r="D1005">
        <v>4</v>
      </c>
      <c r="E1005" t="s">
        <v>32</v>
      </c>
      <c r="F1005" t="s">
        <v>33</v>
      </c>
      <c r="G1005" t="str">
        <f>"2025-09-27 10:58:22.036"</f>
        <v>2025-09-27 10:58:22.036</v>
      </c>
      <c r="H1005" t="s">
        <v>21</v>
      </c>
      <c r="I1005">
        <v>0</v>
      </c>
      <c r="J1005" t="s">
        <v>34</v>
      </c>
    </row>
    <row r="1006" spans="1:10" x14ac:dyDescent="0.25">
      <c r="A1006" s="1">
        <v>30</v>
      </c>
      <c r="B1006" t="s">
        <v>19</v>
      </c>
      <c r="C1006">
        <v>782</v>
      </c>
      <c r="D1006">
        <v>7</v>
      </c>
      <c r="E1006" t="s">
        <v>69</v>
      </c>
      <c r="F1006" t="s">
        <v>70</v>
      </c>
      <c r="G1006" t="str">
        <f>"2025-09-27 10:51:34.968"</f>
        <v>2025-09-27 10:51:34.968</v>
      </c>
      <c r="H1006" t="s">
        <v>21</v>
      </c>
      <c r="I1006">
        <v>0</v>
      </c>
      <c r="J1006" t="s">
        <v>34</v>
      </c>
    </row>
    <row r="1007" spans="1:10" x14ac:dyDescent="0.25">
      <c r="A1007" s="1">
        <v>33</v>
      </c>
      <c r="B1007" t="s">
        <v>23</v>
      </c>
      <c r="C1007">
        <v>47</v>
      </c>
      <c r="D1007">
        <v>2</v>
      </c>
      <c r="E1007" t="s">
        <v>71</v>
      </c>
      <c r="F1007" t="s">
        <v>72</v>
      </c>
      <c r="G1007" t="str">
        <f>"2025-09-27 10:51:34.957"</f>
        <v>2025-09-27 10:51:34.957</v>
      </c>
      <c r="H1007" t="s">
        <v>73</v>
      </c>
    </row>
    <row r="1008" spans="1:10" x14ac:dyDescent="0.25">
      <c r="A1008" s="1">
        <v>34</v>
      </c>
      <c r="B1008" t="s">
        <v>19</v>
      </c>
      <c r="C1008">
        <v>782</v>
      </c>
      <c r="D1008">
        <v>7</v>
      </c>
      <c r="E1008" t="s">
        <v>69</v>
      </c>
      <c r="F1008" t="s">
        <v>70</v>
      </c>
      <c r="G1008" t="str">
        <f>"2025-09-27 10:51:34.955"</f>
        <v>2025-09-27 10:51:34.955</v>
      </c>
      <c r="H1008" t="s">
        <v>21</v>
      </c>
      <c r="I1008">
        <v>0</v>
      </c>
      <c r="J1008" t="s">
        <v>34</v>
      </c>
    </row>
    <row r="1009" spans="1:10" x14ac:dyDescent="0.25">
      <c r="A1009" s="1">
        <v>35</v>
      </c>
      <c r="B1009" t="s">
        <v>19</v>
      </c>
      <c r="C1009">
        <v>706</v>
      </c>
      <c r="D1009">
        <v>3</v>
      </c>
      <c r="E1009" t="s">
        <v>32</v>
      </c>
      <c r="F1009" t="s">
        <v>40</v>
      </c>
      <c r="G1009" t="str">
        <f>"2025-09-27 10:51:11.626"</f>
        <v>2025-09-27 10:51:11.626</v>
      </c>
      <c r="H1009" t="s">
        <v>21</v>
      </c>
      <c r="I1009">
        <v>0</v>
      </c>
      <c r="J1009" t="s">
        <v>34</v>
      </c>
    </row>
    <row r="1010" spans="1:10" x14ac:dyDescent="0.25">
      <c r="A1010" s="1">
        <v>36</v>
      </c>
      <c r="B1010" t="s">
        <v>39</v>
      </c>
      <c r="C1010">
        <v>47</v>
      </c>
      <c r="D1010">
        <v>2</v>
      </c>
      <c r="E1010" t="s">
        <v>71</v>
      </c>
      <c r="F1010" t="s">
        <v>72</v>
      </c>
      <c r="G1010" t="str">
        <f>"2025-09-27 10:50:36.268"</f>
        <v>2025-09-27 10:50:36.268</v>
      </c>
      <c r="H1010" t="s">
        <v>73</v>
      </c>
      <c r="I1010">
        <v>0</v>
      </c>
      <c r="J1010" t="s">
        <v>34</v>
      </c>
    </row>
    <row r="1011" spans="1:10" x14ac:dyDescent="0.25">
      <c r="A1011" s="1">
        <v>37</v>
      </c>
      <c r="B1011" t="s">
        <v>19</v>
      </c>
      <c r="C1011">
        <v>706</v>
      </c>
      <c r="D1011">
        <v>4</v>
      </c>
      <c r="E1011" t="s">
        <v>32</v>
      </c>
      <c r="F1011" t="s">
        <v>33</v>
      </c>
      <c r="G1011" t="str">
        <f>"2025-09-27 10:50:31.746"</f>
        <v>2025-09-27 10:50:31.746</v>
      </c>
      <c r="H1011" t="s">
        <v>21</v>
      </c>
      <c r="I1011">
        <v>0</v>
      </c>
      <c r="J1011" t="s">
        <v>34</v>
      </c>
    </row>
    <row r="1012" spans="1:10" x14ac:dyDescent="0.25">
      <c r="A1012" s="1">
        <v>38</v>
      </c>
      <c r="B1012" t="s">
        <v>19</v>
      </c>
      <c r="C1012">
        <v>706</v>
      </c>
      <c r="D1012">
        <v>3</v>
      </c>
      <c r="E1012" t="s">
        <v>32</v>
      </c>
      <c r="F1012" t="s">
        <v>40</v>
      </c>
      <c r="G1012" t="str">
        <f>"2025-09-27 10:31:19.956"</f>
        <v>2025-09-27 10:31:19.956</v>
      </c>
      <c r="H1012" t="s">
        <v>21</v>
      </c>
      <c r="I1012">
        <v>0</v>
      </c>
      <c r="J1012" t="s">
        <v>34</v>
      </c>
    </row>
    <row r="1013" spans="1:10" x14ac:dyDescent="0.25">
      <c r="A1013" s="1">
        <v>39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"2025-09-27 10:30:34.786"</f>
        <v>2025-09-27 10:30:34.786</v>
      </c>
      <c r="H1013" t="s">
        <v>21</v>
      </c>
    </row>
    <row r="1014" spans="1:10" x14ac:dyDescent="0.25">
      <c r="A1014" s="1">
        <v>40</v>
      </c>
      <c r="B1014" t="s">
        <v>19</v>
      </c>
      <c r="C1014">
        <v>706</v>
      </c>
      <c r="D1014">
        <v>3</v>
      </c>
      <c r="E1014" t="s">
        <v>32</v>
      </c>
      <c r="F1014" t="s">
        <v>40</v>
      </c>
      <c r="G1014" t="str">
        <f>"2025-09-27 09:09:52.888"</f>
        <v>2025-09-27 09:09:52.888</v>
      </c>
      <c r="H1014" t="s">
        <v>21</v>
      </c>
      <c r="I1014">
        <v>0</v>
      </c>
      <c r="J1014" t="s">
        <v>34</v>
      </c>
    </row>
    <row r="1015" spans="1:10" s="3" customFormat="1" x14ac:dyDescent="0.25">
      <c r="A1015" s="2">
        <v>41</v>
      </c>
      <c r="B1015" s="3" t="s">
        <v>23</v>
      </c>
      <c r="C1015" s="3">
        <v>647</v>
      </c>
      <c r="D1015" s="3">
        <v>1</v>
      </c>
      <c r="E1015" s="3" t="s">
        <v>29</v>
      </c>
      <c r="F1015" s="3" t="s">
        <v>30</v>
      </c>
      <c r="G1015" s="3" t="str">
        <f>"2025-09-26 15:37:15.309"</f>
        <v>2025-09-26 15:37:15.309</v>
      </c>
      <c r="H1015" s="3" t="s">
        <v>21</v>
      </c>
    </row>
    <row r="1016" spans="1:10" s="3" customFormat="1" x14ac:dyDescent="0.25">
      <c r="A1016" s="2">
        <v>42</v>
      </c>
      <c r="B1016" s="3" t="s">
        <v>26</v>
      </c>
      <c r="C1016" s="3">
        <v>647</v>
      </c>
      <c r="D1016" s="3">
        <v>1</v>
      </c>
      <c r="E1016" s="3" t="s">
        <v>29</v>
      </c>
      <c r="F1016" s="3" t="s">
        <v>30</v>
      </c>
      <c r="G1016" s="3" t="str">
        <f>"2025-09-26 15:37:12.410"</f>
        <v>2025-09-26 15:37:12.410</v>
      </c>
      <c r="H1016" s="3" t="s">
        <v>21</v>
      </c>
      <c r="I1016" s="3">
        <v>25.78</v>
      </c>
      <c r="J1016" s="3" t="s">
        <v>31</v>
      </c>
    </row>
    <row r="1017" spans="1:10" s="3" customFormat="1" x14ac:dyDescent="0.25">
      <c r="A1017" s="2">
        <v>43</v>
      </c>
      <c r="B1017" s="3" t="s">
        <v>23</v>
      </c>
      <c r="C1017" s="3">
        <v>647</v>
      </c>
      <c r="D1017" s="3">
        <v>1</v>
      </c>
      <c r="E1017" s="3" t="s">
        <v>29</v>
      </c>
      <c r="F1017" s="3" t="s">
        <v>30</v>
      </c>
      <c r="G1017" s="3" t="str">
        <f>"2025-09-26 12:19:30.709"</f>
        <v>2025-09-26 12:19:30.709</v>
      </c>
      <c r="H1017" s="3" t="s">
        <v>21</v>
      </c>
    </row>
    <row r="1018" spans="1:10" s="3" customFormat="1" x14ac:dyDescent="0.25">
      <c r="A1018" s="2">
        <v>44</v>
      </c>
      <c r="B1018" s="3" t="s">
        <v>26</v>
      </c>
      <c r="C1018" s="3">
        <v>647</v>
      </c>
      <c r="D1018" s="3">
        <v>1</v>
      </c>
      <c r="E1018" s="3" t="s">
        <v>29</v>
      </c>
      <c r="F1018" s="3" t="s">
        <v>30</v>
      </c>
      <c r="G1018" s="3" t="str">
        <f>"2025-09-26 12:19:27.609"</f>
        <v>2025-09-26 12:19:27.609</v>
      </c>
      <c r="H1018" s="3" t="s">
        <v>21</v>
      </c>
      <c r="I1018" s="3">
        <v>25.51</v>
      </c>
      <c r="J1018" s="3" t="s">
        <v>31</v>
      </c>
    </row>
    <row r="1019" spans="1:10" x14ac:dyDescent="0.25">
      <c r="A1019" s="1">
        <v>46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"2025-09-22 20:50:26.788"</f>
        <v>2025-09-22 20:50:26.788</v>
      </c>
      <c r="H1019" t="s">
        <v>21</v>
      </c>
      <c r="I1019">
        <v>0</v>
      </c>
      <c r="J1019" t="s">
        <v>22</v>
      </c>
    </row>
    <row r="1020" spans="1:10" x14ac:dyDescent="0.25">
      <c r="A1020" s="1">
        <v>47</v>
      </c>
      <c r="B1020" t="s">
        <v>19</v>
      </c>
      <c r="C1020">
        <v>706</v>
      </c>
      <c r="D1020">
        <v>2</v>
      </c>
      <c r="E1020" t="s">
        <v>32</v>
      </c>
      <c r="F1020" t="s">
        <v>35</v>
      </c>
      <c r="G1020" t="str">
        <f>"2025-09-21 20:58:29.302"</f>
        <v>2025-09-21 20:58:29.302</v>
      </c>
      <c r="H1020" t="s">
        <v>21</v>
      </c>
      <c r="I1020">
        <v>0</v>
      </c>
      <c r="J1020" t="s">
        <v>34</v>
      </c>
    </row>
    <row r="1021" spans="1:10" x14ac:dyDescent="0.25">
      <c r="A1021" s="1">
        <v>48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"2025-09-21 20:56:58.772"</f>
        <v>2025-09-21 20:56:58.772</v>
      </c>
      <c r="H1021" t="s">
        <v>21</v>
      </c>
    </row>
    <row r="1022" spans="1:10" x14ac:dyDescent="0.25">
      <c r="A1022" s="1">
        <v>49</v>
      </c>
      <c r="B1022" t="s">
        <v>23</v>
      </c>
      <c r="C1022">
        <v>635</v>
      </c>
      <c r="D1022">
        <v>1</v>
      </c>
      <c r="E1022" t="s">
        <v>24</v>
      </c>
      <c r="F1022" t="s">
        <v>25</v>
      </c>
      <c r="G1022" t="str">
        <f>"2025-09-21 14:46:29.687"</f>
        <v>2025-09-21 14:46:29.687</v>
      </c>
      <c r="H1022" t="s">
        <v>21</v>
      </c>
    </row>
    <row r="1023" spans="1:10" x14ac:dyDescent="0.25">
      <c r="A1023" s="1">
        <v>50</v>
      </c>
      <c r="B1023" t="s">
        <v>26</v>
      </c>
      <c r="C1023">
        <v>635</v>
      </c>
      <c r="D1023">
        <v>1</v>
      </c>
      <c r="E1023" t="s">
        <v>24</v>
      </c>
      <c r="F1023" t="s">
        <v>25</v>
      </c>
      <c r="G1023" t="str">
        <f>"2025-09-21 14:16:57.787"</f>
        <v>2025-09-21 14:16:57.787</v>
      </c>
      <c r="H1023" t="s">
        <v>21</v>
      </c>
      <c r="I1023">
        <v>6.74</v>
      </c>
      <c r="J1023" t="s">
        <v>27</v>
      </c>
    </row>
    <row r="1024" spans="1:10" x14ac:dyDescent="0.25">
      <c r="A1024" s="1">
        <v>51</v>
      </c>
      <c r="B1024" t="s">
        <v>23</v>
      </c>
      <c r="C1024">
        <v>635</v>
      </c>
      <c r="D1024">
        <v>1</v>
      </c>
      <c r="E1024" t="s">
        <v>24</v>
      </c>
      <c r="F1024" t="s">
        <v>25</v>
      </c>
      <c r="G1024" t="str">
        <f>"2025-09-18 16:47:19.487"</f>
        <v>2025-09-18 16:47:19.487</v>
      </c>
      <c r="H1024" t="s">
        <v>21</v>
      </c>
    </row>
    <row r="1025" spans="1:10" x14ac:dyDescent="0.25">
      <c r="A1025" s="1">
        <v>52</v>
      </c>
      <c r="B1025" t="s">
        <v>26</v>
      </c>
      <c r="C1025">
        <v>635</v>
      </c>
      <c r="D1025">
        <v>1</v>
      </c>
      <c r="E1025" t="s">
        <v>24</v>
      </c>
      <c r="F1025" t="s">
        <v>25</v>
      </c>
      <c r="G1025" t="str">
        <f>"2025-09-18 16:44:08.987"</f>
        <v>2025-09-18 16:44:08.987</v>
      </c>
      <c r="H1025" t="s">
        <v>21</v>
      </c>
      <c r="I1025">
        <v>6.61</v>
      </c>
      <c r="J1025" t="s">
        <v>31</v>
      </c>
    </row>
    <row r="1026" spans="1:10" s="3" customFormat="1" x14ac:dyDescent="0.25">
      <c r="A1026" s="2">
        <v>53</v>
      </c>
      <c r="B1026" s="3" t="s">
        <v>23</v>
      </c>
      <c r="C1026" s="3">
        <v>647</v>
      </c>
      <c r="D1026" s="3">
        <v>1</v>
      </c>
      <c r="E1026" s="3" t="s">
        <v>29</v>
      </c>
      <c r="F1026" s="3" t="s">
        <v>30</v>
      </c>
      <c r="G1026" s="3" t="str">
        <f>"2025-09-18 07:33:44.888"</f>
        <v>2025-09-18 07:33:44.888</v>
      </c>
      <c r="H1026" s="3" t="s">
        <v>21</v>
      </c>
    </row>
    <row r="1027" spans="1:10" s="3" customFormat="1" x14ac:dyDescent="0.25">
      <c r="A1027" s="2">
        <v>54</v>
      </c>
      <c r="B1027" s="3" t="s">
        <v>26</v>
      </c>
      <c r="C1027" s="3">
        <v>647</v>
      </c>
      <c r="D1027" s="3">
        <v>1</v>
      </c>
      <c r="E1027" s="3" t="s">
        <v>29</v>
      </c>
      <c r="F1027" s="3" t="s">
        <v>30</v>
      </c>
      <c r="G1027" s="3" t="str">
        <f>"2025-09-18 07:33:39.588"</f>
        <v>2025-09-18 07:33:39.588</v>
      </c>
      <c r="H1027" s="3" t="s">
        <v>21</v>
      </c>
      <c r="I1027" s="3">
        <v>28.3</v>
      </c>
      <c r="J1027" s="3" t="s">
        <v>31</v>
      </c>
    </row>
    <row r="1028" spans="1:10" x14ac:dyDescent="0.25">
      <c r="A1028" s="1">
        <v>56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"2025-09-16 18:16:33.746"</f>
        <v>2025-09-16 18:16:33.746</v>
      </c>
      <c r="H1028" t="s">
        <v>21</v>
      </c>
    </row>
    <row r="1029" spans="1:10" x14ac:dyDescent="0.25">
      <c r="A1029" s="1">
        <v>57</v>
      </c>
      <c r="B1029" t="s">
        <v>23</v>
      </c>
      <c r="C1029">
        <v>98</v>
      </c>
      <c r="D1029">
        <v>1</v>
      </c>
      <c r="E1029" t="s">
        <v>67</v>
      </c>
      <c r="F1029" t="s">
        <v>68</v>
      </c>
      <c r="G1029" t="str">
        <f>"2025-09-16 18:02:31.982"</f>
        <v>2025-09-16 18:02:31.982</v>
      </c>
      <c r="H1029" t="s">
        <v>21</v>
      </c>
    </row>
    <row r="1030" spans="1:10" x14ac:dyDescent="0.25">
      <c r="A1030" s="1">
        <v>58</v>
      </c>
      <c r="B1030" t="s">
        <v>26</v>
      </c>
      <c r="C1030">
        <v>98</v>
      </c>
      <c r="D1030">
        <v>1</v>
      </c>
      <c r="E1030" t="s">
        <v>67</v>
      </c>
      <c r="F1030" t="s">
        <v>68</v>
      </c>
      <c r="G1030" t="str">
        <f>"2025-09-16 18:02:30.982"</f>
        <v>2025-09-16 18:02:30.982</v>
      </c>
      <c r="H1030" t="s">
        <v>21</v>
      </c>
      <c r="I1030">
        <v>7.17</v>
      </c>
      <c r="J1030" t="s">
        <v>31</v>
      </c>
    </row>
    <row r="1031" spans="1:10" x14ac:dyDescent="0.25">
      <c r="A1031" s="1">
        <v>59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"2025-09-16 17:55:14.741"</f>
        <v>2025-09-16 17:55:14.741</v>
      </c>
      <c r="H1031" t="s">
        <v>21</v>
      </c>
      <c r="I1031">
        <v>0</v>
      </c>
      <c r="J1031" t="s">
        <v>22</v>
      </c>
    </row>
    <row r="1032" spans="1:10" x14ac:dyDescent="0.25">
      <c r="A1032" s="1">
        <v>60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"2025-09-16 15:27:33.731"</f>
        <v>2025-09-16 15:27:33.731</v>
      </c>
      <c r="H1032" t="s">
        <v>21</v>
      </c>
      <c r="I1032">
        <v>0</v>
      </c>
      <c r="J1032" t="s">
        <v>22</v>
      </c>
    </row>
    <row r="1033" spans="1:10" x14ac:dyDescent="0.25">
      <c r="A1033" s="1">
        <v>61</v>
      </c>
      <c r="B1033" t="s">
        <v>19</v>
      </c>
      <c r="C1033">
        <v>706</v>
      </c>
      <c r="D1033">
        <v>2</v>
      </c>
      <c r="E1033" t="s">
        <v>32</v>
      </c>
      <c r="F1033" t="s">
        <v>35</v>
      </c>
      <c r="G1033" t="str">
        <f>"2025-09-16 15:00:55.052"</f>
        <v>2025-09-16 15:00:55.052</v>
      </c>
      <c r="H1033" t="s">
        <v>21</v>
      </c>
      <c r="I1033">
        <v>0</v>
      </c>
      <c r="J1033" t="s">
        <v>34</v>
      </c>
    </row>
    <row r="1034" spans="1:10" x14ac:dyDescent="0.25">
      <c r="A1034" s="1">
        <v>62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"2025-09-16 14:49:22.762"</f>
        <v>2025-09-16 14:49:22.762</v>
      </c>
      <c r="H1034" t="s">
        <v>21</v>
      </c>
      <c r="I1034">
        <v>0</v>
      </c>
      <c r="J1034" t="s">
        <v>22</v>
      </c>
    </row>
    <row r="1035" spans="1:10" x14ac:dyDescent="0.25">
      <c r="A1035" s="1">
        <v>63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"2025-09-16 11:37:35.729"</f>
        <v>2025-09-16 11:37:35.729</v>
      </c>
      <c r="H1035" t="s">
        <v>21</v>
      </c>
      <c r="I1035">
        <v>0</v>
      </c>
      <c r="J1035" t="s">
        <v>22</v>
      </c>
    </row>
    <row r="1036" spans="1:10" s="3" customFormat="1" x14ac:dyDescent="0.25">
      <c r="A1036" s="2">
        <v>64</v>
      </c>
      <c r="B1036" s="3" t="s">
        <v>23</v>
      </c>
      <c r="C1036" s="3">
        <v>647</v>
      </c>
      <c r="D1036" s="3">
        <v>1</v>
      </c>
      <c r="E1036" s="3" t="s">
        <v>29</v>
      </c>
      <c r="F1036" s="3" t="s">
        <v>30</v>
      </c>
      <c r="G1036" s="3" t="str">
        <f>"2025-09-15 06:05:51.063"</f>
        <v>2025-09-15 06:05:51.063</v>
      </c>
      <c r="H1036" s="3" t="s">
        <v>21</v>
      </c>
    </row>
    <row r="1037" spans="1:10" s="3" customFormat="1" x14ac:dyDescent="0.25">
      <c r="A1037" s="2">
        <v>65</v>
      </c>
      <c r="B1037" s="3" t="s">
        <v>26</v>
      </c>
      <c r="C1037" s="3">
        <v>647</v>
      </c>
      <c r="D1037" s="3">
        <v>1</v>
      </c>
      <c r="E1037" s="3" t="s">
        <v>29</v>
      </c>
      <c r="F1037" s="3" t="s">
        <v>30</v>
      </c>
      <c r="G1037" s="3" t="str">
        <f>"2025-09-15 06:05:47.963"</f>
        <v>2025-09-15 06:05:47.963</v>
      </c>
      <c r="H1037" s="3" t="s">
        <v>21</v>
      </c>
      <c r="I1037" s="3">
        <v>8.83</v>
      </c>
      <c r="J1037" s="3" t="s">
        <v>31</v>
      </c>
    </row>
    <row r="1038" spans="1:10" x14ac:dyDescent="0.25">
      <c r="A1038" s="1">
        <v>66</v>
      </c>
      <c r="B1038" t="s">
        <v>23</v>
      </c>
      <c r="C1038">
        <v>635</v>
      </c>
      <c r="D1038">
        <v>1</v>
      </c>
      <c r="E1038" t="s">
        <v>24</v>
      </c>
      <c r="F1038" t="s">
        <v>25</v>
      </c>
      <c r="G1038" t="str">
        <f>"2025-09-14 11:03:43.262"</f>
        <v>2025-09-14 11:03:43.262</v>
      </c>
      <c r="H1038" t="s">
        <v>21</v>
      </c>
    </row>
    <row r="1039" spans="1:10" x14ac:dyDescent="0.25">
      <c r="A1039" s="1">
        <v>67</v>
      </c>
      <c r="B1039" t="s">
        <v>26</v>
      </c>
      <c r="C1039">
        <v>635</v>
      </c>
      <c r="D1039">
        <v>1</v>
      </c>
      <c r="E1039" t="s">
        <v>24</v>
      </c>
      <c r="F1039" t="s">
        <v>25</v>
      </c>
      <c r="G1039" t="str">
        <f>"2025-09-14 10:57:53.262"</f>
        <v>2025-09-14 10:57:53.262</v>
      </c>
      <c r="H1039" t="s">
        <v>21</v>
      </c>
      <c r="I1039">
        <v>5.48</v>
      </c>
      <c r="J1039" t="s">
        <v>28</v>
      </c>
    </row>
    <row r="1040" spans="1:10" x14ac:dyDescent="0.25">
      <c r="A1040" s="1">
        <v>68</v>
      </c>
      <c r="B1040" t="s">
        <v>23</v>
      </c>
      <c r="C1040">
        <v>635</v>
      </c>
      <c r="D1040">
        <v>1</v>
      </c>
      <c r="E1040" t="s">
        <v>24</v>
      </c>
      <c r="F1040" t="s">
        <v>25</v>
      </c>
      <c r="G1040" t="str">
        <f>"2025-09-14 02:09:54.262"</f>
        <v>2025-09-14 02:09:54.262</v>
      </c>
      <c r="H1040" t="s">
        <v>21</v>
      </c>
    </row>
    <row r="1041" spans="1:10" x14ac:dyDescent="0.25">
      <c r="A1041" s="1">
        <v>69</v>
      </c>
      <c r="B1041" t="s">
        <v>26</v>
      </c>
      <c r="C1041">
        <v>635</v>
      </c>
      <c r="D1041">
        <v>1</v>
      </c>
      <c r="E1041" t="s">
        <v>24</v>
      </c>
      <c r="F1041" t="s">
        <v>25</v>
      </c>
      <c r="G1041" t="str">
        <f>"2025-09-14 01:54:10.763"</f>
        <v>2025-09-14 01:54:10.763</v>
      </c>
      <c r="H1041" t="s">
        <v>21</v>
      </c>
      <c r="I1041">
        <v>4.58</v>
      </c>
      <c r="J1041" t="s">
        <v>27</v>
      </c>
    </row>
    <row r="1042" spans="1:10" s="3" customFormat="1" x14ac:dyDescent="0.25">
      <c r="A1042" s="2">
        <v>70</v>
      </c>
      <c r="B1042" s="3" t="s">
        <v>23</v>
      </c>
      <c r="C1042" s="3">
        <v>647</v>
      </c>
      <c r="D1042" s="3">
        <v>1</v>
      </c>
      <c r="E1042" s="3" t="s">
        <v>29</v>
      </c>
      <c r="F1042" s="3" t="s">
        <v>30</v>
      </c>
      <c r="G1042" s="3" t="str">
        <f>"2025-09-14 00:51:43.263"</f>
        <v>2025-09-14 00:51:43.263</v>
      </c>
      <c r="H1042" s="3" t="s">
        <v>21</v>
      </c>
    </row>
    <row r="1043" spans="1:10" s="3" customFormat="1" x14ac:dyDescent="0.25">
      <c r="A1043" s="2">
        <v>71</v>
      </c>
      <c r="B1043" s="3" t="s">
        <v>26</v>
      </c>
      <c r="C1043" s="3">
        <v>647</v>
      </c>
      <c r="D1043" s="3">
        <v>1</v>
      </c>
      <c r="E1043" s="3" t="s">
        <v>29</v>
      </c>
      <c r="F1043" s="3" t="s">
        <v>30</v>
      </c>
      <c r="G1043" s="3" t="str">
        <f>"2025-09-14 00:51:41.563"</f>
        <v>2025-09-14 00:51:41.563</v>
      </c>
      <c r="H1043" s="3" t="s">
        <v>21</v>
      </c>
      <c r="I1043" s="3">
        <v>9.99</v>
      </c>
      <c r="J1043" s="3" t="s">
        <v>31</v>
      </c>
    </row>
    <row r="1044" spans="1:10" s="3" customFormat="1" x14ac:dyDescent="0.25">
      <c r="A1044" s="2">
        <v>72</v>
      </c>
      <c r="B1044" s="3" t="s">
        <v>23</v>
      </c>
      <c r="C1044" s="3">
        <v>647</v>
      </c>
      <c r="D1044" s="3">
        <v>1</v>
      </c>
      <c r="E1044" s="3" t="s">
        <v>29</v>
      </c>
      <c r="F1044" s="3" t="s">
        <v>30</v>
      </c>
      <c r="G1044" s="3" t="str">
        <f>"2025-09-14 00:09:43.263"</f>
        <v>2025-09-14 00:09:43.263</v>
      </c>
      <c r="H1044" s="3" t="s">
        <v>21</v>
      </c>
    </row>
    <row r="1045" spans="1:10" s="3" customFormat="1" x14ac:dyDescent="0.25">
      <c r="A1045" s="2">
        <v>73</v>
      </c>
      <c r="B1045" s="3" t="s">
        <v>26</v>
      </c>
      <c r="C1045" s="3">
        <v>647</v>
      </c>
      <c r="D1045" s="3">
        <v>1</v>
      </c>
      <c r="E1045" s="3" t="s">
        <v>29</v>
      </c>
      <c r="F1045" s="3" t="s">
        <v>30</v>
      </c>
      <c r="G1045" s="3" t="str">
        <f>"2025-09-14 00:09:37.563"</f>
        <v>2025-09-14 00:09:37.563</v>
      </c>
      <c r="H1045" s="3" t="s">
        <v>21</v>
      </c>
      <c r="I1045" s="3">
        <v>27.59</v>
      </c>
      <c r="J1045" s="3" t="s">
        <v>31</v>
      </c>
    </row>
    <row r="1046" spans="1:10" s="3" customFormat="1" x14ac:dyDescent="0.25">
      <c r="A1046" s="2">
        <v>74</v>
      </c>
      <c r="B1046" s="3" t="s">
        <v>23</v>
      </c>
      <c r="C1046" s="3">
        <v>647</v>
      </c>
      <c r="D1046" s="3">
        <v>1</v>
      </c>
      <c r="E1046" s="3" t="s">
        <v>29</v>
      </c>
      <c r="F1046" s="3" t="s">
        <v>30</v>
      </c>
      <c r="G1046" s="3" t="str">
        <f>"2025-09-13 05:49:30.563"</f>
        <v>2025-09-13 05:49:30.563</v>
      </c>
      <c r="H1046" s="3" t="s">
        <v>21</v>
      </c>
    </row>
    <row r="1047" spans="1:10" s="3" customFormat="1" x14ac:dyDescent="0.25">
      <c r="A1047" s="2">
        <v>75</v>
      </c>
      <c r="B1047" s="3" t="s">
        <v>26</v>
      </c>
      <c r="C1047" s="3">
        <v>647</v>
      </c>
      <c r="D1047" s="3">
        <v>1</v>
      </c>
      <c r="E1047" s="3" t="s">
        <v>29</v>
      </c>
      <c r="F1047" s="3" t="s">
        <v>30</v>
      </c>
      <c r="G1047" s="3" t="str">
        <f>"2025-09-13 05:49:28.963"</f>
        <v>2025-09-13 05:49:28.963</v>
      </c>
      <c r="H1047" s="3" t="s">
        <v>21</v>
      </c>
      <c r="I1047" s="3">
        <v>15.81</v>
      </c>
      <c r="J1047" s="3" t="s">
        <v>31</v>
      </c>
    </row>
    <row r="1048" spans="1:10" s="3" customFormat="1" x14ac:dyDescent="0.25">
      <c r="A1048" s="2">
        <v>76</v>
      </c>
      <c r="B1048" s="3" t="s">
        <v>23</v>
      </c>
      <c r="C1048" s="3">
        <v>647</v>
      </c>
      <c r="D1048" s="3">
        <v>1</v>
      </c>
      <c r="E1048" s="3" t="s">
        <v>29</v>
      </c>
      <c r="F1048" s="3" t="s">
        <v>30</v>
      </c>
      <c r="G1048" s="3" t="str">
        <f>"2025-09-13 00:24:03.763"</f>
        <v>2025-09-13 00:24:03.763</v>
      </c>
      <c r="H1048" s="3" t="s">
        <v>21</v>
      </c>
    </row>
    <row r="1049" spans="1:10" s="3" customFormat="1" x14ac:dyDescent="0.25">
      <c r="A1049" s="2">
        <v>77</v>
      </c>
      <c r="B1049" s="3" t="s">
        <v>26</v>
      </c>
      <c r="C1049" s="3">
        <v>647</v>
      </c>
      <c r="D1049" s="3">
        <v>1</v>
      </c>
      <c r="E1049" s="3" t="s">
        <v>29</v>
      </c>
      <c r="F1049" s="3" t="s">
        <v>30</v>
      </c>
      <c r="G1049" s="3" t="str">
        <f>"2025-09-13 00:24:02.663"</f>
        <v>2025-09-13 00:24:02.663</v>
      </c>
      <c r="H1049" s="3" t="s">
        <v>21</v>
      </c>
      <c r="I1049" s="3">
        <v>18.82</v>
      </c>
      <c r="J1049" s="3" t="s">
        <v>31</v>
      </c>
    </row>
    <row r="1050" spans="1:10" x14ac:dyDescent="0.25">
      <c r="A1050" s="1">
        <v>78</v>
      </c>
      <c r="B1050" t="s">
        <v>23</v>
      </c>
      <c r="C1050">
        <v>61</v>
      </c>
      <c r="D1050">
        <v>2</v>
      </c>
      <c r="E1050" t="s">
        <v>41</v>
      </c>
      <c r="F1050" t="s">
        <v>42</v>
      </c>
      <c r="G1050" t="str">
        <f>"2025-09-12 16:22:21.575"</f>
        <v>2025-09-12 16:22:21.575</v>
      </c>
      <c r="H1050" t="s">
        <v>21</v>
      </c>
    </row>
    <row r="1051" spans="1:10" x14ac:dyDescent="0.25">
      <c r="A1051" s="1">
        <v>79</v>
      </c>
      <c r="B1051" t="s">
        <v>39</v>
      </c>
      <c r="C1051">
        <v>61</v>
      </c>
      <c r="D1051">
        <v>2</v>
      </c>
      <c r="E1051" t="s">
        <v>41</v>
      </c>
      <c r="F1051" t="s">
        <v>42</v>
      </c>
      <c r="G1051" t="str">
        <f>"2025-09-12 16:22:13.375"</f>
        <v>2025-09-12 16:22:13.375</v>
      </c>
      <c r="H1051" t="s">
        <v>21</v>
      </c>
      <c r="I1051">
        <v>35.36</v>
      </c>
      <c r="J1051" t="s">
        <v>31</v>
      </c>
    </row>
    <row r="1052" spans="1:10" x14ac:dyDescent="0.25">
      <c r="A1052" s="1">
        <v>80</v>
      </c>
      <c r="B1052" t="s">
        <v>23</v>
      </c>
      <c r="C1052">
        <v>635</v>
      </c>
      <c r="D1052">
        <v>1</v>
      </c>
      <c r="E1052" t="s">
        <v>24</v>
      </c>
      <c r="F1052" t="s">
        <v>25</v>
      </c>
      <c r="G1052" t="str">
        <f>"2025-09-12 06:37:01.262"</f>
        <v>2025-09-12 06:37:01.262</v>
      </c>
      <c r="H1052" t="s">
        <v>21</v>
      </c>
    </row>
    <row r="1053" spans="1:10" x14ac:dyDescent="0.25">
      <c r="A1053" s="1">
        <v>81</v>
      </c>
      <c r="B1053" t="s">
        <v>26</v>
      </c>
      <c r="C1053">
        <v>635</v>
      </c>
      <c r="D1053">
        <v>1</v>
      </c>
      <c r="E1053" t="s">
        <v>24</v>
      </c>
      <c r="F1053" t="s">
        <v>25</v>
      </c>
      <c r="G1053" t="str">
        <f>"2025-09-12 06:18:09.762"</f>
        <v>2025-09-12 06:18:09.762</v>
      </c>
      <c r="H1053" t="s">
        <v>21</v>
      </c>
      <c r="I1053">
        <v>8.67</v>
      </c>
      <c r="J1053" t="s">
        <v>27</v>
      </c>
    </row>
    <row r="1054" spans="1:10" s="3" customFormat="1" x14ac:dyDescent="0.25">
      <c r="A1054" s="2">
        <v>82</v>
      </c>
      <c r="B1054" s="3" t="s">
        <v>23</v>
      </c>
      <c r="C1054" s="3">
        <v>647</v>
      </c>
      <c r="D1054" s="3">
        <v>1</v>
      </c>
      <c r="E1054" s="3" t="s">
        <v>29</v>
      </c>
      <c r="F1054" s="3" t="s">
        <v>30</v>
      </c>
      <c r="G1054" s="3" t="str">
        <f>"2025-09-11 02:57:11.663"</f>
        <v>2025-09-11 02:57:11.663</v>
      </c>
      <c r="H1054" s="3" t="s">
        <v>21</v>
      </c>
    </row>
    <row r="1055" spans="1:10" s="3" customFormat="1" x14ac:dyDescent="0.25">
      <c r="A1055" s="2">
        <v>83</v>
      </c>
      <c r="B1055" s="3" t="s">
        <v>26</v>
      </c>
      <c r="C1055" s="3">
        <v>647</v>
      </c>
      <c r="D1055" s="3">
        <v>1</v>
      </c>
      <c r="E1055" s="3" t="s">
        <v>29</v>
      </c>
      <c r="F1055" s="3" t="s">
        <v>30</v>
      </c>
      <c r="G1055" s="3" t="str">
        <f>"2025-09-11 02:57:07.663"</f>
        <v>2025-09-11 02:57:07.663</v>
      </c>
      <c r="H1055" s="3" t="s">
        <v>21</v>
      </c>
      <c r="I1055" s="3">
        <v>8.36</v>
      </c>
      <c r="J1055" s="3" t="s">
        <v>31</v>
      </c>
    </row>
    <row r="1056" spans="1:10" s="3" customFormat="1" x14ac:dyDescent="0.25">
      <c r="A1056" s="2">
        <v>84</v>
      </c>
      <c r="B1056" s="3" t="s">
        <v>23</v>
      </c>
      <c r="C1056" s="3">
        <v>647</v>
      </c>
      <c r="D1056" s="3">
        <v>1</v>
      </c>
      <c r="E1056" s="3" t="s">
        <v>29</v>
      </c>
      <c r="F1056" s="3" t="s">
        <v>30</v>
      </c>
      <c r="G1056" s="3" t="str">
        <f>"2025-09-10 23:55:40.163"</f>
        <v>2025-09-10 23:55:40.163</v>
      </c>
      <c r="H1056" s="3" t="s">
        <v>21</v>
      </c>
    </row>
    <row r="1057" spans="1:10" s="3" customFormat="1" x14ac:dyDescent="0.25">
      <c r="A1057" s="2">
        <v>85</v>
      </c>
      <c r="B1057" s="3" t="s">
        <v>26</v>
      </c>
      <c r="C1057" s="3">
        <v>647</v>
      </c>
      <c r="D1057" s="3">
        <v>1</v>
      </c>
      <c r="E1057" s="3" t="s">
        <v>29</v>
      </c>
      <c r="F1057" s="3" t="s">
        <v>30</v>
      </c>
      <c r="G1057" s="3" t="str">
        <f>"2025-09-10 23:55:36.063"</f>
        <v>2025-09-10 23:55:36.063</v>
      </c>
      <c r="H1057" s="3" t="s">
        <v>21</v>
      </c>
      <c r="I1057" s="3">
        <v>15.97</v>
      </c>
      <c r="J1057" s="3" t="s">
        <v>31</v>
      </c>
    </row>
    <row r="1058" spans="1:10" x14ac:dyDescent="0.25">
      <c r="A1058" s="1">
        <v>86</v>
      </c>
      <c r="B1058" t="s">
        <v>23</v>
      </c>
      <c r="C1058">
        <v>635</v>
      </c>
      <c r="D1058">
        <v>1</v>
      </c>
      <c r="E1058" t="s">
        <v>24</v>
      </c>
      <c r="F1058" t="s">
        <v>25</v>
      </c>
      <c r="G1058" t="str">
        <f>"2025-09-10 12:29:48.062"</f>
        <v>2025-09-10 12:29:48.062</v>
      </c>
      <c r="H1058" t="s">
        <v>21</v>
      </c>
    </row>
    <row r="1059" spans="1:10" x14ac:dyDescent="0.25">
      <c r="A1059" s="1">
        <v>87</v>
      </c>
      <c r="B1059" t="s">
        <v>26</v>
      </c>
      <c r="C1059">
        <v>635</v>
      </c>
      <c r="D1059">
        <v>1</v>
      </c>
      <c r="E1059" t="s">
        <v>24</v>
      </c>
      <c r="F1059" t="s">
        <v>25</v>
      </c>
      <c r="G1059" t="str">
        <f>"2025-09-10 12:27:25.562"</f>
        <v>2025-09-10 12:27:25.562</v>
      </c>
      <c r="H1059" t="s">
        <v>21</v>
      </c>
      <c r="I1059">
        <v>3.21</v>
      </c>
      <c r="J1059" t="s">
        <v>27</v>
      </c>
    </row>
    <row r="1060" spans="1:10" s="3" customFormat="1" x14ac:dyDescent="0.25">
      <c r="A1060" s="2">
        <v>88</v>
      </c>
      <c r="B1060" s="3" t="s">
        <v>23</v>
      </c>
      <c r="C1060" s="3">
        <v>647</v>
      </c>
      <c r="D1060" s="3">
        <v>1</v>
      </c>
      <c r="E1060" s="3" t="s">
        <v>29</v>
      </c>
      <c r="F1060" s="3" t="s">
        <v>30</v>
      </c>
      <c r="G1060" s="3" t="str">
        <f>"2025-09-09 22:33:50.363"</f>
        <v>2025-09-09 22:33:50.363</v>
      </c>
      <c r="H1060" s="3" t="s">
        <v>21</v>
      </c>
    </row>
    <row r="1061" spans="1:10" s="3" customFormat="1" x14ac:dyDescent="0.25">
      <c r="A1061" s="2">
        <v>89</v>
      </c>
      <c r="B1061" s="3" t="s">
        <v>26</v>
      </c>
      <c r="C1061" s="3">
        <v>647</v>
      </c>
      <c r="D1061" s="3">
        <v>1</v>
      </c>
      <c r="E1061" s="3" t="s">
        <v>29</v>
      </c>
      <c r="F1061" s="3" t="s">
        <v>30</v>
      </c>
      <c r="G1061" s="3" t="str">
        <f>"2025-09-09 22:33:41.663"</f>
        <v>2025-09-09 22:33:41.663</v>
      </c>
      <c r="H1061" s="3" t="s">
        <v>21</v>
      </c>
      <c r="I1061" s="3">
        <v>16.59</v>
      </c>
      <c r="J1061" s="3" t="s">
        <v>31</v>
      </c>
    </row>
    <row r="1062" spans="1:10" s="3" customFormat="1" x14ac:dyDescent="0.25">
      <c r="A1062" s="2">
        <v>90</v>
      </c>
      <c r="B1062" s="3" t="s">
        <v>23</v>
      </c>
      <c r="C1062" s="3">
        <v>647</v>
      </c>
      <c r="D1062" s="3">
        <v>1</v>
      </c>
      <c r="E1062" s="3" t="s">
        <v>29</v>
      </c>
      <c r="F1062" s="3" t="s">
        <v>30</v>
      </c>
      <c r="G1062" s="3" t="str">
        <f>"2025-09-08 20:17:21.663"</f>
        <v>2025-09-08 20:17:21.663</v>
      </c>
      <c r="H1062" s="3" t="s">
        <v>21</v>
      </c>
    </row>
    <row r="1063" spans="1:10" s="3" customFormat="1" x14ac:dyDescent="0.25">
      <c r="A1063" s="2">
        <v>91</v>
      </c>
      <c r="B1063" s="3" t="s">
        <v>26</v>
      </c>
      <c r="C1063" s="3">
        <v>647</v>
      </c>
      <c r="D1063" s="3">
        <v>1</v>
      </c>
      <c r="E1063" s="3" t="s">
        <v>29</v>
      </c>
      <c r="F1063" s="3" t="s">
        <v>30</v>
      </c>
      <c r="G1063" s="3" t="str">
        <f>"2025-09-08 20:17:13.963"</f>
        <v>2025-09-08 20:17:13.963</v>
      </c>
      <c r="H1063" s="3" t="s">
        <v>21</v>
      </c>
      <c r="I1063" s="3">
        <v>13.13</v>
      </c>
      <c r="J1063" s="3" t="s">
        <v>31</v>
      </c>
    </row>
    <row r="1064" spans="1:10" s="3" customFormat="1" x14ac:dyDescent="0.25">
      <c r="A1064" s="2">
        <v>92</v>
      </c>
      <c r="B1064" s="3" t="s">
        <v>23</v>
      </c>
      <c r="C1064" s="3">
        <v>647</v>
      </c>
      <c r="D1064" s="3">
        <v>1</v>
      </c>
      <c r="E1064" s="3" t="s">
        <v>29</v>
      </c>
      <c r="F1064" s="3" t="s">
        <v>30</v>
      </c>
      <c r="G1064" s="3" t="str">
        <f>"2025-09-08 03:24:17.163"</f>
        <v>2025-09-08 03:24:17.163</v>
      </c>
      <c r="H1064" s="3" t="s">
        <v>21</v>
      </c>
    </row>
    <row r="1065" spans="1:10" s="3" customFormat="1" x14ac:dyDescent="0.25">
      <c r="A1065" s="2">
        <v>93</v>
      </c>
      <c r="B1065" s="3" t="s">
        <v>26</v>
      </c>
      <c r="C1065" s="3">
        <v>647</v>
      </c>
      <c r="D1065" s="3">
        <v>1</v>
      </c>
      <c r="E1065" s="3" t="s">
        <v>29</v>
      </c>
      <c r="F1065" s="3" t="s">
        <v>30</v>
      </c>
      <c r="G1065" s="3" t="str">
        <f>"2025-09-08 03:24:16.063"</f>
        <v>2025-09-08 03:24:16.063</v>
      </c>
      <c r="H1065" s="3" t="s">
        <v>21</v>
      </c>
      <c r="I1065" s="3">
        <v>17.39</v>
      </c>
      <c r="J1065" s="3" t="s">
        <v>31</v>
      </c>
    </row>
    <row r="1066" spans="1:10" x14ac:dyDescent="0.25">
      <c r="A1066" s="1">
        <v>94</v>
      </c>
      <c r="B1066" t="s">
        <v>23</v>
      </c>
      <c r="C1066">
        <v>635</v>
      </c>
      <c r="D1066">
        <v>1</v>
      </c>
      <c r="E1066" t="s">
        <v>24</v>
      </c>
      <c r="F1066" t="s">
        <v>25</v>
      </c>
      <c r="G1066" t="str">
        <f>"2025-09-07 05:46:18.262"</f>
        <v>2025-09-07 05:46:18.262</v>
      </c>
      <c r="H1066" t="s">
        <v>21</v>
      </c>
    </row>
    <row r="1067" spans="1:10" x14ac:dyDescent="0.25">
      <c r="A1067" s="1">
        <v>95</v>
      </c>
      <c r="B1067" t="s">
        <v>26</v>
      </c>
      <c r="C1067">
        <v>635</v>
      </c>
      <c r="D1067">
        <v>1</v>
      </c>
      <c r="E1067" t="s">
        <v>24</v>
      </c>
      <c r="F1067" t="s">
        <v>25</v>
      </c>
      <c r="G1067" t="str">
        <f>"2025-09-07 05:18:31.763"</f>
        <v>2025-09-07 05:18:31.763</v>
      </c>
      <c r="H1067" t="s">
        <v>21</v>
      </c>
      <c r="I1067">
        <v>3.05</v>
      </c>
      <c r="J1067" t="s">
        <v>27</v>
      </c>
    </row>
    <row r="1068" spans="1:10" x14ac:dyDescent="0.25">
      <c r="A1068" s="1">
        <v>96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"2025-09-06 09:28:59.721"</f>
        <v>2025-09-06 09:28:59.721</v>
      </c>
      <c r="H1068" t="s">
        <v>21</v>
      </c>
      <c r="I1068">
        <v>0</v>
      </c>
      <c r="J1068" t="s">
        <v>22</v>
      </c>
    </row>
    <row r="1069" spans="1:10" x14ac:dyDescent="0.25">
      <c r="A1069" s="1">
        <v>97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"2025-09-06 09:00:00.728"</f>
        <v>2025-09-06 09:00:00.728</v>
      </c>
      <c r="H1069" t="s">
        <v>21</v>
      </c>
      <c r="I1069">
        <v>0</v>
      </c>
      <c r="J1069" t="s">
        <v>22</v>
      </c>
    </row>
    <row r="1070" spans="1:10" x14ac:dyDescent="0.25">
      <c r="A1070" s="1">
        <v>98</v>
      </c>
      <c r="B1070" t="s">
        <v>19</v>
      </c>
      <c r="C1070">
        <v>706</v>
      </c>
      <c r="D1070">
        <v>4</v>
      </c>
      <c r="E1070" t="s">
        <v>32</v>
      </c>
      <c r="F1070" t="s">
        <v>33</v>
      </c>
      <c r="G1070" t="str">
        <f>"2025-09-06 08:16:40.652"</f>
        <v>2025-09-06 08:16:40.652</v>
      </c>
      <c r="H1070" t="s">
        <v>21</v>
      </c>
      <c r="I1070">
        <v>0</v>
      </c>
      <c r="J1070" t="s">
        <v>34</v>
      </c>
    </row>
    <row r="1071" spans="1:10" x14ac:dyDescent="0.25">
      <c r="A1071" s="1">
        <v>99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"2025-09-06 08:16:23.742"</f>
        <v>2025-09-06 08:16:23.742</v>
      </c>
      <c r="H1071" t="s">
        <v>21</v>
      </c>
      <c r="I1071">
        <v>0</v>
      </c>
      <c r="J1071" t="s">
        <v>22</v>
      </c>
    </row>
    <row r="1072" spans="1:10" x14ac:dyDescent="0.25">
      <c r="A1072" s="1">
        <v>100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"2025-09-05 23:09:07.724"</f>
        <v>2025-09-05 23:09:07.724</v>
      </c>
      <c r="H1072" t="s">
        <v>21</v>
      </c>
      <c r="I1072">
        <v>0</v>
      </c>
      <c r="J1072" t="s">
        <v>22</v>
      </c>
    </row>
    <row r="1073" spans="1:10" x14ac:dyDescent="0.25">
      <c r="A1073" s="1">
        <v>101</v>
      </c>
      <c r="B1073" t="s">
        <v>19</v>
      </c>
      <c r="C1073">
        <v>706</v>
      </c>
      <c r="D1073">
        <v>2</v>
      </c>
      <c r="E1073" t="s">
        <v>32</v>
      </c>
      <c r="F1073" t="s">
        <v>35</v>
      </c>
      <c r="G1073" t="str">
        <f>"2025-09-05 22:55:22.649"</f>
        <v>2025-09-05 22:55:22.649</v>
      </c>
      <c r="H1073" t="s">
        <v>21</v>
      </c>
      <c r="I1073">
        <v>0</v>
      </c>
      <c r="J1073" t="s">
        <v>34</v>
      </c>
    </row>
    <row r="1074" spans="1:10" x14ac:dyDescent="0.25">
      <c r="A1074" s="1">
        <v>102</v>
      </c>
      <c r="B1074" t="s">
        <v>23</v>
      </c>
      <c r="C1074">
        <v>630</v>
      </c>
      <c r="D1074">
        <v>5</v>
      </c>
      <c r="E1074" t="s">
        <v>36</v>
      </c>
      <c r="F1074" t="s">
        <v>37</v>
      </c>
      <c r="G1074" t="str">
        <f>"2025-09-05 22:20:54.821"</f>
        <v>2025-09-05 22:20:54.821</v>
      </c>
      <c r="H1074" t="s">
        <v>38</v>
      </c>
    </row>
    <row r="1075" spans="1:10" x14ac:dyDescent="0.25">
      <c r="A1075" s="1">
        <v>103</v>
      </c>
      <c r="B1075" t="s">
        <v>39</v>
      </c>
      <c r="C1075">
        <v>630</v>
      </c>
      <c r="D1075">
        <v>5</v>
      </c>
      <c r="E1075" t="s">
        <v>36</v>
      </c>
      <c r="F1075" t="s">
        <v>37</v>
      </c>
      <c r="G1075" t="str">
        <f>"2025-09-05 22:06:07.521"</f>
        <v>2025-09-05 22:06:07.521</v>
      </c>
      <c r="H1075" t="s">
        <v>38</v>
      </c>
      <c r="I1075">
        <v>0</v>
      </c>
      <c r="J1075" t="s">
        <v>34</v>
      </c>
    </row>
    <row r="1076" spans="1:10" x14ac:dyDescent="0.25">
      <c r="A1076" s="1">
        <v>104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"2025-09-05 22:01:04.729"</f>
        <v>2025-09-05 22:01:04.729</v>
      </c>
      <c r="H1076" t="s">
        <v>21</v>
      </c>
      <c r="I1076">
        <v>0</v>
      </c>
      <c r="J1076" t="s">
        <v>22</v>
      </c>
    </row>
    <row r="1077" spans="1:10" x14ac:dyDescent="0.25">
      <c r="A1077" s="1">
        <v>105</v>
      </c>
      <c r="B1077" t="s">
        <v>39</v>
      </c>
      <c r="C1077">
        <v>630</v>
      </c>
      <c r="D1077">
        <v>5</v>
      </c>
      <c r="E1077" t="s">
        <v>36</v>
      </c>
      <c r="F1077" t="s">
        <v>37</v>
      </c>
      <c r="G1077" t="str">
        <f>"2025-09-05 21:43:02.610"</f>
        <v>2025-09-05 21:43:02.610</v>
      </c>
      <c r="H1077" t="s">
        <v>38</v>
      </c>
      <c r="I1077">
        <v>0</v>
      </c>
      <c r="J1077" t="s">
        <v>34</v>
      </c>
    </row>
    <row r="1078" spans="1:10" x14ac:dyDescent="0.25">
      <c r="A1078" s="1">
        <v>106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"2025-09-05 21:37:59.813"</f>
        <v>2025-09-05 21:37:59.813</v>
      </c>
      <c r="H1078" t="s">
        <v>21</v>
      </c>
    </row>
    <row r="1079" spans="1:10" x14ac:dyDescent="0.25">
      <c r="A1079" s="1">
        <v>107</v>
      </c>
      <c r="B1079" t="s">
        <v>19</v>
      </c>
      <c r="C1079">
        <v>706</v>
      </c>
      <c r="D1079">
        <v>4</v>
      </c>
      <c r="E1079" t="s">
        <v>32</v>
      </c>
      <c r="F1079" t="s">
        <v>33</v>
      </c>
      <c r="G1079" t="str">
        <f>"2025-09-05 21:34:08.731"</f>
        <v>2025-09-05 21:34:08.731</v>
      </c>
      <c r="H1079" t="s">
        <v>21</v>
      </c>
      <c r="I1079">
        <v>0</v>
      </c>
      <c r="J1079" t="s">
        <v>34</v>
      </c>
    </row>
    <row r="1080" spans="1:10" x14ac:dyDescent="0.25">
      <c r="A1080" s="1">
        <v>108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"2025-09-05 21:33:27.721"</f>
        <v>2025-09-05 21:33:27.721</v>
      </c>
      <c r="H1080" t="s">
        <v>21</v>
      </c>
    </row>
    <row r="1081" spans="1:10" x14ac:dyDescent="0.25">
      <c r="A1081" s="1">
        <v>109</v>
      </c>
      <c r="B1081" t="s">
        <v>23</v>
      </c>
      <c r="C1081">
        <v>635</v>
      </c>
      <c r="D1081">
        <v>1</v>
      </c>
      <c r="E1081" t="s">
        <v>24</v>
      </c>
      <c r="F1081" t="s">
        <v>25</v>
      </c>
      <c r="G1081" t="str">
        <f>"2025-09-05 16:06:38.302"</f>
        <v>2025-09-05 16:06:38.302</v>
      </c>
      <c r="H1081" t="s">
        <v>21</v>
      </c>
    </row>
    <row r="1082" spans="1:10" x14ac:dyDescent="0.25">
      <c r="A1082" s="1">
        <v>110</v>
      </c>
      <c r="B1082" t="s">
        <v>26</v>
      </c>
      <c r="C1082">
        <v>635</v>
      </c>
      <c r="D1082">
        <v>1</v>
      </c>
      <c r="E1082" t="s">
        <v>24</v>
      </c>
      <c r="F1082" t="s">
        <v>25</v>
      </c>
      <c r="G1082" t="str">
        <f>"2025-09-05 15:57:52.302"</f>
        <v>2025-09-05 15:57:52.302</v>
      </c>
      <c r="H1082" t="s">
        <v>21</v>
      </c>
      <c r="I1082">
        <v>7.86</v>
      </c>
      <c r="J1082" t="s">
        <v>27</v>
      </c>
    </row>
    <row r="1083" spans="1:10" x14ac:dyDescent="0.25">
      <c r="A1083" s="1">
        <v>111</v>
      </c>
      <c r="B1083" t="s">
        <v>23</v>
      </c>
      <c r="C1083">
        <v>635</v>
      </c>
      <c r="D1083">
        <v>1</v>
      </c>
      <c r="E1083" t="s">
        <v>24</v>
      </c>
      <c r="F1083" t="s">
        <v>25</v>
      </c>
      <c r="G1083" t="str">
        <f>"2025-09-04 16:04:48.002"</f>
        <v>2025-09-04 16:04:48.002</v>
      </c>
      <c r="H1083" t="s">
        <v>21</v>
      </c>
    </row>
    <row r="1084" spans="1:10" x14ac:dyDescent="0.25">
      <c r="A1084" s="1">
        <v>112</v>
      </c>
      <c r="B1084" t="s">
        <v>26</v>
      </c>
      <c r="C1084">
        <v>635</v>
      </c>
      <c r="D1084">
        <v>1</v>
      </c>
      <c r="E1084" t="s">
        <v>24</v>
      </c>
      <c r="F1084" t="s">
        <v>25</v>
      </c>
      <c r="G1084" t="str">
        <f>"2025-09-04 15:58:25.002"</f>
        <v>2025-09-04 15:58:25.002</v>
      </c>
      <c r="H1084" t="s">
        <v>21</v>
      </c>
      <c r="I1084">
        <v>3.28</v>
      </c>
      <c r="J1084" t="s">
        <v>27</v>
      </c>
    </row>
    <row r="1085" spans="1:10" x14ac:dyDescent="0.25">
      <c r="A1085" s="1">
        <v>113</v>
      </c>
      <c r="B1085" t="s">
        <v>23</v>
      </c>
      <c r="C1085">
        <v>635</v>
      </c>
      <c r="D1085">
        <v>1</v>
      </c>
      <c r="E1085" t="s">
        <v>24</v>
      </c>
      <c r="F1085" t="s">
        <v>25</v>
      </c>
      <c r="G1085" t="str">
        <f>"2025-09-03 18:41:09.702"</f>
        <v>2025-09-03 18:41:09.702</v>
      </c>
      <c r="H1085" t="s">
        <v>21</v>
      </c>
    </row>
    <row r="1086" spans="1:10" x14ac:dyDescent="0.25">
      <c r="A1086" s="1">
        <v>114</v>
      </c>
      <c r="B1086" t="s">
        <v>26</v>
      </c>
      <c r="C1086">
        <v>635</v>
      </c>
      <c r="D1086">
        <v>1</v>
      </c>
      <c r="E1086" t="s">
        <v>24</v>
      </c>
      <c r="F1086" t="s">
        <v>25</v>
      </c>
      <c r="G1086" t="str">
        <f>"2025-09-03 18:34:48.702"</f>
        <v>2025-09-03 18:34:48.702</v>
      </c>
      <c r="H1086" t="s">
        <v>21</v>
      </c>
      <c r="I1086">
        <v>6.39</v>
      </c>
      <c r="J1086" t="s">
        <v>27</v>
      </c>
    </row>
    <row r="1087" spans="1:10" x14ac:dyDescent="0.25">
      <c r="A1087" s="1">
        <v>115</v>
      </c>
      <c r="B1087" t="s">
        <v>23</v>
      </c>
      <c r="C1087">
        <v>635</v>
      </c>
      <c r="D1087">
        <v>1</v>
      </c>
      <c r="E1087" t="s">
        <v>24</v>
      </c>
      <c r="F1087" t="s">
        <v>25</v>
      </c>
      <c r="G1087" t="str">
        <f>"2025-09-03 06:40:56.802"</f>
        <v>2025-09-03 06:40:56.802</v>
      </c>
      <c r="H1087" t="s">
        <v>21</v>
      </c>
    </row>
    <row r="1088" spans="1:10" x14ac:dyDescent="0.25">
      <c r="A1088" s="1">
        <v>116</v>
      </c>
      <c r="B1088" t="s">
        <v>26</v>
      </c>
      <c r="C1088">
        <v>635</v>
      </c>
      <c r="D1088">
        <v>1</v>
      </c>
      <c r="E1088" t="s">
        <v>24</v>
      </c>
      <c r="F1088" t="s">
        <v>25</v>
      </c>
      <c r="G1088" t="str">
        <f>"2025-09-03 06:25:50.802"</f>
        <v>2025-09-03 06:25:50.802</v>
      </c>
      <c r="H1088" t="s">
        <v>21</v>
      </c>
      <c r="I1088">
        <v>7.84</v>
      </c>
      <c r="J1088" t="s">
        <v>27</v>
      </c>
    </row>
    <row r="1089" spans="1:10" s="3" customFormat="1" x14ac:dyDescent="0.25">
      <c r="A1089" s="2">
        <v>117</v>
      </c>
      <c r="B1089" s="3" t="s">
        <v>23</v>
      </c>
      <c r="C1089" s="3">
        <v>647</v>
      </c>
      <c r="D1089" s="3">
        <v>1</v>
      </c>
      <c r="E1089" s="3" t="s">
        <v>29</v>
      </c>
      <c r="F1089" s="3" t="s">
        <v>30</v>
      </c>
      <c r="G1089" s="3" t="str">
        <f>"2025-09-03 02:56:32.455"</f>
        <v>2025-09-03 02:56:32.455</v>
      </c>
      <c r="H1089" s="3" t="s">
        <v>21</v>
      </c>
    </row>
    <row r="1090" spans="1:10" s="3" customFormat="1" x14ac:dyDescent="0.25">
      <c r="A1090" s="2">
        <v>118</v>
      </c>
      <c r="B1090" s="3" t="s">
        <v>26</v>
      </c>
      <c r="C1090" s="3">
        <v>647</v>
      </c>
      <c r="D1090" s="3">
        <v>1</v>
      </c>
      <c r="E1090" s="3" t="s">
        <v>29</v>
      </c>
      <c r="F1090" s="3" t="s">
        <v>30</v>
      </c>
      <c r="G1090" s="3" t="str">
        <f>"2025-09-03 02:56:27.555"</f>
        <v>2025-09-03 02:56:27.555</v>
      </c>
      <c r="H1090" s="3" t="s">
        <v>21</v>
      </c>
      <c r="I1090" s="3">
        <v>12.15</v>
      </c>
      <c r="J1090" s="3" t="s">
        <v>31</v>
      </c>
    </row>
    <row r="1091" spans="1:10" x14ac:dyDescent="0.25">
      <c r="A1091" s="1">
        <v>122</v>
      </c>
      <c r="B1091" t="s">
        <v>23</v>
      </c>
      <c r="C1091">
        <v>630</v>
      </c>
      <c r="D1091">
        <v>5</v>
      </c>
      <c r="E1091" t="s">
        <v>36</v>
      </c>
      <c r="F1091" t="s">
        <v>37</v>
      </c>
      <c r="G1091" t="str">
        <f>"2025-09-01 21:49:23.654"</f>
        <v>2025-09-01 21:49:23.654</v>
      </c>
      <c r="H1091" t="s">
        <v>38</v>
      </c>
    </row>
    <row r="1092" spans="1:10" x14ac:dyDescent="0.25">
      <c r="A1092" s="1">
        <v>123</v>
      </c>
      <c r="B1092" t="s">
        <v>19</v>
      </c>
      <c r="C1092">
        <v>706</v>
      </c>
      <c r="D1092">
        <v>2</v>
      </c>
      <c r="E1092" t="s">
        <v>32</v>
      </c>
      <c r="F1092" t="s">
        <v>35</v>
      </c>
      <c r="G1092" t="str">
        <f>"2025-09-01 21:48:53.475"</f>
        <v>2025-09-01 21:48:53.475</v>
      </c>
      <c r="H1092" t="s">
        <v>21</v>
      </c>
      <c r="I1092">
        <v>0</v>
      </c>
      <c r="J1092" t="s">
        <v>34</v>
      </c>
    </row>
    <row r="1093" spans="1:10" x14ac:dyDescent="0.25">
      <c r="A1093" s="1">
        <v>124</v>
      </c>
      <c r="B1093" t="s">
        <v>39</v>
      </c>
      <c r="C1093">
        <v>630</v>
      </c>
      <c r="D1093">
        <v>5</v>
      </c>
      <c r="E1093" t="s">
        <v>36</v>
      </c>
      <c r="F1093" t="s">
        <v>37</v>
      </c>
      <c r="G1093" t="str">
        <f>"2025-09-01 21:01:14.855"</f>
        <v>2025-09-01 21:01:14.855</v>
      </c>
      <c r="H1093" t="s">
        <v>38</v>
      </c>
      <c r="I1093">
        <v>0</v>
      </c>
      <c r="J1093" t="s">
        <v>34</v>
      </c>
    </row>
    <row r="1094" spans="1:10" x14ac:dyDescent="0.25">
      <c r="A1094" s="1">
        <v>125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"2025-09-01 13:01:45.215"</f>
        <v>2025-09-01 13:01:45.215</v>
      </c>
      <c r="H1094" t="s">
        <v>21</v>
      </c>
      <c r="I1094">
        <v>0</v>
      </c>
      <c r="J1094" t="s">
        <v>22</v>
      </c>
    </row>
    <row r="1095" spans="1:10" x14ac:dyDescent="0.25">
      <c r="A1095" s="1">
        <v>126</v>
      </c>
      <c r="B1095" t="s">
        <v>23</v>
      </c>
      <c r="C1095">
        <v>635</v>
      </c>
      <c r="D1095">
        <v>1</v>
      </c>
      <c r="E1095" t="s">
        <v>24</v>
      </c>
      <c r="F1095" t="s">
        <v>25</v>
      </c>
      <c r="G1095" t="str">
        <f>"2025-08-31 08:27:42.772"</f>
        <v>2025-08-31 08:27:42.772</v>
      </c>
      <c r="H1095" t="s">
        <v>21</v>
      </c>
    </row>
    <row r="1096" spans="1:10" x14ac:dyDescent="0.25">
      <c r="A1096" s="1">
        <v>127</v>
      </c>
      <c r="B1096" t="s">
        <v>26</v>
      </c>
      <c r="C1096">
        <v>635</v>
      </c>
      <c r="D1096">
        <v>1</v>
      </c>
      <c r="E1096" t="s">
        <v>24</v>
      </c>
      <c r="F1096" t="s">
        <v>25</v>
      </c>
      <c r="G1096" t="str">
        <f>"2025-08-31 08:25:06.772"</f>
        <v>2025-08-31 08:25:06.772</v>
      </c>
      <c r="H1096" t="s">
        <v>21</v>
      </c>
      <c r="I1096">
        <v>5.93</v>
      </c>
      <c r="J1096" t="s">
        <v>31</v>
      </c>
    </row>
    <row r="1097" spans="1:10" s="3" customFormat="1" x14ac:dyDescent="0.25">
      <c r="A1097" s="2">
        <v>128</v>
      </c>
      <c r="B1097" s="3" t="s">
        <v>23</v>
      </c>
      <c r="C1097" s="3">
        <v>647</v>
      </c>
      <c r="D1097" s="3">
        <v>1</v>
      </c>
      <c r="E1097" s="3" t="s">
        <v>29</v>
      </c>
      <c r="F1097" s="3" t="s">
        <v>30</v>
      </c>
      <c r="G1097" s="3" t="str">
        <f>"2025-08-30 21:29:48.073"</f>
        <v>2025-08-30 21:29:48.073</v>
      </c>
      <c r="H1097" s="3" t="s">
        <v>21</v>
      </c>
    </row>
    <row r="1098" spans="1:10" s="3" customFormat="1" x14ac:dyDescent="0.25">
      <c r="A1098" s="2">
        <v>129</v>
      </c>
      <c r="B1098" s="3" t="s">
        <v>26</v>
      </c>
      <c r="C1098" s="3">
        <v>647</v>
      </c>
      <c r="D1098" s="3">
        <v>1</v>
      </c>
      <c r="E1098" s="3" t="s">
        <v>29</v>
      </c>
      <c r="F1098" s="3" t="s">
        <v>30</v>
      </c>
      <c r="G1098" s="3" t="str">
        <f>"2025-08-30 21:29:46.773"</f>
        <v>2025-08-30 21:29:46.773</v>
      </c>
      <c r="H1098" s="3" t="s">
        <v>21</v>
      </c>
      <c r="I1098" s="3">
        <v>27.01</v>
      </c>
      <c r="J1098" s="3" t="s">
        <v>31</v>
      </c>
    </row>
    <row r="1099" spans="1:10" x14ac:dyDescent="0.25">
      <c r="A1099" s="1">
        <v>130</v>
      </c>
      <c r="B1099" t="s">
        <v>23</v>
      </c>
      <c r="C1099">
        <v>635</v>
      </c>
      <c r="D1099">
        <v>1</v>
      </c>
      <c r="E1099" t="s">
        <v>24</v>
      </c>
      <c r="F1099" t="s">
        <v>25</v>
      </c>
      <c r="G1099" t="str">
        <f>"2025-08-30 20:28:48.872"</f>
        <v>2025-08-30 20:28:48.872</v>
      </c>
      <c r="H1099" t="s">
        <v>21</v>
      </c>
    </row>
    <row r="1100" spans="1:10" x14ac:dyDescent="0.25">
      <c r="A1100" s="1">
        <v>131</v>
      </c>
      <c r="B1100" t="s">
        <v>26</v>
      </c>
      <c r="C1100">
        <v>635</v>
      </c>
      <c r="D1100">
        <v>1</v>
      </c>
      <c r="E1100" t="s">
        <v>24</v>
      </c>
      <c r="F1100" t="s">
        <v>25</v>
      </c>
      <c r="G1100" t="str">
        <f>"2025-08-30 20:00:51.972"</f>
        <v>2025-08-30 20:00:51.972</v>
      </c>
      <c r="H1100" t="s">
        <v>21</v>
      </c>
      <c r="I1100">
        <v>7.44</v>
      </c>
      <c r="J1100" t="s">
        <v>27</v>
      </c>
    </row>
    <row r="1101" spans="1:10" x14ac:dyDescent="0.25">
      <c r="A1101" s="1">
        <v>132</v>
      </c>
      <c r="B1101" t="s">
        <v>23</v>
      </c>
      <c r="C1101">
        <v>635</v>
      </c>
      <c r="D1101">
        <v>1</v>
      </c>
      <c r="E1101" t="s">
        <v>24</v>
      </c>
      <c r="F1101" t="s">
        <v>25</v>
      </c>
      <c r="G1101" t="str">
        <f>"2025-08-28 20:43:18.372"</f>
        <v>2025-08-28 20:43:18.372</v>
      </c>
      <c r="H1101" t="s">
        <v>21</v>
      </c>
    </row>
    <row r="1102" spans="1:10" x14ac:dyDescent="0.25">
      <c r="A1102" s="1">
        <v>133</v>
      </c>
      <c r="B1102" t="s">
        <v>26</v>
      </c>
      <c r="C1102">
        <v>635</v>
      </c>
      <c r="D1102">
        <v>1</v>
      </c>
      <c r="E1102" t="s">
        <v>24</v>
      </c>
      <c r="F1102" t="s">
        <v>25</v>
      </c>
      <c r="G1102" t="str">
        <f>"2025-08-28 20:24:11.472"</f>
        <v>2025-08-28 20:24:11.472</v>
      </c>
      <c r="H1102" t="s">
        <v>21</v>
      </c>
      <c r="I1102">
        <v>6.63</v>
      </c>
      <c r="J1102" t="s">
        <v>27</v>
      </c>
    </row>
    <row r="1103" spans="1:10" s="3" customFormat="1" x14ac:dyDescent="0.25">
      <c r="A1103" s="2">
        <v>134</v>
      </c>
      <c r="B1103" s="3" t="s">
        <v>23</v>
      </c>
      <c r="C1103" s="3">
        <v>647</v>
      </c>
      <c r="D1103" s="3">
        <v>1</v>
      </c>
      <c r="E1103" s="3" t="s">
        <v>29</v>
      </c>
      <c r="F1103" s="3" t="s">
        <v>30</v>
      </c>
      <c r="G1103" s="3" t="str">
        <f>"2025-08-28 05:18:55.373"</f>
        <v>2025-08-28 05:18:55.373</v>
      </c>
      <c r="H1103" s="3" t="s">
        <v>21</v>
      </c>
    </row>
    <row r="1104" spans="1:10" s="3" customFormat="1" x14ac:dyDescent="0.25">
      <c r="A1104" s="2">
        <v>135</v>
      </c>
      <c r="B1104" s="3" t="s">
        <v>26</v>
      </c>
      <c r="C1104" s="3">
        <v>647</v>
      </c>
      <c r="D1104" s="3">
        <v>1</v>
      </c>
      <c r="E1104" s="3" t="s">
        <v>29</v>
      </c>
      <c r="F1104" s="3" t="s">
        <v>30</v>
      </c>
      <c r="G1104" s="3" t="str">
        <f>"2025-08-28 05:18:53.873"</f>
        <v>2025-08-28 05:18:53.873</v>
      </c>
      <c r="H1104" s="3" t="s">
        <v>21</v>
      </c>
      <c r="I1104" s="3">
        <v>14.01</v>
      </c>
      <c r="J1104" s="3" t="s">
        <v>31</v>
      </c>
    </row>
    <row r="1105" spans="1:10" x14ac:dyDescent="0.25">
      <c r="A1105" s="1">
        <v>136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"2025-08-27 05:02:18.902"</f>
        <v>2025-08-27 05:02:18.902</v>
      </c>
      <c r="H1105" t="s">
        <v>21</v>
      </c>
    </row>
    <row r="1106" spans="1:10" x14ac:dyDescent="0.25">
      <c r="A1106" s="1">
        <v>137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"2025-08-27 04:54:57.958"</f>
        <v>2025-08-27 04:54:57.958</v>
      </c>
      <c r="H1106" t="s">
        <v>21</v>
      </c>
      <c r="I1106">
        <v>0</v>
      </c>
      <c r="J1106" t="s">
        <v>22</v>
      </c>
    </row>
    <row r="1107" spans="1:10" x14ac:dyDescent="0.25">
      <c r="A1107" s="1">
        <v>138</v>
      </c>
      <c r="B1107" t="s">
        <v>23</v>
      </c>
      <c r="C1107">
        <v>635</v>
      </c>
      <c r="D1107">
        <v>1</v>
      </c>
      <c r="E1107" t="s">
        <v>24</v>
      </c>
      <c r="F1107" t="s">
        <v>25</v>
      </c>
      <c r="G1107" t="str">
        <f>"2025-08-27 02:18:49.419"</f>
        <v>2025-08-27 02:18:49.419</v>
      </c>
      <c r="H1107" t="s">
        <v>21</v>
      </c>
    </row>
    <row r="1108" spans="1:10" x14ac:dyDescent="0.25">
      <c r="A1108" s="1">
        <v>139</v>
      </c>
      <c r="B1108" t="s">
        <v>26</v>
      </c>
      <c r="C1108">
        <v>635</v>
      </c>
      <c r="D1108">
        <v>1</v>
      </c>
      <c r="E1108" t="s">
        <v>24</v>
      </c>
      <c r="F1108" t="s">
        <v>25</v>
      </c>
      <c r="G1108" t="str">
        <f>"2025-08-27 01:59:10.919"</f>
        <v>2025-08-27 01:59:10.919</v>
      </c>
      <c r="H1108" t="s">
        <v>21</v>
      </c>
      <c r="I1108">
        <v>7.37</v>
      </c>
      <c r="J1108" t="s">
        <v>31</v>
      </c>
    </row>
    <row r="1109" spans="1:10" x14ac:dyDescent="0.25">
      <c r="A1109" s="1">
        <v>140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"2025-08-27 01:29:03.758"</f>
        <v>2025-08-27 01:29:03.758</v>
      </c>
      <c r="H1109" t="s">
        <v>21</v>
      </c>
      <c r="I1109">
        <v>0</v>
      </c>
      <c r="J1109" t="s">
        <v>22</v>
      </c>
    </row>
    <row r="1110" spans="1:10" x14ac:dyDescent="0.25">
      <c r="A1110" s="1">
        <v>141</v>
      </c>
      <c r="B1110" t="s">
        <v>23</v>
      </c>
      <c r="C1110">
        <v>635</v>
      </c>
      <c r="D1110">
        <v>1</v>
      </c>
      <c r="E1110" t="s">
        <v>24</v>
      </c>
      <c r="F1110" t="s">
        <v>25</v>
      </c>
      <c r="G1110" t="str">
        <f>"2025-08-26 23:23:05.360"</f>
        <v>2025-08-26 23:23:05.360</v>
      </c>
      <c r="H1110" t="s">
        <v>21</v>
      </c>
    </row>
    <row r="1111" spans="1:10" x14ac:dyDescent="0.25">
      <c r="A1111" s="1">
        <v>142</v>
      </c>
      <c r="B1111" t="s">
        <v>26</v>
      </c>
      <c r="C1111">
        <v>635</v>
      </c>
      <c r="D1111">
        <v>1</v>
      </c>
      <c r="E1111" t="s">
        <v>24</v>
      </c>
      <c r="F1111" t="s">
        <v>25</v>
      </c>
      <c r="G1111" t="str">
        <f>"2025-08-26 22:50:04.461"</f>
        <v>2025-08-26 22:50:04.461</v>
      </c>
      <c r="H1111" t="s">
        <v>21</v>
      </c>
      <c r="I1111">
        <v>5.84</v>
      </c>
      <c r="J1111" t="s">
        <v>27</v>
      </c>
    </row>
    <row r="1112" spans="1:10" x14ac:dyDescent="0.25">
      <c r="A1112" s="1">
        <v>143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"2025-08-26 00:01:04.872"</f>
        <v>2025-08-26 00:01:04.872</v>
      </c>
      <c r="H1112" t="s">
        <v>21</v>
      </c>
    </row>
    <row r="1113" spans="1:10" x14ac:dyDescent="0.25">
      <c r="A1113" s="1">
        <v>144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"2025-08-25 19:09:14.716"</f>
        <v>2025-08-25 19:09:14.716</v>
      </c>
      <c r="H1113" t="s">
        <v>21</v>
      </c>
    </row>
    <row r="1114" spans="1:10" x14ac:dyDescent="0.25">
      <c r="A1114" s="1">
        <v>145</v>
      </c>
      <c r="B1114" t="s">
        <v>19</v>
      </c>
      <c r="C1114">
        <v>706</v>
      </c>
      <c r="D1114">
        <v>3</v>
      </c>
      <c r="E1114" t="s">
        <v>32</v>
      </c>
      <c r="F1114" t="s">
        <v>40</v>
      </c>
      <c r="G1114" t="str">
        <f>"2025-08-25 19:03:34.275"</f>
        <v>2025-08-25 19:03:34.275</v>
      </c>
      <c r="H1114" t="s">
        <v>21</v>
      </c>
      <c r="I1114">
        <v>0</v>
      </c>
      <c r="J1114" t="s">
        <v>34</v>
      </c>
    </row>
    <row r="1115" spans="1:10" x14ac:dyDescent="0.25">
      <c r="A1115" s="1">
        <v>146</v>
      </c>
      <c r="B1115" t="s">
        <v>19</v>
      </c>
      <c r="C1115">
        <v>706</v>
      </c>
      <c r="D1115">
        <v>4</v>
      </c>
      <c r="E1115" t="s">
        <v>32</v>
      </c>
      <c r="F1115" t="s">
        <v>33</v>
      </c>
      <c r="G1115" t="str">
        <f>"2025-08-25 18:54:59.005"</f>
        <v>2025-08-25 18:54:59.005</v>
      </c>
      <c r="H1115" t="s">
        <v>21</v>
      </c>
      <c r="I1115">
        <v>0</v>
      </c>
      <c r="J1115" t="s">
        <v>34</v>
      </c>
    </row>
    <row r="1116" spans="1:10" x14ac:dyDescent="0.25">
      <c r="A1116" s="1">
        <v>147</v>
      </c>
      <c r="B1116" t="s">
        <v>23</v>
      </c>
      <c r="C1116">
        <v>630</v>
      </c>
      <c r="D1116">
        <v>5</v>
      </c>
      <c r="E1116" t="s">
        <v>36</v>
      </c>
      <c r="F1116" t="s">
        <v>37</v>
      </c>
      <c r="G1116" t="str">
        <f>"2025-08-25 18:53:15.787"</f>
        <v>2025-08-25 18:53:15.787</v>
      </c>
      <c r="H1116" t="s">
        <v>38</v>
      </c>
    </row>
    <row r="1117" spans="1:10" x14ac:dyDescent="0.25">
      <c r="A1117" s="1">
        <v>148</v>
      </c>
      <c r="B1117" t="s">
        <v>39</v>
      </c>
      <c r="C1117">
        <v>630</v>
      </c>
      <c r="D1117">
        <v>5</v>
      </c>
      <c r="E1117" t="s">
        <v>36</v>
      </c>
      <c r="F1117" t="s">
        <v>37</v>
      </c>
      <c r="G1117" t="str">
        <f>"2025-08-25 18:24:32.487"</f>
        <v>2025-08-25 18:24:32.487</v>
      </c>
      <c r="H1117" t="s">
        <v>38</v>
      </c>
      <c r="I1117">
        <v>0</v>
      </c>
      <c r="J1117" t="s">
        <v>34</v>
      </c>
    </row>
    <row r="1118" spans="1:10" x14ac:dyDescent="0.25">
      <c r="A1118" s="1">
        <v>149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"2025-08-25 18:19:29.715"</f>
        <v>2025-08-25 18:19:29.715</v>
      </c>
      <c r="H1118" t="s">
        <v>21</v>
      </c>
    </row>
    <row r="1119" spans="1:10" x14ac:dyDescent="0.25">
      <c r="A1119" s="1">
        <v>150</v>
      </c>
      <c r="B1119" t="s">
        <v>19</v>
      </c>
      <c r="C1119">
        <v>706</v>
      </c>
      <c r="D1119">
        <v>4</v>
      </c>
      <c r="E1119" t="s">
        <v>32</v>
      </c>
      <c r="F1119" t="s">
        <v>33</v>
      </c>
      <c r="G1119" t="str">
        <f>"2025-08-25 18:16:55.046"</f>
        <v>2025-08-25 18:16:55.046</v>
      </c>
      <c r="H1119" t="s">
        <v>21</v>
      </c>
      <c r="I1119">
        <v>0</v>
      </c>
      <c r="J1119" t="s">
        <v>34</v>
      </c>
    </row>
    <row r="1120" spans="1:10" x14ac:dyDescent="0.25">
      <c r="A1120" s="1">
        <v>151</v>
      </c>
      <c r="B1120" t="s">
        <v>23</v>
      </c>
      <c r="C1120">
        <v>630</v>
      </c>
      <c r="D1120">
        <v>5</v>
      </c>
      <c r="E1120" t="s">
        <v>36</v>
      </c>
      <c r="F1120" t="s">
        <v>37</v>
      </c>
      <c r="G1120" t="str">
        <f>"2025-08-25 18:15:48.233"</f>
        <v>2025-08-25 18:15:48.233</v>
      </c>
      <c r="H1120" t="s">
        <v>38</v>
      </c>
    </row>
    <row r="1121" spans="1:10" x14ac:dyDescent="0.25">
      <c r="A1121" s="1">
        <v>152</v>
      </c>
      <c r="B1121" t="s">
        <v>19</v>
      </c>
      <c r="C1121">
        <v>706</v>
      </c>
      <c r="D1121">
        <v>2</v>
      </c>
      <c r="E1121" t="s">
        <v>32</v>
      </c>
      <c r="F1121" t="s">
        <v>35</v>
      </c>
      <c r="G1121" t="str">
        <f>"2025-08-25 18:15:18.086"</f>
        <v>2025-08-25 18:15:18.086</v>
      </c>
      <c r="H1121" t="s">
        <v>21</v>
      </c>
      <c r="I1121">
        <v>0</v>
      </c>
      <c r="J1121" t="s">
        <v>34</v>
      </c>
    </row>
    <row r="1122" spans="1:10" x14ac:dyDescent="0.25">
      <c r="A1122" s="1">
        <v>153</v>
      </c>
      <c r="B1122" t="s">
        <v>39</v>
      </c>
      <c r="C1122">
        <v>630</v>
      </c>
      <c r="D1122">
        <v>5</v>
      </c>
      <c r="E1122" t="s">
        <v>36</v>
      </c>
      <c r="F1122" t="s">
        <v>37</v>
      </c>
      <c r="G1122" t="str">
        <f>"2025-08-25 18:09:15.534"</f>
        <v>2025-08-25 18:09:15.534</v>
      </c>
      <c r="H1122" t="s">
        <v>38</v>
      </c>
      <c r="I1122">
        <v>0</v>
      </c>
      <c r="J1122" t="s">
        <v>34</v>
      </c>
    </row>
    <row r="1123" spans="1:10" x14ac:dyDescent="0.25">
      <c r="A1123" s="1">
        <v>154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"2025-08-25 18:04:12.726"</f>
        <v>2025-08-25 18:04:12.726</v>
      </c>
      <c r="H1123" t="s">
        <v>21</v>
      </c>
    </row>
    <row r="1124" spans="1:10" x14ac:dyDescent="0.25">
      <c r="A1124" s="1">
        <v>155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"2025-08-25 17:14:16.970"</f>
        <v>2025-08-25 17:14:16.970</v>
      </c>
      <c r="H1124" t="s">
        <v>21</v>
      </c>
      <c r="I1124">
        <v>0</v>
      </c>
      <c r="J1124" t="s">
        <v>22</v>
      </c>
    </row>
    <row r="1125" spans="1:10" x14ac:dyDescent="0.25">
      <c r="A1125" s="1">
        <v>156</v>
      </c>
      <c r="B1125" t="s">
        <v>23</v>
      </c>
      <c r="C1125">
        <v>635</v>
      </c>
      <c r="D1125">
        <v>1</v>
      </c>
      <c r="E1125" t="s">
        <v>24</v>
      </c>
      <c r="F1125" t="s">
        <v>25</v>
      </c>
      <c r="G1125" t="str">
        <f>"2025-08-25 08:54:48.423"</f>
        <v>2025-08-25 08:54:48.423</v>
      </c>
      <c r="H1125" t="s">
        <v>21</v>
      </c>
    </row>
    <row r="1126" spans="1:10" x14ac:dyDescent="0.25">
      <c r="A1126" s="1">
        <v>157</v>
      </c>
      <c r="B1126" t="s">
        <v>26</v>
      </c>
      <c r="C1126">
        <v>635</v>
      </c>
      <c r="D1126">
        <v>1</v>
      </c>
      <c r="E1126" t="s">
        <v>24</v>
      </c>
      <c r="F1126" t="s">
        <v>25</v>
      </c>
      <c r="G1126" t="str">
        <f>"2025-08-25 08:52:18.923"</f>
        <v>2025-08-25 08:52:18.923</v>
      </c>
      <c r="H1126" t="s">
        <v>21</v>
      </c>
      <c r="I1126">
        <v>6.05</v>
      </c>
      <c r="J1126" t="s">
        <v>27</v>
      </c>
    </row>
    <row r="1127" spans="1:10" s="3" customFormat="1" x14ac:dyDescent="0.25">
      <c r="A1127" s="2">
        <v>159</v>
      </c>
      <c r="B1127" s="3" t="s">
        <v>23</v>
      </c>
      <c r="C1127" s="3">
        <v>647</v>
      </c>
      <c r="D1127" s="3">
        <v>1</v>
      </c>
      <c r="E1127" s="3" t="s">
        <v>29</v>
      </c>
      <c r="F1127" s="3" t="s">
        <v>30</v>
      </c>
      <c r="G1127" s="3" t="str">
        <f>"2025-08-23 06:53:53.376"</f>
        <v>2025-08-23 06:53:53.376</v>
      </c>
      <c r="H1127" s="3" t="s">
        <v>21</v>
      </c>
    </row>
    <row r="1128" spans="1:10" s="3" customFormat="1" x14ac:dyDescent="0.25">
      <c r="A1128" s="2">
        <v>160</v>
      </c>
      <c r="B1128" s="3" t="s">
        <v>26</v>
      </c>
      <c r="C1128" s="3">
        <v>647</v>
      </c>
      <c r="D1128" s="3">
        <v>1</v>
      </c>
      <c r="E1128" s="3" t="s">
        <v>29</v>
      </c>
      <c r="F1128" s="3" t="s">
        <v>30</v>
      </c>
      <c r="G1128" s="3" t="str">
        <f>"2025-08-23 06:53:51.876"</f>
        <v>2025-08-23 06:53:51.876</v>
      </c>
      <c r="H1128" s="3" t="s">
        <v>21</v>
      </c>
      <c r="I1128" s="3">
        <v>11.32</v>
      </c>
      <c r="J1128" s="3" t="s">
        <v>31</v>
      </c>
    </row>
    <row r="1129" spans="1:10" s="3" customFormat="1" x14ac:dyDescent="0.25">
      <c r="A1129" s="2">
        <v>161</v>
      </c>
      <c r="B1129" s="3" t="s">
        <v>23</v>
      </c>
      <c r="C1129" s="3">
        <v>647</v>
      </c>
      <c r="D1129" s="3">
        <v>1</v>
      </c>
      <c r="E1129" s="3" t="s">
        <v>29</v>
      </c>
      <c r="F1129" s="3" t="s">
        <v>30</v>
      </c>
      <c r="G1129" s="3" t="str">
        <f>"2025-08-22 21:34:29.076"</f>
        <v>2025-08-22 21:34:29.076</v>
      </c>
      <c r="H1129" s="3" t="s">
        <v>21</v>
      </c>
    </row>
    <row r="1130" spans="1:10" s="3" customFormat="1" x14ac:dyDescent="0.25">
      <c r="A1130" s="2">
        <v>162</v>
      </c>
      <c r="B1130" s="3" t="s">
        <v>26</v>
      </c>
      <c r="C1130" s="3">
        <v>647</v>
      </c>
      <c r="D1130" s="3">
        <v>1</v>
      </c>
      <c r="E1130" s="3" t="s">
        <v>29</v>
      </c>
      <c r="F1130" s="3" t="s">
        <v>30</v>
      </c>
      <c r="G1130" s="3" t="str">
        <f>"2025-08-22 21:34:24.776"</f>
        <v>2025-08-22 21:34:24.776</v>
      </c>
      <c r="H1130" s="3" t="s">
        <v>21</v>
      </c>
      <c r="I1130" s="3">
        <v>10.57</v>
      </c>
      <c r="J1130" s="3" t="s">
        <v>31</v>
      </c>
    </row>
    <row r="1131" spans="1:10" x14ac:dyDescent="0.25">
      <c r="A1131" s="1">
        <v>163</v>
      </c>
      <c r="B1131" t="s">
        <v>23</v>
      </c>
      <c r="C1131">
        <v>630</v>
      </c>
      <c r="D1131">
        <v>5</v>
      </c>
      <c r="E1131" t="s">
        <v>36</v>
      </c>
      <c r="F1131" t="s">
        <v>37</v>
      </c>
      <c r="G1131" t="str">
        <f>"2025-08-22 21:31:52.175"</f>
        <v>2025-08-22 21:31:52.175</v>
      </c>
      <c r="H1131" t="s">
        <v>38</v>
      </c>
    </row>
    <row r="1132" spans="1:10" x14ac:dyDescent="0.25">
      <c r="A1132" s="1">
        <v>164</v>
      </c>
      <c r="B1132" t="s">
        <v>19</v>
      </c>
      <c r="C1132">
        <v>706</v>
      </c>
      <c r="D1132">
        <v>2</v>
      </c>
      <c r="E1132" t="s">
        <v>32</v>
      </c>
      <c r="F1132" t="s">
        <v>35</v>
      </c>
      <c r="G1132" t="str">
        <f>"2025-08-22 21:31:22.105"</f>
        <v>2025-08-22 21:31:22.105</v>
      </c>
      <c r="H1132" t="s">
        <v>21</v>
      </c>
      <c r="I1132">
        <v>0</v>
      </c>
      <c r="J1132" t="s">
        <v>34</v>
      </c>
    </row>
    <row r="1133" spans="1:10" x14ac:dyDescent="0.25">
      <c r="A1133" s="1">
        <v>165</v>
      </c>
      <c r="B1133" t="s">
        <v>39</v>
      </c>
      <c r="C1133">
        <v>630</v>
      </c>
      <c r="D1133">
        <v>5</v>
      </c>
      <c r="E1133" t="s">
        <v>36</v>
      </c>
      <c r="F1133" t="s">
        <v>37</v>
      </c>
      <c r="G1133" t="str">
        <f>"2025-08-22 21:22:21.376"</f>
        <v>2025-08-22 21:22:21.376</v>
      </c>
      <c r="H1133" t="s">
        <v>38</v>
      </c>
      <c r="I1133">
        <v>0</v>
      </c>
      <c r="J1133" t="s">
        <v>34</v>
      </c>
    </row>
    <row r="1134" spans="1:10" x14ac:dyDescent="0.25">
      <c r="A1134" s="1">
        <v>167</v>
      </c>
      <c r="B1134" t="s">
        <v>19</v>
      </c>
      <c r="C1134">
        <v>706</v>
      </c>
      <c r="D1134">
        <v>4</v>
      </c>
      <c r="E1134" t="s">
        <v>32</v>
      </c>
      <c r="F1134" t="s">
        <v>33</v>
      </c>
      <c r="G1134" t="str">
        <f>"2025-08-20 14:33:00.445"</f>
        <v>2025-08-20 14:33:00.445</v>
      </c>
      <c r="H1134" t="s">
        <v>21</v>
      </c>
      <c r="I1134">
        <v>0</v>
      </c>
      <c r="J1134" t="s">
        <v>34</v>
      </c>
    </row>
    <row r="1135" spans="1:10" x14ac:dyDescent="0.25">
      <c r="A1135" s="1">
        <v>168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"2025-08-20 14:31:51.715"</f>
        <v>2025-08-20 14:31:51.715</v>
      </c>
      <c r="H1135" t="s">
        <v>21</v>
      </c>
      <c r="I1135">
        <v>0</v>
      </c>
      <c r="J1135" t="s">
        <v>22</v>
      </c>
    </row>
    <row r="1136" spans="1:10" x14ac:dyDescent="0.25">
      <c r="A1136" s="1">
        <v>169</v>
      </c>
      <c r="B1136" t="s">
        <v>19</v>
      </c>
      <c r="C1136">
        <v>706</v>
      </c>
      <c r="D1136">
        <v>4</v>
      </c>
      <c r="E1136" t="s">
        <v>32</v>
      </c>
      <c r="F1136" t="s">
        <v>33</v>
      </c>
      <c r="G1136" t="str">
        <f>"2025-08-20 13:55:08.052"</f>
        <v>2025-08-20 13:55:08.052</v>
      </c>
      <c r="H1136" t="s">
        <v>21</v>
      </c>
      <c r="I1136">
        <v>0</v>
      </c>
      <c r="J1136" t="s">
        <v>34</v>
      </c>
    </row>
    <row r="1137" spans="1:10" x14ac:dyDescent="0.25">
      <c r="A1137" s="1">
        <v>170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"2025-08-20 13:54:21.712"</f>
        <v>2025-08-20 13:54:21.712</v>
      </c>
      <c r="H1137" t="s">
        <v>21</v>
      </c>
      <c r="I1137">
        <v>0</v>
      </c>
      <c r="J1137" t="s">
        <v>22</v>
      </c>
    </row>
    <row r="1138" spans="1:10" x14ac:dyDescent="0.25">
      <c r="A1138" s="1">
        <v>171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"2025-08-20 09:50:55.710"</f>
        <v>2025-08-20 09:50:55.710</v>
      </c>
      <c r="H1138" t="s">
        <v>21</v>
      </c>
    </row>
    <row r="1139" spans="1:10" x14ac:dyDescent="0.25">
      <c r="A1139" s="1">
        <v>172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"2025-08-20 09:32:00.733"</f>
        <v>2025-08-20 09:32:00.733</v>
      </c>
      <c r="H1139" t="s">
        <v>21</v>
      </c>
      <c r="I1139">
        <v>0</v>
      </c>
      <c r="J1139" t="s">
        <v>22</v>
      </c>
    </row>
    <row r="1140" spans="1:10" x14ac:dyDescent="0.25">
      <c r="A1140" s="1">
        <v>173</v>
      </c>
      <c r="B1140" t="s">
        <v>23</v>
      </c>
      <c r="C1140">
        <v>630</v>
      </c>
      <c r="D1140">
        <v>5</v>
      </c>
      <c r="E1140" t="s">
        <v>36</v>
      </c>
      <c r="F1140" t="s">
        <v>37</v>
      </c>
      <c r="G1140" t="str">
        <f>"2025-08-20 09:06:55.368"</f>
        <v>2025-08-20 09:06:55.368</v>
      </c>
      <c r="H1140" t="s">
        <v>38</v>
      </c>
    </row>
    <row r="1141" spans="1:10" x14ac:dyDescent="0.25">
      <c r="A1141" s="1">
        <v>174</v>
      </c>
      <c r="B1141" t="s">
        <v>19</v>
      </c>
      <c r="C1141">
        <v>706</v>
      </c>
      <c r="D1141">
        <v>4</v>
      </c>
      <c r="E1141" t="s">
        <v>32</v>
      </c>
      <c r="F1141" t="s">
        <v>33</v>
      </c>
      <c r="G1141" t="str">
        <f>"2025-08-20 09:06:25.361"</f>
        <v>2025-08-20 09:06:25.361</v>
      </c>
      <c r="H1141" t="s">
        <v>21</v>
      </c>
      <c r="I1141">
        <v>0</v>
      </c>
      <c r="J1141" t="s">
        <v>34</v>
      </c>
    </row>
    <row r="1142" spans="1:10" x14ac:dyDescent="0.25">
      <c r="A1142" s="1">
        <v>175</v>
      </c>
      <c r="B1142" t="s">
        <v>19</v>
      </c>
      <c r="C1142">
        <v>706</v>
      </c>
      <c r="D1142">
        <v>2</v>
      </c>
      <c r="E1142" t="s">
        <v>32</v>
      </c>
      <c r="F1142" t="s">
        <v>35</v>
      </c>
      <c r="G1142" t="str">
        <f>"2025-08-20 09:06:20.021"</f>
        <v>2025-08-20 09:06:20.021</v>
      </c>
      <c r="H1142" t="s">
        <v>21</v>
      </c>
      <c r="I1142">
        <v>0</v>
      </c>
      <c r="J1142" t="s">
        <v>34</v>
      </c>
    </row>
    <row r="1143" spans="1:10" x14ac:dyDescent="0.25">
      <c r="A1143" s="1">
        <v>176</v>
      </c>
      <c r="B1143" t="s">
        <v>39</v>
      </c>
      <c r="C1143">
        <v>630</v>
      </c>
      <c r="D1143">
        <v>5</v>
      </c>
      <c r="E1143" t="s">
        <v>36</v>
      </c>
      <c r="F1143" t="s">
        <v>37</v>
      </c>
      <c r="G1143" t="str">
        <f>"2025-08-20 08:54:45.469"</f>
        <v>2025-08-20 08:54:45.469</v>
      </c>
      <c r="H1143" t="s">
        <v>38</v>
      </c>
      <c r="I1143">
        <v>0</v>
      </c>
      <c r="J1143" t="s">
        <v>34</v>
      </c>
    </row>
    <row r="1144" spans="1:10" x14ac:dyDescent="0.25">
      <c r="A1144" s="1">
        <v>180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"2025-08-18 17:51:51.701"</f>
        <v>2025-08-18 17:51:51.701</v>
      </c>
      <c r="H1144" t="s">
        <v>21</v>
      </c>
    </row>
    <row r="1145" spans="1:10" x14ac:dyDescent="0.25">
      <c r="A1145" s="1">
        <v>181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"2025-08-18 17:37:37.711"</f>
        <v>2025-08-18 17:37:37.711</v>
      </c>
      <c r="H1145" t="s">
        <v>21</v>
      </c>
      <c r="I1145">
        <v>0</v>
      </c>
      <c r="J1145" t="s">
        <v>22</v>
      </c>
    </row>
    <row r="1146" spans="1:10" x14ac:dyDescent="0.25">
      <c r="A1146" s="1">
        <v>182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"2025-08-18 15:49:42.862"</f>
        <v>2025-08-18 15:49:42.862</v>
      </c>
      <c r="H1146" t="s">
        <v>21</v>
      </c>
    </row>
    <row r="1147" spans="1:10" x14ac:dyDescent="0.25">
      <c r="A1147" s="1">
        <v>183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"2025-08-18 13:51:45.704"</f>
        <v>2025-08-18 13:51:45.704</v>
      </c>
      <c r="H1147" t="s">
        <v>21</v>
      </c>
      <c r="I1147">
        <v>0</v>
      </c>
      <c r="J1147" t="s">
        <v>22</v>
      </c>
    </row>
    <row r="1148" spans="1:10" x14ac:dyDescent="0.25">
      <c r="A1148" s="1">
        <v>184</v>
      </c>
      <c r="B1148" t="s">
        <v>23</v>
      </c>
      <c r="C1148">
        <v>635</v>
      </c>
      <c r="D1148">
        <v>1</v>
      </c>
      <c r="E1148" t="s">
        <v>24</v>
      </c>
      <c r="F1148" t="s">
        <v>25</v>
      </c>
      <c r="G1148" t="str">
        <f>"2025-08-18 04:25:03.529"</f>
        <v>2025-08-18 04:25:03.529</v>
      </c>
      <c r="H1148" t="s">
        <v>21</v>
      </c>
    </row>
    <row r="1149" spans="1:10" x14ac:dyDescent="0.25">
      <c r="A1149" s="1">
        <v>185</v>
      </c>
      <c r="B1149" t="s">
        <v>26</v>
      </c>
      <c r="C1149">
        <v>635</v>
      </c>
      <c r="D1149">
        <v>1</v>
      </c>
      <c r="E1149" t="s">
        <v>24</v>
      </c>
      <c r="F1149" t="s">
        <v>25</v>
      </c>
      <c r="G1149" t="str">
        <f>"2025-08-18 04:20:27.529"</f>
        <v>2025-08-18 04:20:27.529</v>
      </c>
      <c r="H1149" t="s">
        <v>21</v>
      </c>
      <c r="I1149">
        <v>4.72</v>
      </c>
      <c r="J1149" t="s">
        <v>28</v>
      </c>
    </row>
    <row r="1150" spans="1:10" x14ac:dyDescent="0.25">
      <c r="A1150" s="1">
        <v>186</v>
      </c>
      <c r="B1150" t="s">
        <v>23</v>
      </c>
      <c r="C1150">
        <v>635</v>
      </c>
      <c r="D1150">
        <v>1</v>
      </c>
      <c r="E1150" t="s">
        <v>24</v>
      </c>
      <c r="F1150" t="s">
        <v>25</v>
      </c>
      <c r="G1150" t="str">
        <f>"2025-08-18 03:31:50.129"</f>
        <v>2025-08-18 03:31:50.129</v>
      </c>
      <c r="H1150" t="s">
        <v>21</v>
      </c>
    </row>
    <row r="1151" spans="1:10" x14ac:dyDescent="0.25">
      <c r="A1151" s="1">
        <v>187</v>
      </c>
      <c r="B1151" t="s">
        <v>26</v>
      </c>
      <c r="C1151">
        <v>635</v>
      </c>
      <c r="D1151">
        <v>1</v>
      </c>
      <c r="E1151" t="s">
        <v>24</v>
      </c>
      <c r="F1151" t="s">
        <v>25</v>
      </c>
      <c r="G1151" t="str">
        <f>"2025-08-18 03:27:15.129"</f>
        <v>2025-08-18 03:27:15.129</v>
      </c>
      <c r="H1151" t="s">
        <v>21</v>
      </c>
      <c r="I1151">
        <v>4.6500000000000004</v>
      </c>
      <c r="J1151" t="s">
        <v>27</v>
      </c>
    </row>
    <row r="1152" spans="1:10" x14ac:dyDescent="0.25">
      <c r="A1152" s="1">
        <v>189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"2025-08-15 04:12:17.690"</f>
        <v>2025-08-15 04:12:17.690</v>
      </c>
      <c r="H1152" t="s">
        <v>21</v>
      </c>
    </row>
    <row r="1153" spans="1:10" x14ac:dyDescent="0.25">
      <c r="A1153" s="1">
        <v>190</v>
      </c>
      <c r="B1153" t="s">
        <v>23</v>
      </c>
      <c r="C1153">
        <v>630</v>
      </c>
      <c r="D1153">
        <v>5</v>
      </c>
      <c r="E1153" t="s">
        <v>36</v>
      </c>
      <c r="F1153" t="s">
        <v>37</v>
      </c>
      <c r="G1153" t="str">
        <f>"2025-08-15 03:40:27.831"</f>
        <v>2025-08-15 03:40:27.831</v>
      </c>
      <c r="H1153" t="s">
        <v>38</v>
      </c>
    </row>
    <row r="1154" spans="1:10" x14ac:dyDescent="0.25">
      <c r="A1154" s="1">
        <v>191</v>
      </c>
      <c r="B1154" t="s">
        <v>19</v>
      </c>
      <c r="C1154">
        <v>706</v>
      </c>
      <c r="D1154">
        <v>2</v>
      </c>
      <c r="E1154" t="s">
        <v>32</v>
      </c>
      <c r="F1154" t="s">
        <v>35</v>
      </c>
      <c r="G1154" t="str">
        <f>"2025-08-15 03:39:57.673"</f>
        <v>2025-08-15 03:39:57.673</v>
      </c>
      <c r="H1154" t="s">
        <v>21</v>
      </c>
      <c r="I1154">
        <v>0</v>
      </c>
      <c r="J1154" t="s">
        <v>34</v>
      </c>
    </row>
    <row r="1155" spans="1:10" x14ac:dyDescent="0.25">
      <c r="A1155" s="1">
        <v>192</v>
      </c>
      <c r="B1155" t="s">
        <v>39</v>
      </c>
      <c r="C1155">
        <v>630</v>
      </c>
      <c r="D1155">
        <v>5</v>
      </c>
      <c r="E1155" t="s">
        <v>36</v>
      </c>
      <c r="F1155" t="s">
        <v>37</v>
      </c>
      <c r="G1155" t="str">
        <f>"2025-08-15 03:36:30.532"</f>
        <v>2025-08-15 03:36:30.532</v>
      </c>
      <c r="H1155" t="s">
        <v>38</v>
      </c>
      <c r="I1155">
        <v>0</v>
      </c>
      <c r="J1155" t="s">
        <v>34</v>
      </c>
    </row>
    <row r="1156" spans="1:10" x14ac:dyDescent="0.25">
      <c r="A1156" s="1">
        <v>193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"2025-08-15 03:31:27.713"</f>
        <v>2025-08-15 03:31:27.713</v>
      </c>
      <c r="H1156" t="s">
        <v>21</v>
      </c>
      <c r="I1156">
        <v>0</v>
      </c>
      <c r="J1156" t="s">
        <v>22</v>
      </c>
    </row>
    <row r="1157" spans="1:10" x14ac:dyDescent="0.25">
      <c r="A1157" s="1">
        <v>194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"2025-08-13 09:53:44.692"</f>
        <v>2025-08-13 09:53:44.692</v>
      </c>
      <c r="H1157" t="s">
        <v>21</v>
      </c>
    </row>
    <row r="1158" spans="1:10" x14ac:dyDescent="0.25">
      <c r="A1158" s="1">
        <v>195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"2025-08-12 16:56:58.951"</f>
        <v>2025-08-12 16:56:58.951</v>
      </c>
      <c r="H1158" t="s">
        <v>21</v>
      </c>
    </row>
    <row r="1159" spans="1:10" x14ac:dyDescent="0.25">
      <c r="A1159" s="1">
        <v>196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"2025-08-10 15:11:50.747"</f>
        <v>2025-08-10 15:11:50.747</v>
      </c>
      <c r="H1159" t="s">
        <v>21</v>
      </c>
      <c r="I1159">
        <v>0</v>
      </c>
      <c r="J1159" t="s">
        <v>22</v>
      </c>
    </row>
    <row r="1160" spans="1:10" x14ac:dyDescent="0.25">
      <c r="A1160" s="1">
        <v>197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"2025-08-10 08:24:45.790"</f>
        <v>2025-08-10 08:24:45.790</v>
      </c>
      <c r="H1160" t="s">
        <v>21</v>
      </c>
      <c r="I1160">
        <v>0</v>
      </c>
      <c r="J1160" t="s">
        <v>22</v>
      </c>
    </row>
    <row r="1161" spans="1:10" x14ac:dyDescent="0.25">
      <c r="A1161" s="1">
        <v>198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"2025-08-08 13:52:52.691"</f>
        <v>2025-08-08 13:52:52.691</v>
      </c>
      <c r="H1161" t="s">
        <v>21</v>
      </c>
      <c r="I1161">
        <v>0</v>
      </c>
      <c r="J1161" t="s">
        <v>22</v>
      </c>
    </row>
    <row r="1162" spans="1:10" s="3" customFormat="1" x14ac:dyDescent="0.25">
      <c r="A1162" s="2">
        <v>199</v>
      </c>
      <c r="B1162" s="3" t="s">
        <v>23</v>
      </c>
      <c r="C1162" s="3">
        <v>647</v>
      </c>
      <c r="D1162" s="3">
        <v>1</v>
      </c>
      <c r="E1162" s="3" t="s">
        <v>29</v>
      </c>
      <c r="F1162" s="3" t="s">
        <v>30</v>
      </c>
      <c r="G1162" s="3" t="str">
        <f>"2025-08-08 00:32:04.298"</f>
        <v>2025-08-08 00:32:04.298</v>
      </c>
      <c r="H1162" s="3" t="s">
        <v>21</v>
      </c>
    </row>
    <row r="1163" spans="1:10" s="3" customFormat="1" x14ac:dyDescent="0.25">
      <c r="A1163" s="2">
        <v>200</v>
      </c>
      <c r="B1163" s="3" t="s">
        <v>26</v>
      </c>
      <c r="C1163" s="3">
        <v>647</v>
      </c>
      <c r="D1163" s="3">
        <v>1</v>
      </c>
      <c r="E1163" s="3" t="s">
        <v>29</v>
      </c>
      <c r="F1163" s="3" t="s">
        <v>30</v>
      </c>
      <c r="G1163" s="3" t="str">
        <f>"2025-08-08 00:32:00.198"</f>
        <v>2025-08-08 00:32:00.198</v>
      </c>
      <c r="H1163" s="3" t="s">
        <v>21</v>
      </c>
      <c r="I1163" s="3">
        <v>9.3000000000000007</v>
      </c>
      <c r="J1163" s="3" t="s">
        <v>31</v>
      </c>
    </row>
    <row r="1164" spans="1:10" x14ac:dyDescent="0.25">
      <c r="A1164" s="1">
        <v>201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"2025-08-07 11:34:10.716"</f>
        <v>2025-08-07 11:34:10.716</v>
      </c>
      <c r="H1164" t="s">
        <v>21</v>
      </c>
      <c r="I1164">
        <v>0</v>
      </c>
      <c r="J1164" t="s">
        <v>22</v>
      </c>
    </row>
    <row r="1165" spans="1:10" x14ac:dyDescent="0.25">
      <c r="A1165" s="1">
        <v>202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"2025-08-06 13:36:13.695"</f>
        <v>2025-08-06 13:36:13.695</v>
      </c>
      <c r="H1165" t="s">
        <v>21</v>
      </c>
    </row>
    <row r="1166" spans="1:10" x14ac:dyDescent="0.25">
      <c r="A1166" s="1">
        <v>203</v>
      </c>
      <c r="B1166" t="s">
        <v>23</v>
      </c>
      <c r="C1166">
        <v>635</v>
      </c>
      <c r="D1166">
        <v>1</v>
      </c>
      <c r="E1166" t="s">
        <v>24</v>
      </c>
      <c r="F1166" t="s">
        <v>25</v>
      </c>
      <c r="G1166" t="str">
        <f>"2025-08-05 16:13:57.535"</f>
        <v>2025-08-05 16:13:57.535</v>
      </c>
      <c r="H1166" t="s">
        <v>21</v>
      </c>
    </row>
    <row r="1167" spans="1:10" x14ac:dyDescent="0.25">
      <c r="A1167" s="1">
        <v>204</v>
      </c>
      <c r="B1167" t="s">
        <v>26</v>
      </c>
      <c r="C1167">
        <v>635</v>
      </c>
      <c r="D1167">
        <v>1</v>
      </c>
      <c r="E1167" t="s">
        <v>24</v>
      </c>
      <c r="F1167" t="s">
        <v>25</v>
      </c>
      <c r="G1167" t="str">
        <f>"2025-08-05 16:02:32.535"</f>
        <v>2025-08-05 16:02:32.535</v>
      </c>
      <c r="H1167" t="s">
        <v>21</v>
      </c>
      <c r="I1167">
        <v>4.12</v>
      </c>
      <c r="J1167" t="s">
        <v>27</v>
      </c>
    </row>
    <row r="1168" spans="1:10" x14ac:dyDescent="0.25">
      <c r="A1168" s="1">
        <v>205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"2025-08-05 09:05:37.696"</f>
        <v>2025-08-05 09:05:37.696</v>
      </c>
      <c r="H1168" t="s">
        <v>21</v>
      </c>
    </row>
    <row r="1169" spans="1:10" x14ac:dyDescent="0.25">
      <c r="A1169" s="1">
        <v>206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"2025-08-04 18:07:27.701"</f>
        <v>2025-08-04 18:07:27.701</v>
      </c>
      <c r="H1169" t="s">
        <v>21</v>
      </c>
    </row>
    <row r="1170" spans="1:10" x14ac:dyDescent="0.25">
      <c r="A1170" s="1">
        <v>207</v>
      </c>
      <c r="B1170" t="s">
        <v>19</v>
      </c>
      <c r="C1170">
        <v>706</v>
      </c>
      <c r="D1170">
        <v>4</v>
      </c>
      <c r="E1170" t="s">
        <v>32</v>
      </c>
      <c r="F1170" t="s">
        <v>33</v>
      </c>
      <c r="G1170" t="str">
        <f>"2025-08-04 16:24:14.548"</f>
        <v>2025-08-04 16:24:14.548</v>
      </c>
      <c r="H1170" t="s">
        <v>21</v>
      </c>
      <c r="I1170">
        <v>0</v>
      </c>
      <c r="J1170" t="s">
        <v>34</v>
      </c>
    </row>
    <row r="1171" spans="1:10" x14ac:dyDescent="0.25">
      <c r="A1171" s="1">
        <v>208</v>
      </c>
      <c r="B1171" t="s">
        <v>19</v>
      </c>
      <c r="C1171">
        <v>706</v>
      </c>
      <c r="D1171">
        <v>3</v>
      </c>
      <c r="E1171" t="s">
        <v>32</v>
      </c>
      <c r="F1171" t="s">
        <v>40</v>
      </c>
      <c r="G1171" t="str">
        <f>"2025-08-04 16:23:55.098"</f>
        <v>2025-08-04 16:23:55.098</v>
      </c>
      <c r="H1171" t="s">
        <v>21</v>
      </c>
      <c r="I1171">
        <v>0</v>
      </c>
      <c r="J1171" t="s">
        <v>34</v>
      </c>
    </row>
    <row r="1172" spans="1:10" x14ac:dyDescent="0.25">
      <c r="A1172" s="1">
        <v>209</v>
      </c>
      <c r="B1172" t="s">
        <v>19</v>
      </c>
      <c r="C1172">
        <v>706</v>
      </c>
      <c r="D1172">
        <v>3</v>
      </c>
      <c r="E1172" t="s">
        <v>32</v>
      </c>
      <c r="F1172" t="s">
        <v>40</v>
      </c>
      <c r="G1172" t="str">
        <f>"2025-08-04 16:22:46.508"</f>
        <v>2025-08-04 16:22:46.508</v>
      </c>
      <c r="H1172" t="s">
        <v>21</v>
      </c>
      <c r="I1172">
        <v>0</v>
      </c>
      <c r="J1172" t="s">
        <v>34</v>
      </c>
    </row>
    <row r="1173" spans="1:10" x14ac:dyDescent="0.25">
      <c r="A1173" s="1">
        <v>210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"2025-08-04 15:05:04.688"</f>
        <v>2025-08-04 15:05:04.688</v>
      </c>
      <c r="H1173" t="s">
        <v>21</v>
      </c>
    </row>
    <row r="1174" spans="1:10" x14ac:dyDescent="0.25">
      <c r="A1174" s="1">
        <v>211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"2025-08-04 14:57:14.686"</f>
        <v>2025-08-04 14:57:14.686</v>
      </c>
      <c r="H1174" t="s">
        <v>21</v>
      </c>
    </row>
    <row r="1175" spans="1:10" x14ac:dyDescent="0.25">
      <c r="A1175" s="1">
        <v>212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"2025-08-04 14:11:38.697"</f>
        <v>2025-08-04 14:11:38.697</v>
      </c>
      <c r="H1175" t="s">
        <v>21</v>
      </c>
      <c r="I1175">
        <v>0</v>
      </c>
      <c r="J1175" t="s">
        <v>22</v>
      </c>
    </row>
    <row r="1176" spans="1:10" x14ac:dyDescent="0.25">
      <c r="A1176" s="1">
        <v>213</v>
      </c>
      <c r="B1176" t="s">
        <v>19</v>
      </c>
      <c r="C1176">
        <v>706</v>
      </c>
      <c r="D1176">
        <v>4</v>
      </c>
      <c r="E1176" t="s">
        <v>32</v>
      </c>
      <c r="F1176" t="s">
        <v>33</v>
      </c>
      <c r="G1176" t="str">
        <f>"2025-08-04 12:40:35.145"</f>
        <v>2025-08-04 12:40:35.145</v>
      </c>
      <c r="H1176" t="s">
        <v>21</v>
      </c>
      <c r="I1176">
        <v>0</v>
      </c>
      <c r="J1176" t="s">
        <v>34</v>
      </c>
    </row>
    <row r="1177" spans="1:10" x14ac:dyDescent="0.25">
      <c r="A1177" s="1">
        <v>214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"2025-08-04 12:39:39.735"</f>
        <v>2025-08-04 12:39:39.735</v>
      </c>
      <c r="H1177" t="s">
        <v>21</v>
      </c>
      <c r="I1177">
        <v>0</v>
      </c>
      <c r="J1177" t="s">
        <v>22</v>
      </c>
    </row>
    <row r="1178" spans="1:10" x14ac:dyDescent="0.25">
      <c r="A1178" s="1">
        <v>215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"2025-08-04 12:25:26.696"</f>
        <v>2025-08-04 12:25:26.696</v>
      </c>
      <c r="H1178" t="s">
        <v>21</v>
      </c>
      <c r="I1178">
        <v>0</v>
      </c>
      <c r="J1178" t="s">
        <v>22</v>
      </c>
    </row>
    <row r="1179" spans="1:10" x14ac:dyDescent="0.25">
      <c r="A1179" s="1">
        <v>216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"2025-08-04 11:27:16.704"</f>
        <v>2025-08-04 11:27:16.704</v>
      </c>
      <c r="H1179" t="s">
        <v>21</v>
      </c>
      <c r="I1179">
        <v>0</v>
      </c>
      <c r="J1179" t="s">
        <v>22</v>
      </c>
    </row>
    <row r="1180" spans="1:10" x14ac:dyDescent="0.25">
      <c r="A1180" s="1">
        <v>217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"2025-08-04 10:52:09.695"</f>
        <v>2025-08-04 10:52:09.695</v>
      </c>
      <c r="H1180" t="s">
        <v>21</v>
      </c>
      <c r="I1180">
        <v>0</v>
      </c>
      <c r="J1180" t="s">
        <v>22</v>
      </c>
    </row>
    <row r="1181" spans="1:10" x14ac:dyDescent="0.25">
      <c r="A1181" s="1">
        <v>218</v>
      </c>
      <c r="B1181" t="s">
        <v>19</v>
      </c>
      <c r="C1181">
        <v>706</v>
      </c>
      <c r="D1181">
        <v>2</v>
      </c>
      <c r="E1181" t="s">
        <v>32</v>
      </c>
      <c r="F1181" t="s">
        <v>35</v>
      </c>
      <c r="G1181" t="str">
        <f>"2025-08-04 10:42:19.536"</f>
        <v>2025-08-04 10:42:19.536</v>
      </c>
      <c r="H1181" t="s">
        <v>21</v>
      </c>
      <c r="I1181">
        <v>0</v>
      </c>
      <c r="J1181" t="s">
        <v>34</v>
      </c>
    </row>
    <row r="1182" spans="1:10" x14ac:dyDescent="0.25">
      <c r="A1182" s="1">
        <v>219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"2025-08-04 10:39:41.686"</f>
        <v>2025-08-04 10:39:41.686</v>
      </c>
      <c r="H1182" t="s">
        <v>21</v>
      </c>
    </row>
    <row r="1183" spans="1:10" x14ac:dyDescent="0.25">
      <c r="A1183" s="1">
        <v>220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"2025-08-04 05:52:58.699"</f>
        <v>2025-08-04 05:52:58.699</v>
      </c>
      <c r="H1183" t="s">
        <v>21</v>
      </c>
      <c r="I1183">
        <v>0</v>
      </c>
      <c r="J1183" t="s">
        <v>22</v>
      </c>
    </row>
    <row r="1184" spans="1:10" x14ac:dyDescent="0.25">
      <c r="A1184" s="1">
        <v>221</v>
      </c>
      <c r="B1184" t="s">
        <v>19</v>
      </c>
      <c r="C1184">
        <v>706</v>
      </c>
      <c r="D1184">
        <v>4</v>
      </c>
      <c r="E1184" t="s">
        <v>32</v>
      </c>
      <c r="F1184" t="s">
        <v>33</v>
      </c>
      <c r="G1184" t="str">
        <f>"2025-08-04 04:01:49.847"</f>
        <v>2025-08-04 04:01:49.847</v>
      </c>
      <c r="H1184" t="s">
        <v>21</v>
      </c>
      <c r="I1184">
        <v>0</v>
      </c>
      <c r="J1184" t="s">
        <v>34</v>
      </c>
    </row>
    <row r="1185" spans="1:10" x14ac:dyDescent="0.25">
      <c r="A1185" s="1">
        <v>222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"2025-08-04 04:01:35.857"</f>
        <v>2025-08-04 04:01:35.857</v>
      </c>
      <c r="H1185" t="s">
        <v>21</v>
      </c>
      <c r="I1185">
        <v>0</v>
      </c>
      <c r="J1185" t="s">
        <v>22</v>
      </c>
    </row>
    <row r="1186" spans="1:10" x14ac:dyDescent="0.25">
      <c r="A1186" s="1">
        <v>223</v>
      </c>
      <c r="B1186" t="s">
        <v>23</v>
      </c>
      <c r="C1186">
        <v>630</v>
      </c>
      <c r="D1186">
        <v>5</v>
      </c>
      <c r="E1186" t="s">
        <v>36</v>
      </c>
      <c r="F1186" t="s">
        <v>37</v>
      </c>
      <c r="G1186" t="str">
        <f>"2025-08-04 03:06:57.313"</f>
        <v>2025-08-04 03:06:57.313</v>
      </c>
      <c r="H1186" t="s">
        <v>38</v>
      </c>
    </row>
    <row r="1187" spans="1:10" x14ac:dyDescent="0.25">
      <c r="A1187" s="1">
        <v>224</v>
      </c>
      <c r="B1187" t="s">
        <v>19</v>
      </c>
      <c r="C1187">
        <v>706</v>
      </c>
      <c r="D1187">
        <v>2</v>
      </c>
      <c r="E1187" t="s">
        <v>32</v>
      </c>
      <c r="F1187" t="s">
        <v>35</v>
      </c>
      <c r="G1187" t="str">
        <f>"2025-08-04 03:06:27.282"</f>
        <v>2025-08-04 03:06:27.282</v>
      </c>
      <c r="H1187" t="s">
        <v>21</v>
      </c>
      <c r="I1187">
        <v>0</v>
      </c>
      <c r="J1187" t="s">
        <v>34</v>
      </c>
    </row>
    <row r="1188" spans="1:10" x14ac:dyDescent="0.25">
      <c r="A1188" s="1">
        <v>225</v>
      </c>
      <c r="B1188" t="s">
        <v>39</v>
      </c>
      <c r="C1188">
        <v>630</v>
      </c>
      <c r="D1188">
        <v>5</v>
      </c>
      <c r="E1188" t="s">
        <v>36</v>
      </c>
      <c r="F1188" t="s">
        <v>37</v>
      </c>
      <c r="G1188" t="str">
        <f>"2025-08-04 02:04:44.413"</f>
        <v>2025-08-04 02:04:44.413</v>
      </c>
      <c r="H1188" t="s">
        <v>38</v>
      </c>
      <c r="I1188">
        <v>0</v>
      </c>
      <c r="J1188" t="s">
        <v>34</v>
      </c>
    </row>
    <row r="1189" spans="1:10" x14ac:dyDescent="0.25">
      <c r="A1189" s="1">
        <v>226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"2025-08-04 01:59:41.702"</f>
        <v>2025-08-04 01:59:41.702</v>
      </c>
      <c r="H1189" t="s">
        <v>21</v>
      </c>
      <c r="I1189">
        <v>0</v>
      </c>
      <c r="J1189" t="s">
        <v>22</v>
      </c>
    </row>
    <row r="1190" spans="1:10" x14ac:dyDescent="0.25">
      <c r="A1190" s="1">
        <v>227</v>
      </c>
      <c r="B1190" t="s">
        <v>39</v>
      </c>
      <c r="C1190">
        <v>630</v>
      </c>
      <c r="D1190">
        <v>5</v>
      </c>
      <c r="E1190" t="s">
        <v>36</v>
      </c>
      <c r="F1190" t="s">
        <v>37</v>
      </c>
      <c r="G1190" t="str">
        <f>"2025-08-03 10:27:53.011"</f>
        <v>2025-08-03 10:27:53.011</v>
      </c>
      <c r="H1190" t="s">
        <v>38</v>
      </c>
      <c r="I1190">
        <v>0</v>
      </c>
      <c r="J1190" t="s">
        <v>34</v>
      </c>
    </row>
    <row r="1191" spans="1:10" x14ac:dyDescent="0.25">
      <c r="A1191" s="1">
        <v>228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"2025-08-03 10:22:50.187"</f>
        <v>2025-08-03 10:22:50.187</v>
      </c>
      <c r="H1191" t="s">
        <v>21</v>
      </c>
      <c r="I1191">
        <v>0</v>
      </c>
      <c r="J1191" t="s">
        <v>22</v>
      </c>
    </row>
    <row r="1192" spans="1:10" x14ac:dyDescent="0.25">
      <c r="A1192" s="1">
        <v>229</v>
      </c>
      <c r="B1192" t="s">
        <v>23</v>
      </c>
      <c r="C1192">
        <v>631</v>
      </c>
      <c r="D1192">
        <v>2</v>
      </c>
      <c r="E1192" t="s">
        <v>74</v>
      </c>
      <c r="F1192" t="s">
        <v>75</v>
      </c>
      <c r="G1192" t="str">
        <f>"2025-08-03 09:36:12.025"</f>
        <v>2025-08-03 09:36:12.025</v>
      </c>
      <c r="H1192" t="s">
        <v>21</v>
      </c>
    </row>
    <row r="1193" spans="1:10" x14ac:dyDescent="0.25">
      <c r="A1193" s="1">
        <v>230</v>
      </c>
      <c r="B1193" t="s">
        <v>39</v>
      </c>
      <c r="C1193">
        <v>630</v>
      </c>
      <c r="D1193">
        <v>5</v>
      </c>
      <c r="E1193" t="s">
        <v>36</v>
      </c>
      <c r="F1193" t="s">
        <v>37</v>
      </c>
      <c r="G1193" t="str">
        <f>"2025-08-03 09:27:07.626"</f>
        <v>2025-08-03 09:27:07.626</v>
      </c>
      <c r="H1193" t="s">
        <v>38</v>
      </c>
      <c r="I1193">
        <v>0</v>
      </c>
      <c r="J1193" t="s">
        <v>34</v>
      </c>
    </row>
    <row r="1194" spans="1:10" x14ac:dyDescent="0.25">
      <c r="A1194" s="1">
        <v>231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"2025-08-03 09:22:04.833"</f>
        <v>2025-08-03 09:22:04.833</v>
      </c>
      <c r="H1194" t="s">
        <v>21</v>
      </c>
      <c r="I1194">
        <v>0</v>
      </c>
      <c r="J1194" t="s">
        <v>22</v>
      </c>
    </row>
    <row r="1195" spans="1:10" x14ac:dyDescent="0.25">
      <c r="A1195" s="1">
        <v>232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"2025-08-03 09:18:56.698"</f>
        <v>2025-08-03 09:18:56.698</v>
      </c>
      <c r="H1195" t="s">
        <v>21</v>
      </c>
      <c r="I1195">
        <v>0</v>
      </c>
      <c r="J1195" t="s">
        <v>22</v>
      </c>
    </row>
    <row r="1196" spans="1:10" x14ac:dyDescent="0.25">
      <c r="A1196" s="1">
        <v>233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"2025-08-03 09:15:39.701"</f>
        <v>2025-08-03 09:15:39.701</v>
      </c>
      <c r="H1196" t="s">
        <v>21</v>
      </c>
      <c r="I1196">
        <v>0</v>
      </c>
      <c r="J1196" t="s">
        <v>22</v>
      </c>
    </row>
    <row r="1197" spans="1:10" x14ac:dyDescent="0.25">
      <c r="A1197" s="1">
        <v>234</v>
      </c>
      <c r="B1197" t="s">
        <v>23</v>
      </c>
      <c r="C1197">
        <v>630</v>
      </c>
      <c r="D1197">
        <v>5</v>
      </c>
      <c r="E1197" t="s">
        <v>36</v>
      </c>
      <c r="F1197" t="s">
        <v>37</v>
      </c>
      <c r="G1197" t="str">
        <f>"2025-08-03 08:59:59.117"</f>
        <v>2025-08-03 08:59:59.117</v>
      </c>
      <c r="H1197" t="s">
        <v>38</v>
      </c>
    </row>
    <row r="1198" spans="1:10" x14ac:dyDescent="0.25">
      <c r="A1198" s="1">
        <v>235</v>
      </c>
      <c r="B1198" t="s">
        <v>19</v>
      </c>
      <c r="C1198">
        <v>706</v>
      </c>
      <c r="D1198">
        <v>4</v>
      </c>
      <c r="E1198" t="s">
        <v>32</v>
      </c>
      <c r="F1198" t="s">
        <v>33</v>
      </c>
      <c r="G1198" t="str">
        <f>"2025-08-03 08:59:29.046"</f>
        <v>2025-08-03 08:59:29.046</v>
      </c>
      <c r="H1198" t="s">
        <v>21</v>
      </c>
      <c r="I1198">
        <v>0</v>
      </c>
      <c r="J1198" t="s">
        <v>34</v>
      </c>
    </row>
    <row r="1199" spans="1:10" x14ac:dyDescent="0.25">
      <c r="A1199" s="1">
        <v>236</v>
      </c>
      <c r="B1199" t="s">
        <v>39</v>
      </c>
      <c r="C1199">
        <v>630</v>
      </c>
      <c r="D1199">
        <v>5</v>
      </c>
      <c r="E1199" t="s">
        <v>36</v>
      </c>
      <c r="F1199" t="s">
        <v>37</v>
      </c>
      <c r="G1199" t="str">
        <f>"2025-08-03 08:59:26.517"</f>
        <v>2025-08-03 08:59:26.517</v>
      </c>
      <c r="H1199" t="s">
        <v>38</v>
      </c>
      <c r="I1199">
        <v>0</v>
      </c>
      <c r="J1199" t="s">
        <v>34</v>
      </c>
    </row>
    <row r="1200" spans="1:10" x14ac:dyDescent="0.25">
      <c r="A1200" s="1">
        <v>237</v>
      </c>
      <c r="B1200" t="s">
        <v>26</v>
      </c>
      <c r="C1200">
        <v>631</v>
      </c>
      <c r="D1200">
        <v>2</v>
      </c>
      <c r="E1200" t="s">
        <v>74</v>
      </c>
      <c r="F1200" t="s">
        <v>75</v>
      </c>
      <c r="G1200" t="str">
        <f>"2025-08-03 08:54:37.016"</f>
        <v>2025-08-03 08:54:37.016</v>
      </c>
      <c r="H1200" t="s">
        <v>21</v>
      </c>
      <c r="I1200">
        <v>0</v>
      </c>
      <c r="J1200" t="s">
        <v>34</v>
      </c>
    </row>
    <row r="1201" spans="1:10" x14ac:dyDescent="0.25">
      <c r="A1201" s="1">
        <v>238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"2025-08-03 08:54:23.766"</f>
        <v>2025-08-03 08:54:23.766</v>
      </c>
      <c r="H1201" t="s">
        <v>21</v>
      </c>
      <c r="I1201">
        <v>0</v>
      </c>
      <c r="J1201" t="s">
        <v>22</v>
      </c>
    </row>
    <row r="1202" spans="1:10" x14ac:dyDescent="0.25">
      <c r="A1202" s="1">
        <v>239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"2025-08-03 08:01:28.870"</f>
        <v>2025-08-03 08:01:28.870</v>
      </c>
      <c r="H1202" t="s">
        <v>21</v>
      </c>
    </row>
    <row r="1203" spans="1:10" x14ac:dyDescent="0.25">
      <c r="A1203" s="1">
        <v>240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"2025-08-02 16:55:38.719"</f>
        <v>2025-08-02 16:55:38.719</v>
      </c>
      <c r="H1203" t="s">
        <v>21</v>
      </c>
      <c r="I1203">
        <v>0</v>
      </c>
      <c r="J1203" t="s">
        <v>22</v>
      </c>
    </row>
    <row r="1204" spans="1:10" x14ac:dyDescent="0.25">
      <c r="A1204" s="1">
        <v>241</v>
      </c>
      <c r="B1204" t="s">
        <v>23</v>
      </c>
      <c r="C1204">
        <v>635</v>
      </c>
      <c r="D1204">
        <v>1</v>
      </c>
      <c r="E1204" t="s">
        <v>24</v>
      </c>
      <c r="F1204" t="s">
        <v>25</v>
      </c>
      <c r="G1204" t="str">
        <f>"2025-08-01 16:49:47.156"</f>
        <v>2025-08-01 16:49:47.156</v>
      </c>
      <c r="H1204" t="s">
        <v>21</v>
      </c>
    </row>
    <row r="1205" spans="1:10" x14ac:dyDescent="0.25">
      <c r="A1205" s="1">
        <v>242</v>
      </c>
      <c r="B1205" t="s">
        <v>26</v>
      </c>
      <c r="C1205">
        <v>635</v>
      </c>
      <c r="D1205">
        <v>1</v>
      </c>
      <c r="E1205" t="s">
        <v>24</v>
      </c>
      <c r="F1205" t="s">
        <v>25</v>
      </c>
      <c r="G1205" t="str">
        <f>"2025-08-01 16:47:26.656"</f>
        <v>2025-08-01 16:47:26.656</v>
      </c>
      <c r="H1205" t="s">
        <v>21</v>
      </c>
      <c r="I1205">
        <v>1.95</v>
      </c>
      <c r="J1205" t="s">
        <v>27</v>
      </c>
    </row>
    <row r="1206" spans="1:10" x14ac:dyDescent="0.25">
      <c r="A1206" s="1">
        <v>243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"2025-07-31 10:20:08.006"</f>
        <v>2025-07-31 10:20:08.006</v>
      </c>
      <c r="H1206" t="s">
        <v>21</v>
      </c>
    </row>
    <row r="1207" spans="1:10" x14ac:dyDescent="0.25">
      <c r="A1207" s="1">
        <v>245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"2025-07-30 14:07:12.692"</f>
        <v>2025-07-30 14:07:12.692</v>
      </c>
      <c r="H1207" t="s">
        <v>21</v>
      </c>
    </row>
    <row r="1208" spans="1:10" x14ac:dyDescent="0.25">
      <c r="A1208" s="1">
        <v>246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"2025-07-29 10:37:21.723"</f>
        <v>2025-07-29 10:37:21.723</v>
      </c>
      <c r="H1208" t="s">
        <v>21</v>
      </c>
    </row>
    <row r="1209" spans="1:10" x14ac:dyDescent="0.25">
      <c r="A1209" s="1">
        <v>247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"2025-07-28 18:12:27.872"</f>
        <v>2025-07-28 18:12:27.872</v>
      </c>
      <c r="H1209" t="s">
        <v>21</v>
      </c>
      <c r="I1209">
        <v>0</v>
      </c>
      <c r="J1209" t="s">
        <v>22</v>
      </c>
    </row>
    <row r="1210" spans="1:10" x14ac:dyDescent="0.25">
      <c r="A1210" s="1">
        <v>248</v>
      </c>
      <c r="B1210" t="s">
        <v>19</v>
      </c>
      <c r="C1210">
        <v>706</v>
      </c>
      <c r="D1210">
        <v>3</v>
      </c>
      <c r="E1210" t="s">
        <v>32</v>
      </c>
      <c r="F1210" t="s">
        <v>40</v>
      </c>
      <c r="G1210" t="str">
        <f>"2025-07-28 15:11:58.057"</f>
        <v>2025-07-28 15:11:58.057</v>
      </c>
      <c r="H1210" t="s">
        <v>21</v>
      </c>
      <c r="I1210">
        <v>0</v>
      </c>
      <c r="J1210" t="s">
        <v>34</v>
      </c>
    </row>
    <row r="1211" spans="1:10" x14ac:dyDescent="0.25">
      <c r="A1211" s="1">
        <v>249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"2025-07-28 15:11:03.687"</f>
        <v>2025-07-28 15:11:03.687</v>
      </c>
      <c r="H1211" t="s">
        <v>21</v>
      </c>
    </row>
    <row r="1212" spans="1:10" x14ac:dyDescent="0.25">
      <c r="A1212" s="1">
        <v>250</v>
      </c>
      <c r="B1212" t="s">
        <v>19</v>
      </c>
      <c r="C1212">
        <v>706</v>
      </c>
      <c r="D1212">
        <v>2</v>
      </c>
      <c r="E1212" t="s">
        <v>32</v>
      </c>
      <c r="F1212" t="s">
        <v>35</v>
      </c>
      <c r="G1212" t="str">
        <f>"2025-07-28 11:19:12.938"</f>
        <v>2025-07-28 11:19:12.938</v>
      </c>
      <c r="H1212" t="s">
        <v>21</v>
      </c>
      <c r="I1212">
        <v>0</v>
      </c>
      <c r="J1212" t="s">
        <v>34</v>
      </c>
    </row>
    <row r="1213" spans="1:10" x14ac:dyDescent="0.25">
      <c r="A1213" s="1">
        <v>251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"2025-07-28 11:18:54.698"</f>
        <v>2025-07-28 11:18:54.698</v>
      </c>
      <c r="H1213" t="s">
        <v>21</v>
      </c>
      <c r="I1213">
        <v>0</v>
      </c>
      <c r="J1213" t="s">
        <v>22</v>
      </c>
    </row>
    <row r="1214" spans="1:10" x14ac:dyDescent="0.25">
      <c r="A1214" s="1">
        <v>252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"2025-07-28 10:58:20.806"</f>
        <v>2025-07-28 10:58:20.806</v>
      </c>
      <c r="H1214" t="s">
        <v>21</v>
      </c>
      <c r="I1214">
        <v>0</v>
      </c>
      <c r="J1214" t="s">
        <v>22</v>
      </c>
    </row>
    <row r="1215" spans="1:10" x14ac:dyDescent="0.25">
      <c r="A1215" s="1">
        <v>253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"2025-07-28 08:13:56.695"</f>
        <v>2025-07-28 08:13:56.695</v>
      </c>
      <c r="H1215" t="s">
        <v>21</v>
      </c>
    </row>
    <row r="1216" spans="1:10" x14ac:dyDescent="0.25">
      <c r="A1216" s="1">
        <v>254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"2025-07-28 02:58:05.691"</f>
        <v>2025-07-28 02:58:05.691</v>
      </c>
      <c r="H1216" t="s">
        <v>21</v>
      </c>
      <c r="I1216">
        <v>0</v>
      </c>
      <c r="J1216" t="s">
        <v>22</v>
      </c>
    </row>
    <row r="1217" spans="1:10" x14ac:dyDescent="0.25">
      <c r="A1217" s="1">
        <v>255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"2025-07-28 02:41:15.819"</f>
        <v>2025-07-28 02:41:15.819</v>
      </c>
      <c r="H1217" t="s">
        <v>21</v>
      </c>
      <c r="I1217">
        <v>0</v>
      </c>
      <c r="J1217" t="s">
        <v>22</v>
      </c>
    </row>
    <row r="1218" spans="1:10" x14ac:dyDescent="0.25">
      <c r="A1218" s="1">
        <v>256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"2025-07-27 18:01:02.690"</f>
        <v>2025-07-27 18:01:02.690</v>
      </c>
      <c r="H1218" t="s">
        <v>21</v>
      </c>
      <c r="I1218">
        <v>0</v>
      </c>
      <c r="J1218" t="s">
        <v>22</v>
      </c>
    </row>
    <row r="1219" spans="1:10" x14ac:dyDescent="0.25">
      <c r="A1219" s="1">
        <v>257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"2025-07-27 17:43:19.866"</f>
        <v>2025-07-27 17:43:19.866</v>
      </c>
      <c r="H1219" t="s">
        <v>21</v>
      </c>
      <c r="I1219">
        <v>0</v>
      </c>
      <c r="J1219" t="s">
        <v>22</v>
      </c>
    </row>
    <row r="1220" spans="1:10" x14ac:dyDescent="0.25">
      <c r="A1220" s="1">
        <v>258</v>
      </c>
      <c r="B1220" t="s">
        <v>23</v>
      </c>
      <c r="C1220">
        <v>635</v>
      </c>
      <c r="D1220">
        <v>1</v>
      </c>
      <c r="E1220" t="s">
        <v>24</v>
      </c>
      <c r="F1220" t="s">
        <v>25</v>
      </c>
      <c r="G1220" t="str">
        <f>"2025-07-27 02:39:37.643"</f>
        <v>2025-07-27 02:39:37.643</v>
      </c>
      <c r="H1220" t="s">
        <v>21</v>
      </c>
    </row>
    <row r="1221" spans="1:10" x14ac:dyDescent="0.25">
      <c r="A1221" s="1">
        <v>259</v>
      </c>
      <c r="B1221" t="s">
        <v>26</v>
      </c>
      <c r="C1221">
        <v>635</v>
      </c>
      <c r="D1221">
        <v>1</v>
      </c>
      <c r="E1221" t="s">
        <v>24</v>
      </c>
      <c r="F1221" t="s">
        <v>25</v>
      </c>
      <c r="G1221" t="str">
        <f>"2025-07-27 02:34:38.144"</f>
        <v>2025-07-27 02:34:38.144</v>
      </c>
      <c r="H1221" t="s">
        <v>21</v>
      </c>
      <c r="I1221">
        <v>1.1200000000000001</v>
      </c>
      <c r="J1221" t="s">
        <v>27</v>
      </c>
    </row>
    <row r="1222" spans="1:10" x14ac:dyDescent="0.25">
      <c r="A1222" s="1">
        <v>260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"2025-07-26 13:18:53.833"</f>
        <v>2025-07-26 13:18:53.833</v>
      </c>
      <c r="H1222" t="s">
        <v>21</v>
      </c>
      <c r="I1222">
        <v>0</v>
      </c>
      <c r="J1222" t="s">
        <v>22</v>
      </c>
    </row>
    <row r="1223" spans="1:10" x14ac:dyDescent="0.25">
      <c r="A1223" s="1">
        <v>262</v>
      </c>
      <c r="B1223" t="s">
        <v>23</v>
      </c>
      <c r="C1223">
        <v>635</v>
      </c>
      <c r="D1223">
        <v>1</v>
      </c>
      <c r="E1223" t="s">
        <v>24</v>
      </c>
      <c r="F1223" t="s">
        <v>25</v>
      </c>
      <c r="G1223" t="str">
        <f>"2025-07-25 12:08:39.885"</f>
        <v>2025-07-25 12:08:39.885</v>
      </c>
      <c r="H1223" t="s">
        <v>21</v>
      </c>
    </row>
    <row r="1224" spans="1:10" x14ac:dyDescent="0.25">
      <c r="A1224" s="1">
        <v>263</v>
      </c>
      <c r="B1224" t="s">
        <v>26</v>
      </c>
      <c r="C1224">
        <v>635</v>
      </c>
      <c r="D1224">
        <v>1</v>
      </c>
      <c r="E1224" t="s">
        <v>24</v>
      </c>
      <c r="F1224" t="s">
        <v>25</v>
      </c>
      <c r="G1224" t="str">
        <f>"2025-07-25 12:06:34.886"</f>
        <v>2025-07-25 12:06:34.886</v>
      </c>
      <c r="H1224" t="s">
        <v>21</v>
      </c>
      <c r="I1224">
        <v>0</v>
      </c>
      <c r="J1224" t="s">
        <v>28</v>
      </c>
    </row>
    <row r="1225" spans="1:10" x14ac:dyDescent="0.25">
      <c r="A1225" s="1">
        <v>264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"2025-07-25 11:02:08.682"</f>
        <v>2025-07-25 11:02:08.682</v>
      </c>
      <c r="H1225" t="s">
        <v>21</v>
      </c>
      <c r="I1225">
        <v>0</v>
      </c>
      <c r="J1225" t="s">
        <v>22</v>
      </c>
    </row>
    <row r="1226" spans="1:10" x14ac:dyDescent="0.25">
      <c r="A1226" s="1">
        <v>265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"2025-07-24 08:38:10.919"</f>
        <v>2025-07-24 08:38:10.919</v>
      </c>
      <c r="H1226" t="s">
        <v>21</v>
      </c>
      <c r="I1226">
        <v>0</v>
      </c>
      <c r="J1226" t="s">
        <v>22</v>
      </c>
    </row>
    <row r="1227" spans="1:10" x14ac:dyDescent="0.25">
      <c r="A1227" s="1">
        <v>266</v>
      </c>
      <c r="B1227" t="s">
        <v>23</v>
      </c>
      <c r="C1227">
        <v>635</v>
      </c>
      <c r="D1227">
        <v>1</v>
      </c>
      <c r="E1227" t="s">
        <v>24</v>
      </c>
      <c r="F1227" t="s">
        <v>25</v>
      </c>
      <c r="G1227" t="str">
        <f>"2025-07-22 22:33:33.746"</f>
        <v>2025-07-22 22:33:33.746</v>
      </c>
      <c r="H1227" t="s">
        <v>21</v>
      </c>
    </row>
    <row r="1228" spans="1:10" x14ac:dyDescent="0.25">
      <c r="A1228" s="1">
        <v>267</v>
      </c>
      <c r="B1228" t="s">
        <v>26</v>
      </c>
      <c r="C1228">
        <v>635</v>
      </c>
      <c r="D1228">
        <v>1</v>
      </c>
      <c r="E1228" t="s">
        <v>24</v>
      </c>
      <c r="F1228" t="s">
        <v>25</v>
      </c>
      <c r="G1228" t="str">
        <f>"2025-07-22 22:24:34.246"</f>
        <v>2025-07-22 22:24:34.246</v>
      </c>
      <c r="H1228" t="s">
        <v>21</v>
      </c>
      <c r="I1228">
        <v>3.39</v>
      </c>
      <c r="J1228" t="s">
        <v>27</v>
      </c>
    </row>
    <row r="1229" spans="1:10" x14ac:dyDescent="0.25">
      <c r="A1229" s="1">
        <v>269</v>
      </c>
      <c r="B1229" t="s">
        <v>23</v>
      </c>
      <c r="C1229">
        <v>630</v>
      </c>
      <c r="D1229">
        <v>5</v>
      </c>
      <c r="E1229" t="s">
        <v>36</v>
      </c>
      <c r="F1229" t="s">
        <v>37</v>
      </c>
      <c r="G1229" t="str">
        <f>"2025-07-22 11:48:32.400"</f>
        <v>2025-07-22 11:48:32.400</v>
      </c>
      <c r="H1229" t="s">
        <v>38</v>
      </c>
    </row>
    <row r="1230" spans="1:10" x14ac:dyDescent="0.25">
      <c r="A1230" s="1">
        <v>270</v>
      </c>
      <c r="B1230" t="s">
        <v>19</v>
      </c>
      <c r="C1230">
        <v>706</v>
      </c>
      <c r="D1230">
        <v>4</v>
      </c>
      <c r="E1230" t="s">
        <v>32</v>
      </c>
      <c r="F1230" t="s">
        <v>33</v>
      </c>
      <c r="G1230" t="str">
        <f>"2025-07-22 11:48:02.395"</f>
        <v>2025-07-22 11:48:02.395</v>
      </c>
      <c r="H1230" t="s">
        <v>21</v>
      </c>
      <c r="I1230">
        <v>0</v>
      </c>
      <c r="J1230" t="s">
        <v>34</v>
      </c>
    </row>
    <row r="1231" spans="1:10" x14ac:dyDescent="0.25">
      <c r="A1231" s="1">
        <v>271</v>
      </c>
      <c r="B1231" t="s">
        <v>39</v>
      </c>
      <c r="C1231">
        <v>630</v>
      </c>
      <c r="D1231">
        <v>5</v>
      </c>
      <c r="E1231" t="s">
        <v>36</v>
      </c>
      <c r="F1231" t="s">
        <v>37</v>
      </c>
      <c r="G1231" t="str">
        <f>"2025-07-22 10:56:34.600"</f>
        <v>2025-07-22 10:56:34.600</v>
      </c>
      <c r="H1231" t="s">
        <v>38</v>
      </c>
      <c r="I1231">
        <v>0</v>
      </c>
      <c r="J1231" t="s">
        <v>34</v>
      </c>
    </row>
    <row r="1232" spans="1:10" x14ac:dyDescent="0.25">
      <c r="A1232" s="1">
        <v>272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"2025-07-22 10:51:31.695"</f>
        <v>2025-07-22 10:51:31.695</v>
      </c>
      <c r="H1232" t="s">
        <v>21</v>
      </c>
      <c r="I1232">
        <v>0</v>
      </c>
      <c r="J1232" t="s">
        <v>22</v>
      </c>
    </row>
    <row r="1233" spans="1:10" x14ac:dyDescent="0.25">
      <c r="A1233" s="1">
        <v>273</v>
      </c>
      <c r="B1233" t="s">
        <v>19</v>
      </c>
      <c r="C1233">
        <v>706</v>
      </c>
      <c r="D1233">
        <v>2</v>
      </c>
      <c r="E1233" t="s">
        <v>32</v>
      </c>
      <c r="F1233" t="s">
        <v>35</v>
      </c>
      <c r="G1233" t="str">
        <f>"2025-07-22 10:42:45.343"</f>
        <v>2025-07-22 10:42:45.343</v>
      </c>
      <c r="H1233" t="s">
        <v>21</v>
      </c>
      <c r="I1233">
        <v>0</v>
      </c>
      <c r="J1233" t="s">
        <v>34</v>
      </c>
    </row>
    <row r="1234" spans="1:10" x14ac:dyDescent="0.25">
      <c r="A1234" s="1">
        <v>274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"2025-07-22 10:42:22.673"</f>
        <v>2025-07-22 10:42:22.673</v>
      </c>
      <c r="H1234" t="s">
        <v>21</v>
      </c>
    </row>
    <row r="1235" spans="1:10" x14ac:dyDescent="0.25">
      <c r="A1235" s="1">
        <v>275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"2025-07-22 09:59:40.734"</f>
        <v>2025-07-22 09:59:40.734</v>
      </c>
      <c r="H1235" t="s">
        <v>21</v>
      </c>
      <c r="I1235">
        <v>0</v>
      </c>
      <c r="J1235" t="s">
        <v>22</v>
      </c>
    </row>
    <row r="1236" spans="1:10" s="3" customFormat="1" x14ac:dyDescent="0.25">
      <c r="A1236" s="2">
        <v>276</v>
      </c>
      <c r="B1236" s="3" t="s">
        <v>23</v>
      </c>
      <c r="C1236" s="3">
        <v>647</v>
      </c>
      <c r="D1236" s="3">
        <v>1</v>
      </c>
      <c r="E1236" s="3" t="s">
        <v>29</v>
      </c>
      <c r="F1236" s="3" t="s">
        <v>30</v>
      </c>
      <c r="G1236" s="3" t="str">
        <f>"2025-07-21 14:36:26.416"</f>
        <v>2025-07-21 14:36:26.416</v>
      </c>
      <c r="H1236" s="3" t="s">
        <v>21</v>
      </c>
    </row>
    <row r="1237" spans="1:10" s="3" customFormat="1" x14ac:dyDescent="0.25">
      <c r="A1237" s="2">
        <v>277</v>
      </c>
      <c r="B1237" s="3" t="s">
        <v>26</v>
      </c>
      <c r="C1237" s="3">
        <v>647</v>
      </c>
      <c r="D1237" s="3">
        <v>1</v>
      </c>
      <c r="E1237" s="3" t="s">
        <v>29</v>
      </c>
      <c r="F1237" s="3" t="s">
        <v>30</v>
      </c>
      <c r="G1237" s="3" t="str">
        <f>"2025-07-21 14:36:23.317"</f>
        <v>2025-07-21 14:36:23.317</v>
      </c>
      <c r="H1237" s="3" t="s">
        <v>21</v>
      </c>
      <c r="I1237" s="3">
        <v>17.100000000000001</v>
      </c>
      <c r="J1237" s="3" t="s">
        <v>31</v>
      </c>
    </row>
    <row r="1238" spans="1:10" x14ac:dyDescent="0.25">
      <c r="A1238" s="1">
        <v>278</v>
      </c>
      <c r="B1238" t="s">
        <v>19</v>
      </c>
      <c r="C1238">
        <v>706</v>
      </c>
      <c r="D1238">
        <v>4</v>
      </c>
      <c r="E1238" t="s">
        <v>32</v>
      </c>
      <c r="F1238" t="s">
        <v>33</v>
      </c>
      <c r="G1238" t="str">
        <f>"2025-07-21 09:41:50.263"</f>
        <v>2025-07-21 09:41:50.263</v>
      </c>
      <c r="H1238" t="s">
        <v>21</v>
      </c>
      <c r="I1238">
        <v>0</v>
      </c>
      <c r="J1238" t="s">
        <v>34</v>
      </c>
    </row>
    <row r="1239" spans="1:10" x14ac:dyDescent="0.25">
      <c r="A1239" s="1">
        <v>279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"2025-07-21 09:41:34.703"</f>
        <v>2025-07-21 09:41:34.703</v>
      </c>
      <c r="H1239" t="s">
        <v>21</v>
      </c>
    </row>
    <row r="1240" spans="1:10" x14ac:dyDescent="0.25">
      <c r="A1240" s="1">
        <v>280</v>
      </c>
      <c r="B1240" t="s">
        <v>23</v>
      </c>
      <c r="C1240">
        <v>635</v>
      </c>
      <c r="D1240">
        <v>1</v>
      </c>
      <c r="E1240" t="s">
        <v>24</v>
      </c>
      <c r="F1240" t="s">
        <v>25</v>
      </c>
      <c r="G1240" t="str">
        <f>"2025-07-20 21:16:18.967"</f>
        <v>2025-07-20 21:16:18.967</v>
      </c>
      <c r="H1240" t="s">
        <v>21</v>
      </c>
    </row>
    <row r="1241" spans="1:10" x14ac:dyDescent="0.25">
      <c r="A1241" s="1">
        <v>281</v>
      </c>
      <c r="B1241" t="s">
        <v>26</v>
      </c>
      <c r="C1241">
        <v>635</v>
      </c>
      <c r="D1241">
        <v>1</v>
      </c>
      <c r="E1241" t="s">
        <v>24</v>
      </c>
      <c r="F1241" t="s">
        <v>25</v>
      </c>
      <c r="G1241" t="str">
        <f>"2025-07-20 21:09:49.967"</f>
        <v>2025-07-20 21:09:49.967</v>
      </c>
      <c r="H1241" t="s">
        <v>21</v>
      </c>
      <c r="I1241">
        <v>4.5599999999999996</v>
      </c>
      <c r="J1241" t="s">
        <v>27</v>
      </c>
    </row>
    <row r="1242" spans="1:10" x14ac:dyDescent="0.25">
      <c r="A1242" s="1">
        <v>282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"2025-07-20 13:36:19.704"</f>
        <v>2025-07-20 13:36:19.704</v>
      </c>
      <c r="H1242" t="s">
        <v>21</v>
      </c>
      <c r="I1242">
        <v>0</v>
      </c>
      <c r="J1242" t="s">
        <v>22</v>
      </c>
    </row>
    <row r="1243" spans="1:10" x14ac:dyDescent="0.25">
      <c r="A1243" s="1">
        <v>283</v>
      </c>
      <c r="B1243" t="s">
        <v>23</v>
      </c>
      <c r="C1243">
        <v>635</v>
      </c>
      <c r="D1243">
        <v>1</v>
      </c>
      <c r="E1243" t="s">
        <v>24</v>
      </c>
      <c r="F1243" t="s">
        <v>25</v>
      </c>
      <c r="G1243" t="str">
        <f>"2025-07-20 11:48:51.445"</f>
        <v>2025-07-20 11:48:51.445</v>
      </c>
      <c r="H1243" t="s">
        <v>21</v>
      </c>
    </row>
    <row r="1244" spans="1:10" x14ac:dyDescent="0.25">
      <c r="A1244" s="1">
        <v>284</v>
      </c>
      <c r="B1244" t="s">
        <v>26</v>
      </c>
      <c r="C1244">
        <v>635</v>
      </c>
      <c r="D1244">
        <v>1</v>
      </c>
      <c r="E1244" t="s">
        <v>24</v>
      </c>
      <c r="F1244" t="s">
        <v>25</v>
      </c>
      <c r="G1244" t="str">
        <f>"2025-07-20 11:32:37.045"</f>
        <v>2025-07-20 11:32:37.045</v>
      </c>
      <c r="H1244" t="s">
        <v>21</v>
      </c>
      <c r="I1244">
        <v>2.85</v>
      </c>
      <c r="J1244" t="s">
        <v>27</v>
      </c>
    </row>
    <row r="1245" spans="1:10" x14ac:dyDescent="0.25">
      <c r="A1245" s="1">
        <v>285</v>
      </c>
      <c r="B1245" t="s">
        <v>23</v>
      </c>
      <c r="C1245">
        <v>635</v>
      </c>
      <c r="D1245">
        <v>1</v>
      </c>
      <c r="E1245" t="s">
        <v>24</v>
      </c>
      <c r="F1245" t="s">
        <v>25</v>
      </c>
      <c r="G1245" t="str">
        <f>"2025-07-19 17:32:18.245"</f>
        <v>2025-07-19 17:32:18.245</v>
      </c>
      <c r="H1245" t="s">
        <v>21</v>
      </c>
    </row>
    <row r="1246" spans="1:10" x14ac:dyDescent="0.25">
      <c r="A1246" s="1">
        <v>286</v>
      </c>
      <c r="B1246" t="s">
        <v>26</v>
      </c>
      <c r="C1246">
        <v>635</v>
      </c>
      <c r="D1246">
        <v>1</v>
      </c>
      <c r="E1246" t="s">
        <v>24</v>
      </c>
      <c r="F1246" t="s">
        <v>25</v>
      </c>
      <c r="G1246" t="str">
        <f>"2025-07-19 17:26:46.745"</f>
        <v>2025-07-19 17:26:46.745</v>
      </c>
      <c r="H1246" t="s">
        <v>21</v>
      </c>
      <c r="I1246">
        <v>1.3</v>
      </c>
      <c r="J1246" t="s">
        <v>28</v>
      </c>
    </row>
    <row r="1247" spans="1:10" x14ac:dyDescent="0.25">
      <c r="A1247" s="1">
        <v>287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"2025-07-19 14:24:40.682"</f>
        <v>2025-07-19 14:24:40.682</v>
      </c>
      <c r="H1247" t="s">
        <v>21</v>
      </c>
    </row>
    <row r="1248" spans="1:10" s="3" customFormat="1" x14ac:dyDescent="0.25">
      <c r="A1248" s="2">
        <v>288</v>
      </c>
      <c r="B1248" s="3" t="s">
        <v>23</v>
      </c>
      <c r="C1248" s="3">
        <v>647</v>
      </c>
      <c r="D1248" s="3">
        <v>1</v>
      </c>
      <c r="E1248" s="3" t="s">
        <v>29</v>
      </c>
      <c r="F1248" s="3" t="s">
        <v>30</v>
      </c>
      <c r="G1248" s="3" t="str">
        <f>"2025-07-18 18:01:02.498"</f>
        <v>2025-07-18 18:01:02.498</v>
      </c>
      <c r="H1248" s="3" t="s">
        <v>21</v>
      </c>
    </row>
    <row r="1249" spans="1:10" s="3" customFormat="1" x14ac:dyDescent="0.25">
      <c r="A1249" s="2">
        <v>289</v>
      </c>
      <c r="B1249" s="3" t="s">
        <v>26</v>
      </c>
      <c r="C1249" s="3">
        <v>647</v>
      </c>
      <c r="D1249" s="3">
        <v>1</v>
      </c>
      <c r="E1249" s="3" t="s">
        <v>29</v>
      </c>
      <c r="F1249" s="3" t="s">
        <v>30</v>
      </c>
      <c r="G1249" s="3" t="str">
        <f>"2025-07-18 18:00:57.698"</f>
        <v>2025-07-18 18:00:57.698</v>
      </c>
      <c r="H1249" s="3" t="s">
        <v>21</v>
      </c>
      <c r="I1249" s="3">
        <v>15.46</v>
      </c>
      <c r="J1249" s="3" t="s">
        <v>31</v>
      </c>
    </row>
    <row r="1250" spans="1:10" s="3" customFormat="1" x14ac:dyDescent="0.25">
      <c r="A1250" s="2">
        <v>290</v>
      </c>
      <c r="B1250" s="3" t="s">
        <v>23</v>
      </c>
      <c r="C1250" s="3">
        <v>647</v>
      </c>
      <c r="D1250" s="3">
        <v>1</v>
      </c>
      <c r="E1250" s="3" t="s">
        <v>29</v>
      </c>
      <c r="F1250" s="3" t="s">
        <v>30</v>
      </c>
      <c r="G1250" s="3" t="str">
        <f>"2025-07-18 17:36:18.698"</f>
        <v>2025-07-18 17:36:18.698</v>
      </c>
      <c r="H1250" s="3" t="s">
        <v>21</v>
      </c>
    </row>
    <row r="1251" spans="1:10" s="3" customFormat="1" x14ac:dyDescent="0.25">
      <c r="A1251" s="2">
        <v>291</v>
      </c>
      <c r="B1251" s="3" t="s">
        <v>26</v>
      </c>
      <c r="C1251" s="3">
        <v>647</v>
      </c>
      <c r="D1251" s="3">
        <v>1</v>
      </c>
      <c r="E1251" s="3" t="s">
        <v>29</v>
      </c>
      <c r="F1251" s="3" t="s">
        <v>30</v>
      </c>
      <c r="G1251" s="3" t="str">
        <f>"2025-07-18 17:36:14.298"</f>
        <v>2025-07-18 17:36:14.298</v>
      </c>
      <c r="H1251" s="3" t="s">
        <v>21</v>
      </c>
      <c r="I1251" s="3">
        <v>13.53</v>
      </c>
      <c r="J1251" s="3" t="s">
        <v>31</v>
      </c>
    </row>
    <row r="1252" spans="1:10" x14ac:dyDescent="0.25">
      <c r="A1252" s="1">
        <v>292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"2025-07-18 09:19:29.681"</f>
        <v>2025-07-18 09:19:29.681</v>
      </c>
      <c r="H1252" t="s">
        <v>21</v>
      </c>
      <c r="I1252">
        <v>0</v>
      </c>
      <c r="J1252" t="s">
        <v>22</v>
      </c>
    </row>
    <row r="1253" spans="1:10" x14ac:dyDescent="0.25">
      <c r="A1253" s="1">
        <v>293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"2025-07-16 22:33:56.762"</f>
        <v>2025-07-16 22:33:56.762</v>
      </c>
      <c r="H1253" t="s">
        <v>21</v>
      </c>
    </row>
    <row r="1254" spans="1:10" s="3" customFormat="1" x14ac:dyDescent="0.25">
      <c r="A1254" s="2">
        <v>294</v>
      </c>
      <c r="B1254" s="3" t="s">
        <v>23</v>
      </c>
      <c r="C1254" s="3">
        <v>647</v>
      </c>
      <c r="D1254" s="3">
        <v>1</v>
      </c>
      <c r="E1254" s="3" t="s">
        <v>29</v>
      </c>
      <c r="F1254" s="3" t="s">
        <v>30</v>
      </c>
      <c r="G1254" s="3" t="str">
        <f>"2025-07-15 23:59:11.158"</f>
        <v>2025-07-15 23:59:11.158</v>
      </c>
      <c r="H1254" s="3" t="s">
        <v>21</v>
      </c>
    </row>
    <row r="1255" spans="1:10" s="3" customFormat="1" x14ac:dyDescent="0.25">
      <c r="A1255" s="2">
        <v>295</v>
      </c>
      <c r="B1255" s="3" t="s">
        <v>26</v>
      </c>
      <c r="C1255" s="3">
        <v>647</v>
      </c>
      <c r="D1255" s="3">
        <v>1</v>
      </c>
      <c r="E1255" s="3" t="s">
        <v>29</v>
      </c>
      <c r="F1255" s="3" t="s">
        <v>30</v>
      </c>
      <c r="G1255" s="3" t="str">
        <f>"2025-07-15 23:59:08.458"</f>
        <v>2025-07-15 23:59:08.458</v>
      </c>
      <c r="H1255" s="3" t="s">
        <v>21</v>
      </c>
      <c r="I1255" s="3">
        <v>11.56</v>
      </c>
      <c r="J1255" s="3" t="s">
        <v>31</v>
      </c>
    </row>
    <row r="1256" spans="1:10" s="3" customFormat="1" x14ac:dyDescent="0.25">
      <c r="A1256" s="2">
        <v>296</v>
      </c>
      <c r="B1256" s="3" t="s">
        <v>23</v>
      </c>
      <c r="C1256" s="3">
        <v>647</v>
      </c>
      <c r="D1256" s="3">
        <v>1</v>
      </c>
      <c r="E1256" s="3" t="s">
        <v>29</v>
      </c>
      <c r="F1256" s="3" t="s">
        <v>30</v>
      </c>
      <c r="G1256" s="3" t="str">
        <f>"2025-07-14 20:50:57.658"</f>
        <v>2025-07-14 20:50:57.658</v>
      </c>
      <c r="H1256" s="3" t="s">
        <v>21</v>
      </c>
    </row>
    <row r="1257" spans="1:10" s="3" customFormat="1" x14ac:dyDescent="0.25">
      <c r="A1257" s="2">
        <v>297</v>
      </c>
      <c r="B1257" s="3" t="s">
        <v>26</v>
      </c>
      <c r="C1257" s="3">
        <v>647</v>
      </c>
      <c r="D1257" s="3">
        <v>1</v>
      </c>
      <c r="E1257" s="3" t="s">
        <v>29</v>
      </c>
      <c r="F1257" s="3" t="s">
        <v>30</v>
      </c>
      <c r="G1257" s="3" t="str">
        <f>"2025-07-14 20:50:55.558"</f>
        <v>2025-07-14 20:50:55.558</v>
      </c>
      <c r="H1257" s="3" t="s">
        <v>21</v>
      </c>
      <c r="I1257" s="3">
        <v>8.1300000000000008</v>
      </c>
      <c r="J1257" s="3" t="s">
        <v>31</v>
      </c>
    </row>
    <row r="1258" spans="1:10" x14ac:dyDescent="0.25">
      <c r="A1258" s="1">
        <v>298</v>
      </c>
      <c r="B1258" t="s">
        <v>23</v>
      </c>
      <c r="C1258">
        <v>635</v>
      </c>
      <c r="D1258">
        <v>1</v>
      </c>
      <c r="E1258" t="s">
        <v>24</v>
      </c>
      <c r="F1258" t="s">
        <v>25</v>
      </c>
      <c r="G1258" t="str">
        <f>"2025-07-14 08:50:01.457"</f>
        <v>2025-07-14 08:50:01.457</v>
      </c>
      <c r="H1258" t="s">
        <v>21</v>
      </c>
    </row>
    <row r="1259" spans="1:10" x14ac:dyDescent="0.25">
      <c r="A1259" s="1">
        <v>299</v>
      </c>
      <c r="B1259" t="s">
        <v>26</v>
      </c>
      <c r="C1259">
        <v>635</v>
      </c>
      <c r="D1259">
        <v>1</v>
      </c>
      <c r="E1259" t="s">
        <v>24</v>
      </c>
      <c r="F1259" t="s">
        <v>25</v>
      </c>
      <c r="G1259" t="str">
        <f>"2025-07-14 08:30:10.957"</f>
        <v>2025-07-14 08:30:10.957</v>
      </c>
      <c r="H1259" t="s">
        <v>21</v>
      </c>
      <c r="I1259">
        <v>8.49</v>
      </c>
      <c r="J1259" t="s">
        <v>27</v>
      </c>
    </row>
    <row r="1260" spans="1:10" s="3" customFormat="1" x14ac:dyDescent="0.25">
      <c r="A1260" s="2">
        <v>300</v>
      </c>
      <c r="B1260" s="3" t="s">
        <v>23</v>
      </c>
      <c r="C1260" s="3">
        <v>647</v>
      </c>
      <c r="D1260" s="3">
        <v>1</v>
      </c>
      <c r="E1260" s="3" t="s">
        <v>29</v>
      </c>
      <c r="F1260" s="3" t="s">
        <v>30</v>
      </c>
      <c r="G1260" s="3" t="str">
        <f>"2025-07-14 05:02:23.058"</f>
        <v>2025-07-14 05:02:23.058</v>
      </c>
      <c r="H1260" s="3" t="s">
        <v>21</v>
      </c>
    </row>
    <row r="1261" spans="1:10" s="3" customFormat="1" x14ac:dyDescent="0.25">
      <c r="A1261" s="2">
        <v>301</v>
      </c>
      <c r="B1261" s="3" t="s">
        <v>26</v>
      </c>
      <c r="C1261" s="3">
        <v>647</v>
      </c>
      <c r="D1261" s="3">
        <v>1</v>
      </c>
      <c r="E1261" s="3" t="s">
        <v>29</v>
      </c>
      <c r="F1261" s="3" t="s">
        <v>30</v>
      </c>
      <c r="G1261" s="3" t="str">
        <f>"2025-07-14 05:02:18.758"</f>
        <v>2025-07-14 05:02:18.758</v>
      </c>
      <c r="H1261" s="3" t="s">
        <v>21</v>
      </c>
      <c r="I1261" s="3">
        <v>19.02</v>
      </c>
      <c r="J1261" s="3" t="s">
        <v>31</v>
      </c>
    </row>
    <row r="1262" spans="1:10" s="3" customFormat="1" x14ac:dyDescent="0.25">
      <c r="A1262" s="2">
        <v>302</v>
      </c>
      <c r="B1262" s="3" t="s">
        <v>23</v>
      </c>
      <c r="C1262" s="3">
        <v>647</v>
      </c>
      <c r="D1262" s="3">
        <v>1</v>
      </c>
      <c r="E1262" s="3" t="s">
        <v>29</v>
      </c>
      <c r="F1262" s="3" t="s">
        <v>30</v>
      </c>
      <c r="G1262" s="3" t="str">
        <f>"2025-07-12 23:04:21.158"</f>
        <v>2025-07-12 23:04:21.158</v>
      </c>
      <c r="H1262" s="3" t="s">
        <v>21</v>
      </c>
    </row>
    <row r="1263" spans="1:10" s="3" customFormat="1" x14ac:dyDescent="0.25">
      <c r="A1263" s="2">
        <v>303</v>
      </c>
      <c r="B1263" s="3" t="s">
        <v>26</v>
      </c>
      <c r="C1263" s="3">
        <v>647</v>
      </c>
      <c r="D1263" s="3">
        <v>1</v>
      </c>
      <c r="E1263" s="3" t="s">
        <v>29</v>
      </c>
      <c r="F1263" s="3" t="s">
        <v>30</v>
      </c>
      <c r="G1263" s="3" t="str">
        <f>"2025-07-12 23:04:16.858"</f>
        <v>2025-07-12 23:04:16.858</v>
      </c>
      <c r="H1263" s="3" t="s">
        <v>21</v>
      </c>
      <c r="I1263" s="3">
        <v>8.7200000000000006</v>
      </c>
      <c r="J1263" s="3" t="s">
        <v>31</v>
      </c>
    </row>
    <row r="1264" spans="1:10" x14ac:dyDescent="0.25">
      <c r="A1264" s="1">
        <v>304</v>
      </c>
      <c r="B1264" t="s">
        <v>19</v>
      </c>
      <c r="C1264">
        <v>706</v>
      </c>
      <c r="D1264">
        <v>4</v>
      </c>
      <c r="E1264" t="s">
        <v>32</v>
      </c>
      <c r="F1264" t="s">
        <v>33</v>
      </c>
      <c r="G1264" t="str">
        <f>"2025-07-11 20:33:24.426"</f>
        <v>2025-07-11 20:33:24.426</v>
      </c>
      <c r="H1264" t="s">
        <v>21</v>
      </c>
      <c r="I1264">
        <v>0</v>
      </c>
      <c r="J1264" t="s">
        <v>34</v>
      </c>
    </row>
    <row r="1265" spans="1:10" x14ac:dyDescent="0.25">
      <c r="A1265" s="1">
        <v>305</v>
      </c>
      <c r="B1265" t="s">
        <v>19</v>
      </c>
      <c r="C1265">
        <v>706</v>
      </c>
      <c r="D1265">
        <v>4</v>
      </c>
      <c r="E1265" t="s">
        <v>32</v>
      </c>
      <c r="F1265" t="s">
        <v>33</v>
      </c>
      <c r="G1265" t="str">
        <f>"2025-07-11 20:13:02.446"</f>
        <v>2025-07-11 20:13:02.446</v>
      </c>
      <c r="H1265" t="s">
        <v>21</v>
      </c>
      <c r="I1265">
        <v>0</v>
      </c>
      <c r="J1265" t="s">
        <v>34</v>
      </c>
    </row>
    <row r="1266" spans="1:10" x14ac:dyDescent="0.25">
      <c r="A1266" s="1">
        <v>306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"2025-07-11 20:08:16.666"</f>
        <v>2025-07-11 20:08:16.666</v>
      </c>
      <c r="H1266" t="s">
        <v>21</v>
      </c>
    </row>
    <row r="1267" spans="1:10" x14ac:dyDescent="0.25">
      <c r="A1267" s="1">
        <v>307</v>
      </c>
      <c r="B1267" t="s">
        <v>39</v>
      </c>
      <c r="C1267">
        <v>630</v>
      </c>
      <c r="D1267">
        <v>5</v>
      </c>
      <c r="E1267" t="s">
        <v>36</v>
      </c>
      <c r="F1267" t="s">
        <v>37</v>
      </c>
      <c r="G1267" t="str">
        <f>"2025-07-11 16:20:49.784"</f>
        <v>2025-07-11 16:20:49.784</v>
      </c>
      <c r="H1267" t="s">
        <v>38</v>
      </c>
      <c r="I1267">
        <v>0</v>
      </c>
      <c r="J1267" t="s">
        <v>34</v>
      </c>
    </row>
    <row r="1268" spans="1:10" x14ac:dyDescent="0.25">
      <c r="A1268" s="1">
        <v>308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"2025-07-11 16:15:00.666"</f>
        <v>2025-07-11 16:15:00.666</v>
      </c>
      <c r="H1268" t="s">
        <v>21</v>
      </c>
    </row>
    <row r="1269" spans="1:10" x14ac:dyDescent="0.25">
      <c r="A1269" s="1">
        <v>309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"2025-07-11 16:10:03.668"</f>
        <v>2025-07-11 16:10:03.668</v>
      </c>
      <c r="H1269" t="s">
        <v>21</v>
      </c>
      <c r="I1269">
        <v>0</v>
      </c>
      <c r="J1269" t="s">
        <v>22</v>
      </c>
    </row>
    <row r="1270" spans="1:10" x14ac:dyDescent="0.25">
      <c r="A1270" s="1">
        <v>310</v>
      </c>
      <c r="B1270" t="s">
        <v>23</v>
      </c>
      <c r="C1270">
        <v>630</v>
      </c>
      <c r="D1270">
        <v>5</v>
      </c>
      <c r="E1270" t="s">
        <v>36</v>
      </c>
      <c r="F1270" t="s">
        <v>37</v>
      </c>
      <c r="G1270" t="str">
        <f>"2025-07-11 16:04:29.527"</f>
        <v>2025-07-11 16:04:29.527</v>
      </c>
      <c r="H1270" t="s">
        <v>38</v>
      </c>
    </row>
    <row r="1271" spans="1:10" x14ac:dyDescent="0.25">
      <c r="A1271" s="1">
        <v>311</v>
      </c>
      <c r="B1271" t="s">
        <v>19</v>
      </c>
      <c r="C1271">
        <v>706</v>
      </c>
      <c r="D1271">
        <v>4</v>
      </c>
      <c r="E1271" t="s">
        <v>32</v>
      </c>
      <c r="F1271" t="s">
        <v>33</v>
      </c>
      <c r="G1271" t="str">
        <f>"2025-07-11 16:03:59.426"</f>
        <v>2025-07-11 16:03:59.426</v>
      </c>
      <c r="H1271" t="s">
        <v>21</v>
      </c>
      <c r="I1271">
        <v>0</v>
      </c>
      <c r="J1271" t="s">
        <v>34</v>
      </c>
    </row>
    <row r="1272" spans="1:10" x14ac:dyDescent="0.25">
      <c r="A1272" s="1">
        <v>312</v>
      </c>
      <c r="B1272" t="s">
        <v>39</v>
      </c>
      <c r="C1272">
        <v>630</v>
      </c>
      <c r="D1272">
        <v>5</v>
      </c>
      <c r="E1272" t="s">
        <v>36</v>
      </c>
      <c r="F1272" t="s">
        <v>37</v>
      </c>
      <c r="G1272" t="str">
        <f>"2025-07-11 15:25:52.528"</f>
        <v>2025-07-11 15:25:52.528</v>
      </c>
      <c r="H1272" t="s">
        <v>38</v>
      </c>
      <c r="I1272">
        <v>0</v>
      </c>
      <c r="J1272" t="s">
        <v>34</v>
      </c>
    </row>
    <row r="1273" spans="1:10" x14ac:dyDescent="0.25">
      <c r="A1273" s="1">
        <v>313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"2025-07-11 15:20:49.666"</f>
        <v>2025-07-11 15:20:49.666</v>
      </c>
      <c r="H1273" t="s">
        <v>21</v>
      </c>
      <c r="I1273">
        <v>0</v>
      </c>
      <c r="J1273" t="s">
        <v>22</v>
      </c>
    </row>
    <row r="1274" spans="1:10" x14ac:dyDescent="0.25">
      <c r="A1274" s="1">
        <v>314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"2025-07-11 14:30:34.739"</f>
        <v>2025-07-11 14:30:34.739</v>
      </c>
      <c r="H1274" t="s">
        <v>21</v>
      </c>
    </row>
    <row r="1275" spans="1:10" x14ac:dyDescent="0.25">
      <c r="A1275" s="1">
        <v>315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"2025-07-11 12:33:43.849"</f>
        <v>2025-07-11 12:33:43.849</v>
      </c>
      <c r="H1275" t="s">
        <v>21</v>
      </c>
      <c r="I1275">
        <v>0</v>
      </c>
      <c r="J1275" t="s">
        <v>22</v>
      </c>
    </row>
    <row r="1276" spans="1:10" x14ac:dyDescent="0.25">
      <c r="A1276" s="1">
        <v>316</v>
      </c>
      <c r="B1276" t="s">
        <v>23</v>
      </c>
      <c r="C1276">
        <v>635</v>
      </c>
      <c r="D1276">
        <v>1</v>
      </c>
      <c r="E1276" t="s">
        <v>24</v>
      </c>
      <c r="F1276" t="s">
        <v>25</v>
      </c>
      <c r="G1276" t="str">
        <f>"2025-07-10 14:43:24.242"</f>
        <v>2025-07-10 14:43:24.242</v>
      </c>
      <c r="H1276" t="s">
        <v>21</v>
      </c>
    </row>
    <row r="1277" spans="1:10" x14ac:dyDescent="0.25">
      <c r="A1277" s="1">
        <v>317</v>
      </c>
      <c r="B1277" t="s">
        <v>26</v>
      </c>
      <c r="C1277">
        <v>635</v>
      </c>
      <c r="D1277">
        <v>1</v>
      </c>
      <c r="E1277" t="s">
        <v>24</v>
      </c>
      <c r="F1277" t="s">
        <v>25</v>
      </c>
      <c r="G1277" t="str">
        <f>"2025-07-10 14:40:08.743"</f>
        <v>2025-07-10 14:40:08.743</v>
      </c>
      <c r="H1277" t="s">
        <v>21</v>
      </c>
      <c r="I1277">
        <v>2.75</v>
      </c>
      <c r="J1277" t="s">
        <v>27</v>
      </c>
    </row>
    <row r="1278" spans="1:10" x14ac:dyDescent="0.25">
      <c r="A1278" s="1">
        <v>318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"2025-07-08 20:42:29.713"</f>
        <v>2025-07-08 20:42:29.713</v>
      </c>
      <c r="H1278" t="s">
        <v>21</v>
      </c>
      <c r="I1278">
        <v>0</v>
      </c>
      <c r="J1278" t="s">
        <v>22</v>
      </c>
    </row>
    <row r="1279" spans="1:10" x14ac:dyDescent="0.25">
      <c r="A1279" s="1">
        <v>319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"2025-07-08 09:00:29.668"</f>
        <v>2025-07-08 09:00:29.668</v>
      </c>
      <c r="H1279" t="s">
        <v>21</v>
      </c>
      <c r="I1279">
        <v>0</v>
      </c>
      <c r="J1279" t="s">
        <v>22</v>
      </c>
    </row>
    <row r="1280" spans="1:10" s="3" customFormat="1" x14ac:dyDescent="0.25">
      <c r="A1280" s="2">
        <v>320</v>
      </c>
      <c r="B1280" s="3" t="s">
        <v>23</v>
      </c>
      <c r="C1280" s="3">
        <v>647</v>
      </c>
      <c r="D1280" s="3">
        <v>1</v>
      </c>
      <c r="E1280" s="3" t="s">
        <v>29</v>
      </c>
      <c r="F1280" s="3" t="s">
        <v>30</v>
      </c>
      <c r="G1280" s="3" t="str">
        <f>"2025-07-07 01:23:51.469"</f>
        <v>2025-07-07 01:23:51.469</v>
      </c>
      <c r="H1280" s="3" t="s">
        <v>21</v>
      </c>
    </row>
    <row r="1281" spans="1:10" s="3" customFormat="1" x14ac:dyDescent="0.25">
      <c r="A1281" s="2">
        <v>321</v>
      </c>
      <c r="B1281" s="3" t="s">
        <v>26</v>
      </c>
      <c r="C1281" s="3">
        <v>647</v>
      </c>
      <c r="D1281" s="3">
        <v>1</v>
      </c>
      <c r="E1281" s="3" t="s">
        <v>29</v>
      </c>
      <c r="F1281" s="3" t="s">
        <v>30</v>
      </c>
      <c r="G1281" s="3" t="str">
        <f>"2025-07-07 01:23:45.569"</f>
        <v>2025-07-07 01:23:45.569</v>
      </c>
      <c r="H1281" s="3" t="s">
        <v>21</v>
      </c>
      <c r="I1281" s="3">
        <v>14.36</v>
      </c>
      <c r="J1281" s="3" t="s">
        <v>31</v>
      </c>
    </row>
    <row r="1282" spans="1:10" s="3" customFormat="1" x14ac:dyDescent="0.25">
      <c r="A1282" s="2">
        <v>323</v>
      </c>
      <c r="B1282" s="3" t="s">
        <v>23</v>
      </c>
      <c r="C1282" s="3">
        <v>647</v>
      </c>
      <c r="D1282" s="3">
        <v>1</v>
      </c>
      <c r="E1282" s="3" t="s">
        <v>29</v>
      </c>
      <c r="F1282" s="3" t="s">
        <v>30</v>
      </c>
      <c r="G1282" s="3" t="str">
        <f>"2025-07-06 07:34:21.171"</f>
        <v>2025-07-06 07:34:21.171</v>
      </c>
      <c r="H1282" s="3" t="s">
        <v>21</v>
      </c>
    </row>
    <row r="1283" spans="1:10" s="3" customFormat="1" x14ac:dyDescent="0.25">
      <c r="A1283" s="2">
        <v>324</v>
      </c>
      <c r="B1283" s="3" t="s">
        <v>26</v>
      </c>
      <c r="C1283" s="3">
        <v>647</v>
      </c>
      <c r="D1283" s="3">
        <v>1</v>
      </c>
      <c r="E1283" s="3" t="s">
        <v>29</v>
      </c>
      <c r="F1283" s="3" t="s">
        <v>30</v>
      </c>
      <c r="G1283" s="3" t="str">
        <f>"2025-07-06 07:34:18.470"</f>
        <v>2025-07-06 07:34:18.470</v>
      </c>
      <c r="H1283" s="3" t="s">
        <v>21</v>
      </c>
      <c r="I1283" s="3">
        <v>10.6</v>
      </c>
      <c r="J1283" s="3" t="s">
        <v>31</v>
      </c>
    </row>
    <row r="1284" spans="1:10" x14ac:dyDescent="0.25">
      <c r="A1284" s="1">
        <v>325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"2025-07-05 20:37:02.930"</f>
        <v>2025-07-05 20:37:02.930</v>
      </c>
      <c r="H1284" t="s">
        <v>21</v>
      </c>
      <c r="I1284">
        <v>0</v>
      </c>
      <c r="J1284" t="s">
        <v>22</v>
      </c>
    </row>
    <row r="1285" spans="1:10" s="3" customFormat="1" x14ac:dyDescent="0.25">
      <c r="A1285" s="2">
        <v>326</v>
      </c>
      <c r="B1285" s="3" t="s">
        <v>23</v>
      </c>
      <c r="C1285" s="3">
        <v>647</v>
      </c>
      <c r="D1285" s="3">
        <v>1</v>
      </c>
      <c r="E1285" s="3" t="s">
        <v>29</v>
      </c>
      <c r="F1285" s="3" t="s">
        <v>30</v>
      </c>
      <c r="G1285" s="3" t="str">
        <f>"2025-07-05 02:32:55.221"</f>
        <v>2025-07-05 02:32:55.221</v>
      </c>
      <c r="H1285" s="3" t="s">
        <v>21</v>
      </c>
    </row>
    <row r="1286" spans="1:10" s="3" customFormat="1" x14ac:dyDescent="0.25">
      <c r="A1286" s="2">
        <v>327</v>
      </c>
      <c r="B1286" s="3" t="s">
        <v>26</v>
      </c>
      <c r="C1286" s="3">
        <v>647</v>
      </c>
      <c r="D1286" s="3">
        <v>1</v>
      </c>
      <c r="E1286" s="3" t="s">
        <v>29</v>
      </c>
      <c r="F1286" s="3" t="s">
        <v>30</v>
      </c>
      <c r="G1286" s="3" t="str">
        <f>"2025-07-05 02:32:49.521"</f>
        <v>2025-07-05 02:32:49.521</v>
      </c>
      <c r="H1286" s="3" t="s">
        <v>21</v>
      </c>
      <c r="I1286" s="3">
        <v>9.41</v>
      </c>
      <c r="J1286" s="3" t="s">
        <v>31</v>
      </c>
    </row>
    <row r="1287" spans="1:10" s="3" customFormat="1" x14ac:dyDescent="0.25">
      <c r="A1287" s="2">
        <v>328</v>
      </c>
      <c r="B1287" s="3" t="s">
        <v>23</v>
      </c>
      <c r="C1287" s="3">
        <v>647</v>
      </c>
      <c r="D1287" s="3">
        <v>1</v>
      </c>
      <c r="E1287" s="3" t="s">
        <v>29</v>
      </c>
      <c r="F1287" s="3" t="s">
        <v>30</v>
      </c>
      <c r="G1287" s="3" t="str">
        <f>"2025-07-03 22:31:00.121"</f>
        <v>2025-07-03 22:31:00.121</v>
      </c>
      <c r="H1287" s="3" t="s">
        <v>21</v>
      </c>
    </row>
    <row r="1288" spans="1:10" s="3" customFormat="1" x14ac:dyDescent="0.25">
      <c r="A1288" s="2">
        <v>329</v>
      </c>
      <c r="B1288" s="3" t="s">
        <v>26</v>
      </c>
      <c r="C1288" s="3">
        <v>647</v>
      </c>
      <c r="D1288" s="3">
        <v>1</v>
      </c>
      <c r="E1288" s="3" t="s">
        <v>29</v>
      </c>
      <c r="F1288" s="3" t="s">
        <v>30</v>
      </c>
      <c r="G1288" s="3" t="str">
        <f>"2025-07-03 22:30:54.022"</f>
        <v>2025-07-03 22:30:54.022</v>
      </c>
      <c r="H1288" s="3" t="s">
        <v>21</v>
      </c>
      <c r="I1288" s="3">
        <v>9.25</v>
      </c>
      <c r="J1288" s="3" t="s">
        <v>31</v>
      </c>
    </row>
    <row r="1289" spans="1:10" x14ac:dyDescent="0.25">
      <c r="A1289" s="1">
        <v>330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"2025-07-03 20:31:47.916"</f>
        <v>2025-07-03 20:31:47.916</v>
      </c>
      <c r="H1289" t="s">
        <v>21</v>
      </c>
      <c r="I1289">
        <v>0</v>
      </c>
      <c r="J1289" t="s">
        <v>22</v>
      </c>
    </row>
    <row r="1290" spans="1:10" x14ac:dyDescent="0.25">
      <c r="A1290" s="1">
        <v>332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"2025-07-02 20:39:25.887"</f>
        <v>2025-07-02 20:39:25.887</v>
      </c>
      <c r="H1290" t="s">
        <v>21</v>
      </c>
      <c r="I1290">
        <v>0</v>
      </c>
      <c r="J1290" t="s">
        <v>22</v>
      </c>
    </row>
    <row r="1291" spans="1:10" s="3" customFormat="1" x14ac:dyDescent="0.25">
      <c r="A1291" s="2">
        <v>333</v>
      </c>
      <c r="B1291" s="3" t="s">
        <v>23</v>
      </c>
      <c r="C1291" s="3">
        <v>647</v>
      </c>
      <c r="D1291" s="3">
        <v>1</v>
      </c>
      <c r="E1291" s="3" t="s">
        <v>29</v>
      </c>
      <c r="F1291" s="3" t="s">
        <v>30</v>
      </c>
      <c r="G1291" s="3" t="str">
        <f>"2025-07-02 01:37:38.192"</f>
        <v>2025-07-02 01:37:38.192</v>
      </c>
      <c r="H1291" s="3" t="s">
        <v>21</v>
      </c>
    </row>
    <row r="1292" spans="1:10" s="3" customFormat="1" x14ac:dyDescent="0.25">
      <c r="A1292" s="2">
        <v>334</v>
      </c>
      <c r="B1292" s="3" t="s">
        <v>26</v>
      </c>
      <c r="C1292" s="3">
        <v>647</v>
      </c>
      <c r="D1292" s="3">
        <v>1</v>
      </c>
      <c r="E1292" s="3" t="s">
        <v>29</v>
      </c>
      <c r="F1292" s="3" t="s">
        <v>30</v>
      </c>
      <c r="G1292" s="3" t="str">
        <f>"2025-07-02 01:37:32.692"</f>
        <v>2025-07-02 01:37:32.692</v>
      </c>
      <c r="H1292" s="3" t="s">
        <v>21</v>
      </c>
      <c r="I1292" s="3">
        <v>14.78</v>
      </c>
      <c r="J1292" s="3" t="s">
        <v>31</v>
      </c>
    </row>
    <row r="1293" spans="1:10" s="3" customFormat="1" x14ac:dyDescent="0.25">
      <c r="A1293" s="2">
        <v>335</v>
      </c>
      <c r="B1293" s="3" t="s">
        <v>23</v>
      </c>
      <c r="C1293" s="3">
        <v>647</v>
      </c>
      <c r="D1293" s="3">
        <v>1</v>
      </c>
      <c r="E1293" s="3" t="s">
        <v>29</v>
      </c>
      <c r="F1293" s="3" t="s">
        <v>30</v>
      </c>
      <c r="G1293" s="3" t="str">
        <f>"2025-07-01 20:02:10.392"</f>
        <v>2025-07-01 20:02:10.392</v>
      </c>
      <c r="H1293" s="3" t="s">
        <v>21</v>
      </c>
    </row>
    <row r="1294" spans="1:10" s="3" customFormat="1" x14ac:dyDescent="0.25">
      <c r="A1294" s="2">
        <v>336</v>
      </c>
      <c r="B1294" s="3" t="s">
        <v>26</v>
      </c>
      <c r="C1294" s="3">
        <v>647</v>
      </c>
      <c r="D1294" s="3">
        <v>1</v>
      </c>
      <c r="E1294" s="3" t="s">
        <v>29</v>
      </c>
      <c r="F1294" s="3" t="s">
        <v>30</v>
      </c>
      <c r="G1294" s="3" t="str">
        <f>"2025-07-01 20:02:06.692"</f>
        <v>2025-07-01 20:02:06.692</v>
      </c>
      <c r="H1294" s="3" t="s">
        <v>21</v>
      </c>
      <c r="I1294" s="3">
        <v>16.75</v>
      </c>
      <c r="J1294" s="3" t="s">
        <v>31</v>
      </c>
    </row>
    <row r="1295" spans="1:10" x14ac:dyDescent="0.25">
      <c r="A1295" s="1">
        <v>337</v>
      </c>
      <c r="B1295" t="s">
        <v>19</v>
      </c>
      <c r="C1295">
        <v>706</v>
      </c>
      <c r="D1295">
        <v>4</v>
      </c>
      <c r="E1295" t="s">
        <v>32</v>
      </c>
      <c r="F1295" t="s">
        <v>33</v>
      </c>
      <c r="G1295" t="str">
        <f>"2025-07-01 10:11:48.460"</f>
        <v>2025-07-01 10:11:48.460</v>
      </c>
      <c r="H1295" t="s">
        <v>21</v>
      </c>
      <c r="I1295">
        <v>0</v>
      </c>
      <c r="J1295" t="s">
        <v>34</v>
      </c>
    </row>
    <row r="1296" spans="1:10" x14ac:dyDescent="0.25">
      <c r="A1296" s="1">
        <v>338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"2025-07-01 10:11:31.660"</f>
        <v>2025-07-01 10:11:31.660</v>
      </c>
      <c r="H1296" t="s">
        <v>21</v>
      </c>
      <c r="I1296">
        <v>0</v>
      </c>
      <c r="J1296" t="s">
        <v>22</v>
      </c>
    </row>
    <row r="1297" spans="1:10" x14ac:dyDescent="0.25">
      <c r="A1297" s="1">
        <v>339</v>
      </c>
      <c r="B1297" t="s">
        <v>23</v>
      </c>
      <c r="C1297">
        <v>630</v>
      </c>
      <c r="D1297">
        <v>5</v>
      </c>
      <c r="E1297" t="s">
        <v>36</v>
      </c>
      <c r="F1297" t="s">
        <v>37</v>
      </c>
      <c r="G1297" t="str">
        <f>"2025-07-01 10:01:40.964"</f>
        <v>2025-07-01 10:01:40.964</v>
      </c>
      <c r="H1297" t="s">
        <v>38</v>
      </c>
    </row>
    <row r="1298" spans="1:10" x14ac:dyDescent="0.25">
      <c r="A1298" s="1">
        <v>340</v>
      </c>
      <c r="B1298" t="s">
        <v>19</v>
      </c>
      <c r="C1298">
        <v>706</v>
      </c>
      <c r="D1298">
        <v>4</v>
      </c>
      <c r="E1298" t="s">
        <v>32</v>
      </c>
      <c r="F1298" t="s">
        <v>33</v>
      </c>
      <c r="G1298" t="str">
        <f>"2025-07-01 10:01:10.847"</f>
        <v>2025-07-01 10:01:10.847</v>
      </c>
      <c r="H1298" t="s">
        <v>21</v>
      </c>
      <c r="I1298">
        <v>0</v>
      </c>
      <c r="J1298" t="s">
        <v>34</v>
      </c>
    </row>
    <row r="1299" spans="1:10" x14ac:dyDescent="0.25">
      <c r="A1299" s="1">
        <v>341</v>
      </c>
      <c r="B1299" t="s">
        <v>39</v>
      </c>
      <c r="C1299">
        <v>630</v>
      </c>
      <c r="D1299">
        <v>5</v>
      </c>
      <c r="E1299" t="s">
        <v>36</v>
      </c>
      <c r="F1299" t="s">
        <v>37</v>
      </c>
      <c r="G1299" t="str">
        <f>"2025-07-01 10:00:59.365"</f>
        <v>2025-07-01 10:00:59.365</v>
      </c>
      <c r="H1299" t="s">
        <v>38</v>
      </c>
      <c r="I1299">
        <v>0</v>
      </c>
      <c r="J1299" t="s">
        <v>34</v>
      </c>
    </row>
    <row r="1300" spans="1:10" x14ac:dyDescent="0.25">
      <c r="A1300" s="1">
        <v>342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"2025-07-01 09:55:56.657"</f>
        <v>2025-07-01 09:55:56.657</v>
      </c>
      <c r="H1300" t="s">
        <v>21</v>
      </c>
    </row>
    <row r="1301" spans="1:10" x14ac:dyDescent="0.25">
      <c r="A1301" s="1">
        <v>343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"2025-07-01 09:36:29.856"</f>
        <v>2025-07-01 09:36:29.856</v>
      </c>
      <c r="H1301" t="s">
        <v>21</v>
      </c>
      <c r="I1301">
        <v>0</v>
      </c>
      <c r="J1301" t="s">
        <v>22</v>
      </c>
    </row>
    <row r="1302" spans="1:10" x14ac:dyDescent="0.25">
      <c r="A1302" s="1">
        <v>344</v>
      </c>
      <c r="B1302" t="s">
        <v>19</v>
      </c>
      <c r="C1302">
        <v>706</v>
      </c>
      <c r="D1302">
        <v>3</v>
      </c>
      <c r="E1302" t="s">
        <v>32</v>
      </c>
      <c r="F1302" t="s">
        <v>40</v>
      </c>
      <c r="G1302" t="str">
        <f>"2025-07-01 09:33:17.014"</f>
        <v>2025-07-01 09:33:17.014</v>
      </c>
      <c r="H1302" t="s">
        <v>21</v>
      </c>
      <c r="I1302">
        <v>0</v>
      </c>
      <c r="J1302" t="s">
        <v>34</v>
      </c>
    </row>
    <row r="1303" spans="1:10" x14ac:dyDescent="0.25">
      <c r="A1303" s="1">
        <v>345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"2025-07-01 09:32:34.654"</f>
        <v>2025-07-01 09:32:34.654</v>
      </c>
      <c r="H1303" t="s">
        <v>21</v>
      </c>
      <c r="I1303">
        <v>0</v>
      </c>
      <c r="J1303" t="s">
        <v>22</v>
      </c>
    </row>
    <row r="1304" spans="1:10" x14ac:dyDescent="0.25">
      <c r="A1304" s="1">
        <v>346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"2025-07-01 09:30:19.775"</f>
        <v>2025-07-01 09:30:19.775</v>
      </c>
      <c r="H1304" t="s">
        <v>21</v>
      </c>
      <c r="I1304">
        <v>0</v>
      </c>
      <c r="J1304" t="s">
        <v>22</v>
      </c>
    </row>
    <row r="1305" spans="1:10" x14ac:dyDescent="0.25">
      <c r="A1305" s="1">
        <v>347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"2025-07-01 09:07:10.884"</f>
        <v>2025-07-01 09:07:10.884</v>
      </c>
      <c r="H1305" t="s">
        <v>21</v>
      </c>
    </row>
    <row r="1306" spans="1:10" s="3" customFormat="1" x14ac:dyDescent="0.25">
      <c r="A1306" s="2">
        <v>348</v>
      </c>
      <c r="B1306" s="3" t="s">
        <v>23</v>
      </c>
      <c r="C1306" s="3">
        <v>647</v>
      </c>
      <c r="D1306" s="3">
        <v>1</v>
      </c>
      <c r="E1306" s="3" t="s">
        <v>29</v>
      </c>
      <c r="F1306" s="3" t="s">
        <v>30</v>
      </c>
      <c r="G1306" s="3" t="str">
        <f>"2025-07-01 04:05:01.714"</f>
        <v>2025-07-01 04:05:01.714</v>
      </c>
      <c r="H1306" s="3" t="s">
        <v>21</v>
      </c>
    </row>
    <row r="1307" spans="1:10" s="3" customFormat="1" x14ac:dyDescent="0.25">
      <c r="A1307" s="2">
        <v>349</v>
      </c>
      <c r="B1307" s="3" t="s">
        <v>26</v>
      </c>
      <c r="C1307" s="3">
        <v>647</v>
      </c>
      <c r="D1307" s="3">
        <v>1</v>
      </c>
      <c r="E1307" s="3" t="s">
        <v>29</v>
      </c>
      <c r="F1307" s="3" t="s">
        <v>30</v>
      </c>
      <c r="G1307" s="3" t="str">
        <f>"2025-07-01 04:04:59.215"</f>
        <v>2025-07-01 04:04:59.215</v>
      </c>
      <c r="H1307" s="3" t="s">
        <v>21</v>
      </c>
      <c r="I1307" s="3">
        <v>15.23</v>
      </c>
      <c r="J1307" s="3" t="s">
        <v>31</v>
      </c>
    </row>
    <row r="1308" spans="1:10" x14ac:dyDescent="0.25">
      <c r="A1308" s="1">
        <v>350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"2025-06-30 21:07:30.907"</f>
        <v>2025-06-30 21:07:30.907</v>
      </c>
      <c r="H1308" t="s">
        <v>21</v>
      </c>
    </row>
    <row r="1309" spans="1:10" x14ac:dyDescent="0.25">
      <c r="A1309" s="1">
        <v>351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"2025-06-30 08:37:14.768"</f>
        <v>2025-06-30 08:37:14.768</v>
      </c>
      <c r="H1309" t="s">
        <v>21</v>
      </c>
      <c r="I1309">
        <v>0</v>
      </c>
      <c r="J1309" t="s">
        <v>22</v>
      </c>
    </row>
    <row r="1310" spans="1:10" x14ac:dyDescent="0.25">
      <c r="A1310" s="1">
        <v>352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"2025-06-28 10:48:42.740"</f>
        <v>2025-06-28 10:48:42.740</v>
      </c>
      <c r="H1310" t="s">
        <v>21</v>
      </c>
    </row>
    <row r="1311" spans="1:10" x14ac:dyDescent="0.25">
      <c r="A1311" s="1">
        <v>353</v>
      </c>
      <c r="B1311" t="s">
        <v>23</v>
      </c>
      <c r="C1311">
        <v>635</v>
      </c>
      <c r="D1311">
        <v>1</v>
      </c>
      <c r="E1311" t="s">
        <v>24</v>
      </c>
      <c r="F1311" t="s">
        <v>25</v>
      </c>
      <c r="G1311" t="str">
        <f>"2025-06-28 04:55:02.035"</f>
        <v>2025-06-28 04:55:02.035</v>
      </c>
      <c r="H1311" t="s">
        <v>21</v>
      </c>
    </row>
    <row r="1312" spans="1:10" x14ac:dyDescent="0.25">
      <c r="A1312" s="1">
        <v>354</v>
      </c>
      <c r="B1312" t="s">
        <v>26</v>
      </c>
      <c r="C1312">
        <v>635</v>
      </c>
      <c r="D1312">
        <v>1</v>
      </c>
      <c r="E1312" t="s">
        <v>24</v>
      </c>
      <c r="F1312" t="s">
        <v>25</v>
      </c>
      <c r="G1312" t="str">
        <f>"2025-06-28 04:52:08.035"</f>
        <v>2025-06-28 04:52:08.035</v>
      </c>
      <c r="H1312" t="s">
        <v>21</v>
      </c>
      <c r="I1312">
        <v>4.22</v>
      </c>
      <c r="J1312" t="s">
        <v>27</v>
      </c>
    </row>
    <row r="1313" spans="1:10" x14ac:dyDescent="0.25">
      <c r="A1313" s="1">
        <v>355</v>
      </c>
      <c r="B1313" t="s">
        <v>23</v>
      </c>
      <c r="C1313">
        <v>635</v>
      </c>
      <c r="D1313">
        <v>1</v>
      </c>
      <c r="E1313" t="s">
        <v>24</v>
      </c>
      <c r="F1313" t="s">
        <v>25</v>
      </c>
      <c r="G1313" t="str">
        <f>"2025-06-27 22:44:11.335"</f>
        <v>2025-06-27 22:44:11.335</v>
      </c>
      <c r="H1313" t="s">
        <v>21</v>
      </c>
    </row>
    <row r="1314" spans="1:10" x14ac:dyDescent="0.25">
      <c r="A1314" s="1">
        <v>356</v>
      </c>
      <c r="B1314" t="s">
        <v>26</v>
      </c>
      <c r="C1314">
        <v>635</v>
      </c>
      <c r="D1314">
        <v>1</v>
      </c>
      <c r="E1314" t="s">
        <v>24</v>
      </c>
      <c r="F1314" t="s">
        <v>25</v>
      </c>
      <c r="G1314" t="str">
        <f>"2025-06-27 22:36:10.835"</f>
        <v>2025-06-27 22:36:10.835</v>
      </c>
      <c r="H1314" t="s">
        <v>21</v>
      </c>
      <c r="I1314">
        <v>10.27</v>
      </c>
      <c r="J1314" t="s">
        <v>31</v>
      </c>
    </row>
    <row r="1315" spans="1:10" x14ac:dyDescent="0.25">
      <c r="A1315" s="1">
        <v>357</v>
      </c>
      <c r="B1315" t="s">
        <v>23</v>
      </c>
      <c r="C1315">
        <v>635</v>
      </c>
      <c r="D1315">
        <v>1</v>
      </c>
      <c r="E1315" t="s">
        <v>24</v>
      </c>
      <c r="F1315" t="s">
        <v>25</v>
      </c>
      <c r="G1315" t="str">
        <f>"2025-06-27 12:41:47.735"</f>
        <v>2025-06-27 12:41:47.735</v>
      </c>
      <c r="H1315" t="s">
        <v>21</v>
      </c>
    </row>
    <row r="1316" spans="1:10" x14ac:dyDescent="0.25">
      <c r="A1316" s="1">
        <v>358</v>
      </c>
      <c r="B1316" t="s">
        <v>26</v>
      </c>
      <c r="C1316">
        <v>635</v>
      </c>
      <c r="D1316">
        <v>1</v>
      </c>
      <c r="E1316" t="s">
        <v>24</v>
      </c>
      <c r="F1316" t="s">
        <v>25</v>
      </c>
      <c r="G1316" t="str">
        <f>"2025-06-27 12:24:50.735"</f>
        <v>2025-06-27 12:24:50.735</v>
      </c>
      <c r="H1316" t="s">
        <v>21</v>
      </c>
      <c r="I1316">
        <v>5.25</v>
      </c>
      <c r="J1316" t="s">
        <v>27</v>
      </c>
    </row>
    <row r="1317" spans="1:10" x14ac:dyDescent="0.25">
      <c r="A1317" s="1">
        <v>359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"2025-06-27 07:48:18.079"</f>
        <v>2025-06-27 07:48:18.079</v>
      </c>
      <c r="H1317" t="s">
        <v>21</v>
      </c>
      <c r="I1317">
        <v>0</v>
      </c>
      <c r="J1317" t="s">
        <v>22</v>
      </c>
    </row>
    <row r="1318" spans="1:10" x14ac:dyDescent="0.25">
      <c r="A1318" s="1">
        <v>360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"2025-06-26 20:15:11.655"</f>
        <v>2025-06-26 20:15:11.655</v>
      </c>
      <c r="H1318" t="s">
        <v>21</v>
      </c>
      <c r="I1318">
        <v>0</v>
      </c>
      <c r="J1318" t="s">
        <v>22</v>
      </c>
    </row>
    <row r="1319" spans="1:10" s="3" customFormat="1" x14ac:dyDescent="0.25">
      <c r="A1319" s="2">
        <v>361</v>
      </c>
      <c r="B1319" s="3" t="s">
        <v>23</v>
      </c>
      <c r="C1319" s="3">
        <v>647</v>
      </c>
      <c r="D1319" s="3">
        <v>1</v>
      </c>
      <c r="E1319" s="3" t="s">
        <v>29</v>
      </c>
      <c r="F1319" s="3" t="s">
        <v>30</v>
      </c>
      <c r="G1319" s="3" t="str">
        <f>"2025-06-25 21:50:17.360"</f>
        <v>2025-06-25 21:50:17.360</v>
      </c>
      <c r="H1319" s="3" t="s">
        <v>21</v>
      </c>
    </row>
    <row r="1320" spans="1:10" s="3" customFormat="1" x14ac:dyDescent="0.25">
      <c r="A1320" s="2">
        <v>362</v>
      </c>
      <c r="B1320" s="3" t="s">
        <v>26</v>
      </c>
      <c r="C1320" s="3">
        <v>647</v>
      </c>
      <c r="D1320" s="3">
        <v>1</v>
      </c>
      <c r="E1320" s="3" t="s">
        <v>29</v>
      </c>
      <c r="F1320" s="3" t="s">
        <v>30</v>
      </c>
      <c r="G1320" s="3" t="str">
        <f>"2025-06-25 21:50:11.860"</f>
        <v>2025-06-25 21:50:11.860</v>
      </c>
      <c r="H1320" s="3" t="s">
        <v>21</v>
      </c>
      <c r="I1320" s="3">
        <v>18.329999999999998</v>
      </c>
      <c r="J1320" s="3" t="s">
        <v>31</v>
      </c>
    </row>
    <row r="1321" spans="1:10" x14ac:dyDescent="0.25">
      <c r="A1321" s="1">
        <v>363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"2025-06-23 21:18:29.827"</f>
        <v>2025-06-23 21:18:29.827</v>
      </c>
      <c r="H1321" t="s">
        <v>21</v>
      </c>
      <c r="I1321">
        <v>0</v>
      </c>
      <c r="J1321" t="s">
        <v>22</v>
      </c>
    </row>
    <row r="1322" spans="1:10" x14ac:dyDescent="0.25">
      <c r="A1322" s="1">
        <v>364</v>
      </c>
      <c r="B1322" t="s">
        <v>19</v>
      </c>
      <c r="C1322">
        <v>706</v>
      </c>
      <c r="D1322">
        <v>4</v>
      </c>
      <c r="E1322" t="s">
        <v>32</v>
      </c>
      <c r="F1322" t="s">
        <v>33</v>
      </c>
      <c r="G1322" t="str">
        <f>"2025-06-23 15:59:18.295"</f>
        <v>2025-06-23 15:59:18.295</v>
      </c>
      <c r="H1322" t="s">
        <v>21</v>
      </c>
      <c r="I1322">
        <v>0</v>
      </c>
      <c r="J1322" t="s">
        <v>34</v>
      </c>
    </row>
    <row r="1323" spans="1:10" x14ac:dyDescent="0.25">
      <c r="A1323" s="1">
        <v>365</v>
      </c>
      <c r="B1323" t="s">
        <v>23</v>
      </c>
      <c r="C1323">
        <v>635</v>
      </c>
      <c r="D1323">
        <v>1</v>
      </c>
      <c r="E1323" t="s">
        <v>24</v>
      </c>
      <c r="F1323" t="s">
        <v>25</v>
      </c>
      <c r="G1323" t="str">
        <f>"2025-06-21 16:40:24.643"</f>
        <v>2025-06-21 16:40:24.643</v>
      </c>
      <c r="H1323" t="s">
        <v>21</v>
      </c>
    </row>
    <row r="1324" spans="1:10" x14ac:dyDescent="0.25">
      <c r="A1324" s="1">
        <v>366</v>
      </c>
      <c r="B1324" t="s">
        <v>26</v>
      </c>
      <c r="C1324">
        <v>635</v>
      </c>
      <c r="D1324">
        <v>1</v>
      </c>
      <c r="E1324" t="s">
        <v>24</v>
      </c>
      <c r="F1324" t="s">
        <v>25</v>
      </c>
      <c r="G1324" t="str">
        <f>"2025-06-21 16:39:11.643"</f>
        <v>2025-06-21 16:39:11.643</v>
      </c>
      <c r="H1324" t="s">
        <v>21</v>
      </c>
      <c r="I1324">
        <v>-0.32</v>
      </c>
      <c r="J1324" t="s">
        <v>28</v>
      </c>
    </row>
    <row r="1325" spans="1:10" x14ac:dyDescent="0.25">
      <c r="A1325" s="1">
        <v>367</v>
      </c>
      <c r="B1325" t="s">
        <v>23</v>
      </c>
      <c r="C1325">
        <v>635</v>
      </c>
      <c r="D1325">
        <v>1</v>
      </c>
      <c r="E1325" t="s">
        <v>24</v>
      </c>
      <c r="F1325" t="s">
        <v>25</v>
      </c>
      <c r="G1325" t="str">
        <f>"2025-06-21 16:38:29.643"</f>
        <v>2025-06-21 16:38:29.643</v>
      </c>
      <c r="H1325" t="s">
        <v>21</v>
      </c>
    </row>
    <row r="1326" spans="1:10" x14ac:dyDescent="0.25">
      <c r="A1326" s="1">
        <v>368</v>
      </c>
      <c r="B1326" t="s">
        <v>26</v>
      </c>
      <c r="C1326">
        <v>635</v>
      </c>
      <c r="D1326">
        <v>1</v>
      </c>
      <c r="E1326" t="s">
        <v>24</v>
      </c>
      <c r="F1326" t="s">
        <v>25</v>
      </c>
      <c r="G1326" t="str">
        <f>"2025-06-21 16:37:35.643"</f>
        <v>2025-06-21 16:37:35.643</v>
      </c>
      <c r="H1326" t="s">
        <v>21</v>
      </c>
      <c r="I1326">
        <v>5.41</v>
      </c>
      <c r="J1326" t="s">
        <v>27</v>
      </c>
    </row>
    <row r="1327" spans="1:10" x14ac:dyDescent="0.25">
      <c r="A1327" s="1">
        <v>369</v>
      </c>
      <c r="B1327" t="s">
        <v>23</v>
      </c>
      <c r="C1327">
        <v>635</v>
      </c>
      <c r="D1327">
        <v>1</v>
      </c>
      <c r="E1327" t="s">
        <v>24</v>
      </c>
      <c r="F1327" t="s">
        <v>25</v>
      </c>
      <c r="G1327" t="str">
        <f>"2025-06-21 14:01:26.843"</f>
        <v>2025-06-21 14:01:26.843</v>
      </c>
      <c r="H1327" t="s">
        <v>21</v>
      </c>
    </row>
    <row r="1328" spans="1:10" x14ac:dyDescent="0.25">
      <c r="A1328" s="1">
        <v>370</v>
      </c>
      <c r="B1328" t="s">
        <v>26</v>
      </c>
      <c r="C1328">
        <v>635</v>
      </c>
      <c r="D1328">
        <v>1</v>
      </c>
      <c r="E1328" t="s">
        <v>24</v>
      </c>
      <c r="F1328" t="s">
        <v>25</v>
      </c>
      <c r="G1328" t="str">
        <f>"2025-06-21 13:59:48.343"</f>
        <v>2025-06-21 13:59:48.343</v>
      </c>
      <c r="H1328" t="s">
        <v>21</v>
      </c>
      <c r="I1328">
        <v>4.04</v>
      </c>
      <c r="J1328" t="s">
        <v>27</v>
      </c>
    </row>
    <row r="1329" spans="1:10" x14ac:dyDescent="0.25">
      <c r="A1329" s="1">
        <v>371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"2025-06-20 22:46:21.655"</f>
        <v>2025-06-20 22:46:21.655</v>
      </c>
      <c r="H1329" t="s">
        <v>21</v>
      </c>
    </row>
    <row r="1330" spans="1:10" x14ac:dyDescent="0.25">
      <c r="A1330" s="1">
        <v>372</v>
      </c>
      <c r="B1330" t="s">
        <v>23</v>
      </c>
      <c r="C1330">
        <v>630</v>
      </c>
      <c r="D1330">
        <v>5</v>
      </c>
      <c r="E1330" t="s">
        <v>36</v>
      </c>
      <c r="F1330" t="s">
        <v>37</v>
      </c>
      <c r="G1330" t="str">
        <f>"2025-06-20 22:25:49.075"</f>
        <v>2025-06-20 22:25:49.075</v>
      </c>
      <c r="H1330" t="s">
        <v>38</v>
      </c>
    </row>
    <row r="1331" spans="1:10" x14ac:dyDescent="0.25">
      <c r="A1331" s="1">
        <v>373</v>
      </c>
      <c r="B1331" t="s">
        <v>19</v>
      </c>
      <c r="C1331">
        <v>706</v>
      </c>
      <c r="D1331">
        <v>2</v>
      </c>
      <c r="E1331" t="s">
        <v>32</v>
      </c>
      <c r="F1331" t="s">
        <v>35</v>
      </c>
      <c r="G1331" t="str">
        <f>"2025-06-20 22:25:18.891"</f>
        <v>2025-06-20 22:25:18.891</v>
      </c>
      <c r="H1331" t="s">
        <v>21</v>
      </c>
      <c r="I1331">
        <v>0</v>
      </c>
      <c r="J1331" t="s">
        <v>34</v>
      </c>
    </row>
    <row r="1332" spans="1:10" x14ac:dyDescent="0.25">
      <c r="A1332" s="1">
        <v>374</v>
      </c>
      <c r="B1332" t="s">
        <v>39</v>
      </c>
      <c r="C1332">
        <v>630</v>
      </c>
      <c r="D1332">
        <v>5</v>
      </c>
      <c r="E1332" t="s">
        <v>36</v>
      </c>
      <c r="F1332" t="s">
        <v>37</v>
      </c>
      <c r="G1332" t="str">
        <f>"2025-06-20 22:18:47.475"</f>
        <v>2025-06-20 22:18:47.475</v>
      </c>
      <c r="H1332" t="s">
        <v>38</v>
      </c>
      <c r="I1332">
        <v>0</v>
      </c>
      <c r="J1332" t="s">
        <v>34</v>
      </c>
    </row>
    <row r="1333" spans="1:10" x14ac:dyDescent="0.25">
      <c r="A1333" s="1">
        <v>375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"2025-06-20 22:13:44.661"</f>
        <v>2025-06-20 22:13:44.661</v>
      </c>
      <c r="H1333" t="s">
        <v>21</v>
      </c>
      <c r="I1333">
        <v>0</v>
      </c>
      <c r="J1333" t="s">
        <v>22</v>
      </c>
    </row>
    <row r="1334" spans="1:10" x14ac:dyDescent="0.25">
      <c r="A1334" s="1">
        <v>376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"2025-06-20 22:03:46.653"</f>
        <v>2025-06-20 22:03:46.653</v>
      </c>
      <c r="H1334" t="s">
        <v>21</v>
      </c>
      <c r="I1334">
        <v>0</v>
      </c>
      <c r="J1334" t="s">
        <v>22</v>
      </c>
    </row>
    <row r="1335" spans="1:10" x14ac:dyDescent="0.25">
      <c r="A1335" s="1">
        <v>377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"2025-06-20 22:00:32.644"</f>
        <v>2025-06-20 22:00:32.644</v>
      </c>
      <c r="H1335" t="s">
        <v>21</v>
      </c>
    </row>
    <row r="1336" spans="1:10" x14ac:dyDescent="0.25">
      <c r="A1336" s="1">
        <v>378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"2025-06-20 20:51:50.886"</f>
        <v>2025-06-20 20:51:50.886</v>
      </c>
      <c r="H1336" t="s">
        <v>21</v>
      </c>
    </row>
    <row r="1337" spans="1:10" x14ac:dyDescent="0.25">
      <c r="A1337" s="1">
        <v>379</v>
      </c>
      <c r="B1337" t="s">
        <v>23</v>
      </c>
      <c r="C1337">
        <v>635</v>
      </c>
      <c r="D1337">
        <v>1</v>
      </c>
      <c r="E1337" t="s">
        <v>24</v>
      </c>
      <c r="F1337" t="s">
        <v>25</v>
      </c>
      <c r="G1337" t="str">
        <f>"2025-06-20 20:14:07.802"</f>
        <v>2025-06-20 20:14:07.802</v>
      </c>
      <c r="H1337" t="s">
        <v>21</v>
      </c>
    </row>
    <row r="1338" spans="1:10" x14ac:dyDescent="0.25">
      <c r="A1338" s="1">
        <v>380</v>
      </c>
      <c r="B1338" t="s">
        <v>26</v>
      </c>
      <c r="C1338">
        <v>635</v>
      </c>
      <c r="D1338">
        <v>1</v>
      </c>
      <c r="E1338" t="s">
        <v>24</v>
      </c>
      <c r="F1338" t="s">
        <v>25</v>
      </c>
      <c r="G1338" t="str">
        <f>"2025-06-20 20:00:08.302"</f>
        <v>2025-06-20 20:00:08.302</v>
      </c>
      <c r="H1338" t="s">
        <v>21</v>
      </c>
      <c r="I1338">
        <v>8.94</v>
      </c>
      <c r="J1338" t="s">
        <v>31</v>
      </c>
    </row>
    <row r="1339" spans="1:10" x14ac:dyDescent="0.25">
      <c r="A1339" s="1">
        <v>381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"2025-06-19 20:00:44.660"</f>
        <v>2025-06-19 20:00:44.660</v>
      </c>
      <c r="H1339" t="s">
        <v>21</v>
      </c>
      <c r="I1339">
        <v>0</v>
      </c>
      <c r="J1339" t="s">
        <v>22</v>
      </c>
    </row>
    <row r="1340" spans="1:10" x14ac:dyDescent="0.25">
      <c r="A1340" s="1">
        <v>382</v>
      </c>
      <c r="B1340" t="s">
        <v>23</v>
      </c>
      <c r="C1340">
        <v>635</v>
      </c>
      <c r="D1340">
        <v>1</v>
      </c>
      <c r="E1340" t="s">
        <v>24</v>
      </c>
      <c r="F1340" t="s">
        <v>25</v>
      </c>
      <c r="G1340" t="str">
        <f>"2025-06-19 05:27:38.639"</f>
        <v>2025-06-19 05:27:38.639</v>
      </c>
      <c r="H1340" t="s">
        <v>21</v>
      </c>
    </row>
    <row r="1341" spans="1:10" x14ac:dyDescent="0.25">
      <c r="A1341" s="1">
        <v>383</v>
      </c>
      <c r="B1341" t="s">
        <v>26</v>
      </c>
      <c r="C1341">
        <v>635</v>
      </c>
      <c r="D1341">
        <v>1</v>
      </c>
      <c r="E1341" t="s">
        <v>24</v>
      </c>
      <c r="F1341" t="s">
        <v>25</v>
      </c>
      <c r="G1341" t="str">
        <f>"2025-06-19 05:23:42.639"</f>
        <v>2025-06-19 05:23:42.639</v>
      </c>
      <c r="H1341" t="s">
        <v>21</v>
      </c>
      <c r="I1341">
        <v>4.2</v>
      </c>
      <c r="J1341" t="s">
        <v>28</v>
      </c>
    </row>
    <row r="1342" spans="1:10" x14ac:dyDescent="0.25">
      <c r="A1342" s="1">
        <v>384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"2025-06-18 21:56:36.849"</f>
        <v>2025-06-18 21:56:36.849</v>
      </c>
      <c r="H1342" t="s">
        <v>21</v>
      </c>
    </row>
    <row r="1343" spans="1:10" s="3" customFormat="1" x14ac:dyDescent="0.25">
      <c r="A1343" s="2">
        <v>385</v>
      </c>
      <c r="B1343" s="3" t="s">
        <v>23</v>
      </c>
      <c r="C1343" s="3">
        <v>647</v>
      </c>
      <c r="D1343" s="3">
        <v>1</v>
      </c>
      <c r="E1343" s="3" t="s">
        <v>29</v>
      </c>
      <c r="F1343" s="3" t="s">
        <v>30</v>
      </c>
      <c r="G1343" s="3" t="str">
        <f>"2025-06-18 13:18:00.178"</f>
        <v>2025-06-18 13:18:00.178</v>
      </c>
      <c r="H1343" s="3" t="s">
        <v>21</v>
      </c>
    </row>
    <row r="1344" spans="1:10" s="3" customFormat="1" x14ac:dyDescent="0.25">
      <c r="A1344" s="2">
        <v>386</v>
      </c>
      <c r="B1344" s="3" t="s">
        <v>26</v>
      </c>
      <c r="C1344" s="3">
        <v>647</v>
      </c>
      <c r="D1344" s="3">
        <v>1</v>
      </c>
      <c r="E1344" s="3" t="s">
        <v>29</v>
      </c>
      <c r="F1344" s="3" t="s">
        <v>30</v>
      </c>
      <c r="G1344" s="3" t="str">
        <f>"2025-06-18 13:17:58.779"</f>
        <v>2025-06-18 13:17:58.779</v>
      </c>
      <c r="H1344" s="3" t="s">
        <v>21</v>
      </c>
      <c r="I1344" s="3">
        <v>16.75</v>
      </c>
      <c r="J1344" s="3" t="s">
        <v>31</v>
      </c>
    </row>
    <row r="1345" spans="1:10" x14ac:dyDescent="0.25">
      <c r="A1345" s="1">
        <v>387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"2025-06-17 22:18:23.640"</f>
        <v>2025-06-17 22:18:23.640</v>
      </c>
      <c r="H1345" t="s">
        <v>21</v>
      </c>
    </row>
    <row r="1346" spans="1:10" x14ac:dyDescent="0.25">
      <c r="A1346" s="1">
        <v>388</v>
      </c>
      <c r="B1346" t="s">
        <v>23</v>
      </c>
      <c r="C1346">
        <v>630</v>
      </c>
      <c r="D1346">
        <v>5</v>
      </c>
      <c r="E1346" t="s">
        <v>36</v>
      </c>
      <c r="F1346" t="s">
        <v>37</v>
      </c>
      <c r="G1346" t="str">
        <f>"2025-06-17 14:37:30.773"</f>
        <v>2025-06-17 14:37:30.773</v>
      </c>
      <c r="H1346" t="s">
        <v>38</v>
      </c>
    </row>
    <row r="1347" spans="1:10" x14ac:dyDescent="0.25">
      <c r="A1347" s="1">
        <v>389</v>
      </c>
      <c r="B1347" t="s">
        <v>19</v>
      </c>
      <c r="C1347">
        <v>706</v>
      </c>
      <c r="D1347">
        <v>2</v>
      </c>
      <c r="E1347" t="s">
        <v>32</v>
      </c>
      <c r="F1347" t="s">
        <v>35</v>
      </c>
      <c r="G1347" t="str">
        <f>"2025-06-17 14:37:00.651"</f>
        <v>2025-06-17 14:37:00.651</v>
      </c>
      <c r="H1347" t="s">
        <v>21</v>
      </c>
      <c r="I1347">
        <v>0</v>
      </c>
      <c r="J1347" t="s">
        <v>34</v>
      </c>
    </row>
    <row r="1348" spans="1:10" x14ac:dyDescent="0.25">
      <c r="A1348" s="1">
        <v>390</v>
      </c>
      <c r="B1348" t="s">
        <v>39</v>
      </c>
      <c r="C1348">
        <v>630</v>
      </c>
      <c r="D1348">
        <v>5</v>
      </c>
      <c r="E1348" t="s">
        <v>36</v>
      </c>
      <c r="F1348" t="s">
        <v>37</v>
      </c>
      <c r="G1348" t="str">
        <f>"2025-06-17 12:55:42.673"</f>
        <v>2025-06-17 12:55:42.673</v>
      </c>
      <c r="H1348" t="s">
        <v>38</v>
      </c>
      <c r="I1348">
        <v>0</v>
      </c>
      <c r="J1348" t="s">
        <v>34</v>
      </c>
    </row>
    <row r="1349" spans="1:10" x14ac:dyDescent="0.25">
      <c r="A1349" s="1">
        <v>391</v>
      </c>
      <c r="B1349" t="s">
        <v>23</v>
      </c>
      <c r="C1349">
        <v>630</v>
      </c>
      <c r="D1349">
        <v>5</v>
      </c>
      <c r="E1349" t="s">
        <v>36</v>
      </c>
      <c r="F1349" t="s">
        <v>37</v>
      </c>
      <c r="G1349" t="str">
        <f>"2025-06-17 11:07:46.073"</f>
        <v>2025-06-17 11:07:46.073</v>
      </c>
      <c r="H1349" t="s">
        <v>38</v>
      </c>
    </row>
    <row r="1350" spans="1:10" x14ac:dyDescent="0.25">
      <c r="A1350" s="1">
        <v>392</v>
      </c>
      <c r="B1350" t="s">
        <v>19</v>
      </c>
      <c r="C1350">
        <v>706</v>
      </c>
      <c r="D1350">
        <v>2</v>
      </c>
      <c r="E1350" t="s">
        <v>32</v>
      </c>
      <c r="F1350" t="s">
        <v>35</v>
      </c>
      <c r="G1350" t="str">
        <f>"2025-06-17 11:07:15.951"</f>
        <v>2025-06-17 11:07:15.951</v>
      </c>
      <c r="H1350" t="s">
        <v>21</v>
      </c>
      <c r="I1350">
        <v>0</v>
      </c>
      <c r="J1350" t="s">
        <v>34</v>
      </c>
    </row>
    <row r="1351" spans="1:10" x14ac:dyDescent="0.25">
      <c r="A1351" s="1">
        <v>393</v>
      </c>
      <c r="B1351" t="s">
        <v>39</v>
      </c>
      <c r="C1351">
        <v>630</v>
      </c>
      <c r="D1351">
        <v>5</v>
      </c>
      <c r="E1351" t="s">
        <v>36</v>
      </c>
      <c r="F1351" t="s">
        <v>37</v>
      </c>
      <c r="G1351" t="str">
        <f>"2025-06-17 11:00:42.973"</f>
        <v>2025-06-17 11:00:42.973</v>
      </c>
      <c r="H1351" t="s">
        <v>38</v>
      </c>
      <c r="I1351">
        <v>0</v>
      </c>
      <c r="J1351" t="s">
        <v>34</v>
      </c>
    </row>
    <row r="1352" spans="1:10" x14ac:dyDescent="0.25">
      <c r="A1352" s="1">
        <v>394</v>
      </c>
      <c r="B1352" t="s">
        <v>23</v>
      </c>
      <c r="C1352">
        <v>635</v>
      </c>
      <c r="D1352">
        <v>1</v>
      </c>
      <c r="E1352" t="s">
        <v>24</v>
      </c>
      <c r="F1352" t="s">
        <v>25</v>
      </c>
      <c r="G1352" t="str">
        <f>"2025-06-16 12:44:15.472"</f>
        <v>2025-06-16 12:44:15.472</v>
      </c>
      <c r="H1352" t="s">
        <v>21</v>
      </c>
    </row>
    <row r="1353" spans="1:10" x14ac:dyDescent="0.25">
      <c r="A1353" s="1">
        <v>395</v>
      </c>
      <c r="B1353" t="s">
        <v>26</v>
      </c>
      <c r="C1353">
        <v>635</v>
      </c>
      <c r="D1353">
        <v>1</v>
      </c>
      <c r="E1353" t="s">
        <v>24</v>
      </c>
      <c r="F1353" t="s">
        <v>25</v>
      </c>
      <c r="G1353" t="str">
        <f>"2025-06-16 12:14:45.473"</f>
        <v>2025-06-16 12:14:45.473</v>
      </c>
      <c r="H1353" t="s">
        <v>21</v>
      </c>
      <c r="I1353">
        <v>8.1999999999999993</v>
      </c>
      <c r="J1353" t="s">
        <v>31</v>
      </c>
    </row>
    <row r="1354" spans="1:10" x14ac:dyDescent="0.25">
      <c r="A1354" s="1">
        <v>401</v>
      </c>
      <c r="B1354" t="s">
        <v>23</v>
      </c>
      <c r="C1354">
        <v>635</v>
      </c>
      <c r="D1354">
        <v>1</v>
      </c>
      <c r="E1354" t="s">
        <v>24</v>
      </c>
      <c r="F1354" t="s">
        <v>25</v>
      </c>
      <c r="G1354" t="str">
        <f>"2025-06-12 14:00:37.883"</f>
        <v>2025-06-12 14:00:37.883</v>
      </c>
      <c r="H1354" t="s">
        <v>21</v>
      </c>
    </row>
    <row r="1355" spans="1:10" x14ac:dyDescent="0.25">
      <c r="A1355" s="1">
        <v>402</v>
      </c>
      <c r="B1355" t="s">
        <v>26</v>
      </c>
      <c r="C1355">
        <v>635</v>
      </c>
      <c r="D1355">
        <v>1</v>
      </c>
      <c r="E1355" t="s">
        <v>24</v>
      </c>
      <c r="F1355" t="s">
        <v>25</v>
      </c>
      <c r="G1355" t="str">
        <f>"2025-06-12 13:56:29.883"</f>
        <v>2025-06-12 13:56:29.883</v>
      </c>
      <c r="H1355" t="s">
        <v>21</v>
      </c>
      <c r="I1355">
        <v>8.9499999999999993</v>
      </c>
      <c r="J1355" t="s">
        <v>31</v>
      </c>
    </row>
    <row r="1356" spans="1:10" s="3" customFormat="1" x14ac:dyDescent="0.25">
      <c r="A1356" s="2">
        <v>403</v>
      </c>
      <c r="B1356" s="3" t="s">
        <v>23</v>
      </c>
      <c r="C1356" s="3">
        <v>647</v>
      </c>
      <c r="D1356" s="3">
        <v>1</v>
      </c>
      <c r="E1356" s="3" t="s">
        <v>29</v>
      </c>
      <c r="F1356" s="3" t="s">
        <v>30</v>
      </c>
      <c r="G1356" s="3" t="str">
        <f>"2025-06-12 10:44:04.484"</f>
        <v>2025-06-12 10:44:04.484</v>
      </c>
      <c r="H1356" s="3" t="s">
        <v>21</v>
      </c>
    </row>
    <row r="1357" spans="1:10" s="3" customFormat="1" x14ac:dyDescent="0.25">
      <c r="A1357" s="2">
        <v>404</v>
      </c>
      <c r="B1357" s="3" t="s">
        <v>26</v>
      </c>
      <c r="C1357" s="3">
        <v>647</v>
      </c>
      <c r="D1357" s="3">
        <v>1</v>
      </c>
      <c r="E1357" s="3" t="s">
        <v>29</v>
      </c>
      <c r="F1357" s="3" t="s">
        <v>30</v>
      </c>
      <c r="G1357" s="3" t="str">
        <f>"2025-06-12 10:44:01.183"</f>
        <v>2025-06-12 10:44:01.183</v>
      </c>
      <c r="H1357" s="3" t="s">
        <v>21</v>
      </c>
      <c r="I1357" s="3">
        <v>18.96</v>
      </c>
      <c r="J1357" s="3" t="s">
        <v>31</v>
      </c>
    </row>
    <row r="1358" spans="1:10" x14ac:dyDescent="0.25">
      <c r="A1358" s="1">
        <v>405</v>
      </c>
      <c r="B1358" t="s">
        <v>23</v>
      </c>
      <c r="C1358">
        <v>635</v>
      </c>
      <c r="D1358">
        <v>1</v>
      </c>
      <c r="E1358" t="s">
        <v>24</v>
      </c>
      <c r="F1358" t="s">
        <v>25</v>
      </c>
      <c r="G1358" t="str">
        <f>"2025-06-11 17:26:33.283"</f>
        <v>2025-06-11 17:26:33.283</v>
      </c>
      <c r="H1358" t="s">
        <v>21</v>
      </c>
    </row>
    <row r="1359" spans="1:10" x14ac:dyDescent="0.25">
      <c r="A1359" s="1">
        <v>406</v>
      </c>
      <c r="B1359" t="s">
        <v>26</v>
      </c>
      <c r="C1359">
        <v>635</v>
      </c>
      <c r="D1359">
        <v>1</v>
      </c>
      <c r="E1359" t="s">
        <v>24</v>
      </c>
      <c r="F1359" t="s">
        <v>25</v>
      </c>
      <c r="G1359" t="str">
        <f>"2025-06-11 17:21:45.784"</f>
        <v>2025-06-11 17:21:45.784</v>
      </c>
      <c r="H1359" t="s">
        <v>21</v>
      </c>
      <c r="I1359">
        <v>3.47</v>
      </c>
      <c r="J1359" t="s">
        <v>28</v>
      </c>
    </row>
    <row r="1360" spans="1:10" x14ac:dyDescent="0.25">
      <c r="A1360" s="1">
        <v>407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"2025-06-10 01:44:23.651"</f>
        <v>2025-06-10 01:44:23.651</v>
      </c>
      <c r="H1360" t="s">
        <v>21</v>
      </c>
      <c r="I1360">
        <v>0</v>
      </c>
      <c r="J1360" t="s">
        <v>22</v>
      </c>
    </row>
    <row r="1361" spans="1:10" x14ac:dyDescent="0.25">
      <c r="A1361" s="1">
        <v>408</v>
      </c>
      <c r="B1361" t="s">
        <v>23</v>
      </c>
      <c r="C1361">
        <v>630</v>
      </c>
      <c r="D1361">
        <v>5</v>
      </c>
      <c r="E1361" t="s">
        <v>36</v>
      </c>
      <c r="F1361" t="s">
        <v>37</v>
      </c>
      <c r="G1361" t="str">
        <f>"2025-06-10 01:26:44.970"</f>
        <v>2025-06-10 01:26:44.970</v>
      </c>
      <c r="H1361" t="s">
        <v>38</v>
      </c>
    </row>
    <row r="1362" spans="1:10" x14ac:dyDescent="0.25">
      <c r="A1362" s="1">
        <v>409</v>
      </c>
      <c r="B1362" t="s">
        <v>19</v>
      </c>
      <c r="C1362">
        <v>706</v>
      </c>
      <c r="D1362">
        <v>4</v>
      </c>
      <c r="E1362" t="s">
        <v>32</v>
      </c>
      <c r="F1362" t="s">
        <v>33</v>
      </c>
      <c r="G1362" t="str">
        <f>"2025-06-10 01:26:14.849"</f>
        <v>2025-06-10 01:26:14.849</v>
      </c>
      <c r="H1362" t="s">
        <v>21</v>
      </c>
      <c r="I1362">
        <v>0</v>
      </c>
      <c r="J1362" t="s">
        <v>34</v>
      </c>
    </row>
    <row r="1363" spans="1:10" x14ac:dyDescent="0.25">
      <c r="A1363" s="1">
        <v>410</v>
      </c>
      <c r="B1363" t="s">
        <v>39</v>
      </c>
      <c r="C1363">
        <v>630</v>
      </c>
      <c r="D1363">
        <v>5</v>
      </c>
      <c r="E1363" t="s">
        <v>36</v>
      </c>
      <c r="F1363" t="s">
        <v>37</v>
      </c>
      <c r="G1363" t="str">
        <f>"2025-06-10 01:17:36.470"</f>
        <v>2025-06-10 01:17:36.470</v>
      </c>
      <c r="H1363" t="s">
        <v>38</v>
      </c>
      <c r="I1363">
        <v>0</v>
      </c>
      <c r="J1363" t="s">
        <v>34</v>
      </c>
    </row>
    <row r="1364" spans="1:10" x14ac:dyDescent="0.25">
      <c r="A1364" s="1">
        <v>411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"2025-06-10 01:12:33.799"</f>
        <v>2025-06-10 01:12:33.799</v>
      </c>
      <c r="H1364" t="s">
        <v>21</v>
      </c>
    </row>
    <row r="1365" spans="1:10" x14ac:dyDescent="0.25">
      <c r="A1365" s="1">
        <v>412</v>
      </c>
      <c r="B1365" t="s">
        <v>39</v>
      </c>
      <c r="C1365">
        <v>630</v>
      </c>
      <c r="D1365">
        <v>5</v>
      </c>
      <c r="E1365" t="s">
        <v>36</v>
      </c>
      <c r="F1365" t="s">
        <v>37</v>
      </c>
      <c r="G1365" t="str">
        <f>"2025-06-10 00:06:52.893"</f>
        <v>2025-06-10 00:06:52.893</v>
      </c>
      <c r="H1365" t="s">
        <v>38</v>
      </c>
      <c r="I1365">
        <v>0</v>
      </c>
      <c r="J1365" t="s">
        <v>34</v>
      </c>
    </row>
    <row r="1366" spans="1:10" s="3" customFormat="1" x14ac:dyDescent="0.25">
      <c r="A1366" s="2">
        <v>413</v>
      </c>
      <c r="B1366" s="3" t="s">
        <v>23</v>
      </c>
      <c r="C1366" s="3">
        <v>647</v>
      </c>
      <c r="D1366" s="3">
        <v>1</v>
      </c>
      <c r="E1366" s="3" t="s">
        <v>29</v>
      </c>
      <c r="F1366" s="3" t="s">
        <v>30</v>
      </c>
      <c r="G1366" s="3" t="str">
        <f>"2025-06-07 10:08:52.892"</f>
        <v>2025-06-07 10:08:52.892</v>
      </c>
      <c r="H1366" s="3" t="s">
        <v>21</v>
      </c>
    </row>
    <row r="1367" spans="1:10" s="3" customFormat="1" x14ac:dyDescent="0.25">
      <c r="A1367" s="2">
        <v>414</v>
      </c>
      <c r="B1367" s="3" t="s">
        <v>26</v>
      </c>
      <c r="C1367" s="3">
        <v>647</v>
      </c>
      <c r="D1367" s="3">
        <v>1</v>
      </c>
      <c r="E1367" s="3" t="s">
        <v>29</v>
      </c>
      <c r="F1367" s="3" t="s">
        <v>30</v>
      </c>
      <c r="G1367" s="3" t="str">
        <f>"2025-06-07 10:08:51.192"</f>
        <v>2025-06-07 10:08:51.192</v>
      </c>
      <c r="H1367" s="3" t="s">
        <v>21</v>
      </c>
      <c r="I1367" s="3">
        <v>24.99</v>
      </c>
      <c r="J1367" s="3" t="s">
        <v>31</v>
      </c>
    </row>
    <row r="1368" spans="1:10" x14ac:dyDescent="0.25">
      <c r="A1368" s="1">
        <v>415</v>
      </c>
      <c r="B1368" t="s">
        <v>23</v>
      </c>
      <c r="C1368">
        <v>635</v>
      </c>
      <c r="D1368">
        <v>1</v>
      </c>
      <c r="E1368" t="s">
        <v>24</v>
      </c>
      <c r="F1368" t="s">
        <v>25</v>
      </c>
      <c r="G1368" t="str">
        <f>"2025-06-07 08:48:15.692"</f>
        <v>2025-06-07 08:48:15.692</v>
      </c>
      <c r="H1368" t="s">
        <v>21</v>
      </c>
    </row>
    <row r="1369" spans="1:10" x14ac:dyDescent="0.25">
      <c r="A1369" s="1">
        <v>416</v>
      </c>
      <c r="B1369" t="s">
        <v>26</v>
      </c>
      <c r="C1369">
        <v>635</v>
      </c>
      <c r="D1369">
        <v>1</v>
      </c>
      <c r="E1369" t="s">
        <v>24</v>
      </c>
      <c r="F1369" t="s">
        <v>25</v>
      </c>
      <c r="G1369" t="str">
        <f>"2025-06-07 08:30:56.692"</f>
        <v>2025-06-07 08:30:56.692</v>
      </c>
      <c r="H1369" t="s">
        <v>21</v>
      </c>
      <c r="I1369">
        <v>3.51</v>
      </c>
      <c r="J1369" t="s">
        <v>31</v>
      </c>
    </row>
    <row r="1370" spans="1:10" x14ac:dyDescent="0.25">
      <c r="A1370" s="1">
        <v>417</v>
      </c>
      <c r="B1370" t="s">
        <v>23</v>
      </c>
      <c r="C1370">
        <v>635</v>
      </c>
      <c r="D1370">
        <v>1</v>
      </c>
      <c r="E1370" t="s">
        <v>24</v>
      </c>
      <c r="F1370" t="s">
        <v>25</v>
      </c>
      <c r="G1370" t="str">
        <f>"2025-06-06 21:18:40.692"</f>
        <v>2025-06-06 21:18:40.692</v>
      </c>
      <c r="H1370" t="s">
        <v>21</v>
      </c>
    </row>
    <row r="1371" spans="1:10" x14ac:dyDescent="0.25">
      <c r="A1371" s="1">
        <v>418</v>
      </c>
      <c r="B1371" t="s">
        <v>26</v>
      </c>
      <c r="C1371">
        <v>635</v>
      </c>
      <c r="D1371">
        <v>1</v>
      </c>
      <c r="E1371" t="s">
        <v>24</v>
      </c>
      <c r="F1371" t="s">
        <v>25</v>
      </c>
      <c r="G1371" t="str">
        <f>"2025-06-06 21:16:07.192"</f>
        <v>2025-06-06 21:16:07.192</v>
      </c>
      <c r="H1371" t="s">
        <v>21</v>
      </c>
      <c r="I1371">
        <v>5.81</v>
      </c>
      <c r="J1371" t="s">
        <v>27</v>
      </c>
    </row>
    <row r="1372" spans="1:10" s="3" customFormat="1" x14ac:dyDescent="0.25">
      <c r="A1372" s="2">
        <v>419</v>
      </c>
      <c r="B1372" s="3" t="s">
        <v>23</v>
      </c>
      <c r="C1372" s="3">
        <v>647</v>
      </c>
      <c r="D1372" s="3">
        <v>1</v>
      </c>
      <c r="E1372" s="3" t="s">
        <v>29</v>
      </c>
      <c r="F1372" s="3" t="s">
        <v>30</v>
      </c>
      <c r="G1372" s="3" t="str">
        <f>"2025-06-06 10:56:08.392"</f>
        <v>2025-06-06 10:56:08.392</v>
      </c>
      <c r="H1372" s="3" t="s">
        <v>21</v>
      </c>
    </row>
    <row r="1373" spans="1:10" s="3" customFormat="1" x14ac:dyDescent="0.25">
      <c r="A1373" s="2">
        <v>420</v>
      </c>
      <c r="B1373" s="3" t="s">
        <v>26</v>
      </c>
      <c r="C1373" s="3">
        <v>647</v>
      </c>
      <c r="D1373" s="3">
        <v>1</v>
      </c>
      <c r="E1373" s="3" t="s">
        <v>29</v>
      </c>
      <c r="F1373" s="3" t="s">
        <v>30</v>
      </c>
      <c r="G1373" s="3" t="str">
        <f>"2025-06-06 10:56:06.892"</f>
        <v>2025-06-06 10:56:06.892</v>
      </c>
      <c r="H1373" s="3" t="s">
        <v>21</v>
      </c>
      <c r="I1373" s="3">
        <v>8.7200000000000006</v>
      </c>
      <c r="J1373" s="3" t="s">
        <v>31</v>
      </c>
    </row>
    <row r="1374" spans="1:10" x14ac:dyDescent="0.25">
      <c r="A1374" s="1">
        <v>421</v>
      </c>
      <c r="B1374" t="s">
        <v>23</v>
      </c>
      <c r="C1374">
        <v>635</v>
      </c>
      <c r="D1374">
        <v>1</v>
      </c>
      <c r="E1374" t="s">
        <v>24</v>
      </c>
      <c r="F1374" t="s">
        <v>25</v>
      </c>
      <c r="G1374" t="str">
        <f>"2025-06-06 09:57:36.192"</f>
        <v>2025-06-06 09:57:36.192</v>
      </c>
      <c r="H1374" t="s">
        <v>21</v>
      </c>
    </row>
    <row r="1375" spans="1:10" x14ac:dyDescent="0.25">
      <c r="A1375" s="1">
        <v>422</v>
      </c>
      <c r="B1375" t="s">
        <v>26</v>
      </c>
      <c r="C1375">
        <v>635</v>
      </c>
      <c r="D1375">
        <v>1</v>
      </c>
      <c r="E1375" t="s">
        <v>24</v>
      </c>
      <c r="F1375" t="s">
        <v>25</v>
      </c>
      <c r="G1375" t="str">
        <f>"2025-06-06 09:40:28.692"</f>
        <v>2025-06-06 09:40:28.692</v>
      </c>
      <c r="H1375" t="s">
        <v>21</v>
      </c>
      <c r="I1375">
        <v>7.14</v>
      </c>
      <c r="J1375" t="s">
        <v>31</v>
      </c>
    </row>
    <row r="1376" spans="1:10" x14ac:dyDescent="0.25">
      <c r="A1376" s="1">
        <v>423</v>
      </c>
      <c r="B1376" t="s">
        <v>23</v>
      </c>
      <c r="C1376">
        <v>635</v>
      </c>
      <c r="D1376">
        <v>1</v>
      </c>
      <c r="E1376" t="s">
        <v>24</v>
      </c>
      <c r="F1376" t="s">
        <v>25</v>
      </c>
      <c r="G1376" t="str">
        <f>"2025-06-06 00:04:21.592"</f>
        <v>2025-06-06 00:04:21.592</v>
      </c>
      <c r="H1376" t="s">
        <v>21</v>
      </c>
    </row>
    <row r="1377" spans="1:10" x14ac:dyDescent="0.25">
      <c r="A1377" s="1">
        <v>424</v>
      </c>
      <c r="B1377" t="s">
        <v>26</v>
      </c>
      <c r="C1377">
        <v>635</v>
      </c>
      <c r="D1377">
        <v>1</v>
      </c>
      <c r="E1377" t="s">
        <v>24</v>
      </c>
      <c r="F1377" t="s">
        <v>25</v>
      </c>
      <c r="G1377" t="str">
        <f>"2025-06-06 00:03:22.591"</f>
        <v>2025-06-06 00:03:22.591</v>
      </c>
      <c r="H1377" t="s">
        <v>21</v>
      </c>
      <c r="I1377">
        <v>8.4499999999999993</v>
      </c>
      <c r="J1377" t="s">
        <v>27</v>
      </c>
    </row>
    <row r="1378" spans="1:10" x14ac:dyDescent="0.25">
      <c r="A1378" s="1">
        <v>425</v>
      </c>
      <c r="B1378" t="s">
        <v>23</v>
      </c>
      <c r="C1378">
        <v>635</v>
      </c>
      <c r="D1378">
        <v>1</v>
      </c>
      <c r="E1378" t="s">
        <v>24</v>
      </c>
      <c r="F1378" t="s">
        <v>25</v>
      </c>
      <c r="G1378" t="str">
        <f>"2025-06-05 18:55:48.292"</f>
        <v>2025-06-05 18:55:48.292</v>
      </c>
      <c r="H1378" t="s">
        <v>21</v>
      </c>
    </row>
    <row r="1379" spans="1:10" x14ac:dyDescent="0.25">
      <c r="A1379" s="1">
        <v>426</v>
      </c>
      <c r="B1379" t="s">
        <v>26</v>
      </c>
      <c r="C1379">
        <v>635</v>
      </c>
      <c r="D1379">
        <v>1</v>
      </c>
      <c r="E1379" t="s">
        <v>24</v>
      </c>
      <c r="F1379" t="s">
        <v>25</v>
      </c>
      <c r="G1379" t="str">
        <f>"2025-06-05 18:36:39.792"</f>
        <v>2025-06-05 18:36:39.792</v>
      </c>
      <c r="H1379" t="s">
        <v>21</v>
      </c>
      <c r="I1379">
        <v>9.35</v>
      </c>
      <c r="J1379" t="s">
        <v>27</v>
      </c>
    </row>
    <row r="1380" spans="1:10" x14ac:dyDescent="0.25">
      <c r="A1380" s="1">
        <v>427</v>
      </c>
      <c r="B1380" t="s">
        <v>23</v>
      </c>
      <c r="C1380">
        <v>635</v>
      </c>
      <c r="D1380">
        <v>1</v>
      </c>
      <c r="E1380" t="s">
        <v>24</v>
      </c>
      <c r="F1380" t="s">
        <v>25</v>
      </c>
      <c r="G1380" t="str">
        <f>"2025-06-05 16:20:53.892"</f>
        <v>2025-06-05 16:20:53.892</v>
      </c>
      <c r="H1380" t="s">
        <v>21</v>
      </c>
    </row>
    <row r="1381" spans="1:10" x14ac:dyDescent="0.25">
      <c r="A1381" s="1">
        <v>428</v>
      </c>
      <c r="B1381" t="s">
        <v>26</v>
      </c>
      <c r="C1381">
        <v>635</v>
      </c>
      <c r="D1381">
        <v>1</v>
      </c>
      <c r="E1381" t="s">
        <v>24</v>
      </c>
      <c r="F1381" t="s">
        <v>25</v>
      </c>
      <c r="G1381" t="str">
        <f>"2025-06-05 16:03:56.892"</f>
        <v>2025-06-05 16:03:56.892</v>
      </c>
      <c r="H1381" t="s">
        <v>21</v>
      </c>
      <c r="I1381">
        <v>8.14</v>
      </c>
      <c r="J1381" t="s">
        <v>27</v>
      </c>
    </row>
    <row r="1382" spans="1:10" x14ac:dyDescent="0.25">
      <c r="A1382" s="1">
        <v>429</v>
      </c>
      <c r="B1382" t="s">
        <v>23</v>
      </c>
      <c r="C1382">
        <v>635</v>
      </c>
      <c r="D1382">
        <v>1</v>
      </c>
      <c r="E1382" t="s">
        <v>24</v>
      </c>
      <c r="F1382" t="s">
        <v>25</v>
      </c>
      <c r="G1382" t="str">
        <f>"2025-06-05 07:26:57.292"</f>
        <v>2025-06-05 07:26:57.292</v>
      </c>
      <c r="H1382" t="s">
        <v>21</v>
      </c>
    </row>
    <row r="1383" spans="1:10" x14ac:dyDescent="0.25">
      <c r="A1383" s="1">
        <v>430</v>
      </c>
      <c r="B1383" t="s">
        <v>26</v>
      </c>
      <c r="C1383">
        <v>635</v>
      </c>
      <c r="D1383">
        <v>1</v>
      </c>
      <c r="E1383" t="s">
        <v>24</v>
      </c>
      <c r="F1383" t="s">
        <v>25</v>
      </c>
      <c r="G1383" t="str">
        <f>"2025-06-05 07:01:54.792"</f>
        <v>2025-06-05 07:01:54.792</v>
      </c>
      <c r="H1383" t="s">
        <v>21</v>
      </c>
      <c r="I1383">
        <v>7.99</v>
      </c>
      <c r="J1383" t="s">
        <v>27</v>
      </c>
    </row>
    <row r="1384" spans="1:10" x14ac:dyDescent="0.25">
      <c r="A1384" s="1">
        <v>431</v>
      </c>
      <c r="B1384" t="s">
        <v>23</v>
      </c>
      <c r="C1384">
        <v>635</v>
      </c>
      <c r="D1384">
        <v>1</v>
      </c>
      <c r="E1384" t="s">
        <v>24</v>
      </c>
      <c r="F1384" t="s">
        <v>25</v>
      </c>
      <c r="G1384" t="str">
        <f>"2025-06-04 15:50:51.892"</f>
        <v>2025-06-04 15:50:51.892</v>
      </c>
      <c r="H1384" t="s">
        <v>21</v>
      </c>
    </row>
    <row r="1385" spans="1:10" x14ac:dyDescent="0.25">
      <c r="A1385" s="1">
        <v>432</v>
      </c>
      <c r="B1385" t="s">
        <v>26</v>
      </c>
      <c r="C1385">
        <v>635</v>
      </c>
      <c r="D1385">
        <v>1</v>
      </c>
      <c r="E1385" t="s">
        <v>24</v>
      </c>
      <c r="F1385" t="s">
        <v>25</v>
      </c>
      <c r="G1385" t="str">
        <f>"2025-06-04 15:35:03.893"</f>
        <v>2025-06-04 15:35:03.893</v>
      </c>
      <c r="H1385" t="s">
        <v>21</v>
      </c>
      <c r="I1385">
        <v>8.19</v>
      </c>
      <c r="J1385" t="s">
        <v>27</v>
      </c>
    </row>
    <row r="1386" spans="1:10" x14ac:dyDescent="0.25">
      <c r="A1386" s="1">
        <v>433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"2025-06-03 13:43:25.644"</f>
        <v>2025-06-03 13:43:25.644</v>
      </c>
      <c r="H1386" t="s">
        <v>21</v>
      </c>
      <c r="I1386">
        <v>0</v>
      </c>
      <c r="J1386" t="s">
        <v>22</v>
      </c>
    </row>
    <row r="1387" spans="1:10" s="3" customFormat="1" x14ac:dyDescent="0.25">
      <c r="A1387" s="2">
        <v>434</v>
      </c>
      <c r="B1387" s="3" t="s">
        <v>23</v>
      </c>
      <c r="C1387" s="3">
        <v>647</v>
      </c>
      <c r="D1387" s="3">
        <v>1</v>
      </c>
      <c r="E1387" s="3" t="s">
        <v>29</v>
      </c>
      <c r="F1387" s="3" t="s">
        <v>30</v>
      </c>
      <c r="G1387" s="3" t="str">
        <f>"2025-06-03 08:09:05.726"</f>
        <v>2025-06-03 08:09:05.726</v>
      </c>
      <c r="H1387" s="3" t="s">
        <v>21</v>
      </c>
    </row>
    <row r="1388" spans="1:10" s="3" customFormat="1" x14ac:dyDescent="0.25">
      <c r="A1388" s="2">
        <v>435</v>
      </c>
      <c r="B1388" s="3" t="s">
        <v>26</v>
      </c>
      <c r="C1388" s="3">
        <v>647</v>
      </c>
      <c r="D1388" s="3">
        <v>1</v>
      </c>
      <c r="E1388" s="3" t="s">
        <v>29</v>
      </c>
      <c r="F1388" s="3" t="s">
        <v>30</v>
      </c>
      <c r="G1388" s="3" t="str">
        <f>"2025-06-03 08:09:01.726"</f>
        <v>2025-06-03 08:09:01.726</v>
      </c>
      <c r="H1388" s="3" t="s">
        <v>21</v>
      </c>
      <c r="I1388" s="3">
        <v>8.15</v>
      </c>
      <c r="J1388" s="3" t="s">
        <v>31</v>
      </c>
    </row>
    <row r="1389" spans="1:10" x14ac:dyDescent="0.25">
      <c r="A1389" s="1">
        <v>436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"2025-06-02 21:16:20.663"</f>
        <v>2025-06-02 21:16:20.663</v>
      </c>
      <c r="H1389" t="s">
        <v>21</v>
      </c>
    </row>
    <row r="1390" spans="1:10" x14ac:dyDescent="0.25">
      <c r="A1390" s="1">
        <v>437</v>
      </c>
      <c r="B1390" t="s">
        <v>23</v>
      </c>
      <c r="C1390">
        <v>635</v>
      </c>
      <c r="D1390">
        <v>1</v>
      </c>
      <c r="E1390" t="s">
        <v>24</v>
      </c>
      <c r="F1390" t="s">
        <v>25</v>
      </c>
      <c r="G1390" t="str">
        <f>"2025-06-02 06:49:12.111"</f>
        <v>2025-06-02 06:49:12.111</v>
      </c>
      <c r="H1390" t="s">
        <v>21</v>
      </c>
    </row>
    <row r="1391" spans="1:10" x14ac:dyDescent="0.25">
      <c r="A1391" s="1">
        <v>438</v>
      </c>
      <c r="B1391" t="s">
        <v>26</v>
      </c>
      <c r="C1391">
        <v>635</v>
      </c>
      <c r="D1391">
        <v>1</v>
      </c>
      <c r="E1391" t="s">
        <v>24</v>
      </c>
      <c r="F1391" t="s">
        <v>25</v>
      </c>
      <c r="G1391" t="str">
        <f>"2025-06-02 06:44:44.111"</f>
        <v>2025-06-02 06:44:44.111</v>
      </c>
      <c r="H1391" t="s">
        <v>21</v>
      </c>
      <c r="I1391">
        <v>9.31</v>
      </c>
      <c r="J1391" t="s">
        <v>31</v>
      </c>
    </row>
    <row r="1392" spans="1:10" x14ac:dyDescent="0.25">
      <c r="A1392" s="1">
        <v>439</v>
      </c>
      <c r="B1392" t="s">
        <v>23</v>
      </c>
      <c r="C1392">
        <v>635</v>
      </c>
      <c r="D1392">
        <v>1</v>
      </c>
      <c r="E1392" t="s">
        <v>24</v>
      </c>
      <c r="F1392" t="s">
        <v>25</v>
      </c>
      <c r="G1392" t="str">
        <f>"2025-06-02 06:13:27.111"</f>
        <v>2025-06-02 06:13:27.111</v>
      </c>
      <c r="H1392" t="s">
        <v>21</v>
      </c>
    </row>
    <row r="1393" spans="1:10" x14ac:dyDescent="0.25">
      <c r="A1393" s="1">
        <v>440</v>
      </c>
      <c r="B1393" t="s">
        <v>26</v>
      </c>
      <c r="C1393">
        <v>635</v>
      </c>
      <c r="D1393">
        <v>1</v>
      </c>
      <c r="E1393" t="s">
        <v>24</v>
      </c>
      <c r="F1393" t="s">
        <v>25</v>
      </c>
      <c r="G1393" t="str">
        <f>"2025-06-02 06:11:02.611"</f>
        <v>2025-06-02 06:11:02.611</v>
      </c>
      <c r="H1393" t="s">
        <v>21</v>
      </c>
      <c r="I1393">
        <v>8.17</v>
      </c>
      <c r="J1393" t="s">
        <v>27</v>
      </c>
    </row>
    <row r="1394" spans="1:10" x14ac:dyDescent="0.25">
      <c r="A1394" s="1">
        <v>441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"2025-06-01 21:15:14.802"</f>
        <v>2025-06-01 21:15:14.802</v>
      </c>
      <c r="H1394" t="s">
        <v>21</v>
      </c>
      <c r="I1394">
        <v>0</v>
      </c>
      <c r="J1394" t="s">
        <v>22</v>
      </c>
    </row>
    <row r="1395" spans="1:10" s="3" customFormat="1" x14ac:dyDescent="0.25">
      <c r="A1395" s="2">
        <v>442</v>
      </c>
      <c r="B1395" s="3" t="s">
        <v>23</v>
      </c>
      <c r="C1395" s="3">
        <v>647</v>
      </c>
      <c r="D1395" s="3">
        <v>1</v>
      </c>
      <c r="E1395" s="3" t="s">
        <v>29</v>
      </c>
      <c r="F1395" s="3" t="s">
        <v>30</v>
      </c>
      <c r="G1395" s="3" t="str">
        <f>"2025-06-01 17:57:33.474"</f>
        <v>2025-06-01 17:57:33.474</v>
      </c>
      <c r="H1395" s="3" t="s">
        <v>21</v>
      </c>
    </row>
    <row r="1396" spans="1:10" s="3" customFormat="1" x14ac:dyDescent="0.25">
      <c r="A1396" s="2">
        <v>443</v>
      </c>
      <c r="B1396" s="3" t="s">
        <v>26</v>
      </c>
      <c r="C1396" s="3">
        <v>647</v>
      </c>
      <c r="D1396" s="3">
        <v>1</v>
      </c>
      <c r="E1396" s="3" t="s">
        <v>29</v>
      </c>
      <c r="F1396" s="3" t="s">
        <v>30</v>
      </c>
      <c r="G1396" s="3" t="str">
        <f>"2025-06-01 17:57:31.374"</f>
        <v>2025-06-01 17:57:31.374</v>
      </c>
      <c r="H1396" s="3" t="s">
        <v>21</v>
      </c>
      <c r="I1396" s="3">
        <v>10.5</v>
      </c>
      <c r="J1396" s="3" t="s">
        <v>31</v>
      </c>
    </row>
    <row r="1397" spans="1:10" x14ac:dyDescent="0.25">
      <c r="A1397" s="1">
        <v>444</v>
      </c>
      <c r="B1397" t="s">
        <v>23</v>
      </c>
      <c r="C1397">
        <v>635</v>
      </c>
      <c r="D1397">
        <v>1</v>
      </c>
      <c r="E1397" t="s">
        <v>24</v>
      </c>
      <c r="F1397" t="s">
        <v>25</v>
      </c>
      <c r="G1397" t="str">
        <f>"2025-06-01 03:28:05.720"</f>
        <v>2025-06-01 03:28:05.720</v>
      </c>
      <c r="H1397" t="s">
        <v>21</v>
      </c>
    </row>
    <row r="1398" spans="1:10" x14ac:dyDescent="0.25">
      <c r="A1398" s="1">
        <v>445</v>
      </c>
      <c r="B1398" t="s">
        <v>26</v>
      </c>
      <c r="C1398">
        <v>635</v>
      </c>
      <c r="D1398">
        <v>1</v>
      </c>
      <c r="E1398" t="s">
        <v>24</v>
      </c>
      <c r="F1398" t="s">
        <v>25</v>
      </c>
      <c r="G1398" t="str">
        <f>"2025-06-01 03:25:21.720"</f>
        <v>2025-06-01 03:25:21.720</v>
      </c>
      <c r="H1398" t="s">
        <v>21</v>
      </c>
      <c r="I1398">
        <v>3.6</v>
      </c>
      <c r="J1398" t="s">
        <v>27</v>
      </c>
    </row>
    <row r="1399" spans="1:10" x14ac:dyDescent="0.25">
      <c r="A1399" s="1">
        <v>450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"2025-05-31 20:36:50.663"</f>
        <v>2025-05-31 20:36:50.663</v>
      </c>
      <c r="H1399" t="s">
        <v>21</v>
      </c>
    </row>
    <row r="1400" spans="1:10" x14ac:dyDescent="0.25">
      <c r="A1400" s="1">
        <v>451</v>
      </c>
      <c r="B1400" t="s">
        <v>19</v>
      </c>
      <c r="C1400">
        <v>706</v>
      </c>
      <c r="D1400">
        <v>4</v>
      </c>
      <c r="E1400" t="s">
        <v>32</v>
      </c>
      <c r="F1400" t="s">
        <v>33</v>
      </c>
      <c r="G1400" t="str">
        <f>"2025-05-31 01:58:15.448"</f>
        <v>2025-05-31 01:58:15.448</v>
      </c>
      <c r="H1400" t="s">
        <v>21</v>
      </c>
      <c r="I1400">
        <v>0</v>
      </c>
      <c r="J1400" t="s">
        <v>34</v>
      </c>
    </row>
    <row r="1401" spans="1:10" x14ac:dyDescent="0.25">
      <c r="A1401" s="1">
        <v>452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"2025-05-31 01:57:34.628"</f>
        <v>2025-05-31 01:57:34.628</v>
      </c>
      <c r="H1401" t="s">
        <v>21</v>
      </c>
    </row>
    <row r="1402" spans="1:10" x14ac:dyDescent="0.25">
      <c r="A1402" s="1">
        <v>453</v>
      </c>
      <c r="B1402" t="s">
        <v>19</v>
      </c>
      <c r="C1402">
        <v>706</v>
      </c>
      <c r="D1402">
        <v>2</v>
      </c>
      <c r="E1402" t="s">
        <v>32</v>
      </c>
      <c r="F1402" t="s">
        <v>35</v>
      </c>
      <c r="G1402" t="str">
        <f>"2025-05-31 01:31:39.527"</f>
        <v>2025-05-31 01:31:39.527</v>
      </c>
      <c r="H1402" t="s">
        <v>21</v>
      </c>
      <c r="I1402">
        <v>0</v>
      </c>
      <c r="J1402" t="s">
        <v>34</v>
      </c>
    </row>
    <row r="1403" spans="1:10" x14ac:dyDescent="0.25">
      <c r="A1403" s="1">
        <v>454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"2025-05-31 01:31:14.657"</f>
        <v>2025-05-31 01:31:14.657</v>
      </c>
      <c r="H1403" t="s">
        <v>21</v>
      </c>
      <c r="I1403">
        <v>0</v>
      </c>
      <c r="J1403" t="s">
        <v>22</v>
      </c>
    </row>
    <row r="1404" spans="1:10" x14ac:dyDescent="0.25">
      <c r="A1404" s="1">
        <v>455</v>
      </c>
      <c r="B1404" t="s">
        <v>23</v>
      </c>
      <c r="C1404">
        <v>635</v>
      </c>
      <c r="D1404">
        <v>1</v>
      </c>
      <c r="E1404" t="s">
        <v>24</v>
      </c>
      <c r="F1404" t="s">
        <v>25</v>
      </c>
      <c r="G1404" t="str">
        <f>"2025-05-30 12:10:14.119"</f>
        <v>2025-05-30 12:10:14.119</v>
      </c>
      <c r="H1404" t="s">
        <v>21</v>
      </c>
    </row>
    <row r="1405" spans="1:10" x14ac:dyDescent="0.25">
      <c r="A1405" s="1">
        <v>456</v>
      </c>
      <c r="B1405" t="s">
        <v>26</v>
      </c>
      <c r="C1405">
        <v>635</v>
      </c>
      <c r="D1405">
        <v>1</v>
      </c>
      <c r="E1405" t="s">
        <v>24</v>
      </c>
      <c r="F1405" t="s">
        <v>25</v>
      </c>
      <c r="G1405" t="str">
        <f>"2025-05-30 11:53:00.219"</f>
        <v>2025-05-30 11:53:00.219</v>
      </c>
      <c r="H1405" t="s">
        <v>21</v>
      </c>
      <c r="I1405">
        <v>7.34</v>
      </c>
      <c r="J1405" t="s">
        <v>27</v>
      </c>
    </row>
    <row r="1406" spans="1:10" x14ac:dyDescent="0.25">
      <c r="A1406" s="1">
        <v>457</v>
      </c>
      <c r="B1406" t="s">
        <v>23</v>
      </c>
      <c r="C1406">
        <v>635</v>
      </c>
      <c r="D1406">
        <v>1</v>
      </c>
      <c r="E1406" t="s">
        <v>24</v>
      </c>
      <c r="F1406" t="s">
        <v>25</v>
      </c>
      <c r="G1406" t="str">
        <f>"2025-05-30 07:09:28.419"</f>
        <v>2025-05-30 07:09:28.419</v>
      </c>
      <c r="H1406" t="s">
        <v>21</v>
      </c>
    </row>
    <row r="1407" spans="1:10" x14ac:dyDescent="0.25">
      <c r="A1407" s="1">
        <v>458</v>
      </c>
      <c r="B1407" t="s">
        <v>26</v>
      </c>
      <c r="C1407">
        <v>635</v>
      </c>
      <c r="D1407">
        <v>1</v>
      </c>
      <c r="E1407" t="s">
        <v>24</v>
      </c>
      <c r="F1407" t="s">
        <v>25</v>
      </c>
      <c r="G1407" t="str">
        <f>"2025-05-30 07:04:18.920"</f>
        <v>2025-05-30 07:04:18.920</v>
      </c>
      <c r="H1407" t="s">
        <v>21</v>
      </c>
      <c r="I1407">
        <v>6.19</v>
      </c>
      <c r="J1407" t="s">
        <v>27</v>
      </c>
    </row>
    <row r="1408" spans="1:10" x14ac:dyDescent="0.25">
      <c r="A1408" s="1">
        <v>459</v>
      </c>
      <c r="B1408" t="s">
        <v>23</v>
      </c>
      <c r="C1408">
        <v>98</v>
      </c>
      <c r="D1408">
        <v>1</v>
      </c>
      <c r="E1408" t="s">
        <v>67</v>
      </c>
      <c r="F1408" t="s">
        <v>68</v>
      </c>
      <c r="G1408" t="str">
        <f>"2025-05-30 05:55:51.812"</f>
        <v>2025-05-30 05:55:51.812</v>
      </c>
      <c r="H1408" t="s">
        <v>21</v>
      </c>
    </row>
    <row r="1409" spans="1:10" x14ac:dyDescent="0.25">
      <c r="A1409" s="1">
        <v>460</v>
      </c>
      <c r="B1409" t="s">
        <v>26</v>
      </c>
      <c r="C1409">
        <v>98</v>
      </c>
      <c r="D1409">
        <v>1</v>
      </c>
      <c r="E1409" t="s">
        <v>67</v>
      </c>
      <c r="F1409" t="s">
        <v>68</v>
      </c>
      <c r="G1409" t="str">
        <f>"2025-05-30 05:55:50.712"</f>
        <v>2025-05-30 05:55:50.712</v>
      </c>
      <c r="H1409" t="s">
        <v>21</v>
      </c>
      <c r="I1409">
        <v>13.23</v>
      </c>
      <c r="J1409" t="s">
        <v>31</v>
      </c>
    </row>
    <row r="1410" spans="1:10" x14ac:dyDescent="0.25">
      <c r="A1410" s="1">
        <v>461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"2025-05-30 05:24:37.751"</f>
        <v>2025-05-30 05:24:37.751</v>
      </c>
      <c r="H1410" t="s">
        <v>21</v>
      </c>
      <c r="I1410">
        <v>0</v>
      </c>
      <c r="J1410" t="s">
        <v>22</v>
      </c>
    </row>
    <row r="1411" spans="1:10" x14ac:dyDescent="0.25">
      <c r="A1411" s="1">
        <v>462</v>
      </c>
      <c r="B1411" t="s">
        <v>19</v>
      </c>
      <c r="C1411">
        <v>706</v>
      </c>
      <c r="D1411">
        <v>4</v>
      </c>
      <c r="E1411" t="s">
        <v>32</v>
      </c>
      <c r="F1411" t="s">
        <v>33</v>
      </c>
      <c r="G1411" t="str">
        <f>"2025-05-30 02:51:58.831"</f>
        <v>2025-05-30 02:51:58.831</v>
      </c>
      <c r="H1411" t="s">
        <v>21</v>
      </c>
      <c r="I1411">
        <v>0</v>
      </c>
      <c r="J1411" t="s">
        <v>34</v>
      </c>
    </row>
    <row r="1412" spans="1:10" x14ac:dyDescent="0.25">
      <c r="A1412" s="1">
        <v>463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"2025-05-30 02:47:49.831"</f>
        <v>2025-05-30 02:47:49.831</v>
      </c>
      <c r="H1412" t="s">
        <v>21</v>
      </c>
      <c r="I1412">
        <v>0</v>
      </c>
      <c r="J1412" t="s">
        <v>22</v>
      </c>
    </row>
    <row r="1413" spans="1:10" x14ac:dyDescent="0.25">
      <c r="A1413" s="1">
        <v>464</v>
      </c>
      <c r="B1413" t="s">
        <v>19</v>
      </c>
      <c r="C1413">
        <v>719</v>
      </c>
      <c r="D1413">
        <v>5</v>
      </c>
      <c r="E1413" t="s">
        <v>76</v>
      </c>
      <c r="F1413" t="s">
        <v>77</v>
      </c>
      <c r="G1413" t="str">
        <f>"2025-05-30 00:12:00.770"</f>
        <v>2025-05-30 00:12:00.770</v>
      </c>
      <c r="H1413" t="s">
        <v>21</v>
      </c>
      <c r="I1413">
        <v>0</v>
      </c>
      <c r="J1413" t="s">
        <v>34</v>
      </c>
    </row>
    <row r="1414" spans="1:10" x14ac:dyDescent="0.25">
      <c r="A1414" s="1">
        <v>465</v>
      </c>
      <c r="B1414" t="s">
        <v>39</v>
      </c>
      <c r="C1414">
        <v>630</v>
      </c>
      <c r="D1414">
        <v>5</v>
      </c>
      <c r="E1414" t="s">
        <v>36</v>
      </c>
      <c r="F1414" t="s">
        <v>37</v>
      </c>
      <c r="G1414" t="str">
        <f>"2025-05-30 00:03:32.063"</f>
        <v>2025-05-30 00:03:32.063</v>
      </c>
      <c r="H1414" t="s">
        <v>38</v>
      </c>
      <c r="I1414">
        <v>0</v>
      </c>
      <c r="J1414" t="s">
        <v>34</v>
      </c>
    </row>
    <row r="1415" spans="1:10" x14ac:dyDescent="0.25">
      <c r="A1415" s="1">
        <v>466</v>
      </c>
      <c r="B1415" t="s">
        <v>23</v>
      </c>
      <c r="C1415">
        <v>98</v>
      </c>
      <c r="D1415">
        <v>1</v>
      </c>
      <c r="E1415" t="s">
        <v>67</v>
      </c>
      <c r="F1415" t="s">
        <v>68</v>
      </c>
      <c r="G1415" t="str">
        <f>"2025-05-29 23:13:45.875"</f>
        <v>2025-05-29 23:13:45.875</v>
      </c>
      <c r="H1415" t="s">
        <v>21</v>
      </c>
    </row>
    <row r="1416" spans="1:10" x14ac:dyDescent="0.25">
      <c r="A1416" s="1">
        <v>467</v>
      </c>
      <c r="B1416" t="s">
        <v>26</v>
      </c>
      <c r="C1416">
        <v>98</v>
      </c>
      <c r="D1416">
        <v>1</v>
      </c>
      <c r="E1416" t="s">
        <v>67</v>
      </c>
      <c r="F1416" t="s">
        <v>68</v>
      </c>
      <c r="G1416" t="str">
        <f>"2025-05-29 23:13:44.875"</f>
        <v>2025-05-29 23:13:44.875</v>
      </c>
      <c r="H1416" t="s">
        <v>21</v>
      </c>
      <c r="I1416">
        <v>4.7300000000000004</v>
      </c>
      <c r="J1416" t="s">
        <v>27</v>
      </c>
    </row>
    <row r="1417" spans="1:10" x14ac:dyDescent="0.25">
      <c r="A1417" s="1">
        <v>468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"2025-05-29 20:11:47.094"</f>
        <v>2025-05-29 20:11:47.094</v>
      </c>
      <c r="H1417" t="s">
        <v>21</v>
      </c>
    </row>
    <row r="1418" spans="1:10" x14ac:dyDescent="0.25">
      <c r="A1418" s="1">
        <v>469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"2025-05-29 10:46:34.631"</f>
        <v>2025-05-29 10:46:34.631</v>
      </c>
      <c r="H1418" t="s">
        <v>21</v>
      </c>
      <c r="I1418">
        <v>0</v>
      </c>
      <c r="J1418" t="s">
        <v>22</v>
      </c>
    </row>
    <row r="1419" spans="1:10" x14ac:dyDescent="0.25">
      <c r="A1419" s="1">
        <v>470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"2025-05-29 08:09:19.640"</f>
        <v>2025-05-29 08:09:19.640</v>
      </c>
      <c r="H1419" t="s">
        <v>21</v>
      </c>
      <c r="I1419">
        <v>0</v>
      </c>
      <c r="J1419" t="s">
        <v>22</v>
      </c>
    </row>
    <row r="1420" spans="1:10" x14ac:dyDescent="0.25">
      <c r="A1420" s="1">
        <v>471</v>
      </c>
      <c r="B1420" t="s">
        <v>23</v>
      </c>
      <c r="C1420">
        <v>630</v>
      </c>
      <c r="D1420">
        <v>5</v>
      </c>
      <c r="E1420" t="s">
        <v>36</v>
      </c>
      <c r="F1420" t="s">
        <v>37</v>
      </c>
      <c r="G1420" t="str">
        <f>"2025-05-26 11:13:22.522"</f>
        <v>2025-05-26 11:13:22.522</v>
      </c>
      <c r="H1420" t="s">
        <v>38</v>
      </c>
    </row>
    <row r="1421" spans="1:10" x14ac:dyDescent="0.25">
      <c r="A1421" s="1">
        <v>472</v>
      </c>
      <c r="B1421" t="s">
        <v>19</v>
      </c>
      <c r="C1421">
        <v>706</v>
      </c>
      <c r="D1421">
        <v>4</v>
      </c>
      <c r="E1421" t="s">
        <v>32</v>
      </c>
      <c r="F1421" t="s">
        <v>33</v>
      </c>
      <c r="G1421" t="str">
        <f>"2025-05-26 11:12:52.434"</f>
        <v>2025-05-26 11:12:52.434</v>
      </c>
      <c r="H1421" t="s">
        <v>21</v>
      </c>
      <c r="I1421">
        <v>0</v>
      </c>
      <c r="J1421" t="s">
        <v>34</v>
      </c>
    </row>
    <row r="1422" spans="1:10" x14ac:dyDescent="0.25">
      <c r="A1422" s="1">
        <v>473</v>
      </c>
      <c r="B1422" t="s">
        <v>39</v>
      </c>
      <c r="C1422">
        <v>630</v>
      </c>
      <c r="D1422">
        <v>5</v>
      </c>
      <c r="E1422" t="s">
        <v>36</v>
      </c>
      <c r="F1422" t="s">
        <v>37</v>
      </c>
      <c r="G1422" t="str">
        <f>"2025-05-26 11:06:46.323"</f>
        <v>2025-05-26 11:06:46.323</v>
      </c>
      <c r="H1422" t="s">
        <v>38</v>
      </c>
      <c r="I1422">
        <v>0</v>
      </c>
      <c r="J1422" t="s">
        <v>34</v>
      </c>
    </row>
    <row r="1423" spans="1:10" x14ac:dyDescent="0.25">
      <c r="A1423" s="1">
        <v>474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"2025-05-24 21:21:28.864"</f>
        <v>2025-05-24 21:21:28.864</v>
      </c>
      <c r="H1423" t="s">
        <v>21</v>
      </c>
      <c r="I1423">
        <v>0</v>
      </c>
      <c r="J1423" t="s">
        <v>22</v>
      </c>
    </row>
    <row r="1424" spans="1:10" x14ac:dyDescent="0.25">
      <c r="A1424" s="1">
        <v>475</v>
      </c>
      <c r="B1424" t="s">
        <v>23</v>
      </c>
      <c r="C1424">
        <v>635</v>
      </c>
      <c r="D1424">
        <v>1</v>
      </c>
      <c r="E1424" t="s">
        <v>24</v>
      </c>
      <c r="F1424" t="s">
        <v>25</v>
      </c>
      <c r="G1424" t="str">
        <f>"2025-05-24 09:17:39.368"</f>
        <v>2025-05-24 09:17:39.368</v>
      </c>
      <c r="H1424" t="s">
        <v>21</v>
      </c>
    </row>
    <row r="1425" spans="1:10" x14ac:dyDescent="0.25">
      <c r="A1425" s="1">
        <v>476</v>
      </c>
      <c r="B1425" t="s">
        <v>26</v>
      </c>
      <c r="C1425">
        <v>635</v>
      </c>
      <c r="D1425">
        <v>1</v>
      </c>
      <c r="E1425" t="s">
        <v>24</v>
      </c>
      <c r="F1425" t="s">
        <v>25</v>
      </c>
      <c r="G1425" t="str">
        <f>"2025-05-24 09:13:27.368"</f>
        <v>2025-05-24 09:13:27.368</v>
      </c>
      <c r="H1425" t="s">
        <v>21</v>
      </c>
      <c r="I1425">
        <v>4.6100000000000003</v>
      </c>
      <c r="J1425" t="s">
        <v>27</v>
      </c>
    </row>
    <row r="1426" spans="1:10" x14ac:dyDescent="0.25">
      <c r="A1426" s="1">
        <v>477</v>
      </c>
      <c r="B1426" t="s">
        <v>23</v>
      </c>
      <c r="C1426">
        <v>635</v>
      </c>
      <c r="D1426">
        <v>1</v>
      </c>
      <c r="E1426" t="s">
        <v>24</v>
      </c>
      <c r="F1426" t="s">
        <v>25</v>
      </c>
      <c r="G1426" t="str">
        <f>"2025-05-23 11:17:11.668"</f>
        <v>2025-05-23 11:17:11.668</v>
      </c>
      <c r="H1426" t="s">
        <v>21</v>
      </c>
    </row>
    <row r="1427" spans="1:10" x14ac:dyDescent="0.25">
      <c r="A1427" s="1">
        <v>478</v>
      </c>
      <c r="B1427" t="s">
        <v>26</v>
      </c>
      <c r="C1427">
        <v>635</v>
      </c>
      <c r="D1427">
        <v>1</v>
      </c>
      <c r="E1427" t="s">
        <v>24</v>
      </c>
      <c r="F1427" t="s">
        <v>25</v>
      </c>
      <c r="G1427" t="str">
        <f>"2025-05-23 11:03:01.168"</f>
        <v>2025-05-23 11:03:01.168</v>
      </c>
      <c r="H1427" t="s">
        <v>21</v>
      </c>
      <c r="I1427">
        <v>3.57</v>
      </c>
      <c r="J1427" t="s">
        <v>27</v>
      </c>
    </row>
    <row r="1428" spans="1:10" x14ac:dyDescent="0.25">
      <c r="A1428" s="1">
        <v>479</v>
      </c>
      <c r="B1428" t="s">
        <v>19</v>
      </c>
      <c r="C1428">
        <v>706</v>
      </c>
      <c r="D1428">
        <v>4</v>
      </c>
      <c r="E1428" t="s">
        <v>32</v>
      </c>
      <c r="F1428" t="s">
        <v>33</v>
      </c>
      <c r="G1428" t="str">
        <f>"2025-05-22 02:53:59.641"</f>
        <v>2025-05-22 02:53:59.641</v>
      </c>
      <c r="H1428" t="s">
        <v>21</v>
      </c>
      <c r="I1428">
        <v>0</v>
      </c>
      <c r="J1428" t="s">
        <v>34</v>
      </c>
    </row>
    <row r="1429" spans="1:10" x14ac:dyDescent="0.25">
      <c r="A1429" s="1">
        <v>480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"2025-05-22 02:53:42.621"</f>
        <v>2025-05-22 02:53:42.621</v>
      </c>
      <c r="H1429" t="s">
        <v>21</v>
      </c>
      <c r="I1429">
        <v>0</v>
      </c>
      <c r="J1429" t="s">
        <v>22</v>
      </c>
    </row>
    <row r="1430" spans="1:10" s="3" customFormat="1" x14ac:dyDescent="0.25">
      <c r="A1430" s="2">
        <v>481</v>
      </c>
      <c r="B1430" s="3" t="s">
        <v>23</v>
      </c>
      <c r="C1430" s="3">
        <v>647</v>
      </c>
      <c r="D1430" s="3">
        <v>1</v>
      </c>
      <c r="E1430" s="3" t="s">
        <v>29</v>
      </c>
      <c r="F1430" s="3" t="s">
        <v>30</v>
      </c>
      <c r="G1430" s="3" t="str">
        <f>"2025-05-21 19:31:33.992"</f>
        <v>2025-05-21 19:31:33.992</v>
      </c>
      <c r="H1430" s="3" t="s">
        <v>21</v>
      </c>
    </row>
    <row r="1431" spans="1:10" s="3" customFormat="1" x14ac:dyDescent="0.25">
      <c r="A1431" s="2">
        <v>482</v>
      </c>
      <c r="B1431" s="3" t="s">
        <v>26</v>
      </c>
      <c r="C1431" s="3">
        <v>647</v>
      </c>
      <c r="D1431" s="3">
        <v>1</v>
      </c>
      <c r="E1431" s="3" t="s">
        <v>29</v>
      </c>
      <c r="F1431" s="3" t="s">
        <v>30</v>
      </c>
      <c r="G1431" s="3" t="str">
        <f>"2025-05-21 19:31:32.292"</f>
        <v>2025-05-21 19:31:32.292</v>
      </c>
      <c r="H1431" s="3" t="s">
        <v>21</v>
      </c>
      <c r="I1431" s="3">
        <v>26.82</v>
      </c>
      <c r="J1431" s="3" t="s">
        <v>31</v>
      </c>
    </row>
    <row r="1432" spans="1:10" x14ac:dyDescent="0.25">
      <c r="A1432" s="1">
        <v>483</v>
      </c>
      <c r="B1432" t="s">
        <v>23</v>
      </c>
      <c r="C1432">
        <v>635</v>
      </c>
      <c r="D1432">
        <v>1</v>
      </c>
      <c r="E1432" t="s">
        <v>24</v>
      </c>
      <c r="F1432" t="s">
        <v>25</v>
      </c>
      <c r="G1432" t="str">
        <f>"2025-05-20 23:29:44.744"</f>
        <v>2025-05-20 23:29:44.744</v>
      </c>
      <c r="H1432" t="s">
        <v>21</v>
      </c>
    </row>
    <row r="1433" spans="1:10" x14ac:dyDescent="0.25">
      <c r="A1433" s="1">
        <v>484</v>
      </c>
      <c r="B1433" t="s">
        <v>26</v>
      </c>
      <c r="C1433">
        <v>635</v>
      </c>
      <c r="D1433">
        <v>1</v>
      </c>
      <c r="E1433" t="s">
        <v>24</v>
      </c>
      <c r="F1433" t="s">
        <v>25</v>
      </c>
      <c r="G1433" t="str">
        <f>"2025-05-20 23:25:33.244"</f>
        <v>2025-05-20 23:25:33.244</v>
      </c>
      <c r="H1433" t="s">
        <v>21</v>
      </c>
      <c r="I1433">
        <v>6.08</v>
      </c>
      <c r="J1433" t="s">
        <v>27</v>
      </c>
    </row>
    <row r="1434" spans="1:10" x14ac:dyDescent="0.25">
      <c r="A1434" s="1">
        <v>485</v>
      </c>
      <c r="B1434" t="s">
        <v>23</v>
      </c>
      <c r="C1434">
        <v>635</v>
      </c>
      <c r="D1434">
        <v>1</v>
      </c>
      <c r="E1434" t="s">
        <v>24</v>
      </c>
      <c r="F1434" t="s">
        <v>25</v>
      </c>
      <c r="G1434" t="str">
        <f>"2025-05-20 23:16:01.244"</f>
        <v>2025-05-20 23:16:01.244</v>
      </c>
      <c r="H1434" t="s">
        <v>21</v>
      </c>
    </row>
    <row r="1435" spans="1:10" x14ac:dyDescent="0.25">
      <c r="A1435" s="1">
        <v>486</v>
      </c>
      <c r="B1435" t="s">
        <v>26</v>
      </c>
      <c r="C1435">
        <v>635</v>
      </c>
      <c r="D1435">
        <v>1</v>
      </c>
      <c r="E1435" t="s">
        <v>24</v>
      </c>
      <c r="F1435" t="s">
        <v>25</v>
      </c>
      <c r="G1435" t="str">
        <f>"2025-05-20 23:10:14.244"</f>
        <v>2025-05-20 23:10:14.244</v>
      </c>
      <c r="H1435" t="s">
        <v>21</v>
      </c>
      <c r="I1435">
        <v>5.09</v>
      </c>
      <c r="J1435" t="s">
        <v>27</v>
      </c>
    </row>
    <row r="1436" spans="1:10" x14ac:dyDescent="0.25">
      <c r="A1436" s="1">
        <v>490</v>
      </c>
      <c r="B1436" t="s">
        <v>23</v>
      </c>
      <c r="C1436">
        <v>635</v>
      </c>
      <c r="D1436">
        <v>1</v>
      </c>
      <c r="E1436" t="s">
        <v>24</v>
      </c>
      <c r="F1436" t="s">
        <v>25</v>
      </c>
      <c r="G1436" t="str">
        <f>"2025-05-20 08:27:07.651"</f>
        <v>2025-05-20 08:27:07.651</v>
      </c>
      <c r="H1436" t="s">
        <v>21</v>
      </c>
    </row>
    <row r="1437" spans="1:10" x14ac:dyDescent="0.25">
      <c r="A1437" s="1">
        <v>491</v>
      </c>
      <c r="B1437" t="s">
        <v>26</v>
      </c>
      <c r="C1437">
        <v>635</v>
      </c>
      <c r="D1437">
        <v>1</v>
      </c>
      <c r="E1437" t="s">
        <v>24</v>
      </c>
      <c r="F1437" t="s">
        <v>25</v>
      </c>
      <c r="G1437" t="str">
        <f>"2025-05-20 08:00:10.752"</f>
        <v>2025-05-20 08:00:10.752</v>
      </c>
      <c r="H1437" t="s">
        <v>21</v>
      </c>
      <c r="I1437">
        <v>7.7</v>
      </c>
      <c r="J1437" t="s">
        <v>27</v>
      </c>
    </row>
    <row r="1438" spans="1:10" x14ac:dyDescent="0.25">
      <c r="A1438" s="1">
        <v>492</v>
      </c>
      <c r="B1438" t="s">
        <v>23</v>
      </c>
      <c r="C1438">
        <v>635</v>
      </c>
      <c r="D1438">
        <v>1</v>
      </c>
      <c r="E1438" t="s">
        <v>24</v>
      </c>
      <c r="F1438" t="s">
        <v>25</v>
      </c>
      <c r="G1438" t="str">
        <f>"2025-05-19 22:42:21.652"</f>
        <v>2025-05-19 22:42:21.652</v>
      </c>
      <c r="H1438" t="s">
        <v>21</v>
      </c>
    </row>
    <row r="1439" spans="1:10" x14ac:dyDescent="0.25">
      <c r="A1439" s="1">
        <v>493</v>
      </c>
      <c r="B1439" t="s">
        <v>26</v>
      </c>
      <c r="C1439">
        <v>635</v>
      </c>
      <c r="D1439">
        <v>1</v>
      </c>
      <c r="E1439" t="s">
        <v>24</v>
      </c>
      <c r="F1439" t="s">
        <v>25</v>
      </c>
      <c r="G1439" t="str">
        <f>"2025-05-19 22:40:43.652"</f>
        <v>2025-05-19 22:40:43.652</v>
      </c>
      <c r="H1439" t="s">
        <v>21</v>
      </c>
      <c r="I1439">
        <v>7.07</v>
      </c>
      <c r="J1439" t="s">
        <v>27</v>
      </c>
    </row>
    <row r="1440" spans="1:10" x14ac:dyDescent="0.25">
      <c r="A1440" s="1">
        <v>494</v>
      </c>
      <c r="B1440" t="s">
        <v>23</v>
      </c>
      <c r="C1440">
        <v>630</v>
      </c>
      <c r="D1440">
        <v>5</v>
      </c>
      <c r="E1440" t="s">
        <v>36</v>
      </c>
      <c r="F1440" t="s">
        <v>37</v>
      </c>
      <c r="G1440" t="str">
        <f>"2025-05-19 13:23:11.452"</f>
        <v>2025-05-19 13:23:11.452</v>
      </c>
      <c r="H1440" t="s">
        <v>38</v>
      </c>
    </row>
    <row r="1441" spans="1:10" x14ac:dyDescent="0.25">
      <c r="A1441" s="1">
        <v>495</v>
      </c>
      <c r="B1441" t="s">
        <v>19</v>
      </c>
      <c r="C1441">
        <v>706</v>
      </c>
      <c r="D1441">
        <v>4</v>
      </c>
      <c r="E1441" t="s">
        <v>32</v>
      </c>
      <c r="F1441" t="s">
        <v>33</v>
      </c>
      <c r="G1441" t="str">
        <f>"2025-05-19 13:22:41.335"</f>
        <v>2025-05-19 13:22:41.335</v>
      </c>
      <c r="H1441" t="s">
        <v>21</v>
      </c>
      <c r="I1441">
        <v>0</v>
      </c>
      <c r="J1441" t="s">
        <v>34</v>
      </c>
    </row>
    <row r="1442" spans="1:10" x14ac:dyDescent="0.25">
      <c r="A1442" s="1">
        <v>496</v>
      </c>
      <c r="B1442" t="s">
        <v>39</v>
      </c>
      <c r="C1442">
        <v>630</v>
      </c>
      <c r="D1442">
        <v>5</v>
      </c>
      <c r="E1442" t="s">
        <v>36</v>
      </c>
      <c r="F1442" t="s">
        <v>37</v>
      </c>
      <c r="G1442" t="str">
        <f>"2025-05-19 13:00:07.353"</f>
        <v>2025-05-19 13:00:07.353</v>
      </c>
      <c r="H1442" t="s">
        <v>38</v>
      </c>
      <c r="I1442">
        <v>0</v>
      </c>
      <c r="J1442" t="s">
        <v>34</v>
      </c>
    </row>
    <row r="1443" spans="1:10" x14ac:dyDescent="0.25">
      <c r="A1443" s="1">
        <v>497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"2025-05-18 20:03:49.685"</f>
        <v>2025-05-18 20:03:49.685</v>
      </c>
      <c r="H1443" t="s">
        <v>21</v>
      </c>
    </row>
    <row r="1444" spans="1:10" x14ac:dyDescent="0.25">
      <c r="A1444" s="1">
        <v>500</v>
      </c>
      <c r="B1444" t="s">
        <v>19</v>
      </c>
      <c r="C1444">
        <v>782</v>
      </c>
      <c r="D1444">
        <v>7</v>
      </c>
      <c r="E1444" t="s">
        <v>69</v>
      </c>
      <c r="F1444" t="s">
        <v>70</v>
      </c>
      <c r="G1444" t="str">
        <f>"2025-05-18 11:53:00.718"</f>
        <v>2025-05-18 11:53:00.718</v>
      </c>
      <c r="H1444" t="s">
        <v>21</v>
      </c>
      <c r="I1444">
        <v>0</v>
      </c>
      <c r="J1444" t="s">
        <v>34</v>
      </c>
    </row>
    <row r="1445" spans="1:10" x14ac:dyDescent="0.25">
      <c r="A1445" s="1">
        <v>503</v>
      </c>
      <c r="B1445" t="s">
        <v>23</v>
      </c>
      <c r="C1445">
        <v>250</v>
      </c>
      <c r="D1445">
        <v>7</v>
      </c>
      <c r="E1445" t="s">
        <v>78</v>
      </c>
      <c r="F1445" t="s">
        <v>79</v>
      </c>
      <c r="G1445" t="str">
        <f>"2025-05-18 11:53:00.711"</f>
        <v>2025-05-18 11:53:00.711</v>
      </c>
      <c r="H1445" t="s">
        <v>21</v>
      </c>
    </row>
    <row r="1446" spans="1:10" x14ac:dyDescent="0.25">
      <c r="A1446" s="1">
        <v>504</v>
      </c>
      <c r="B1446" t="s">
        <v>23</v>
      </c>
      <c r="C1446">
        <v>248</v>
      </c>
      <c r="D1446">
        <v>7</v>
      </c>
      <c r="E1446" t="s">
        <v>80</v>
      </c>
      <c r="F1446" t="s">
        <v>81</v>
      </c>
      <c r="G1446" t="str">
        <f>"2025-05-18 11:53:00.709"</f>
        <v>2025-05-18 11:53:00.709</v>
      </c>
      <c r="H1446" t="s">
        <v>21</v>
      </c>
    </row>
    <row r="1447" spans="1:10" x14ac:dyDescent="0.25">
      <c r="A1447" s="1">
        <v>505</v>
      </c>
      <c r="B1447" t="s">
        <v>23</v>
      </c>
      <c r="C1447">
        <v>207</v>
      </c>
      <c r="D1447">
        <v>2</v>
      </c>
      <c r="E1447" t="s">
        <v>82</v>
      </c>
      <c r="F1447" t="s">
        <v>83</v>
      </c>
      <c r="G1447" t="str">
        <f>"2025-05-18 11:53:00.707"</f>
        <v>2025-05-18 11:53:00.707</v>
      </c>
      <c r="H1447" t="s">
        <v>64</v>
      </c>
    </row>
    <row r="1448" spans="1:10" x14ac:dyDescent="0.25">
      <c r="A1448" s="1">
        <v>506</v>
      </c>
      <c r="B1448" t="s">
        <v>23</v>
      </c>
      <c r="C1448">
        <v>207</v>
      </c>
      <c r="D1448">
        <v>1</v>
      </c>
      <c r="E1448" t="s">
        <v>82</v>
      </c>
      <c r="F1448" t="s">
        <v>84</v>
      </c>
      <c r="G1448" t="str">
        <f>"2025-05-18 11:53:00.706"</f>
        <v>2025-05-18 11:53:00.706</v>
      </c>
      <c r="H1448" t="s">
        <v>64</v>
      </c>
    </row>
    <row r="1449" spans="1:10" x14ac:dyDescent="0.25">
      <c r="A1449" s="1">
        <v>507</v>
      </c>
      <c r="B1449" t="s">
        <v>23</v>
      </c>
      <c r="C1449">
        <v>107</v>
      </c>
      <c r="D1449">
        <v>2</v>
      </c>
      <c r="E1449" t="s">
        <v>85</v>
      </c>
      <c r="F1449" t="s">
        <v>83</v>
      </c>
      <c r="G1449" t="str">
        <f>"2025-05-18 11:53:00.703"</f>
        <v>2025-05-18 11:53:00.703</v>
      </c>
      <c r="H1449" t="s">
        <v>49</v>
      </c>
    </row>
    <row r="1450" spans="1:10" x14ac:dyDescent="0.25">
      <c r="A1450" s="1">
        <v>508</v>
      </c>
      <c r="B1450" t="s">
        <v>23</v>
      </c>
      <c r="C1450">
        <v>107</v>
      </c>
      <c r="D1450">
        <v>1</v>
      </c>
      <c r="E1450" t="s">
        <v>85</v>
      </c>
      <c r="F1450" t="s">
        <v>84</v>
      </c>
      <c r="G1450" t="str">
        <f>"2025-05-18 11:53:00.699"</f>
        <v>2025-05-18 11:53:00.699</v>
      </c>
      <c r="H1450" t="s">
        <v>49</v>
      </c>
    </row>
    <row r="1451" spans="1:10" x14ac:dyDescent="0.25">
      <c r="A1451" s="1">
        <v>509</v>
      </c>
      <c r="B1451" t="s">
        <v>19</v>
      </c>
      <c r="C1451">
        <v>782</v>
      </c>
      <c r="D1451">
        <v>7</v>
      </c>
      <c r="E1451" t="s">
        <v>69</v>
      </c>
      <c r="F1451" t="s">
        <v>70</v>
      </c>
      <c r="G1451" t="str">
        <f>"2025-05-18 11:53:00.698"</f>
        <v>2025-05-18 11:53:00.698</v>
      </c>
      <c r="H1451" t="s">
        <v>21</v>
      </c>
      <c r="I1451">
        <v>0</v>
      </c>
      <c r="J1451" t="s">
        <v>34</v>
      </c>
    </row>
    <row r="1452" spans="1:10" x14ac:dyDescent="0.25">
      <c r="A1452" s="1">
        <v>510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"2025-05-18 11:51:52.618"</f>
        <v>2025-05-18 11:51:52.618</v>
      </c>
      <c r="H1452" t="s">
        <v>21</v>
      </c>
    </row>
    <row r="1453" spans="1:10" x14ac:dyDescent="0.25">
      <c r="A1453" s="1">
        <v>511</v>
      </c>
      <c r="B1453" t="s">
        <v>26</v>
      </c>
      <c r="C1453">
        <v>248</v>
      </c>
      <c r="D1453">
        <v>7</v>
      </c>
      <c r="E1453" t="s">
        <v>80</v>
      </c>
      <c r="F1453" t="s">
        <v>81</v>
      </c>
      <c r="G1453" t="str">
        <f>"2025-05-18 11:38:59.125"</f>
        <v>2025-05-18 11:38:59.125</v>
      </c>
      <c r="H1453" t="s">
        <v>21</v>
      </c>
      <c r="I1453">
        <v>0</v>
      </c>
      <c r="J1453" t="s">
        <v>34</v>
      </c>
    </row>
    <row r="1454" spans="1:10" x14ac:dyDescent="0.25">
      <c r="A1454" s="1">
        <v>512</v>
      </c>
      <c r="B1454" t="s">
        <v>26</v>
      </c>
      <c r="C1454">
        <v>250</v>
      </c>
      <c r="D1454">
        <v>7</v>
      </c>
      <c r="E1454" t="s">
        <v>78</v>
      </c>
      <c r="F1454" t="s">
        <v>79</v>
      </c>
      <c r="G1454" t="str">
        <f>"2025-05-18 11:38:59.120"</f>
        <v>2025-05-18 11:38:59.120</v>
      </c>
      <c r="H1454" t="s">
        <v>21</v>
      </c>
      <c r="I1454">
        <v>0</v>
      </c>
      <c r="J1454" t="s">
        <v>34</v>
      </c>
    </row>
    <row r="1455" spans="1:10" x14ac:dyDescent="0.25">
      <c r="A1455" s="1">
        <v>513</v>
      </c>
      <c r="B1455" t="s">
        <v>43</v>
      </c>
      <c r="C1455">
        <v>250</v>
      </c>
      <c r="D1455">
        <v>7</v>
      </c>
      <c r="E1455" t="s">
        <v>78</v>
      </c>
      <c r="F1455" t="s">
        <v>79</v>
      </c>
      <c r="G1455" t="str">
        <f>"2025-05-18 11:38:58.679"</f>
        <v>2025-05-18 11:38:58.679</v>
      </c>
      <c r="H1455" t="s">
        <v>21</v>
      </c>
    </row>
    <row r="1456" spans="1:10" x14ac:dyDescent="0.25">
      <c r="A1456" s="1">
        <v>514</v>
      </c>
      <c r="B1456" t="s">
        <v>43</v>
      </c>
      <c r="C1456">
        <v>248</v>
      </c>
      <c r="D1456">
        <v>7</v>
      </c>
      <c r="E1456" t="s">
        <v>80</v>
      </c>
      <c r="F1456" t="s">
        <v>81</v>
      </c>
      <c r="G1456" t="str">
        <f>"2025-05-18 11:38:58.579"</f>
        <v>2025-05-18 11:38:58.579</v>
      </c>
      <c r="H1456" t="s">
        <v>21</v>
      </c>
    </row>
    <row r="1457" spans="1:10" x14ac:dyDescent="0.25">
      <c r="A1457" s="1">
        <v>515</v>
      </c>
      <c r="B1457" t="s">
        <v>43</v>
      </c>
      <c r="C1457">
        <v>77</v>
      </c>
      <c r="D1457">
        <v>1</v>
      </c>
      <c r="E1457" t="s">
        <v>86</v>
      </c>
      <c r="F1457" t="s">
        <v>87</v>
      </c>
      <c r="G1457" t="str">
        <f>"2025-05-18 11:38:57.179"</f>
        <v>2025-05-18 11:38:57.179</v>
      </c>
      <c r="H1457" t="s">
        <v>73</v>
      </c>
    </row>
    <row r="1458" spans="1:10" x14ac:dyDescent="0.25">
      <c r="A1458" s="1">
        <v>516</v>
      </c>
      <c r="B1458" t="s">
        <v>39</v>
      </c>
      <c r="C1458">
        <v>248</v>
      </c>
      <c r="D1458">
        <v>7</v>
      </c>
      <c r="E1458" t="s">
        <v>80</v>
      </c>
      <c r="F1458" t="s">
        <v>81</v>
      </c>
      <c r="G1458" t="str">
        <f>"2025-05-18 11:38:53.505"</f>
        <v>2025-05-18 11:38:53.505</v>
      </c>
      <c r="H1458" t="s">
        <v>21</v>
      </c>
      <c r="I1458">
        <v>0</v>
      </c>
      <c r="J1458" t="s">
        <v>34</v>
      </c>
    </row>
    <row r="1459" spans="1:10" x14ac:dyDescent="0.25">
      <c r="A1459" s="1">
        <v>517</v>
      </c>
      <c r="B1459" t="s">
        <v>39</v>
      </c>
      <c r="C1459">
        <v>250</v>
      </c>
      <c r="D1459">
        <v>7</v>
      </c>
      <c r="E1459" t="s">
        <v>78</v>
      </c>
      <c r="F1459" t="s">
        <v>79</v>
      </c>
      <c r="G1459" t="str">
        <f>"2025-05-18 11:38:53.500"</f>
        <v>2025-05-18 11:38:53.500</v>
      </c>
      <c r="H1459" t="s">
        <v>21</v>
      </c>
      <c r="I1459">
        <v>0</v>
      </c>
      <c r="J1459" t="s">
        <v>34</v>
      </c>
    </row>
    <row r="1460" spans="1:10" x14ac:dyDescent="0.25">
      <c r="A1460" s="1">
        <v>518</v>
      </c>
      <c r="B1460" t="s">
        <v>26</v>
      </c>
      <c r="C1460">
        <v>207</v>
      </c>
      <c r="D1460">
        <v>2</v>
      </c>
      <c r="E1460" t="s">
        <v>82</v>
      </c>
      <c r="F1460" t="s">
        <v>83</v>
      </c>
      <c r="G1460" t="str">
        <f>"2025-05-18 11:38:53.360"</f>
        <v>2025-05-18 11:38:53.360</v>
      </c>
      <c r="H1460" t="s">
        <v>64</v>
      </c>
      <c r="I1460">
        <v>0</v>
      </c>
      <c r="J1460" t="s">
        <v>34</v>
      </c>
    </row>
    <row r="1461" spans="1:10" x14ac:dyDescent="0.25">
      <c r="A1461" s="1">
        <v>519</v>
      </c>
      <c r="B1461" t="s">
        <v>26</v>
      </c>
      <c r="C1461">
        <v>107</v>
      </c>
      <c r="D1461">
        <v>2</v>
      </c>
      <c r="E1461" t="s">
        <v>85</v>
      </c>
      <c r="F1461" t="s">
        <v>83</v>
      </c>
      <c r="G1461" t="str">
        <f>"2025-05-18 11:38:53.340"</f>
        <v>2025-05-18 11:38:53.340</v>
      </c>
      <c r="H1461" t="s">
        <v>49</v>
      </c>
      <c r="I1461">
        <v>0</v>
      </c>
      <c r="J1461" t="s">
        <v>34</v>
      </c>
    </row>
    <row r="1462" spans="1:10" x14ac:dyDescent="0.25">
      <c r="A1462" s="1">
        <v>520</v>
      </c>
      <c r="B1462" t="s">
        <v>26</v>
      </c>
      <c r="C1462">
        <v>207</v>
      </c>
      <c r="D1462">
        <v>1</v>
      </c>
      <c r="E1462" t="s">
        <v>82</v>
      </c>
      <c r="F1462" t="s">
        <v>84</v>
      </c>
      <c r="G1462" t="str">
        <f>"2025-05-18 11:38:52.240"</f>
        <v>2025-05-18 11:38:52.240</v>
      </c>
      <c r="H1462" t="s">
        <v>64</v>
      </c>
      <c r="I1462">
        <v>0</v>
      </c>
      <c r="J1462" t="s">
        <v>34</v>
      </c>
    </row>
    <row r="1463" spans="1:10" x14ac:dyDescent="0.25">
      <c r="A1463" s="1">
        <v>521</v>
      </c>
      <c r="B1463" t="s">
        <v>26</v>
      </c>
      <c r="C1463">
        <v>107</v>
      </c>
      <c r="D1463">
        <v>1</v>
      </c>
      <c r="E1463" t="s">
        <v>85</v>
      </c>
      <c r="F1463" t="s">
        <v>84</v>
      </c>
      <c r="G1463" t="str">
        <f>"2025-05-18 11:38:52.220"</f>
        <v>2025-05-18 11:38:52.220</v>
      </c>
      <c r="H1463" t="s">
        <v>49</v>
      </c>
      <c r="I1463">
        <v>0</v>
      </c>
      <c r="J1463" t="s">
        <v>34</v>
      </c>
    </row>
    <row r="1464" spans="1:10" x14ac:dyDescent="0.25">
      <c r="A1464" s="1">
        <v>522</v>
      </c>
      <c r="B1464" t="s">
        <v>39</v>
      </c>
      <c r="C1464">
        <v>77</v>
      </c>
      <c r="D1464">
        <v>1</v>
      </c>
      <c r="E1464" t="s">
        <v>86</v>
      </c>
      <c r="F1464" t="s">
        <v>87</v>
      </c>
      <c r="G1464" t="str">
        <f>"2025-05-18 11:38:51.985"</f>
        <v>2025-05-18 11:38:51.985</v>
      </c>
      <c r="H1464" t="s">
        <v>73</v>
      </c>
      <c r="I1464">
        <v>0</v>
      </c>
      <c r="J1464" t="s">
        <v>34</v>
      </c>
    </row>
    <row r="1465" spans="1:10" x14ac:dyDescent="0.25">
      <c r="A1465" s="1">
        <v>523</v>
      </c>
      <c r="B1465" t="s">
        <v>19</v>
      </c>
      <c r="C1465">
        <v>706</v>
      </c>
      <c r="D1465">
        <v>4</v>
      </c>
      <c r="E1465" t="s">
        <v>32</v>
      </c>
      <c r="F1465" t="s">
        <v>33</v>
      </c>
      <c r="G1465" t="str">
        <f>"2025-05-18 11:38:44.443"</f>
        <v>2025-05-18 11:38:44.443</v>
      </c>
      <c r="H1465" t="s">
        <v>21</v>
      </c>
      <c r="I1465">
        <v>0</v>
      </c>
      <c r="J1465" t="s">
        <v>34</v>
      </c>
    </row>
    <row r="1466" spans="1:10" x14ac:dyDescent="0.25">
      <c r="A1466" s="1">
        <v>524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"2025-05-18 11:38:15.603"</f>
        <v>2025-05-18 11:38:15.603</v>
      </c>
      <c r="H1466" t="s">
        <v>21</v>
      </c>
    </row>
    <row r="1467" spans="1:10" x14ac:dyDescent="0.25">
      <c r="A1467" s="1">
        <v>525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"2025-05-18 11:27:12.626"</f>
        <v>2025-05-18 11:27:12.626</v>
      </c>
      <c r="H1467" t="s">
        <v>21</v>
      </c>
      <c r="I1467">
        <v>0</v>
      </c>
      <c r="J1467" t="s">
        <v>22</v>
      </c>
    </row>
    <row r="1468" spans="1:10" x14ac:dyDescent="0.25">
      <c r="A1468" s="1">
        <v>526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"2025-05-15 17:27:35.594"</f>
        <v>2025-05-15 17:27:35.594</v>
      </c>
      <c r="H1468" t="s">
        <v>21</v>
      </c>
      <c r="I1468">
        <v>0</v>
      </c>
      <c r="J1468" t="s">
        <v>22</v>
      </c>
    </row>
    <row r="1469" spans="1:10" s="3" customFormat="1" x14ac:dyDescent="0.25">
      <c r="A1469" s="2">
        <v>527</v>
      </c>
      <c r="B1469" s="3" t="s">
        <v>23</v>
      </c>
      <c r="C1469" s="3">
        <v>647</v>
      </c>
      <c r="D1469" s="3">
        <v>1</v>
      </c>
      <c r="E1469" s="3" t="s">
        <v>29</v>
      </c>
      <c r="F1469" s="3" t="s">
        <v>30</v>
      </c>
      <c r="G1469" s="3" t="str">
        <f>"2025-05-15 09:35:23.036"</f>
        <v>2025-05-15 09:35:23.036</v>
      </c>
      <c r="H1469" s="3" t="s">
        <v>21</v>
      </c>
    </row>
    <row r="1470" spans="1:10" s="3" customFormat="1" x14ac:dyDescent="0.25">
      <c r="A1470" s="2">
        <v>528</v>
      </c>
      <c r="B1470" s="3" t="s">
        <v>26</v>
      </c>
      <c r="C1470" s="3">
        <v>647</v>
      </c>
      <c r="D1470" s="3">
        <v>1</v>
      </c>
      <c r="E1470" s="3" t="s">
        <v>29</v>
      </c>
      <c r="F1470" s="3" t="s">
        <v>30</v>
      </c>
      <c r="G1470" s="3" t="str">
        <f>"2025-05-15 09:35:20.536"</f>
        <v>2025-05-15 09:35:20.536</v>
      </c>
      <c r="H1470" s="3" t="s">
        <v>21</v>
      </c>
      <c r="I1470" s="3">
        <v>10.7</v>
      </c>
      <c r="J1470" s="3" t="s">
        <v>28</v>
      </c>
    </row>
    <row r="1471" spans="1:10" x14ac:dyDescent="0.25">
      <c r="A1471" s="1">
        <v>529</v>
      </c>
      <c r="B1471" t="s">
        <v>23</v>
      </c>
      <c r="C1471">
        <v>635</v>
      </c>
      <c r="D1471">
        <v>1</v>
      </c>
      <c r="E1471" t="s">
        <v>24</v>
      </c>
      <c r="F1471" t="s">
        <v>25</v>
      </c>
      <c r="G1471" t="str">
        <f>"2025-05-15 05:18:18.782"</f>
        <v>2025-05-15 05:18:18.782</v>
      </c>
      <c r="H1471" t="s">
        <v>21</v>
      </c>
    </row>
    <row r="1472" spans="1:10" x14ac:dyDescent="0.25">
      <c r="A1472" s="1">
        <v>530</v>
      </c>
      <c r="B1472" t="s">
        <v>26</v>
      </c>
      <c r="C1472">
        <v>635</v>
      </c>
      <c r="D1472">
        <v>1</v>
      </c>
      <c r="E1472" t="s">
        <v>24</v>
      </c>
      <c r="F1472" t="s">
        <v>25</v>
      </c>
      <c r="G1472" t="str">
        <f>"2025-05-15 04:44:45.282"</f>
        <v>2025-05-15 04:44:45.282</v>
      </c>
      <c r="H1472" t="s">
        <v>21</v>
      </c>
      <c r="I1472">
        <v>6.81</v>
      </c>
      <c r="J1472" t="s">
        <v>27</v>
      </c>
    </row>
    <row r="1473" spans="1:10" x14ac:dyDescent="0.25">
      <c r="A1473" s="1">
        <v>531</v>
      </c>
      <c r="B1473" t="s">
        <v>23</v>
      </c>
      <c r="C1473">
        <v>635</v>
      </c>
      <c r="D1473">
        <v>1</v>
      </c>
      <c r="E1473" t="s">
        <v>24</v>
      </c>
      <c r="F1473" t="s">
        <v>25</v>
      </c>
      <c r="G1473" t="str">
        <f>"2025-05-14 22:03:48.382"</f>
        <v>2025-05-14 22:03:48.382</v>
      </c>
      <c r="H1473" t="s">
        <v>21</v>
      </c>
    </row>
    <row r="1474" spans="1:10" x14ac:dyDescent="0.25">
      <c r="A1474" s="1">
        <v>532</v>
      </c>
      <c r="B1474" t="s">
        <v>26</v>
      </c>
      <c r="C1474">
        <v>635</v>
      </c>
      <c r="D1474">
        <v>1</v>
      </c>
      <c r="E1474" t="s">
        <v>24</v>
      </c>
      <c r="F1474" t="s">
        <v>25</v>
      </c>
      <c r="G1474" t="str">
        <f>"2025-05-14 21:57:16.382"</f>
        <v>2025-05-14 21:57:16.382</v>
      </c>
      <c r="H1474" t="s">
        <v>21</v>
      </c>
      <c r="I1474">
        <v>1.62</v>
      </c>
      <c r="J1474" t="s">
        <v>27</v>
      </c>
    </row>
    <row r="1475" spans="1:10" x14ac:dyDescent="0.25">
      <c r="A1475" s="1">
        <v>533</v>
      </c>
      <c r="B1475" t="s">
        <v>23</v>
      </c>
      <c r="C1475">
        <v>635</v>
      </c>
      <c r="D1475">
        <v>1</v>
      </c>
      <c r="E1475" t="s">
        <v>24</v>
      </c>
      <c r="F1475" t="s">
        <v>25</v>
      </c>
      <c r="G1475" t="str">
        <f>"2025-05-13 19:08:32.282"</f>
        <v>2025-05-13 19:08:32.282</v>
      </c>
      <c r="H1475" t="s">
        <v>21</v>
      </c>
    </row>
    <row r="1476" spans="1:10" x14ac:dyDescent="0.25">
      <c r="A1476" s="1">
        <v>534</v>
      </c>
      <c r="B1476" t="s">
        <v>26</v>
      </c>
      <c r="C1476">
        <v>635</v>
      </c>
      <c r="D1476">
        <v>1</v>
      </c>
      <c r="E1476" t="s">
        <v>24</v>
      </c>
      <c r="F1476" t="s">
        <v>25</v>
      </c>
      <c r="G1476" t="str">
        <f>"2025-05-13 19:02:18.282"</f>
        <v>2025-05-13 19:02:18.282</v>
      </c>
      <c r="H1476" t="s">
        <v>21</v>
      </c>
      <c r="I1476">
        <v>3.48</v>
      </c>
      <c r="J1476" t="s">
        <v>27</v>
      </c>
    </row>
    <row r="1477" spans="1:10" x14ac:dyDescent="0.25">
      <c r="A1477" s="1">
        <v>535</v>
      </c>
      <c r="B1477" t="s">
        <v>23</v>
      </c>
      <c r="C1477">
        <v>630</v>
      </c>
      <c r="D1477">
        <v>5</v>
      </c>
      <c r="E1477" t="s">
        <v>36</v>
      </c>
      <c r="F1477" t="s">
        <v>37</v>
      </c>
      <c r="G1477" t="str">
        <f>"2025-05-12 20:12:11.836"</f>
        <v>2025-05-12 20:12:11.836</v>
      </c>
      <c r="H1477" t="s">
        <v>38</v>
      </c>
    </row>
    <row r="1478" spans="1:10" x14ac:dyDescent="0.25">
      <c r="A1478" s="1">
        <v>536</v>
      </c>
      <c r="B1478" t="s">
        <v>19</v>
      </c>
      <c r="C1478">
        <v>706</v>
      </c>
      <c r="D1478">
        <v>2</v>
      </c>
      <c r="E1478" t="s">
        <v>32</v>
      </c>
      <c r="F1478" t="s">
        <v>35</v>
      </c>
      <c r="G1478" t="str">
        <f>"2025-05-12 20:11:41.671"</f>
        <v>2025-05-12 20:11:41.671</v>
      </c>
      <c r="H1478" t="s">
        <v>21</v>
      </c>
      <c r="I1478">
        <v>0</v>
      </c>
      <c r="J1478" t="s">
        <v>34</v>
      </c>
    </row>
    <row r="1479" spans="1:10" x14ac:dyDescent="0.25">
      <c r="A1479" s="1">
        <v>537</v>
      </c>
      <c r="B1479" t="s">
        <v>39</v>
      </c>
      <c r="C1479">
        <v>630</v>
      </c>
      <c r="D1479">
        <v>5</v>
      </c>
      <c r="E1479" t="s">
        <v>36</v>
      </c>
      <c r="F1479" t="s">
        <v>37</v>
      </c>
      <c r="G1479" t="str">
        <f>"2025-05-12 20:07:59.436"</f>
        <v>2025-05-12 20:07:59.436</v>
      </c>
      <c r="H1479" t="s">
        <v>38</v>
      </c>
      <c r="I1479">
        <v>0</v>
      </c>
      <c r="J1479" t="s">
        <v>34</v>
      </c>
    </row>
    <row r="1480" spans="1:10" x14ac:dyDescent="0.25">
      <c r="A1480" s="1">
        <v>538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"2025-05-12 20:02:56.641"</f>
        <v>2025-05-12 20:02:56.641</v>
      </c>
      <c r="H1480" t="s">
        <v>21</v>
      </c>
    </row>
    <row r="1481" spans="1:10" s="3" customFormat="1" x14ac:dyDescent="0.25">
      <c r="A1481" s="2">
        <v>539</v>
      </c>
      <c r="B1481" s="3" t="s">
        <v>23</v>
      </c>
      <c r="C1481" s="3">
        <v>647</v>
      </c>
      <c r="D1481" s="3">
        <v>1</v>
      </c>
      <c r="E1481" s="3" t="s">
        <v>29</v>
      </c>
      <c r="F1481" s="3" t="s">
        <v>30</v>
      </c>
      <c r="G1481" s="3" t="str">
        <f>"2025-05-10 23:46:26.889"</f>
        <v>2025-05-10 23:46:26.889</v>
      </c>
      <c r="H1481" s="3" t="s">
        <v>21</v>
      </c>
    </row>
    <row r="1482" spans="1:10" s="3" customFormat="1" x14ac:dyDescent="0.25">
      <c r="A1482" s="2">
        <v>540</v>
      </c>
      <c r="B1482" s="3" t="s">
        <v>26</v>
      </c>
      <c r="C1482" s="3">
        <v>647</v>
      </c>
      <c r="D1482" s="3">
        <v>1</v>
      </c>
      <c r="E1482" s="3" t="s">
        <v>29</v>
      </c>
      <c r="F1482" s="3" t="s">
        <v>30</v>
      </c>
      <c r="G1482" s="3" t="str">
        <f>"2025-05-10 23:46:25.189"</f>
        <v>2025-05-10 23:46:25.189</v>
      </c>
      <c r="H1482" s="3" t="s">
        <v>21</v>
      </c>
      <c r="I1482" s="3">
        <v>17.760000000000002</v>
      </c>
      <c r="J1482" s="3" t="s">
        <v>31</v>
      </c>
    </row>
    <row r="1483" spans="1:10" s="3" customFormat="1" x14ac:dyDescent="0.25">
      <c r="A1483" s="2">
        <v>541</v>
      </c>
      <c r="B1483" s="3" t="s">
        <v>23</v>
      </c>
      <c r="C1483" s="3">
        <v>647</v>
      </c>
      <c r="D1483" s="3">
        <v>1</v>
      </c>
      <c r="E1483" s="3" t="s">
        <v>29</v>
      </c>
      <c r="F1483" s="3" t="s">
        <v>30</v>
      </c>
      <c r="G1483" s="3" t="str">
        <f>"2025-05-10 01:48:21.589"</f>
        <v>2025-05-10 01:48:21.589</v>
      </c>
      <c r="H1483" s="3" t="s">
        <v>21</v>
      </c>
    </row>
    <row r="1484" spans="1:10" s="3" customFormat="1" x14ac:dyDescent="0.25">
      <c r="A1484" s="2">
        <v>542</v>
      </c>
      <c r="B1484" s="3" t="s">
        <v>26</v>
      </c>
      <c r="C1484" s="3">
        <v>647</v>
      </c>
      <c r="D1484" s="3">
        <v>1</v>
      </c>
      <c r="E1484" s="3" t="s">
        <v>29</v>
      </c>
      <c r="F1484" s="3" t="s">
        <v>30</v>
      </c>
      <c r="G1484" s="3" t="str">
        <f>"2025-05-10 01:48:20.289"</f>
        <v>2025-05-10 01:48:20.289</v>
      </c>
      <c r="H1484" s="3" t="s">
        <v>21</v>
      </c>
      <c r="I1484" s="3">
        <v>19.63</v>
      </c>
      <c r="J1484" s="3" t="s">
        <v>31</v>
      </c>
    </row>
    <row r="1485" spans="1:10" s="3" customFormat="1" x14ac:dyDescent="0.25">
      <c r="A1485" s="2">
        <v>543</v>
      </c>
      <c r="B1485" s="3" t="s">
        <v>23</v>
      </c>
      <c r="C1485" s="3">
        <v>647</v>
      </c>
      <c r="D1485" s="3">
        <v>1</v>
      </c>
      <c r="E1485" s="3" t="s">
        <v>29</v>
      </c>
      <c r="F1485" s="3" t="s">
        <v>30</v>
      </c>
      <c r="G1485" s="3" t="str">
        <f>"2025-05-10 00:14:03.089"</f>
        <v>2025-05-10 00:14:03.089</v>
      </c>
      <c r="H1485" s="3" t="s">
        <v>21</v>
      </c>
    </row>
    <row r="1486" spans="1:10" s="3" customFormat="1" x14ac:dyDescent="0.25">
      <c r="A1486" s="2">
        <v>544</v>
      </c>
      <c r="B1486" s="3" t="s">
        <v>26</v>
      </c>
      <c r="C1486" s="3">
        <v>647</v>
      </c>
      <c r="D1486" s="3">
        <v>1</v>
      </c>
      <c r="E1486" s="3" t="s">
        <v>29</v>
      </c>
      <c r="F1486" s="3" t="s">
        <v>30</v>
      </c>
      <c r="G1486" s="3" t="str">
        <f>"2025-05-10 00:14:01.189"</f>
        <v>2025-05-10 00:14:01.189</v>
      </c>
      <c r="H1486" s="3" t="s">
        <v>21</v>
      </c>
      <c r="I1486" s="3">
        <v>18.89</v>
      </c>
      <c r="J1486" s="3" t="s">
        <v>31</v>
      </c>
    </row>
    <row r="1487" spans="1:10" x14ac:dyDescent="0.25">
      <c r="A1487" s="1">
        <v>545</v>
      </c>
      <c r="B1487" t="s">
        <v>23</v>
      </c>
      <c r="C1487">
        <v>635</v>
      </c>
      <c r="D1487">
        <v>1</v>
      </c>
      <c r="E1487" t="s">
        <v>24</v>
      </c>
      <c r="F1487" t="s">
        <v>25</v>
      </c>
      <c r="G1487" t="str">
        <f>"2025-05-08 20:07:50.689"</f>
        <v>2025-05-08 20:07:50.689</v>
      </c>
      <c r="H1487" t="s">
        <v>21</v>
      </c>
    </row>
    <row r="1488" spans="1:10" x14ac:dyDescent="0.25">
      <c r="A1488" s="1">
        <v>546</v>
      </c>
      <c r="B1488" t="s">
        <v>26</v>
      </c>
      <c r="C1488">
        <v>635</v>
      </c>
      <c r="D1488">
        <v>1</v>
      </c>
      <c r="E1488" t="s">
        <v>24</v>
      </c>
      <c r="F1488" t="s">
        <v>25</v>
      </c>
      <c r="G1488" t="str">
        <f>"2025-05-08 20:04:26.789"</f>
        <v>2025-05-08 20:04:26.789</v>
      </c>
      <c r="H1488" t="s">
        <v>21</v>
      </c>
      <c r="I1488">
        <v>2.67</v>
      </c>
      <c r="J1488" t="s">
        <v>31</v>
      </c>
    </row>
    <row r="1489" spans="1:10" x14ac:dyDescent="0.25">
      <c r="A1489" s="1">
        <v>548</v>
      </c>
      <c r="B1489" t="s">
        <v>23</v>
      </c>
      <c r="C1489">
        <v>635</v>
      </c>
      <c r="D1489">
        <v>1</v>
      </c>
      <c r="E1489" t="s">
        <v>24</v>
      </c>
      <c r="F1489" t="s">
        <v>25</v>
      </c>
      <c r="G1489" t="str">
        <f>"2025-05-08 04:59:39.089"</f>
        <v>2025-05-08 04:59:39.089</v>
      </c>
      <c r="H1489" t="s">
        <v>21</v>
      </c>
    </row>
    <row r="1490" spans="1:10" x14ac:dyDescent="0.25">
      <c r="A1490" s="1">
        <v>549</v>
      </c>
      <c r="B1490" t="s">
        <v>26</v>
      </c>
      <c r="C1490">
        <v>635</v>
      </c>
      <c r="D1490">
        <v>1</v>
      </c>
      <c r="E1490" t="s">
        <v>24</v>
      </c>
      <c r="F1490" t="s">
        <v>25</v>
      </c>
      <c r="G1490" t="str">
        <f>"2025-05-08 04:54:16.089"</f>
        <v>2025-05-08 04:54:16.089</v>
      </c>
      <c r="H1490" t="s">
        <v>21</v>
      </c>
      <c r="I1490">
        <v>2.89</v>
      </c>
      <c r="J1490" t="s">
        <v>27</v>
      </c>
    </row>
    <row r="1491" spans="1:10" x14ac:dyDescent="0.25">
      <c r="A1491" s="1">
        <v>550</v>
      </c>
      <c r="B1491" t="s">
        <v>23</v>
      </c>
      <c r="C1491">
        <v>635</v>
      </c>
      <c r="D1491">
        <v>1</v>
      </c>
      <c r="E1491" t="s">
        <v>24</v>
      </c>
      <c r="F1491" t="s">
        <v>25</v>
      </c>
      <c r="G1491" t="str">
        <f>"2025-05-08 04:42:28.089"</f>
        <v>2025-05-08 04:42:28.089</v>
      </c>
      <c r="H1491" t="s">
        <v>21</v>
      </c>
    </row>
    <row r="1492" spans="1:10" x14ac:dyDescent="0.25">
      <c r="A1492" s="1">
        <v>551</v>
      </c>
      <c r="B1492" t="s">
        <v>26</v>
      </c>
      <c r="C1492">
        <v>635</v>
      </c>
      <c r="D1492">
        <v>1</v>
      </c>
      <c r="E1492" t="s">
        <v>24</v>
      </c>
      <c r="F1492" t="s">
        <v>25</v>
      </c>
      <c r="G1492" t="str">
        <f>"2025-05-08 04:32:48.189"</f>
        <v>2025-05-08 04:32:48.189</v>
      </c>
      <c r="H1492" t="s">
        <v>21</v>
      </c>
      <c r="I1492">
        <v>7.81</v>
      </c>
      <c r="J1492" t="s">
        <v>27</v>
      </c>
    </row>
    <row r="1493" spans="1:10" x14ac:dyDescent="0.25">
      <c r="A1493" s="1">
        <v>552</v>
      </c>
      <c r="B1493" t="s">
        <v>23</v>
      </c>
      <c r="C1493">
        <v>635</v>
      </c>
      <c r="D1493">
        <v>1</v>
      </c>
      <c r="E1493" t="s">
        <v>24</v>
      </c>
      <c r="F1493" t="s">
        <v>25</v>
      </c>
      <c r="G1493" t="str">
        <f>"2025-05-08 02:58:06.889"</f>
        <v>2025-05-08 02:58:06.889</v>
      </c>
      <c r="H1493" t="s">
        <v>21</v>
      </c>
    </row>
    <row r="1494" spans="1:10" x14ac:dyDescent="0.25">
      <c r="A1494" s="1">
        <v>553</v>
      </c>
      <c r="B1494" t="s">
        <v>26</v>
      </c>
      <c r="C1494">
        <v>635</v>
      </c>
      <c r="D1494">
        <v>1</v>
      </c>
      <c r="E1494" t="s">
        <v>24</v>
      </c>
      <c r="F1494" t="s">
        <v>25</v>
      </c>
      <c r="G1494" t="str">
        <f>"2025-05-08 02:50:53.389"</f>
        <v>2025-05-08 02:50:53.389</v>
      </c>
      <c r="H1494" t="s">
        <v>21</v>
      </c>
      <c r="I1494">
        <v>9.6999999999999993</v>
      </c>
      <c r="J1494" t="s">
        <v>31</v>
      </c>
    </row>
    <row r="1495" spans="1:10" x14ac:dyDescent="0.25">
      <c r="A1495" s="1">
        <v>554</v>
      </c>
      <c r="B1495" t="s">
        <v>43</v>
      </c>
      <c r="C1495">
        <v>77</v>
      </c>
      <c r="D1495">
        <v>1</v>
      </c>
      <c r="E1495" t="s">
        <v>86</v>
      </c>
      <c r="F1495" t="s">
        <v>87</v>
      </c>
      <c r="G1495" t="str">
        <f>"2025-05-07 23:18:53.369"</f>
        <v>2025-05-07 23:18:53.369</v>
      </c>
      <c r="H1495" t="s">
        <v>73</v>
      </c>
    </row>
    <row r="1496" spans="1:10" x14ac:dyDescent="0.25">
      <c r="A1496" s="1">
        <v>555</v>
      </c>
      <c r="B1496" t="s">
        <v>39</v>
      </c>
      <c r="C1496">
        <v>77</v>
      </c>
      <c r="D1496">
        <v>1</v>
      </c>
      <c r="E1496" t="s">
        <v>86</v>
      </c>
      <c r="F1496" t="s">
        <v>87</v>
      </c>
      <c r="G1496" t="str">
        <f>"2025-05-07 23:18:48.360"</f>
        <v>2025-05-07 23:18:48.360</v>
      </c>
      <c r="H1496" t="s">
        <v>73</v>
      </c>
      <c r="I1496">
        <v>0</v>
      </c>
      <c r="J1496" t="s">
        <v>34</v>
      </c>
    </row>
    <row r="1497" spans="1:10" x14ac:dyDescent="0.25">
      <c r="A1497" s="1">
        <v>556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"2025-05-07 23:18:15.588"</f>
        <v>2025-05-07 23:18:15.588</v>
      </c>
      <c r="H1497" t="s">
        <v>21</v>
      </c>
    </row>
    <row r="1498" spans="1:10" x14ac:dyDescent="0.25">
      <c r="A1498" s="1">
        <v>557</v>
      </c>
      <c r="B1498" t="s">
        <v>39</v>
      </c>
      <c r="C1498">
        <v>630</v>
      </c>
      <c r="D1498">
        <v>5</v>
      </c>
      <c r="E1498" t="s">
        <v>36</v>
      </c>
      <c r="F1498" t="s">
        <v>37</v>
      </c>
      <c r="G1498" t="str">
        <f>"2025-05-07 22:46:37.315"</f>
        <v>2025-05-07 22:46:37.315</v>
      </c>
      <c r="H1498" t="s">
        <v>38</v>
      </c>
      <c r="I1498">
        <v>0</v>
      </c>
      <c r="J1498" t="s">
        <v>34</v>
      </c>
    </row>
    <row r="1499" spans="1:10" x14ac:dyDescent="0.25">
      <c r="A1499" s="1">
        <v>558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"2025-05-07 22:41:34.602"</f>
        <v>2025-05-07 22:41:34.602</v>
      </c>
      <c r="H1499" t="s">
        <v>21</v>
      </c>
      <c r="I1499">
        <v>0</v>
      </c>
      <c r="J1499" t="s">
        <v>22</v>
      </c>
    </row>
    <row r="1500" spans="1:10" x14ac:dyDescent="0.25">
      <c r="A1500" s="1">
        <v>559</v>
      </c>
      <c r="B1500" t="s">
        <v>39</v>
      </c>
      <c r="C1500">
        <v>630</v>
      </c>
      <c r="D1500">
        <v>5</v>
      </c>
      <c r="E1500" t="s">
        <v>36</v>
      </c>
      <c r="F1500" t="s">
        <v>37</v>
      </c>
      <c r="G1500" t="str">
        <f>"2025-05-07 21:24:22.669"</f>
        <v>2025-05-07 21:24:22.669</v>
      </c>
      <c r="H1500" t="s">
        <v>38</v>
      </c>
      <c r="I1500">
        <v>0</v>
      </c>
      <c r="J1500" t="s">
        <v>34</v>
      </c>
    </row>
    <row r="1501" spans="1:10" x14ac:dyDescent="0.25">
      <c r="A1501" s="1">
        <v>560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"2025-05-07 21:19:19.847"</f>
        <v>2025-05-07 21:19:19.847</v>
      </c>
      <c r="H1501" t="s">
        <v>21</v>
      </c>
      <c r="I1501">
        <v>0</v>
      </c>
      <c r="J1501" t="s">
        <v>22</v>
      </c>
    </row>
    <row r="1502" spans="1:10" x14ac:dyDescent="0.25">
      <c r="A1502" s="1">
        <v>561</v>
      </c>
      <c r="B1502" t="s">
        <v>23</v>
      </c>
      <c r="C1502">
        <v>635</v>
      </c>
      <c r="D1502">
        <v>1</v>
      </c>
      <c r="E1502" t="s">
        <v>24</v>
      </c>
      <c r="F1502" t="s">
        <v>25</v>
      </c>
      <c r="G1502" t="str">
        <f>"2025-05-06 05:04:27.544"</f>
        <v>2025-05-06 05:04:27.544</v>
      </c>
      <c r="H1502" t="s">
        <v>21</v>
      </c>
    </row>
    <row r="1503" spans="1:10" x14ac:dyDescent="0.25">
      <c r="A1503" s="1">
        <v>562</v>
      </c>
      <c r="B1503" t="s">
        <v>26</v>
      </c>
      <c r="C1503">
        <v>635</v>
      </c>
      <c r="D1503">
        <v>1</v>
      </c>
      <c r="E1503" t="s">
        <v>24</v>
      </c>
      <c r="F1503" t="s">
        <v>25</v>
      </c>
      <c r="G1503" t="str">
        <f>"2025-05-06 04:57:19.044"</f>
        <v>2025-05-06 04:57:19.044</v>
      </c>
      <c r="H1503" t="s">
        <v>21</v>
      </c>
      <c r="I1503">
        <v>7.06</v>
      </c>
      <c r="J1503" t="s">
        <v>27</v>
      </c>
    </row>
    <row r="1504" spans="1:10" s="3" customFormat="1" x14ac:dyDescent="0.25">
      <c r="A1504" s="2">
        <v>563</v>
      </c>
      <c r="B1504" s="3" t="s">
        <v>23</v>
      </c>
      <c r="C1504" s="3">
        <v>647</v>
      </c>
      <c r="D1504" s="3">
        <v>1</v>
      </c>
      <c r="E1504" s="3" t="s">
        <v>29</v>
      </c>
      <c r="F1504" s="3" t="s">
        <v>30</v>
      </c>
      <c r="G1504" s="3" t="str">
        <f>"2025-05-01 20:41:42.245"</f>
        <v>2025-05-01 20:41:42.245</v>
      </c>
      <c r="H1504" s="3" t="s">
        <v>21</v>
      </c>
    </row>
    <row r="1505" spans="1:10" s="3" customFormat="1" x14ac:dyDescent="0.25">
      <c r="A1505" s="2">
        <v>564</v>
      </c>
      <c r="B1505" s="3" t="s">
        <v>26</v>
      </c>
      <c r="C1505" s="3">
        <v>647</v>
      </c>
      <c r="D1505" s="3">
        <v>1</v>
      </c>
      <c r="E1505" s="3" t="s">
        <v>29</v>
      </c>
      <c r="F1505" s="3" t="s">
        <v>30</v>
      </c>
      <c r="G1505" s="3" t="str">
        <f>"2025-05-01 20:41:40.945"</f>
        <v>2025-05-01 20:41:40.945</v>
      </c>
      <c r="H1505" s="3" t="s">
        <v>21</v>
      </c>
      <c r="I1505" s="3">
        <v>16.32</v>
      </c>
      <c r="J1505" s="3" t="s">
        <v>31</v>
      </c>
    </row>
    <row r="1506" spans="1:10" x14ac:dyDescent="0.25">
      <c r="A1506" s="1">
        <v>565</v>
      </c>
      <c r="B1506" t="s">
        <v>23</v>
      </c>
      <c r="C1506">
        <v>635</v>
      </c>
      <c r="D1506">
        <v>1</v>
      </c>
      <c r="E1506" t="s">
        <v>24</v>
      </c>
      <c r="F1506" t="s">
        <v>25</v>
      </c>
      <c r="G1506" t="str">
        <f>"2025-05-01 06:06:31.844"</f>
        <v>2025-05-01 06:06:31.844</v>
      </c>
      <c r="H1506" t="s">
        <v>21</v>
      </c>
    </row>
    <row r="1507" spans="1:10" x14ac:dyDescent="0.25">
      <c r="A1507" s="1">
        <v>566</v>
      </c>
      <c r="B1507" t="s">
        <v>26</v>
      </c>
      <c r="C1507">
        <v>635</v>
      </c>
      <c r="D1507">
        <v>1</v>
      </c>
      <c r="E1507" t="s">
        <v>24</v>
      </c>
      <c r="F1507" t="s">
        <v>25</v>
      </c>
      <c r="G1507" t="str">
        <f>"2025-05-01 05:55:50.844"</f>
        <v>2025-05-01 05:55:50.844</v>
      </c>
      <c r="H1507" t="s">
        <v>21</v>
      </c>
      <c r="I1507">
        <v>6.83</v>
      </c>
      <c r="J1507" t="s">
        <v>27</v>
      </c>
    </row>
    <row r="1508" spans="1:10" s="3" customFormat="1" x14ac:dyDescent="0.25">
      <c r="A1508" s="2">
        <v>571</v>
      </c>
      <c r="B1508" s="3" t="s">
        <v>23</v>
      </c>
      <c r="C1508" s="3">
        <v>647</v>
      </c>
      <c r="D1508" s="3">
        <v>1</v>
      </c>
      <c r="E1508" s="3" t="s">
        <v>29</v>
      </c>
      <c r="F1508" s="3" t="s">
        <v>30</v>
      </c>
      <c r="G1508" s="3" t="str">
        <f>"2025-04-29 12:21:35.902"</f>
        <v>2025-04-29 12:21:35.902</v>
      </c>
      <c r="H1508" s="3" t="s">
        <v>21</v>
      </c>
    </row>
    <row r="1509" spans="1:10" s="3" customFormat="1" x14ac:dyDescent="0.25">
      <c r="A1509" s="2">
        <v>572</v>
      </c>
      <c r="B1509" s="3" t="s">
        <v>26</v>
      </c>
      <c r="C1509" s="3">
        <v>647</v>
      </c>
      <c r="D1509" s="3">
        <v>1</v>
      </c>
      <c r="E1509" s="3" t="s">
        <v>29</v>
      </c>
      <c r="F1509" s="3" t="s">
        <v>30</v>
      </c>
      <c r="G1509" s="3" t="str">
        <f>"2025-04-29 12:21:33.102"</f>
        <v>2025-04-29 12:21:33.102</v>
      </c>
      <c r="H1509" s="3" t="s">
        <v>21</v>
      </c>
      <c r="I1509" s="3">
        <v>9.19</v>
      </c>
      <c r="J1509" s="3" t="s">
        <v>31</v>
      </c>
    </row>
    <row r="1510" spans="1:10" x14ac:dyDescent="0.25">
      <c r="A1510" s="1">
        <v>573</v>
      </c>
      <c r="B1510" t="s">
        <v>23</v>
      </c>
      <c r="C1510">
        <v>61</v>
      </c>
      <c r="D1510">
        <v>2</v>
      </c>
      <c r="E1510" t="s">
        <v>41</v>
      </c>
      <c r="F1510" t="s">
        <v>42</v>
      </c>
      <c r="G1510" t="str">
        <f>"2025-04-28 05:43:58.213"</f>
        <v>2025-04-28 05:43:58.213</v>
      </c>
      <c r="H1510" t="s">
        <v>21</v>
      </c>
    </row>
    <row r="1511" spans="1:10" x14ac:dyDescent="0.25">
      <c r="A1511" s="1">
        <v>574</v>
      </c>
      <c r="B1511" t="s">
        <v>39</v>
      </c>
      <c r="C1511">
        <v>61</v>
      </c>
      <c r="D1511">
        <v>2</v>
      </c>
      <c r="E1511" t="s">
        <v>41</v>
      </c>
      <c r="F1511" t="s">
        <v>42</v>
      </c>
      <c r="G1511" t="str">
        <f>"2025-04-28 05:43:52.114"</f>
        <v>2025-04-28 05:43:52.114</v>
      </c>
      <c r="H1511" t="s">
        <v>21</v>
      </c>
      <c r="I1511">
        <v>35.57</v>
      </c>
      <c r="J1511" t="s">
        <v>31</v>
      </c>
    </row>
    <row r="1512" spans="1:10" x14ac:dyDescent="0.25">
      <c r="A1512" s="1">
        <v>575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"2025-04-27 16:37:08.630"</f>
        <v>2025-04-27 16:37:08.630</v>
      </c>
      <c r="H1512" t="s">
        <v>21</v>
      </c>
      <c r="I1512">
        <v>0</v>
      </c>
      <c r="J1512" t="s">
        <v>22</v>
      </c>
    </row>
    <row r="1513" spans="1:10" x14ac:dyDescent="0.25">
      <c r="A1513" s="1">
        <v>576</v>
      </c>
      <c r="B1513" t="s">
        <v>23</v>
      </c>
      <c r="C1513">
        <v>630</v>
      </c>
      <c r="D1513">
        <v>5</v>
      </c>
      <c r="E1513" t="s">
        <v>36</v>
      </c>
      <c r="F1513" t="s">
        <v>37</v>
      </c>
      <c r="G1513" t="str">
        <f>"2025-04-27 16:18:16.094"</f>
        <v>2025-04-27 16:18:16.094</v>
      </c>
      <c r="H1513" t="s">
        <v>38</v>
      </c>
    </row>
    <row r="1514" spans="1:10" x14ac:dyDescent="0.25">
      <c r="A1514" s="1">
        <v>577</v>
      </c>
      <c r="B1514" t="s">
        <v>19</v>
      </c>
      <c r="C1514">
        <v>706</v>
      </c>
      <c r="D1514">
        <v>4</v>
      </c>
      <c r="E1514" t="s">
        <v>32</v>
      </c>
      <c r="F1514" t="s">
        <v>33</v>
      </c>
      <c r="G1514" t="str">
        <f>"2025-04-27 16:17:45.999"</f>
        <v>2025-04-27 16:17:45.999</v>
      </c>
      <c r="H1514" t="s">
        <v>21</v>
      </c>
      <c r="I1514">
        <v>0</v>
      </c>
      <c r="J1514" t="s">
        <v>34</v>
      </c>
    </row>
    <row r="1515" spans="1:10" x14ac:dyDescent="0.25">
      <c r="A1515" s="1">
        <v>578</v>
      </c>
      <c r="B1515" t="s">
        <v>19</v>
      </c>
      <c r="C1515">
        <v>706</v>
      </c>
      <c r="D1515">
        <v>2</v>
      </c>
      <c r="E1515" t="s">
        <v>32</v>
      </c>
      <c r="F1515" t="s">
        <v>35</v>
      </c>
      <c r="G1515" t="str">
        <f>"2025-04-27 16:17:36.689"</f>
        <v>2025-04-27 16:17:36.689</v>
      </c>
      <c r="H1515" t="s">
        <v>21</v>
      </c>
      <c r="I1515">
        <v>0</v>
      </c>
      <c r="J1515" t="s">
        <v>34</v>
      </c>
    </row>
    <row r="1516" spans="1:10" x14ac:dyDescent="0.25">
      <c r="A1516" s="1">
        <v>579</v>
      </c>
      <c r="B1516" t="s">
        <v>39</v>
      </c>
      <c r="C1516">
        <v>630</v>
      </c>
      <c r="D1516">
        <v>5</v>
      </c>
      <c r="E1516" t="s">
        <v>36</v>
      </c>
      <c r="F1516" t="s">
        <v>37</v>
      </c>
      <c r="G1516" t="str">
        <f>"2025-04-27 16:02:14.494"</f>
        <v>2025-04-27 16:02:14.494</v>
      </c>
      <c r="H1516" t="s">
        <v>38</v>
      </c>
      <c r="I1516">
        <v>0</v>
      </c>
      <c r="J1516" t="s">
        <v>34</v>
      </c>
    </row>
    <row r="1517" spans="1:10" x14ac:dyDescent="0.25">
      <c r="A1517" s="1">
        <v>580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"2025-04-27 15:57:11.739"</f>
        <v>2025-04-27 15:57:11.739</v>
      </c>
      <c r="H1517" t="s">
        <v>21</v>
      </c>
    </row>
    <row r="1518" spans="1:10" x14ac:dyDescent="0.25">
      <c r="A1518" s="1">
        <v>581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"2025-04-27 15:16:47.696"</f>
        <v>2025-04-27 15:16:47.696</v>
      </c>
      <c r="H1518" t="s">
        <v>21</v>
      </c>
      <c r="I1518">
        <v>0</v>
      </c>
      <c r="J1518" t="s">
        <v>22</v>
      </c>
    </row>
    <row r="1519" spans="1:10" x14ac:dyDescent="0.25">
      <c r="A1519" s="1">
        <v>582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"2025-04-27 15:10:58.622"</f>
        <v>2025-04-27 15:10:58.622</v>
      </c>
      <c r="H1519" t="s">
        <v>21</v>
      </c>
      <c r="I1519">
        <v>0</v>
      </c>
      <c r="J1519" t="s">
        <v>22</v>
      </c>
    </row>
    <row r="1520" spans="1:10" x14ac:dyDescent="0.25">
      <c r="A1520" s="1">
        <v>583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"2025-04-25 21:17:31.624"</f>
        <v>2025-04-25 21:17:31.624</v>
      </c>
      <c r="H1520" t="s">
        <v>21</v>
      </c>
      <c r="I1520">
        <v>0</v>
      </c>
      <c r="J1520" t="s">
        <v>22</v>
      </c>
    </row>
    <row r="1521" spans="1:10" x14ac:dyDescent="0.25">
      <c r="A1521" s="1">
        <v>584</v>
      </c>
      <c r="B1521" t="s">
        <v>23</v>
      </c>
      <c r="C1521">
        <v>635</v>
      </c>
      <c r="D1521">
        <v>1</v>
      </c>
      <c r="E1521" t="s">
        <v>24</v>
      </c>
      <c r="F1521" t="s">
        <v>25</v>
      </c>
      <c r="G1521" t="str">
        <f>"2025-04-24 06:06:56.678"</f>
        <v>2025-04-24 06:06:56.678</v>
      </c>
      <c r="H1521" t="s">
        <v>21</v>
      </c>
    </row>
    <row r="1522" spans="1:10" x14ac:dyDescent="0.25">
      <c r="A1522" s="1">
        <v>585</v>
      </c>
      <c r="B1522" t="s">
        <v>26</v>
      </c>
      <c r="C1522">
        <v>635</v>
      </c>
      <c r="D1522">
        <v>1</v>
      </c>
      <c r="E1522" t="s">
        <v>24</v>
      </c>
      <c r="F1522" t="s">
        <v>25</v>
      </c>
      <c r="G1522" t="str">
        <f>"2025-04-24 06:03:37.178"</f>
        <v>2025-04-24 06:03:37.178</v>
      </c>
      <c r="H1522" t="s">
        <v>21</v>
      </c>
      <c r="I1522">
        <v>8.86</v>
      </c>
      <c r="J1522" t="s">
        <v>27</v>
      </c>
    </row>
    <row r="1523" spans="1:10" x14ac:dyDescent="0.25">
      <c r="A1523" s="1">
        <v>586</v>
      </c>
      <c r="B1523" t="s">
        <v>23</v>
      </c>
      <c r="C1523">
        <v>635</v>
      </c>
      <c r="D1523">
        <v>1</v>
      </c>
      <c r="E1523" t="s">
        <v>24</v>
      </c>
      <c r="F1523" t="s">
        <v>25</v>
      </c>
      <c r="G1523" t="str">
        <f>"2025-04-23 20:53:05.178"</f>
        <v>2025-04-23 20:53:05.178</v>
      </c>
      <c r="H1523" t="s">
        <v>21</v>
      </c>
    </row>
    <row r="1524" spans="1:10" x14ac:dyDescent="0.25">
      <c r="A1524" s="1">
        <v>587</v>
      </c>
      <c r="B1524" t="s">
        <v>26</v>
      </c>
      <c r="C1524">
        <v>635</v>
      </c>
      <c r="D1524">
        <v>1</v>
      </c>
      <c r="E1524" t="s">
        <v>24</v>
      </c>
      <c r="F1524" t="s">
        <v>25</v>
      </c>
      <c r="G1524" t="str">
        <f>"2025-04-23 20:48:37.178"</f>
        <v>2025-04-23 20:48:37.178</v>
      </c>
      <c r="H1524" t="s">
        <v>21</v>
      </c>
      <c r="I1524">
        <v>6.28</v>
      </c>
      <c r="J1524" t="s">
        <v>27</v>
      </c>
    </row>
    <row r="1525" spans="1:10" s="3" customFormat="1" x14ac:dyDescent="0.25">
      <c r="A1525" s="2">
        <v>592</v>
      </c>
      <c r="B1525" s="3" t="s">
        <v>23</v>
      </c>
      <c r="C1525" s="3">
        <v>647</v>
      </c>
      <c r="D1525" s="3">
        <v>1</v>
      </c>
      <c r="E1525" s="3" t="s">
        <v>29</v>
      </c>
      <c r="F1525" s="3" t="s">
        <v>30</v>
      </c>
      <c r="G1525" s="3" t="str">
        <f>"2025-04-21 13:33:59.646"</f>
        <v>2025-04-21 13:33:59.646</v>
      </c>
      <c r="H1525" s="3" t="s">
        <v>21</v>
      </c>
    </row>
    <row r="1526" spans="1:10" s="3" customFormat="1" x14ac:dyDescent="0.25">
      <c r="A1526" s="2">
        <v>593</v>
      </c>
      <c r="B1526" s="3" t="s">
        <v>26</v>
      </c>
      <c r="C1526" s="3">
        <v>647</v>
      </c>
      <c r="D1526" s="3">
        <v>1</v>
      </c>
      <c r="E1526" s="3" t="s">
        <v>29</v>
      </c>
      <c r="F1526" s="3" t="s">
        <v>30</v>
      </c>
      <c r="G1526" s="3" t="str">
        <f>"2025-04-21 13:33:57.846"</f>
        <v>2025-04-21 13:33:57.846</v>
      </c>
      <c r="H1526" s="3" t="s">
        <v>21</v>
      </c>
      <c r="I1526" s="3">
        <v>8.48</v>
      </c>
      <c r="J1526" s="3" t="s">
        <v>31</v>
      </c>
    </row>
    <row r="1527" spans="1:10" s="3" customFormat="1" x14ac:dyDescent="0.25">
      <c r="A1527" s="2">
        <v>595</v>
      </c>
      <c r="B1527" s="3" t="s">
        <v>23</v>
      </c>
      <c r="C1527" s="3">
        <v>647</v>
      </c>
      <c r="D1527" s="3">
        <v>1</v>
      </c>
      <c r="E1527" s="3" t="s">
        <v>29</v>
      </c>
      <c r="F1527" s="3" t="s">
        <v>30</v>
      </c>
      <c r="G1527" s="3" t="str">
        <f>"2025-04-20 22:55:51.346"</f>
        <v>2025-04-20 22:55:51.346</v>
      </c>
      <c r="H1527" s="3" t="s">
        <v>21</v>
      </c>
    </row>
    <row r="1528" spans="1:10" s="3" customFormat="1" x14ac:dyDescent="0.25">
      <c r="A1528" s="2">
        <v>596</v>
      </c>
      <c r="B1528" s="3" t="s">
        <v>26</v>
      </c>
      <c r="C1528" s="3">
        <v>647</v>
      </c>
      <c r="D1528" s="3">
        <v>1</v>
      </c>
      <c r="E1528" s="3" t="s">
        <v>29</v>
      </c>
      <c r="F1528" s="3" t="s">
        <v>30</v>
      </c>
      <c r="G1528" s="3" t="str">
        <f>"2025-04-20 22:55:50.046"</f>
        <v>2025-04-20 22:55:50.046</v>
      </c>
      <c r="H1528" s="3" t="s">
        <v>21</v>
      </c>
      <c r="I1528" s="3">
        <v>18.420000000000002</v>
      </c>
      <c r="J1528" s="3" t="s">
        <v>31</v>
      </c>
    </row>
    <row r="1529" spans="1:10" x14ac:dyDescent="0.25">
      <c r="A1529" s="1">
        <v>597</v>
      </c>
      <c r="B1529" t="s">
        <v>23</v>
      </c>
      <c r="C1529">
        <v>635</v>
      </c>
      <c r="D1529">
        <v>1</v>
      </c>
      <c r="E1529" t="s">
        <v>24</v>
      </c>
      <c r="F1529" t="s">
        <v>25</v>
      </c>
      <c r="G1529" t="str">
        <f>"2025-04-17 19:49:30.846"</f>
        <v>2025-04-17 19:49:30.846</v>
      </c>
      <c r="H1529" t="s">
        <v>21</v>
      </c>
    </row>
    <row r="1530" spans="1:10" x14ac:dyDescent="0.25">
      <c r="A1530" s="1">
        <v>598</v>
      </c>
      <c r="B1530" t="s">
        <v>26</v>
      </c>
      <c r="C1530">
        <v>635</v>
      </c>
      <c r="D1530">
        <v>1</v>
      </c>
      <c r="E1530" t="s">
        <v>24</v>
      </c>
      <c r="F1530" t="s">
        <v>25</v>
      </c>
      <c r="G1530" t="str">
        <f>"2025-04-17 19:12:27.946"</f>
        <v>2025-04-17 19:12:27.946</v>
      </c>
      <c r="H1530" t="s">
        <v>21</v>
      </c>
      <c r="I1530">
        <v>7.11</v>
      </c>
      <c r="J1530" t="s">
        <v>27</v>
      </c>
    </row>
    <row r="1531" spans="1:10" s="3" customFormat="1" x14ac:dyDescent="0.25">
      <c r="A1531" s="2">
        <v>599</v>
      </c>
      <c r="B1531" s="3" t="s">
        <v>23</v>
      </c>
      <c r="C1531" s="3">
        <v>647</v>
      </c>
      <c r="D1531" s="3">
        <v>1</v>
      </c>
      <c r="E1531" s="3" t="s">
        <v>29</v>
      </c>
      <c r="F1531" s="3" t="s">
        <v>30</v>
      </c>
      <c r="G1531" s="3" t="str">
        <f>"2025-04-17 11:36:39.846"</f>
        <v>2025-04-17 11:36:39.846</v>
      </c>
      <c r="H1531" s="3" t="s">
        <v>21</v>
      </c>
    </row>
    <row r="1532" spans="1:10" s="3" customFormat="1" x14ac:dyDescent="0.25">
      <c r="A1532" s="2">
        <v>600</v>
      </c>
      <c r="B1532" s="3" t="s">
        <v>26</v>
      </c>
      <c r="C1532" s="3">
        <v>647</v>
      </c>
      <c r="D1532" s="3">
        <v>1</v>
      </c>
      <c r="E1532" s="3" t="s">
        <v>29</v>
      </c>
      <c r="F1532" s="3" t="s">
        <v>30</v>
      </c>
      <c r="G1532" s="3" t="str">
        <f>"2025-04-17 11:36:38.546"</f>
        <v>2025-04-17 11:36:38.546</v>
      </c>
      <c r="H1532" s="3" t="s">
        <v>21</v>
      </c>
      <c r="I1532" s="3">
        <v>11.54</v>
      </c>
      <c r="J1532" s="3" t="s">
        <v>31</v>
      </c>
    </row>
    <row r="1533" spans="1:10" s="3" customFormat="1" x14ac:dyDescent="0.25">
      <c r="A1533" s="2">
        <v>601</v>
      </c>
      <c r="B1533" s="3" t="s">
        <v>23</v>
      </c>
      <c r="C1533" s="3">
        <v>647</v>
      </c>
      <c r="D1533" s="3">
        <v>1</v>
      </c>
      <c r="E1533" s="3" t="s">
        <v>29</v>
      </c>
      <c r="F1533" s="3" t="s">
        <v>30</v>
      </c>
      <c r="G1533" s="3" t="str">
        <f>"2025-04-17 11:32:05.346"</f>
        <v>2025-04-17 11:32:05.346</v>
      </c>
      <c r="H1533" s="3" t="s">
        <v>21</v>
      </c>
    </row>
    <row r="1534" spans="1:10" s="3" customFormat="1" x14ac:dyDescent="0.25">
      <c r="A1534" s="2">
        <v>602</v>
      </c>
      <c r="B1534" s="3" t="s">
        <v>26</v>
      </c>
      <c r="C1534" s="3">
        <v>647</v>
      </c>
      <c r="D1534" s="3">
        <v>1</v>
      </c>
      <c r="E1534" s="3" t="s">
        <v>29</v>
      </c>
      <c r="F1534" s="3" t="s">
        <v>30</v>
      </c>
      <c r="G1534" s="3" t="str">
        <f>"2025-04-17 11:32:04.246"</f>
        <v>2025-04-17 11:32:04.246</v>
      </c>
      <c r="H1534" s="3" t="s">
        <v>21</v>
      </c>
      <c r="I1534" s="3">
        <v>8.69</v>
      </c>
      <c r="J1534" s="3" t="s">
        <v>31</v>
      </c>
    </row>
    <row r="1535" spans="1:10" s="3" customFormat="1" x14ac:dyDescent="0.25">
      <c r="A1535" s="2">
        <v>603</v>
      </c>
      <c r="B1535" s="3" t="s">
        <v>23</v>
      </c>
      <c r="C1535" s="3">
        <v>647</v>
      </c>
      <c r="D1535" s="3">
        <v>1</v>
      </c>
      <c r="E1535" s="3" t="s">
        <v>29</v>
      </c>
      <c r="F1535" s="3" t="s">
        <v>30</v>
      </c>
      <c r="G1535" s="3" t="str">
        <f>"2025-04-17 08:08:02.046"</f>
        <v>2025-04-17 08:08:02.046</v>
      </c>
      <c r="H1535" s="3" t="s">
        <v>21</v>
      </c>
    </row>
    <row r="1536" spans="1:10" s="3" customFormat="1" x14ac:dyDescent="0.25">
      <c r="A1536" s="2">
        <v>604</v>
      </c>
      <c r="B1536" s="3" t="s">
        <v>26</v>
      </c>
      <c r="C1536" s="3">
        <v>647</v>
      </c>
      <c r="D1536" s="3">
        <v>1</v>
      </c>
      <c r="E1536" s="3" t="s">
        <v>29</v>
      </c>
      <c r="F1536" s="3" t="s">
        <v>30</v>
      </c>
      <c r="G1536" s="3" t="str">
        <f>"2025-04-17 08:07:54.946"</f>
        <v>2025-04-17 08:07:54.946</v>
      </c>
      <c r="H1536" s="3" t="s">
        <v>21</v>
      </c>
      <c r="I1536" s="3">
        <v>14.23</v>
      </c>
      <c r="J1536" s="3" t="s">
        <v>31</v>
      </c>
    </row>
    <row r="1537" spans="1:10" s="3" customFormat="1" x14ac:dyDescent="0.25">
      <c r="A1537" s="2">
        <v>605</v>
      </c>
      <c r="B1537" s="3" t="s">
        <v>23</v>
      </c>
      <c r="C1537" s="3">
        <v>647</v>
      </c>
      <c r="D1537" s="3">
        <v>1</v>
      </c>
      <c r="E1537" s="3" t="s">
        <v>29</v>
      </c>
      <c r="F1537" s="3" t="s">
        <v>30</v>
      </c>
      <c r="G1537" s="3" t="str">
        <f>"2025-04-17 08:07:46.646"</f>
        <v>2025-04-17 08:07:46.646</v>
      </c>
      <c r="H1537" s="3" t="s">
        <v>21</v>
      </c>
    </row>
    <row r="1538" spans="1:10" s="3" customFormat="1" x14ac:dyDescent="0.25">
      <c r="A1538" s="2">
        <v>606</v>
      </c>
      <c r="B1538" s="3" t="s">
        <v>26</v>
      </c>
      <c r="C1538" s="3">
        <v>647</v>
      </c>
      <c r="D1538" s="3">
        <v>1</v>
      </c>
      <c r="E1538" s="3" t="s">
        <v>29</v>
      </c>
      <c r="F1538" s="3" t="s">
        <v>30</v>
      </c>
      <c r="G1538" s="3" t="str">
        <f>"2025-04-17 08:07:45.147"</f>
        <v>2025-04-17 08:07:45.147</v>
      </c>
      <c r="H1538" s="3" t="s">
        <v>21</v>
      </c>
      <c r="I1538" s="3">
        <v>11.1</v>
      </c>
      <c r="J1538" s="3" t="s">
        <v>31</v>
      </c>
    </row>
    <row r="1539" spans="1:10" x14ac:dyDescent="0.25">
      <c r="A1539" s="1">
        <v>607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"2025-04-16 20:00:14.611"</f>
        <v>2025-04-16 20:00:14.611</v>
      </c>
      <c r="H1539" t="s">
        <v>21</v>
      </c>
      <c r="I1539">
        <v>0</v>
      </c>
      <c r="J1539" t="s">
        <v>22</v>
      </c>
    </row>
    <row r="1540" spans="1:10" x14ac:dyDescent="0.25">
      <c r="A1540" s="1">
        <v>608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"2025-04-16 14:23:51.598"</f>
        <v>2025-04-16 14:23:51.598</v>
      </c>
      <c r="H1540" t="s">
        <v>21</v>
      </c>
    </row>
    <row r="1541" spans="1:10" x14ac:dyDescent="0.25">
      <c r="A1541" s="1">
        <v>609</v>
      </c>
      <c r="B1541" t="s">
        <v>39</v>
      </c>
      <c r="C1541">
        <v>630</v>
      </c>
      <c r="D1541">
        <v>5</v>
      </c>
      <c r="E1541" t="s">
        <v>36</v>
      </c>
      <c r="F1541" t="s">
        <v>37</v>
      </c>
      <c r="G1541" t="str">
        <f>"2025-04-16 13:49:11.429"</f>
        <v>2025-04-16 13:49:11.429</v>
      </c>
      <c r="H1541" t="s">
        <v>38</v>
      </c>
      <c r="I1541">
        <v>0</v>
      </c>
      <c r="J1541" t="s">
        <v>34</v>
      </c>
    </row>
    <row r="1542" spans="1:10" x14ac:dyDescent="0.25">
      <c r="A1542" s="1">
        <v>610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"2025-04-16 13:44:08.606"</f>
        <v>2025-04-16 13:44:08.606</v>
      </c>
      <c r="H1542" t="s">
        <v>21</v>
      </c>
    </row>
    <row r="1543" spans="1:10" x14ac:dyDescent="0.25">
      <c r="A1543" s="1">
        <v>611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"2025-04-16 13:40:49.588"</f>
        <v>2025-04-16 13:40:49.588</v>
      </c>
      <c r="H1543" t="s">
        <v>21</v>
      </c>
    </row>
    <row r="1544" spans="1:10" x14ac:dyDescent="0.25">
      <c r="A1544" s="1">
        <v>612</v>
      </c>
      <c r="B1544" t="s">
        <v>19</v>
      </c>
      <c r="C1544">
        <v>706</v>
      </c>
      <c r="D1544">
        <v>4</v>
      </c>
      <c r="E1544" t="s">
        <v>32</v>
      </c>
      <c r="F1544" t="s">
        <v>33</v>
      </c>
      <c r="G1544" t="str">
        <f>"2025-04-16 12:31:43.437"</f>
        <v>2025-04-16 12:31:43.437</v>
      </c>
      <c r="H1544" t="s">
        <v>21</v>
      </c>
      <c r="I1544">
        <v>0</v>
      </c>
      <c r="J1544" t="s">
        <v>34</v>
      </c>
    </row>
    <row r="1545" spans="1:10" x14ac:dyDescent="0.25">
      <c r="A1545" s="1">
        <v>613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"2025-04-16 12:30:34.597"</f>
        <v>2025-04-16 12:30:34.597</v>
      </c>
      <c r="H1545" t="s">
        <v>21</v>
      </c>
    </row>
    <row r="1546" spans="1:10" x14ac:dyDescent="0.25">
      <c r="A1546" s="1">
        <v>614</v>
      </c>
      <c r="B1546" t="s">
        <v>23</v>
      </c>
      <c r="C1546">
        <v>630</v>
      </c>
      <c r="D1546">
        <v>5</v>
      </c>
      <c r="E1546" t="s">
        <v>36</v>
      </c>
      <c r="F1546" t="s">
        <v>37</v>
      </c>
      <c r="G1546" t="str">
        <f>"2025-04-16 12:22:25.791"</f>
        <v>2025-04-16 12:22:25.791</v>
      </c>
      <c r="H1546" t="s">
        <v>38</v>
      </c>
    </row>
    <row r="1547" spans="1:10" x14ac:dyDescent="0.25">
      <c r="A1547" s="1">
        <v>615</v>
      </c>
      <c r="B1547" t="s">
        <v>19</v>
      </c>
      <c r="C1547">
        <v>706</v>
      </c>
      <c r="D1547">
        <v>4</v>
      </c>
      <c r="E1547" t="s">
        <v>32</v>
      </c>
      <c r="F1547" t="s">
        <v>33</v>
      </c>
      <c r="G1547" t="str">
        <f>"2025-04-16 12:21:55.708"</f>
        <v>2025-04-16 12:21:55.708</v>
      </c>
      <c r="H1547" t="s">
        <v>21</v>
      </c>
      <c r="I1547">
        <v>0</v>
      </c>
      <c r="J1547" t="s">
        <v>34</v>
      </c>
    </row>
    <row r="1548" spans="1:10" x14ac:dyDescent="0.25">
      <c r="A1548" s="1">
        <v>616</v>
      </c>
      <c r="B1548" t="s">
        <v>19</v>
      </c>
      <c r="C1548">
        <v>706</v>
      </c>
      <c r="D1548">
        <v>2</v>
      </c>
      <c r="E1548" t="s">
        <v>32</v>
      </c>
      <c r="F1548" t="s">
        <v>35</v>
      </c>
      <c r="G1548" t="str">
        <f>"2025-04-16 12:19:35.178"</f>
        <v>2025-04-16 12:19:35.178</v>
      </c>
      <c r="H1548" t="s">
        <v>21</v>
      </c>
      <c r="I1548">
        <v>0</v>
      </c>
      <c r="J1548" t="s">
        <v>34</v>
      </c>
    </row>
    <row r="1549" spans="1:10" x14ac:dyDescent="0.25">
      <c r="A1549" s="1">
        <v>617</v>
      </c>
      <c r="B1549" t="s">
        <v>39</v>
      </c>
      <c r="C1549">
        <v>630</v>
      </c>
      <c r="D1549">
        <v>5</v>
      </c>
      <c r="E1549" t="s">
        <v>36</v>
      </c>
      <c r="F1549" t="s">
        <v>37</v>
      </c>
      <c r="G1549" t="str">
        <f>"2025-04-16 12:11:38.491"</f>
        <v>2025-04-16 12:11:38.491</v>
      </c>
      <c r="H1549" t="s">
        <v>38</v>
      </c>
      <c r="I1549">
        <v>0</v>
      </c>
      <c r="J1549" t="s">
        <v>34</v>
      </c>
    </row>
    <row r="1550" spans="1:10" x14ac:dyDescent="0.25">
      <c r="A1550" s="1">
        <v>618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"2025-04-16 12:06:35.748"</f>
        <v>2025-04-16 12:06:35.748</v>
      </c>
      <c r="H1550" t="s">
        <v>21</v>
      </c>
    </row>
    <row r="1551" spans="1:10" x14ac:dyDescent="0.25">
      <c r="A1551" s="1">
        <v>619</v>
      </c>
      <c r="B1551" t="s">
        <v>39</v>
      </c>
      <c r="C1551">
        <v>630</v>
      </c>
      <c r="D1551">
        <v>5</v>
      </c>
      <c r="E1551" t="s">
        <v>36</v>
      </c>
      <c r="F1551" t="s">
        <v>37</v>
      </c>
      <c r="G1551" t="str">
        <f>"2025-04-16 11:14:01.700"</f>
        <v>2025-04-16 11:14:01.700</v>
      </c>
      <c r="H1551" t="s">
        <v>38</v>
      </c>
      <c r="I1551">
        <v>0</v>
      </c>
      <c r="J1551" t="s">
        <v>34</v>
      </c>
    </row>
    <row r="1552" spans="1:10" s="3" customFormat="1" x14ac:dyDescent="0.25">
      <c r="A1552" s="2">
        <v>620</v>
      </c>
      <c r="B1552" s="3" t="s">
        <v>23</v>
      </c>
      <c r="C1552" s="3">
        <v>647</v>
      </c>
      <c r="D1552" s="3">
        <v>1</v>
      </c>
      <c r="E1552" s="3" t="s">
        <v>29</v>
      </c>
      <c r="F1552" s="3" t="s">
        <v>30</v>
      </c>
      <c r="G1552" s="3" t="str">
        <f>"2025-04-16 03:41:48.500"</f>
        <v>2025-04-16 03:41:48.500</v>
      </c>
      <c r="H1552" s="3" t="s">
        <v>21</v>
      </c>
    </row>
    <row r="1553" spans="1:10" s="3" customFormat="1" x14ac:dyDescent="0.25">
      <c r="A1553" s="2">
        <v>621</v>
      </c>
      <c r="B1553" s="3" t="s">
        <v>26</v>
      </c>
      <c r="C1553" s="3">
        <v>647</v>
      </c>
      <c r="D1553" s="3">
        <v>1</v>
      </c>
      <c r="E1553" s="3" t="s">
        <v>29</v>
      </c>
      <c r="F1553" s="3" t="s">
        <v>30</v>
      </c>
      <c r="G1553" s="3" t="str">
        <f>"2025-04-16 03:41:40.800"</f>
        <v>2025-04-16 03:41:40.800</v>
      </c>
      <c r="H1553" s="3" t="s">
        <v>21</v>
      </c>
      <c r="I1553" s="3">
        <v>14.43</v>
      </c>
      <c r="J1553" s="3" t="s">
        <v>31</v>
      </c>
    </row>
    <row r="1554" spans="1:10" x14ac:dyDescent="0.25">
      <c r="A1554" s="1">
        <v>622</v>
      </c>
      <c r="B1554" t="s">
        <v>23</v>
      </c>
      <c r="C1554">
        <v>635</v>
      </c>
      <c r="D1554">
        <v>1</v>
      </c>
      <c r="E1554" t="s">
        <v>24</v>
      </c>
      <c r="F1554" t="s">
        <v>25</v>
      </c>
      <c r="G1554" t="str">
        <f>"2025-04-15 21:16:02.200"</f>
        <v>2025-04-15 21:16:02.200</v>
      </c>
      <c r="H1554" t="s">
        <v>21</v>
      </c>
    </row>
    <row r="1555" spans="1:10" x14ac:dyDescent="0.25">
      <c r="A1555" s="1">
        <v>623</v>
      </c>
      <c r="B1555" t="s">
        <v>26</v>
      </c>
      <c r="C1555">
        <v>635</v>
      </c>
      <c r="D1555">
        <v>1</v>
      </c>
      <c r="E1555" t="s">
        <v>24</v>
      </c>
      <c r="F1555" t="s">
        <v>25</v>
      </c>
      <c r="G1555" t="str">
        <f>"2025-04-15 21:10:59.700"</f>
        <v>2025-04-15 21:10:59.700</v>
      </c>
      <c r="H1555" t="s">
        <v>21</v>
      </c>
      <c r="I1555">
        <v>3.49</v>
      </c>
      <c r="J1555" t="s">
        <v>27</v>
      </c>
    </row>
    <row r="1556" spans="1:10" x14ac:dyDescent="0.25">
      <c r="A1556" s="1">
        <v>624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"2025-04-15 09:32:30.601"</f>
        <v>2025-04-15 09:32:30.601</v>
      </c>
      <c r="H1556" t="s">
        <v>21</v>
      </c>
      <c r="I1556">
        <v>0</v>
      </c>
      <c r="J1556" t="s">
        <v>22</v>
      </c>
    </row>
    <row r="1557" spans="1:10" x14ac:dyDescent="0.25">
      <c r="A1557" s="1">
        <v>625</v>
      </c>
      <c r="B1557" t="s">
        <v>23</v>
      </c>
      <c r="C1557">
        <v>635</v>
      </c>
      <c r="D1557">
        <v>1</v>
      </c>
      <c r="E1557" t="s">
        <v>24</v>
      </c>
      <c r="F1557" t="s">
        <v>25</v>
      </c>
      <c r="G1557" t="str">
        <f>"2025-04-14 16:07:26.379"</f>
        <v>2025-04-14 16:07:26.379</v>
      </c>
      <c r="H1557" t="s">
        <v>21</v>
      </c>
    </row>
    <row r="1558" spans="1:10" x14ac:dyDescent="0.25">
      <c r="A1558" s="1">
        <v>626</v>
      </c>
      <c r="B1558" t="s">
        <v>26</v>
      </c>
      <c r="C1558">
        <v>635</v>
      </c>
      <c r="D1558">
        <v>1</v>
      </c>
      <c r="E1558" t="s">
        <v>24</v>
      </c>
      <c r="F1558" t="s">
        <v>25</v>
      </c>
      <c r="G1558" t="str">
        <f>"2025-04-14 16:03:00.879"</f>
        <v>2025-04-14 16:03:00.879</v>
      </c>
      <c r="H1558" t="s">
        <v>21</v>
      </c>
      <c r="I1558">
        <v>10.130000000000001</v>
      </c>
      <c r="J1558" t="s">
        <v>31</v>
      </c>
    </row>
    <row r="1559" spans="1:10" s="3" customFormat="1" x14ac:dyDescent="0.25">
      <c r="A1559" s="2">
        <v>627</v>
      </c>
      <c r="B1559" s="3" t="s">
        <v>23</v>
      </c>
      <c r="C1559" s="3">
        <v>647</v>
      </c>
      <c r="D1559" s="3">
        <v>1</v>
      </c>
      <c r="E1559" s="3" t="s">
        <v>29</v>
      </c>
      <c r="F1559" s="3" t="s">
        <v>30</v>
      </c>
      <c r="G1559" s="3" t="str">
        <f>"2025-04-13 19:29:08.027"</f>
        <v>2025-04-13 19:29:08.027</v>
      </c>
      <c r="H1559" s="3" t="s">
        <v>21</v>
      </c>
    </row>
    <row r="1560" spans="1:10" s="3" customFormat="1" x14ac:dyDescent="0.25">
      <c r="A1560" s="2">
        <v>628</v>
      </c>
      <c r="B1560" s="3" t="s">
        <v>26</v>
      </c>
      <c r="C1560" s="3">
        <v>647</v>
      </c>
      <c r="D1560" s="3">
        <v>1</v>
      </c>
      <c r="E1560" s="3" t="s">
        <v>29</v>
      </c>
      <c r="F1560" s="3" t="s">
        <v>30</v>
      </c>
      <c r="G1560" s="3" t="str">
        <f>"2025-04-13 19:29:04.928"</f>
        <v>2025-04-13 19:29:04.928</v>
      </c>
      <c r="H1560" s="3" t="s">
        <v>21</v>
      </c>
      <c r="I1560" s="3">
        <v>13.02</v>
      </c>
      <c r="J1560" s="3" t="s">
        <v>31</v>
      </c>
    </row>
    <row r="1561" spans="1:10" x14ac:dyDescent="0.25">
      <c r="A1561" s="1">
        <v>630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"2025-04-12 08:40:06.616"</f>
        <v>2025-04-12 08:40:06.616</v>
      </c>
      <c r="H1561" t="s">
        <v>21</v>
      </c>
      <c r="I1561">
        <v>0</v>
      </c>
      <c r="J1561" t="s">
        <v>22</v>
      </c>
    </row>
    <row r="1562" spans="1:10" x14ac:dyDescent="0.25">
      <c r="A1562" s="1">
        <v>631</v>
      </c>
      <c r="B1562" t="s">
        <v>23</v>
      </c>
      <c r="C1562">
        <v>635</v>
      </c>
      <c r="D1562">
        <v>1</v>
      </c>
      <c r="E1562" t="s">
        <v>24</v>
      </c>
      <c r="F1562" t="s">
        <v>25</v>
      </c>
      <c r="G1562" t="str">
        <f>"2025-04-11 19:25:46.563"</f>
        <v>2025-04-11 19:25:46.563</v>
      </c>
      <c r="H1562" t="s">
        <v>21</v>
      </c>
    </row>
    <row r="1563" spans="1:10" x14ac:dyDescent="0.25">
      <c r="A1563" s="1">
        <v>632</v>
      </c>
      <c r="B1563" t="s">
        <v>26</v>
      </c>
      <c r="C1563">
        <v>635</v>
      </c>
      <c r="D1563">
        <v>1</v>
      </c>
      <c r="E1563" t="s">
        <v>24</v>
      </c>
      <c r="F1563" t="s">
        <v>25</v>
      </c>
      <c r="G1563" t="str">
        <f>"2025-04-11 19:19:40.163"</f>
        <v>2025-04-11 19:19:40.163</v>
      </c>
      <c r="H1563" t="s">
        <v>21</v>
      </c>
      <c r="I1563">
        <v>3.36</v>
      </c>
      <c r="J1563" t="s">
        <v>28</v>
      </c>
    </row>
    <row r="1564" spans="1:10" x14ac:dyDescent="0.25">
      <c r="A1564" s="1">
        <v>633</v>
      </c>
      <c r="B1564" t="s">
        <v>23</v>
      </c>
      <c r="C1564">
        <v>630</v>
      </c>
      <c r="D1564">
        <v>5</v>
      </c>
      <c r="E1564" t="s">
        <v>36</v>
      </c>
      <c r="F1564" t="s">
        <v>37</v>
      </c>
      <c r="G1564" t="str">
        <f>"2025-04-11 09:44:18.011"</f>
        <v>2025-04-11 09:44:18.011</v>
      </c>
      <c r="H1564" t="s">
        <v>38</v>
      </c>
    </row>
    <row r="1565" spans="1:10" x14ac:dyDescent="0.25">
      <c r="A1565" s="1">
        <v>634</v>
      </c>
      <c r="B1565" t="s">
        <v>19</v>
      </c>
      <c r="C1565">
        <v>706</v>
      </c>
      <c r="D1565">
        <v>2</v>
      </c>
      <c r="E1565" t="s">
        <v>32</v>
      </c>
      <c r="F1565" t="s">
        <v>35</v>
      </c>
      <c r="G1565" t="str">
        <f>"2025-04-11 09:43:47.850"</f>
        <v>2025-04-11 09:43:47.850</v>
      </c>
      <c r="H1565" t="s">
        <v>21</v>
      </c>
      <c r="I1565">
        <v>0</v>
      </c>
      <c r="J1565" t="s">
        <v>34</v>
      </c>
    </row>
    <row r="1566" spans="1:10" x14ac:dyDescent="0.25">
      <c r="A1566" s="1">
        <v>635</v>
      </c>
      <c r="B1566" t="s">
        <v>39</v>
      </c>
      <c r="C1566">
        <v>630</v>
      </c>
      <c r="D1566">
        <v>5</v>
      </c>
      <c r="E1566" t="s">
        <v>36</v>
      </c>
      <c r="F1566" t="s">
        <v>37</v>
      </c>
      <c r="G1566" t="str">
        <f>"2025-04-11 09:37:31.412"</f>
        <v>2025-04-11 09:37:31.412</v>
      </c>
      <c r="H1566" t="s">
        <v>38</v>
      </c>
      <c r="I1566">
        <v>0</v>
      </c>
      <c r="J1566" t="s">
        <v>34</v>
      </c>
    </row>
    <row r="1567" spans="1:10" x14ac:dyDescent="0.25">
      <c r="A1567" s="1">
        <v>636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"2025-04-11 09:32:28.600"</f>
        <v>2025-04-11 09:32:28.600</v>
      </c>
      <c r="H1567" t="s">
        <v>21</v>
      </c>
      <c r="I1567">
        <v>0</v>
      </c>
      <c r="J1567" t="s">
        <v>22</v>
      </c>
    </row>
    <row r="1568" spans="1:10" x14ac:dyDescent="0.25">
      <c r="A1568" s="1">
        <v>637</v>
      </c>
      <c r="B1568" t="s">
        <v>23</v>
      </c>
      <c r="C1568">
        <v>630</v>
      </c>
      <c r="D1568">
        <v>5</v>
      </c>
      <c r="E1568" t="s">
        <v>36</v>
      </c>
      <c r="F1568" t="s">
        <v>37</v>
      </c>
      <c r="G1568" t="str">
        <f>"2025-04-11 08:47:23.545"</f>
        <v>2025-04-11 08:47:23.545</v>
      </c>
      <c r="H1568" t="s">
        <v>38</v>
      </c>
    </row>
    <row r="1569" spans="1:10" x14ac:dyDescent="0.25">
      <c r="A1569" s="1">
        <v>638</v>
      </c>
      <c r="B1569" t="s">
        <v>19</v>
      </c>
      <c r="C1569">
        <v>706</v>
      </c>
      <c r="D1569">
        <v>2</v>
      </c>
      <c r="E1569" t="s">
        <v>32</v>
      </c>
      <c r="F1569" t="s">
        <v>35</v>
      </c>
      <c r="G1569" t="str">
        <f>"2025-04-11 08:46:53.459"</f>
        <v>2025-04-11 08:46:53.459</v>
      </c>
      <c r="H1569" t="s">
        <v>21</v>
      </c>
      <c r="I1569">
        <v>0</v>
      </c>
      <c r="J1569" t="s">
        <v>34</v>
      </c>
    </row>
    <row r="1570" spans="1:10" x14ac:dyDescent="0.25">
      <c r="A1570" s="1">
        <v>639</v>
      </c>
      <c r="B1570" t="s">
        <v>39</v>
      </c>
      <c r="C1570">
        <v>630</v>
      </c>
      <c r="D1570">
        <v>5</v>
      </c>
      <c r="E1570" t="s">
        <v>36</v>
      </c>
      <c r="F1570" t="s">
        <v>37</v>
      </c>
      <c r="G1570" t="str">
        <f>"2025-04-11 08:01:20.345"</f>
        <v>2025-04-11 08:01:20.345</v>
      </c>
      <c r="H1570" t="s">
        <v>38</v>
      </c>
      <c r="I1570">
        <v>0</v>
      </c>
      <c r="J1570" t="s">
        <v>34</v>
      </c>
    </row>
    <row r="1571" spans="1:10" s="3" customFormat="1" x14ac:dyDescent="0.25">
      <c r="A1571" s="2">
        <v>640</v>
      </c>
      <c r="B1571" s="3" t="s">
        <v>23</v>
      </c>
      <c r="C1571" s="3">
        <v>647</v>
      </c>
      <c r="D1571" s="3">
        <v>1</v>
      </c>
      <c r="E1571" s="3" t="s">
        <v>29</v>
      </c>
      <c r="F1571" s="3" t="s">
        <v>30</v>
      </c>
      <c r="G1571" s="3" t="str">
        <f>"2025-04-11 05:57:54.445"</f>
        <v>2025-04-11 05:57:54.445</v>
      </c>
      <c r="H1571" s="3" t="s">
        <v>21</v>
      </c>
    </row>
    <row r="1572" spans="1:10" s="3" customFormat="1" x14ac:dyDescent="0.25">
      <c r="A1572" s="2">
        <v>641</v>
      </c>
      <c r="B1572" s="3" t="s">
        <v>26</v>
      </c>
      <c r="C1572" s="3">
        <v>647</v>
      </c>
      <c r="D1572" s="3">
        <v>1</v>
      </c>
      <c r="E1572" s="3" t="s">
        <v>29</v>
      </c>
      <c r="F1572" s="3" t="s">
        <v>30</v>
      </c>
      <c r="G1572" s="3" t="str">
        <f>"2025-04-11 05:57:50.945"</f>
        <v>2025-04-11 05:57:50.945</v>
      </c>
      <c r="H1572" s="3" t="s">
        <v>21</v>
      </c>
      <c r="I1572" s="3">
        <v>11.2</v>
      </c>
      <c r="J1572" s="3" t="s">
        <v>31</v>
      </c>
    </row>
    <row r="1573" spans="1:10" s="3" customFormat="1" x14ac:dyDescent="0.25">
      <c r="A1573" s="2">
        <v>642</v>
      </c>
      <c r="B1573" s="3" t="s">
        <v>23</v>
      </c>
      <c r="C1573" s="3">
        <v>647</v>
      </c>
      <c r="D1573" s="3">
        <v>1</v>
      </c>
      <c r="E1573" s="3" t="s">
        <v>29</v>
      </c>
      <c r="F1573" s="3" t="s">
        <v>30</v>
      </c>
      <c r="G1573" s="3" t="str">
        <f>"2025-04-11 05:57:46.245"</f>
        <v>2025-04-11 05:57:46.245</v>
      </c>
      <c r="H1573" s="3" t="s">
        <v>21</v>
      </c>
    </row>
    <row r="1574" spans="1:10" s="3" customFormat="1" x14ac:dyDescent="0.25">
      <c r="A1574" s="2">
        <v>643</v>
      </c>
      <c r="B1574" s="3" t="s">
        <v>26</v>
      </c>
      <c r="C1574" s="3">
        <v>647</v>
      </c>
      <c r="D1574" s="3">
        <v>1</v>
      </c>
      <c r="E1574" s="3" t="s">
        <v>29</v>
      </c>
      <c r="F1574" s="3" t="s">
        <v>30</v>
      </c>
      <c r="G1574" s="3" t="str">
        <f>"2025-04-11 05:57:39.945"</f>
        <v>2025-04-11 05:57:39.945</v>
      </c>
      <c r="H1574" s="3" t="s">
        <v>21</v>
      </c>
      <c r="I1574" s="3">
        <v>15.6</v>
      </c>
      <c r="J1574" s="3" t="s">
        <v>31</v>
      </c>
    </row>
    <row r="1575" spans="1:10" s="3" customFormat="1" x14ac:dyDescent="0.25">
      <c r="A1575" s="2">
        <v>644</v>
      </c>
      <c r="B1575" s="3" t="s">
        <v>23</v>
      </c>
      <c r="C1575" s="3">
        <v>647</v>
      </c>
      <c r="D1575" s="3">
        <v>1</v>
      </c>
      <c r="E1575" s="3" t="s">
        <v>29</v>
      </c>
      <c r="F1575" s="3" t="s">
        <v>30</v>
      </c>
      <c r="G1575" s="3" t="str">
        <f>"2025-04-11 05:09:07.345"</f>
        <v>2025-04-11 05:09:07.345</v>
      </c>
      <c r="H1575" s="3" t="s">
        <v>21</v>
      </c>
    </row>
    <row r="1576" spans="1:10" s="3" customFormat="1" x14ac:dyDescent="0.25">
      <c r="A1576" s="2">
        <v>645</v>
      </c>
      <c r="B1576" s="3" t="s">
        <v>26</v>
      </c>
      <c r="C1576" s="3">
        <v>647</v>
      </c>
      <c r="D1576" s="3">
        <v>1</v>
      </c>
      <c r="E1576" s="3" t="s">
        <v>29</v>
      </c>
      <c r="F1576" s="3" t="s">
        <v>30</v>
      </c>
      <c r="G1576" s="3" t="str">
        <f>"2025-04-11 05:09:04.045"</f>
        <v>2025-04-11 05:09:04.045</v>
      </c>
      <c r="H1576" s="3" t="s">
        <v>21</v>
      </c>
      <c r="I1576" s="3">
        <v>10.07</v>
      </c>
      <c r="J1576" s="3" t="s">
        <v>31</v>
      </c>
    </row>
    <row r="1577" spans="1:10" s="3" customFormat="1" x14ac:dyDescent="0.25">
      <c r="A1577" s="2">
        <v>647</v>
      </c>
      <c r="B1577" s="3" t="s">
        <v>23</v>
      </c>
      <c r="C1577" s="3">
        <v>647</v>
      </c>
      <c r="D1577" s="3">
        <v>1</v>
      </c>
      <c r="E1577" s="3" t="s">
        <v>29</v>
      </c>
      <c r="F1577" s="3" t="s">
        <v>30</v>
      </c>
      <c r="G1577" s="3" t="str">
        <f>"2025-04-09 05:45:36.745"</f>
        <v>2025-04-09 05:45:36.745</v>
      </c>
      <c r="H1577" s="3" t="s">
        <v>21</v>
      </c>
    </row>
    <row r="1578" spans="1:10" s="3" customFormat="1" x14ac:dyDescent="0.25">
      <c r="A1578" s="2">
        <v>648</v>
      </c>
      <c r="B1578" s="3" t="s">
        <v>26</v>
      </c>
      <c r="C1578" s="3">
        <v>647</v>
      </c>
      <c r="D1578" s="3">
        <v>1</v>
      </c>
      <c r="E1578" s="3" t="s">
        <v>29</v>
      </c>
      <c r="F1578" s="3" t="s">
        <v>30</v>
      </c>
      <c r="G1578" s="3" t="str">
        <f>"2025-04-09 05:45:33.445"</f>
        <v>2025-04-09 05:45:33.445</v>
      </c>
      <c r="H1578" s="3" t="s">
        <v>21</v>
      </c>
      <c r="I1578" s="3">
        <v>16.22</v>
      </c>
      <c r="J1578" s="3" t="s">
        <v>31</v>
      </c>
    </row>
    <row r="1579" spans="1:10" s="3" customFormat="1" x14ac:dyDescent="0.25">
      <c r="A1579" s="2">
        <v>649</v>
      </c>
      <c r="B1579" s="3" t="s">
        <v>23</v>
      </c>
      <c r="C1579" s="3">
        <v>647</v>
      </c>
      <c r="D1579" s="3">
        <v>1</v>
      </c>
      <c r="E1579" s="3" t="s">
        <v>29</v>
      </c>
      <c r="F1579" s="3" t="s">
        <v>30</v>
      </c>
      <c r="G1579" s="3" t="str">
        <f>"2025-04-09 05:05:37.445"</f>
        <v>2025-04-09 05:05:37.445</v>
      </c>
      <c r="H1579" s="3" t="s">
        <v>21</v>
      </c>
    </row>
    <row r="1580" spans="1:10" s="3" customFormat="1" x14ac:dyDescent="0.25">
      <c r="A1580" s="2">
        <v>650</v>
      </c>
      <c r="B1580" s="3" t="s">
        <v>26</v>
      </c>
      <c r="C1580" s="3">
        <v>647</v>
      </c>
      <c r="D1580" s="3">
        <v>1</v>
      </c>
      <c r="E1580" s="3" t="s">
        <v>29</v>
      </c>
      <c r="F1580" s="3" t="s">
        <v>30</v>
      </c>
      <c r="G1580" s="3" t="str">
        <f>"2025-04-09 05:05:33.545"</f>
        <v>2025-04-09 05:05:33.545</v>
      </c>
      <c r="H1580" s="3" t="s">
        <v>21</v>
      </c>
      <c r="I1580" s="3">
        <v>8.74</v>
      </c>
      <c r="J1580" s="3" t="s">
        <v>31</v>
      </c>
    </row>
    <row r="1581" spans="1:10" x14ac:dyDescent="0.25">
      <c r="A1581" s="1">
        <v>651</v>
      </c>
      <c r="B1581" t="s">
        <v>23</v>
      </c>
      <c r="C1581">
        <v>630</v>
      </c>
      <c r="D1581">
        <v>5</v>
      </c>
      <c r="E1581" t="s">
        <v>36</v>
      </c>
      <c r="F1581" t="s">
        <v>37</v>
      </c>
      <c r="G1581" t="str">
        <f>"2025-04-06 18:28:01.145"</f>
        <v>2025-04-06 18:28:01.145</v>
      </c>
      <c r="H1581" t="s">
        <v>38</v>
      </c>
    </row>
    <row r="1582" spans="1:10" x14ac:dyDescent="0.25">
      <c r="A1582" s="1">
        <v>652</v>
      </c>
      <c r="B1582" t="s">
        <v>19</v>
      </c>
      <c r="C1582">
        <v>706</v>
      </c>
      <c r="D1582">
        <v>4</v>
      </c>
      <c r="E1582" t="s">
        <v>32</v>
      </c>
      <c r="F1582" t="s">
        <v>33</v>
      </c>
      <c r="G1582" t="str">
        <f>"2025-04-06 18:27:31.029"</f>
        <v>2025-04-06 18:27:31.029</v>
      </c>
      <c r="H1582" t="s">
        <v>21</v>
      </c>
      <c r="I1582">
        <v>0</v>
      </c>
      <c r="J1582" t="s">
        <v>34</v>
      </c>
    </row>
    <row r="1583" spans="1:10" x14ac:dyDescent="0.25">
      <c r="A1583" s="1">
        <v>653</v>
      </c>
      <c r="B1583" t="s">
        <v>39</v>
      </c>
      <c r="C1583">
        <v>630</v>
      </c>
      <c r="D1583">
        <v>5</v>
      </c>
      <c r="E1583" t="s">
        <v>36</v>
      </c>
      <c r="F1583" t="s">
        <v>37</v>
      </c>
      <c r="G1583" t="str">
        <f>"2025-04-06 18:24:36.446"</f>
        <v>2025-04-06 18:24:36.446</v>
      </c>
      <c r="H1583" t="s">
        <v>38</v>
      </c>
      <c r="I1583">
        <v>0</v>
      </c>
      <c r="J1583" t="s">
        <v>34</v>
      </c>
    </row>
    <row r="1584" spans="1:10" x14ac:dyDescent="0.25">
      <c r="A1584" s="1">
        <v>654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"2025-04-06 18:19:33.599"</f>
        <v>2025-04-06 18:19:33.599</v>
      </c>
      <c r="H1584" t="s">
        <v>21</v>
      </c>
      <c r="I1584">
        <v>0</v>
      </c>
      <c r="J1584" t="s">
        <v>22</v>
      </c>
    </row>
    <row r="1585" spans="1:10" x14ac:dyDescent="0.25">
      <c r="A1585" s="1">
        <v>655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"2025-04-06 17:43:27.695"</f>
        <v>2025-04-06 17:43:27.695</v>
      </c>
      <c r="H1585" t="s">
        <v>21</v>
      </c>
      <c r="I1585">
        <v>0</v>
      </c>
      <c r="J1585" t="s">
        <v>22</v>
      </c>
    </row>
    <row r="1586" spans="1:10" x14ac:dyDescent="0.25">
      <c r="A1586" s="1">
        <v>656</v>
      </c>
      <c r="B1586" t="s">
        <v>23</v>
      </c>
      <c r="C1586">
        <v>635</v>
      </c>
      <c r="D1586">
        <v>1</v>
      </c>
      <c r="E1586" t="s">
        <v>24</v>
      </c>
      <c r="F1586" t="s">
        <v>25</v>
      </c>
      <c r="G1586" t="str">
        <f>"2025-04-06 12:28:58.417"</f>
        <v>2025-04-06 12:28:58.417</v>
      </c>
      <c r="H1586" t="s">
        <v>21</v>
      </c>
    </row>
    <row r="1587" spans="1:10" x14ac:dyDescent="0.25">
      <c r="A1587" s="1">
        <v>657</v>
      </c>
      <c r="B1587" t="s">
        <v>26</v>
      </c>
      <c r="C1587">
        <v>635</v>
      </c>
      <c r="D1587">
        <v>1</v>
      </c>
      <c r="E1587" t="s">
        <v>24</v>
      </c>
      <c r="F1587" t="s">
        <v>25</v>
      </c>
      <c r="G1587" t="str">
        <f>"2025-04-06 12:22:06.417"</f>
        <v>2025-04-06 12:22:06.417</v>
      </c>
      <c r="H1587" t="s">
        <v>21</v>
      </c>
      <c r="I1587">
        <v>8.7200000000000006</v>
      </c>
      <c r="J1587" t="s">
        <v>31</v>
      </c>
    </row>
    <row r="1588" spans="1:10" x14ac:dyDescent="0.25">
      <c r="A1588" s="1">
        <v>658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"2025-04-06 11:31:02.608"</f>
        <v>2025-04-06 11:31:02.608</v>
      </c>
      <c r="H1588" t="s">
        <v>21</v>
      </c>
      <c r="I1588">
        <v>0</v>
      </c>
      <c r="J1588" t="s">
        <v>22</v>
      </c>
    </row>
    <row r="1589" spans="1:10" x14ac:dyDescent="0.25">
      <c r="A1589" s="1">
        <v>659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"2025-04-04 08:47:57.583"</f>
        <v>2025-04-04 08:47:57.583</v>
      </c>
      <c r="H1589" t="s">
        <v>21</v>
      </c>
    </row>
    <row r="1590" spans="1:10" x14ac:dyDescent="0.25">
      <c r="A1590" s="1">
        <v>660</v>
      </c>
      <c r="B1590" t="s">
        <v>23</v>
      </c>
      <c r="C1590">
        <v>635</v>
      </c>
      <c r="D1590">
        <v>1</v>
      </c>
      <c r="E1590" t="s">
        <v>24</v>
      </c>
      <c r="F1590" t="s">
        <v>25</v>
      </c>
      <c r="G1590" t="str">
        <f>"2025-04-03 23:50:52.862"</f>
        <v>2025-04-03 23:50:52.862</v>
      </c>
      <c r="H1590" t="s">
        <v>21</v>
      </c>
    </row>
    <row r="1591" spans="1:10" x14ac:dyDescent="0.25">
      <c r="A1591" s="1">
        <v>661</v>
      </c>
      <c r="B1591" t="s">
        <v>26</v>
      </c>
      <c r="C1591">
        <v>635</v>
      </c>
      <c r="D1591">
        <v>1</v>
      </c>
      <c r="E1591" t="s">
        <v>24</v>
      </c>
      <c r="F1591" t="s">
        <v>25</v>
      </c>
      <c r="G1591" t="str">
        <f>"2025-04-03 23:47:42.862"</f>
        <v>2025-04-03 23:47:42.862</v>
      </c>
      <c r="H1591" t="s">
        <v>21</v>
      </c>
      <c r="I1591">
        <v>2.9</v>
      </c>
      <c r="J1591" t="s">
        <v>27</v>
      </c>
    </row>
    <row r="1592" spans="1:10" x14ac:dyDescent="0.25">
      <c r="A1592" s="1">
        <v>662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"2025-04-03 13:57:06.603"</f>
        <v>2025-04-03 13:57:06.603</v>
      </c>
      <c r="H1592" t="s">
        <v>21</v>
      </c>
      <c r="I1592">
        <v>0</v>
      </c>
      <c r="J1592" t="s">
        <v>22</v>
      </c>
    </row>
    <row r="1593" spans="1:10" x14ac:dyDescent="0.25">
      <c r="A1593" s="1">
        <v>663</v>
      </c>
      <c r="B1593" t="s">
        <v>23</v>
      </c>
      <c r="C1593">
        <v>635</v>
      </c>
      <c r="D1593">
        <v>1</v>
      </c>
      <c r="E1593" t="s">
        <v>24</v>
      </c>
      <c r="F1593" t="s">
        <v>25</v>
      </c>
      <c r="G1593" t="str">
        <f>"2025-04-03 03:17:39.894"</f>
        <v>2025-04-03 03:17:39.894</v>
      </c>
      <c r="H1593" t="s">
        <v>21</v>
      </c>
    </row>
    <row r="1594" spans="1:10" x14ac:dyDescent="0.25">
      <c r="A1594" s="1">
        <v>664</v>
      </c>
      <c r="B1594" t="s">
        <v>26</v>
      </c>
      <c r="C1594">
        <v>635</v>
      </c>
      <c r="D1594">
        <v>1</v>
      </c>
      <c r="E1594" t="s">
        <v>24</v>
      </c>
      <c r="F1594" t="s">
        <v>25</v>
      </c>
      <c r="G1594" t="str">
        <f>"2025-04-03 03:11:28.894"</f>
        <v>2025-04-03 03:11:28.894</v>
      </c>
      <c r="H1594" t="s">
        <v>21</v>
      </c>
      <c r="I1594">
        <v>3.93</v>
      </c>
      <c r="J1594" t="s">
        <v>27</v>
      </c>
    </row>
    <row r="1595" spans="1:10" s="3" customFormat="1" x14ac:dyDescent="0.25">
      <c r="A1595" s="2">
        <v>665</v>
      </c>
      <c r="B1595" s="3" t="s">
        <v>23</v>
      </c>
      <c r="C1595" s="3">
        <v>647</v>
      </c>
      <c r="D1595" s="3">
        <v>1</v>
      </c>
      <c r="E1595" s="3" t="s">
        <v>29</v>
      </c>
      <c r="F1595" s="3" t="s">
        <v>30</v>
      </c>
      <c r="G1595" s="3" t="str">
        <f>"2025-04-02 08:51:01.449"</f>
        <v>2025-04-02 08:51:01.449</v>
      </c>
      <c r="H1595" s="3" t="s">
        <v>21</v>
      </c>
    </row>
    <row r="1596" spans="1:10" s="3" customFormat="1" x14ac:dyDescent="0.25">
      <c r="A1596" s="2">
        <v>666</v>
      </c>
      <c r="B1596" s="3" t="s">
        <v>26</v>
      </c>
      <c r="C1596" s="3">
        <v>647</v>
      </c>
      <c r="D1596" s="3">
        <v>1</v>
      </c>
      <c r="E1596" s="3" t="s">
        <v>29</v>
      </c>
      <c r="F1596" s="3" t="s">
        <v>30</v>
      </c>
      <c r="G1596" s="3" t="str">
        <f>"2025-04-02 08:51:00.249"</f>
        <v>2025-04-02 08:51:00.249</v>
      </c>
      <c r="H1596" s="3" t="s">
        <v>21</v>
      </c>
      <c r="I1596" s="3">
        <v>8.1199999999999992</v>
      </c>
      <c r="J1596" s="3" t="s">
        <v>31</v>
      </c>
    </row>
    <row r="1597" spans="1:10" x14ac:dyDescent="0.25">
      <c r="A1597" s="1">
        <v>667</v>
      </c>
      <c r="B1597" t="s">
        <v>23</v>
      </c>
      <c r="C1597">
        <v>635</v>
      </c>
      <c r="D1597">
        <v>1</v>
      </c>
      <c r="E1597" t="s">
        <v>24</v>
      </c>
      <c r="F1597" t="s">
        <v>25</v>
      </c>
      <c r="G1597" t="str">
        <f>"2025-04-01 21:06:07.094"</f>
        <v>2025-04-01 21:06:07.094</v>
      </c>
      <c r="H1597" t="s">
        <v>21</v>
      </c>
    </row>
    <row r="1598" spans="1:10" x14ac:dyDescent="0.25">
      <c r="A1598" s="1">
        <v>668</v>
      </c>
      <c r="B1598" t="s">
        <v>26</v>
      </c>
      <c r="C1598">
        <v>635</v>
      </c>
      <c r="D1598">
        <v>1</v>
      </c>
      <c r="E1598" t="s">
        <v>24</v>
      </c>
      <c r="F1598" t="s">
        <v>25</v>
      </c>
      <c r="G1598" t="str">
        <f>"2025-04-01 20:58:37.094"</f>
        <v>2025-04-01 20:58:37.094</v>
      </c>
      <c r="H1598" t="s">
        <v>21</v>
      </c>
      <c r="I1598">
        <v>8.59</v>
      </c>
      <c r="J1598" t="s">
        <v>28</v>
      </c>
    </row>
    <row r="1599" spans="1:10" x14ac:dyDescent="0.25">
      <c r="A1599" s="1">
        <v>669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"2025-04-01 10:15:40.828"</f>
        <v>2025-04-01 10:15:40.828</v>
      </c>
      <c r="H1599" t="s">
        <v>21</v>
      </c>
    </row>
    <row r="1600" spans="1:10" x14ac:dyDescent="0.25">
      <c r="A1600" s="1">
        <v>670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"2025-03-31 08:08:19.592"</f>
        <v>2025-03-31 08:08:19.592</v>
      </c>
      <c r="H1600" t="s">
        <v>21</v>
      </c>
    </row>
    <row r="1601" spans="1:10" x14ac:dyDescent="0.25">
      <c r="A1601" s="1">
        <v>671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"2025-03-31 07:58:31.611"</f>
        <v>2025-03-31 07:58:31.611</v>
      </c>
      <c r="H1601" t="s">
        <v>21</v>
      </c>
      <c r="I1601">
        <v>0</v>
      </c>
      <c r="J1601" t="s">
        <v>22</v>
      </c>
    </row>
    <row r="1602" spans="1:10" s="3" customFormat="1" x14ac:dyDescent="0.25">
      <c r="A1602" s="2">
        <v>672</v>
      </c>
      <c r="B1602" s="3" t="s">
        <v>23</v>
      </c>
      <c r="C1602" s="3">
        <v>647</v>
      </c>
      <c r="D1602" s="3">
        <v>1</v>
      </c>
      <c r="E1602" s="3" t="s">
        <v>29</v>
      </c>
      <c r="F1602" s="3" t="s">
        <v>30</v>
      </c>
      <c r="G1602" s="3" t="str">
        <f>"2025-03-31 07:26:16.922"</f>
        <v>2025-03-31 07:26:16.922</v>
      </c>
      <c r="H1602" s="3" t="s">
        <v>21</v>
      </c>
    </row>
    <row r="1603" spans="1:10" s="3" customFormat="1" x14ac:dyDescent="0.25">
      <c r="A1603" s="2">
        <v>673</v>
      </c>
      <c r="B1603" s="3" t="s">
        <v>26</v>
      </c>
      <c r="C1603" s="3">
        <v>647</v>
      </c>
      <c r="D1603" s="3">
        <v>1</v>
      </c>
      <c r="E1603" s="3" t="s">
        <v>29</v>
      </c>
      <c r="F1603" s="3" t="s">
        <v>30</v>
      </c>
      <c r="G1603" s="3" t="str">
        <f>"2025-03-31 07:26:15.622"</f>
        <v>2025-03-31 07:26:15.622</v>
      </c>
      <c r="H1603" s="3" t="s">
        <v>21</v>
      </c>
      <c r="I1603" s="3">
        <v>15.4</v>
      </c>
      <c r="J1603" s="3" t="s">
        <v>31</v>
      </c>
    </row>
    <row r="1604" spans="1:10" x14ac:dyDescent="0.25">
      <c r="A1604" s="1">
        <v>674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"2025-03-30 13:54:52.619"</f>
        <v>2025-03-30 13:54:52.619</v>
      </c>
      <c r="H1604" t="s">
        <v>21</v>
      </c>
    </row>
    <row r="1605" spans="1:10" s="3" customFormat="1" x14ac:dyDescent="0.25">
      <c r="A1605" s="2">
        <v>675</v>
      </c>
      <c r="B1605" s="3" t="s">
        <v>23</v>
      </c>
      <c r="C1605" s="3">
        <v>647</v>
      </c>
      <c r="D1605" s="3">
        <v>1</v>
      </c>
      <c r="E1605" s="3" t="s">
        <v>29</v>
      </c>
      <c r="F1605" s="3" t="s">
        <v>30</v>
      </c>
      <c r="G1605" s="3" t="str">
        <f>"2025-03-29 18:06:38.779"</f>
        <v>2025-03-29 18:06:38.779</v>
      </c>
      <c r="H1605" s="3" t="s">
        <v>21</v>
      </c>
    </row>
    <row r="1606" spans="1:10" s="3" customFormat="1" x14ac:dyDescent="0.25">
      <c r="A1606" s="2">
        <v>676</v>
      </c>
      <c r="B1606" s="3" t="s">
        <v>26</v>
      </c>
      <c r="C1606" s="3">
        <v>647</v>
      </c>
      <c r="D1606" s="3">
        <v>1</v>
      </c>
      <c r="E1606" s="3" t="s">
        <v>29</v>
      </c>
      <c r="F1606" s="3" t="s">
        <v>30</v>
      </c>
      <c r="G1606" s="3" t="str">
        <f>"2025-03-29 18:06:37.680"</f>
        <v>2025-03-29 18:06:37.680</v>
      </c>
      <c r="H1606" s="3" t="s">
        <v>21</v>
      </c>
      <c r="I1606" s="3">
        <v>10.83</v>
      </c>
      <c r="J1606" s="3" t="s">
        <v>31</v>
      </c>
    </row>
    <row r="1607" spans="1:10" x14ac:dyDescent="0.25">
      <c r="A1607" s="1">
        <v>677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"2025-03-29 16:27:33.626"</f>
        <v>2025-03-29 16:27:33.626</v>
      </c>
      <c r="H1607" t="s">
        <v>21</v>
      </c>
    </row>
    <row r="1608" spans="1:10" x14ac:dyDescent="0.25">
      <c r="A1608" s="1">
        <v>678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"2025-03-29 13:28:59.635"</f>
        <v>2025-03-29 13:28:59.635</v>
      </c>
      <c r="H1608" t="s">
        <v>21</v>
      </c>
      <c r="I1608">
        <v>0</v>
      </c>
      <c r="J1608" t="s">
        <v>22</v>
      </c>
    </row>
    <row r="1609" spans="1:10" x14ac:dyDescent="0.25">
      <c r="A1609" s="1">
        <v>679</v>
      </c>
      <c r="B1609" t="s">
        <v>19</v>
      </c>
      <c r="C1609">
        <v>706</v>
      </c>
      <c r="D1609">
        <v>4</v>
      </c>
      <c r="E1609" t="s">
        <v>32</v>
      </c>
      <c r="F1609" t="s">
        <v>33</v>
      </c>
      <c r="G1609" t="str">
        <f>"2025-03-28 08:57:29.243"</f>
        <v>2025-03-28 08:57:29.243</v>
      </c>
      <c r="H1609" t="s">
        <v>21</v>
      </c>
      <c r="I1609">
        <v>0</v>
      </c>
      <c r="J1609" t="s">
        <v>34</v>
      </c>
    </row>
    <row r="1610" spans="1:10" x14ac:dyDescent="0.25">
      <c r="A1610" s="1">
        <v>680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"2025-03-28 08:56:38.603"</f>
        <v>2025-03-28 08:56:38.603</v>
      </c>
      <c r="H1610" t="s">
        <v>21</v>
      </c>
      <c r="I1610">
        <v>0</v>
      </c>
      <c r="J1610" t="s">
        <v>22</v>
      </c>
    </row>
    <row r="1611" spans="1:10" x14ac:dyDescent="0.25">
      <c r="A1611" s="1">
        <v>681</v>
      </c>
      <c r="B1611" t="s">
        <v>43</v>
      </c>
      <c r="C1611">
        <v>137</v>
      </c>
      <c r="D1611">
        <v>7</v>
      </c>
      <c r="E1611" t="s">
        <v>57</v>
      </c>
      <c r="F1611" t="s">
        <v>88</v>
      </c>
      <c r="G1611" t="str">
        <f>"2025-03-28 06:24:30.293"</f>
        <v>2025-03-28 06:24:30.293</v>
      </c>
      <c r="H1611" t="s">
        <v>49</v>
      </c>
    </row>
    <row r="1612" spans="1:10" x14ac:dyDescent="0.25">
      <c r="A1612" s="1">
        <v>682</v>
      </c>
      <c r="B1612" t="s">
        <v>39</v>
      </c>
      <c r="C1612">
        <v>137</v>
      </c>
      <c r="D1612">
        <v>7</v>
      </c>
      <c r="E1612" t="s">
        <v>57</v>
      </c>
      <c r="F1612" t="s">
        <v>88</v>
      </c>
      <c r="G1612" t="str">
        <f>"2025-03-28 06:24:25.258"</f>
        <v>2025-03-28 06:24:25.258</v>
      </c>
      <c r="H1612" t="s">
        <v>49</v>
      </c>
      <c r="I1612">
        <v>7.01</v>
      </c>
      <c r="J1612" t="s">
        <v>27</v>
      </c>
    </row>
    <row r="1613" spans="1:10" x14ac:dyDescent="0.25">
      <c r="A1613" s="1">
        <v>683</v>
      </c>
      <c r="B1613" t="s">
        <v>43</v>
      </c>
      <c r="C1613">
        <v>135</v>
      </c>
      <c r="D1613">
        <v>7</v>
      </c>
      <c r="E1613" t="s">
        <v>47</v>
      </c>
      <c r="F1613" t="s">
        <v>48</v>
      </c>
      <c r="G1613" t="str">
        <f>"2025-03-28 04:39:36.693"</f>
        <v>2025-03-28 04:39:36.693</v>
      </c>
      <c r="H1613" t="s">
        <v>49</v>
      </c>
    </row>
    <row r="1614" spans="1:10" x14ac:dyDescent="0.25">
      <c r="A1614" s="1">
        <v>684</v>
      </c>
      <c r="B1614" t="s">
        <v>39</v>
      </c>
      <c r="C1614">
        <v>135</v>
      </c>
      <c r="D1614">
        <v>7</v>
      </c>
      <c r="E1614" t="s">
        <v>47</v>
      </c>
      <c r="F1614" t="s">
        <v>48</v>
      </c>
      <c r="G1614" t="str">
        <f>"2025-03-28 04:39:31.658"</f>
        <v>2025-03-28 04:39:31.658</v>
      </c>
      <c r="H1614" t="s">
        <v>49</v>
      </c>
      <c r="I1614">
        <v>14.94</v>
      </c>
      <c r="J1614" t="s">
        <v>27</v>
      </c>
    </row>
    <row r="1615" spans="1:10" s="3" customFormat="1" x14ac:dyDescent="0.25">
      <c r="A1615" s="2">
        <v>685</v>
      </c>
      <c r="B1615" s="3" t="s">
        <v>23</v>
      </c>
      <c r="C1615" s="3">
        <v>647</v>
      </c>
      <c r="D1615" s="3">
        <v>1</v>
      </c>
      <c r="E1615" s="3" t="s">
        <v>29</v>
      </c>
      <c r="F1615" s="3" t="s">
        <v>30</v>
      </c>
      <c r="G1615" s="3" t="str">
        <f>"2025-03-27 09:26:45.506"</f>
        <v>2025-03-27 09:26:45.506</v>
      </c>
      <c r="H1615" s="3" t="s">
        <v>21</v>
      </c>
    </row>
    <row r="1616" spans="1:10" s="3" customFormat="1" x14ac:dyDescent="0.25">
      <c r="A1616" s="2">
        <v>686</v>
      </c>
      <c r="B1616" s="3" t="s">
        <v>26</v>
      </c>
      <c r="C1616" s="3">
        <v>647</v>
      </c>
      <c r="D1616" s="3">
        <v>1</v>
      </c>
      <c r="E1616" s="3" t="s">
        <v>29</v>
      </c>
      <c r="F1616" s="3" t="s">
        <v>30</v>
      </c>
      <c r="G1616" s="3" t="str">
        <f>"2025-03-27 09:26:42.606"</f>
        <v>2025-03-27 09:26:42.606</v>
      </c>
      <c r="H1616" s="3" t="s">
        <v>21</v>
      </c>
      <c r="I1616" s="3">
        <v>19.510000000000002</v>
      </c>
      <c r="J1616" s="3" t="s">
        <v>31</v>
      </c>
    </row>
    <row r="1617" spans="1:10" x14ac:dyDescent="0.25">
      <c r="A1617" s="1">
        <v>687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"2025-03-26 15:52:05.585"</f>
        <v>2025-03-26 15:52:05.585</v>
      </c>
      <c r="H1617" t="s">
        <v>21</v>
      </c>
      <c r="I1617">
        <v>0</v>
      </c>
      <c r="J1617" t="s">
        <v>22</v>
      </c>
    </row>
    <row r="1618" spans="1:10" x14ac:dyDescent="0.25">
      <c r="A1618" s="1">
        <v>688</v>
      </c>
      <c r="B1618" t="s">
        <v>19</v>
      </c>
      <c r="C1618">
        <v>706</v>
      </c>
      <c r="D1618">
        <v>4</v>
      </c>
      <c r="E1618" t="s">
        <v>32</v>
      </c>
      <c r="F1618" t="s">
        <v>33</v>
      </c>
      <c r="G1618" t="str">
        <f>"2025-03-26 14:37:39.177"</f>
        <v>2025-03-26 14:37:39.177</v>
      </c>
      <c r="H1618" t="s">
        <v>21</v>
      </c>
      <c r="I1618">
        <v>0</v>
      </c>
      <c r="J1618" t="s">
        <v>34</v>
      </c>
    </row>
    <row r="1619" spans="1:10" x14ac:dyDescent="0.25">
      <c r="A1619" s="1">
        <v>689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"2025-03-26 14:37:19.587"</f>
        <v>2025-03-26 14:37:19.587</v>
      </c>
      <c r="H1619" t="s">
        <v>21</v>
      </c>
    </row>
    <row r="1620" spans="1:10" x14ac:dyDescent="0.25">
      <c r="A1620" s="1">
        <v>690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"2025-03-26 09:52:18.660"</f>
        <v>2025-03-26 09:52:18.660</v>
      </c>
      <c r="H1620" t="s">
        <v>21</v>
      </c>
    </row>
    <row r="1621" spans="1:10" x14ac:dyDescent="0.25">
      <c r="A1621" s="1">
        <v>691</v>
      </c>
      <c r="B1621" t="s">
        <v>39</v>
      </c>
      <c r="C1621">
        <v>630</v>
      </c>
      <c r="D1621">
        <v>5</v>
      </c>
      <c r="E1621" t="s">
        <v>36</v>
      </c>
      <c r="F1621" t="s">
        <v>37</v>
      </c>
      <c r="G1621" t="str">
        <f>"2025-03-26 09:46:28.097"</f>
        <v>2025-03-26 09:46:28.097</v>
      </c>
      <c r="H1621" t="s">
        <v>38</v>
      </c>
      <c r="I1621">
        <v>0</v>
      </c>
      <c r="J1621" t="s">
        <v>34</v>
      </c>
    </row>
    <row r="1622" spans="1:10" x14ac:dyDescent="0.25">
      <c r="A1622" s="1">
        <v>692</v>
      </c>
      <c r="B1622" t="s">
        <v>19</v>
      </c>
      <c r="C1622">
        <v>706</v>
      </c>
      <c r="D1622">
        <v>4</v>
      </c>
      <c r="E1622" t="s">
        <v>32</v>
      </c>
      <c r="F1622" t="s">
        <v>33</v>
      </c>
      <c r="G1622" t="str">
        <f>"2025-03-26 09:39:04.461"</f>
        <v>2025-03-26 09:39:04.461</v>
      </c>
      <c r="H1622" t="s">
        <v>21</v>
      </c>
      <c r="I1622">
        <v>0</v>
      </c>
      <c r="J1622" t="s">
        <v>34</v>
      </c>
    </row>
    <row r="1623" spans="1:10" x14ac:dyDescent="0.25">
      <c r="A1623" s="1">
        <v>693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"2025-03-26 09:38:45.841"</f>
        <v>2025-03-26 09:38:45.841</v>
      </c>
      <c r="H1623" t="s">
        <v>21</v>
      </c>
      <c r="I1623">
        <v>0</v>
      </c>
      <c r="J1623" t="s">
        <v>22</v>
      </c>
    </row>
    <row r="1624" spans="1:10" x14ac:dyDescent="0.25">
      <c r="A1624" s="1">
        <v>694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"2025-03-26 08:53:56.586"</f>
        <v>2025-03-26 08:53:56.586</v>
      </c>
      <c r="H1624" t="s">
        <v>21</v>
      </c>
    </row>
    <row r="1625" spans="1:10" x14ac:dyDescent="0.25">
      <c r="A1625" s="1">
        <v>695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"2025-03-26 08:39:36.581"</f>
        <v>2025-03-26 08:39:36.581</v>
      </c>
      <c r="H1625" t="s">
        <v>21</v>
      </c>
    </row>
    <row r="1626" spans="1:10" x14ac:dyDescent="0.25">
      <c r="A1626" s="1">
        <v>696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"2025-03-26 08:13:02.621"</f>
        <v>2025-03-26 08:13:02.621</v>
      </c>
      <c r="H1626" t="s">
        <v>21</v>
      </c>
      <c r="I1626">
        <v>0</v>
      </c>
      <c r="J1626" t="s">
        <v>22</v>
      </c>
    </row>
    <row r="1627" spans="1:10" x14ac:dyDescent="0.25">
      <c r="A1627" s="1">
        <v>697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"2025-03-25 09:54:08.597"</f>
        <v>2025-03-25 09:54:08.597</v>
      </c>
      <c r="H1627" t="s">
        <v>21</v>
      </c>
    </row>
    <row r="1628" spans="1:10" x14ac:dyDescent="0.25">
      <c r="A1628" s="1">
        <v>698</v>
      </c>
      <c r="B1628" t="s">
        <v>23</v>
      </c>
      <c r="C1628">
        <v>635</v>
      </c>
      <c r="D1628">
        <v>1</v>
      </c>
      <c r="E1628" t="s">
        <v>24</v>
      </c>
      <c r="F1628" t="s">
        <v>25</v>
      </c>
      <c r="G1628" t="str">
        <f>"2025-03-24 22:29:02.192"</f>
        <v>2025-03-24 22:29:02.192</v>
      </c>
      <c r="H1628" t="s">
        <v>21</v>
      </c>
    </row>
    <row r="1629" spans="1:10" x14ac:dyDescent="0.25">
      <c r="A1629" s="1">
        <v>699</v>
      </c>
      <c r="B1629" t="s">
        <v>26</v>
      </c>
      <c r="C1629">
        <v>635</v>
      </c>
      <c r="D1629">
        <v>1</v>
      </c>
      <c r="E1629" t="s">
        <v>24</v>
      </c>
      <c r="F1629" t="s">
        <v>25</v>
      </c>
      <c r="G1629" t="str">
        <f>"2025-03-24 22:25:19.192"</f>
        <v>2025-03-24 22:25:19.192</v>
      </c>
      <c r="H1629" t="s">
        <v>21</v>
      </c>
      <c r="I1629">
        <v>7.39</v>
      </c>
      <c r="J1629" t="s">
        <v>28</v>
      </c>
    </row>
    <row r="1630" spans="1:10" x14ac:dyDescent="0.25">
      <c r="A1630" s="1">
        <v>700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"2025-03-24 10:39:59.623"</f>
        <v>2025-03-24 10:39:59.623</v>
      </c>
      <c r="H1630" t="s">
        <v>21</v>
      </c>
    </row>
    <row r="1631" spans="1:10" x14ac:dyDescent="0.25">
      <c r="A1631" s="1">
        <v>701</v>
      </c>
      <c r="B1631" t="s">
        <v>23</v>
      </c>
      <c r="C1631">
        <v>630</v>
      </c>
      <c r="D1631">
        <v>5</v>
      </c>
      <c r="E1631" t="s">
        <v>36</v>
      </c>
      <c r="F1631" t="s">
        <v>37</v>
      </c>
      <c r="G1631" t="str">
        <f>"2025-03-24 01:23:06.830"</f>
        <v>2025-03-24 01:23:06.830</v>
      </c>
      <c r="H1631" t="s">
        <v>38</v>
      </c>
    </row>
    <row r="1632" spans="1:10" x14ac:dyDescent="0.25">
      <c r="A1632" s="1">
        <v>702</v>
      </c>
      <c r="B1632" t="s">
        <v>19</v>
      </c>
      <c r="C1632">
        <v>706</v>
      </c>
      <c r="D1632">
        <v>4</v>
      </c>
      <c r="E1632" t="s">
        <v>32</v>
      </c>
      <c r="F1632" t="s">
        <v>33</v>
      </c>
      <c r="G1632" t="str">
        <f>"2025-03-24 01:22:36.742"</f>
        <v>2025-03-24 01:22:36.742</v>
      </c>
      <c r="H1632" t="s">
        <v>21</v>
      </c>
      <c r="I1632">
        <v>0</v>
      </c>
      <c r="J1632" t="s">
        <v>34</v>
      </c>
    </row>
    <row r="1633" spans="1:10" x14ac:dyDescent="0.25">
      <c r="A1633" s="1">
        <v>703</v>
      </c>
      <c r="B1633" t="s">
        <v>39</v>
      </c>
      <c r="C1633">
        <v>630</v>
      </c>
      <c r="D1633">
        <v>5</v>
      </c>
      <c r="E1633" t="s">
        <v>36</v>
      </c>
      <c r="F1633" t="s">
        <v>37</v>
      </c>
      <c r="G1633" t="str">
        <f>"2025-03-24 01:03:41.130"</f>
        <v>2025-03-24 01:03:41.130</v>
      </c>
      <c r="H1633" t="s">
        <v>38</v>
      </c>
      <c r="I1633">
        <v>0</v>
      </c>
      <c r="J1633" t="s">
        <v>34</v>
      </c>
    </row>
    <row r="1634" spans="1:10" x14ac:dyDescent="0.25">
      <c r="A1634" s="1">
        <v>704</v>
      </c>
      <c r="B1634" t="s">
        <v>43</v>
      </c>
      <c r="C1634">
        <v>135</v>
      </c>
      <c r="D1634">
        <v>7</v>
      </c>
      <c r="E1634" t="s">
        <v>47</v>
      </c>
      <c r="F1634" t="s">
        <v>48</v>
      </c>
      <c r="G1634" t="str">
        <f>"2025-03-23 16:24:51.631"</f>
        <v>2025-03-23 16:24:51.631</v>
      </c>
      <c r="H1634" t="s">
        <v>49</v>
      </c>
    </row>
    <row r="1635" spans="1:10" x14ac:dyDescent="0.25">
      <c r="A1635" s="1">
        <v>705</v>
      </c>
      <c r="B1635" t="s">
        <v>39</v>
      </c>
      <c r="C1635">
        <v>135</v>
      </c>
      <c r="D1635">
        <v>7</v>
      </c>
      <c r="E1635" t="s">
        <v>47</v>
      </c>
      <c r="F1635" t="s">
        <v>48</v>
      </c>
      <c r="G1635" t="str">
        <f>"2025-03-23 16:24:46.556"</f>
        <v>2025-03-23 16:24:46.556</v>
      </c>
      <c r="H1635" t="s">
        <v>49</v>
      </c>
      <c r="I1635">
        <v>22.54</v>
      </c>
      <c r="J1635" t="s">
        <v>31</v>
      </c>
    </row>
    <row r="1636" spans="1:10" s="3" customFormat="1" x14ac:dyDescent="0.25">
      <c r="A1636" s="2">
        <v>706</v>
      </c>
      <c r="B1636" s="3" t="s">
        <v>23</v>
      </c>
      <c r="C1636" s="3">
        <v>647</v>
      </c>
      <c r="D1636" s="3">
        <v>1</v>
      </c>
      <c r="E1636" s="3" t="s">
        <v>29</v>
      </c>
      <c r="F1636" s="3" t="s">
        <v>30</v>
      </c>
      <c r="G1636" s="3" t="str">
        <f>"2025-03-23 13:33:10.031"</f>
        <v>2025-03-23 13:33:10.031</v>
      </c>
      <c r="H1636" s="3" t="s">
        <v>21</v>
      </c>
    </row>
    <row r="1637" spans="1:10" s="3" customFormat="1" x14ac:dyDescent="0.25">
      <c r="A1637" s="2">
        <v>707</v>
      </c>
      <c r="B1637" s="3" t="s">
        <v>26</v>
      </c>
      <c r="C1637" s="3">
        <v>647</v>
      </c>
      <c r="D1637" s="3">
        <v>1</v>
      </c>
      <c r="E1637" s="3" t="s">
        <v>29</v>
      </c>
      <c r="F1637" s="3" t="s">
        <v>30</v>
      </c>
      <c r="G1637" s="3" t="str">
        <f>"2025-03-23 13:33:08.731"</f>
        <v>2025-03-23 13:33:08.731</v>
      </c>
      <c r="H1637" s="3" t="s">
        <v>21</v>
      </c>
      <c r="I1637" s="3">
        <v>10.56</v>
      </c>
      <c r="J1637" s="3" t="s">
        <v>31</v>
      </c>
    </row>
    <row r="1638" spans="1:10" x14ac:dyDescent="0.25">
      <c r="A1638" s="1">
        <v>708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"2025-03-23 09:51:16.612"</f>
        <v>2025-03-23 09:51:16.612</v>
      </c>
      <c r="H1638" t="s">
        <v>21</v>
      </c>
      <c r="I1638">
        <v>0</v>
      </c>
      <c r="J1638" t="s">
        <v>22</v>
      </c>
    </row>
    <row r="1639" spans="1:10" x14ac:dyDescent="0.25">
      <c r="A1639" s="1">
        <v>709</v>
      </c>
      <c r="B1639" t="s">
        <v>23</v>
      </c>
      <c r="C1639">
        <v>635</v>
      </c>
      <c r="D1639">
        <v>1</v>
      </c>
      <c r="E1639" t="s">
        <v>24</v>
      </c>
      <c r="F1639" t="s">
        <v>25</v>
      </c>
      <c r="G1639" t="str">
        <f>"2025-03-22 23:46:19.415"</f>
        <v>2025-03-22 23:46:19.415</v>
      </c>
      <c r="H1639" t="s">
        <v>21</v>
      </c>
    </row>
    <row r="1640" spans="1:10" x14ac:dyDescent="0.25">
      <c r="A1640" s="1">
        <v>710</v>
      </c>
      <c r="B1640" t="s">
        <v>26</v>
      </c>
      <c r="C1640">
        <v>635</v>
      </c>
      <c r="D1640">
        <v>1</v>
      </c>
      <c r="E1640" t="s">
        <v>24</v>
      </c>
      <c r="F1640" t="s">
        <v>25</v>
      </c>
      <c r="G1640" t="str">
        <f>"2025-03-22 23:43:02.415"</f>
        <v>2025-03-22 23:43:02.415</v>
      </c>
      <c r="H1640" t="s">
        <v>21</v>
      </c>
      <c r="I1640">
        <v>5.7</v>
      </c>
      <c r="J1640" t="s">
        <v>27</v>
      </c>
    </row>
    <row r="1641" spans="1:10" x14ac:dyDescent="0.25">
      <c r="A1641" s="1">
        <v>711</v>
      </c>
      <c r="B1641" t="s">
        <v>43</v>
      </c>
      <c r="C1641">
        <v>135</v>
      </c>
      <c r="D1641">
        <v>4</v>
      </c>
      <c r="E1641" t="s">
        <v>47</v>
      </c>
      <c r="F1641" t="s">
        <v>56</v>
      </c>
      <c r="G1641" t="str">
        <f>"2025-03-22 05:31:44.240"</f>
        <v>2025-03-22 05:31:44.240</v>
      </c>
      <c r="H1641" t="s">
        <v>49</v>
      </c>
    </row>
    <row r="1642" spans="1:10" x14ac:dyDescent="0.25">
      <c r="A1642" s="1">
        <v>712</v>
      </c>
      <c r="B1642" t="s">
        <v>39</v>
      </c>
      <c r="C1642">
        <v>135</v>
      </c>
      <c r="D1642">
        <v>4</v>
      </c>
      <c r="E1642" t="s">
        <v>47</v>
      </c>
      <c r="F1642" t="s">
        <v>56</v>
      </c>
      <c r="G1642" t="str">
        <f>"2025-03-22 05:31:39.208"</f>
        <v>2025-03-22 05:31:39.208</v>
      </c>
      <c r="H1642" t="s">
        <v>49</v>
      </c>
      <c r="I1642">
        <v>22.64</v>
      </c>
      <c r="J1642" t="s">
        <v>31</v>
      </c>
    </row>
    <row r="1643" spans="1:10" x14ac:dyDescent="0.25">
      <c r="A1643" s="1">
        <v>713</v>
      </c>
      <c r="B1643" t="s">
        <v>23</v>
      </c>
      <c r="C1643">
        <v>630</v>
      </c>
      <c r="D1643">
        <v>5</v>
      </c>
      <c r="E1643" t="s">
        <v>36</v>
      </c>
      <c r="F1643" t="s">
        <v>37</v>
      </c>
      <c r="G1643" t="str">
        <f>"2025-03-21 17:05:27.616"</f>
        <v>2025-03-21 17:05:27.616</v>
      </c>
      <c r="H1643" t="s">
        <v>38</v>
      </c>
    </row>
    <row r="1644" spans="1:10" x14ac:dyDescent="0.25">
      <c r="A1644" s="1">
        <v>714</v>
      </c>
      <c r="B1644" t="s">
        <v>19</v>
      </c>
      <c r="C1644">
        <v>706</v>
      </c>
      <c r="D1644">
        <v>4</v>
      </c>
      <c r="E1644" t="s">
        <v>32</v>
      </c>
      <c r="F1644" t="s">
        <v>33</v>
      </c>
      <c r="G1644" t="str">
        <f>"2025-03-21 17:04:57.583"</f>
        <v>2025-03-21 17:04:57.583</v>
      </c>
      <c r="H1644" t="s">
        <v>21</v>
      </c>
      <c r="I1644">
        <v>0</v>
      </c>
      <c r="J1644" t="s">
        <v>34</v>
      </c>
    </row>
    <row r="1645" spans="1:10" x14ac:dyDescent="0.25">
      <c r="A1645" s="1">
        <v>715</v>
      </c>
      <c r="B1645" t="s">
        <v>39</v>
      </c>
      <c r="C1645">
        <v>630</v>
      </c>
      <c r="D1645">
        <v>5</v>
      </c>
      <c r="E1645" t="s">
        <v>36</v>
      </c>
      <c r="F1645" t="s">
        <v>37</v>
      </c>
      <c r="G1645" t="str">
        <f>"2025-03-21 16:45:41.416"</f>
        <v>2025-03-21 16:45:41.416</v>
      </c>
      <c r="H1645" t="s">
        <v>38</v>
      </c>
      <c r="I1645">
        <v>0</v>
      </c>
      <c r="J1645" t="s">
        <v>34</v>
      </c>
    </row>
    <row r="1646" spans="1:10" x14ac:dyDescent="0.25">
      <c r="A1646" s="1">
        <v>716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"2025-03-21 16:40:38.713"</f>
        <v>2025-03-21 16:40:38.713</v>
      </c>
      <c r="H1646" t="s">
        <v>21</v>
      </c>
    </row>
    <row r="1647" spans="1:10" x14ac:dyDescent="0.25">
      <c r="A1647" s="1">
        <v>717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"2025-03-21 16:18:24.607"</f>
        <v>2025-03-21 16:18:24.607</v>
      </c>
      <c r="H1647" t="s">
        <v>21</v>
      </c>
      <c r="I1647">
        <v>0</v>
      </c>
      <c r="J1647" t="s">
        <v>22</v>
      </c>
    </row>
    <row r="1648" spans="1:10" x14ac:dyDescent="0.25">
      <c r="A1648" s="1">
        <v>718</v>
      </c>
      <c r="B1648" t="s">
        <v>23</v>
      </c>
      <c r="C1648">
        <v>635</v>
      </c>
      <c r="D1648">
        <v>1</v>
      </c>
      <c r="E1648" t="s">
        <v>24</v>
      </c>
      <c r="F1648" t="s">
        <v>25</v>
      </c>
      <c r="G1648" t="str">
        <f>"2025-03-21 15:18:48.372"</f>
        <v>2025-03-21 15:18:48.372</v>
      </c>
      <c r="H1648" t="s">
        <v>21</v>
      </c>
    </row>
    <row r="1649" spans="1:10" x14ac:dyDescent="0.25">
      <c r="A1649" s="1">
        <v>719</v>
      </c>
      <c r="B1649" t="s">
        <v>26</v>
      </c>
      <c r="C1649">
        <v>635</v>
      </c>
      <c r="D1649">
        <v>1</v>
      </c>
      <c r="E1649" t="s">
        <v>24</v>
      </c>
      <c r="F1649" t="s">
        <v>25</v>
      </c>
      <c r="G1649" t="str">
        <f>"2025-03-21 15:13:31.874"</f>
        <v>2025-03-21 15:13:31.874</v>
      </c>
      <c r="H1649" t="s">
        <v>21</v>
      </c>
      <c r="I1649">
        <v>3.63</v>
      </c>
      <c r="J1649" t="s">
        <v>31</v>
      </c>
    </row>
    <row r="1650" spans="1:10" x14ac:dyDescent="0.25">
      <c r="A1650" s="1">
        <v>720</v>
      </c>
      <c r="B1650" t="s">
        <v>19</v>
      </c>
      <c r="C1650">
        <v>706</v>
      </c>
      <c r="D1650">
        <v>4</v>
      </c>
      <c r="E1650" t="s">
        <v>32</v>
      </c>
      <c r="F1650" t="s">
        <v>33</v>
      </c>
      <c r="G1650" t="str">
        <f>"2025-03-21 08:05:54.251"</f>
        <v>2025-03-21 08:05:54.251</v>
      </c>
      <c r="H1650" t="s">
        <v>21</v>
      </c>
      <c r="I1650">
        <v>0</v>
      </c>
      <c r="J1650" t="s">
        <v>34</v>
      </c>
    </row>
    <row r="1651" spans="1:10" x14ac:dyDescent="0.25">
      <c r="A1651" s="1">
        <v>721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"2025-03-21 08:05:33.601"</f>
        <v>2025-03-21 08:05:33.601</v>
      </c>
      <c r="H1651" t="s">
        <v>21</v>
      </c>
    </row>
    <row r="1652" spans="1:10" s="3" customFormat="1" x14ac:dyDescent="0.25">
      <c r="A1652" s="2">
        <v>722</v>
      </c>
      <c r="B1652" s="3" t="s">
        <v>23</v>
      </c>
      <c r="C1652" s="3">
        <v>647</v>
      </c>
      <c r="D1652" s="3">
        <v>1</v>
      </c>
      <c r="E1652" s="3" t="s">
        <v>29</v>
      </c>
      <c r="F1652" s="3" t="s">
        <v>30</v>
      </c>
      <c r="G1652" s="3" t="str">
        <f>"2025-03-20 08:10:46.807"</f>
        <v>2025-03-20 08:10:46.807</v>
      </c>
      <c r="H1652" s="3" t="s">
        <v>21</v>
      </c>
    </row>
    <row r="1653" spans="1:10" s="3" customFormat="1" x14ac:dyDescent="0.25">
      <c r="A1653" s="2">
        <v>723</v>
      </c>
      <c r="B1653" s="3" t="s">
        <v>26</v>
      </c>
      <c r="C1653" s="3">
        <v>647</v>
      </c>
      <c r="D1653" s="3">
        <v>1</v>
      </c>
      <c r="E1653" s="3" t="s">
        <v>29</v>
      </c>
      <c r="F1653" s="3" t="s">
        <v>30</v>
      </c>
      <c r="G1653" s="3" t="str">
        <f>"2025-03-20 08:10:44.707"</f>
        <v>2025-03-20 08:10:44.707</v>
      </c>
      <c r="H1653" s="3" t="s">
        <v>21</v>
      </c>
      <c r="I1653" s="3">
        <v>14.4</v>
      </c>
      <c r="J1653" s="3" t="s">
        <v>31</v>
      </c>
    </row>
    <row r="1654" spans="1:10" x14ac:dyDescent="0.25">
      <c r="A1654" s="1">
        <v>724</v>
      </c>
      <c r="B1654" t="s">
        <v>23</v>
      </c>
      <c r="C1654">
        <v>630</v>
      </c>
      <c r="D1654">
        <v>1</v>
      </c>
      <c r="E1654" t="s">
        <v>36</v>
      </c>
      <c r="F1654" t="s">
        <v>89</v>
      </c>
      <c r="G1654" t="str">
        <f>"2025-03-19 20:35:56.307"</f>
        <v>2025-03-19 20:35:56.307</v>
      </c>
      <c r="H1654" t="s">
        <v>38</v>
      </c>
    </row>
    <row r="1655" spans="1:10" x14ac:dyDescent="0.25">
      <c r="A1655" s="1">
        <v>725</v>
      </c>
      <c r="B1655" t="s">
        <v>39</v>
      </c>
      <c r="C1655">
        <v>630</v>
      </c>
      <c r="D1655">
        <v>1</v>
      </c>
      <c r="E1655" t="s">
        <v>36</v>
      </c>
      <c r="F1655" t="s">
        <v>89</v>
      </c>
      <c r="G1655" t="str">
        <f>"2025-03-19 20:35:15.707"</f>
        <v>2025-03-19 20:35:15.707</v>
      </c>
      <c r="H1655" t="s">
        <v>38</v>
      </c>
      <c r="I1655">
        <v>0</v>
      </c>
      <c r="J1655" t="s">
        <v>28</v>
      </c>
    </row>
    <row r="1656" spans="1:10" x14ac:dyDescent="0.25">
      <c r="A1656" s="1">
        <v>726</v>
      </c>
      <c r="B1656" t="s">
        <v>19</v>
      </c>
      <c r="C1656">
        <v>706</v>
      </c>
      <c r="D1656">
        <v>4</v>
      </c>
      <c r="E1656" t="s">
        <v>32</v>
      </c>
      <c r="F1656" t="s">
        <v>33</v>
      </c>
      <c r="G1656" t="str">
        <f>"2025-03-19 20:29:23.634"</f>
        <v>2025-03-19 20:29:23.634</v>
      </c>
      <c r="H1656" t="s">
        <v>21</v>
      </c>
      <c r="I1656">
        <v>0</v>
      </c>
      <c r="J1656" t="s">
        <v>34</v>
      </c>
    </row>
    <row r="1657" spans="1:10" x14ac:dyDescent="0.25">
      <c r="A1657" s="1">
        <v>727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"2025-03-19 20:28:06.574"</f>
        <v>2025-03-19 20:28:06.574</v>
      </c>
      <c r="H1657" t="s">
        <v>21</v>
      </c>
    </row>
    <row r="1658" spans="1:10" x14ac:dyDescent="0.25">
      <c r="A1658" s="1">
        <v>728</v>
      </c>
      <c r="B1658" t="s">
        <v>19</v>
      </c>
      <c r="C1658">
        <v>706</v>
      </c>
      <c r="D1658">
        <v>3</v>
      </c>
      <c r="E1658" t="s">
        <v>32</v>
      </c>
      <c r="F1658" t="s">
        <v>40</v>
      </c>
      <c r="G1658" t="str">
        <f>"2025-03-19 20:24:08.518"</f>
        <v>2025-03-19 20:24:08.518</v>
      </c>
      <c r="H1658" t="s">
        <v>21</v>
      </c>
      <c r="I1658">
        <v>0</v>
      </c>
      <c r="J1658" t="s">
        <v>34</v>
      </c>
    </row>
    <row r="1659" spans="1:10" x14ac:dyDescent="0.25">
      <c r="A1659" s="1">
        <v>729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"2025-03-19 20:14:55.778"</f>
        <v>2025-03-19 20:14:55.778</v>
      </c>
      <c r="H1659" t="s">
        <v>21</v>
      </c>
    </row>
    <row r="1660" spans="1:10" x14ac:dyDescent="0.25">
      <c r="A1660" s="1">
        <v>730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"2025-03-19 19:58:39.592"</f>
        <v>2025-03-19 19:58:39.592</v>
      </c>
      <c r="H1660" t="s">
        <v>21</v>
      </c>
    </row>
    <row r="1661" spans="1:10" x14ac:dyDescent="0.25">
      <c r="A1661" s="1">
        <v>731</v>
      </c>
      <c r="B1661" t="s">
        <v>23</v>
      </c>
      <c r="C1661">
        <v>630</v>
      </c>
      <c r="D1661">
        <v>1</v>
      </c>
      <c r="E1661" t="s">
        <v>36</v>
      </c>
      <c r="F1661" t="s">
        <v>89</v>
      </c>
      <c r="G1661" t="str">
        <f>"2025-03-19 19:52:45.811"</f>
        <v>2025-03-19 19:52:45.811</v>
      </c>
      <c r="H1661" t="s">
        <v>38</v>
      </c>
    </row>
    <row r="1662" spans="1:10" x14ac:dyDescent="0.25">
      <c r="A1662" s="1">
        <v>732</v>
      </c>
      <c r="B1662" t="s">
        <v>39</v>
      </c>
      <c r="C1662">
        <v>630</v>
      </c>
      <c r="D1662">
        <v>1</v>
      </c>
      <c r="E1662" t="s">
        <v>36</v>
      </c>
      <c r="F1662" t="s">
        <v>89</v>
      </c>
      <c r="G1662" t="str">
        <f>"2025-03-19 19:51:51.111"</f>
        <v>2025-03-19 19:51:51.111</v>
      </c>
      <c r="H1662" t="s">
        <v>38</v>
      </c>
      <c r="I1662">
        <v>0.9</v>
      </c>
      <c r="J1662" t="s">
        <v>31</v>
      </c>
    </row>
    <row r="1663" spans="1:10" x14ac:dyDescent="0.25">
      <c r="A1663" s="1">
        <v>733</v>
      </c>
      <c r="B1663" t="s">
        <v>50</v>
      </c>
      <c r="C1663">
        <v>630</v>
      </c>
      <c r="D1663">
        <v>1</v>
      </c>
      <c r="E1663" t="s">
        <v>36</v>
      </c>
      <c r="F1663" t="s">
        <v>89</v>
      </c>
      <c r="G1663" t="str">
        <f>"2025-03-19 19:51:51.058"</f>
        <v>2025-03-19 19:51:51.058</v>
      </c>
      <c r="H1663" t="s">
        <v>38</v>
      </c>
    </row>
    <row r="1664" spans="1:10" x14ac:dyDescent="0.25">
      <c r="A1664" s="1">
        <v>734</v>
      </c>
      <c r="B1664" t="s">
        <v>39</v>
      </c>
      <c r="C1664">
        <v>630</v>
      </c>
      <c r="D1664">
        <v>1</v>
      </c>
      <c r="E1664" t="s">
        <v>36</v>
      </c>
      <c r="F1664" t="s">
        <v>89</v>
      </c>
      <c r="G1664" t="str">
        <f>"2025-03-19 19:51:12.511"</f>
        <v>2025-03-19 19:51:12.511</v>
      </c>
      <c r="H1664" t="s">
        <v>38</v>
      </c>
      <c r="I1664">
        <v>13.91</v>
      </c>
      <c r="J1664" t="s">
        <v>27</v>
      </c>
    </row>
    <row r="1665" spans="1:10" x14ac:dyDescent="0.25">
      <c r="A1665" s="1">
        <v>735</v>
      </c>
      <c r="B1665" t="s">
        <v>23</v>
      </c>
      <c r="C1665">
        <v>635</v>
      </c>
      <c r="D1665">
        <v>1</v>
      </c>
      <c r="E1665" t="s">
        <v>24</v>
      </c>
      <c r="F1665" t="s">
        <v>25</v>
      </c>
      <c r="G1665" t="str">
        <f>"2025-03-19 15:20:01.910"</f>
        <v>2025-03-19 15:20:01.910</v>
      </c>
      <c r="H1665" t="s">
        <v>21</v>
      </c>
    </row>
    <row r="1666" spans="1:10" x14ac:dyDescent="0.25">
      <c r="A1666" s="1">
        <v>736</v>
      </c>
      <c r="B1666" t="s">
        <v>26</v>
      </c>
      <c r="C1666">
        <v>635</v>
      </c>
      <c r="D1666">
        <v>1</v>
      </c>
      <c r="E1666" t="s">
        <v>24</v>
      </c>
      <c r="F1666" t="s">
        <v>25</v>
      </c>
      <c r="G1666" t="str">
        <f>"2025-03-19 15:16:23.910"</f>
        <v>2025-03-19 15:16:23.910</v>
      </c>
      <c r="H1666" t="s">
        <v>21</v>
      </c>
      <c r="I1666">
        <v>4.66</v>
      </c>
      <c r="J1666" t="s">
        <v>31</v>
      </c>
    </row>
    <row r="1667" spans="1:10" x14ac:dyDescent="0.25">
      <c r="A1667" s="1">
        <v>737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"2025-03-19 08:03:46.578"</f>
        <v>2025-03-19 08:03:46.578</v>
      </c>
      <c r="H1667" t="s">
        <v>21</v>
      </c>
      <c r="I1667">
        <v>0</v>
      </c>
      <c r="J1667" t="s">
        <v>22</v>
      </c>
    </row>
    <row r="1668" spans="1:10" x14ac:dyDescent="0.25">
      <c r="A1668" s="1">
        <v>738</v>
      </c>
      <c r="B1668" t="s">
        <v>43</v>
      </c>
      <c r="C1668">
        <v>135</v>
      </c>
      <c r="D1668">
        <v>7</v>
      </c>
      <c r="E1668" t="s">
        <v>47</v>
      </c>
      <c r="F1668" t="s">
        <v>48</v>
      </c>
      <c r="G1668" t="str">
        <f>"2025-03-18 23:11:50.857"</f>
        <v>2025-03-18 23:11:50.857</v>
      </c>
      <c r="H1668" t="s">
        <v>49</v>
      </c>
    </row>
    <row r="1669" spans="1:10" x14ac:dyDescent="0.25">
      <c r="A1669" s="1">
        <v>739</v>
      </c>
      <c r="B1669" t="s">
        <v>39</v>
      </c>
      <c r="C1669">
        <v>135</v>
      </c>
      <c r="D1669">
        <v>7</v>
      </c>
      <c r="E1669" t="s">
        <v>47</v>
      </c>
      <c r="F1669" t="s">
        <v>48</v>
      </c>
      <c r="G1669" t="str">
        <f>"2025-03-18 23:11:45.798"</f>
        <v>2025-03-18 23:11:45.798</v>
      </c>
      <c r="H1669" t="s">
        <v>49</v>
      </c>
      <c r="I1669">
        <v>20.11</v>
      </c>
      <c r="J1669" t="s">
        <v>27</v>
      </c>
    </row>
    <row r="1670" spans="1:10" x14ac:dyDescent="0.25">
      <c r="A1670" s="1">
        <v>740</v>
      </c>
      <c r="B1670" t="s">
        <v>43</v>
      </c>
      <c r="C1670">
        <v>135</v>
      </c>
      <c r="D1670">
        <v>7</v>
      </c>
      <c r="E1670" t="s">
        <v>47</v>
      </c>
      <c r="F1670" t="s">
        <v>48</v>
      </c>
      <c r="G1670" t="str">
        <f>"2025-03-18 06:10:33.857"</f>
        <v>2025-03-18 06:10:33.857</v>
      </c>
      <c r="H1670" t="s">
        <v>49</v>
      </c>
    </row>
    <row r="1671" spans="1:10" x14ac:dyDescent="0.25">
      <c r="A1671" s="1">
        <v>741</v>
      </c>
      <c r="B1671" t="s">
        <v>39</v>
      </c>
      <c r="C1671">
        <v>135</v>
      </c>
      <c r="D1671">
        <v>7</v>
      </c>
      <c r="E1671" t="s">
        <v>47</v>
      </c>
      <c r="F1671" t="s">
        <v>48</v>
      </c>
      <c r="G1671" t="str">
        <f>"2025-03-18 06:10:28.758"</f>
        <v>2025-03-18 06:10:28.758</v>
      </c>
      <c r="H1671" t="s">
        <v>49</v>
      </c>
      <c r="I1671">
        <v>7.38</v>
      </c>
      <c r="J1671" t="s">
        <v>27</v>
      </c>
    </row>
    <row r="1672" spans="1:10" x14ac:dyDescent="0.25">
      <c r="A1672" s="1">
        <v>742</v>
      </c>
      <c r="B1672" t="s">
        <v>43</v>
      </c>
      <c r="C1672">
        <v>235</v>
      </c>
      <c r="D1672">
        <v>7</v>
      </c>
      <c r="E1672" t="s">
        <v>90</v>
      </c>
      <c r="F1672" t="s">
        <v>48</v>
      </c>
      <c r="G1672" t="str">
        <f>"2025-03-18 04:53:55.757"</f>
        <v>2025-03-18 04:53:55.757</v>
      </c>
      <c r="H1672" t="s">
        <v>64</v>
      </c>
    </row>
    <row r="1673" spans="1:10" x14ac:dyDescent="0.25">
      <c r="A1673" s="1">
        <v>743</v>
      </c>
      <c r="B1673" t="s">
        <v>39</v>
      </c>
      <c r="C1673">
        <v>235</v>
      </c>
      <c r="D1673">
        <v>7</v>
      </c>
      <c r="E1673" t="s">
        <v>90</v>
      </c>
      <c r="F1673" t="s">
        <v>48</v>
      </c>
      <c r="G1673" t="str">
        <f>"2025-03-18 04:53:50.658"</f>
        <v>2025-03-18 04:53:50.658</v>
      </c>
      <c r="H1673" t="s">
        <v>64</v>
      </c>
      <c r="I1673">
        <v>11.27</v>
      </c>
      <c r="J1673" t="s">
        <v>27</v>
      </c>
    </row>
    <row r="1674" spans="1:10" x14ac:dyDescent="0.25">
      <c r="A1674" s="1">
        <v>744</v>
      </c>
      <c r="B1674" t="s">
        <v>43</v>
      </c>
      <c r="C1674">
        <v>135</v>
      </c>
      <c r="D1674">
        <v>4</v>
      </c>
      <c r="E1674" t="s">
        <v>47</v>
      </c>
      <c r="F1674" t="s">
        <v>56</v>
      </c>
      <c r="G1674" t="str">
        <f>"2025-03-18 03:09:01.957"</f>
        <v>2025-03-18 03:09:01.957</v>
      </c>
      <c r="H1674" t="s">
        <v>49</v>
      </c>
    </row>
    <row r="1675" spans="1:10" x14ac:dyDescent="0.25">
      <c r="A1675" s="1">
        <v>745</v>
      </c>
      <c r="B1675" t="s">
        <v>39</v>
      </c>
      <c r="C1675">
        <v>135</v>
      </c>
      <c r="D1675">
        <v>4</v>
      </c>
      <c r="E1675" t="s">
        <v>47</v>
      </c>
      <c r="F1675" t="s">
        <v>56</v>
      </c>
      <c r="G1675" t="str">
        <f>"2025-03-18 03:08:56.878"</f>
        <v>2025-03-18 03:08:56.878</v>
      </c>
      <c r="H1675" t="s">
        <v>49</v>
      </c>
      <c r="I1675">
        <v>18.87</v>
      </c>
      <c r="J1675" t="s">
        <v>31</v>
      </c>
    </row>
    <row r="1676" spans="1:10" x14ac:dyDescent="0.25">
      <c r="A1676" s="1">
        <v>746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"2025-03-17 10:41:49.584"</f>
        <v>2025-03-17 10:41:49.584</v>
      </c>
      <c r="H1676" t="s">
        <v>21</v>
      </c>
      <c r="I1676">
        <v>0</v>
      </c>
      <c r="J1676" t="s">
        <v>22</v>
      </c>
    </row>
    <row r="1677" spans="1:10" x14ac:dyDescent="0.25">
      <c r="A1677" s="1">
        <v>747</v>
      </c>
      <c r="B1677" t="s">
        <v>23</v>
      </c>
      <c r="C1677">
        <v>635</v>
      </c>
      <c r="D1677">
        <v>1</v>
      </c>
      <c r="E1677" t="s">
        <v>24</v>
      </c>
      <c r="F1677" t="s">
        <v>25</v>
      </c>
      <c r="G1677" t="str">
        <f>"2025-03-15 17:16:22.550"</f>
        <v>2025-03-15 17:16:22.550</v>
      </c>
      <c r="H1677" t="s">
        <v>21</v>
      </c>
    </row>
    <row r="1678" spans="1:10" x14ac:dyDescent="0.25">
      <c r="A1678" s="1">
        <v>748</v>
      </c>
      <c r="B1678" t="s">
        <v>26</v>
      </c>
      <c r="C1678">
        <v>635</v>
      </c>
      <c r="D1678">
        <v>1</v>
      </c>
      <c r="E1678" t="s">
        <v>24</v>
      </c>
      <c r="F1678" t="s">
        <v>25</v>
      </c>
      <c r="G1678" t="str">
        <f>"2025-03-15 17:14:42.150"</f>
        <v>2025-03-15 17:14:42.150</v>
      </c>
      <c r="H1678" t="s">
        <v>21</v>
      </c>
      <c r="I1678">
        <v>7.99</v>
      </c>
      <c r="J1678" t="s">
        <v>27</v>
      </c>
    </row>
    <row r="1679" spans="1:10" x14ac:dyDescent="0.25">
      <c r="A1679" s="1">
        <v>749</v>
      </c>
      <c r="B1679" t="s">
        <v>23</v>
      </c>
      <c r="C1679">
        <v>630</v>
      </c>
      <c r="D1679">
        <v>5</v>
      </c>
      <c r="E1679" t="s">
        <v>36</v>
      </c>
      <c r="F1679" t="s">
        <v>37</v>
      </c>
      <c r="G1679" t="str">
        <f>"2025-03-15 15:10:36.404"</f>
        <v>2025-03-15 15:10:36.404</v>
      </c>
      <c r="H1679" t="s">
        <v>38</v>
      </c>
    </row>
    <row r="1680" spans="1:10" x14ac:dyDescent="0.25">
      <c r="A1680" s="1">
        <v>750</v>
      </c>
      <c r="B1680" t="s">
        <v>50</v>
      </c>
      <c r="C1680">
        <v>47</v>
      </c>
      <c r="D1680">
        <v>2</v>
      </c>
      <c r="E1680" t="s">
        <v>71</v>
      </c>
      <c r="F1680" t="s">
        <v>72</v>
      </c>
      <c r="G1680" t="str">
        <f>"2025-03-15 15:10:13.603"</f>
        <v>2025-03-15 15:10:13.603</v>
      </c>
      <c r="H1680" t="s">
        <v>73</v>
      </c>
    </row>
    <row r="1681" spans="1:10" x14ac:dyDescent="0.25">
      <c r="A1681" s="1">
        <v>751</v>
      </c>
      <c r="B1681" t="s">
        <v>39</v>
      </c>
      <c r="C1681">
        <v>47</v>
      </c>
      <c r="D1681">
        <v>2</v>
      </c>
      <c r="E1681" t="s">
        <v>71</v>
      </c>
      <c r="F1681" t="s">
        <v>72</v>
      </c>
      <c r="G1681" t="str">
        <f>"2025-03-15 15:10:11.904"</f>
        <v>2025-03-15 15:10:11.904</v>
      </c>
      <c r="H1681" t="s">
        <v>73</v>
      </c>
      <c r="I1681">
        <v>0</v>
      </c>
      <c r="J1681" t="s">
        <v>34</v>
      </c>
    </row>
    <row r="1682" spans="1:10" x14ac:dyDescent="0.25">
      <c r="A1682" s="1">
        <v>752</v>
      </c>
      <c r="B1682" t="s">
        <v>19</v>
      </c>
      <c r="C1682">
        <v>706</v>
      </c>
      <c r="D1682">
        <v>4</v>
      </c>
      <c r="E1682" t="s">
        <v>32</v>
      </c>
      <c r="F1682" t="s">
        <v>33</v>
      </c>
      <c r="G1682" t="str">
        <f>"2025-03-15 15:10:06.312"</f>
        <v>2025-03-15 15:10:06.312</v>
      </c>
      <c r="H1682" t="s">
        <v>21</v>
      </c>
      <c r="I1682">
        <v>0</v>
      </c>
      <c r="J1682" t="s">
        <v>34</v>
      </c>
    </row>
    <row r="1683" spans="1:10" x14ac:dyDescent="0.25">
      <c r="A1683" s="1">
        <v>753</v>
      </c>
      <c r="B1683" t="s">
        <v>39</v>
      </c>
      <c r="C1683">
        <v>630</v>
      </c>
      <c r="D1683">
        <v>5</v>
      </c>
      <c r="E1683" t="s">
        <v>36</v>
      </c>
      <c r="F1683" t="s">
        <v>37</v>
      </c>
      <c r="G1683" t="str">
        <f>"2025-03-15 14:52:58.304"</f>
        <v>2025-03-15 14:52:58.304</v>
      </c>
      <c r="H1683" t="s">
        <v>38</v>
      </c>
      <c r="I1683">
        <v>0</v>
      </c>
      <c r="J1683" t="s">
        <v>34</v>
      </c>
    </row>
    <row r="1684" spans="1:10" x14ac:dyDescent="0.25">
      <c r="A1684" s="1">
        <v>754</v>
      </c>
      <c r="B1684" t="s">
        <v>19</v>
      </c>
      <c r="C1684">
        <v>706</v>
      </c>
      <c r="D1684">
        <v>3</v>
      </c>
      <c r="E1684" t="s">
        <v>32</v>
      </c>
      <c r="F1684" t="s">
        <v>40</v>
      </c>
      <c r="G1684" t="str">
        <f>"2025-03-15 14:47:55.752"</f>
        <v>2025-03-15 14:47:55.752</v>
      </c>
      <c r="H1684" t="s">
        <v>21</v>
      </c>
      <c r="I1684">
        <v>0</v>
      </c>
      <c r="J1684" t="s">
        <v>34</v>
      </c>
    </row>
    <row r="1685" spans="1:10" x14ac:dyDescent="0.25">
      <c r="A1685" s="1">
        <v>755</v>
      </c>
      <c r="B1685" t="s">
        <v>23</v>
      </c>
      <c r="C1685">
        <v>630</v>
      </c>
      <c r="D1685">
        <v>5</v>
      </c>
      <c r="E1685" t="s">
        <v>36</v>
      </c>
      <c r="F1685" t="s">
        <v>37</v>
      </c>
      <c r="G1685" t="str">
        <f>"2025-03-15 14:46:07.304"</f>
        <v>2025-03-15 14:46:07.304</v>
      </c>
      <c r="H1685" t="s">
        <v>38</v>
      </c>
    </row>
    <row r="1686" spans="1:10" x14ac:dyDescent="0.25">
      <c r="A1686" s="1">
        <v>756</v>
      </c>
      <c r="B1686" t="s">
        <v>19</v>
      </c>
      <c r="C1686">
        <v>706</v>
      </c>
      <c r="D1686">
        <v>2</v>
      </c>
      <c r="E1686" t="s">
        <v>32</v>
      </c>
      <c r="F1686" t="s">
        <v>35</v>
      </c>
      <c r="G1686" t="str">
        <f>"2025-03-15 14:45:37.232"</f>
        <v>2025-03-15 14:45:37.232</v>
      </c>
      <c r="H1686" t="s">
        <v>21</v>
      </c>
      <c r="I1686">
        <v>0</v>
      </c>
      <c r="J1686" t="s">
        <v>34</v>
      </c>
    </row>
    <row r="1687" spans="1:10" x14ac:dyDescent="0.25">
      <c r="A1687" s="1">
        <v>757</v>
      </c>
      <c r="B1687" t="s">
        <v>39</v>
      </c>
      <c r="C1687">
        <v>630</v>
      </c>
      <c r="D1687">
        <v>5</v>
      </c>
      <c r="E1687" t="s">
        <v>36</v>
      </c>
      <c r="F1687" t="s">
        <v>37</v>
      </c>
      <c r="G1687" t="str">
        <f>"2025-03-15 14:40:33.304"</f>
        <v>2025-03-15 14:40:33.304</v>
      </c>
      <c r="H1687" t="s">
        <v>38</v>
      </c>
      <c r="I1687">
        <v>0</v>
      </c>
      <c r="J1687" t="s">
        <v>34</v>
      </c>
    </row>
    <row r="1688" spans="1:10" x14ac:dyDescent="0.25">
      <c r="A1688" s="1">
        <v>758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"2025-03-15 14:35:30.562"</f>
        <v>2025-03-15 14:35:30.562</v>
      </c>
      <c r="H1688" t="s">
        <v>21</v>
      </c>
    </row>
    <row r="1689" spans="1:10" x14ac:dyDescent="0.25">
      <c r="A1689" s="1">
        <v>759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"2025-03-15 14:33:50.722"</f>
        <v>2025-03-15 14:33:50.722</v>
      </c>
      <c r="H1689" t="s">
        <v>21</v>
      </c>
    </row>
    <row r="1690" spans="1:10" x14ac:dyDescent="0.25">
      <c r="A1690" s="1">
        <v>760</v>
      </c>
      <c r="B1690" t="s">
        <v>43</v>
      </c>
      <c r="C1690">
        <v>135</v>
      </c>
      <c r="D1690">
        <v>7</v>
      </c>
      <c r="E1690" t="s">
        <v>47</v>
      </c>
      <c r="F1690" t="s">
        <v>48</v>
      </c>
      <c r="G1690" t="str">
        <f>"2025-03-15 08:50:40.563"</f>
        <v>2025-03-15 08:50:40.563</v>
      </c>
      <c r="H1690" t="s">
        <v>49</v>
      </c>
    </row>
    <row r="1691" spans="1:10" x14ac:dyDescent="0.25">
      <c r="A1691" s="1">
        <v>761</v>
      </c>
      <c r="B1691" t="s">
        <v>39</v>
      </c>
      <c r="C1691">
        <v>135</v>
      </c>
      <c r="D1691">
        <v>7</v>
      </c>
      <c r="E1691" t="s">
        <v>47</v>
      </c>
      <c r="F1691" t="s">
        <v>48</v>
      </c>
      <c r="G1691" t="str">
        <f>"2025-03-15 08:50:35.542"</f>
        <v>2025-03-15 08:50:35.542</v>
      </c>
      <c r="H1691" t="s">
        <v>49</v>
      </c>
      <c r="I1691">
        <v>15.91</v>
      </c>
      <c r="J1691" t="s">
        <v>27</v>
      </c>
    </row>
    <row r="1692" spans="1:10" x14ac:dyDescent="0.25">
      <c r="A1692" s="1">
        <v>762</v>
      </c>
      <c r="B1692" t="s">
        <v>43</v>
      </c>
      <c r="C1692">
        <v>235</v>
      </c>
      <c r="D1692">
        <v>7</v>
      </c>
      <c r="E1692" t="s">
        <v>90</v>
      </c>
      <c r="F1692" t="s">
        <v>48</v>
      </c>
      <c r="G1692" t="str">
        <f>"2025-03-15 07:45:08.963"</f>
        <v>2025-03-15 07:45:08.963</v>
      </c>
      <c r="H1692" t="s">
        <v>64</v>
      </c>
    </row>
    <row r="1693" spans="1:10" x14ac:dyDescent="0.25">
      <c r="A1693" s="1">
        <v>763</v>
      </c>
      <c r="B1693" t="s">
        <v>39</v>
      </c>
      <c r="C1693">
        <v>235</v>
      </c>
      <c r="D1693">
        <v>7</v>
      </c>
      <c r="E1693" t="s">
        <v>90</v>
      </c>
      <c r="F1693" t="s">
        <v>48</v>
      </c>
      <c r="G1693" t="str">
        <f>"2025-03-15 07:45:03.962"</f>
        <v>2025-03-15 07:45:03.962</v>
      </c>
      <c r="H1693" t="s">
        <v>64</v>
      </c>
      <c r="I1693">
        <v>9.7100000000000009</v>
      </c>
      <c r="J1693" t="s">
        <v>27</v>
      </c>
    </row>
    <row r="1694" spans="1:10" x14ac:dyDescent="0.25">
      <c r="A1694" s="1">
        <v>764</v>
      </c>
      <c r="B1694" t="s">
        <v>43</v>
      </c>
      <c r="C1694">
        <v>135</v>
      </c>
      <c r="D1694">
        <v>1</v>
      </c>
      <c r="E1694" t="s">
        <v>47</v>
      </c>
      <c r="F1694" t="s">
        <v>91</v>
      </c>
      <c r="G1694" t="str">
        <f>"2025-03-15 06:58:48.060"</f>
        <v>2025-03-15 06:58:48.060</v>
      </c>
      <c r="H1694" t="s">
        <v>49</v>
      </c>
    </row>
    <row r="1695" spans="1:10" x14ac:dyDescent="0.25">
      <c r="A1695" s="1">
        <v>765</v>
      </c>
      <c r="B1695" t="s">
        <v>39</v>
      </c>
      <c r="C1695">
        <v>135</v>
      </c>
      <c r="D1695">
        <v>1</v>
      </c>
      <c r="E1695" t="s">
        <v>47</v>
      </c>
      <c r="F1695" t="s">
        <v>91</v>
      </c>
      <c r="G1695" t="str">
        <f>"2025-03-15 06:58:43.022"</f>
        <v>2025-03-15 06:58:43.022</v>
      </c>
      <c r="H1695" t="s">
        <v>49</v>
      </c>
      <c r="I1695">
        <v>6.85</v>
      </c>
      <c r="J1695" t="s">
        <v>27</v>
      </c>
    </row>
    <row r="1696" spans="1:10" x14ac:dyDescent="0.25">
      <c r="A1696" s="1">
        <v>766</v>
      </c>
      <c r="B1696" t="s">
        <v>43</v>
      </c>
      <c r="C1696">
        <v>135</v>
      </c>
      <c r="D1696">
        <v>7</v>
      </c>
      <c r="E1696" t="s">
        <v>47</v>
      </c>
      <c r="F1696" t="s">
        <v>48</v>
      </c>
      <c r="G1696" t="str">
        <f>"2025-03-15 01:32:32.261"</f>
        <v>2025-03-15 01:32:32.261</v>
      </c>
      <c r="H1696" t="s">
        <v>49</v>
      </c>
    </row>
    <row r="1697" spans="1:10" x14ac:dyDescent="0.25">
      <c r="A1697" s="1">
        <v>767</v>
      </c>
      <c r="B1697" t="s">
        <v>39</v>
      </c>
      <c r="C1697">
        <v>135</v>
      </c>
      <c r="D1697">
        <v>7</v>
      </c>
      <c r="E1697" t="s">
        <v>47</v>
      </c>
      <c r="F1697" t="s">
        <v>48</v>
      </c>
      <c r="G1697" t="str">
        <f>"2025-03-15 01:32:27.182"</f>
        <v>2025-03-15 01:32:27.182</v>
      </c>
      <c r="H1697" t="s">
        <v>49</v>
      </c>
      <c r="I1697">
        <v>9.4700000000000006</v>
      </c>
      <c r="J1697" t="s">
        <v>27</v>
      </c>
    </row>
    <row r="1698" spans="1:10" x14ac:dyDescent="0.25">
      <c r="A1698" s="1">
        <v>768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"2025-03-14 21:03:36.618"</f>
        <v>2025-03-14 21:03:36.618</v>
      </c>
      <c r="H1698" t="s">
        <v>21</v>
      </c>
    </row>
    <row r="1699" spans="1:10" x14ac:dyDescent="0.25">
      <c r="A1699" s="1">
        <v>769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"2025-03-14 11:36:40.806"</f>
        <v>2025-03-14 11:36:40.806</v>
      </c>
      <c r="H1699" t="s">
        <v>21</v>
      </c>
      <c r="I1699">
        <v>0</v>
      </c>
      <c r="J1699" t="s">
        <v>22</v>
      </c>
    </row>
    <row r="1700" spans="1:10" x14ac:dyDescent="0.25">
      <c r="A1700" s="1">
        <v>770</v>
      </c>
      <c r="B1700" t="s">
        <v>43</v>
      </c>
      <c r="C1700">
        <v>235</v>
      </c>
      <c r="D1700">
        <v>7</v>
      </c>
      <c r="E1700" t="s">
        <v>90</v>
      </c>
      <c r="F1700" t="s">
        <v>48</v>
      </c>
      <c r="G1700" t="str">
        <f>"2025-03-14 03:40:36.804"</f>
        <v>2025-03-14 03:40:36.804</v>
      </c>
      <c r="H1700" t="s">
        <v>64</v>
      </c>
    </row>
    <row r="1701" spans="1:10" x14ac:dyDescent="0.25">
      <c r="A1701" s="1">
        <v>771</v>
      </c>
      <c r="B1701" t="s">
        <v>39</v>
      </c>
      <c r="C1701">
        <v>235</v>
      </c>
      <c r="D1701">
        <v>7</v>
      </c>
      <c r="E1701" t="s">
        <v>90</v>
      </c>
      <c r="F1701" t="s">
        <v>48</v>
      </c>
      <c r="G1701" t="str">
        <f>"2025-03-14 03:40:31.786"</f>
        <v>2025-03-14 03:40:31.786</v>
      </c>
      <c r="H1701" t="s">
        <v>64</v>
      </c>
      <c r="I1701">
        <v>20.86</v>
      </c>
      <c r="J1701" t="s">
        <v>27</v>
      </c>
    </row>
    <row r="1702" spans="1:10" x14ac:dyDescent="0.25">
      <c r="A1702" s="1">
        <v>772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"2025-03-13 12:45:39.553"</f>
        <v>2025-03-13 12:45:39.553</v>
      </c>
      <c r="H1702" t="s">
        <v>21</v>
      </c>
    </row>
    <row r="1703" spans="1:10" x14ac:dyDescent="0.25">
      <c r="A1703" s="1">
        <v>773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"2025-03-13 12:42:43.568"</f>
        <v>2025-03-13 12:42:43.568</v>
      </c>
      <c r="H1703" t="s">
        <v>21</v>
      </c>
    </row>
    <row r="1704" spans="1:10" x14ac:dyDescent="0.25">
      <c r="A1704" s="1">
        <v>774</v>
      </c>
      <c r="B1704" t="s">
        <v>43</v>
      </c>
      <c r="C1704">
        <v>235</v>
      </c>
      <c r="D1704">
        <v>7</v>
      </c>
      <c r="E1704" t="s">
        <v>90</v>
      </c>
      <c r="F1704" t="s">
        <v>48</v>
      </c>
      <c r="G1704" t="str">
        <f>"2025-03-13 08:44:03.001"</f>
        <v>2025-03-13 08:44:03.001</v>
      </c>
      <c r="H1704" t="s">
        <v>64</v>
      </c>
    </row>
    <row r="1705" spans="1:10" x14ac:dyDescent="0.25">
      <c r="A1705" s="1">
        <v>775</v>
      </c>
      <c r="B1705" t="s">
        <v>39</v>
      </c>
      <c r="C1705">
        <v>235</v>
      </c>
      <c r="D1705">
        <v>7</v>
      </c>
      <c r="E1705" t="s">
        <v>90</v>
      </c>
      <c r="F1705" t="s">
        <v>48</v>
      </c>
      <c r="G1705" t="str">
        <f>"2025-03-13 08:43:57.980"</f>
        <v>2025-03-13 08:43:57.980</v>
      </c>
      <c r="H1705" t="s">
        <v>64</v>
      </c>
      <c r="I1705">
        <v>6.78</v>
      </c>
      <c r="J1705" t="s">
        <v>27</v>
      </c>
    </row>
    <row r="1706" spans="1:10" x14ac:dyDescent="0.25">
      <c r="A1706" s="1">
        <v>776</v>
      </c>
      <c r="B1706" t="s">
        <v>43</v>
      </c>
      <c r="C1706">
        <v>137</v>
      </c>
      <c r="D1706">
        <v>4</v>
      </c>
      <c r="E1706" t="s">
        <v>57</v>
      </c>
      <c r="F1706" t="s">
        <v>56</v>
      </c>
      <c r="G1706" t="str">
        <f>"2025-03-13 06:06:50.501"</f>
        <v>2025-03-13 06:06:50.501</v>
      </c>
      <c r="H1706" t="s">
        <v>49</v>
      </c>
    </row>
    <row r="1707" spans="1:10" x14ac:dyDescent="0.25">
      <c r="A1707" s="1">
        <v>777</v>
      </c>
      <c r="B1707" t="s">
        <v>39</v>
      </c>
      <c r="C1707">
        <v>137</v>
      </c>
      <c r="D1707">
        <v>4</v>
      </c>
      <c r="E1707" t="s">
        <v>57</v>
      </c>
      <c r="F1707" t="s">
        <v>56</v>
      </c>
      <c r="G1707" t="str">
        <f>"2025-03-13 06:06:45.460"</f>
        <v>2025-03-13 06:06:45.460</v>
      </c>
      <c r="H1707" t="s">
        <v>49</v>
      </c>
      <c r="I1707">
        <v>0</v>
      </c>
      <c r="J1707" t="s">
        <v>28</v>
      </c>
    </row>
    <row r="1708" spans="1:10" x14ac:dyDescent="0.25">
      <c r="A1708" s="1">
        <v>778</v>
      </c>
      <c r="B1708" t="s">
        <v>43</v>
      </c>
      <c r="C1708">
        <v>235</v>
      </c>
      <c r="D1708">
        <v>7</v>
      </c>
      <c r="E1708" t="s">
        <v>90</v>
      </c>
      <c r="F1708" t="s">
        <v>48</v>
      </c>
      <c r="G1708" t="str">
        <f>"2025-03-13 04:55:18.501"</f>
        <v>2025-03-13 04:55:18.501</v>
      </c>
      <c r="H1708" t="s">
        <v>64</v>
      </c>
    </row>
    <row r="1709" spans="1:10" x14ac:dyDescent="0.25">
      <c r="A1709" s="1">
        <v>779</v>
      </c>
      <c r="B1709" t="s">
        <v>39</v>
      </c>
      <c r="C1709">
        <v>235</v>
      </c>
      <c r="D1709">
        <v>7</v>
      </c>
      <c r="E1709" t="s">
        <v>90</v>
      </c>
      <c r="F1709" t="s">
        <v>48</v>
      </c>
      <c r="G1709" t="str">
        <f>"2025-03-13 04:55:13.420"</f>
        <v>2025-03-13 04:55:13.420</v>
      </c>
      <c r="H1709" t="s">
        <v>64</v>
      </c>
      <c r="I1709">
        <v>28.61</v>
      </c>
      <c r="J1709" t="s">
        <v>31</v>
      </c>
    </row>
    <row r="1710" spans="1:10" s="3" customFormat="1" x14ac:dyDescent="0.25">
      <c r="A1710" s="2">
        <v>780</v>
      </c>
      <c r="B1710" s="3" t="s">
        <v>23</v>
      </c>
      <c r="C1710" s="3">
        <v>647</v>
      </c>
      <c r="D1710" s="3">
        <v>1</v>
      </c>
      <c r="E1710" s="3" t="s">
        <v>29</v>
      </c>
      <c r="F1710" s="3" t="s">
        <v>30</v>
      </c>
      <c r="G1710" s="3" t="str">
        <f>"2025-03-13 04:24:32.595"</f>
        <v>2025-03-13 04:24:32.595</v>
      </c>
      <c r="H1710" s="3" t="s">
        <v>21</v>
      </c>
    </row>
    <row r="1711" spans="1:10" s="3" customFormat="1" x14ac:dyDescent="0.25">
      <c r="A1711" s="2">
        <v>781</v>
      </c>
      <c r="B1711" s="3" t="s">
        <v>26</v>
      </c>
      <c r="C1711" s="3">
        <v>647</v>
      </c>
      <c r="D1711" s="3">
        <v>1</v>
      </c>
      <c r="E1711" s="3" t="s">
        <v>29</v>
      </c>
      <c r="F1711" s="3" t="s">
        <v>30</v>
      </c>
      <c r="G1711" s="3" t="str">
        <f>"2025-03-13 04:24:30.495"</f>
        <v>2025-03-13 04:24:30.495</v>
      </c>
      <c r="H1711" s="3" t="s">
        <v>21</v>
      </c>
      <c r="I1711" s="3">
        <v>14.1</v>
      </c>
      <c r="J1711" s="3" t="s">
        <v>28</v>
      </c>
    </row>
    <row r="1712" spans="1:10" x14ac:dyDescent="0.25">
      <c r="A1712" s="1">
        <v>782</v>
      </c>
      <c r="B1712" t="s">
        <v>43</v>
      </c>
      <c r="C1712">
        <v>128</v>
      </c>
      <c r="D1712">
        <v>4</v>
      </c>
      <c r="E1712" t="s">
        <v>92</v>
      </c>
      <c r="F1712" t="s">
        <v>93</v>
      </c>
      <c r="G1712" t="str">
        <f>"2025-03-13 03:19:07.501"</f>
        <v>2025-03-13 03:19:07.501</v>
      </c>
      <c r="H1712" t="s">
        <v>49</v>
      </c>
    </row>
    <row r="1713" spans="1:10" x14ac:dyDescent="0.25">
      <c r="A1713" s="1">
        <v>783</v>
      </c>
      <c r="B1713" t="s">
        <v>39</v>
      </c>
      <c r="C1713">
        <v>128</v>
      </c>
      <c r="D1713">
        <v>4</v>
      </c>
      <c r="E1713" t="s">
        <v>92</v>
      </c>
      <c r="F1713" t="s">
        <v>93</v>
      </c>
      <c r="G1713" t="str">
        <f>"2025-03-13 03:19:02.460"</f>
        <v>2025-03-13 03:19:02.460</v>
      </c>
      <c r="H1713" t="s">
        <v>49</v>
      </c>
      <c r="I1713">
        <v>17.170000000000002</v>
      </c>
      <c r="J1713" t="s">
        <v>27</v>
      </c>
    </row>
    <row r="1714" spans="1:10" x14ac:dyDescent="0.25">
      <c r="A1714" s="1">
        <v>784</v>
      </c>
      <c r="B1714" t="s">
        <v>19</v>
      </c>
      <c r="C1714">
        <v>706</v>
      </c>
      <c r="D1714">
        <v>2</v>
      </c>
      <c r="E1714" t="s">
        <v>32</v>
      </c>
      <c r="F1714" t="s">
        <v>35</v>
      </c>
      <c r="G1714" t="str">
        <f>"2025-03-12 06:53:03.716"</f>
        <v>2025-03-12 06:53:03.716</v>
      </c>
      <c r="H1714" t="s">
        <v>21</v>
      </c>
      <c r="I1714">
        <v>0</v>
      </c>
      <c r="J1714" t="s">
        <v>34</v>
      </c>
    </row>
    <row r="1715" spans="1:10" x14ac:dyDescent="0.25">
      <c r="A1715" s="1">
        <v>785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"2025-03-12 06:49:35.546"</f>
        <v>2025-03-12 06:49:35.546</v>
      </c>
      <c r="H1715" t="s">
        <v>21</v>
      </c>
      <c r="I1715">
        <v>0</v>
      </c>
      <c r="J1715" t="s">
        <v>22</v>
      </c>
    </row>
    <row r="1716" spans="1:10" x14ac:dyDescent="0.25">
      <c r="A1716" s="1">
        <v>786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"2025-03-10 23:07:26.574"</f>
        <v>2025-03-10 23:07:26.574</v>
      </c>
      <c r="H1716" t="s">
        <v>21</v>
      </c>
    </row>
    <row r="1717" spans="1:10" x14ac:dyDescent="0.25">
      <c r="A1717" s="1">
        <v>787</v>
      </c>
      <c r="B1717" t="s">
        <v>23</v>
      </c>
      <c r="C1717">
        <v>635</v>
      </c>
      <c r="D1717">
        <v>1</v>
      </c>
      <c r="E1717" t="s">
        <v>24</v>
      </c>
      <c r="F1717" t="s">
        <v>25</v>
      </c>
      <c r="G1717" t="str">
        <f>"2025-03-10 11:55:40.366"</f>
        <v>2025-03-10 11:55:40.366</v>
      </c>
      <c r="H1717" t="s">
        <v>21</v>
      </c>
    </row>
    <row r="1718" spans="1:10" x14ac:dyDescent="0.25">
      <c r="A1718" s="1">
        <v>788</v>
      </c>
      <c r="B1718" t="s">
        <v>26</v>
      </c>
      <c r="C1718">
        <v>635</v>
      </c>
      <c r="D1718">
        <v>1</v>
      </c>
      <c r="E1718" t="s">
        <v>24</v>
      </c>
      <c r="F1718" t="s">
        <v>25</v>
      </c>
      <c r="G1718" t="str">
        <f>"2025-03-10 11:48:48.866"</f>
        <v>2025-03-10 11:48:48.866</v>
      </c>
      <c r="H1718" t="s">
        <v>21</v>
      </c>
      <c r="I1718">
        <v>8.01</v>
      </c>
      <c r="J1718" t="s">
        <v>27</v>
      </c>
    </row>
    <row r="1719" spans="1:10" x14ac:dyDescent="0.25">
      <c r="A1719" s="1">
        <v>789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"2025-03-08 22:49:16.578"</f>
        <v>2025-03-08 22:49:16.578</v>
      </c>
      <c r="H1719" t="s">
        <v>21</v>
      </c>
      <c r="I1719">
        <v>0</v>
      </c>
      <c r="J1719" t="s">
        <v>22</v>
      </c>
    </row>
    <row r="1720" spans="1:10" x14ac:dyDescent="0.25">
      <c r="A1720" s="1">
        <v>790</v>
      </c>
      <c r="B1720" t="s">
        <v>19</v>
      </c>
      <c r="C1720">
        <v>706</v>
      </c>
      <c r="D1720">
        <v>2</v>
      </c>
      <c r="E1720" t="s">
        <v>32</v>
      </c>
      <c r="F1720" t="s">
        <v>35</v>
      </c>
      <c r="G1720" t="str">
        <f>"2025-03-08 11:05:53.714"</f>
        <v>2025-03-08 11:05:53.714</v>
      </c>
      <c r="H1720" t="s">
        <v>21</v>
      </c>
      <c r="I1720">
        <v>0</v>
      </c>
      <c r="J1720" t="s">
        <v>34</v>
      </c>
    </row>
    <row r="1721" spans="1:10" x14ac:dyDescent="0.25">
      <c r="A1721" s="1">
        <v>791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"2025-03-08 11:05:18.544"</f>
        <v>2025-03-08 11:05:18.544</v>
      </c>
      <c r="H1721" t="s">
        <v>21</v>
      </c>
      <c r="I1721">
        <v>0</v>
      </c>
      <c r="J1721" t="s">
        <v>22</v>
      </c>
    </row>
    <row r="1722" spans="1:10" x14ac:dyDescent="0.25">
      <c r="A1722" s="1">
        <v>792</v>
      </c>
      <c r="B1722" t="s">
        <v>19</v>
      </c>
      <c r="C1722">
        <v>706</v>
      </c>
      <c r="D1722">
        <v>3</v>
      </c>
      <c r="E1722" t="s">
        <v>32</v>
      </c>
      <c r="F1722" t="s">
        <v>40</v>
      </c>
      <c r="G1722" t="str">
        <f>"2025-03-08 09:23:22.980"</f>
        <v>2025-03-08 09:23:22.980</v>
      </c>
      <c r="H1722" t="s">
        <v>21</v>
      </c>
      <c r="I1722">
        <v>0</v>
      </c>
      <c r="J1722" t="s">
        <v>34</v>
      </c>
    </row>
    <row r="1723" spans="1:10" x14ac:dyDescent="0.25">
      <c r="A1723" s="1">
        <v>793</v>
      </c>
      <c r="B1723" t="s">
        <v>39</v>
      </c>
      <c r="C1723">
        <v>630</v>
      </c>
      <c r="D1723">
        <v>5</v>
      </c>
      <c r="E1723" t="s">
        <v>36</v>
      </c>
      <c r="F1723" t="s">
        <v>37</v>
      </c>
      <c r="G1723" t="str">
        <f>"2025-03-08 09:17:13.279"</f>
        <v>2025-03-08 09:17:13.279</v>
      </c>
      <c r="H1723" t="s">
        <v>38</v>
      </c>
      <c r="I1723">
        <v>0</v>
      </c>
      <c r="J1723" t="s">
        <v>34</v>
      </c>
    </row>
    <row r="1724" spans="1:10" x14ac:dyDescent="0.25">
      <c r="A1724" s="1">
        <v>794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"2025-03-08 09:12:10.540"</f>
        <v>2025-03-08 09:12:10.540</v>
      </c>
      <c r="H1724" t="s">
        <v>21</v>
      </c>
      <c r="I1724">
        <v>0</v>
      </c>
      <c r="J1724" t="s">
        <v>22</v>
      </c>
    </row>
    <row r="1725" spans="1:10" x14ac:dyDescent="0.25">
      <c r="A1725" s="1">
        <v>795</v>
      </c>
      <c r="B1725" t="s">
        <v>39</v>
      </c>
      <c r="C1725">
        <v>630</v>
      </c>
      <c r="D1725">
        <v>5</v>
      </c>
      <c r="E1725" t="s">
        <v>36</v>
      </c>
      <c r="F1725" t="s">
        <v>37</v>
      </c>
      <c r="G1725" t="str">
        <f>"2025-03-08 09:05:28.437"</f>
        <v>2025-03-08 09:05:28.437</v>
      </c>
      <c r="H1725" t="s">
        <v>38</v>
      </c>
      <c r="I1725">
        <v>0</v>
      </c>
      <c r="J1725" t="s">
        <v>34</v>
      </c>
    </row>
    <row r="1726" spans="1:10" x14ac:dyDescent="0.25">
      <c r="A1726" s="1">
        <v>796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"2025-03-08 09:00:25.547"</f>
        <v>2025-03-08 09:00:25.547</v>
      </c>
      <c r="H1726" t="s">
        <v>21</v>
      </c>
      <c r="I1726">
        <v>0</v>
      </c>
      <c r="J1726" t="s">
        <v>22</v>
      </c>
    </row>
    <row r="1727" spans="1:10" x14ac:dyDescent="0.25">
      <c r="A1727" s="1">
        <v>797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"2025-03-07 08:39:22.782"</f>
        <v>2025-03-07 08:39:22.782</v>
      </c>
      <c r="H1727" t="s">
        <v>21</v>
      </c>
    </row>
    <row r="1728" spans="1:10" x14ac:dyDescent="0.25">
      <c r="A1728" s="1">
        <v>798</v>
      </c>
      <c r="B1728" t="s">
        <v>43</v>
      </c>
      <c r="C1728">
        <v>235</v>
      </c>
      <c r="D1728">
        <v>7</v>
      </c>
      <c r="E1728" t="s">
        <v>90</v>
      </c>
      <c r="F1728" t="s">
        <v>48</v>
      </c>
      <c r="G1728" t="str">
        <f>"2025-03-07 02:08:35.896"</f>
        <v>2025-03-07 02:08:35.896</v>
      </c>
      <c r="H1728" t="s">
        <v>64</v>
      </c>
    </row>
    <row r="1729" spans="1:10" x14ac:dyDescent="0.25">
      <c r="A1729" s="1">
        <v>799</v>
      </c>
      <c r="B1729" t="s">
        <v>39</v>
      </c>
      <c r="C1729">
        <v>235</v>
      </c>
      <c r="D1729">
        <v>7</v>
      </c>
      <c r="E1729" t="s">
        <v>90</v>
      </c>
      <c r="F1729" t="s">
        <v>48</v>
      </c>
      <c r="G1729" t="str">
        <f>"2025-03-07 02:08:30.799"</f>
        <v>2025-03-07 02:08:30.799</v>
      </c>
      <c r="H1729" t="s">
        <v>64</v>
      </c>
      <c r="I1729">
        <v>9.34</v>
      </c>
      <c r="J1729" t="s">
        <v>27</v>
      </c>
    </row>
    <row r="1730" spans="1:10" x14ac:dyDescent="0.25">
      <c r="A1730" s="1">
        <v>800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"2025-03-06 16:14:54.544"</f>
        <v>2025-03-06 16:14:54.544</v>
      </c>
      <c r="H1730" t="s">
        <v>21</v>
      </c>
      <c r="I1730">
        <v>0</v>
      </c>
      <c r="J1730" t="s">
        <v>22</v>
      </c>
    </row>
    <row r="1731" spans="1:10" x14ac:dyDescent="0.25">
      <c r="A1731" s="1">
        <v>801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"2025-03-06 15:57:47.754"</f>
        <v>2025-03-06 15:57:47.754</v>
      </c>
      <c r="H1731" t="s">
        <v>21</v>
      </c>
    </row>
    <row r="1732" spans="1:10" x14ac:dyDescent="0.25">
      <c r="A1732" s="1">
        <v>802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"2025-03-06 09:22:20.540"</f>
        <v>2025-03-06 09:22:20.540</v>
      </c>
      <c r="H1732" t="s">
        <v>21</v>
      </c>
      <c r="I1732">
        <v>0</v>
      </c>
      <c r="J1732" t="s">
        <v>22</v>
      </c>
    </row>
    <row r="1733" spans="1:10" x14ac:dyDescent="0.25">
      <c r="A1733" s="1">
        <v>803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"2025-03-06 08:53:51.574"</f>
        <v>2025-03-06 08:53:51.574</v>
      </c>
      <c r="H1733" t="s">
        <v>21</v>
      </c>
      <c r="I1733">
        <v>0</v>
      </c>
      <c r="J1733" t="s">
        <v>22</v>
      </c>
    </row>
    <row r="1734" spans="1:10" s="3" customFormat="1" x14ac:dyDescent="0.25">
      <c r="A1734" s="2">
        <v>806</v>
      </c>
      <c r="B1734" s="3" t="s">
        <v>23</v>
      </c>
      <c r="C1734" s="3">
        <v>647</v>
      </c>
      <c r="D1734" s="3">
        <v>1</v>
      </c>
      <c r="E1734" s="3" t="s">
        <v>29</v>
      </c>
      <c r="F1734" s="3" t="s">
        <v>30</v>
      </c>
      <c r="G1734" s="3" t="str">
        <f>"2025-03-06 04:44:40.011"</f>
        <v>2025-03-06 04:44:40.011</v>
      </c>
      <c r="H1734" s="3" t="s">
        <v>21</v>
      </c>
    </row>
    <row r="1735" spans="1:10" s="3" customFormat="1" x14ac:dyDescent="0.25">
      <c r="A1735" s="2">
        <v>807</v>
      </c>
      <c r="B1735" s="3" t="s">
        <v>26</v>
      </c>
      <c r="C1735" s="3">
        <v>647</v>
      </c>
      <c r="D1735" s="3">
        <v>1</v>
      </c>
      <c r="E1735" s="3" t="s">
        <v>29</v>
      </c>
      <c r="F1735" s="3" t="s">
        <v>30</v>
      </c>
      <c r="G1735" s="3" t="str">
        <f>"2025-03-06 04:44:37.111"</f>
        <v>2025-03-06 04:44:37.111</v>
      </c>
      <c r="H1735" s="3" t="s">
        <v>21</v>
      </c>
      <c r="I1735" s="3">
        <v>15.08</v>
      </c>
      <c r="J1735" s="3" t="s">
        <v>31</v>
      </c>
    </row>
    <row r="1736" spans="1:10" x14ac:dyDescent="0.25">
      <c r="A1736" s="1">
        <v>808</v>
      </c>
      <c r="B1736" t="s">
        <v>23</v>
      </c>
      <c r="C1736">
        <v>98</v>
      </c>
      <c r="D1736">
        <v>1</v>
      </c>
      <c r="E1736" t="s">
        <v>67</v>
      </c>
      <c r="F1736" t="s">
        <v>68</v>
      </c>
      <c r="G1736" t="str">
        <f>"2025-03-05 05:35:19.304"</f>
        <v>2025-03-05 05:35:19.304</v>
      </c>
      <c r="H1736" t="s">
        <v>21</v>
      </c>
    </row>
    <row r="1737" spans="1:10" x14ac:dyDescent="0.25">
      <c r="A1737" s="1">
        <v>809</v>
      </c>
      <c r="B1737" t="s">
        <v>26</v>
      </c>
      <c r="C1737">
        <v>98</v>
      </c>
      <c r="D1737">
        <v>1</v>
      </c>
      <c r="E1737" t="s">
        <v>67</v>
      </c>
      <c r="F1737" t="s">
        <v>68</v>
      </c>
      <c r="G1737" t="str">
        <f>"2025-03-05 05:35:16.504"</f>
        <v>2025-03-05 05:35:16.504</v>
      </c>
      <c r="H1737" t="s">
        <v>21</v>
      </c>
      <c r="I1737">
        <v>0</v>
      </c>
      <c r="J1737" t="s">
        <v>28</v>
      </c>
    </row>
    <row r="1738" spans="1:10" s="3" customFormat="1" x14ac:dyDescent="0.25">
      <c r="A1738" s="2">
        <v>810</v>
      </c>
      <c r="B1738" s="3" t="s">
        <v>23</v>
      </c>
      <c r="C1738" s="3">
        <v>647</v>
      </c>
      <c r="D1738" s="3">
        <v>1</v>
      </c>
      <c r="E1738" s="3" t="s">
        <v>29</v>
      </c>
      <c r="F1738" s="3" t="s">
        <v>30</v>
      </c>
      <c r="G1738" s="3" t="str">
        <f>"2025-03-05 03:13:41.911"</f>
        <v>2025-03-05 03:13:41.911</v>
      </c>
      <c r="H1738" s="3" t="s">
        <v>21</v>
      </c>
    </row>
    <row r="1739" spans="1:10" s="3" customFormat="1" x14ac:dyDescent="0.25">
      <c r="A1739" s="2">
        <v>811</v>
      </c>
      <c r="B1739" s="3" t="s">
        <v>26</v>
      </c>
      <c r="C1739" s="3">
        <v>647</v>
      </c>
      <c r="D1739" s="3">
        <v>1</v>
      </c>
      <c r="E1739" s="3" t="s">
        <v>29</v>
      </c>
      <c r="F1739" s="3" t="s">
        <v>30</v>
      </c>
      <c r="G1739" s="3" t="str">
        <f>"2025-03-05 03:13:37.611"</f>
        <v>2025-03-05 03:13:37.611</v>
      </c>
      <c r="H1739" s="3" t="s">
        <v>21</v>
      </c>
      <c r="I1739" s="3">
        <v>12.46</v>
      </c>
      <c r="J1739" s="3" t="s">
        <v>31</v>
      </c>
    </row>
    <row r="1740" spans="1:10" x14ac:dyDescent="0.25">
      <c r="A1740" s="1">
        <v>812</v>
      </c>
      <c r="B1740" t="s">
        <v>43</v>
      </c>
      <c r="C1740">
        <v>235</v>
      </c>
      <c r="D1740">
        <v>7</v>
      </c>
      <c r="E1740" t="s">
        <v>90</v>
      </c>
      <c r="F1740" t="s">
        <v>48</v>
      </c>
      <c r="G1740" t="str">
        <f>"2025-03-05 03:13:34.891"</f>
        <v>2025-03-05 03:13:34.891</v>
      </c>
      <c r="H1740" t="s">
        <v>64</v>
      </c>
    </row>
    <row r="1741" spans="1:10" x14ac:dyDescent="0.25">
      <c r="A1741" s="1">
        <v>813</v>
      </c>
      <c r="B1741" t="s">
        <v>39</v>
      </c>
      <c r="C1741">
        <v>235</v>
      </c>
      <c r="D1741">
        <v>7</v>
      </c>
      <c r="E1741" t="s">
        <v>90</v>
      </c>
      <c r="F1741" t="s">
        <v>48</v>
      </c>
      <c r="G1741" t="str">
        <f>"2025-03-05 03:13:29.838"</f>
        <v>2025-03-05 03:13:29.838</v>
      </c>
      <c r="H1741" t="s">
        <v>64</v>
      </c>
      <c r="I1741">
        <v>9.48</v>
      </c>
      <c r="J1741" t="s">
        <v>31</v>
      </c>
    </row>
    <row r="1742" spans="1:10" x14ac:dyDescent="0.25">
      <c r="A1742" s="1">
        <v>814</v>
      </c>
      <c r="B1742" t="s">
        <v>23</v>
      </c>
      <c r="C1742">
        <v>635</v>
      </c>
      <c r="D1742">
        <v>1</v>
      </c>
      <c r="E1742" t="s">
        <v>24</v>
      </c>
      <c r="F1742" t="s">
        <v>25</v>
      </c>
      <c r="G1742" t="str">
        <f>"2025-03-04 21:27:09.263"</f>
        <v>2025-03-04 21:27:09.263</v>
      </c>
      <c r="H1742" t="s">
        <v>21</v>
      </c>
    </row>
    <row r="1743" spans="1:10" x14ac:dyDescent="0.25">
      <c r="A1743" s="1">
        <v>815</v>
      </c>
      <c r="B1743" t="s">
        <v>26</v>
      </c>
      <c r="C1743">
        <v>635</v>
      </c>
      <c r="D1743">
        <v>1</v>
      </c>
      <c r="E1743" t="s">
        <v>24</v>
      </c>
      <c r="F1743" t="s">
        <v>25</v>
      </c>
      <c r="G1743" t="str">
        <f>"2025-03-04 21:10:02.363"</f>
        <v>2025-03-04 21:10:02.363</v>
      </c>
      <c r="H1743" t="s">
        <v>21</v>
      </c>
      <c r="I1743">
        <v>2.11</v>
      </c>
      <c r="J1743" t="s">
        <v>31</v>
      </c>
    </row>
    <row r="1744" spans="1:10" x14ac:dyDescent="0.25">
      <c r="A1744" s="1">
        <v>818</v>
      </c>
      <c r="B1744" t="s">
        <v>19</v>
      </c>
      <c r="C1744">
        <v>706</v>
      </c>
      <c r="D1744">
        <v>2</v>
      </c>
      <c r="E1744" t="s">
        <v>32</v>
      </c>
      <c r="F1744" t="s">
        <v>35</v>
      </c>
      <c r="G1744" t="str">
        <f>"2025-03-04 20:36:20.520"</f>
        <v>2025-03-04 20:36:20.520</v>
      </c>
      <c r="H1744" t="s">
        <v>21</v>
      </c>
      <c r="I1744">
        <v>0</v>
      </c>
      <c r="J1744" t="s">
        <v>34</v>
      </c>
    </row>
    <row r="1745" spans="1:10" x14ac:dyDescent="0.25">
      <c r="A1745" s="1">
        <v>819</v>
      </c>
      <c r="B1745" t="s">
        <v>19</v>
      </c>
      <c r="C1745">
        <v>782</v>
      </c>
      <c r="D1745">
        <v>7</v>
      </c>
      <c r="E1745" t="s">
        <v>69</v>
      </c>
      <c r="F1745" t="s">
        <v>70</v>
      </c>
      <c r="G1745" t="str">
        <f>"2025-03-04 20:36:11.028"</f>
        <v>2025-03-04 20:36:11.028</v>
      </c>
      <c r="H1745" t="s">
        <v>21</v>
      </c>
      <c r="I1745">
        <v>0</v>
      </c>
      <c r="J1745" t="s">
        <v>34</v>
      </c>
    </row>
    <row r="1746" spans="1:10" x14ac:dyDescent="0.25">
      <c r="A1746" s="1">
        <v>822</v>
      </c>
      <c r="B1746" t="s">
        <v>23</v>
      </c>
      <c r="C1746">
        <v>250</v>
      </c>
      <c r="D1746">
        <v>7</v>
      </c>
      <c r="E1746" t="s">
        <v>78</v>
      </c>
      <c r="F1746" t="s">
        <v>79</v>
      </c>
      <c r="G1746" t="str">
        <f>"2025-03-04 20:36:11.023"</f>
        <v>2025-03-04 20:36:11.023</v>
      </c>
      <c r="H1746" t="s">
        <v>21</v>
      </c>
    </row>
    <row r="1747" spans="1:10" x14ac:dyDescent="0.25">
      <c r="A1747" s="1">
        <v>823</v>
      </c>
      <c r="B1747" t="s">
        <v>23</v>
      </c>
      <c r="C1747">
        <v>248</v>
      </c>
      <c r="D1747">
        <v>7</v>
      </c>
      <c r="E1747" t="s">
        <v>80</v>
      </c>
      <c r="F1747" t="s">
        <v>81</v>
      </c>
      <c r="G1747" t="str">
        <f>"2025-03-04 20:36:11.021"</f>
        <v>2025-03-04 20:36:11.021</v>
      </c>
      <c r="H1747" t="s">
        <v>21</v>
      </c>
    </row>
    <row r="1748" spans="1:10" x14ac:dyDescent="0.25">
      <c r="A1748" s="1">
        <v>824</v>
      </c>
      <c r="B1748" t="s">
        <v>23</v>
      </c>
      <c r="C1748">
        <v>207</v>
      </c>
      <c r="D1748">
        <v>2</v>
      </c>
      <c r="E1748" t="s">
        <v>82</v>
      </c>
      <c r="F1748" t="s">
        <v>83</v>
      </c>
      <c r="G1748" t="str">
        <f>"2025-03-04 20:36:11.017"</f>
        <v>2025-03-04 20:36:11.017</v>
      </c>
      <c r="H1748" t="s">
        <v>64</v>
      </c>
    </row>
    <row r="1749" spans="1:10" x14ac:dyDescent="0.25">
      <c r="A1749" s="1">
        <v>825</v>
      </c>
      <c r="B1749" t="s">
        <v>23</v>
      </c>
      <c r="C1749">
        <v>150</v>
      </c>
      <c r="D1749">
        <v>7</v>
      </c>
      <c r="E1749" t="s">
        <v>94</v>
      </c>
      <c r="F1749" t="s">
        <v>79</v>
      </c>
      <c r="G1749" t="str">
        <f>"2025-03-04 20:36:11.015"</f>
        <v>2025-03-04 20:36:11.015</v>
      </c>
      <c r="H1749" t="s">
        <v>21</v>
      </c>
    </row>
    <row r="1750" spans="1:10" x14ac:dyDescent="0.25">
      <c r="A1750" s="1">
        <v>826</v>
      </c>
      <c r="B1750" t="s">
        <v>23</v>
      </c>
      <c r="C1750">
        <v>107</v>
      </c>
      <c r="D1750">
        <v>2</v>
      </c>
      <c r="E1750" t="s">
        <v>85</v>
      </c>
      <c r="F1750" t="s">
        <v>83</v>
      </c>
      <c r="G1750" t="str">
        <f>"2025-03-04 20:36:11.013"</f>
        <v>2025-03-04 20:36:11.013</v>
      </c>
      <c r="H1750" t="s">
        <v>49</v>
      </c>
    </row>
    <row r="1751" spans="1:10" x14ac:dyDescent="0.25">
      <c r="A1751" s="1">
        <v>827</v>
      </c>
      <c r="B1751" t="s">
        <v>19</v>
      </c>
      <c r="C1751">
        <v>782</v>
      </c>
      <c r="D1751">
        <v>7</v>
      </c>
      <c r="E1751" t="s">
        <v>69</v>
      </c>
      <c r="F1751" t="s">
        <v>70</v>
      </c>
      <c r="G1751" t="str">
        <f>"2025-03-04 20:36:11.011"</f>
        <v>2025-03-04 20:36:11.011</v>
      </c>
      <c r="H1751" t="s">
        <v>21</v>
      </c>
      <c r="I1751">
        <v>0</v>
      </c>
      <c r="J1751" t="s">
        <v>34</v>
      </c>
    </row>
    <row r="1752" spans="1:10" x14ac:dyDescent="0.25">
      <c r="A1752" s="1">
        <v>828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"2025-03-04 20:35:41.520"</f>
        <v>2025-03-04 20:35:41.520</v>
      </c>
      <c r="H1752" t="s">
        <v>21</v>
      </c>
    </row>
    <row r="1753" spans="1:10" x14ac:dyDescent="0.25">
      <c r="A1753" s="1">
        <v>829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"2025-03-04 20:30:46.527"</f>
        <v>2025-03-04 20:30:46.527</v>
      </c>
      <c r="H1753" t="s">
        <v>21</v>
      </c>
      <c r="I1753">
        <v>0</v>
      </c>
      <c r="J1753" t="s">
        <v>22</v>
      </c>
    </row>
    <row r="1754" spans="1:10" x14ac:dyDescent="0.25">
      <c r="A1754" s="1">
        <v>830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"2025-03-04 20:21:49.749"</f>
        <v>2025-03-04 20:21:49.749</v>
      </c>
      <c r="H1754" t="s">
        <v>21</v>
      </c>
    </row>
    <row r="1755" spans="1:10" x14ac:dyDescent="0.25">
      <c r="A1755" s="1">
        <v>831</v>
      </c>
      <c r="B1755" t="s">
        <v>26</v>
      </c>
      <c r="C1755">
        <v>248</v>
      </c>
      <c r="D1755">
        <v>7</v>
      </c>
      <c r="E1755" t="s">
        <v>80</v>
      </c>
      <c r="F1755" t="s">
        <v>81</v>
      </c>
      <c r="G1755" t="str">
        <f>"2025-03-04 20:11:35.117"</f>
        <v>2025-03-04 20:11:35.117</v>
      </c>
      <c r="H1755" t="s">
        <v>21</v>
      </c>
      <c r="I1755">
        <v>0</v>
      </c>
      <c r="J1755" t="s">
        <v>34</v>
      </c>
    </row>
    <row r="1756" spans="1:10" x14ac:dyDescent="0.25">
      <c r="A1756" s="1">
        <v>832</v>
      </c>
      <c r="B1756" t="s">
        <v>26</v>
      </c>
      <c r="C1756">
        <v>250</v>
      </c>
      <c r="D1756">
        <v>7</v>
      </c>
      <c r="E1756" t="s">
        <v>78</v>
      </c>
      <c r="F1756" t="s">
        <v>79</v>
      </c>
      <c r="G1756" t="str">
        <f>"2025-03-04 20:11:35.112"</f>
        <v>2025-03-04 20:11:35.112</v>
      </c>
      <c r="H1756" t="s">
        <v>21</v>
      </c>
      <c r="I1756">
        <v>0</v>
      </c>
      <c r="J1756" t="s">
        <v>34</v>
      </c>
    </row>
    <row r="1757" spans="1:10" x14ac:dyDescent="0.25">
      <c r="A1757" s="1">
        <v>833</v>
      </c>
      <c r="B1757" t="s">
        <v>43</v>
      </c>
      <c r="C1757">
        <v>250</v>
      </c>
      <c r="D1757">
        <v>7</v>
      </c>
      <c r="E1757" t="s">
        <v>78</v>
      </c>
      <c r="F1757" t="s">
        <v>79</v>
      </c>
      <c r="G1757" t="str">
        <f>"2025-03-04 20:11:34.988"</f>
        <v>2025-03-04 20:11:34.988</v>
      </c>
      <c r="H1757" t="s">
        <v>21</v>
      </c>
    </row>
    <row r="1758" spans="1:10" x14ac:dyDescent="0.25">
      <c r="A1758" s="1">
        <v>834</v>
      </c>
      <c r="B1758" t="s">
        <v>43</v>
      </c>
      <c r="C1758">
        <v>248</v>
      </c>
      <c r="D1758">
        <v>7</v>
      </c>
      <c r="E1758" t="s">
        <v>80</v>
      </c>
      <c r="F1758" t="s">
        <v>81</v>
      </c>
      <c r="G1758" t="str">
        <f>"2025-03-04 20:11:34.888"</f>
        <v>2025-03-04 20:11:34.888</v>
      </c>
      <c r="H1758" t="s">
        <v>21</v>
      </c>
    </row>
    <row r="1759" spans="1:10" x14ac:dyDescent="0.25">
      <c r="A1759" s="1">
        <v>835</v>
      </c>
      <c r="B1759" t="s">
        <v>26</v>
      </c>
      <c r="C1759">
        <v>150</v>
      </c>
      <c r="D1759">
        <v>7</v>
      </c>
      <c r="E1759" t="s">
        <v>94</v>
      </c>
      <c r="F1759" t="s">
        <v>79</v>
      </c>
      <c r="G1759" t="str">
        <f>"2025-03-04 20:11:33.652"</f>
        <v>2025-03-04 20:11:33.652</v>
      </c>
      <c r="H1759" t="s">
        <v>21</v>
      </c>
      <c r="I1759">
        <v>0</v>
      </c>
      <c r="J1759" t="s">
        <v>34</v>
      </c>
    </row>
    <row r="1760" spans="1:10" x14ac:dyDescent="0.25">
      <c r="A1760" s="1">
        <v>836</v>
      </c>
      <c r="B1760" t="s">
        <v>43</v>
      </c>
      <c r="C1760">
        <v>150</v>
      </c>
      <c r="D1760">
        <v>7</v>
      </c>
      <c r="E1760" t="s">
        <v>94</v>
      </c>
      <c r="F1760" t="s">
        <v>79</v>
      </c>
      <c r="G1760" t="str">
        <f>"2025-03-04 20:11:33.588"</f>
        <v>2025-03-04 20:11:33.588</v>
      </c>
      <c r="H1760" t="s">
        <v>21</v>
      </c>
    </row>
    <row r="1761" spans="1:10" x14ac:dyDescent="0.25">
      <c r="A1761" s="1">
        <v>837</v>
      </c>
      <c r="B1761" t="s">
        <v>43</v>
      </c>
      <c r="C1761">
        <v>148</v>
      </c>
      <c r="D1761">
        <v>7</v>
      </c>
      <c r="E1761" t="s">
        <v>95</v>
      </c>
      <c r="F1761" t="s">
        <v>81</v>
      </c>
      <c r="G1761" t="str">
        <f>"2025-03-04 20:11:33.488"</f>
        <v>2025-03-04 20:11:33.488</v>
      </c>
      <c r="H1761" t="s">
        <v>21</v>
      </c>
    </row>
    <row r="1762" spans="1:10" x14ac:dyDescent="0.25">
      <c r="A1762" s="1">
        <v>838</v>
      </c>
      <c r="B1762" t="s">
        <v>39</v>
      </c>
      <c r="C1762">
        <v>250</v>
      </c>
      <c r="D1762">
        <v>7</v>
      </c>
      <c r="E1762" t="s">
        <v>78</v>
      </c>
      <c r="F1762" t="s">
        <v>79</v>
      </c>
      <c r="G1762" t="str">
        <f>"2025-03-04 20:11:29.817"</f>
        <v>2025-03-04 20:11:29.817</v>
      </c>
      <c r="H1762" t="s">
        <v>21</v>
      </c>
      <c r="I1762">
        <v>0</v>
      </c>
      <c r="J1762" t="s">
        <v>34</v>
      </c>
    </row>
    <row r="1763" spans="1:10" x14ac:dyDescent="0.25">
      <c r="A1763" s="1">
        <v>839</v>
      </c>
      <c r="B1763" t="s">
        <v>39</v>
      </c>
      <c r="C1763">
        <v>248</v>
      </c>
      <c r="D1763">
        <v>7</v>
      </c>
      <c r="E1763" t="s">
        <v>80</v>
      </c>
      <c r="F1763" t="s">
        <v>81</v>
      </c>
      <c r="G1763" t="str">
        <f>"2025-03-04 20:11:29.812"</f>
        <v>2025-03-04 20:11:29.812</v>
      </c>
      <c r="H1763" t="s">
        <v>21</v>
      </c>
      <c r="I1763">
        <v>0</v>
      </c>
      <c r="J1763" t="s">
        <v>34</v>
      </c>
    </row>
    <row r="1764" spans="1:10" x14ac:dyDescent="0.25">
      <c r="A1764" s="1">
        <v>840</v>
      </c>
      <c r="B1764" t="s">
        <v>39</v>
      </c>
      <c r="C1764">
        <v>150</v>
      </c>
      <c r="D1764">
        <v>7</v>
      </c>
      <c r="E1764" t="s">
        <v>94</v>
      </c>
      <c r="F1764" t="s">
        <v>79</v>
      </c>
      <c r="G1764" t="str">
        <f>"2025-03-04 20:11:28.421"</f>
        <v>2025-03-04 20:11:28.421</v>
      </c>
      <c r="H1764" t="s">
        <v>21</v>
      </c>
      <c r="I1764">
        <v>0</v>
      </c>
      <c r="J1764" t="s">
        <v>34</v>
      </c>
    </row>
    <row r="1765" spans="1:10" x14ac:dyDescent="0.25">
      <c r="A1765" s="1">
        <v>841</v>
      </c>
      <c r="B1765" t="s">
        <v>39</v>
      </c>
      <c r="C1765">
        <v>148</v>
      </c>
      <c r="D1765">
        <v>7</v>
      </c>
      <c r="E1765" t="s">
        <v>95</v>
      </c>
      <c r="F1765" t="s">
        <v>81</v>
      </c>
      <c r="G1765" t="str">
        <f>"2025-03-04 20:11:28.417"</f>
        <v>2025-03-04 20:11:28.417</v>
      </c>
      <c r="H1765" t="s">
        <v>21</v>
      </c>
      <c r="I1765">
        <v>0</v>
      </c>
      <c r="J1765" t="s">
        <v>34</v>
      </c>
    </row>
    <row r="1766" spans="1:10" x14ac:dyDescent="0.25">
      <c r="A1766" s="1">
        <v>842</v>
      </c>
      <c r="B1766" t="s">
        <v>26</v>
      </c>
      <c r="C1766">
        <v>107</v>
      </c>
      <c r="D1766">
        <v>2</v>
      </c>
      <c r="E1766" t="s">
        <v>85</v>
      </c>
      <c r="F1766" t="s">
        <v>83</v>
      </c>
      <c r="G1766" t="str">
        <f>"2025-03-04 20:11:28.412"</f>
        <v>2025-03-04 20:11:28.412</v>
      </c>
      <c r="H1766" t="s">
        <v>49</v>
      </c>
      <c r="I1766">
        <v>0</v>
      </c>
      <c r="J1766" t="s">
        <v>34</v>
      </c>
    </row>
    <row r="1767" spans="1:10" x14ac:dyDescent="0.25">
      <c r="A1767" s="1">
        <v>843</v>
      </c>
      <c r="B1767" t="s">
        <v>26</v>
      </c>
      <c r="C1767">
        <v>207</v>
      </c>
      <c r="D1767">
        <v>2</v>
      </c>
      <c r="E1767" t="s">
        <v>82</v>
      </c>
      <c r="F1767" t="s">
        <v>83</v>
      </c>
      <c r="G1767" t="str">
        <f>"2025-03-04 20:11:28.152"</f>
        <v>2025-03-04 20:11:28.152</v>
      </c>
      <c r="H1767" t="s">
        <v>64</v>
      </c>
      <c r="I1767">
        <v>0</v>
      </c>
      <c r="J1767" t="s">
        <v>34</v>
      </c>
    </row>
    <row r="1768" spans="1:10" x14ac:dyDescent="0.25">
      <c r="A1768" s="1">
        <v>844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"2025-03-04 20:11:19.517"</f>
        <v>2025-03-04 20:11:19.517</v>
      </c>
      <c r="H1768" t="s">
        <v>21</v>
      </c>
    </row>
    <row r="1769" spans="1:10" x14ac:dyDescent="0.25">
      <c r="A1769" s="1">
        <v>845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"2025-03-04 19:07:33.523"</f>
        <v>2025-03-04 19:07:33.523</v>
      </c>
      <c r="H1769" t="s">
        <v>21</v>
      </c>
      <c r="I1769">
        <v>0</v>
      </c>
      <c r="J1769" t="s">
        <v>22</v>
      </c>
    </row>
    <row r="1770" spans="1:10" x14ac:dyDescent="0.25">
      <c r="A1770" s="1">
        <v>846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"2025-03-04 18:58:39.525"</f>
        <v>2025-03-04 18:58:39.525</v>
      </c>
      <c r="H1770" t="s">
        <v>21</v>
      </c>
    </row>
    <row r="1771" spans="1:10" x14ac:dyDescent="0.25">
      <c r="A1771" s="1">
        <v>847</v>
      </c>
      <c r="B1771" t="s">
        <v>39</v>
      </c>
      <c r="C1771">
        <v>630</v>
      </c>
      <c r="D1771">
        <v>5</v>
      </c>
      <c r="E1771" t="s">
        <v>36</v>
      </c>
      <c r="F1771" t="s">
        <v>37</v>
      </c>
      <c r="G1771" t="str">
        <f>"2025-03-04 17:04:18.561"</f>
        <v>2025-03-04 17:04:18.561</v>
      </c>
      <c r="H1771" t="s">
        <v>38</v>
      </c>
      <c r="I1771">
        <v>0</v>
      </c>
      <c r="J1771" t="s">
        <v>34</v>
      </c>
    </row>
    <row r="1772" spans="1:10" x14ac:dyDescent="0.25">
      <c r="A1772" s="1">
        <v>848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"2025-03-04 16:59:15.862"</f>
        <v>2025-03-04 16:59:15.862</v>
      </c>
      <c r="H1772" t="s">
        <v>21</v>
      </c>
    </row>
    <row r="1773" spans="1:10" x14ac:dyDescent="0.25">
      <c r="A1773" s="1">
        <v>850</v>
      </c>
      <c r="B1773" t="s">
        <v>50</v>
      </c>
      <c r="C1773">
        <v>23</v>
      </c>
      <c r="D1773">
        <v>1</v>
      </c>
      <c r="E1773" t="s">
        <v>96</v>
      </c>
      <c r="F1773" t="s">
        <v>97</v>
      </c>
      <c r="G1773" t="str">
        <f>"2025-03-04 15:39:23.486"</f>
        <v>2025-03-04 15:39:23.486</v>
      </c>
      <c r="H1773" t="s">
        <v>73</v>
      </c>
    </row>
    <row r="1774" spans="1:10" x14ac:dyDescent="0.25">
      <c r="A1774" s="1">
        <v>851</v>
      </c>
      <c r="B1774" t="s">
        <v>23</v>
      </c>
      <c r="C1774">
        <v>14</v>
      </c>
      <c r="D1774">
        <v>10</v>
      </c>
      <c r="E1774" t="s">
        <v>98</v>
      </c>
      <c r="F1774" t="s">
        <v>99</v>
      </c>
      <c r="G1774" t="str">
        <f>"2025-03-04 15:39:13.087"</f>
        <v>2025-03-04 15:39:13.087</v>
      </c>
      <c r="H1774" t="s">
        <v>38</v>
      </c>
    </row>
    <row r="1775" spans="1:10" x14ac:dyDescent="0.25">
      <c r="A1775" s="1">
        <v>852</v>
      </c>
      <c r="B1775" t="s">
        <v>43</v>
      </c>
      <c r="C1775">
        <v>205</v>
      </c>
      <c r="D1775">
        <v>3</v>
      </c>
      <c r="E1775" t="s">
        <v>100</v>
      </c>
      <c r="F1775" t="s">
        <v>101</v>
      </c>
      <c r="G1775" t="str">
        <f>"2025-03-04 15:38:56.859"</f>
        <v>2025-03-04 15:38:56.859</v>
      </c>
      <c r="H1775" t="s">
        <v>64</v>
      </c>
    </row>
    <row r="1776" spans="1:10" x14ac:dyDescent="0.25">
      <c r="A1776" s="1">
        <v>853</v>
      </c>
      <c r="B1776" t="s">
        <v>43</v>
      </c>
      <c r="C1776">
        <v>105</v>
      </c>
      <c r="D1776">
        <v>3</v>
      </c>
      <c r="E1776" t="s">
        <v>102</v>
      </c>
      <c r="F1776" t="s">
        <v>101</v>
      </c>
      <c r="G1776" t="str">
        <f>"2025-03-04 15:38:56.819"</f>
        <v>2025-03-04 15:38:56.819</v>
      </c>
      <c r="H1776" t="s">
        <v>49</v>
      </c>
    </row>
    <row r="1777" spans="1:10" x14ac:dyDescent="0.25">
      <c r="A1777" s="1">
        <v>854</v>
      </c>
      <c r="B1777" t="s">
        <v>43</v>
      </c>
      <c r="C1777">
        <v>204</v>
      </c>
      <c r="D1777">
        <v>8</v>
      </c>
      <c r="E1777" t="s">
        <v>103</v>
      </c>
      <c r="F1777" t="s">
        <v>104</v>
      </c>
      <c r="G1777" t="str">
        <f>"2025-03-04 15:38:56.578"</f>
        <v>2025-03-04 15:38:56.578</v>
      </c>
      <c r="H1777" t="s">
        <v>64</v>
      </c>
    </row>
    <row r="1778" spans="1:10" x14ac:dyDescent="0.25">
      <c r="A1778" s="1">
        <v>855</v>
      </c>
      <c r="B1778" t="s">
        <v>43</v>
      </c>
      <c r="C1778">
        <v>204</v>
      </c>
      <c r="D1778">
        <v>6</v>
      </c>
      <c r="E1778" t="s">
        <v>103</v>
      </c>
      <c r="F1778" t="s">
        <v>105</v>
      </c>
      <c r="G1778" t="str">
        <f>"2025-03-04 15:38:56.576"</f>
        <v>2025-03-04 15:38:56.576</v>
      </c>
      <c r="H1778" t="s">
        <v>64</v>
      </c>
    </row>
    <row r="1779" spans="1:10" x14ac:dyDescent="0.25">
      <c r="A1779" s="1">
        <v>856</v>
      </c>
      <c r="B1779" t="s">
        <v>43</v>
      </c>
      <c r="C1779">
        <v>204</v>
      </c>
      <c r="D1779">
        <v>5</v>
      </c>
      <c r="E1779" t="s">
        <v>103</v>
      </c>
      <c r="F1779" t="s">
        <v>106</v>
      </c>
      <c r="G1779" t="str">
        <f>"2025-03-04 15:38:56.574"</f>
        <v>2025-03-04 15:38:56.574</v>
      </c>
      <c r="H1779" t="s">
        <v>64</v>
      </c>
    </row>
    <row r="1780" spans="1:10" x14ac:dyDescent="0.25">
      <c r="A1780" s="1">
        <v>857</v>
      </c>
      <c r="B1780" t="s">
        <v>43</v>
      </c>
      <c r="C1780">
        <v>204</v>
      </c>
      <c r="D1780">
        <v>1</v>
      </c>
      <c r="E1780" t="s">
        <v>103</v>
      </c>
      <c r="F1780" t="s">
        <v>107</v>
      </c>
      <c r="G1780" t="str">
        <f>"2025-03-04 15:38:56.572"</f>
        <v>2025-03-04 15:38:56.572</v>
      </c>
      <c r="H1780" t="s">
        <v>64</v>
      </c>
    </row>
    <row r="1781" spans="1:10" x14ac:dyDescent="0.25">
      <c r="A1781" s="1">
        <v>858</v>
      </c>
      <c r="B1781" t="s">
        <v>43</v>
      </c>
      <c r="C1781">
        <v>104</v>
      </c>
      <c r="D1781">
        <v>8</v>
      </c>
      <c r="E1781" t="s">
        <v>108</v>
      </c>
      <c r="F1781" t="s">
        <v>104</v>
      </c>
      <c r="G1781" t="str">
        <f>"2025-03-04 15:38:56.568"</f>
        <v>2025-03-04 15:38:56.568</v>
      </c>
      <c r="H1781" t="s">
        <v>49</v>
      </c>
    </row>
    <row r="1782" spans="1:10" x14ac:dyDescent="0.25">
      <c r="A1782" s="1">
        <v>859</v>
      </c>
      <c r="B1782" t="s">
        <v>43</v>
      </c>
      <c r="C1782">
        <v>104</v>
      </c>
      <c r="D1782">
        <v>6</v>
      </c>
      <c r="E1782" t="s">
        <v>108</v>
      </c>
      <c r="F1782" t="s">
        <v>105</v>
      </c>
      <c r="G1782" t="str">
        <f>"2025-03-04 15:38:56.566"</f>
        <v>2025-03-04 15:38:56.566</v>
      </c>
      <c r="H1782" t="s">
        <v>49</v>
      </c>
    </row>
    <row r="1783" spans="1:10" x14ac:dyDescent="0.25">
      <c r="A1783" s="1">
        <v>860</v>
      </c>
      <c r="B1783" t="s">
        <v>43</v>
      </c>
      <c r="C1783">
        <v>104</v>
      </c>
      <c r="D1783">
        <v>5</v>
      </c>
      <c r="E1783" t="s">
        <v>108</v>
      </c>
      <c r="F1783" t="s">
        <v>106</v>
      </c>
      <c r="G1783" t="str">
        <f>"2025-03-04 15:38:56.560"</f>
        <v>2025-03-04 15:38:56.560</v>
      </c>
      <c r="H1783" t="s">
        <v>49</v>
      </c>
    </row>
    <row r="1784" spans="1:10" x14ac:dyDescent="0.25">
      <c r="A1784" s="1">
        <v>861</v>
      </c>
      <c r="B1784" t="s">
        <v>43</v>
      </c>
      <c r="C1784">
        <v>104</v>
      </c>
      <c r="D1784">
        <v>1</v>
      </c>
      <c r="E1784" t="s">
        <v>108</v>
      </c>
      <c r="F1784" t="s">
        <v>107</v>
      </c>
      <c r="G1784" t="str">
        <f>"2025-03-04 15:38:56.559"</f>
        <v>2025-03-04 15:38:56.559</v>
      </c>
      <c r="H1784" t="s">
        <v>49</v>
      </c>
    </row>
    <row r="1785" spans="1:10" x14ac:dyDescent="0.25">
      <c r="A1785" s="1">
        <v>862</v>
      </c>
      <c r="B1785" t="s">
        <v>43</v>
      </c>
      <c r="C1785">
        <v>235</v>
      </c>
      <c r="D1785">
        <v>7</v>
      </c>
      <c r="E1785" t="s">
        <v>90</v>
      </c>
      <c r="F1785" t="s">
        <v>48</v>
      </c>
      <c r="G1785" t="str">
        <f>"2025-03-04 15:38:56.259"</f>
        <v>2025-03-04 15:38:56.259</v>
      </c>
      <c r="H1785" t="s">
        <v>64</v>
      </c>
    </row>
    <row r="1786" spans="1:10" x14ac:dyDescent="0.25">
      <c r="A1786" s="1">
        <v>864</v>
      </c>
      <c r="B1786" t="s">
        <v>26</v>
      </c>
      <c r="C1786">
        <v>14</v>
      </c>
      <c r="D1786">
        <v>10</v>
      </c>
      <c r="E1786" t="s">
        <v>98</v>
      </c>
      <c r="F1786" t="s">
        <v>99</v>
      </c>
      <c r="G1786" t="str">
        <f>"2025-03-04 15:38:52.085"</f>
        <v>2025-03-04 15:38:52.085</v>
      </c>
      <c r="H1786" t="s">
        <v>38</v>
      </c>
      <c r="I1786">
        <v>13.55</v>
      </c>
      <c r="J1786" t="s">
        <v>31</v>
      </c>
    </row>
    <row r="1787" spans="1:10" x14ac:dyDescent="0.25">
      <c r="A1787" s="1">
        <v>865</v>
      </c>
      <c r="B1787" t="s">
        <v>39</v>
      </c>
      <c r="C1787">
        <v>205</v>
      </c>
      <c r="D1787">
        <v>3</v>
      </c>
      <c r="E1787" t="s">
        <v>100</v>
      </c>
      <c r="F1787" t="s">
        <v>101</v>
      </c>
      <c r="G1787" t="str">
        <f>"2025-03-04 15:38:51.733"</f>
        <v>2025-03-04 15:38:51.733</v>
      </c>
      <c r="H1787" t="s">
        <v>64</v>
      </c>
      <c r="I1787">
        <v>13.57</v>
      </c>
      <c r="J1787" t="s">
        <v>31</v>
      </c>
    </row>
    <row r="1788" spans="1:10" x14ac:dyDescent="0.25">
      <c r="A1788" s="1">
        <v>866</v>
      </c>
      <c r="B1788" t="s">
        <v>39</v>
      </c>
      <c r="C1788">
        <v>105</v>
      </c>
      <c r="D1788">
        <v>3</v>
      </c>
      <c r="E1788" t="s">
        <v>102</v>
      </c>
      <c r="F1788" t="s">
        <v>101</v>
      </c>
      <c r="G1788" t="str">
        <f>"2025-03-04 15:38:51.728"</f>
        <v>2025-03-04 15:38:51.728</v>
      </c>
      <c r="H1788" t="s">
        <v>49</v>
      </c>
      <c r="I1788">
        <v>13.57</v>
      </c>
      <c r="J1788" t="s">
        <v>31</v>
      </c>
    </row>
    <row r="1789" spans="1:10" x14ac:dyDescent="0.25">
      <c r="A1789" s="1">
        <v>867</v>
      </c>
      <c r="B1789" t="s">
        <v>39</v>
      </c>
      <c r="C1789">
        <v>204</v>
      </c>
      <c r="D1789">
        <v>8</v>
      </c>
      <c r="E1789" t="s">
        <v>103</v>
      </c>
      <c r="F1789" t="s">
        <v>104</v>
      </c>
      <c r="G1789" t="str">
        <f>"2025-03-04 15:38:51.557"</f>
        <v>2025-03-04 15:38:51.557</v>
      </c>
      <c r="H1789" t="s">
        <v>64</v>
      </c>
      <c r="I1789">
        <v>13.59</v>
      </c>
      <c r="J1789" t="s">
        <v>31</v>
      </c>
    </row>
    <row r="1790" spans="1:10" x14ac:dyDescent="0.25">
      <c r="A1790" s="1">
        <v>868</v>
      </c>
      <c r="B1790" t="s">
        <v>39</v>
      </c>
      <c r="C1790">
        <v>204</v>
      </c>
      <c r="D1790">
        <v>6</v>
      </c>
      <c r="E1790" t="s">
        <v>103</v>
      </c>
      <c r="F1790" t="s">
        <v>105</v>
      </c>
      <c r="G1790" t="str">
        <f>"2025-03-04 15:38:51.553"</f>
        <v>2025-03-04 15:38:51.553</v>
      </c>
      <c r="H1790" t="s">
        <v>64</v>
      </c>
      <c r="I1790">
        <v>13.59</v>
      </c>
      <c r="J1790" t="s">
        <v>31</v>
      </c>
    </row>
    <row r="1791" spans="1:10" x14ac:dyDescent="0.25">
      <c r="A1791" s="1">
        <v>869</v>
      </c>
      <c r="B1791" t="s">
        <v>39</v>
      </c>
      <c r="C1791">
        <v>204</v>
      </c>
      <c r="D1791">
        <v>5</v>
      </c>
      <c r="E1791" t="s">
        <v>103</v>
      </c>
      <c r="F1791" t="s">
        <v>106</v>
      </c>
      <c r="G1791" t="str">
        <f>"2025-03-04 15:38:51.548"</f>
        <v>2025-03-04 15:38:51.548</v>
      </c>
      <c r="H1791" t="s">
        <v>64</v>
      </c>
      <c r="I1791">
        <v>13.59</v>
      </c>
      <c r="J1791" t="s">
        <v>31</v>
      </c>
    </row>
    <row r="1792" spans="1:10" x14ac:dyDescent="0.25">
      <c r="A1792" s="1">
        <v>870</v>
      </c>
      <c r="B1792" t="s">
        <v>39</v>
      </c>
      <c r="C1792">
        <v>104</v>
      </c>
      <c r="D1792">
        <v>8</v>
      </c>
      <c r="E1792" t="s">
        <v>108</v>
      </c>
      <c r="F1792" t="s">
        <v>104</v>
      </c>
      <c r="G1792" t="str">
        <f>"2025-03-04 15:38:51.537"</f>
        <v>2025-03-04 15:38:51.537</v>
      </c>
      <c r="H1792" t="s">
        <v>49</v>
      </c>
      <c r="I1792">
        <v>13.59</v>
      </c>
      <c r="J1792" t="s">
        <v>31</v>
      </c>
    </row>
    <row r="1793" spans="1:10" x14ac:dyDescent="0.25">
      <c r="A1793" s="1">
        <v>871</v>
      </c>
      <c r="B1793" t="s">
        <v>39</v>
      </c>
      <c r="C1793">
        <v>104</v>
      </c>
      <c r="D1793">
        <v>6</v>
      </c>
      <c r="E1793" t="s">
        <v>108</v>
      </c>
      <c r="F1793" t="s">
        <v>105</v>
      </c>
      <c r="G1793" t="str">
        <f>"2025-03-04 15:38:51.533"</f>
        <v>2025-03-04 15:38:51.533</v>
      </c>
      <c r="H1793" t="s">
        <v>49</v>
      </c>
      <c r="I1793">
        <v>13.59</v>
      </c>
      <c r="J1793" t="s">
        <v>31</v>
      </c>
    </row>
    <row r="1794" spans="1:10" x14ac:dyDescent="0.25">
      <c r="A1794" s="1">
        <v>872</v>
      </c>
      <c r="B1794" t="s">
        <v>39</v>
      </c>
      <c r="C1794">
        <v>104</v>
      </c>
      <c r="D1794">
        <v>5</v>
      </c>
      <c r="E1794" t="s">
        <v>108</v>
      </c>
      <c r="F1794" t="s">
        <v>106</v>
      </c>
      <c r="G1794" t="str">
        <f>"2025-03-04 15:38:51.528"</f>
        <v>2025-03-04 15:38:51.528</v>
      </c>
      <c r="H1794" t="s">
        <v>49</v>
      </c>
      <c r="I1794">
        <v>13.59</v>
      </c>
      <c r="J1794" t="s">
        <v>31</v>
      </c>
    </row>
    <row r="1795" spans="1:10" x14ac:dyDescent="0.25">
      <c r="A1795" s="1">
        <v>873</v>
      </c>
      <c r="B1795" t="s">
        <v>39</v>
      </c>
      <c r="C1795">
        <v>23</v>
      </c>
      <c r="D1795">
        <v>1</v>
      </c>
      <c r="E1795" t="s">
        <v>96</v>
      </c>
      <c r="F1795" t="s">
        <v>97</v>
      </c>
      <c r="G1795" t="str">
        <f>"2025-03-04 15:38:51.313"</f>
        <v>2025-03-04 15:38:51.313</v>
      </c>
      <c r="H1795" t="s">
        <v>73</v>
      </c>
      <c r="I1795">
        <v>13.63</v>
      </c>
      <c r="J1795" t="s">
        <v>31</v>
      </c>
    </row>
    <row r="1796" spans="1:10" x14ac:dyDescent="0.25">
      <c r="A1796" s="1">
        <v>874</v>
      </c>
      <c r="B1796" t="s">
        <v>39</v>
      </c>
      <c r="C1796">
        <v>104</v>
      </c>
      <c r="D1796">
        <v>1</v>
      </c>
      <c r="E1796" t="s">
        <v>108</v>
      </c>
      <c r="F1796" t="s">
        <v>107</v>
      </c>
      <c r="G1796" t="str">
        <f>"2025-03-04 15:38:51.248"</f>
        <v>2025-03-04 15:38:51.248</v>
      </c>
      <c r="H1796" t="s">
        <v>49</v>
      </c>
      <c r="I1796">
        <v>13.65</v>
      </c>
      <c r="J1796" t="s">
        <v>31</v>
      </c>
    </row>
    <row r="1797" spans="1:10" x14ac:dyDescent="0.25">
      <c r="A1797" s="1">
        <v>875</v>
      </c>
      <c r="B1797" t="s">
        <v>39</v>
      </c>
      <c r="C1797">
        <v>204</v>
      </c>
      <c r="D1797">
        <v>1</v>
      </c>
      <c r="E1797" t="s">
        <v>103</v>
      </c>
      <c r="F1797" t="s">
        <v>107</v>
      </c>
      <c r="G1797" t="str">
        <f>"2025-03-04 15:38:51.214"</f>
        <v>2025-03-04 15:38:51.214</v>
      </c>
      <c r="H1797" t="s">
        <v>64</v>
      </c>
      <c r="I1797">
        <v>13.66</v>
      </c>
      <c r="J1797" t="s">
        <v>31</v>
      </c>
    </row>
    <row r="1798" spans="1:10" x14ac:dyDescent="0.25">
      <c r="A1798" s="1">
        <v>876</v>
      </c>
      <c r="B1798" t="s">
        <v>39</v>
      </c>
      <c r="C1798">
        <v>235</v>
      </c>
      <c r="D1798">
        <v>7</v>
      </c>
      <c r="E1798" t="s">
        <v>90</v>
      </c>
      <c r="F1798" t="s">
        <v>48</v>
      </c>
      <c r="G1798" t="str">
        <f>"2025-03-04 15:38:51.209"</f>
        <v>2025-03-04 15:38:51.209</v>
      </c>
      <c r="H1798" t="s">
        <v>64</v>
      </c>
      <c r="I1798">
        <v>13.66</v>
      </c>
      <c r="J1798" t="s">
        <v>31</v>
      </c>
    </row>
    <row r="1799" spans="1:10" x14ac:dyDescent="0.25">
      <c r="A1799" s="1">
        <v>877</v>
      </c>
      <c r="B1799" t="s">
        <v>19</v>
      </c>
      <c r="C1799">
        <v>706</v>
      </c>
      <c r="D1799">
        <v>4</v>
      </c>
      <c r="E1799" t="s">
        <v>32</v>
      </c>
      <c r="F1799" t="s">
        <v>33</v>
      </c>
      <c r="G1799" t="str">
        <f>"2025-03-04 15:38:51.118"</f>
        <v>2025-03-04 15:38:51.118</v>
      </c>
      <c r="H1799" t="s">
        <v>21</v>
      </c>
      <c r="I1799">
        <v>13.71</v>
      </c>
      <c r="J1799" t="s">
        <v>31</v>
      </c>
    </row>
    <row r="1800" spans="1:10" x14ac:dyDescent="0.25">
      <c r="A1800" s="1">
        <v>878</v>
      </c>
      <c r="B1800" t="s">
        <v>23</v>
      </c>
      <c r="C1800">
        <v>635</v>
      </c>
      <c r="D1800">
        <v>1</v>
      </c>
      <c r="E1800" t="s">
        <v>24</v>
      </c>
      <c r="F1800" t="s">
        <v>25</v>
      </c>
      <c r="G1800" t="str">
        <f>"2025-03-04 15:24:13.866"</f>
        <v>2025-03-04 15:24:13.866</v>
      </c>
      <c r="H1800" t="s">
        <v>21</v>
      </c>
    </row>
    <row r="1801" spans="1:10" x14ac:dyDescent="0.25">
      <c r="A1801" s="1">
        <v>879</v>
      </c>
      <c r="B1801" t="s">
        <v>26</v>
      </c>
      <c r="C1801">
        <v>635</v>
      </c>
      <c r="D1801">
        <v>1</v>
      </c>
      <c r="E1801" t="s">
        <v>24</v>
      </c>
      <c r="F1801" t="s">
        <v>25</v>
      </c>
      <c r="G1801" t="str">
        <f>"2025-03-04 15:10:47.366"</f>
        <v>2025-03-04 15:10:47.366</v>
      </c>
      <c r="H1801" t="s">
        <v>21</v>
      </c>
      <c r="I1801">
        <v>10.26</v>
      </c>
      <c r="J1801" t="s">
        <v>31</v>
      </c>
    </row>
    <row r="1802" spans="1:10" x14ac:dyDescent="0.25">
      <c r="A1802" s="1">
        <v>880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"2025-03-04 14:55:32.678"</f>
        <v>2025-03-04 14:55:32.678</v>
      </c>
      <c r="H1802" t="s">
        <v>21</v>
      </c>
    </row>
    <row r="1803" spans="1:10" x14ac:dyDescent="0.25">
      <c r="A1803" s="1">
        <v>881</v>
      </c>
      <c r="B1803" t="s">
        <v>23</v>
      </c>
      <c r="C1803">
        <v>98</v>
      </c>
      <c r="D1803">
        <v>1</v>
      </c>
      <c r="E1803" t="s">
        <v>67</v>
      </c>
      <c r="F1803" t="s">
        <v>68</v>
      </c>
      <c r="G1803" t="str">
        <f>"2025-03-03 22:40:20.657"</f>
        <v>2025-03-03 22:40:20.657</v>
      </c>
      <c r="H1803" t="s">
        <v>21</v>
      </c>
    </row>
    <row r="1804" spans="1:10" x14ac:dyDescent="0.25">
      <c r="A1804" s="1">
        <v>882</v>
      </c>
      <c r="B1804" t="s">
        <v>26</v>
      </c>
      <c r="C1804">
        <v>98</v>
      </c>
      <c r="D1804">
        <v>1</v>
      </c>
      <c r="E1804" t="s">
        <v>67</v>
      </c>
      <c r="F1804" t="s">
        <v>68</v>
      </c>
      <c r="G1804" t="str">
        <f>"2025-03-03 22:40:19.657"</f>
        <v>2025-03-03 22:40:19.657</v>
      </c>
      <c r="H1804" t="s">
        <v>21</v>
      </c>
      <c r="I1804">
        <v>0</v>
      </c>
      <c r="J1804" t="s">
        <v>28</v>
      </c>
    </row>
    <row r="1805" spans="1:10" x14ac:dyDescent="0.25">
      <c r="A1805" s="1">
        <v>883</v>
      </c>
      <c r="B1805" t="s">
        <v>23</v>
      </c>
      <c r="C1805">
        <v>98</v>
      </c>
      <c r="D1805">
        <v>1</v>
      </c>
      <c r="E1805" t="s">
        <v>67</v>
      </c>
      <c r="F1805" t="s">
        <v>68</v>
      </c>
      <c r="G1805" t="str">
        <f>"2025-03-03 22:40:17.857"</f>
        <v>2025-03-03 22:40:17.857</v>
      </c>
      <c r="H1805" t="s">
        <v>21</v>
      </c>
    </row>
    <row r="1806" spans="1:10" x14ac:dyDescent="0.25">
      <c r="A1806" s="1">
        <v>884</v>
      </c>
      <c r="B1806" t="s">
        <v>26</v>
      </c>
      <c r="C1806">
        <v>98</v>
      </c>
      <c r="D1806">
        <v>1</v>
      </c>
      <c r="E1806" t="s">
        <v>67</v>
      </c>
      <c r="F1806" t="s">
        <v>68</v>
      </c>
      <c r="G1806" t="str">
        <f>"2025-03-03 22:40:16.857"</f>
        <v>2025-03-03 22:40:16.857</v>
      </c>
      <c r="H1806" t="s">
        <v>21</v>
      </c>
      <c r="I1806">
        <v>0</v>
      </c>
      <c r="J1806" t="s">
        <v>28</v>
      </c>
    </row>
    <row r="1807" spans="1:10" x14ac:dyDescent="0.25">
      <c r="A1807" s="1">
        <v>885</v>
      </c>
      <c r="B1807" t="s">
        <v>23</v>
      </c>
      <c r="C1807">
        <v>98</v>
      </c>
      <c r="D1807">
        <v>1</v>
      </c>
      <c r="E1807" t="s">
        <v>67</v>
      </c>
      <c r="F1807" t="s">
        <v>68</v>
      </c>
      <c r="G1807" t="str">
        <f>"2025-03-03 22:40:16.057"</f>
        <v>2025-03-03 22:40:16.057</v>
      </c>
      <c r="H1807" t="s">
        <v>21</v>
      </c>
    </row>
    <row r="1808" spans="1:10" x14ac:dyDescent="0.25">
      <c r="A1808" s="1">
        <v>886</v>
      </c>
      <c r="B1808" t="s">
        <v>26</v>
      </c>
      <c r="C1808">
        <v>98</v>
      </c>
      <c r="D1808">
        <v>1</v>
      </c>
      <c r="E1808" t="s">
        <v>67</v>
      </c>
      <c r="F1808" t="s">
        <v>68</v>
      </c>
      <c r="G1808" t="str">
        <f>"2025-03-03 22:40:15.058"</f>
        <v>2025-03-03 22:40:15.058</v>
      </c>
      <c r="H1808" t="s">
        <v>21</v>
      </c>
      <c r="I1808">
        <v>0</v>
      </c>
      <c r="J1808" t="s">
        <v>28</v>
      </c>
    </row>
    <row r="1809" spans="1:10" x14ac:dyDescent="0.25">
      <c r="A1809" s="1">
        <v>887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"2025-03-03 20:09:53.584"</f>
        <v>2025-03-03 20:09:53.584</v>
      </c>
      <c r="H1809" t="s">
        <v>21</v>
      </c>
      <c r="I1809">
        <v>0</v>
      </c>
      <c r="J1809" t="s">
        <v>22</v>
      </c>
    </row>
    <row r="1810" spans="1:10" x14ac:dyDescent="0.25">
      <c r="A1810" s="1">
        <v>888</v>
      </c>
      <c r="B1810" t="s">
        <v>43</v>
      </c>
      <c r="C1810">
        <v>135</v>
      </c>
      <c r="D1810">
        <v>7</v>
      </c>
      <c r="E1810" t="s">
        <v>47</v>
      </c>
      <c r="F1810" t="s">
        <v>48</v>
      </c>
      <c r="G1810" t="str">
        <f>"2025-03-03 17:15:01.887"</f>
        <v>2025-03-03 17:15:01.887</v>
      </c>
      <c r="H1810" t="s">
        <v>49</v>
      </c>
    </row>
    <row r="1811" spans="1:10" x14ac:dyDescent="0.25">
      <c r="A1811" s="1">
        <v>889</v>
      </c>
      <c r="B1811" t="s">
        <v>39</v>
      </c>
      <c r="C1811">
        <v>135</v>
      </c>
      <c r="D1811">
        <v>7</v>
      </c>
      <c r="E1811" t="s">
        <v>47</v>
      </c>
      <c r="F1811" t="s">
        <v>48</v>
      </c>
      <c r="G1811" t="str">
        <f>"2025-03-03 17:14:56.807"</f>
        <v>2025-03-03 17:14:56.807</v>
      </c>
      <c r="H1811" t="s">
        <v>49</v>
      </c>
      <c r="I1811">
        <v>19.920000000000002</v>
      </c>
      <c r="J1811" t="s">
        <v>31</v>
      </c>
    </row>
    <row r="1812" spans="1:10" x14ac:dyDescent="0.25">
      <c r="A1812" s="1">
        <v>890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"2025-03-02 21:05:48.705"</f>
        <v>2025-03-02 21:05:48.705</v>
      </c>
      <c r="H1812" t="s">
        <v>21</v>
      </c>
      <c r="I1812">
        <v>0</v>
      </c>
      <c r="J1812" t="s">
        <v>22</v>
      </c>
    </row>
    <row r="1813" spans="1:10" x14ac:dyDescent="0.25">
      <c r="A1813" s="1">
        <v>891</v>
      </c>
      <c r="B1813" t="s">
        <v>23</v>
      </c>
      <c r="C1813">
        <v>635</v>
      </c>
      <c r="D1813">
        <v>1</v>
      </c>
      <c r="E1813" t="s">
        <v>24</v>
      </c>
      <c r="F1813" t="s">
        <v>25</v>
      </c>
      <c r="G1813" t="str">
        <f>"2025-03-02 15:35:49.732"</f>
        <v>2025-03-02 15:35:49.732</v>
      </c>
      <c r="H1813" t="s">
        <v>21</v>
      </c>
    </row>
    <row r="1814" spans="1:10" x14ac:dyDescent="0.25">
      <c r="A1814" s="1">
        <v>892</v>
      </c>
      <c r="B1814" t="s">
        <v>26</v>
      </c>
      <c r="C1814">
        <v>635</v>
      </c>
      <c r="D1814">
        <v>1</v>
      </c>
      <c r="E1814" t="s">
        <v>24</v>
      </c>
      <c r="F1814" t="s">
        <v>25</v>
      </c>
      <c r="G1814" t="str">
        <f>"2025-03-02 15:32:26.732"</f>
        <v>2025-03-02 15:32:26.732</v>
      </c>
      <c r="H1814" t="s">
        <v>21</v>
      </c>
      <c r="I1814">
        <v>2.39</v>
      </c>
      <c r="J1814" t="s">
        <v>31</v>
      </c>
    </row>
    <row r="1815" spans="1:10" x14ac:dyDescent="0.25">
      <c r="A1815" s="1">
        <v>893</v>
      </c>
      <c r="B1815" t="s">
        <v>19</v>
      </c>
      <c r="C1815">
        <v>706</v>
      </c>
      <c r="D1815">
        <v>2</v>
      </c>
      <c r="E1815" t="s">
        <v>32</v>
      </c>
      <c r="F1815" t="s">
        <v>35</v>
      </c>
      <c r="G1815" t="str">
        <f>"2025-03-02 10:30:08.499"</f>
        <v>2025-03-02 10:30:08.499</v>
      </c>
      <c r="H1815" t="s">
        <v>21</v>
      </c>
      <c r="I1815">
        <v>0</v>
      </c>
      <c r="J1815" t="s">
        <v>34</v>
      </c>
    </row>
    <row r="1816" spans="1:10" x14ac:dyDescent="0.25">
      <c r="A1816" s="1">
        <v>894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"2025-03-02 10:29:41.509"</f>
        <v>2025-03-02 10:29:41.509</v>
      </c>
      <c r="H1816" t="s">
        <v>21</v>
      </c>
      <c r="I1816">
        <v>0</v>
      </c>
      <c r="J1816" t="s">
        <v>22</v>
      </c>
    </row>
    <row r="1817" spans="1:10" x14ac:dyDescent="0.25">
      <c r="A1817" s="1">
        <v>895</v>
      </c>
      <c r="B1817" t="s">
        <v>43</v>
      </c>
      <c r="C1817">
        <v>235</v>
      </c>
      <c r="D1817">
        <v>7</v>
      </c>
      <c r="E1817" t="s">
        <v>90</v>
      </c>
      <c r="F1817" t="s">
        <v>48</v>
      </c>
      <c r="G1817" t="str">
        <f>"2025-03-02 07:12:48.369"</f>
        <v>2025-03-02 07:12:48.369</v>
      </c>
      <c r="H1817" t="s">
        <v>64</v>
      </c>
    </row>
    <row r="1818" spans="1:10" x14ac:dyDescent="0.25">
      <c r="A1818" s="1">
        <v>896</v>
      </c>
      <c r="B1818" t="s">
        <v>39</v>
      </c>
      <c r="C1818">
        <v>235</v>
      </c>
      <c r="D1818">
        <v>7</v>
      </c>
      <c r="E1818" t="s">
        <v>90</v>
      </c>
      <c r="F1818" t="s">
        <v>48</v>
      </c>
      <c r="G1818" t="str">
        <f>"2025-03-02 07:12:43.277"</f>
        <v>2025-03-02 07:12:43.277</v>
      </c>
      <c r="H1818" t="s">
        <v>64</v>
      </c>
      <c r="I1818">
        <v>5.33</v>
      </c>
      <c r="J1818" t="s">
        <v>31</v>
      </c>
    </row>
    <row r="1819" spans="1:10" x14ac:dyDescent="0.25">
      <c r="A1819" s="1">
        <v>897</v>
      </c>
      <c r="B1819" t="s">
        <v>43</v>
      </c>
      <c r="C1819">
        <v>135</v>
      </c>
      <c r="D1819">
        <v>7</v>
      </c>
      <c r="E1819" t="s">
        <v>47</v>
      </c>
      <c r="F1819" t="s">
        <v>48</v>
      </c>
      <c r="G1819" t="str">
        <f>"2025-03-02 06:58:01.869"</f>
        <v>2025-03-02 06:58:01.869</v>
      </c>
      <c r="H1819" t="s">
        <v>49</v>
      </c>
    </row>
    <row r="1820" spans="1:10" x14ac:dyDescent="0.25">
      <c r="A1820" s="1">
        <v>898</v>
      </c>
      <c r="B1820" t="s">
        <v>39</v>
      </c>
      <c r="C1820">
        <v>135</v>
      </c>
      <c r="D1820">
        <v>7</v>
      </c>
      <c r="E1820" t="s">
        <v>47</v>
      </c>
      <c r="F1820" t="s">
        <v>48</v>
      </c>
      <c r="G1820" t="str">
        <f>"2025-03-02 06:57:56.817"</f>
        <v>2025-03-02 06:57:56.817</v>
      </c>
      <c r="H1820" t="s">
        <v>49</v>
      </c>
      <c r="I1820">
        <v>13.65</v>
      </c>
      <c r="J1820" t="s">
        <v>27</v>
      </c>
    </row>
    <row r="1821" spans="1:10" x14ac:dyDescent="0.25">
      <c r="A1821" s="1">
        <v>899</v>
      </c>
      <c r="B1821" t="s">
        <v>43</v>
      </c>
      <c r="C1821">
        <v>235</v>
      </c>
      <c r="D1821">
        <v>7</v>
      </c>
      <c r="E1821" t="s">
        <v>90</v>
      </c>
      <c r="F1821" t="s">
        <v>48</v>
      </c>
      <c r="G1821" t="str">
        <f>"2025-03-02 03:13:31.069"</f>
        <v>2025-03-02 03:13:31.069</v>
      </c>
      <c r="H1821" t="s">
        <v>64</v>
      </c>
    </row>
    <row r="1822" spans="1:10" x14ac:dyDescent="0.25">
      <c r="A1822" s="1">
        <v>900</v>
      </c>
      <c r="B1822" t="s">
        <v>39</v>
      </c>
      <c r="C1822">
        <v>235</v>
      </c>
      <c r="D1822">
        <v>7</v>
      </c>
      <c r="E1822" t="s">
        <v>90</v>
      </c>
      <c r="F1822" t="s">
        <v>48</v>
      </c>
      <c r="G1822" t="str">
        <f>"2025-03-02 03:13:26.037"</f>
        <v>2025-03-02 03:13:26.037</v>
      </c>
      <c r="H1822" t="s">
        <v>64</v>
      </c>
      <c r="I1822">
        <v>19.66</v>
      </c>
      <c r="J1822" t="s">
        <v>27</v>
      </c>
    </row>
    <row r="1823" spans="1:10" x14ac:dyDescent="0.25">
      <c r="A1823" s="1">
        <v>901</v>
      </c>
      <c r="B1823" t="s">
        <v>43</v>
      </c>
      <c r="C1823">
        <v>135</v>
      </c>
      <c r="D1823">
        <v>1</v>
      </c>
      <c r="E1823" t="s">
        <v>47</v>
      </c>
      <c r="F1823" t="s">
        <v>91</v>
      </c>
      <c r="G1823" t="str">
        <f>"2025-03-02 02:29:49.169"</f>
        <v>2025-03-02 02:29:49.169</v>
      </c>
      <c r="H1823" t="s">
        <v>49</v>
      </c>
    </row>
    <row r="1824" spans="1:10" x14ac:dyDescent="0.25">
      <c r="A1824" s="1">
        <v>902</v>
      </c>
      <c r="B1824" t="s">
        <v>39</v>
      </c>
      <c r="C1824">
        <v>135</v>
      </c>
      <c r="D1824">
        <v>1</v>
      </c>
      <c r="E1824" t="s">
        <v>47</v>
      </c>
      <c r="F1824" t="s">
        <v>91</v>
      </c>
      <c r="G1824" t="str">
        <f>"2025-03-02 02:29:44.157"</f>
        <v>2025-03-02 02:29:44.157</v>
      </c>
      <c r="H1824" t="s">
        <v>49</v>
      </c>
      <c r="I1824">
        <v>0</v>
      </c>
      <c r="J1824" t="s">
        <v>28</v>
      </c>
    </row>
    <row r="1825" spans="1:10" x14ac:dyDescent="0.25">
      <c r="A1825" s="1">
        <v>903</v>
      </c>
      <c r="B1825" t="s">
        <v>43</v>
      </c>
      <c r="C1825">
        <v>135</v>
      </c>
      <c r="D1825">
        <v>7</v>
      </c>
      <c r="E1825" t="s">
        <v>47</v>
      </c>
      <c r="F1825" t="s">
        <v>48</v>
      </c>
      <c r="G1825" t="str">
        <f>"2025-03-01 06:54:19.969"</f>
        <v>2025-03-01 06:54:19.969</v>
      </c>
      <c r="H1825" t="s">
        <v>49</v>
      </c>
    </row>
    <row r="1826" spans="1:10" x14ac:dyDescent="0.25">
      <c r="A1826" s="1">
        <v>904</v>
      </c>
      <c r="B1826" t="s">
        <v>39</v>
      </c>
      <c r="C1826">
        <v>135</v>
      </c>
      <c r="D1826">
        <v>7</v>
      </c>
      <c r="E1826" t="s">
        <v>47</v>
      </c>
      <c r="F1826" t="s">
        <v>48</v>
      </c>
      <c r="G1826" t="str">
        <f>"2025-03-01 06:54:14.957"</f>
        <v>2025-03-01 06:54:14.957</v>
      </c>
      <c r="H1826" t="s">
        <v>49</v>
      </c>
      <c r="I1826">
        <v>23.25</v>
      </c>
      <c r="J1826" t="s">
        <v>31</v>
      </c>
    </row>
    <row r="1827" spans="1:10" x14ac:dyDescent="0.25">
      <c r="A1827" s="1">
        <v>905</v>
      </c>
      <c r="B1827" t="s">
        <v>50</v>
      </c>
      <c r="C1827">
        <v>23</v>
      </c>
      <c r="D1827">
        <v>1</v>
      </c>
      <c r="E1827" t="s">
        <v>96</v>
      </c>
      <c r="F1827" t="s">
        <v>97</v>
      </c>
      <c r="G1827" t="str">
        <f>"2025-03-01 06:24:00.452"</f>
        <v>2025-03-01 06:24:00.452</v>
      </c>
      <c r="H1827" t="s">
        <v>73</v>
      </c>
    </row>
    <row r="1828" spans="1:10" s="3" customFormat="1" x14ac:dyDescent="0.25">
      <c r="A1828" s="2">
        <v>906</v>
      </c>
      <c r="B1828" s="3" t="s">
        <v>23</v>
      </c>
      <c r="C1828" s="3">
        <v>647</v>
      </c>
      <c r="D1828" s="3">
        <v>1</v>
      </c>
      <c r="E1828" s="3" t="s">
        <v>29</v>
      </c>
      <c r="F1828" s="3" t="s">
        <v>30</v>
      </c>
      <c r="G1828" s="3" t="str">
        <f>"2025-03-01 06:23:37.605"</f>
        <v>2025-03-01 06:23:37.605</v>
      </c>
      <c r="H1828" s="3" t="s">
        <v>21</v>
      </c>
    </row>
    <row r="1829" spans="1:10" x14ac:dyDescent="0.25">
      <c r="A1829" s="1">
        <v>907</v>
      </c>
      <c r="B1829" t="s">
        <v>23</v>
      </c>
      <c r="C1829">
        <v>14</v>
      </c>
      <c r="D1829">
        <v>14</v>
      </c>
      <c r="E1829" t="s">
        <v>98</v>
      </c>
      <c r="F1829" t="s">
        <v>109</v>
      </c>
      <c r="G1829" t="str">
        <f>"2025-03-01 06:23:37.207"</f>
        <v>2025-03-01 06:23:37.207</v>
      </c>
      <c r="H1829" t="s">
        <v>38</v>
      </c>
    </row>
    <row r="1830" spans="1:10" x14ac:dyDescent="0.25">
      <c r="A1830" s="1">
        <v>908</v>
      </c>
      <c r="B1830" t="s">
        <v>23</v>
      </c>
      <c r="C1830">
        <v>14</v>
      </c>
      <c r="D1830">
        <v>13</v>
      </c>
      <c r="E1830" t="s">
        <v>98</v>
      </c>
      <c r="F1830" t="s">
        <v>110</v>
      </c>
      <c r="G1830" t="str">
        <f>"2025-03-01 06:23:37.206"</f>
        <v>2025-03-01 06:23:37.206</v>
      </c>
      <c r="H1830" t="s">
        <v>38</v>
      </c>
    </row>
    <row r="1831" spans="1:10" x14ac:dyDescent="0.25">
      <c r="A1831" s="1">
        <v>909</v>
      </c>
      <c r="B1831" t="s">
        <v>23</v>
      </c>
      <c r="C1831">
        <v>14</v>
      </c>
      <c r="D1831">
        <v>10</v>
      </c>
      <c r="E1831" t="s">
        <v>98</v>
      </c>
      <c r="F1831" t="s">
        <v>99</v>
      </c>
      <c r="G1831" t="str">
        <f>"2025-03-01 06:23:37.204"</f>
        <v>2025-03-01 06:23:37.204</v>
      </c>
      <c r="H1831" t="s">
        <v>38</v>
      </c>
    </row>
    <row r="1832" spans="1:10" s="3" customFormat="1" x14ac:dyDescent="0.25">
      <c r="A1832" s="2">
        <v>910</v>
      </c>
      <c r="B1832" s="3" t="s">
        <v>26</v>
      </c>
      <c r="C1832" s="3">
        <v>647</v>
      </c>
      <c r="D1832" s="3">
        <v>1</v>
      </c>
      <c r="E1832" s="3" t="s">
        <v>29</v>
      </c>
      <c r="F1832" s="3" t="s">
        <v>30</v>
      </c>
      <c r="G1832" s="3" t="str">
        <f>"2025-03-01 06:23:34.305"</f>
        <v>2025-03-01 06:23:34.305</v>
      </c>
      <c r="H1832" s="3" t="s">
        <v>21</v>
      </c>
      <c r="I1832" s="3">
        <v>15.05</v>
      </c>
      <c r="J1832" s="3" t="s">
        <v>28</v>
      </c>
    </row>
    <row r="1833" spans="1:10" s="3" customFormat="1" x14ac:dyDescent="0.25">
      <c r="A1833" s="2">
        <v>911</v>
      </c>
      <c r="B1833" s="3" t="s">
        <v>23</v>
      </c>
      <c r="C1833" s="3">
        <v>647</v>
      </c>
      <c r="D1833" s="3">
        <v>1</v>
      </c>
      <c r="E1833" s="3" t="s">
        <v>29</v>
      </c>
      <c r="F1833" s="3" t="s">
        <v>30</v>
      </c>
      <c r="G1833" s="3" t="str">
        <f>"2025-03-01 06:23:26.005"</f>
        <v>2025-03-01 06:23:26.005</v>
      </c>
      <c r="H1833" s="3" t="s">
        <v>21</v>
      </c>
    </row>
    <row r="1834" spans="1:10" x14ac:dyDescent="0.25">
      <c r="A1834" s="1">
        <v>912</v>
      </c>
      <c r="B1834" t="s">
        <v>43</v>
      </c>
      <c r="C1834">
        <v>205</v>
      </c>
      <c r="D1834">
        <v>3</v>
      </c>
      <c r="E1834" t="s">
        <v>100</v>
      </c>
      <c r="F1834" t="s">
        <v>101</v>
      </c>
      <c r="G1834" t="str">
        <f>"2025-03-01 06:23:25.969"</f>
        <v>2025-03-01 06:23:25.969</v>
      </c>
      <c r="H1834" t="s">
        <v>64</v>
      </c>
    </row>
    <row r="1835" spans="1:10" x14ac:dyDescent="0.25">
      <c r="A1835" s="1">
        <v>913</v>
      </c>
      <c r="B1835" t="s">
        <v>43</v>
      </c>
      <c r="C1835">
        <v>204</v>
      </c>
      <c r="D1835">
        <v>8</v>
      </c>
      <c r="E1835" t="s">
        <v>103</v>
      </c>
      <c r="F1835" t="s">
        <v>104</v>
      </c>
      <c r="G1835" t="str">
        <f>"2025-03-01 06:23:25.875"</f>
        <v>2025-03-01 06:23:25.875</v>
      </c>
      <c r="H1835" t="s">
        <v>64</v>
      </c>
    </row>
    <row r="1836" spans="1:10" x14ac:dyDescent="0.25">
      <c r="A1836" s="1">
        <v>914</v>
      </c>
      <c r="B1836" t="s">
        <v>43</v>
      </c>
      <c r="C1836">
        <v>204</v>
      </c>
      <c r="D1836">
        <v>6</v>
      </c>
      <c r="E1836" t="s">
        <v>103</v>
      </c>
      <c r="F1836" t="s">
        <v>105</v>
      </c>
      <c r="G1836" t="str">
        <f>"2025-03-01 06:23:25.873"</f>
        <v>2025-03-01 06:23:25.873</v>
      </c>
      <c r="H1836" t="s">
        <v>64</v>
      </c>
    </row>
    <row r="1837" spans="1:10" x14ac:dyDescent="0.25">
      <c r="A1837" s="1">
        <v>915</v>
      </c>
      <c r="B1837" t="s">
        <v>43</v>
      </c>
      <c r="C1837">
        <v>204</v>
      </c>
      <c r="D1837">
        <v>5</v>
      </c>
      <c r="E1837" t="s">
        <v>103</v>
      </c>
      <c r="F1837" t="s">
        <v>106</v>
      </c>
      <c r="G1837" t="str">
        <f>"2025-03-01 06:23:25.872"</f>
        <v>2025-03-01 06:23:25.872</v>
      </c>
      <c r="H1837" t="s">
        <v>64</v>
      </c>
    </row>
    <row r="1838" spans="1:10" x14ac:dyDescent="0.25">
      <c r="A1838" s="1">
        <v>916</v>
      </c>
      <c r="B1838" t="s">
        <v>43</v>
      </c>
      <c r="C1838">
        <v>204</v>
      </c>
      <c r="D1838">
        <v>1</v>
      </c>
      <c r="E1838" t="s">
        <v>103</v>
      </c>
      <c r="F1838" t="s">
        <v>107</v>
      </c>
      <c r="G1838" t="str">
        <f>"2025-03-01 06:23:25.869"</f>
        <v>2025-03-01 06:23:25.869</v>
      </c>
      <c r="H1838" t="s">
        <v>64</v>
      </c>
    </row>
    <row r="1839" spans="1:10" x14ac:dyDescent="0.25">
      <c r="A1839" s="1">
        <v>917</v>
      </c>
      <c r="B1839" t="s">
        <v>39</v>
      </c>
      <c r="C1839">
        <v>205</v>
      </c>
      <c r="D1839">
        <v>3</v>
      </c>
      <c r="E1839" t="s">
        <v>100</v>
      </c>
      <c r="F1839" t="s">
        <v>101</v>
      </c>
      <c r="G1839" t="str">
        <f>"2025-03-01 06:23:20.897"</f>
        <v>2025-03-01 06:23:20.897</v>
      </c>
      <c r="H1839" t="s">
        <v>64</v>
      </c>
      <c r="I1839">
        <v>22.62</v>
      </c>
      <c r="J1839" t="s">
        <v>28</v>
      </c>
    </row>
    <row r="1840" spans="1:10" x14ac:dyDescent="0.25">
      <c r="A1840" s="1">
        <v>918</v>
      </c>
      <c r="B1840" t="s">
        <v>43</v>
      </c>
      <c r="C1840">
        <v>205</v>
      </c>
      <c r="D1840">
        <v>3</v>
      </c>
      <c r="E1840" t="s">
        <v>100</v>
      </c>
      <c r="F1840" t="s">
        <v>101</v>
      </c>
      <c r="G1840" t="str">
        <f>"2025-03-01 06:23:20.872"</f>
        <v>2025-03-01 06:23:20.872</v>
      </c>
      <c r="H1840" t="s">
        <v>64</v>
      </c>
    </row>
    <row r="1841" spans="1:10" x14ac:dyDescent="0.25">
      <c r="A1841" s="1">
        <v>919</v>
      </c>
      <c r="B1841" t="s">
        <v>43</v>
      </c>
      <c r="C1841">
        <v>105</v>
      </c>
      <c r="D1841">
        <v>3</v>
      </c>
      <c r="E1841" t="s">
        <v>102</v>
      </c>
      <c r="F1841" t="s">
        <v>101</v>
      </c>
      <c r="G1841" t="str">
        <f>"2025-03-01 06:23:20.869"</f>
        <v>2025-03-01 06:23:20.869</v>
      </c>
      <c r="H1841" t="s">
        <v>49</v>
      </c>
    </row>
    <row r="1842" spans="1:10" x14ac:dyDescent="0.25">
      <c r="A1842" s="1">
        <v>920</v>
      </c>
      <c r="B1842" t="s">
        <v>39</v>
      </c>
      <c r="C1842">
        <v>204</v>
      </c>
      <c r="D1842">
        <v>8</v>
      </c>
      <c r="E1842" t="s">
        <v>103</v>
      </c>
      <c r="F1842" t="s">
        <v>104</v>
      </c>
      <c r="G1842" t="str">
        <f>"2025-03-01 06:23:20.752"</f>
        <v>2025-03-01 06:23:20.752</v>
      </c>
      <c r="H1842" t="s">
        <v>64</v>
      </c>
      <c r="I1842">
        <v>22.84</v>
      </c>
      <c r="J1842" t="s">
        <v>28</v>
      </c>
    </row>
    <row r="1843" spans="1:10" x14ac:dyDescent="0.25">
      <c r="A1843" s="1">
        <v>921</v>
      </c>
      <c r="B1843" t="s">
        <v>39</v>
      </c>
      <c r="C1843">
        <v>204</v>
      </c>
      <c r="D1843">
        <v>6</v>
      </c>
      <c r="E1843" t="s">
        <v>103</v>
      </c>
      <c r="F1843" t="s">
        <v>105</v>
      </c>
      <c r="G1843" t="str">
        <f>"2025-03-01 06:23:20.747"</f>
        <v>2025-03-01 06:23:20.747</v>
      </c>
      <c r="H1843" t="s">
        <v>64</v>
      </c>
      <c r="I1843">
        <v>22.84</v>
      </c>
      <c r="J1843" t="s">
        <v>28</v>
      </c>
    </row>
    <row r="1844" spans="1:10" x14ac:dyDescent="0.25">
      <c r="A1844" s="1">
        <v>922</v>
      </c>
      <c r="B1844" t="s">
        <v>39</v>
      </c>
      <c r="C1844">
        <v>204</v>
      </c>
      <c r="D1844">
        <v>5</v>
      </c>
      <c r="E1844" t="s">
        <v>103</v>
      </c>
      <c r="F1844" t="s">
        <v>106</v>
      </c>
      <c r="G1844" t="str">
        <f>"2025-03-01 06:23:20.742"</f>
        <v>2025-03-01 06:23:20.742</v>
      </c>
      <c r="H1844" t="s">
        <v>64</v>
      </c>
      <c r="I1844">
        <v>22.84</v>
      </c>
      <c r="J1844" t="s">
        <v>28</v>
      </c>
    </row>
    <row r="1845" spans="1:10" x14ac:dyDescent="0.25">
      <c r="A1845" s="1">
        <v>923</v>
      </c>
      <c r="B1845" t="s">
        <v>39</v>
      </c>
      <c r="C1845">
        <v>204</v>
      </c>
      <c r="D1845">
        <v>1</v>
      </c>
      <c r="E1845" t="s">
        <v>103</v>
      </c>
      <c r="F1845" t="s">
        <v>107</v>
      </c>
      <c r="G1845" t="str">
        <f>"2025-03-01 06:23:20.737"</f>
        <v>2025-03-01 06:23:20.737</v>
      </c>
      <c r="H1845" t="s">
        <v>64</v>
      </c>
      <c r="I1845">
        <v>22.84</v>
      </c>
      <c r="J1845" t="s">
        <v>28</v>
      </c>
    </row>
    <row r="1846" spans="1:10" x14ac:dyDescent="0.25">
      <c r="A1846" s="1">
        <v>924</v>
      </c>
      <c r="B1846" t="s">
        <v>43</v>
      </c>
      <c r="C1846">
        <v>204</v>
      </c>
      <c r="D1846">
        <v>8</v>
      </c>
      <c r="E1846" t="s">
        <v>103</v>
      </c>
      <c r="F1846" t="s">
        <v>104</v>
      </c>
      <c r="G1846" t="str">
        <f>"2025-03-01 06:23:20.688"</f>
        <v>2025-03-01 06:23:20.688</v>
      </c>
      <c r="H1846" t="s">
        <v>64</v>
      </c>
    </row>
    <row r="1847" spans="1:10" x14ac:dyDescent="0.25">
      <c r="A1847" s="1">
        <v>925</v>
      </c>
      <c r="B1847" t="s">
        <v>43</v>
      </c>
      <c r="C1847">
        <v>204</v>
      </c>
      <c r="D1847">
        <v>6</v>
      </c>
      <c r="E1847" t="s">
        <v>103</v>
      </c>
      <c r="F1847" t="s">
        <v>105</v>
      </c>
      <c r="G1847" t="str">
        <f>"2025-03-01 06:23:20.686"</f>
        <v>2025-03-01 06:23:20.686</v>
      </c>
      <c r="H1847" t="s">
        <v>64</v>
      </c>
    </row>
    <row r="1848" spans="1:10" x14ac:dyDescent="0.25">
      <c r="A1848" s="1">
        <v>926</v>
      </c>
      <c r="B1848" t="s">
        <v>43</v>
      </c>
      <c r="C1848">
        <v>204</v>
      </c>
      <c r="D1848">
        <v>5</v>
      </c>
      <c r="E1848" t="s">
        <v>103</v>
      </c>
      <c r="F1848" t="s">
        <v>106</v>
      </c>
      <c r="G1848" t="str">
        <f>"2025-03-01 06:23:20.684"</f>
        <v>2025-03-01 06:23:20.684</v>
      </c>
      <c r="H1848" t="s">
        <v>64</v>
      </c>
    </row>
    <row r="1849" spans="1:10" x14ac:dyDescent="0.25">
      <c r="A1849" s="1">
        <v>927</v>
      </c>
      <c r="B1849" t="s">
        <v>43</v>
      </c>
      <c r="C1849">
        <v>204</v>
      </c>
      <c r="D1849">
        <v>1</v>
      </c>
      <c r="E1849" t="s">
        <v>103</v>
      </c>
      <c r="F1849" t="s">
        <v>107</v>
      </c>
      <c r="G1849" t="str">
        <f>"2025-03-01 06:23:20.682"</f>
        <v>2025-03-01 06:23:20.682</v>
      </c>
      <c r="H1849" t="s">
        <v>64</v>
      </c>
    </row>
    <row r="1850" spans="1:10" x14ac:dyDescent="0.25">
      <c r="A1850" s="1">
        <v>928</v>
      </c>
      <c r="B1850" t="s">
        <v>43</v>
      </c>
      <c r="C1850">
        <v>104</v>
      </c>
      <c r="D1850">
        <v>8</v>
      </c>
      <c r="E1850" t="s">
        <v>108</v>
      </c>
      <c r="F1850" t="s">
        <v>104</v>
      </c>
      <c r="G1850" t="str">
        <f>"2025-03-01 06:23:20.679"</f>
        <v>2025-03-01 06:23:20.679</v>
      </c>
      <c r="H1850" t="s">
        <v>49</v>
      </c>
    </row>
    <row r="1851" spans="1:10" x14ac:dyDescent="0.25">
      <c r="A1851" s="1">
        <v>929</v>
      </c>
      <c r="B1851" t="s">
        <v>43</v>
      </c>
      <c r="C1851">
        <v>104</v>
      </c>
      <c r="D1851">
        <v>6</v>
      </c>
      <c r="E1851" t="s">
        <v>108</v>
      </c>
      <c r="F1851" t="s">
        <v>105</v>
      </c>
      <c r="G1851" t="str">
        <f>"2025-03-01 06:23:20.676"</f>
        <v>2025-03-01 06:23:20.676</v>
      </c>
      <c r="H1851" t="s">
        <v>49</v>
      </c>
    </row>
    <row r="1852" spans="1:10" x14ac:dyDescent="0.25">
      <c r="A1852" s="1">
        <v>930</v>
      </c>
      <c r="B1852" t="s">
        <v>43</v>
      </c>
      <c r="C1852">
        <v>104</v>
      </c>
      <c r="D1852">
        <v>5</v>
      </c>
      <c r="E1852" t="s">
        <v>108</v>
      </c>
      <c r="F1852" t="s">
        <v>106</v>
      </c>
      <c r="G1852" t="str">
        <f>"2025-03-01 06:23:20.674"</f>
        <v>2025-03-01 06:23:20.674</v>
      </c>
      <c r="H1852" t="s">
        <v>49</v>
      </c>
    </row>
    <row r="1853" spans="1:10" x14ac:dyDescent="0.25">
      <c r="A1853" s="1">
        <v>931</v>
      </c>
      <c r="B1853" t="s">
        <v>43</v>
      </c>
      <c r="C1853">
        <v>104</v>
      </c>
      <c r="D1853">
        <v>1</v>
      </c>
      <c r="E1853" t="s">
        <v>108</v>
      </c>
      <c r="F1853" t="s">
        <v>107</v>
      </c>
      <c r="G1853" t="str">
        <f>"2025-03-01 06:23:20.669"</f>
        <v>2025-03-01 06:23:20.669</v>
      </c>
      <c r="H1853" t="s">
        <v>49</v>
      </c>
    </row>
    <row r="1854" spans="1:10" x14ac:dyDescent="0.25">
      <c r="A1854" s="1">
        <v>932</v>
      </c>
      <c r="B1854" t="s">
        <v>43</v>
      </c>
      <c r="C1854">
        <v>235</v>
      </c>
      <c r="D1854">
        <v>7</v>
      </c>
      <c r="E1854" t="s">
        <v>90</v>
      </c>
      <c r="F1854" t="s">
        <v>48</v>
      </c>
      <c r="G1854" t="str">
        <f>"2025-03-01 06:23:20.369"</f>
        <v>2025-03-01 06:23:20.369</v>
      </c>
      <c r="H1854" t="s">
        <v>64</v>
      </c>
    </row>
    <row r="1855" spans="1:10" s="3" customFormat="1" x14ac:dyDescent="0.25">
      <c r="A1855" s="2">
        <v>933</v>
      </c>
      <c r="B1855" s="3" t="s">
        <v>26</v>
      </c>
      <c r="C1855" s="3">
        <v>647</v>
      </c>
      <c r="D1855" s="3">
        <v>1</v>
      </c>
      <c r="E1855" s="3" t="s">
        <v>29</v>
      </c>
      <c r="F1855" s="3" t="s">
        <v>30</v>
      </c>
      <c r="G1855" s="3" t="str">
        <f>"2025-03-01 06:23:19.595"</f>
        <v>2025-03-01 06:23:19.595</v>
      </c>
      <c r="H1855" s="3" t="s">
        <v>21</v>
      </c>
      <c r="I1855" s="3">
        <v>24.12</v>
      </c>
      <c r="J1855" s="3" t="s">
        <v>28</v>
      </c>
    </row>
    <row r="1856" spans="1:10" x14ac:dyDescent="0.25">
      <c r="A1856" s="1">
        <v>934</v>
      </c>
      <c r="B1856" t="s">
        <v>26</v>
      </c>
      <c r="C1856">
        <v>14</v>
      </c>
      <c r="D1856">
        <v>13</v>
      </c>
      <c r="E1856" t="s">
        <v>98</v>
      </c>
      <c r="F1856" t="s">
        <v>110</v>
      </c>
      <c r="G1856" t="str">
        <f>"2025-03-01 06:23:17.201"</f>
        <v>2025-03-01 06:23:17.201</v>
      </c>
      <c r="H1856" t="s">
        <v>38</v>
      </c>
      <c r="I1856">
        <v>21.3</v>
      </c>
      <c r="J1856" t="s">
        <v>28</v>
      </c>
    </row>
    <row r="1857" spans="1:10" x14ac:dyDescent="0.25">
      <c r="A1857" s="1">
        <v>935</v>
      </c>
      <c r="B1857" t="s">
        <v>26</v>
      </c>
      <c r="C1857">
        <v>14</v>
      </c>
      <c r="D1857">
        <v>14</v>
      </c>
      <c r="E1857" t="s">
        <v>98</v>
      </c>
      <c r="F1857" t="s">
        <v>109</v>
      </c>
      <c r="G1857" t="str">
        <f>"2025-03-01 06:23:17.195"</f>
        <v>2025-03-01 06:23:17.195</v>
      </c>
      <c r="H1857" t="s">
        <v>38</v>
      </c>
      <c r="I1857">
        <v>21.3</v>
      </c>
      <c r="J1857" t="s">
        <v>28</v>
      </c>
    </row>
    <row r="1858" spans="1:10" x14ac:dyDescent="0.25">
      <c r="A1858" s="1">
        <v>936</v>
      </c>
      <c r="B1858" t="s">
        <v>26</v>
      </c>
      <c r="C1858">
        <v>14</v>
      </c>
      <c r="D1858">
        <v>10</v>
      </c>
      <c r="E1858" t="s">
        <v>98</v>
      </c>
      <c r="F1858" t="s">
        <v>99</v>
      </c>
      <c r="G1858" t="str">
        <f>"2025-03-01 06:23:16.141"</f>
        <v>2025-03-01 06:23:16.141</v>
      </c>
      <c r="H1858" t="s">
        <v>38</v>
      </c>
      <c r="I1858">
        <v>21.52</v>
      </c>
      <c r="J1858" t="s">
        <v>31</v>
      </c>
    </row>
    <row r="1859" spans="1:10" x14ac:dyDescent="0.25">
      <c r="A1859" s="1">
        <v>937</v>
      </c>
      <c r="B1859" t="s">
        <v>39</v>
      </c>
      <c r="C1859">
        <v>205</v>
      </c>
      <c r="D1859">
        <v>3</v>
      </c>
      <c r="E1859" t="s">
        <v>100</v>
      </c>
      <c r="F1859" t="s">
        <v>101</v>
      </c>
      <c r="G1859" t="str">
        <f>"2025-03-01 06:23:15.817"</f>
        <v>2025-03-01 06:23:15.817</v>
      </c>
      <c r="H1859" t="s">
        <v>64</v>
      </c>
      <c r="I1859">
        <v>21.5</v>
      </c>
      <c r="J1859" t="s">
        <v>31</v>
      </c>
    </row>
    <row r="1860" spans="1:10" x14ac:dyDescent="0.25">
      <c r="A1860" s="1">
        <v>938</v>
      </c>
      <c r="B1860" t="s">
        <v>39</v>
      </c>
      <c r="C1860">
        <v>105</v>
      </c>
      <c r="D1860">
        <v>3</v>
      </c>
      <c r="E1860" t="s">
        <v>102</v>
      </c>
      <c r="F1860" t="s">
        <v>101</v>
      </c>
      <c r="G1860" t="str">
        <f>"2025-03-01 06:23:15.797"</f>
        <v>2025-03-01 06:23:15.797</v>
      </c>
      <c r="H1860" t="s">
        <v>49</v>
      </c>
      <c r="I1860">
        <v>21.49</v>
      </c>
      <c r="J1860" t="s">
        <v>31</v>
      </c>
    </row>
    <row r="1861" spans="1:10" x14ac:dyDescent="0.25">
      <c r="A1861" s="1">
        <v>939</v>
      </c>
      <c r="B1861" t="s">
        <v>39</v>
      </c>
      <c r="C1861">
        <v>204</v>
      </c>
      <c r="D1861">
        <v>8</v>
      </c>
      <c r="E1861" t="s">
        <v>103</v>
      </c>
      <c r="F1861" t="s">
        <v>104</v>
      </c>
      <c r="G1861" t="str">
        <f>"2025-03-01 06:23:15.646"</f>
        <v>2025-03-01 06:23:15.646</v>
      </c>
      <c r="H1861" t="s">
        <v>64</v>
      </c>
      <c r="I1861">
        <v>21.47</v>
      </c>
      <c r="J1861" t="s">
        <v>31</v>
      </c>
    </row>
    <row r="1862" spans="1:10" x14ac:dyDescent="0.25">
      <c r="A1862" s="1">
        <v>940</v>
      </c>
      <c r="B1862" t="s">
        <v>39</v>
      </c>
      <c r="C1862">
        <v>204</v>
      </c>
      <c r="D1862">
        <v>6</v>
      </c>
      <c r="E1862" t="s">
        <v>103</v>
      </c>
      <c r="F1862" t="s">
        <v>105</v>
      </c>
      <c r="G1862" t="str">
        <f>"2025-03-01 06:23:15.642"</f>
        <v>2025-03-01 06:23:15.642</v>
      </c>
      <c r="H1862" t="s">
        <v>64</v>
      </c>
      <c r="I1862">
        <v>21.47</v>
      </c>
      <c r="J1862" t="s">
        <v>31</v>
      </c>
    </row>
    <row r="1863" spans="1:10" x14ac:dyDescent="0.25">
      <c r="A1863" s="1">
        <v>941</v>
      </c>
      <c r="B1863" t="s">
        <v>39</v>
      </c>
      <c r="C1863">
        <v>204</v>
      </c>
      <c r="D1863">
        <v>5</v>
      </c>
      <c r="E1863" t="s">
        <v>103</v>
      </c>
      <c r="F1863" t="s">
        <v>106</v>
      </c>
      <c r="G1863" t="str">
        <f>"2025-03-01 06:23:15.637"</f>
        <v>2025-03-01 06:23:15.637</v>
      </c>
      <c r="H1863" t="s">
        <v>64</v>
      </c>
      <c r="I1863">
        <v>21.47</v>
      </c>
      <c r="J1863" t="s">
        <v>31</v>
      </c>
    </row>
    <row r="1864" spans="1:10" x14ac:dyDescent="0.25">
      <c r="A1864" s="1">
        <v>942</v>
      </c>
      <c r="B1864" t="s">
        <v>39</v>
      </c>
      <c r="C1864">
        <v>104</v>
      </c>
      <c r="D1864">
        <v>8</v>
      </c>
      <c r="E1864" t="s">
        <v>108</v>
      </c>
      <c r="F1864" t="s">
        <v>104</v>
      </c>
      <c r="G1864" t="str">
        <f>"2025-03-01 06:23:15.586"</f>
        <v>2025-03-01 06:23:15.586</v>
      </c>
      <c r="H1864" t="s">
        <v>49</v>
      </c>
      <c r="I1864">
        <v>21.46</v>
      </c>
      <c r="J1864" t="s">
        <v>31</v>
      </c>
    </row>
    <row r="1865" spans="1:10" x14ac:dyDescent="0.25">
      <c r="A1865" s="1">
        <v>943</v>
      </c>
      <c r="B1865" t="s">
        <v>39</v>
      </c>
      <c r="C1865">
        <v>104</v>
      </c>
      <c r="D1865">
        <v>6</v>
      </c>
      <c r="E1865" t="s">
        <v>108</v>
      </c>
      <c r="F1865" t="s">
        <v>105</v>
      </c>
      <c r="G1865" t="str">
        <f>"2025-03-01 06:23:15.582"</f>
        <v>2025-03-01 06:23:15.582</v>
      </c>
      <c r="H1865" t="s">
        <v>49</v>
      </c>
      <c r="I1865">
        <v>21.46</v>
      </c>
      <c r="J1865" t="s">
        <v>31</v>
      </c>
    </row>
    <row r="1866" spans="1:10" x14ac:dyDescent="0.25">
      <c r="A1866" s="1">
        <v>944</v>
      </c>
      <c r="B1866" t="s">
        <v>39</v>
      </c>
      <c r="C1866">
        <v>104</v>
      </c>
      <c r="D1866">
        <v>5</v>
      </c>
      <c r="E1866" t="s">
        <v>108</v>
      </c>
      <c r="F1866" t="s">
        <v>106</v>
      </c>
      <c r="G1866" t="str">
        <f>"2025-03-01 06:23:15.577"</f>
        <v>2025-03-01 06:23:15.577</v>
      </c>
      <c r="H1866" t="s">
        <v>49</v>
      </c>
      <c r="I1866">
        <v>21.46</v>
      </c>
      <c r="J1866" t="s">
        <v>31</v>
      </c>
    </row>
    <row r="1867" spans="1:10" x14ac:dyDescent="0.25">
      <c r="A1867" s="1">
        <v>945</v>
      </c>
      <c r="B1867" t="s">
        <v>39</v>
      </c>
      <c r="C1867">
        <v>23</v>
      </c>
      <c r="D1867">
        <v>1</v>
      </c>
      <c r="E1867" t="s">
        <v>96</v>
      </c>
      <c r="F1867" t="s">
        <v>97</v>
      </c>
      <c r="G1867" t="str">
        <f>"2025-03-01 06:23:15.374"</f>
        <v>2025-03-01 06:23:15.374</v>
      </c>
      <c r="H1867" t="s">
        <v>73</v>
      </c>
      <c r="I1867">
        <v>21.41</v>
      </c>
      <c r="J1867" t="s">
        <v>31</v>
      </c>
    </row>
    <row r="1868" spans="1:10" x14ac:dyDescent="0.25">
      <c r="A1868" s="1">
        <v>946</v>
      </c>
      <c r="B1868" t="s">
        <v>39</v>
      </c>
      <c r="C1868">
        <v>204</v>
      </c>
      <c r="D1868">
        <v>1</v>
      </c>
      <c r="E1868" t="s">
        <v>103</v>
      </c>
      <c r="F1868" t="s">
        <v>107</v>
      </c>
      <c r="G1868" t="str">
        <f>"2025-03-01 06:23:15.342"</f>
        <v>2025-03-01 06:23:15.342</v>
      </c>
      <c r="H1868" t="s">
        <v>64</v>
      </c>
      <c r="I1868">
        <v>21.4</v>
      </c>
      <c r="J1868" t="s">
        <v>31</v>
      </c>
    </row>
    <row r="1869" spans="1:10" x14ac:dyDescent="0.25">
      <c r="A1869" s="1">
        <v>947</v>
      </c>
      <c r="B1869" t="s">
        <v>39</v>
      </c>
      <c r="C1869">
        <v>235</v>
      </c>
      <c r="D1869">
        <v>7</v>
      </c>
      <c r="E1869" t="s">
        <v>90</v>
      </c>
      <c r="F1869" t="s">
        <v>48</v>
      </c>
      <c r="G1869" t="str">
        <f>"2025-03-01 06:23:15.337"</f>
        <v>2025-03-01 06:23:15.337</v>
      </c>
      <c r="H1869" t="s">
        <v>64</v>
      </c>
      <c r="I1869">
        <v>21.4</v>
      </c>
      <c r="J1869" t="s">
        <v>31</v>
      </c>
    </row>
    <row r="1870" spans="1:10" x14ac:dyDescent="0.25">
      <c r="A1870" s="1">
        <v>948</v>
      </c>
      <c r="B1870" t="s">
        <v>39</v>
      </c>
      <c r="C1870">
        <v>104</v>
      </c>
      <c r="D1870">
        <v>1</v>
      </c>
      <c r="E1870" t="s">
        <v>108</v>
      </c>
      <c r="F1870" t="s">
        <v>107</v>
      </c>
      <c r="G1870" t="str">
        <f>"2025-03-01 06:23:15.297"</f>
        <v>2025-03-01 06:23:15.297</v>
      </c>
      <c r="H1870" t="s">
        <v>49</v>
      </c>
      <c r="I1870">
        <v>21.38</v>
      </c>
      <c r="J1870" t="s">
        <v>31</v>
      </c>
    </row>
    <row r="1871" spans="1:10" x14ac:dyDescent="0.25">
      <c r="A1871" s="1">
        <v>949</v>
      </c>
      <c r="B1871" t="s">
        <v>19</v>
      </c>
      <c r="C1871">
        <v>706</v>
      </c>
      <c r="D1871">
        <v>4</v>
      </c>
      <c r="E1871" t="s">
        <v>32</v>
      </c>
      <c r="F1871" t="s">
        <v>33</v>
      </c>
      <c r="G1871" t="str">
        <f>"2025-03-01 06:23:15.189"</f>
        <v>2025-03-01 06:23:15.189</v>
      </c>
      <c r="H1871" t="s">
        <v>21</v>
      </c>
      <c r="I1871">
        <v>21.33</v>
      </c>
      <c r="J1871" t="s">
        <v>31</v>
      </c>
    </row>
    <row r="1872" spans="1:10" x14ac:dyDescent="0.25">
      <c r="A1872" s="1">
        <v>950</v>
      </c>
      <c r="B1872" t="s">
        <v>43</v>
      </c>
      <c r="C1872">
        <v>235</v>
      </c>
      <c r="D1872">
        <v>7</v>
      </c>
      <c r="E1872" t="s">
        <v>90</v>
      </c>
      <c r="F1872" t="s">
        <v>48</v>
      </c>
      <c r="G1872" t="str">
        <f>"2025-03-01 01:34:09.769"</f>
        <v>2025-03-01 01:34:09.769</v>
      </c>
      <c r="H1872" t="s">
        <v>64</v>
      </c>
    </row>
    <row r="1873" spans="1:10" x14ac:dyDescent="0.25">
      <c r="A1873" s="1">
        <v>951</v>
      </c>
      <c r="B1873" t="s">
        <v>39</v>
      </c>
      <c r="C1873">
        <v>235</v>
      </c>
      <c r="D1873">
        <v>7</v>
      </c>
      <c r="E1873" t="s">
        <v>90</v>
      </c>
      <c r="F1873" t="s">
        <v>48</v>
      </c>
      <c r="G1873" t="str">
        <f>"2025-03-01 01:34:04.717"</f>
        <v>2025-03-01 01:34:04.717</v>
      </c>
      <c r="H1873" t="s">
        <v>64</v>
      </c>
      <c r="I1873">
        <v>6.83</v>
      </c>
      <c r="J1873" t="s">
        <v>27</v>
      </c>
    </row>
    <row r="1874" spans="1:10" x14ac:dyDescent="0.25">
      <c r="A1874" s="1">
        <v>952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"2025-02-28 20:21:37.489"</f>
        <v>2025-02-28 20:21:37.489</v>
      </c>
      <c r="H1874" t="s">
        <v>21</v>
      </c>
      <c r="I1874">
        <v>0</v>
      </c>
      <c r="J1874" t="s">
        <v>22</v>
      </c>
    </row>
    <row r="1875" spans="1:10" x14ac:dyDescent="0.25">
      <c r="A1875" s="1">
        <v>953</v>
      </c>
      <c r="B1875" t="s">
        <v>43</v>
      </c>
      <c r="C1875">
        <v>135</v>
      </c>
      <c r="D1875">
        <v>1</v>
      </c>
      <c r="E1875" t="s">
        <v>47</v>
      </c>
      <c r="F1875" t="s">
        <v>91</v>
      </c>
      <c r="G1875" t="str">
        <f>"2025-02-28 07:42:43.480"</f>
        <v>2025-02-28 07:42:43.480</v>
      </c>
      <c r="H1875" t="s">
        <v>49</v>
      </c>
    </row>
    <row r="1876" spans="1:10" x14ac:dyDescent="0.25">
      <c r="A1876" s="1">
        <v>954</v>
      </c>
      <c r="B1876" t="s">
        <v>39</v>
      </c>
      <c r="C1876">
        <v>135</v>
      </c>
      <c r="D1876">
        <v>1</v>
      </c>
      <c r="E1876" t="s">
        <v>47</v>
      </c>
      <c r="F1876" t="s">
        <v>91</v>
      </c>
      <c r="G1876" t="str">
        <f>"2025-02-28 07:42:38.384"</f>
        <v>2025-02-28 07:42:38.384</v>
      </c>
      <c r="H1876" t="s">
        <v>49</v>
      </c>
      <c r="I1876">
        <v>8.2100000000000009</v>
      </c>
      <c r="J1876" t="s">
        <v>27</v>
      </c>
    </row>
    <row r="1877" spans="1:10" x14ac:dyDescent="0.25">
      <c r="A1877" s="1">
        <v>955</v>
      </c>
      <c r="B1877" t="s">
        <v>43</v>
      </c>
      <c r="C1877">
        <v>135</v>
      </c>
      <c r="D1877">
        <v>7</v>
      </c>
      <c r="E1877" t="s">
        <v>47</v>
      </c>
      <c r="F1877" t="s">
        <v>48</v>
      </c>
      <c r="G1877" t="str">
        <f>"2025-02-28 00:06:49.080"</f>
        <v>2025-02-28 00:06:49.080</v>
      </c>
      <c r="H1877" t="s">
        <v>49</v>
      </c>
    </row>
    <row r="1878" spans="1:10" x14ac:dyDescent="0.25">
      <c r="A1878" s="1">
        <v>956</v>
      </c>
      <c r="B1878" t="s">
        <v>39</v>
      </c>
      <c r="C1878">
        <v>135</v>
      </c>
      <c r="D1878">
        <v>7</v>
      </c>
      <c r="E1878" t="s">
        <v>47</v>
      </c>
      <c r="F1878" t="s">
        <v>48</v>
      </c>
      <c r="G1878" t="str">
        <f>"2025-02-28 00:06:44.064"</f>
        <v>2025-02-28 00:06:44.064</v>
      </c>
      <c r="H1878" t="s">
        <v>49</v>
      </c>
      <c r="I1878">
        <v>6.5</v>
      </c>
      <c r="J1878" t="s">
        <v>27</v>
      </c>
    </row>
    <row r="1879" spans="1:10" x14ac:dyDescent="0.25">
      <c r="A1879" s="1">
        <v>957</v>
      </c>
      <c r="B1879" t="s">
        <v>23</v>
      </c>
      <c r="C1879">
        <v>635</v>
      </c>
      <c r="D1879">
        <v>1</v>
      </c>
      <c r="E1879" t="s">
        <v>24</v>
      </c>
      <c r="F1879" t="s">
        <v>25</v>
      </c>
      <c r="G1879" t="str">
        <f>"2025-02-27 08:24:46.619"</f>
        <v>2025-02-27 08:24:46.619</v>
      </c>
      <c r="H1879" t="s">
        <v>21</v>
      </c>
    </row>
    <row r="1880" spans="1:10" x14ac:dyDescent="0.25">
      <c r="A1880" s="1">
        <v>958</v>
      </c>
      <c r="B1880" t="s">
        <v>26</v>
      </c>
      <c r="C1880">
        <v>635</v>
      </c>
      <c r="D1880">
        <v>1</v>
      </c>
      <c r="E1880" t="s">
        <v>24</v>
      </c>
      <c r="F1880" t="s">
        <v>25</v>
      </c>
      <c r="G1880" t="str">
        <f>"2025-02-27 08:19:51.120"</f>
        <v>2025-02-27 08:19:51.120</v>
      </c>
      <c r="H1880" t="s">
        <v>21</v>
      </c>
      <c r="I1880">
        <v>7.51</v>
      </c>
      <c r="J1880" t="s">
        <v>27</v>
      </c>
    </row>
    <row r="1881" spans="1:10" x14ac:dyDescent="0.25">
      <c r="A1881" s="1">
        <v>959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"2025-02-27 05:49:41.467"</f>
        <v>2025-02-27 05:49:41.467</v>
      </c>
      <c r="H1881" t="s">
        <v>21</v>
      </c>
    </row>
    <row r="1882" spans="1:10" x14ac:dyDescent="0.25">
      <c r="A1882" s="1">
        <v>960</v>
      </c>
      <c r="B1882" t="s">
        <v>43</v>
      </c>
      <c r="C1882">
        <v>137</v>
      </c>
      <c r="D1882">
        <v>4</v>
      </c>
      <c r="E1882" t="s">
        <v>57</v>
      </c>
      <c r="F1882" t="s">
        <v>56</v>
      </c>
      <c r="G1882" t="str">
        <f>"2025-02-27 01:56:29.144"</f>
        <v>2025-02-27 01:56:29.144</v>
      </c>
      <c r="H1882" t="s">
        <v>49</v>
      </c>
    </row>
    <row r="1883" spans="1:10" x14ac:dyDescent="0.25">
      <c r="A1883" s="1">
        <v>961</v>
      </c>
      <c r="B1883" t="s">
        <v>39</v>
      </c>
      <c r="C1883">
        <v>137</v>
      </c>
      <c r="D1883">
        <v>4</v>
      </c>
      <c r="E1883" t="s">
        <v>57</v>
      </c>
      <c r="F1883" t="s">
        <v>56</v>
      </c>
      <c r="G1883" t="str">
        <f>"2025-02-27 01:56:24.068"</f>
        <v>2025-02-27 01:56:24.068</v>
      </c>
      <c r="H1883" t="s">
        <v>49</v>
      </c>
      <c r="I1883">
        <v>11.69</v>
      </c>
      <c r="J1883" t="s">
        <v>27</v>
      </c>
    </row>
    <row r="1884" spans="1:10" x14ac:dyDescent="0.25">
      <c r="A1884" s="1">
        <v>962</v>
      </c>
      <c r="B1884" t="s">
        <v>43</v>
      </c>
      <c r="C1884">
        <v>235</v>
      </c>
      <c r="D1884">
        <v>7</v>
      </c>
      <c r="E1884" t="s">
        <v>90</v>
      </c>
      <c r="F1884" t="s">
        <v>48</v>
      </c>
      <c r="G1884" t="str">
        <f>"2025-02-26 06:39:31.744"</f>
        <v>2025-02-26 06:39:31.744</v>
      </c>
      <c r="H1884" t="s">
        <v>64</v>
      </c>
    </row>
    <row r="1885" spans="1:10" x14ac:dyDescent="0.25">
      <c r="A1885" s="1">
        <v>963</v>
      </c>
      <c r="B1885" t="s">
        <v>39</v>
      </c>
      <c r="C1885">
        <v>235</v>
      </c>
      <c r="D1885">
        <v>7</v>
      </c>
      <c r="E1885" t="s">
        <v>90</v>
      </c>
      <c r="F1885" t="s">
        <v>48</v>
      </c>
      <c r="G1885" t="str">
        <f>"2025-02-26 06:39:26.688"</f>
        <v>2025-02-26 06:39:26.688</v>
      </c>
      <c r="H1885" t="s">
        <v>64</v>
      </c>
      <c r="I1885">
        <v>23.47</v>
      </c>
      <c r="J1885" t="s">
        <v>27</v>
      </c>
    </row>
    <row r="1886" spans="1:10" x14ac:dyDescent="0.25">
      <c r="A1886" s="1">
        <v>964</v>
      </c>
      <c r="B1886" t="s">
        <v>43</v>
      </c>
      <c r="C1886">
        <v>137</v>
      </c>
      <c r="D1886">
        <v>4</v>
      </c>
      <c r="E1886" t="s">
        <v>57</v>
      </c>
      <c r="F1886" t="s">
        <v>56</v>
      </c>
      <c r="G1886" t="str">
        <f>"2025-02-26 05:27:58.744"</f>
        <v>2025-02-26 05:27:58.744</v>
      </c>
      <c r="H1886" t="s">
        <v>49</v>
      </c>
    </row>
    <row r="1887" spans="1:10" x14ac:dyDescent="0.25">
      <c r="A1887" s="1">
        <v>965</v>
      </c>
      <c r="B1887" t="s">
        <v>39</v>
      </c>
      <c r="C1887">
        <v>137</v>
      </c>
      <c r="D1887">
        <v>4</v>
      </c>
      <c r="E1887" t="s">
        <v>57</v>
      </c>
      <c r="F1887" t="s">
        <v>56</v>
      </c>
      <c r="G1887" t="str">
        <f>"2025-02-26 05:27:53.668"</f>
        <v>2025-02-26 05:27:53.668</v>
      </c>
      <c r="H1887" t="s">
        <v>49</v>
      </c>
      <c r="I1887">
        <v>15.51</v>
      </c>
      <c r="J1887" t="s">
        <v>27</v>
      </c>
    </row>
    <row r="1888" spans="1:10" x14ac:dyDescent="0.25">
      <c r="A1888" s="1">
        <v>966</v>
      </c>
      <c r="B1888" t="s">
        <v>43</v>
      </c>
      <c r="C1888">
        <v>235</v>
      </c>
      <c r="D1888">
        <v>7</v>
      </c>
      <c r="E1888" t="s">
        <v>90</v>
      </c>
      <c r="F1888" t="s">
        <v>48</v>
      </c>
      <c r="G1888" t="str">
        <f>"2025-02-26 02:40:47.644"</f>
        <v>2025-02-26 02:40:47.644</v>
      </c>
      <c r="H1888" t="s">
        <v>64</v>
      </c>
    </row>
    <row r="1889" spans="1:10" x14ac:dyDescent="0.25">
      <c r="A1889" s="1">
        <v>967</v>
      </c>
      <c r="B1889" t="s">
        <v>39</v>
      </c>
      <c r="C1889">
        <v>235</v>
      </c>
      <c r="D1889">
        <v>7</v>
      </c>
      <c r="E1889" t="s">
        <v>90</v>
      </c>
      <c r="F1889" t="s">
        <v>48</v>
      </c>
      <c r="G1889" t="str">
        <f>"2025-02-26 02:40:42.568"</f>
        <v>2025-02-26 02:40:42.568</v>
      </c>
      <c r="H1889" t="s">
        <v>64</v>
      </c>
      <c r="I1889">
        <v>17.899999999999999</v>
      </c>
      <c r="J1889" t="s">
        <v>27</v>
      </c>
    </row>
    <row r="1890" spans="1:10" x14ac:dyDescent="0.25">
      <c r="A1890" s="1">
        <v>968</v>
      </c>
      <c r="B1890" t="s">
        <v>43</v>
      </c>
      <c r="C1890">
        <v>235</v>
      </c>
      <c r="D1890">
        <v>7</v>
      </c>
      <c r="E1890" t="s">
        <v>90</v>
      </c>
      <c r="F1890" t="s">
        <v>48</v>
      </c>
      <c r="G1890" t="str">
        <f>"2025-02-25 23:41:50.944"</f>
        <v>2025-02-25 23:41:50.944</v>
      </c>
      <c r="H1890" t="s">
        <v>64</v>
      </c>
    </row>
    <row r="1891" spans="1:10" x14ac:dyDescent="0.25">
      <c r="A1891" s="1">
        <v>969</v>
      </c>
      <c r="B1891" t="s">
        <v>39</v>
      </c>
      <c r="C1891">
        <v>235</v>
      </c>
      <c r="D1891">
        <v>7</v>
      </c>
      <c r="E1891" t="s">
        <v>90</v>
      </c>
      <c r="F1891" t="s">
        <v>48</v>
      </c>
      <c r="G1891" t="str">
        <f>"2025-02-25 23:41:45.848"</f>
        <v>2025-02-25 23:41:45.848</v>
      </c>
      <c r="H1891" t="s">
        <v>64</v>
      </c>
      <c r="I1891">
        <v>11.76</v>
      </c>
      <c r="J1891" t="s">
        <v>27</v>
      </c>
    </row>
    <row r="1892" spans="1:10" x14ac:dyDescent="0.25">
      <c r="A1892" s="1">
        <v>970</v>
      </c>
      <c r="B1892" t="s">
        <v>19</v>
      </c>
      <c r="C1892">
        <v>706</v>
      </c>
      <c r="D1892">
        <v>3</v>
      </c>
      <c r="E1892" t="s">
        <v>32</v>
      </c>
      <c r="F1892" t="s">
        <v>40</v>
      </c>
      <c r="G1892" t="str">
        <f>"2025-02-25 11:48:34.833"</f>
        <v>2025-02-25 11:48:34.833</v>
      </c>
      <c r="H1892" t="s">
        <v>21</v>
      </c>
      <c r="I1892">
        <v>0</v>
      </c>
      <c r="J1892" t="s">
        <v>34</v>
      </c>
    </row>
    <row r="1893" spans="1:10" x14ac:dyDescent="0.25">
      <c r="A1893" s="1">
        <v>971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"2025-02-25 11:48:07.453"</f>
        <v>2025-02-25 11:48:07.453</v>
      </c>
      <c r="H1893" t="s">
        <v>21</v>
      </c>
      <c r="I1893">
        <v>0</v>
      </c>
      <c r="J1893" t="s">
        <v>22</v>
      </c>
    </row>
    <row r="1894" spans="1:10" x14ac:dyDescent="0.25">
      <c r="A1894" s="1">
        <v>972</v>
      </c>
      <c r="B1894" t="s">
        <v>43</v>
      </c>
      <c r="C1894">
        <v>235</v>
      </c>
      <c r="D1894">
        <v>7</v>
      </c>
      <c r="E1894" t="s">
        <v>90</v>
      </c>
      <c r="F1894" t="s">
        <v>48</v>
      </c>
      <c r="G1894" t="str">
        <f>"2025-02-25 09:11:26.751"</f>
        <v>2025-02-25 09:11:26.751</v>
      </c>
      <c r="H1894" t="s">
        <v>64</v>
      </c>
    </row>
    <row r="1895" spans="1:10" x14ac:dyDescent="0.25">
      <c r="A1895" s="1">
        <v>973</v>
      </c>
      <c r="B1895" t="s">
        <v>39</v>
      </c>
      <c r="C1895">
        <v>235</v>
      </c>
      <c r="D1895">
        <v>7</v>
      </c>
      <c r="E1895" t="s">
        <v>90</v>
      </c>
      <c r="F1895" t="s">
        <v>48</v>
      </c>
      <c r="G1895" t="str">
        <f>"2025-02-25 09:11:21.657"</f>
        <v>2025-02-25 09:11:21.657</v>
      </c>
      <c r="H1895" t="s">
        <v>64</v>
      </c>
      <c r="I1895">
        <v>6.71</v>
      </c>
      <c r="J1895" t="s">
        <v>27</v>
      </c>
    </row>
    <row r="1896" spans="1:10" s="3" customFormat="1" x14ac:dyDescent="0.25">
      <c r="A1896" s="2">
        <v>975</v>
      </c>
      <c r="B1896" s="3" t="s">
        <v>23</v>
      </c>
      <c r="C1896" s="3">
        <v>647</v>
      </c>
      <c r="D1896" s="3">
        <v>1</v>
      </c>
      <c r="E1896" s="3" t="s">
        <v>29</v>
      </c>
      <c r="F1896" s="3" t="s">
        <v>30</v>
      </c>
      <c r="G1896" s="3" t="str">
        <f>"2025-02-24 22:18:15.791"</f>
        <v>2025-02-24 22:18:15.791</v>
      </c>
      <c r="H1896" s="3" t="s">
        <v>21</v>
      </c>
    </row>
    <row r="1897" spans="1:10" s="3" customFormat="1" x14ac:dyDescent="0.25">
      <c r="A1897" s="2">
        <v>976</v>
      </c>
      <c r="B1897" s="3" t="s">
        <v>26</v>
      </c>
      <c r="C1897" s="3">
        <v>647</v>
      </c>
      <c r="D1897" s="3">
        <v>1</v>
      </c>
      <c r="E1897" s="3" t="s">
        <v>29</v>
      </c>
      <c r="F1897" s="3" t="s">
        <v>30</v>
      </c>
      <c r="G1897" s="3" t="str">
        <f>"2025-02-24 22:18:09.491"</f>
        <v>2025-02-24 22:18:09.491</v>
      </c>
      <c r="H1897" s="3" t="s">
        <v>21</v>
      </c>
      <c r="I1897" s="3">
        <v>14.28</v>
      </c>
      <c r="J1897" s="3" t="s">
        <v>31</v>
      </c>
    </row>
    <row r="1898" spans="1:10" x14ac:dyDescent="0.25">
      <c r="A1898" s="1">
        <v>977</v>
      </c>
      <c r="B1898" t="s">
        <v>23</v>
      </c>
      <c r="C1898">
        <v>635</v>
      </c>
      <c r="D1898">
        <v>1</v>
      </c>
      <c r="E1898" t="s">
        <v>24</v>
      </c>
      <c r="F1898" t="s">
        <v>25</v>
      </c>
      <c r="G1898" t="str">
        <f>"2025-02-24 20:52:43.743"</f>
        <v>2025-02-24 20:52:43.743</v>
      </c>
      <c r="H1898" t="s">
        <v>21</v>
      </c>
    </row>
    <row r="1899" spans="1:10" x14ac:dyDescent="0.25">
      <c r="A1899" s="1">
        <v>978</v>
      </c>
      <c r="B1899" t="s">
        <v>26</v>
      </c>
      <c r="C1899">
        <v>635</v>
      </c>
      <c r="D1899">
        <v>1</v>
      </c>
      <c r="E1899" t="s">
        <v>24</v>
      </c>
      <c r="F1899" t="s">
        <v>25</v>
      </c>
      <c r="G1899" t="str">
        <f>"2025-02-24 20:45:10.743"</f>
        <v>2025-02-24 20:45:10.743</v>
      </c>
      <c r="H1899" t="s">
        <v>21</v>
      </c>
      <c r="I1899">
        <v>4.62</v>
      </c>
      <c r="J1899" t="s">
        <v>31</v>
      </c>
    </row>
    <row r="1900" spans="1:10" x14ac:dyDescent="0.25">
      <c r="A1900" s="1">
        <v>979</v>
      </c>
      <c r="B1900" t="s">
        <v>19</v>
      </c>
      <c r="C1900">
        <v>706</v>
      </c>
      <c r="D1900">
        <v>4</v>
      </c>
      <c r="E1900" t="s">
        <v>32</v>
      </c>
      <c r="F1900" t="s">
        <v>33</v>
      </c>
      <c r="G1900" t="str">
        <f>"2025-02-24 02:10:17.019"</f>
        <v>2025-02-24 02:10:17.019</v>
      </c>
      <c r="H1900" t="s">
        <v>21</v>
      </c>
      <c r="I1900">
        <v>0</v>
      </c>
      <c r="J1900" t="s">
        <v>34</v>
      </c>
    </row>
    <row r="1901" spans="1:10" x14ac:dyDescent="0.25">
      <c r="A1901" s="1">
        <v>980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"2025-02-24 02:06:59.479"</f>
        <v>2025-02-24 02:06:59.479</v>
      </c>
      <c r="H1901" t="s">
        <v>21</v>
      </c>
    </row>
    <row r="1902" spans="1:10" x14ac:dyDescent="0.25">
      <c r="A1902" s="1">
        <v>981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"2025-02-23 20:05:39.479"</f>
        <v>2025-02-23 20:05:39.479</v>
      </c>
      <c r="H1902" t="s">
        <v>21</v>
      </c>
    </row>
    <row r="1903" spans="1:10" x14ac:dyDescent="0.25">
      <c r="A1903" s="1">
        <v>982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"2025-02-23 15:51:30.447"</f>
        <v>2025-02-23 15:51:30.447</v>
      </c>
      <c r="H1903" t="s">
        <v>21</v>
      </c>
    </row>
    <row r="1904" spans="1:10" x14ac:dyDescent="0.25">
      <c r="A1904" s="1">
        <v>983</v>
      </c>
      <c r="B1904" t="s">
        <v>19</v>
      </c>
      <c r="C1904">
        <v>706</v>
      </c>
      <c r="D1904">
        <v>2</v>
      </c>
      <c r="E1904" t="s">
        <v>32</v>
      </c>
      <c r="F1904" t="s">
        <v>35</v>
      </c>
      <c r="G1904" t="str">
        <f>"2025-02-23 15:28:36.873"</f>
        <v>2025-02-23 15:28:36.873</v>
      </c>
      <c r="H1904" t="s">
        <v>21</v>
      </c>
      <c r="I1904">
        <v>0</v>
      </c>
      <c r="J1904" t="s">
        <v>34</v>
      </c>
    </row>
    <row r="1905" spans="1:10" x14ac:dyDescent="0.25">
      <c r="A1905" s="1">
        <v>984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"2025-02-23 15:28:11.573"</f>
        <v>2025-02-23 15:28:11.573</v>
      </c>
      <c r="H1905" t="s">
        <v>21</v>
      </c>
    </row>
    <row r="1906" spans="1:10" x14ac:dyDescent="0.25">
      <c r="A1906" s="1">
        <v>985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"2025-02-23 13:54:30.474"</f>
        <v>2025-02-23 13:54:30.474</v>
      </c>
      <c r="H1906" t="s">
        <v>21</v>
      </c>
      <c r="I1906">
        <v>0</v>
      </c>
      <c r="J1906" t="s">
        <v>22</v>
      </c>
    </row>
    <row r="1907" spans="1:10" x14ac:dyDescent="0.25">
      <c r="A1907" s="1">
        <v>986</v>
      </c>
      <c r="B1907" t="s">
        <v>43</v>
      </c>
      <c r="C1907">
        <v>235</v>
      </c>
      <c r="D1907">
        <v>7</v>
      </c>
      <c r="E1907" t="s">
        <v>90</v>
      </c>
      <c r="F1907" t="s">
        <v>48</v>
      </c>
      <c r="G1907" t="str">
        <f>"2025-02-23 10:53:16.065"</f>
        <v>2025-02-23 10:53:16.065</v>
      </c>
      <c r="H1907" t="s">
        <v>64</v>
      </c>
    </row>
    <row r="1908" spans="1:10" x14ac:dyDescent="0.25">
      <c r="A1908" s="1">
        <v>987</v>
      </c>
      <c r="B1908" t="s">
        <v>39</v>
      </c>
      <c r="C1908">
        <v>235</v>
      </c>
      <c r="D1908">
        <v>7</v>
      </c>
      <c r="E1908" t="s">
        <v>90</v>
      </c>
      <c r="F1908" t="s">
        <v>48</v>
      </c>
      <c r="G1908" t="str">
        <f>"2025-02-23 10:53:11.014"</f>
        <v>2025-02-23 10:53:11.014</v>
      </c>
      <c r="H1908" t="s">
        <v>64</v>
      </c>
      <c r="I1908">
        <v>13.46</v>
      </c>
      <c r="J1908" t="s">
        <v>27</v>
      </c>
    </row>
    <row r="1909" spans="1:10" x14ac:dyDescent="0.25">
      <c r="A1909" s="1">
        <v>988</v>
      </c>
      <c r="B1909" t="s">
        <v>43</v>
      </c>
      <c r="C1909">
        <v>235</v>
      </c>
      <c r="D1909">
        <v>7</v>
      </c>
      <c r="E1909" t="s">
        <v>90</v>
      </c>
      <c r="F1909" t="s">
        <v>48</v>
      </c>
      <c r="G1909" t="str">
        <f>"2025-02-23 06:38:56.665"</f>
        <v>2025-02-23 06:38:56.665</v>
      </c>
      <c r="H1909" t="s">
        <v>64</v>
      </c>
    </row>
    <row r="1910" spans="1:10" x14ac:dyDescent="0.25">
      <c r="A1910" s="1">
        <v>989</v>
      </c>
      <c r="B1910" t="s">
        <v>39</v>
      </c>
      <c r="C1910">
        <v>235</v>
      </c>
      <c r="D1910">
        <v>7</v>
      </c>
      <c r="E1910" t="s">
        <v>90</v>
      </c>
      <c r="F1910" t="s">
        <v>48</v>
      </c>
      <c r="G1910" t="str">
        <f>"2025-02-23 06:38:51.654"</f>
        <v>2025-02-23 06:38:51.654</v>
      </c>
      <c r="H1910" t="s">
        <v>64</v>
      </c>
      <c r="I1910">
        <v>6.53</v>
      </c>
      <c r="J1910" t="s">
        <v>27</v>
      </c>
    </row>
    <row r="1911" spans="1:10" x14ac:dyDescent="0.25">
      <c r="A1911" s="1">
        <v>990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"2025-02-22 02:49:30.665"</f>
        <v>2025-02-22 02:49:30.665</v>
      </c>
      <c r="H1911" t="s">
        <v>21</v>
      </c>
      <c r="I1911">
        <v>0</v>
      </c>
      <c r="J1911" t="s">
        <v>22</v>
      </c>
    </row>
    <row r="1912" spans="1:10" x14ac:dyDescent="0.25">
      <c r="A1912" s="1">
        <v>991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"2025-02-22 02:42:26.482"</f>
        <v>2025-02-22 02:42:26.482</v>
      </c>
      <c r="H1912" t="s">
        <v>21</v>
      </c>
      <c r="I1912">
        <v>0</v>
      </c>
      <c r="J1912" t="s">
        <v>22</v>
      </c>
    </row>
    <row r="1913" spans="1:10" s="3" customFormat="1" x14ac:dyDescent="0.25">
      <c r="A1913" s="2">
        <v>993</v>
      </c>
      <c r="B1913" s="3" t="s">
        <v>23</v>
      </c>
      <c r="C1913" s="3">
        <v>647</v>
      </c>
      <c r="D1913" s="3">
        <v>1</v>
      </c>
      <c r="E1913" s="3" t="s">
        <v>29</v>
      </c>
      <c r="F1913" s="3" t="s">
        <v>30</v>
      </c>
      <c r="G1913" s="3" t="str">
        <f>"2025-02-21 07:02:05.162"</f>
        <v>2025-02-21 07:02:05.162</v>
      </c>
      <c r="H1913" s="3" t="s">
        <v>21</v>
      </c>
    </row>
    <row r="1914" spans="1:10" s="3" customFormat="1" x14ac:dyDescent="0.25">
      <c r="A1914" s="2">
        <v>994</v>
      </c>
      <c r="B1914" s="3" t="s">
        <v>26</v>
      </c>
      <c r="C1914" s="3">
        <v>647</v>
      </c>
      <c r="D1914" s="3">
        <v>1</v>
      </c>
      <c r="E1914" s="3" t="s">
        <v>29</v>
      </c>
      <c r="F1914" s="3" t="s">
        <v>30</v>
      </c>
      <c r="G1914" s="3" t="str">
        <f>"2025-02-21 07:02:04.062"</f>
        <v>2025-02-21 07:02:04.062</v>
      </c>
      <c r="H1914" s="3" t="s">
        <v>21</v>
      </c>
      <c r="I1914" s="3">
        <v>11.03</v>
      </c>
      <c r="J1914" s="3" t="s">
        <v>31</v>
      </c>
    </row>
    <row r="1915" spans="1:10" x14ac:dyDescent="0.25">
      <c r="A1915" s="1">
        <v>995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"2025-02-20 21:41:53.638"</f>
        <v>2025-02-20 21:41:53.638</v>
      </c>
      <c r="H1915" t="s">
        <v>21</v>
      </c>
    </row>
    <row r="1916" spans="1:10" x14ac:dyDescent="0.25">
      <c r="A1916" s="1">
        <v>996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"2025-02-20 09:19:24.440"</f>
        <v>2025-02-20 09:19:24.440</v>
      </c>
      <c r="H1916" t="s">
        <v>21</v>
      </c>
    </row>
    <row r="1917" spans="1:10" x14ac:dyDescent="0.25">
      <c r="A1917" s="1">
        <v>997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"2025-02-19 08:36:09.457"</f>
        <v>2025-02-19 08:36:09.457</v>
      </c>
      <c r="H1917" t="s">
        <v>21</v>
      </c>
    </row>
    <row r="1918" spans="1:10" x14ac:dyDescent="0.25">
      <c r="A1918" s="1">
        <v>998</v>
      </c>
      <c r="B1918" t="s">
        <v>23</v>
      </c>
      <c r="C1918">
        <v>630</v>
      </c>
      <c r="D1918">
        <v>5</v>
      </c>
      <c r="E1918" t="s">
        <v>36</v>
      </c>
      <c r="F1918" t="s">
        <v>37</v>
      </c>
      <c r="G1918" t="str">
        <f>"2025-02-15 14:32:50.922"</f>
        <v>2025-02-15 14:32:50.922</v>
      </c>
      <c r="H1918" t="s">
        <v>38</v>
      </c>
    </row>
    <row r="1919" spans="1:10" x14ac:dyDescent="0.25">
      <c r="A1919" s="1">
        <v>999</v>
      </c>
      <c r="B1919" t="s">
        <v>19</v>
      </c>
      <c r="C1919">
        <v>706</v>
      </c>
      <c r="D1919">
        <v>2</v>
      </c>
      <c r="E1919" t="s">
        <v>32</v>
      </c>
      <c r="F1919" t="s">
        <v>35</v>
      </c>
      <c r="G1919" t="str">
        <f>"2025-02-15 14:32:20.784"</f>
        <v>2025-02-15 14:32:20.784</v>
      </c>
      <c r="H1919" t="s">
        <v>21</v>
      </c>
      <c r="I1919">
        <v>0</v>
      </c>
      <c r="J1919" t="s">
        <v>34</v>
      </c>
    </row>
    <row r="1920" spans="1:10" x14ac:dyDescent="0.25">
      <c r="A1920" s="1">
        <v>0</v>
      </c>
      <c r="B1920" t="s">
        <v>39</v>
      </c>
      <c r="C1920">
        <v>630</v>
      </c>
      <c r="D1920">
        <v>5</v>
      </c>
      <c r="E1920" t="s">
        <v>36</v>
      </c>
      <c r="F1920" t="s">
        <v>37</v>
      </c>
      <c r="G1920" t="str">
        <f>"2025-02-15 14:28:49.622"</f>
        <v>2025-02-15 14:28:49.622</v>
      </c>
      <c r="H1920" t="s">
        <v>38</v>
      </c>
      <c r="I1920">
        <v>0</v>
      </c>
      <c r="J1920" t="s">
        <v>34</v>
      </c>
    </row>
    <row r="1921" spans="1:10" s="3" customFormat="1" x14ac:dyDescent="0.25">
      <c r="A1921" s="2">
        <v>1</v>
      </c>
      <c r="B1921" s="3" t="s">
        <v>23</v>
      </c>
      <c r="C1921" s="3">
        <v>647</v>
      </c>
      <c r="D1921" s="3">
        <v>1</v>
      </c>
      <c r="E1921" s="3" t="s">
        <v>29</v>
      </c>
      <c r="F1921" s="3" t="s">
        <v>30</v>
      </c>
      <c r="G1921" s="3" t="str">
        <f>"2025-02-15 07:43:48.522"</f>
        <v>2025-02-15 07:43:48.522</v>
      </c>
      <c r="H1921" s="3" t="s">
        <v>21</v>
      </c>
    </row>
    <row r="1922" spans="1:10" s="3" customFormat="1" x14ac:dyDescent="0.25">
      <c r="A1922" s="2">
        <v>2</v>
      </c>
      <c r="B1922" s="3" t="s">
        <v>26</v>
      </c>
      <c r="C1922" s="3">
        <v>647</v>
      </c>
      <c r="D1922" s="3">
        <v>1</v>
      </c>
      <c r="E1922" s="3" t="s">
        <v>29</v>
      </c>
      <c r="F1922" s="3" t="s">
        <v>30</v>
      </c>
      <c r="G1922" s="3" t="str">
        <f>"2025-02-15 07:43:41.622"</f>
        <v>2025-02-15 07:43:41.622</v>
      </c>
      <c r="H1922" s="3" t="s">
        <v>21</v>
      </c>
      <c r="I1922" s="3">
        <v>11.07</v>
      </c>
      <c r="J1922" s="3" t="s">
        <v>31</v>
      </c>
    </row>
    <row r="1923" spans="1:10" s="3" customFormat="1" x14ac:dyDescent="0.25">
      <c r="A1923" s="2">
        <v>3</v>
      </c>
      <c r="B1923" s="3" t="s">
        <v>23</v>
      </c>
      <c r="C1923" s="3">
        <v>647</v>
      </c>
      <c r="D1923" s="3">
        <v>1</v>
      </c>
      <c r="E1923" s="3" t="s">
        <v>29</v>
      </c>
      <c r="F1923" s="3" t="s">
        <v>30</v>
      </c>
      <c r="G1923" s="3" t="str">
        <f>"2025-02-12 15:09:52.622"</f>
        <v>2025-02-12 15:09:52.622</v>
      </c>
      <c r="H1923" s="3" t="s">
        <v>21</v>
      </c>
    </row>
    <row r="1924" spans="1:10" s="3" customFormat="1" x14ac:dyDescent="0.25">
      <c r="A1924" s="2">
        <v>4</v>
      </c>
      <c r="B1924" s="3" t="s">
        <v>26</v>
      </c>
      <c r="C1924" s="3">
        <v>647</v>
      </c>
      <c r="D1924" s="3">
        <v>1</v>
      </c>
      <c r="E1924" s="3" t="s">
        <v>29</v>
      </c>
      <c r="F1924" s="3" t="s">
        <v>30</v>
      </c>
      <c r="G1924" s="3" t="str">
        <f>"2025-02-12 15:09:43.922"</f>
        <v>2025-02-12 15:09:43.922</v>
      </c>
      <c r="H1924" s="3" t="s">
        <v>21</v>
      </c>
      <c r="I1924" s="3">
        <v>19.079999999999998</v>
      </c>
      <c r="J1924" s="3" t="s">
        <v>31</v>
      </c>
    </row>
    <row r="1925" spans="1:10" x14ac:dyDescent="0.25">
      <c r="A1925" s="1">
        <v>5</v>
      </c>
      <c r="B1925" t="s">
        <v>43</v>
      </c>
      <c r="C1925">
        <v>235</v>
      </c>
      <c r="D1925">
        <v>7</v>
      </c>
      <c r="E1925" t="s">
        <v>90</v>
      </c>
      <c r="F1925" t="s">
        <v>48</v>
      </c>
      <c r="G1925" t="str">
        <f>"2025-02-11 20:49:26.436"</f>
        <v>2025-02-11 20:49:26.436</v>
      </c>
      <c r="H1925" t="s">
        <v>64</v>
      </c>
    </row>
    <row r="1926" spans="1:10" x14ac:dyDescent="0.25">
      <c r="A1926" s="1">
        <v>6</v>
      </c>
      <c r="B1926" t="s">
        <v>39</v>
      </c>
      <c r="C1926">
        <v>235</v>
      </c>
      <c r="D1926">
        <v>7</v>
      </c>
      <c r="E1926" t="s">
        <v>90</v>
      </c>
      <c r="F1926" t="s">
        <v>48</v>
      </c>
      <c r="G1926" t="str">
        <f>"2025-02-11 20:49:21.339"</f>
        <v>2025-02-11 20:49:21.339</v>
      </c>
      <c r="H1926" t="s">
        <v>64</v>
      </c>
      <c r="I1926">
        <v>14.94</v>
      </c>
      <c r="J1926" t="s">
        <v>27</v>
      </c>
    </row>
    <row r="1927" spans="1:10" x14ac:dyDescent="0.25">
      <c r="A1927" s="1">
        <v>7</v>
      </c>
      <c r="B1927" t="s">
        <v>23</v>
      </c>
      <c r="C1927">
        <v>619</v>
      </c>
      <c r="D1927">
        <v>1</v>
      </c>
      <c r="E1927" t="s">
        <v>60</v>
      </c>
      <c r="F1927" t="s">
        <v>25</v>
      </c>
      <c r="G1927" t="str">
        <f>"2025-02-11 14:08:18.722"</f>
        <v>2025-02-11 14:08:18.722</v>
      </c>
      <c r="H1927" t="s">
        <v>61</v>
      </c>
    </row>
    <row r="1928" spans="1:10" x14ac:dyDescent="0.25">
      <c r="A1928" s="1">
        <v>8</v>
      </c>
      <c r="B1928" t="s">
        <v>43</v>
      </c>
      <c r="C1928">
        <v>77</v>
      </c>
      <c r="D1928">
        <v>1</v>
      </c>
      <c r="E1928" t="s">
        <v>86</v>
      </c>
      <c r="F1928" t="s">
        <v>87</v>
      </c>
      <c r="G1928" t="str">
        <f>"2025-02-11 14:08:00.636"</f>
        <v>2025-02-11 14:08:00.636</v>
      </c>
      <c r="H1928" t="s">
        <v>73</v>
      </c>
    </row>
    <row r="1929" spans="1:10" x14ac:dyDescent="0.25">
      <c r="A1929" s="1">
        <v>9</v>
      </c>
      <c r="B1929" t="s">
        <v>39</v>
      </c>
      <c r="C1929">
        <v>77</v>
      </c>
      <c r="D1929">
        <v>1</v>
      </c>
      <c r="E1929" t="s">
        <v>86</v>
      </c>
      <c r="F1929" t="s">
        <v>87</v>
      </c>
      <c r="G1929" t="str">
        <f>"2025-02-11 14:07:55.633"</f>
        <v>2025-02-11 14:07:55.633</v>
      </c>
      <c r="H1929" t="s">
        <v>73</v>
      </c>
      <c r="I1929">
        <v>0</v>
      </c>
      <c r="J1929" t="s">
        <v>34</v>
      </c>
    </row>
    <row r="1930" spans="1:10" x14ac:dyDescent="0.25">
      <c r="A1930" s="1">
        <v>10</v>
      </c>
      <c r="B1930" t="s">
        <v>26</v>
      </c>
      <c r="C1930">
        <v>619</v>
      </c>
      <c r="D1930">
        <v>1</v>
      </c>
      <c r="E1930" t="s">
        <v>60</v>
      </c>
      <c r="F1930" t="s">
        <v>25</v>
      </c>
      <c r="G1930" t="str">
        <f>"2025-02-11 14:07:28.622"</f>
        <v>2025-02-11 14:07:28.622</v>
      </c>
      <c r="H1930" t="s">
        <v>61</v>
      </c>
      <c r="I1930">
        <v>0</v>
      </c>
      <c r="J1930" t="s">
        <v>34</v>
      </c>
    </row>
    <row r="1931" spans="1:10" x14ac:dyDescent="0.25">
      <c r="A1931" s="1">
        <v>11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"2025-02-11 14:07:11.594"</f>
        <v>2025-02-11 14:07:11.594</v>
      </c>
      <c r="H1931" t="s">
        <v>21</v>
      </c>
      <c r="I1931">
        <v>0</v>
      </c>
      <c r="J1931" t="s">
        <v>22</v>
      </c>
    </row>
    <row r="1932" spans="1:10" x14ac:dyDescent="0.25">
      <c r="A1932" s="1">
        <v>12</v>
      </c>
      <c r="B1932" t="s">
        <v>39</v>
      </c>
      <c r="C1932">
        <v>630</v>
      </c>
      <c r="D1932">
        <v>5</v>
      </c>
      <c r="E1932" t="s">
        <v>36</v>
      </c>
      <c r="F1932" t="s">
        <v>37</v>
      </c>
      <c r="G1932" t="str">
        <f>"2025-02-11 11:57:33.508"</f>
        <v>2025-02-11 11:57:33.508</v>
      </c>
      <c r="H1932" t="s">
        <v>38</v>
      </c>
      <c r="I1932">
        <v>0</v>
      </c>
      <c r="J1932" t="s">
        <v>34</v>
      </c>
    </row>
    <row r="1933" spans="1:10" x14ac:dyDescent="0.25">
      <c r="A1933" s="1">
        <v>13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"2025-02-11 11:52:30.720"</f>
        <v>2025-02-11 11:52:30.720</v>
      </c>
      <c r="H1933" t="s">
        <v>21</v>
      </c>
    </row>
    <row r="1934" spans="1:10" x14ac:dyDescent="0.25">
      <c r="A1934" s="1">
        <v>14</v>
      </c>
      <c r="B1934" t="s">
        <v>39</v>
      </c>
      <c r="C1934">
        <v>630</v>
      </c>
      <c r="D1934">
        <v>5</v>
      </c>
      <c r="E1934" t="s">
        <v>36</v>
      </c>
      <c r="F1934" t="s">
        <v>37</v>
      </c>
      <c r="G1934" t="str">
        <f>"2025-02-11 09:51:31.423"</f>
        <v>2025-02-11 09:51:31.423</v>
      </c>
      <c r="H1934" t="s">
        <v>38</v>
      </c>
      <c r="I1934">
        <v>0</v>
      </c>
      <c r="J1934" t="s">
        <v>34</v>
      </c>
    </row>
    <row r="1935" spans="1:10" x14ac:dyDescent="0.25">
      <c r="A1935" s="1">
        <v>15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"2025-02-11 09:46:28.677"</f>
        <v>2025-02-11 09:46:28.677</v>
      </c>
      <c r="H1935" t="s">
        <v>21</v>
      </c>
    </row>
    <row r="1936" spans="1:10" x14ac:dyDescent="0.25">
      <c r="A1936" s="1">
        <v>16</v>
      </c>
      <c r="B1936" t="s">
        <v>43</v>
      </c>
      <c r="C1936">
        <v>235</v>
      </c>
      <c r="D1936">
        <v>7</v>
      </c>
      <c r="E1936" t="s">
        <v>90</v>
      </c>
      <c r="F1936" t="s">
        <v>48</v>
      </c>
      <c r="G1936" t="str">
        <f>"2025-02-11 07:02:10.566"</f>
        <v>2025-02-11 07:02:10.566</v>
      </c>
      <c r="H1936" t="s">
        <v>64</v>
      </c>
    </row>
    <row r="1937" spans="1:10" x14ac:dyDescent="0.25">
      <c r="A1937" s="1">
        <v>17</v>
      </c>
      <c r="B1937" t="s">
        <v>39</v>
      </c>
      <c r="C1937">
        <v>235</v>
      </c>
      <c r="D1937">
        <v>7</v>
      </c>
      <c r="E1937" t="s">
        <v>90</v>
      </c>
      <c r="F1937" t="s">
        <v>48</v>
      </c>
      <c r="G1937" t="str">
        <f>"2025-02-11 07:02:05.491"</f>
        <v>2025-02-11 07:02:05.491</v>
      </c>
      <c r="H1937" t="s">
        <v>64</v>
      </c>
      <c r="I1937">
        <v>17.36</v>
      </c>
      <c r="J1937" t="s">
        <v>27</v>
      </c>
    </row>
    <row r="1938" spans="1:10" x14ac:dyDescent="0.25">
      <c r="A1938" s="1">
        <v>18</v>
      </c>
      <c r="B1938" t="s">
        <v>23</v>
      </c>
      <c r="C1938">
        <v>635</v>
      </c>
      <c r="D1938">
        <v>1</v>
      </c>
      <c r="E1938" t="s">
        <v>24</v>
      </c>
      <c r="F1938" t="s">
        <v>25</v>
      </c>
      <c r="G1938" t="str">
        <f>"2025-02-10 16:21:26.614"</f>
        <v>2025-02-10 16:21:26.614</v>
      </c>
      <c r="H1938" t="s">
        <v>21</v>
      </c>
    </row>
    <row r="1939" spans="1:10" x14ac:dyDescent="0.25">
      <c r="A1939" s="1">
        <v>19</v>
      </c>
      <c r="B1939" t="s">
        <v>26</v>
      </c>
      <c r="C1939">
        <v>635</v>
      </c>
      <c r="D1939">
        <v>1</v>
      </c>
      <c r="E1939" t="s">
        <v>24</v>
      </c>
      <c r="F1939" t="s">
        <v>25</v>
      </c>
      <c r="G1939" t="str">
        <f>"2025-02-10 15:54:11.214"</f>
        <v>2025-02-10 15:54:11.214</v>
      </c>
      <c r="H1939" t="s">
        <v>21</v>
      </c>
      <c r="I1939">
        <v>7.53</v>
      </c>
      <c r="J1939" t="s">
        <v>27</v>
      </c>
    </row>
    <row r="1940" spans="1:10" x14ac:dyDescent="0.25">
      <c r="A1940" s="1">
        <v>20</v>
      </c>
      <c r="B1940" t="s">
        <v>43</v>
      </c>
      <c r="C1940">
        <v>235</v>
      </c>
      <c r="D1940">
        <v>7</v>
      </c>
      <c r="E1940" t="s">
        <v>90</v>
      </c>
      <c r="F1940" t="s">
        <v>48</v>
      </c>
      <c r="G1940" t="str">
        <f>"2025-02-10 15:17:09.466"</f>
        <v>2025-02-10 15:17:09.466</v>
      </c>
      <c r="H1940" t="s">
        <v>64</v>
      </c>
    </row>
    <row r="1941" spans="1:10" x14ac:dyDescent="0.25">
      <c r="A1941" s="1">
        <v>21</v>
      </c>
      <c r="B1941" t="s">
        <v>39</v>
      </c>
      <c r="C1941">
        <v>235</v>
      </c>
      <c r="D1941">
        <v>7</v>
      </c>
      <c r="E1941" t="s">
        <v>90</v>
      </c>
      <c r="F1941" t="s">
        <v>48</v>
      </c>
      <c r="G1941" t="str">
        <f>"2025-02-10 15:17:04.371"</f>
        <v>2025-02-10 15:17:04.371</v>
      </c>
      <c r="H1941" t="s">
        <v>64</v>
      </c>
      <c r="I1941">
        <v>6.31</v>
      </c>
      <c r="J1941" t="s">
        <v>27</v>
      </c>
    </row>
    <row r="1942" spans="1:10" x14ac:dyDescent="0.25">
      <c r="A1942" s="1">
        <v>22</v>
      </c>
      <c r="B1942" t="s">
        <v>23</v>
      </c>
      <c r="C1942">
        <v>635</v>
      </c>
      <c r="D1942">
        <v>1</v>
      </c>
      <c r="E1942" t="s">
        <v>24</v>
      </c>
      <c r="F1942" t="s">
        <v>25</v>
      </c>
      <c r="G1942" t="str">
        <f>"2025-02-10 11:03:14.414"</f>
        <v>2025-02-10 11:03:14.414</v>
      </c>
      <c r="H1942" t="s">
        <v>21</v>
      </c>
    </row>
    <row r="1943" spans="1:10" x14ac:dyDescent="0.25">
      <c r="A1943" s="1">
        <v>23</v>
      </c>
      <c r="B1943" t="s">
        <v>26</v>
      </c>
      <c r="C1943">
        <v>635</v>
      </c>
      <c r="D1943">
        <v>1</v>
      </c>
      <c r="E1943" t="s">
        <v>24</v>
      </c>
      <c r="F1943" t="s">
        <v>25</v>
      </c>
      <c r="G1943" t="str">
        <f>"2025-02-10 10:35:49.914"</f>
        <v>2025-02-10 10:35:49.914</v>
      </c>
      <c r="H1943" t="s">
        <v>21</v>
      </c>
      <c r="I1943">
        <v>9.15</v>
      </c>
      <c r="J1943" t="s">
        <v>31</v>
      </c>
    </row>
    <row r="1944" spans="1:10" x14ac:dyDescent="0.25">
      <c r="A1944" s="1">
        <v>24</v>
      </c>
      <c r="B1944" t="s">
        <v>23</v>
      </c>
      <c r="C1944">
        <v>635</v>
      </c>
      <c r="D1944">
        <v>1</v>
      </c>
      <c r="E1944" t="s">
        <v>24</v>
      </c>
      <c r="F1944" t="s">
        <v>25</v>
      </c>
      <c r="G1944" t="str">
        <f>"2025-02-10 09:33:04.614"</f>
        <v>2025-02-10 09:33:04.614</v>
      </c>
      <c r="H1944" t="s">
        <v>21</v>
      </c>
    </row>
    <row r="1945" spans="1:10" x14ac:dyDescent="0.25">
      <c r="A1945" s="1">
        <v>25</v>
      </c>
      <c r="B1945" t="s">
        <v>26</v>
      </c>
      <c r="C1945">
        <v>635</v>
      </c>
      <c r="D1945">
        <v>1</v>
      </c>
      <c r="E1945" t="s">
        <v>24</v>
      </c>
      <c r="F1945" t="s">
        <v>25</v>
      </c>
      <c r="G1945" t="str">
        <f>"2025-02-10 09:08:09.714"</f>
        <v>2025-02-10 09:08:09.714</v>
      </c>
      <c r="H1945" t="s">
        <v>21</v>
      </c>
      <c r="I1945">
        <v>8.34</v>
      </c>
      <c r="J1945" t="s">
        <v>27</v>
      </c>
    </row>
    <row r="1946" spans="1:10" x14ac:dyDescent="0.25">
      <c r="A1946" s="1">
        <v>26</v>
      </c>
      <c r="B1946" t="s">
        <v>23</v>
      </c>
      <c r="C1946">
        <v>635</v>
      </c>
      <c r="D1946">
        <v>1</v>
      </c>
      <c r="E1946" t="s">
        <v>24</v>
      </c>
      <c r="F1946" t="s">
        <v>25</v>
      </c>
      <c r="G1946" t="str">
        <f>"2025-02-10 05:42:39.614"</f>
        <v>2025-02-10 05:42:39.614</v>
      </c>
      <c r="H1946" t="s">
        <v>21</v>
      </c>
    </row>
    <row r="1947" spans="1:10" x14ac:dyDescent="0.25">
      <c r="A1947" s="1">
        <v>27</v>
      </c>
      <c r="B1947" t="s">
        <v>26</v>
      </c>
      <c r="C1947">
        <v>635</v>
      </c>
      <c r="D1947">
        <v>1</v>
      </c>
      <c r="E1947" t="s">
        <v>24</v>
      </c>
      <c r="F1947" t="s">
        <v>25</v>
      </c>
      <c r="G1947" t="str">
        <f>"2025-02-10 05:38:39.114"</f>
        <v>2025-02-10 05:38:39.114</v>
      </c>
      <c r="H1947" t="s">
        <v>21</v>
      </c>
      <c r="I1947">
        <v>9.18</v>
      </c>
      <c r="J1947" t="s">
        <v>27</v>
      </c>
    </row>
    <row r="1948" spans="1:10" x14ac:dyDescent="0.25">
      <c r="A1948" s="1">
        <v>28</v>
      </c>
      <c r="B1948" t="s">
        <v>23</v>
      </c>
      <c r="C1948">
        <v>61</v>
      </c>
      <c r="D1948">
        <v>2</v>
      </c>
      <c r="E1948" t="s">
        <v>41</v>
      </c>
      <c r="F1948" t="s">
        <v>42</v>
      </c>
      <c r="G1948" t="str">
        <f>"2025-02-09 11:48:34.727"</f>
        <v>2025-02-09 11:48:34.727</v>
      </c>
      <c r="H1948" t="s">
        <v>21</v>
      </c>
    </row>
    <row r="1949" spans="1:10" x14ac:dyDescent="0.25">
      <c r="A1949" s="1">
        <v>29</v>
      </c>
      <c r="B1949" t="s">
        <v>39</v>
      </c>
      <c r="C1949">
        <v>61</v>
      </c>
      <c r="D1949">
        <v>2</v>
      </c>
      <c r="E1949" t="s">
        <v>41</v>
      </c>
      <c r="F1949" t="s">
        <v>42</v>
      </c>
      <c r="G1949" t="str">
        <f>"2025-02-09 11:48:30.527"</f>
        <v>2025-02-09 11:48:30.527</v>
      </c>
      <c r="H1949" t="s">
        <v>21</v>
      </c>
      <c r="I1949">
        <v>35.049999999999997</v>
      </c>
      <c r="J1949" t="s">
        <v>31</v>
      </c>
    </row>
    <row r="1950" spans="1:10" x14ac:dyDescent="0.25">
      <c r="A1950" s="1">
        <v>30</v>
      </c>
      <c r="B1950" t="s">
        <v>43</v>
      </c>
      <c r="C1950">
        <v>235</v>
      </c>
      <c r="D1950">
        <v>4</v>
      </c>
      <c r="E1950" t="s">
        <v>90</v>
      </c>
      <c r="F1950" t="s">
        <v>56</v>
      </c>
      <c r="G1950" t="str">
        <f>"2025-02-09 09:23:25.266"</f>
        <v>2025-02-09 09:23:25.266</v>
      </c>
      <c r="H1950" t="s">
        <v>64</v>
      </c>
    </row>
    <row r="1951" spans="1:10" x14ac:dyDescent="0.25">
      <c r="A1951" s="1">
        <v>31</v>
      </c>
      <c r="B1951" t="s">
        <v>39</v>
      </c>
      <c r="C1951">
        <v>235</v>
      </c>
      <c r="D1951">
        <v>4</v>
      </c>
      <c r="E1951" t="s">
        <v>90</v>
      </c>
      <c r="F1951" t="s">
        <v>56</v>
      </c>
      <c r="G1951" t="str">
        <f>"2025-02-09 09:23:20.171"</f>
        <v>2025-02-09 09:23:20.171</v>
      </c>
      <c r="H1951" t="s">
        <v>64</v>
      </c>
      <c r="I1951">
        <v>8.67</v>
      </c>
      <c r="J1951" t="s">
        <v>27</v>
      </c>
    </row>
    <row r="1952" spans="1:10" x14ac:dyDescent="0.25">
      <c r="A1952" s="1">
        <v>32</v>
      </c>
      <c r="B1952" t="s">
        <v>43</v>
      </c>
      <c r="C1952">
        <v>128</v>
      </c>
      <c r="D1952">
        <v>4</v>
      </c>
      <c r="E1952" t="s">
        <v>92</v>
      </c>
      <c r="F1952" t="s">
        <v>93</v>
      </c>
      <c r="G1952" t="str">
        <f>"2025-02-08 23:39:45.766"</f>
        <v>2025-02-08 23:39:45.766</v>
      </c>
      <c r="H1952" t="s">
        <v>49</v>
      </c>
    </row>
    <row r="1953" spans="1:10" x14ac:dyDescent="0.25">
      <c r="A1953" s="1">
        <v>33</v>
      </c>
      <c r="B1953" t="s">
        <v>39</v>
      </c>
      <c r="C1953">
        <v>128</v>
      </c>
      <c r="D1953">
        <v>4</v>
      </c>
      <c r="E1953" t="s">
        <v>92</v>
      </c>
      <c r="F1953" t="s">
        <v>93</v>
      </c>
      <c r="G1953" t="str">
        <f>"2025-02-08 23:39:40.711"</f>
        <v>2025-02-08 23:39:40.711</v>
      </c>
      <c r="H1953" t="s">
        <v>49</v>
      </c>
      <c r="I1953">
        <v>14.19</v>
      </c>
      <c r="J1953" t="s">
        <v>27</v>
      </c>
    </row>
    <row r="1954" spans="1:10" x14ac:dyDescent="0.25">
      <c r="A1954" s="1">
        <v>34</v>
      </c>
      <c r="B1954" t="s">
        <v>43</v>
      </c>
      <c r="C1954">
        <v>235</v>
      </c>
      <c r="D1954">
        <v>4</v>
      </c>
      <c r="E1954" t="s">
        <v>90</v>
      </c>
      <c r="F1954" t="s">
        <v>56</v>
      </c>
      <c r="G1954" t="str">
        <f>"2025-02-08 05:01:01.666"</f>
        <v>2025-02-08 05:01:01.666</v>
      </c>
      <c r="H1954" t="s">
        <v>64</v>
      </c>
    </row>
    <row r="1955" spans="1:10" x14ac:dyDescent="0.25">
      <c r="A1955" s="1">
        <v>35</v>
      </c>
      <c r="B1955" t="s">
        <v>39</v>
      </c>
      <c r="C1955">
        <v>235</v>
      </c>
      <c r="D1955">
        <v>4</v>
      </c>
      <c r="E1955" t="s">
        <v>90</v>
      </c>
      <c r="F1955" t="s">
        <v>56</v>
      </c>
      <c r="G1955" t="str">
        <f>"2025-02-08 05:00:56.631"</f>
        <v>2025-02-08 05:00:56.631</v>
      </c>
      <c r="H1955" t="s">
        <v>64</v>
      </c>
      <c r="I1955">
        <v>0</v>
      </c>
      <c r="J1955" t="s">
        <v>28</v>
      </c>
    </row>
    <row r="1956" spans="1:10" x14ac:dyDescent="0.25">
      <c r="A1956" s="1">
        <v>36</v>
      </c>
      <c r="B1956" t="s">
        <v>23</v>
      </c>
      <c r="C1956">
        <v>635</v>
      </c>
      <c r="D1956">
        <v>1</v>
      </c>
      <c r="E1956" t="s">
        <v>24</v>
      </c>
      <c r="F1956" t="s">
        <v>25</v>
      </c>
      <c r="G1956" t="str">
        <f>"2025-02-07 20:14:20.914"</f>
        <v>2025-02-07 20:14:20.914</v>
      </c>
      <c r="H1956" t="s">
        <v>21</v>
      </c>
    </row>
    <row r="1957" spans="1:10" x14ac:dyDescent="0.25">
      <c r="A1957" s="1">
        <v>37</v>
      </c>
      <c r="B1957" t="s">
        <v>26</v>
      </c>
      <c r="C1957">
        <v>635</v>
      </c>
      <c r="D1957">
        <v>1</v>
      </c>
      <c r="E1957" t="s">
        <v>24</v>
      </c>
      <c r="F1957" t="s">
        <v>25</v>
      </c>
      <c r="G1957" t="str">
        <f>"2025-02-07 20:10:38.414"</f>
        <v>2025-02-07 20:10:38.414</v>
      </c>
      <c r="H1957" t="s">
        <v>21</v>
      </c>
      <c r="I1957">
        <v>7.29</v>
      </c>
      <c r="J1957" t="s">
        <v>27</v>
      </c>
    </row>
    <row r="1958" spans="1:10" x14ac:dyDescent="0.25">
      <c r="A1958" s="1">
        <v>38</v>
      </c>
      <c r="B1958" t="s">
        <v>23</v>
      </c>
      <c r="C1958">
        <v>630</v>
      </c>
      <c r="D1958">
        <v>5</v>
      </c>
      <c r="E1958" t="s">
        <v>36</v>
      </c>
      <c r="F1958" t="s">
        <v>37</v>
      </c>
      <c r="G1958" t="str">
        <f>"2025-02-07 12:19:45.914"</f>
        <v>2025-02-07 12:19:45.914</v>
      </c>
      <c r="H1958" t="s">
        <v>38</v>
      </c>
    </row>
    <row r="1959" spans="1:10" x14ac:dyDescent="0.25">
      <c r="A1959" s="1">
        <v>39</v>
      </c>
      <c r="B1959" t="s">
        <v>19</v>
      </c>
      <c r="C1959">
        <v>706</v>
      </c>
      <c r="D1959">
        <v>4</v>
      </c>
      <c r="E1959" t="s">
        <v>32</v>
      </c>
      <c r="F1959" t="s">
        <v>33</v>
      </c>
      <c r="G1959" t="str">
        <f>"2025-02-07 12:19:15.796"</f>
        <v>2025-02-07 12:19:15.796</v>
      </c>
      <c r="H1959" t="s">
        <v>21</v>
      </c>
      <c r="I1959">
        <v>0</v>
      </c>
      <c r="J1959" t="s">
        <v>34</v>
      </c>
    </row>
    <row r="1960" spans="1:10" x14ac:dyDescent="0.25">
      <c r="A1960" s="1">
        <v>40</v>
      </c>
      <c r="B1960" t="s">
        <v>39</v>
      </c>
      <c r="C1960">
        <v>630</v>
      </c>
      <c r="D1960">
        <v>5</v>
      </c>
      <c r="E1960" t="s">
        <v>36</v>
      </c>
      <c r="F1960" t="s">
        <v>37</v>
      </c>
      <c r="G1960" t="str">
        <f>"2025-02-07 12:02:24.714"</f>
        <v>2025-02-07 12:02:24.714</v>
      </c>
      <c r="H1960" t="s">
        <v>38</v>
      </c>
      <c r="I1960">
        <v>0</v>
      </c>
      <c r="J1960" t="s">
        <v>34</v>
      </c>
    </row>
    <row r="1961" spans="1:10" s="3" customFormat="1" x14ac:dyDescent="0.25">
      <c r="A1961" s="2">
        <v>41</v>
      </c>
      <c r="B1961" s="3" t="s">
        <v>23</v>
      </c>
      <c r="C1961" s="3">
        <v>647</v>
      </c>
      <c r="D1961" s="3">
        <v>1</v>
      </c>
      <c r="E1961" s="3" t="s">
        <v>29</v>
      </c>
      <c r="F1961" s="3" t="s">
        <v>30</v>
      </c>
      <c r="G1961" s="3" t="str">
        <f>"2025-02-07 10:27:35.714"</f>
        <v>2025-02-07 10:27:35.714</v>
      </c>
      <c r="H1961" s="3" t="s">
        <v>21</v>
      </c>
    </row>
    <row r="1962" spans="1:10" s="3" customFormat="1" x14ac:dyDescent="0.25">
      <c r="A1962" s="2">
        <v>42</v>
      </c>
      <c r="B1962" s="3" t="s">
        <v>26</v>
      </c>
      <c r="C1962" s="3">
        <v>647</v>
      </c>
      <c r="D1962" s="3">
        <v>1</v>
      </c>
      <c r="E1962" s="3" t="s">
        <v>29</v>
      </c>
      <c r="F1962" s="3" t="s">
        <v>30</v>
      </c>
      <c r="G1962" s="3" t="str">
        <f>"2025-02-07 10:27:28.414"</f>
        <v>2025-02-07 10:27:28.414</v>
      </c>
      <c r="H1962" s="3" t="s">
        <v>21</v>
      </c>
      <c r="I1962" s="3">
        <v>20.53</v>
      </c>
      <c r="J1962" s="3" t="s">
        <v>31</v>
      </c>
    </row>
    <row r="1963" spans="1:10" x14ac:dyDescent="0.25">
      <c r="A1963" s="1">
        <v>43</v>
      </c>
      <c r="B1963" t="s">
        <v>43</v>
      </c>
      <c r="C1963">
        <v>235</v>
      </c>
      <c r="D1963">
        <v>7</v>
      </c>
      <c r="E1963" t="s">
        <v>90</v>
      </c>
      <c r="F1963" t="s">
        <v>48</v>
      </c>
      <c r="G1963" t="str">
        <f>"2025-02-07 00:23:48.966"</f>
        <v>2025-02-07 00:23:48.966</v>
      </c>
      <c r="H1963" t="s">
        <v>64</v>
      </c>
    </row>
    <row r="1964" spans="1:10" x14ac:dyDescent="0.25">
      <c r="A1964" s="1">
        <v>44</v>
      </c>
      <c r="B1964" t="s">
        <v>39</v>
      </c>
      <c r="C1964">
        <v>235</v>
      </c>
      <c r="D1964">
        <v>7</v>
      </c>
      <c r="E1964" t="s">
        <v>90</v>
      </c>
      <c r="F1964" t="s">
        <v>48</v>
      </c>
      <c r="G1964" t="str">
        <f>"2025-02-07 00:23:43.931"</f>
        <v>2025-02-07 00:23:43.931</v>
      </c>
      <c r="H1964" t="s">
        <v>64</v>
      </c>
      <c r="I1964">
        <v>8.09</v>
      </c>
      <c r="J1964" t="s">
        <v>27</v>
      </c>
    </row>
    <row r="1965" spans="1:10" x14ac:dyDescent="0.25">
      <c r="A1965" s="1">
        <v>45</v>
      </c>
      <c r="B1965" t="s">
        <v>43</v>
      </c>
      <c r="C1965">
        <v>137</v>
      </c>
      <c r="D1965">
        <v>4</v>
      </c>
      <c r="E1965" t="s">
        <v>57</v>
      </c>
      <c r="F1965" t="s">
        <v>56</v>
      </c>
      <c r="G1965" t="str">
        <f>"2025-02-06 11:08:13.267"</f>
        <v>2025-02-06 11:08:13.267</v>
      </c>
      <c r="H1965" t="s">
        <v>49</v>
      </c>
    </row>
    <row r="1966" spans="1:10" x14ac:dyDescent="0.25">
      <c r="A1966" s="1">
        <v>46</v>
      </c>
      <c r="B1966" t="s">
        <v>39</v>
      </c>
      <c r="C1966">
        <v>137</v>
      </c>
      <c r="D1966">
        <v>4</v>
      </c>
      <c r="E1966" t="s">
        <v>57</v>
      </c>
      <c r="F1966" t="s">
        <v>56</v>
      </c>
      <c r="G1966" t="str">
        <f>"2025-02-06 11:08:08.171"</f>
        <v>2025-02-06 11:08:08.171</v>
      </c>
      <c r="H1966" t="s">
        <v>49</v>
      </c>
      <c r="I1966">
        <v>8.14</v>
      </c>
      <c r="J1966" t="s">
        <v>27</v>
      </c>
    </row>
    <row r="1967" spans="1:10" s="3" customFormat="1" x14ac:dyDescent="0.25">
      <c r="A1967" s="2">
        <v>47</v>
      </c>
      <c r="B1967" s="3" t="s">
        <v>23</v>
      </c>
      <c r="C1967" s="3">
        <v>647</v>
      </c>
      <c r="D1967" s="3">
        <v>1</v>
      </c>
      <c r="E1967" s="3" t="s">
        <v>29</v>
      </c>
      <c r="F1967" s="3" t="s">
        <v>30</v>
      </c>
      <c r="G1967" s="3" t="str">
        <f>"2025-02-06 10:52:07.514"</f>
        <v>2025-02-06 10:52:07.514</v>
      </c>
      <c r="H1967" s="3" t="s">
        <v>21</v>
      </c>
    </row>
    <row r="1968" spans="1:10" s="3" customFormat="1" x14ac:dyDescent="0.25">
      <c r="A1968" s="2">
        <v>48</v>
      </c>
      <c r="B1968" s="3" t="s">
        <v>26</v>
      </c>
      <c r="C1968" s="3">
        <v>647</v>
      </c>
      <c r="D1968" s="3">
        <v>1</v>
      </c>
      <c r="E1968" s="3" t="s">
        <v>29</v>
      </c>
      <c r="F1968" s="3" t="s">
        <v>30</v>
      </c>
      <c r="G1968" s="3" t="str">
        <f>"2025-02-06 10:52:06.214"</f>
        <v>2025-02-06 10:52:06.214</v>
      </c>
      <c r="H1968" s="3" t="s">
        <v>21</v>
      </c>
      <c r="I1968" s="3">
        <v>19.5</v>
      </c>
      <c r="J1968" s="3" t="s">
        <v>31</v>
      </c>
    </row>
    <row r="1969" spans="1:10" x14ac:dyDescent="0.25">
      <c r="A1969" s="1">
        <v>49</v>
      </c>
      <c r="B1969" t="s">
        <v>23</v>
      </c>
      <c r="C1969">
        <v>635</v>
      </c>
      <c r="D1969">
        <v>1</v>
      </c>
      <c r="E1969" t="s">
        <v>24</v>
      </c>
      <c r="F1969" t="s">
        <v>25</v>
      </c>
      <c r="G1969" t="str">
        <f>"2025-02-06 00:53:46.014"</f>
        <v>2025-02-06 00:53:46.014</v>
      </c>
      <c r="H1969" t="s">
        <v>21</v>
      </c>
    </row>
    <row r="1970" spans="1:10" x14ac:dyDescent="0.25">
      <c r="A1970" s="1">
        <v>50</v>
      </c>
      <c r="B1970" t="s">
        <v>26</v>
      </c>
      <c r="C1970">
        <v>635</v>
      </c>
      <c r="D1970">
        <v>1</v>
      </c>
      <c r="E1970" t="s">
        <v>24</v>
      </c>
      <c r="F1970" t="s">
        <v>25</v>
      </c>
      <c r="G1970" t="str">
        <f>"2025-02-06 00:49:53.614"</f>
        <v>2025-02-06 00:49:53.614</v>
      </c>
      <c r="H1970" t="s">
        <v>21</v>
      </c>
      <c r="I1970">
        <v>7.87</v>
      </c>
      <c r="J1970" t="s">
        <v>27</v>
      </c>
    </row>
    <row r="1971" spans="1:10" s="3" customFormat="1" x14ac:dyDescent="0.25">
      <c r="A1971" s="2">
        <v>52</v>
      </c>
      <c r="B1971" s="3" t="s">
        <v>23</v>
      </c>
      <c r="C1971" s="3">
        <v>647</v>
      </c>
      <c r="D1971" s="3">
        <v>1</v>
      </c>
      <c r="E1971" s="3" t="s">
        <v>29</v>
      </c>
      <c r="F1971" s="3" t="s">
        <v>30</v>
      </c>
      <c r="G1971" s="3" t="str">
        <f>"2025-02-05 09:45:50.114"</f>
        <v>2025-02-05 09:45:50.114</v>
      </c>
      <c r="H1971" s="3" t="s">
        <v>21</v>
      </c>
    </row>
    <row r="1972" spans="1:10" s="3" customFormat="1" x14ac:dyDescent="0.25">
      <c r="A1972" s="2">
        <v>53</v>
      </c>
      <c r="B1972" s="3" t="s">
        <v>26</v>
      </c>
      <c r="C1972" s="3">
        <v>647</v>
      </c>
      <c r="D1972" s="3">
        <v>1</v>
      </c>
      <c r="E1972" s="3" t="s">
        <v>29</v>
      </c>
      <c r="F1972" s="3" t="s">
        <v>30</v>
      </c>
      <c r="G1972" s="3" t="str">
        <f>"2025-02-05 09:45:47.414"</f>
        <v>2025-02-05 09:45:47.414</v>
      </c>
      <c r="H1972" s="3" t="s">
        <v>21</v>
      </c>
      <c r="I1972" s="3">
        <v>22.79</v>
      </c>
      <c r="J1972" s="3" t="s">
        <v>31</v>
      </c>
    </row>
    <row r="1973" spans="1:10" x14ac:dyDescent="0.25">
      <c r="A1973" s="1">
        <v>55</v>
      </c>
      <c r="B1973" t="s">
        <v>43</v>
      </c>
      <c r="C1973">
        <v>128</v>
      </c>
      <c r="D1973">
        <v>4</v>
      </c>
      <c r="E1973" t="s">
        <v>92</v>
      </c>
      <c r="F1973" t="s">
        <v>93</v>
      </c>
      <c r="G1973" t="str">
        <f>"2025-02-05 00:14:37.681"</f>
        <v>2025-02-05 00:14:37.681</v>
      </c>
      <c r="H1973" t="s">
        <v>49</v>
      </c>
    </row>
    <row r="1974" spans="1:10" x14ac:dyDescent="0.25">
      <c r="A1974" s="1">
        <v>56</v>
      </c>
      <c r="B1974" t="s">
        <v>39</v>
      </c>
      <c r="C1974">
        <v>128</v>
      </c>
      <c r="D1974">
        <v>4</v>
      </c>
      <c r="E1974" t="s">
        <v>92</v>
      </c>
      <c r="F1974" t="s">
        <v>93</v>
      </c>
      <c r="G1974" t="str">
        <f>"2025-02-05 00:14:32.671"</f>
        <v>2025-02-05 00:14:32.671</v>
      </c>
      <c r="H1974" t="s">
        <v>49</v>
      </c>
      <c r="I1974">
        <v>12.25</v>
      </c>
      <c r="J1974" t="s">
        <v>27</v>
      </c>
    </row>
    <row r="1975" spans="1:10" s="3" customFormat="1" x14ac:dyDescent="0.25">
      <c r="A1975" s="2">
        <v>57</v>
      </c>
      <c r="B1975" s="3" t="s">
        <v>23</v>
      </c>
      <c r="C1975" s="3">
        <v>647</v>
      </c>
      <c r="D1975" s="3">
        <v>1</v>
      </c>
      <c r="E1975" s="3" t="s">
        <v>29</v>
      </c>
      <c r="F1975" s="3" t="s">
        <v>30</v>
      </c>
      <c r="G1975" s="3" t="str">
        <f>"2025-02-04 18:40:27.714"</f>
        <v>2025-02-04 18:40:27.714</v>
      </c>
      <c r="H1975" s="3" t="s">
        <v>21</v>
      </c>
    </row>
    <row r="1976" spans="1:10" s="3" customFormat="1" x14ac:dyDescent="0.25">
      <c r="A1976" s="2">
        <v>58</v>
      </c>
      <c r="B1976" s="3" t="s">
        <v>26</v>
      </c>
      <c r="C1976" s="3">
        <v>647</v>
      </c>
      <c r="D1976" s="3">
        <v>1</v>
      </c>
      <c r="E1976" s="3" t="s">
        <v>29</v>
      </c>
      <c r="F1976" s="3" t="s">
        <v>30</v>
      </c>
      <c r="G1976" s="3" t="str">
        <f>"2025-02-04 18:40:23.214"</f>
        <v>2025-02-04 18:40:23.214</v>
      </c>
      <c r="H1976" s="3" t="s">
        <v>21</v>
      </c>
      <c r="I1976" s="3">
        <v>15.12</v>
      </c>
      <c r="J1976" s="3" t="s">
        <v>31</v>
      </c>
    </row>
    <row r="1977" spans="1:10" x14ac:dyDescent="0.25">
      <c r="A1977" s="1">
        <v>59</v>
      </c>
      <c r="B1977" t="s">
        <v>23</v>
      </c>
      <c r="C1977">
        <v>635</v>
      </c>
      <c r="D1977">
        <v>1</v>
      </c>
      <c r="E1977" t="s">
        <v>24</v>
      </c>
      <c r="F1977" t="s">
        <v>25</v>
      </c>
      <c r="G1977" t="str">
        <f>"2025-02-04 18:36:21.414"</f>
        <v>2025-02-04 18:36:21.414</v>
      </c>
      <c r="H1977" t="s">
        <v>21</v>
      </c>
    </row>
    <row r="1978" spans="1:10" x14ac:dyDescent="0.25">
      <c r="A1978" s="1">
        <v>60</v>
      </c>
      <c r="B1978" t="s">
        <v>26</v>
      </c>
      <c r="C1978">
        <v>635</v>
      </c>
      <c r="D1978">
        <v>1</v>
      </c>
      <c r="E1978" t="s">
        <v>24</v>
      </c>
      <c r="F1978" t="s">
        <v>25</v>
      </c>
      <c r="G1978" t="str">
        <f>"2025-02-04 18:19:38.414"</f>
        <v>2025-02-04 18:19:38.414</v>
      </c>
      <c r="H1978" t="s">
        <v>21</v>
      </c>
      <c r="I1978">
        <v>9.7899999999999991</v>
      </c>
      <c r="J1978" t="s">
        <v>27</v>
      </c>
    </row>
    <row r="1979" spans="1:10" x14ac:dyDescent="0.25">
      <c r="A1979" s="1">
        <v>61</v>
      </c>
      <c r="B1979" t="s">
        <v>43</v>
      </c>
      <c r="C1979">
        <v>235</v>
      </c>
      <c r="D1979">
        <v>7</v>
      </c>
      <c r="E1979" t="s">
        <v>90</v>
      </c>
      <c r="F1979" t="s">
        <v>48</v>
      </c>
      <c r="G1979" t="str">
        <f>"2025-02-04 10:54:07.481"</f>
        <v>2025-02-04 10:54:07.481</v>
      </c>
      <c r="H1979" t="s">
        <v>64</v>
      </c>
    </row>
    <row r="1980" spans="1:10" x14ac:dyDescent="0.25">
      <c r="A1980" s="1">
        <v>62</v>
      </c>
      <c r="B1980" t="s">
        <v>39</v>
      </c>
      <c r="C1980">
        <v>235</v>
      </c>
      <c r="D1980">
        <v>7</v>
      </c>
      <c r="E1980" t="s">
        <v>90</v>
      </c>
      <c r="F1980" t="s">
        <v>48</v>
      </c>
      <c r="G1980" t="str">
        <f>"2025-02-04 10:54:02.471"</f>
        <v>2025-02-04 10:54:02.471</v>
      </c>
      <c r="H1980" t="s">
        <v>64</v>
      </c>
      <c r="I1980">
        <v>13.53</v>
      </c>
      <c r="J1980" t="s">
        <v>27</v>
      </c>
    </row>
    <row r="1981" spans="1:10" x14ac:dyDescent="0.25">
      <c r="A1981" s="1">
        <v>63</v>
      </c>
      <c r="B1981" t="s">
        <v>43</v>
      </c>
      <c r="C1981">
        <v>235</v>
      </c>
      <c r="D1981">
        <v>4</v>
      </c>
      <c r="E1981" t="s">
        <v>90</v>
      </c>
      <c r="F1981" t="s">
        <v>56</v>
      </c>
      <c r="G1981" t="str">
        <f>"2025-02-04 06:29:20.381"</f>
        <v>2025-02-04 06:29:20.381</v>
      </c>
      <c r="H1981" t="s">
        <v>64</v>
      </c>
    </row>
    <row r="1982" spans="1:10" x14ac:dyDescent="0.25">
      <c r="A1982" s="1">
        <v>64</v>
      </c>
      <c r="B1982" t="s">
        <v>39</v>
      </c>
      <c r="C1982">
        <v>235</v>
      </c>
      <c r="D1982">
        <v>4</v>
      </c>
      <c r="E1982" t="s">
        <v>90</v>
      </c>
      <c r="F1982" t="s">
        <v>56</v>
      </c>
      <c r="G1982" t="str">
        <f>"2025-02-04 06:29:15.291"</f>
        <v>2025-02-04 06:29:15.291</v>
      </c>
      <c r="H1982" t="s">
        <v>64</v>
      </c>
      <c r="I1982">
        <v>5.75</v>
      </c>
      <c r="J1982" t="s">
        <v>27</v>
      </c>
    </row>
    <row r="1983" spans="1:10" x14ac:dyDescent="0.25">
      <c r="A1983" s="1">
        <v>65</v>
      </c>
      <c r="B1983" t="s">
        <v>23</v>
      </c>
      <c r="C1983">
        <v>635</v>
      </c>
      <c r="D1983">
        <v>1</v>
      </c>
      <c r="E1983" t="s">
        <v>24</v>
      </c>
      <c r="F1983" t="s">
        <v>25</v>
      </c>
      <c r="G1983" t="str">
        <f>"2025-02-03 18:32:29.314"</f>
        <v>2025-02-03 18:32:29.314</v>
      </c>
      <c r="H1983" t="s">
        <v>21</v>
      </c>
    </row>
    <row r="1984" spans="1:10" x14ac:dyDescent="0.25">
      <c r="A1984" s="1">
        <v>66</v>
      </c>
      <c r="B1984" t="s">
        <v>43</v>
      </c>
      <c r="C1984">
        <v>235</v>
      </c>
      <c r="D1984">
        <v>1</v>
      </c>
      <c r="E1984" t="s">
        <v>90</v>
      </c>
      <c r="F1984" t="s">
        <v>91</v>
      </c>
      <c r="G1984" t="str">
        <f>"2025-02-03 18:04:53.182"</f>
        <v>2025-02-03 18:04:53.182</v>
      </c>
      <c r="H1984" t="s">
        <v>64</v>
      </c>
    </row>
    <row r="1985" spans="1:10" x14ac:dyDescent="0.25">
      <c r="A1985" s="1">
        <v>67</v>
      </c>
      <c r="B1985" t="s">
        <v>39</v>
      </c>
      <c r="C1985">
        <v>235</v>
      </c>
      <c r="D1985">
        <v>1</v>
      </c>
      <c r="E1985" t="s">
        <v>90</v>
      </c>
      <c r="F1985" t="s">
        <v>91</v>
      </c>
      <c r="G1985" t="str">
        <f>"2025-02-03 18:04:48.111"</f>
        <v>2025-02-03 18:04:48.111</v>
      </c>
      <c r="H1985" t="s">
        <v>64</v>
      </c>
      <c r="I1985">
        <v>7.48</v>
      </c>
      <c r="J1985" t="s">
        <v>27</v>
      </c>
    </row>
    <row r="1986" spans="1:10" x14ac:dyDescent="0.25">
      <c r="A1986" s="1">
        <v>68</v>
      </c>
      <c r="B1986" t="s">
        <v>26</v>
      </c>
      <c r="C1986">
        <v>635</v>
      </c>
      <c r="D1986">
        <v>1</v>
      </c>
      <c r="E1986" t="s">
        <v>24</v>
      </c>
      <c r="F1986" t="s">
        <v>25</v>
      </c>
      <c r="G1986" t="str">
        <f>"2025-02-03 18:01:12.814"</f>
        <v>2025-02-03 18:01:12.814</v>
      </c>
      <c r="H1986" t="s">
        <v>21</v>
      </c>
      <c r="I1986">
        <v>7.07</v>
      </c>
      <c r="J1986" t="s">
        <v>27</v>
      </c>
    </row>
    <row r="1987" spans="1:10" x14ac:dyDescent="0.25">
      <c r="A1987" s="1">
        <v>69</v>
      </c>
      <c r="B1987" t="s">
        <v>43</v>
      </c>
      <c r="C1987">
        <v>235</v>
      </c>
      <c r="D1987">
        <v>7</v>
      </c>
      <c r="E1987" t="s">
        <v>90</v>
      </c>
      <c r="F1987" t="s">
        <v>48</v>
      </c>
      <c r="G1987" t="str">
        <f>"2025-02-03 09:57:22.182"</f>
        <v>2025-02-03 09:57:22.182</v>
      </c>
      <c r="H1987" t="s">
        <v>64</v>
      </c>
    </row>
    <row r="1988" spans="1:10" x14ac:dyDescent="0.25">
      <c r="A1988" s="1">
        <v>70</v>
      </c>
      <c r="B1988" t="s">
        <v>39</v>
      </c>
      <c r="C1988">
        <v>235</v>
      </c>
      <c r="D1988">
        <v>7</v>
      </c>
      <c r="E1988" t="s">
        <v>90</v>
      </c>
      <c r="F1988" t="s">
        <v>48</v>
      </c>
      <c r="G1988" t="str">
        <f>"2025-02-03 09:57:17.111"</f>
        <v>2025-02-03 09:57:17.111</v>
      </c>
      <c r="H1988" t="s">
        <v>64</v>
      </c>
      <c r="I1988">
        <v>-0.43</v>
      </c>
      <c r="J1988" t="s">
        <v>27</v>
      </c>
    </row>
    <row r="1989" spans="1:10" x14ac:dyDescent="0.25">
      <c r="A1989" s="1">
        <v>72</v>
      </c>
      <c r="B1989" t="s">
        <v>23</v>
      </c>
      <c r="C1989">
        <v>635</v>
      </c>
      <c r="D1989">
        <v>1</v>
      </c>
      <c r="E1989" t="s">
        <v>24</v>
      </c>
      <c r="F1989" t="s">
        <v>25</v>
      </c>
      <c r="G1989" t="str">
        <f>"2025-02-02 16:27:16.514"</f>
        <v>2025-02-02 16:27:16.514</v>
      </c>
      <c r="H1989" t="s">
        <v>21</v>
      </c>
    </row>
    <row r="1990" spans="1:10" x14ac:dyDescent="0.25">
      <c r="A1990" s="1">
        <v>73</v>
      </c>
      <c r="B1990" t="s">
        <v>26</v>
      </c>
      <c r="C1990">
        <v>635</v>
      </c>
      <c r="D1990">
        <v>1</v>
      </c>
      <c r="E1990" t="s">
        <v>24</v>
      </c>
      <c r="F1990" t="s">
        <v>25</v>
      </c>
      <c r="G1990" t="str">
        <f>"2025-02-02 16:02:48.615"</f>
        <v>2025-02-02 16:02:48.615</v>
      </c>
      <c r="H1990" t="s">
        <v>21</v>
      </c>
      <c r="I1990">
        <v>7.6</v>
      </c>
      <c r="J1990" t="s">
        <v>27</v>
      </c>
    </row>
    <row r="1991" spans="1:10" x14ac:dyDescent="0.25">
      <c r="A1991" s="1">
        <v>74</v>
      </c>
      <c r="B1991" t="s">
        <v>19</v>
      </c>
      <c r="C1991">
        <v>776</v>
      </c>
      <c r="D1991">
        <v>2</v>
      </c>
      <c r="E1991" t="s">
        <v>111</v>
      </c>
      <c r="F1991" t="s">
        <v>112</v>
      </c>
      <c r="G1991" t="str">
        <f>"2025-02-02 10:14:45.151"</f>
        <v>2025-02-02 10:14:45.151</v>
      </c>
      <c r="H1991" t="s">
        <v>21</v>
      </c>
      <c r="I1991">
        <v>0</v>
      </c>
      <c r="J1991" t="s">
        <v>34</v>
      </c>
    </row>
    <row r="1992" spans="1:10" x14ac:dyDescent="0.25">
      <c r="A1992" s="1">
        <v>75</v>
      </c>
      <c r="B1992" t="s">
        <v>19</v>
      </c>
      <c r="C1992">
        <v>776</v>
      </c>
      <c r="D1992">
        <v>1</v>
      </c>
      <c r="E1992" t="s">
        <v>111</v>
      </c>
      <c r="F1992" t="s">
        <v>113</v>
      </c>
      <c r="G1992" t="str">
        <f>"2025-02-02 10:14:43.731"</f>
        <v>2025-02-02 10:14:43.731</v>
      </c>
      <c r="H1992" t="s">
        <v>21</v>
      </c>
      <c r="I1992">
        <v>0</v>
      </c>
      <c r="J1992" t="s">
        <v>34</v>
      </c>
    </row>
    <row r="1993" spans="1:10" x14ac:dyDescent="0.25">
      <c r="A1993" s="1">
        <v>76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"2025-02-02 10:14:34.556"</f>
        <v>2025-02-02 10:14:34.556</v>
      </c>
      <c r="H1993" t="s">
        <v>21</v>
      </c>
      <c r="I1993">
        <v>0</v>
      </c>
      <c r="J1993" t="s">
        <v>22</v>
      </c>
    </row>
    <row r="1994" spans="1:10" x14ac:dyDescent="0.25">
      <c r="A1994" s="1">
        <v>77</v>
      </c>
      <c r="B1994" t="s">
        <v>50</v>
      </c>
      <c r="C1994">
        <v>128</v>
      </c>
      <c r="D1994">
        <v>4</v>
      </c>
      <c r="E1994" t="s">
        <v>92</v>
      </c>
      <c r="F1994" t="s">
        <v>93</v>
      </c>
      <c r="G1994" t="str">
        <f>"2025-02-02 09:57:12.962"</f>
        <v>2025-02-02 09:57:12.962</v>
      </c>
      <c r="H1994" t="s">
        <v>49</v>
      </c>
    </row>
    <row r="1995" spans="1:10" x14ac:dyDescent="0.25">
      <c r="A1995" s="1">
        <v>78</v>
      </c>
      <c r="B1995" t="s">
        <v>43</v>
      </c>
      <c r="C1995">
        <v>235</v>
      </c>
      <c r="D1995">
        <v>4</v>
      </c>
      <c r="E1995" t="s">
        <v>90</v>
      </c>
      <c r="F1995" t="s">
        <v>56</v>
      </c>
      <c r="G1995" t="str">
        <f>"2025-02-02 09:57:12.508"</f>
        <v>2025-02-02 09:57:12.508</v>
      </c>
      <c r="H1995" t="s">
        <v>64</v>
      </c>
    </row>
    <row r="1996" spans="1:10" x14ac:dyDescent="0.25">
      <c r="A1996" s="1">
        <v>79</v>
      </c>
      <c r="B1996" t="s">
        <v>39</v>
      </c>
      <c r="C1996">
        <v>128</v>
      </c>
      <c r="D1996">
        <v>4</v>
      </c>
      <c r="E1996" t="s">
        <v>92</v>
      </c>
      <c r="F1996" t="s">
        <v>93</v>
      </c>
      <c r="G1996" t="str">
        <f>"2025-02-02 09:57:09.727"</f>
        <v>2025-02-02 09:57:09.727</v>
      </c>
      <c r="H1996" t="s">
        <v>49</v>
      </c>
      <c r="I1996">
        <v>6.43</v>
      </c>
      <c r="J1996" t="s">
        <v>27</v>
      </c>
    </row>
    <row r="1997" spans="1:10" x14ac:dyDescent="0.25">
      <c r="A1997" s="1">
        <v>80</v>
      </c>
      <c r="B1997" t="s">
        <v>39</v>
      </c>
      <c r="C1997">
        <v>235</v>
      </c>
      <c r="D1997">
        <v>4</v>
      </c>
      <c r="E1997" t="s">
        <v>90</v>
      </c>
      <c r="F1997" t="s">
        <v>56</v>
      </c>
      <c r="G1997" t="str">
        <f>"2025-02-02 09:57:07.427"</f>
        <v>2025-02-02 09:57:07.427</v>
      </c>
      <c r="H1997" t="s">
        <v>64</v>
      </c>
      <c r="I1997">
        <v>8.25</v>
      </c>
      <c r="J1997" t="s">
        <v>27</v>
      </c>
    </row>
    <row r="1998" spans="1:10" x14ac:dyDescent="0.25">
      <c r="A1998" s="1">
        <v>81</v>
      </c>
      <c r="B1998" t="s">
        <v>23</v>
      </c>
      <c r="C1998">
        <v>14</v>
      </c>
      <c r="D1998">
        <v>10</v>
      </c>
      <c r="E1998" t="s">
        <v>98</v>
      </c>
      <c r="F1998" t="s">
        <v>99</v>
      </c>
      <c r="G1998" t="str">
        <f>"2025-02-01 22:39:14.322"</f>
        <v>2025-02-01 22:39:14.322</v>
      </c>
      <c r="H1998" t="s">
        <v>38</v>
      </c>
    </row>
    <row r="1999" spans="1:10" s="3" customFormat="1" x14ac:dyDescent="0.25">
      <c r="A1999" s="2">
        <v>82</v>
      </c>
      <c r="B1999" s="3" t="s">
        <v>23</v>
      </c>
      <c r="C1999" s="3">
        <v>647</v>
      </c>
      <c r="D1999" s="3">
        <v>1</v>
      </c>
      <c r="E1999" s="3" t="s">
        <v>29</v>
      </c>
      <c r="F1999" s="3" t="s">
        <v>30</v>
      </c>
      <c r="G1999" s="3" t="str">
        <f>"2025-02-01 22:39:00.510"</f>
        <v>2025-02-01 22:39:00.510</v>
      </c>
      <c r="H1999" s="3" t="s">
        <v>21</v>
      </c>
    </row>
    <row r="2000" spans="1:10" x14ac:dyDescent="0.25">
      <c r="A2000" s="1">
        <v>83</v>
      </c>
      <c r="B2000" t="s">
        <v>50</v>
      </c>
      <c r="C2000">
        <v>105</v>
      </c>
      <c r="D2000">
        <v>3</v>
      </c>
      <c r="E2000" t="s">
        <v>102</v>
      </c>
      <c r="F2000" t="s">
        <v>101</v>
      </c>
      <c r="G2000" t="str">
        <f>"2025-02-01 22:38:59.064"</f>
        <v>2025-02-01 22:38:59.064</v>
      </c>
      <c r="H2000" t="s">
        <v>49</v>
      </c>
    </row>
    <row r="2001" spans="1:10" x14ac:dyDescent="0.25">
      <c r="A2001" s="1">
        <v>84</v>
      </c>
      <c r="B2001" t="s">
        <v>50</v>
      </c>
      <c r="C2001">
        <v>23</v>
      </c>
      <c r="D2001">
        <v>1</v>
      </c>
      <c r="E2001" t="s">
        <v>96</v>
      </c>
      <c r="F2001" t="s">
        <v>97</v>
      </c>
      <c r="G2001" t="str">
        <f>"2025-02-01 22:38:59.062"</f>
        <v>2025-02-01 22:38:59.062</v>
      </c>
      <c r="H2001" t="s">
        <v>73</v>
      </c>
    </row>
    <row r="2002" spans="1:10" x14ac:dyDescent="0.25">
      <c r="A2002" s="1">
        <v>85</v>
      </c>
      <c r="B2002" t="s">
        <v>39</v>
      </c>
      <c r="C2002">
        <v>105</v>
      </c>
      <c r="D2002">
        <v>3</v>
      </c>
      <c r="E2002" t="s">
        <v>102</v>
      </c>
      <c r="F2002" t="s">
        <v>101</v>
      </c>
      <c r="G2002" t="str">
        <f>"2025-02-01 22:38:58.187"</f>
        <v>2025-02-01 22:38:58.187</v>
      </c>
      <c r="H2002" t="s">
        <v>49</v>
      </c>
      <c r="I2002">
        <v>4.16</v>
      </c>
      <c r="J2002" t="s">
        <v>28</v>
      </c>
    </row>
    <row r="2003" spans="1:10" x14ac:dyDescent="0.25">
      <c r="A2003" s="1">
        <v>86</v>
      </c>
      <c r="B2003" t="s">
        <v>43</v>
      </c>
      <c r="C2003">
        <v>105</v>
      </c>
      <c r="D2003">
        <v>3</v>
      </c>
      <c r="E2003" t="s">
        <v>102</v>
      </c>
      <c r="F2003" t="s">
        <v>101</v>
      </c>
      <c r="G2003" t="str">
        <f>"2025-02-01 22:38:58.108"</f>
        <v>2025-02-01 22:38:58.108</v>
      </c>
      <c r="H2003" t="s">
        <v>49</v>
      </c>
    </row>
    <row r="2004" spans="1:10" x14ac:dyDescent="0.25">
      <c r="A2004" s="1">
        <v>87</v>
      </c>
      <c r="B2004" t="s">
        <v>43</v>
      </c>
      <c r="C2004">
        <v>205</v>
      </c>
      <c r="D2004">
        <v>3</v>
      </c>
      <c r="E2004" t="s">
        <v>100</v>
      </c>
      <c r="F2004" t="s">
        <v>101</v>
      </c>
      <c r="G2004" t="str">
        <f>"2025-02-01 22:38:58.017"</f>
        <v>2025-02-01 22:38:58.017</v>
      </c>
      <c r="H2004" t="s">
        <v>64</v>
      </c>
    </row>
    <row r="2005" spans="1:10" x14ac:dyDescent="0.25">
      <c r="A2005" s="1">
        <v>88</v>
      </c>
      <c r="B2005" t="s">
        <v>43</v>
      </c>
      <c r="C2005">
        <v>104</v>
      </c>
      <c r="D2005">
        <v>8</v>
      </c>
      <c r="E2005" t="s">
        <v>108</v>
      </c>
      <c r="F2005" t="s">
        <v>104</v>
      </c>
      <c r="G2005" t="str">
        <f>"2025-02-01 22:38:58.015"</f>
        <v>2025-02-01 22:38:58.015</v>
      </c>
      <c r="H2005" t="s">
        <v>49</v>
      </c>
    </row>
    <row r="2006" spans="1:10" x14ac:dyDescent="0.25">
      <c r="A2006" s="1">
        <v>89</v>
      </c>
      <c r="B2006" t="s">
        <v>43</v>
      </c>
      <c r="C2006">
        <v>104</v>
      </c>
      <c r="D2006">
        <v>6</v>
      </c>
      <c r="E2006" t="s">
        <v>108</v>
      </c>
      <c r="F2006" t="s">
        <v>105</v>
      </c>
      <c r="G2006" t="str">
        <f>"2025-02-01 22:38:58.013"</f>
        <v>2025-02-01 22:38:58.013</v>
      </c>
      <c r="H2006" t="s">
        <v>49</v>
      </c>
    </row>
    <row r="2007" spans="1:10" x14ac:dyDescent="0.25">
      <c r="A2007" s="1">
        <v>90</v>
      </c>
      <c r="B2007" t="s">
        <v>43</v>
      </c>
      <c r="C2007">
        <v>104</v>
      </c>
      <c r="D2007">
        <v>5</v>
      </c>
      <c r="E2007" t="s">
        <v>108</v>
      </c>
      <c r="F2007" t="s">
        <v>106</v>
      </c>
      <c r="G2007" t="str">
        <f>"2025-02-01 22:38:58.011"</f>
        <v>2025-02-01 22:38:58.011</v>
      </c>
      <c r="H2007" t="s">
        <v>49</v>
      </c>
    </row>
    <row r="2008" spans="1:10" x14ac:dyDescent="0.25">
      <c r="A2008" s="1">
        <v>91</v>
      </c>
      <c r="B2008" t="s">
        <v>43</v>
      </c>
      <c r="C2008">
        <v>104</v>
      </c>
      <c r="D2008">
        <v>1</v>
      </c>
      <c r="E2008" t="s">
        <v>108</v>
      </c>
      <c r="F2008" t="s">
        <v>107</v>
      </c>
      <c r="G2008" t="str">
        <f>"2025-02-01 22:38:58.008"</f>
        <v>2025-02-01 22:38:58.008</v>
      </c>
      <c r="H2008" t="s">
        <v>49</v>
      </c>
    </row>
    <row r="2009" spans="1:10" x14ac:dyDescent="0.25">
      <c r="A2009" s="1">
        <v>92</v>
      </c>
      <c r="B2009" t="s">
        <v>43</v>
      </c>
      <c r="C2009">
        <v>204</v>
      </c>
      <c r="D2009">
        <v>8</v>
      </c>
      <c r="E2009" t="s">
        <v>103</v>
      </c>
      <c r="F2009" t="s">
        <v>104</v>
      </c>
      <c r="G2009" t="str">
        <f>"2025-02-01 22:38:57.815"</f>
        <v>2025-02-01 22:38:57.815</v>
      </c>
      <c r="H2009" t="s">
        <v>64</v>
      </c>
    </row>
    <row r="2010" spans="1:10" x14ac:dyDescent="0.25">
      <c r="A2010" s="1">
        <v>93</v>
      </c>
      <c r="B2010" t="s">
        <v>43</v>
      </c>
      <c r="C2010">
        <v>204</v>
      </c>
      <c r="D2010">
        <v>6</v>
      </c>
      <c r="E2010" t="s">
        <v>103</v>
      </c>
      <c r="F2010" t="s">
        <v>105</v>
      </c>
      <c r="G2010" t="str">
        <f>"2025-02-01 22:38:57.813"</f>
        <v>2025-02-01 22:38:57.813</v>
      </c>
      <c r="H2010" t="s">
        <v>64</v>
      </c>
    </row>
    <row r="2011" spans="1:10" x14ac:dyDescent="0.25">
      <c r="A2011" s="1">
        <v>94</v>
      </c>
      <c r="B2011" t="s">
        <v>43</v>
      </c>
      <c r="C2011">
        <v>204</v>
      </c>
      <c r="D2011">
        <v>5</v>
      </c>
      <c r="E2011" t="s">
        <v>103</v>
      </c>
      <c r="F2011" t="s">
        <v>106</v>
      </c>
      <c r="G2011" t="str">
        <f>"2025-02-01 22:38:57.811"</f>
        <v>2025-02-01 22:38:57.811</v>
      </c>
      <c r="H2011" t="s">
        <v>64</v>
      </c>
    </row>
    <row r="2012" spans="1:10" x14ac:dyDescent="0.25">
      <c r="A2012" s="1">
        <v>95</v>
      </c>
      <c r="B2012" t="s">
        <v>43</v>
      </c>
      <c r="C2012">
        <v>204</v>
      </c>
      <c r="D2012">
        <v>1</v>
      </c>
      <c r="E2012" t="s">
        <v>103</v>
      </c>
      <c r="F2012" t="s">
        <v>107</v>
      </c>
      <c r="G2012" t="str">
        <f>"2025-02-01 22:38:57.808"</f>
        <v>2025-02-01 22:38:57.808</v>
      </c>
      <c r="H2012" t="s">
        <v>64</v>
      </c>
    </row>
    <row r="2013" spans="1:10" s="3" customFormat="1" x14ac:dyDescent="0.25">
      <c r="A2013" s="2">
        <v>96</v>
      </c>
      <c r="B2013" s="3" t="s">
        <v>26</v>
      </c>
      <c r="C2013" s="3">
        <v>647</v>
      </c>
      <c r="D2013" s="3">
        <v>1</v>
      </c>
      <c r="E2013" s="3" t="s">
        <v>29</v>
      </c>
      <c r="F2013" s="3" t="s">
        <v>30</v>
      </c>
      <c r="G2013" s="3" t="str">
        <f>"2025-02-01 22:38:55.110"</f>
        <v>2025-02-01 22:38:55.110</v>
      </c>
      <c r="H2013" s="3" t="s">
        <v>21</v>
      </c>
      <c r="I2013" s="3">
        <v>16.73</v>
      </c>
      <c r="J2013" s="3" t="s">
        <v>28</v>
      </c>
    </row>
    <row r="2014" spans="1:10" x14ac:dyDescent="0.25">
      <c r="A2014" s="1">
        <v>97</v>
      </c>
      <c r="B2014" t="s">
        <v>26</v>
      </c>
      <c r="C2014">
        <v>14</v>
      </c>
      <c r="D2014">
        <v>10</v>
      </c>
      <c r="E2014" t="s">
        <v>98</v>
      </c>
      <c r="F2014" t="s">
        <v>99</v>
      </c>
      <c r="G2014" t="str">
        <f>"2025-02-01 22:38:53.270"</f>
        <v>2025-02-01 22:38:53.270</v>
      </c>
      <c r="H2014" t="s">
        <v>38</v>
      </c>
      <c r="I2014">
        <v>20.34</v>
      </c>
      <c r="J2014" t="s">
        <v>31</v>
      </c>
    </row>
    <row r="2015" spans="1:10" x14ac:dyDescent="0.25">
      <c r="A2015" s="1">
        <v>98</v>
      </c>
      <c r="B2015" t="s">
        <v>39</v>
      </c>
      <c r="C2015">
        <v>105</v>
      </c>
      <c r="D2015">
        <v>3</v>
      </c>
      <c r="E2015" t="s">
        <v>102</v>
      </c>
      <c r="F2015" t="s">
        <v>101</v>
      </c>
      <c r="G2015" t="str">
        <f>"2025-02-01 22:38:53.001"</f>
        <v>2025-02-01 22:38:53.001</v>
      </c>
      <c r="H2015" t="s">
        <v>49</v>
      </c>
      <c r="I2015">
        <v>20.329999999999998</v>
      </c>
      <c r="J2015" t="s">
        <v>31</v>
      </c>
    </row>
    <row r="2016" spans="1:10" x14ac:dyDescent="0.25">
      <c r="A2016" s="1">
        <v>99</v>
      </c>
      <c r="B2016" t="s">
        <v>39</v>
      </c>
      <c r="C2016">
        <v>104</v>
      </c>
      <c r="D2016">
        <v>8</v>
      </c>
      <c r="E2016" t="s">
        <v>108</v>
      </c>
      <c r="F2016" t="s">
        <v>104</v>
      </c>
      <c r="G2016" t="str">
        <f>"2025-02-01 22:38:52.996"</f>
        <v>2025-02-01 22:38:52.996</v>
      </c>
      <c r="H2016" t="s">
        <v>49</v>
      </c>
      <c r="I2016">
        <v>20.329999999999998</v>
      </c>
      <c r="J2016" t="s">
        <v>31</v>
      </c>
    </row>
    <row r="2017" spans="1:10" x14ac:dyDescent="0.25">
      <c r="A2017" s="1">
        <v>100</v>
      </c>
      <c r="B2017" t="s">
        <v>39</v>
      </c>
      <c r="C2017">
        <v>104</v>
      </c>
      <c r="D2017">
        <v>6</v>
      </c>
      <c r="E2017" t="s">
        <v>108</v>
      </c>
      <c r="F2017" t="s">
        <v>105</v>
      </c>
      <c r="G2017" t="str">
        <f>"2025-02-01 22:38:52.992"</f>
        <v>2025-02-01 22:38:52.992</v>
      </c>
      <c r="H2017" t="s">
        <v>49</v>
      </c>
      <c r="I2017">
        <v>20.329999999999998</v>
      </c>
      <c r="J2017" t="s">
        <v>31</v>
      </c>
    </row>
    <row r="2018" spans="1:10" x14ac:dyDescent="0.25">
      <c r="A2018" s="1">
        <v>101</v>
      </c>
      <c r="B2018" t="s">
        <v>39</v>
      </c>
      <c r="C2018">
        <v>104</v>
      </c>
      <c r="D2018">
        <v>5</v>
      </c>
      <c r="E2018" t="s">
        <v>108</v>
      </c>
      <c r="F2018" t="s">
        <v>106</v>
      </c>
      <c r="G2018" t="str">
        <f>"2025-02-01 22:38:52.987"</f>
        <v>2025-02-01 22:38:52.987</v>
      </c>
      <c r="H2018" t="s">
        <v>49</v>
      </c>
      <c r="I2018">
        <v>20.329999999999998</v>
      </c>
      <c r="J2018" t="s">
        <v>31</v>
      </c>
    </row>
    <row r="2019" spans="1:10" x14ac:dyDescent="0.25">
      <c r="A2019" s="1">
        <v>102</v>
      </c>
      <c r="B2019" t="s">
        <v>39</v>
      </c>
      <c r="C2019">
        <v>205</v>
      </c>
      <c r="D2019">
        <v>3</v>
      </c>
      <c r="E2019" t="s">
        <v>100</v>
      </c>
      <c r="F2019" t="s">
        <v>101</v>
      </c>
      <c r="G2019" t="str">
        <f>"2025-02-01 22:38:52.927"</f>
        <v>2025-02-01 22:38:52.927</v>
      </c>
      <c r="H2019" t="s">
        <v>64</v>
      </c>
      <c r="I2019">
        <v>20.32</v>
      </c>
      <c r="J2019" t="s">
        <v>31</v>
      </c>
    </row>
    <row r="2020" spans="1:10" x14ac:dyDescent="0.25">
      <c r="A2020" s="1">
        <v>103</v>
      </c>
      <c r="B2020" t="s">
        <v>39</v>
      </c>
      <c r="C2020">
        <v>204</v>
      </c>
      <c r="D2020">
        <v>8</v>
      </c>
      <c r="E2020" t="s">
        <v>103</v>
      </c>
      <c r="F2020" t="s">
        <v>104</v>
      </c>
      <c r="G2020" t="str">
        <f>"2025-02-01 22:38:52.736"</f>
        <v>2025-02-01 22:38:52.736</v>
      </c>
      <c r="H2020" t="s">
        <v>64</v>
      </c>
      <c r="I2020">
        <v>20.309999999999999</v>
      </c>
      <c r="J2020" t="s">
        <v>31</v>
      </c>
    </row>
    <row r="2021" spans="1:10" x14ac:dyDescent="0.25">
      <c r="A2021" s="1">
        <v>104</v>
      </c>
      <c r="B2021" t="s">
        <v>39</v>
      </c>
      <c r="C2021">
        <v>204</v>
      </c>
      <c r="D2021">
        <v>6</v>
      </c>
      <c r="E2021" t="s">
        <v>103</v>
      </c>
      <c r="F2021" t="s">
        <v>105</v>
      </c>
      <c r="G2021" t="str">
        <f>"2025-02-01 22:38:52.732"</f>
        <v>2025-02-01 22:38:52.732</v>
      </c>
      <c r="H2021" t="s">
        <v>64</v>
      </c>
      <c r="I2021">
        <v>20.309999999999999</v>
      </c>
      <c r="J2021" t="s">
        <v>31</v>
      </c>
    </row>
    <row r="2022" spans="1:10" x14ac:dyDescent="0.25">
      <c r="A2022" s="1">
        <v>105</v>
      </c>
      <c r="B2022" t="s">
        <v>39</v>
      </c>
      <c r="C2022">
        <v>204</v>
      </c>
      <c r="D2022">
        <v>5</v>
      </c>
      <c r="E2022" t="s">
        <v>103</v>
      </c>
      <c r="F2022" t="s">
        <v>106</v>
      </c>
      <c r="G2022" t="str">
        <f>"2025-02-01 22:38:52.727"</f>
        <v>2025-02-01 22:38:52.727</v>
      </c>
      <c r="H2022" t="s">
        <v>64</v>
      </c>
      <c r="I2022">
        <v>20.309999999999999</v>
      </c>
      <c r="J2022" t="s">
        <v>31</v>
      </c>
    </row>
    <row r="2023" spans="1:10" x14ac:dyDescent="0.25">
      <c r="A2023" s="1">
        <v>106</v>
      </c>
      <c r="B2023" t="s">
        <v>39</v>
      </c>
      <c r="C2023">
        <v>23</v>
      </c>
      <c r="D2023">
        <v>1</v>
      </c>
      <c r="E2023" t="s">
        <v>96</v>
      </c>
      <c r="F2023" t="s">
        <v>97</v>
      </c>
      <c r="G2023" t="str">
        <f>"2025-02-01 22:38:52.502"</f>
        <v>2025-02-01 22:38:52.502</v>
      </c>
      <c r="H2023" t="s">
        <v>73</v>
      </c>
      <c r="I2023">
        <v>20.28</v>
      </c>
      <c r="J2023" t="s">
        <v>31</v>
      </c>
    </row>
    <row r="2024" spans="1:10" x14ac:dyDescent="0.25">
      <c r="A2024" s="1">
        <v>107</v>
      </c>
      <c r="B2024" t="s">
        <v>39</v>
      </c>
      <c r="C2024">
        <v>204</v>
      </c>
      <c r="D2024">
        <v>1</v>
      </c>
      <c r="E2024" t="s">
        <v>103</v>
      </c>
      <c r="F2024" t="s">
        <v>107</v>
      </c>
      <c r="G2024" t="str">
        <f>"2025-02-01 22:38:52.427"</f>
        <v>2025-02-01 22:38:52.427</v>
      </c>
      <c r="H2024" t="s">
        <v>64</v>
      </c>
      <c r="I2024">
        <v>20.27</v>
      </c>
      <c r="J2024" t="s">
        <v>31</v>
      </c>
    </row>
    <row r="2025" spans="1:10" x14ac:dyDescent="0.25">
      <c r="A2025" s="1">
        <v>108</v>
      </c>
      <c r="B2025" t="s">
        <v>39</v>
      </c>
      <c r="C2025">
        <v>104</v>
      </c>
      <c r="D2025">
        <v>1</v>
      </c>
      <c r="E2025" t="s">
        <v>108</v>
      </c>
      <c r="F2025" t="s">
        <v>107</v>
      </c>
      <c r="G2025" t="str">
        <f>"2025-02-01 22:38:52.407"</f>
        <v>2025-02-01 22:38:52.407</v>
      </c>
      <c r="H2025" t="s">
        <v>49</v>
      </c>
      <c r="I2025">
        <v>20.260000000000002</v>
      </c>
      <c r="J2025" t="s">
        <v>31</v>
      </c>
    </row>
    <row r="2026" spans="1:10" x14ac:dyDescent="0.25">
      <c r="A2026" s="1">
        <v>109</v>
      </c>
      <c r="B2026" t="s">
        <v>19</v>
      </c>
      <c r="C2026">
        <v>706</v>
      </c>
      <c r="D2026">
        <v>4</v>
      </c>
      <c r="E2026" t="s">
        <v>32</v>
      </c>
      <c r="F2026" t="s">
        <v>33</v>
      </c>
      <c r="G2026" t="str">
        <f>"2025-02-01 22:38:52.313"</f>
        <v>2025-02-01 22:38:52.313</v>
      </c>
      <c r="H2026" t="s">
        <v>21</v>
      </c>
      <c r="I2026">
        <v>20.239999999999998</v>
      </c>
      <c r="J2026" t="s">
        <v>31</v>
      </c>
    </row>
    <row r="2027" spans="1:10" x14ac:dyDescent="0.25">
      <c r="A2027" s="1">
        <v>110</v>
      </c>
      <c r="B2027" t="s">
        <v>43</v>
      </c>
      <c r="C2027">
        <v>235</v>
      </c>
      <c r="D2027">
        <v>4</v>
      </c>
      <c r="E2027" t="s">
        <v>90</v>
      </c>
      <c r="F2027" t="s">
        <v>56</v>
      </c>
      <c r="G2027" t="str">
        <f>"2025-02-01 18:58:41.208"</f>
        <v>2025-02-01 18:58:41.208</v>
      </c>
      <c r="H2027" t="s">
        <v>64</v>
      </c>
    </row>
    <row r="2028" spans="1:10" x14ac:dyDescent="0.25">
      <c r="A2028" s="1">
        <v>111</v>
      </c>
      <c r="B2028" t="s">
        <v>39</v>
      </c>
      <c r="C2028">
        <v>235</v>
      </c>
      <c r="D2028">
        <v>4</v>
      </c>
      <c r="E2028" t="s">
        <v>90</v>
      </c>
      <c r="F2028" t="s">
        <v>56</v>
      </c>
      <c r="G2028" t="str">
        <f>"2025-02-01 18:58:36.147"</f>
        <v>2025-02-01 18:58:36.147</v>
      </c>
      <c r="H2028" t="s">
        <v>64</v>
      </c>
      <c r="I2028">
        <v>6.55</v>
      </c>
      <c r="J2028" t="s">
        <v>27</v>
      </c>
    </row>
    <row r="2029" spans="1:10" x14ac:dyDescent="0.25">
      <c r="A2029" s="1">
        <v>112</v>
      </c>
      <c r="B2029" t="s">
        <v>23</v>
      </c>
      <c r="C2029">
        <v>635</v>
      </c>
      <c r="D2029">
        <v>1</v>
      </c>
      <c r="E2029" t="s">
        <v>24</v>
      </c>
      <c r="F2029" t="s">
        <v>25</v>
      </c>
      <c r="G2029" t="str">
        <f>"2025-02-01 09:44:17.842"</f>
        <v>2025-02-01 09:44:17.842</v>
      </c>
      <c r="H2029" t="s">
        <v>21</v>
      </c>
    </row>
    <row r="2030" spans="1:10" x14ac:dyDescent="0.25">
      <c r="A2030" s="1">
        <v>113</v>
      </c>
      <c r="B2030" t="s">
        <v>26</v>
      </c>
      <c r="C2030">
        <v>635</v>
      </c>
      <c r="D2030">
        <v>1</v>
      </c>
      <c r="E2030" t="s">
        <v>24</v>
      </c>
      <c r="F2030" t="s">
        <v>25</v>
      </c>
      <c r="G2030" t="str">
        <f>"2025-02-01 09:40:27.842"</f>
        <v>2025-02-01 09:40:27.842</v>
      </c>
      <c r="H2030" t="s">
        <v>21</v>
      </c>
      <c r="I2030">
        <v>4.53</v>
      </c>
      <c r="J2030" t="s">
        <v>27</v>
      </c>
    </row>
    <row r="2031" spans="1:10" x14ac:dyDescent="0.25">
      <c r="A2031" s="1">
        <v>114</v>
      </c>
      <c r="B2031" t="s">
        <v>23</v>
      </c>
      <c r="C2031">
        <v>619</v>
      </c>
      <c r="D2031">
        <v>1</v>
      </c>
      <c r="E2031" t="s">
        <v>60</v>
      </c>
      <c r="F2031" t="s">
        <v>25</v>
      </c>
      <c r="G2031" t="str">
        <f>"2025-01-31 17:50:21.390"</f>
        <v>2025-01-31 17:50:21.390</v>
      </c>
      <c r="H2031" t="s">
        <v>61</v>
      </c>
    </row>
    <row r="2032" spans="1:10" x14ac:dyDescent="0.25">
      <c r="A2032" s="1">
        <v>115</v>
      </c>
      <c r="B2032" t="s">
        <v>23</v>
      </c>
      <c r="C2032">
        <v>630</v>
      </c>
      <c r="D2032">
        <v>5</v>
      </c>
      <c r="E2032" t="s">
        <v>36</v>
      </c>
      <c r="F2032" t="s">
        <v>37</v>
      </c>
      <c r="G2032" t="str">
        <f>"2025-01-31 17:49:58.490"</f>
        <v>2025-01-31 17:49:58.490</v>
      </c>
      <c r="H2032" t="s">
        <v>38</v>
      </c>
    </row>
    <row r="2033" spans="1:10" x14ac:dyDescent="0.25">
      <c r="A2033" s="1">
        <v>116</v>
      </c>
      <c r="B2033" t="s">
        <v>26</v>
      </c>
      <c r="C2033">
        <v>619</v>
      </c>
      <c r="D2033">
        <v>1</v>
      </c>
      <c r="E2033" t="s">
        <v>60</v>
      </c>
      <c r="F2033" t="s">
        <v>25</v>
      </c>
      <c r="G2033" t="str">
        <f>"2025-01-31 17:49:33.290"</f>
        <v>2025-01-31 17:49:33.290</v>
      </c>
      <c r="H2033" t="s">
        <v>61</v>
      </c>
      <c r="I2033">
        <v>0</v>
      </c>
      <c r="J2033" t="s">
        <v>34</v>
      </c>
    </row>
    <row r="2034" spans="1:10" x14ac:dyDescent="0.25">
      <c r="A2034" s="1">
        <v>117</v>
      </c>
      <c r="B2034" t="s">
        <v>19</v>
      </c>
      <c r="C2034">
        <v>706</v>
      </c>
      <c r="D2034">
        <v>2</v>
      </c>
      <c r="E2034" t="s">
        <v>32</v>
      </c>
      <c r="F2034" t="s">
        <v>35</v>
      </c>
      <c r="G2034" t="str">
        <f>"2025-01-31 17:49:28.293"</f>
        <v>2025-01-31 17:49:28.293</v>
      </c>
      <c r="H2034" t="s">
        <v>21</v>
      </c>
      <c r="I2034">
        <v>0</v>
      </c>
      <c r="J2034" t="s">
        <v>34</v>
      </c>
    </row>
    <row r="2035" spans="1:10" x14ac:dyDescent="0.25">
      <c r="A2035" s="1">
        <v>118</v>
      </c>
      <c r="B2035" t="s">
        <v>39</v>
      </c>
      <c r="C2035">
        <v>630</v>
      </c>
      <c r="D2035">
        <v>5</v>
      </c>
      <c r="E2035" t="s">
        <v>36</v>
      </c>
      <c r="F2035" t="s">
        <v>37</v>
      </c>
      <c r="G2035" t="str">
        <f>"2025-01-31 16:17:48.990"</f>
        <v>2025-01-31 16:17:48.990</v>
      </c>
      <c r="H2035" t="s">
        <v>38</v>
      </c>
      <c r="I2035">
        <v>0</v>
      </c>
      <c r="J2035" t="s">
        <v>34</v>
      </c>
    </row>
    <row r="2036" spans="1:10" x14ac:dyDescent="0.25">
      <c r="A2036" s="1">
        <v>119</v>
      </c>
      <c r="B2036" t="s">
        <v>23</v>
      </c>
      <c r="C2036">
        <v>630</v>
      </c>
      <c r="D2036">
        <v>5</v>
      </c>
      <c r="E2036" t="s">
        <v>36</v>
      </c>
      <c r="F2036" t="s">
        <v>37</v>
      </c>
      <c r="G2036" t="str">
        <f>"2025-01-31 16:07:16.190"</f>
        <v>2025-01-31 16:07:16.190</v>
      </c>
      <c r="H2036" t="s">
        <v>38</v>
      </c>
    </row>
    <row r="2037" spans="1:10" x14ac:dyDescent="0.25">
      <c r="A2037" s="1">
        <v>120</v>
      </c>
      <c r="B2037" t="s">
        <v>50</v>
      </c>
      <c r="C2037">
        <v>47</v>
      </c>
      <c r="D2037">
        <v>2</v>
      </c>
      <c r="E2037" t="s">
        <v>71</v>
      </c>
      <c r="F2037" t="s">
        <v>72</v>
      </c>
      <c r="G2037" t="str">
        <f>"2025-01-31 16:06:51.902"</f>
        <v>2025-01-31 16:06:51.902</v>
      </c>
      <c r="H2037" t="s">
        <v>73</v>
      </c>
    </row>
    <row r="2038" spans="1:10" x14ac:dyDescent="0.25">
      <c r="A2038" s="1">
        <v>121</v>
      </c>
      <c r="B2038" t="s">
        <v>19</v>
      </c>
      <c r="C2038">
        <v>706</v>
      </c>
      <c r="D2038">
        <v>4</v>
      </c>
      <c r="E2038" t="s">
        <v>32</v>
      </c>
      <c r="F2038" t="s">
        <v>33</v>
      </c>
      <c r="G2038" t="str">
        <f>"2025-01-31 16:06:46.103"</f>
        <v>2025-01-31 16:06:46.103</v>
      </c>
      <c r="H2038" t="s">
        <v>21</v>
      </c>
      <c r="I2038">
        <v>0</v>
      </c>
      <c r="J2038" t="s">
        <v>34</v>
      </c>
    </row>
    <row r="2039" spans="1:10" x14ac:dyDescent="0.25">
      <c r="A2039" s="1">
        <v>122</v>
      </c>
      <c r="B2039" t="s">
        <v>39</v>
      </c>
      <c r="C2039">
        <v>47</v>
      </c>
      <c r="D2039">
        <v>2</v>
      </c>
      <c r="E2039" t="s">
        <v>71</v>
      </c>
      <c r="F2039" t="s">
        <v>72</v>
      </c>
      <c r="G2039" t="str">
        <f>"2025-01-31 16:06:38.803"</f>
        <v>2025-01-31 16:06:38.803</v>
      </c>
      <c r="H2039" t="s">
        <v>73</v>
      </c>
      <c r="I2039">
        <v>0</v>
      </c>
      <c r="J2039" t="s">
        <v>34</v>
      </c>
    </row>
    <row r="2040" spans="1:10" x14ac:dyDescent="0.25">
      <c r="A2040" s="1">
        <v>123</v>
      </c>
      <c r="B2040" t="s">
        <v>19</v>
      </c>
      <c r="C2040">
        <v>706</v>
      </c>
      <c r="D2040">
        <v>4</v>
      </c>
      <c r="E2040" t="s">
        <v>32</v>
      </c>
      <c r="F2040" t="s">
        <v>33</v>
      </c>
      <c r="G2040" t="str">
        <f>"2025-01-31 16:06:34.303"</f>
        <v>2025-01-31 16:06:34.303</v>
      </c>
      <c r="H2040" t="s">
        <v>21</v>
      </c>
      <c r="I2040">
        <v>0</v>
      </c>
      <c r="J2040" t="s">
        <v>34</v>
      </c>
    </row>
    <row r="2041" spans="1:10" x14ac:dyDescent="0.25">
      <c r="A2041" s="1">
        <v>124</v>
      </c>
      <c r="B2041" t="s">
        <v>39</v>
      </c>
      <c r="C2041">
        <v>630</v>
      </c>
      <c r="D2041">
        <v>5</v>
      </c>
      <c r="E2041" t="s">
        <v>36</v>
      </c>
      <c r="F2041" t="s">
        <v>37</v>
      </c>
      <c r="G2041" t="str">
        <f>"2025-01-31 14:53:39.091"</f>
        <v>2025-01-31 14:53:39.091</v>
      </c>
      <c r="H2041" t="s">
        <v>38</v>
      </c>
      <c r="I2041">
        <v>0</v>
      </c>
      <c r="J2041" t="s">
        <v>34</v>
      </c>
    </row>
    <row r="2042" spans="1:10" x14ac:dyDescent="0.25">
      <c r="A2042" s="1">
        <v>125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"2025-01-31 14:48:36.353"</f>
        <v>2025-01-31 14:48:36.353</v>
      </c>
      <c r="H2042" t="s">
        <v>21</v>
      </c>
      <c r="I2042">
        <v>0</v>
      </c>
      <c r="J2042" t="s">
        <v>22</v>
      </c>
    </row>
    <row r="2043" spans="1:10" x14ac:dyDescent="0.25">
      <c r="A2043" s="1">
        <v>126</v>
      </c>
      <c r="B2043" t="s">
        <v>43</v>
      </c>
      <c r="C2043">
        <v>235</v>
      </c>
      <c r="D2043">
        <v>7</v>
      </c>
      <c r="E2043" t="s">
        <v>90</v>
      </c>
      <c r="F2043" t="s">
        <v>48</v>
      </c>
      <c r="G2043" t="str">
        <f>"2025-01-31 09:07:37.608"</f>
        <v>2025-01-31 09:07:37.608</v>
      </c>
      <c r="H2043" t="s">
        <v>64</v>
      </c>
    </row>
    <row r="2044" spans="1:10" x14ac:dyDescent="0.25">
      <c r="A2044" s="1">
        <v>127</v>
      </c>
      <c r="B2044" t="s">
        <v>39</v>
      </c>
      <c r="C2044">
        <v>235</v>
      </c>
      <c r="D2044">
        <v>7</v>
      </c>
      <c r="E2044" t="s">
        <v>90</v>
      </c>
      <c r="F2044" t="s">
        <v>48</v>
      </c>
      <c r="G2044" t="str">
        <f>"2025-01-31 09:07:32.554"</f>
        <v>2025-01-31 09:07:32.554</v>
      </c>
      <c r="H2044" t="s">
        <v>64</v>
      </c>
      <c r="I2044">
        <v>25.59</v>
      </c>
      <c r="J2044" t="s">
        <v>27</v>
      </c>
    </row>
    <row r="2045" spans="1:10" x14ac:dyDescent="0.25">
      <c r="A2045" s="1">
        <v>128</v>
      </c>
      <c r="B2045" t="s">
        <v>43</v>
      </c>
      <c r="C2045">
        <v>135</v>
      </c>
      <c r="D2045">
        <v>7</v>
      </c>
      <c r="E2045" t="s">
        <v>47</v>
      </c>
      <c r="F2045" t="s">
        <v>48</v>
      </c>
      <c r="G2045" t="str">
        <f>"2025-01-31 03:20:11.808"</f>
        <v>2025-01-31 03:20:11.808</v>
      </c>
      <c r="H2045" t="s">
        <v>49</v>
      </c>
    </row>
    <row r="2046" spans="1:10" x14ac:dyDescent="0.25">
      <c r="A2046" s="1">
        <v>129</v>
      </c>
      <c r="B2046" t="s">
        <v>39</v>
      </c>
      <c r="C2046">
        <v>135</v>
      </c>
      <c r="D2046">
        <v>7</v>
      </c>
      <c r="E2046" t="s">
        <v>47</v>
      </c>
      <c r="F2046" t="s">
        <v>48</v>
      </c>
      <c r="G2046" t="str">
        <f>"2025-01-31 03:20:06.714"</f>
        <v>2025-01-31 03:20:06.714</v>
      </c>
      <c r="H2046" t="s">
        <v>49</v>
      </c>
      <c r="I2046">
        <v>6.97</v>
      </c>
      <c r="J2046" t="s">
        <v>27</v>
      </c>
    </row>
    <row r="2047" spans="1:10" x14ac:dyDescent="0.25">
      <c r="A2047" s="1">
        <v>130</v>
      </c>
      <c r="B2047" t="s">
        <v>23</v>
      </c>
      <c r="C2047">
        <v>61</v>
      </c>
      <c r="D2047">
        <v>2</v>
      </c>
      <c r="E2047" t="s">
        <v>41</v>
      </c>
      <c r="F2047" t="s">
        <v>42</v>
      </c>
      <c r="G2047" t="str">
        <f>"2025-01-30 18:57:36.001"</f>
        <v>2025-01-30 18:57:36.001</v>
      </c>
      <c r="H2047" t="s">
        <v>21</v>
      </c>
    </row>
    <row r="2048" spans="1:10" s="3" customFormat="1" x14ac:dyDescent="0.25">
      <c r="A2048" s="2">
        <v>131</v>
      </c>
      <c r="B2048" s="3" t="s">
        <v>23</v>
      </c>
      <c r="C2048" s="3">
        <v>647</v>
      </c>
      <c r="D2048" s="3">
        <v>1</v>
      </c>
      <c r="E2048" s="3" t="s">
        <v>29</v>
      </c>
      <c r="F2048" s="3" t="s">
        <v>30</v>
      </c>
      <c r="G2048" s="3" t="str">
        <f>"2025-01-30 18:57:18.589"</f>
        <v>2025-01-30 18:57:18.589</v>
      </c>
      <c r="H2048" s="3" t="s">
        <v>21</v>
      </c>
    </row>
    <row r="2049" spans="1:10" s="3" customFormat="1" x14ac:dyDescent="0.25">
      <c r="A2049" s="2">
        <v>132</v>
      </c>
      <c r="B2049" s="3" t="s">
        <v>26</v>
      </c>
      <c r="C2049" s="3">
        <v>647</v>
      </c>
      <c r="D2049" s="3">
        <v>1</v>
      </c>
      <c r="E2049" s="3" t="s">
        <v>29</v>
      </c>
      <c r="F2049" s="3" t="s">
        <v>30</v>
      </c>
      <c r="G2049" s="3" t="str">
        <f>"2025-01-30 18:57:17.489"</f>
        <v>2025-01-30 18:57:17.489</v>
      </c>
      <c r="H2049" s="3" t="s">
        <v>21</v>
      </c>
      <c r="I2049" s="3">
        <v>36.86</v>
      </c>
      <c r="J2049" s="3" t="s">
        <v>31</v>
      </c>
    </row>
    <row r="2050" spans="1:10" x14ac:dyDescent="0.25">
      <c r="A2050" s="1">
        <v>133</v>
      </c>
      <c r="B2050" t="s">
        <v>39</v>
      </c>
      <c r="C2050">
        <v>61</v>
      </c>
      <c r="D2050">
        <v>2</v>
      </c>
      <c r="E2050" t="s">
        <v>41</v>
      </c>
      <c r="F2050" t="s">
        <v>42</v>
      </c>
      <c r="G2050" t="str">
        <f>"2025-01-30 18:57:15.801"</f>
        <v>2025-01-30 18:57:15.801</v>
      </c>
      <c r="H2050" t="s">
        <v>21</v>
      </c>
      <c r="I2050">
        <v>37.119999999999997</v>
      </c>
      <c r="J2050" t="s">
        <v>31</v>
      </c>
    </row>
    <row r="2051" spans="1:10" s="3" customFormat="1" x14ac:dyDescent="0.25">
      <c r="A2051" s="2">
        <v>134</v>
      </c>
      <c r="B2051" s="3" t="s">
        <v>23</v>
      </c>
      <c r="C2051" s="3">
        <v>647</v>
      </c>
      <c r="D2051" s="3">
        <v>1</v>
      </c>
      <c r="E2051" s="3" t="s">
        <v>29</v>
      </c>
      <c r="F2051" s="3" t="s">
        <v>30</v>
      </c>
      <c r="G2051" s="3" t="str">
        <f>"2025-01-30 09:06:46.389"</f>
        <v>2025-01-30 09:06:46.389</v>
      </c>
      <c r="H2051" s="3" t="s">
        <v>21</v>
      </c>
    </row>
    <row r="2052" spans="1:10" s="3" customFormat="1" x14ac:dyDescent="0.25">
      <c r="A2052" s="2">
        <v>135</v>
      </c>
      <c r="B2052" s="3" t="s">
        <v>26</v>
      </c>
      <c r="C2052" s="3">
        <v>647</v>
      </c>
      <c r="D2052" s="3">
        <v>1</v>
      </c>
      <c r="E2052" s="3" t="s">
        <v>29</v>
      </c>
      <c r="F2052" s="3" t="s">
        <v>30</v>
      </c>
      <c r="G2052" s="3" t="str">
        <f>"2025-01-30 09:06:42.489"</f>
        <v>2025-01-30 09:06:42.489</v>
      </c>
      <c r="H2052" s="3" t="s">
        <v>21</v>
      </c>
      <c r="I2052" s="3">
        <v>12.94</v>
      </c>
      <c r="J2052" s="3" t="s">
        <v>31</v>
      </c>
    </row>
    <row r="2053" spans="1:10" x14ac:dyDescent="0.25">
      <c r="A2053" s="1">
        <v>136</v>
      </c>
      <c r="B2053" t="s">
        <v>43</v>
      </c>
      <c r="C2053">
        <v>235</v>
      </c>
      <c r="D2053">
        <v>7</v>
      </c>
      <c r="E2053" t="s">
        <v>90</v>
      </c>
      <c r="F2053" t="s">
        <v>48</v>
      </c>
      <c r="G2053" t="str">
        <f>"2025-01-30 06:35:47.208"</f>
        <v>2025-01-30 06:35:47.208</v>
      </c>
      <c r="H2053" t="s">
        <v>64</v>
      </c>
    </row>
    <row r="2054" spans="1:10" x14ac:dyDescent="0.25">
      <c r="A2054" s="1">
        <v>137</v>
      </c>
      <c r="B2054" t="s">
        <v>39</v>
      </c>
      <c r="C2054">
        <v>235</v>
      </c>
      <c r="D2054">
        <v>7</v>
      </c>
      <c r="E2054" t="s">
        <v>90</v>
      </c>
      <c r="F2054" t="s">
        <v>48</v>
      </c>
      <c r="G2054" t="str">
        <f>"2025-01-30 06:35:42.134"</f>
        <v>2025-01-30 06:35:42.134</v>
      </c>
      <c r="H2054" t="s">
        <v>64</v>
      </c>
      <c r="I2054">
        <v>0</v>
      </c>
      <c r="J2054" t="s">
        <v>28</v>
      </c>
    </row>
    <row r="2055" spans="1:10" s="3" customFormat="1" x14ac:dyDescent="0.25">
      <c r="A2055" s="2">
        <v>138</v>
      </c>
      <c r="B2055" s="3" t="s">
        <v>23</v>
      </c>
      <c r="C2055" s="3">
        <v>647</v>
      </c>
      <c r="D2055" s="3">
        <v>1</v>
      </c>
      <c r="E2055" s="3" t="s">
        <v>29</v>
      </c>
      <c r="F2055" s="3" t="s">
        <v>30</v>
      </c>
      <c r="G2055" s="3" t="str">
        <f>"2025-01-29 15:58:03.089"</f>
        <v>2025-01-29 15:58:03.089</v>
      </c>
      <c r="H2055" s="3" t="s">
        <v>21</v>
      </c>
    </row>
    <row r="2056" spans="1:10" s="3" customFormat="1" x14ac:dyDescent="0.25">
      <c r="A2056" s="2">
        <v>139</v>
      </c>
      <c r="B2056" s="3" t="s">
        <v>26</v>
      </c>
      <c r="C2056" s="3">
        <v>647</v>
      </c>
      <c r="D2056" s="3">
        <v>1</v>
      </c>
      <c r="E2056" s="3" t="s">
        <v>29</v>
      </c>
      <c r="F2056" s="3" t="s">
        <v>30</v>
      </c>
      <c r="G2056" s="3" t="str">
        <f>"2025-01-29 15:58:01.589"</f>
        <v>2025-01-29 15:58:01.589</v>
      </c>
      <c r="H2056" s="3" t="s">
        <v>21</v>
      </c>
      <c r="I2056" s="3">
        <v>12.14</v>
      </c>
      <c r="J2056" s="3" t="s">
        <v>31</v>
      </c>
    </row>
    <row r="2057" spans="1:10" x14ac:dyDescent="0.25">
      <c r="A2057" s="1">
        <v>140</v>
      </c>
      <c r="B2057" t="s">
        <v>23</v>
      </c>
      <c r="C2057">
        <v>635</v>
      </c>
      <c r="D2057">
        <v>1</v>
      </c>
      <c r="E2057" t="s">
        <v>24</v>
      </c>
      <c r="F2057" t="s">
        <v>25</v>
      </c>
      <c r="G2057" t="str">
        <f>"2025-01-29 01:14:35.988"</f>
        <v>2025-01-29 01:14:35.988</v>
      </c>
      <c r="H2057" t="s">
        <v>21</v>
      </c>
    </row>
    <row r="2058" spans="1:10" x14ac:dyDescent="0.25">
      <c r="A2058" s="1">
        <v>141</v>
      </c>
      <c r="B2058" t="s">
        <v>26</v>
      </c>
      <c r="C2058">
        <v>635</v>
      </c>
      <c r="D2058">
        <v>1</v>
      </c>
      <c r="E2058" t="s">
        <v>24</v>
      </c>
      <c r="F2058" t="s">
        <v>25</v>
      </c>
      <c r="G2058" t="str">
        <f>"2025-01-29 01:09:50.988"</f>
        <v>2025-01-29 01:09:50.988</v>
      </c>
      <c r="H2058" t="s">
        <v>21</v>
      </c>
      <c r="I2058">
        <v>-0.83</v>
      </c>
      <c r="J2058" t="s">
        <v>28</v>
      </c>
    </row>
    <row r="2059" spans="1:10" x14ac:dyDescent="0.25">
      <c r="A2059" s="1">
        <v>142</v>
      </c>
      <c r="B2059" t="s">
        <v>23</v>
      </c>
      <c r="C2059">
        <v>635</v>
      </c>
      <c r="D2059">
        <v>1</v>
      </c>
      <c r="E2059" t="s">
        <v>24</v>
      </c>
      <c r="F2059" t="s">
        <v>25</v>
      </c>
      <c r="G2059" t="str">
        <f>"2025-01-28 22:42:40.788"</f>
        <v>2025-01-28 22:42:40.788</v>
      </c>
      <c r="H2059" t="s">
        <v>21</v>
      </c>
    </row>
    <row r="2060" spans="1:10" x14ac:dyDescent="0.25">
      <c r="A2060" s="1">
        <v>143</v>
      </c>
      <c r="B2060" t="s">
        <v>26</v>
      </c>
      <c r="C2060">
        <v>635</v>
      </c>
      <c r="D2060">
        <v>1</v>
      </c>
      <c r="E2060" t="s">
        <v>24</v>
      </c>
      <c r="F2060" t="s">
        <v>25</v>
      </c>
      <c r="G2060" t="str">
        <f>"2025-01-28 22:25:42.388"</f>
        <v>2025-01-28 22:25:42.388</v>
      </c>
      <c r="H2060" t="s">
        <v>21</v>
      </c>
      <c r="I2060">
        <v>7.27</v>
      </c>
      <c r="J2060" t="s">
        <v>28</v>
      </c>
    </row>
    <row r="2061" spans="1:10" x14ac:dyDescent="0.25">
      <c r="A2061" s="1">
        <v>144</v>
      </c>
      <c r="B2061" t="s">
        <v>23</v>
      </c>
      <c r="C2061">
        <v>635</v>
      </c>
      <c r="D2061">
        <v>1</v>
      </c>
      <c r="E2061" t="s">
        <v>24</v>
      </c>
      <c r="F2061" t="s">
        <v>25</v>
      </c>
      <c r="G2061" t="str">
        <f>"2025-01-28 20:35:01.588"</f>
        <v>2025-01-28 20:35:01.588</v>
      </c>
      <c r="H2061" t="s">
        <v>21</v>
      </c>
    </row>
    <row r="2062" spans="1:10" x14ac:dyDescent="0.25">
      <c r="A2062" s="1">
        <v>145</v>
      </c>
      <c r="B2062" t="s">
        <v>26</v>
      </c>
      <c r="C2062">
        <v>635</v>
      </c>
      <c r="D2062">
        <v>1</v>
      </c>
      <c r="E2062" t="s">
        <v>24</v>
      </c>
      <c r="F2062" t="s">
        <v>25</v>
      </c>
      <c r="G2062" t="str">
        <f>"2025-01-28 20:19:52.188"</f>
        <v>2025-01-28 20:19:52.188</v>
      </c>
      <c r="H2062" t="s">
        <v>21</v>
      </c>
      <c r="I2062">
        <v>7.39</v>
      </c>
      <c r="J2062" t="s">
        <v>27</v>
      </c>
    </row>
    <row r="2063" spans="1:10" x14ac:dyDescent="0.25">
      <c r="A2063" s="1">
        <v>146</v>
      </c>
      <c r="B2063" t="s">
        <v>23</v>
      </c>
      <c r="C2063">
        <v>630</v>
      </c>
      <c r="D2063">
        <v>5</v>
      </c>
      <c r="E2063" t="s">
        <v>36</v>
      </c>
      <c r="F2063" t="s">
        <v>37</v>
      </c>
      <c r="G2063" t="str">
        <f>"2025-01-28 11:21:03.189"</f>
        <v>2025-01-28 11:21:03.189</v>
      </c>
      <c r="H2063" t="s">
        <v>38</v>
      </c>
    </row>
    <row r="2064" spans="1:10" x14ac:dyDescent="0.25">
      <c r="A2064" s="1">
        <v>147</v>
      </c>
      <c r="B2064" t="s">
        <v>19</v>
      </c>
      <c r="C2064">
        <v>706</v>
      </c>
      <c r="D2064">
        <v>4</v>
      </c>
      <c r="E2064" t="s">
        <v>32</v>
      </c>
      <c r="F2064" t="s">
        <v>33</v>
      </c>
      <c r="G2064" t="str">
        <f>"2025-01-28 11:20:33.227"</f>
        <v>2025-01-28 11:20:33.227</v>
      </c>
      <c r="H2064" t="s">
        <v>21</v>
      </c>
      <c r="I2064">
        <v>0</v>
      </c>
      <c r="J2064" t="s">
        <v>34</v>
      </c>
    </row>
    <row r="2065" spans="1:10" x14ac:dyDescent="0.25">
      <c r="A2065" s="1">
        <v>148</v>
      </c>
      <c r="B2065" t="s">
        <v>39</v>
      </c>
      <c r="C2065">
        <v>630</v>
      </c>
      <c r="D2065">
        <v>5</v>
      </c>
      <c r="E2065" t="s">
        <v>36</v>
      </c>
      <c r="F2065" t="s">
        <v>37</v>
      </c>
      <c r="G2065" t="str">
        <f>"2025-01-28 11:19:18.389"</f>
        <v>2025-01-28 11:19:18.389</v>
      </c>
      <c r="H2065" t="s">
        <v>38</v>
      </c>
      <c r="I2065">
        <v>0</v>
      </c>
      <c r="J2065" t="s">
        <v>34</v>
      </c>
    </row>
    <row r="2066" spans="1:10" x14ac:dyDescent="0.25">
      <c r="A2066" s="1">
        <v>149</v>
      </c>
      <c r="B2066" t="s">
        <v>19</v>
      </c>
      <c r="C2066">
        <v>706</v>
      </c>
      <c r="D2066">
        <v>4</v>
      </c>
      <c r="E2066" t="s">
        <v>32</v>
      </c>
      <c r="F2066" t="s">
        <v>33</v>
      </c>
      <c r="G2066" t="str">
        <f>"2025-01-27 08:21:28.707"</f>
        <v>2025-01-27 08:21:28.707</v>
      </c>
      <c r="H2066" t="s">
        <v>21</v>
      </c>
      <c r="I2066">
        <v>0</v>
      </c>
      <c r="J2066" t="s">
        <v>34</v>
      </c>
    </row>
    <row r="2067" spans="1:10" x14ac:dyDescent="0.25">
      <c r="A2067" s="1">
        <v>150</v>
      </c>
      <c r="B2067" t="s">
        <v>23</v>
      </c>
      <c r="C2067">
        <v>630</v>
      </c>
      <c r="D2067">
        <v>5</v>
      </c>
      <c r="E2067" t="s">
        <v>36</v>
      </c>
      <c r="F2067" t="s">
        <v>37</v>
      </c>
      <c r="G2067" t="str">
        <f>"2025-01-27 08:13:57.789"</f>
        <v>2025-01-27 08:13:57.789</v>
      </c>
      <c r="H2067" t="s">
        <v>38</v>
      </c>
    </row>
    <row r="2068" spans="1:10" x14ac:dyDescent="0.25">
      <c r="A2068" s="1">
        <v>151</v>
      </c>
      <c r="B2068" t="s">
        <v>19</v>
      </c>
      <c r="C2068">
        <v>706</v>
      </c>
      <c r="D2068">
        <v>2</v>
      </c>
      <c r="E2068" t="s">
        <v>32</v>
      </c>
      <c r="F2068" t="s">
        <v>35</v>
      </c>
      <c r="G2068" t="str">
        <f>"2025-01-27 08:13:27.587"</f>
        <v>2025-01-27 08:13:27.587</v>
      </c>
      <c r="H2068" t="s">
        <v>21</v>
      </c>
      <c r="I2068">
        <v>0</v>
      </c>
      <c r="J2068" t="s">
        <v>34</v>
      </c>
    </row>
    <row r="2069" spans="1:10" x14ac:dyDescent="0.25">
      <c r="A2069" s="1">
        <v>152</v>
      </c>
      <c r="B2069" t="s">
        <v>39</v>
      </c>
      <c r="C2069">
        <v>630</v>
      </c>
      <c r="D2069">
        <v>5</v>
      </c>
      <c r="E2069" t="s">
        <v>36</v>
      </c>
      <c r="F2069" t="s">
        <v>37</v>
      </c>
      <c r="G2069" t="str">
        <f>"2025-01-27 07:35:28.289"</f>
        <v>2025-01-27 07:35:28.289</v>
      </c>
      <c r="H2069" t="s">
        <v>38</v>
      </c>
      <c r="I2069">
        <v>0</v>
      </c>
      <c r="J2069" t="s">
        <v>34</v>
      </c>
    </row>
    <row r="2070" spans="1:10" x14ac:dyDescent="0.25">
      <c r="A2070" s="1">
        <v>153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"2025-01-27 07:30:25.557"</f>
        <v>2025-01-27 07:30:25.557</v>
      </c>
      <c r="H2070" t="s">
        <v>21</v>
      </c>
      <c r="I2070">
        <v>0</v>
      </c>
      <c r="J2070" t="s">
        <v>22</v>
      </c>
    </row>
    <row r="2071" spans="1:10" x14ac:dyDescent="0.25">
      <c r="A2071" s="1">
        <v>154</v>
      </c>
      <c r="B2071" t="s">
        <v>43</v>
      </c>
      <c r="C2071">
        <v>235</v>
      </c>
      <c r="D2071">
        <v>7</v>
      </c>
      <c r="E2071" t="s">
        <v>90</v>
      </c>
      <c r="F2071" t="s">
        <v>48</v>
      </c>
      <c r="G2071" t="str">
        <f>"2025-01-27 06:05:10.597"</f>
        <v>2025-01-27 06:05:10.597</v>
      </c>
      <c r="H2071" t="s">
        <v>64</v>
      </c>
    </row>
    <row r="2072" spans="1:10" x14ac:dyDescent="0.25">
      <c r="A2072" s="1">
        <v>155</v>
      </c>
      <c r="B2072" t="s">
        <v>39</v>
      </c>
      <c r="C2072">
        <v>235</v>
      </c>
      <c r="D2072">
        <v>7</v>
      </c>
      <c r="E2072" t="s">
        <v>90</v>
      </c>
      <c r="F2072" t="s">
        <v>48</v>
      </c>
      <c r="G2072" t="str">
        <f>"2025-01-27 06:05:05.546"</f>
        <v>2025-01-27 06:05:05.546</v>
      </c>
      <c r="H2072" t="s">
        <v>64</v>
      </c>
      <c r="I2072">
        <v>6.2</v>
      </c>
      <c r="J2072" t="s">
        <v>27</v>
      </c>
    </row>
    <row r="2073" spans="1:10" x14ac:dyDescent="0.25">
      <c r="A2073" s="1">
        <v>157</v>
      </c>
      <c r="B2073" t="s">
        <v>23</v>
      </c>
      <c r="C2073">
        <v>635</v>
      </c>
      <c r="D2073">
        <v>1</v>
      </c>
      <c r="E2073" t="s">
        <v>24</v>
      </c>
      <c r="F2073" t="s">
        <v>25</v>
      </c>
      <c r="G2073" t="str">
        <f>"2025-01-26 11:02:56.372"</f>
        <v>2025-01-26 11:02:56.372</v>
      </c>
      <c r="H2073" t="s">
        <v>21</v>
      </c>
    </row>
    <row r="2074" spans="1:10" x14ac:dyDescent="0.25">
      <c r="A2074" s="1">
        <v>158</v>
      </c>
      <c r="B2074" t="s">
        <v>26</v>
      </c>
      <c r="C2074">
        <v>635</v>
      </c>
      <c r="D2074">
        <v>1</v>
      </c>
      <c r="E2074" t="s">
        <v>24</v>
      </c>
      <c r="F2074" t="s">
        <v>25</v>
      </c>
      <c r="G2074" t="str">
        <f>"2025-01-26 10:39:06.972"</f>
        <v>2025-01-26 10:39:06.972</v>
      </c>
      <c r="H2074" t="s">
        <v>21</v>
      </c>
      <c r="I2074">
        <v>10.61</v>
      </c>
      <c r="J2074" t="s">
        <v>31</v>
      </c>
    </row>
    <row r="2075" spans="1:10" s="3" customFormat="1" x14ac:dyDescent="0.25">
      <c r="A2075" s="2">
        <v>159</v>
      </c>
      <c r="B2075" s="3" t="s">
        <v>23</v>
      </c>
      <c r="C2075" s="3">
        <v>647</v>
      </c>
      <c r="D2075" s="3">
        <v>1</v>
      </c>
      <c r="E2075" s="3" t="s">
        <v>29</v>
      </c>
      <c r="F2075" s="3" t="s">
        <v>30</v>
      </c>
      <c r="G2075" s="3" t="str">
        <f>"2025-01-26 07:48:02.320"</f>
        <v>2025-01-26 07:48:02.320</v>
      </c>
      <c r="H2075" s="3" t="s">
        <v>21</v>
      </c>
    </row>
    <row r="2076" spans="1:10" s="3" customFormat="1" x14ac:dyDescent="0.25">
      <c r="A2076" s="2">
        <v>160</v>
      </c>
      <c r="B2076" s="3" t="s">
        <v>26</v>
      </c>
      <c r="C2076" s="3">
        <v>647</v>
      </c>
      <c r="D2076" s="3">
        <v>1</v>
      </c>
      <c r="E2076" s="3" t="s">
        <v>29</v>
      </c>
      <c r="F2076" s="3" t="s">
        <v>30</v>
      </c>
      <c r="G2076" s="3" t="str">
        <f>"2025-01-26 07:48:00.220"</f>
        <v>2025-01-26 07:48:00.220</v>
      </c>
      <c r="H2076" s="3" t="s">
        <v>21</v>
      </c>
      <c r="I2076" s="3">
        <v>11.48</v>
      </c>
      <c r="J2076" s="3" t="s">
        <v>31</v>
      </c>
    </row>
    <row r="2077" spans="1:10" s="3" customFormat="1" x14ac:dyDescent="0.25">
      <c r="A2077" s="2">
        <v>161</v>
      </c>
      <c r="B2077" s="3" t="s">
        <v>23</v>
      </c>
      <c r="C2077" s="3">
        <v>647</v>
      </c>
      <c r="D2077" s="3">
        <v>1</v>
      </c>
      <c r="E2077" s="3" t="s">
        <v>29</v>
      </c>
      <c r="F2077" s="3" t="s">
        <v>30</v>
      </c>
      <c r="G2077" s="3" t="str">
        <f>"2025-01-25 09:22:46.620"</f>
        <v>2025-01-25 09:22:46.620</v>
      </c>
      <c r="H2077" s="3" t="s">
        <v>21</v>
      </c>
    </row>
    <row r="2078" spans="1:10" s="3" customFormat="1" x14ac:dyDescent="0.25">
      <c r="A2078" s="2">
        <v>162</v>
      </c>
      <c r="B2078" s="3" t="s">
        <v>26</v>
      </c>
      <c r="C2078" s="3">
        <v>647</v>
      </c>
      <c r="D2078" s="3">
        <v>1</v>
      </c>
      <c r="E2078" s="3" t="s">
        <v>29</v>
      </c>
      <c r="F2078" s="3" t="s">
        <v>30</v>
      </c>
      <c r="G2078" s="3" t="str">
        <f>"2025-01-25 09:22:37.721"</f>
        <v>2025-01-25 09:22:37.721</v>
      </c>
      <c r="H2078" s="3" t="s">
        <v>21</v>
      </c>
      <c r="I2078" s="3">
        <v>13.18</v>
      </c>
      <c r="J2078" s="3" t="s">
        <v>31</v>
      </c>
    </row>
    <row r="2079" spans="1:10" x14ac:dyDescent="0.25">
      <c r="A2079" s="1">
        <v>164</v>
      </c>
      <c r="B2079" t="s">
        <v>23</v>
      </c>
      <c r="C2079">
        <v>635</v>
      </c>
      <c r="D2079">
        <v>1</v>
      </c>
      <c r="E2079" t="s">
        <v>24</v>
      </c>
      <c r="F2079" t="s">
        <v>25</v>
      </c>
      <c r="G2079" t="str">
        <f>"2025-01-24 16:47:51.472"</f>
        <v>2025-01-24 16:47:51.472</v>
      </c>
      <c r="H2079" t="s">
        <v>21</v>
      </c>
    </row>
    <row r="2080" spans="1:10" x14ac:dyDescent="0.25">
      <c r="A2080" s="1">
        <v>165</v>
      </c>
      <c r="B2080" t="s">
        <v>26</v>
      </c>
      <c r="C2080">
        <v>635</v>
      </c>
      <c r="D2080">
        <v>1</v>
      </c>
      <c r="E2080" t="s">
        <v>24</v>
      </c>
      <c r="F2080" t="s">
        <v>25</v>
      </c>
      <c r="G2080" t="str">
        <f>"2025-01-24 16:35:21.572"</f>
        <v>2025-01-24 16:35:21.572</v>
      </c>
      <c r="H2080" t="s">
        <v>21</v>
      </c>
      <c r="I2080">
        <v>8.3000000000000007</v>
      </c>
      <c r="J2080" t="s">
        <v>27</v>
      </c>
    </row>
    <row r="2081" spans="1:10" x14ac:dyDescent="0.25">
      <c r="A2081" s="1">
        <v>166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"2025-01-24 10:18:49.348"</f>
        <v>2025-01-24 10:18:49.348</v>
      </c>
      <c r="H2081" t="s">
        <v>21</v>
      </c>
      <c r="I2081">
        <v>0</v>
      </c>
      <c r="J2081" t="s">
        <v>22</v>
      </c>
    </row>
    <row r="2082" spans="1:10" x14ac:dyDescent="0.25">
      <c r="A2082" s="1">
        <v>167</v>
      </c>
      <c r="B2082" t="s">
        <v>43</v>
      </c>
      <c r="C2082">
        <v>235</v>
      </c>
      <c r="D2082">
        <v>7</v>
      </c>
      <c r="E2082" t="s">
        <v>90</v>
      </c>
      <c r="F2082" t="s">
        <v>48</v>
      </c>
      <c r="G2082" t="str">
        <f>"2025-01-24 07:08:08.473"</f>
        <v>2025-01-24 07:08:08.473</v>
      </c>
      <c r="H2082" t="s">
        <v>64</v>
      </c>
    </row>
    <row r="2083" spans="1:10" x14ac:dyDescent="0.25">
      <c r="A2083" s="1">
        <v>168</v>
      </c>
      <c r="B2083" t="s">
        <v>39</v>
      </c>
      <c r="C2083">
        <v>235</v>
      </c>
      <c r="D2083">
        <v>7</v>
      </c>
      <c r="E2083" t="s">
        <v>90</v>
      </c>
      <c r="F2083" t="s">
        <v>48</v>
      </c>
      <c r="G2083" t="str">
        <f>"2025-01-24 07:08:03.384"</f>
        <v>2025-01-24 07:08:03.384</v>
      </c>
      <c r="H2083" t="s">
        <v>64</v>
      </c>
      <c r="I2083">
        <v>-1.73</v>
      </c>
      <c r="J2083" t="s">
        <v>27</v>
      </c>
    </row>
    <row r="2084" spans="1:10" x14ac:dyDescent="0.25">
      <c r="A2084" s="1">
        <v>169</v>
      </c>
      <c r="B2084" t="s">
        <v>23</v>
      </c>
      <c r="C2084">
        <v>635</v>
      </c>
      <c r="D2084">
        <v>1</v>
      </c>
      <c r="E2084" t="s">
        <v>24</v>
      </c>
      <c r="F2084" t="s">
        <v>25</v>
      </c>
      <c r="G2084" t="str">
        <f>"2025-01-22 05:07:26.889"</f>
        <v>2025-01-22 05:07:26.889</v>
      </c>
      <c r="H2084" t="s">
        <v>21</v>
      </c>
    </row>
    <row r="2085" spans="1:10" x14ac:dyDescent="0.25">
      <c r="A2085" s="1">
        <v>170</v>
      </c>
      <c r="B2085" t="s">
        <v>26</v>
      </c>
      <c r="C2085">
        <v>635</v>
      </c>
      <c r="D2085">
        <v>1</v>
      </c>
      <c r="E2085" t="s">
        <v>24</v>
      </c>
      <c r="F2085" t="s">
        <v>25</v>
      </c>
      <c r="G2085" t="str">
        <f>"2025-01-22 05:04:45.389"</f>
        <v>2025-01-22 05:04:45.389</v>
      </c>
      <c r="H2085" t="s">
        <v>21</v>
      </c>
      <c r="I2085">
        <v>9.6199999999999992</v>
      </c>
      <c r="J2085" t="s">
        <v>31</v>
      </c>
    </row>
    <row r="2086" spans="1:10" x14ac:dyDescent="0.25">
      <c r="A2086" s="1">
        <v>171</v>
      </c>
      <c r="B2086" t="s">
        <v>23</v>
      </c>
      <c r="C2086">
        <v>619</v>
      </c>
      <c r="D2086">
        <v>1</v>
      </c>
      <c r="E2086" t="s">
        <v>60</v>
      </c>
      <c r="F2086" t="s">
        <v>25</v>
      </c>
      <c r="G2086" t="str">
        <f>"2025-01-20 23:59:39.889"</f>
        <v>2025-01-20 23:59:39.889</v>
      </c>
      <c r="H2086" t="s">
        <v>61</v>
      </c>
    </row>
    <row r="2087" spans="1:10" x14ac:dyDescent="0.25">
      <c r="A2087" s="1">
        <v>172</v>
      </c>
      <c r="B2087" t="s">
        <v>23</v>
      </c>
      <c r="C2087">
        <v>630</v>
      </c>
      <c r="D2087">
        <v>5</v>
      </c>
      <c r="E2087" t="s">
        <v>36</v>
      </c>
      <c r="F2087" t="s">
        <v>37</v>
      </c>
      <c r="G2087" t="str">
        <f>"2025-01-20 23:59:20.389"</f>
        <v>2025-01-20 23:59:20.389</v>
      </c>
      <c r="H2087" t="s">
        <v>38</v>
      </c>
    </row>
    <row r="2088" spans="1:10" x14ac:dyDescent="0.25">
      <c r="A2088" s="1">
        <v>173</v>
      </c>
      <c r="B2088" t="s">
        <v>26</v>
      </c>
      <c r="C2088">
        <v>619</v>
      </c>
      <c r="D2088">
        <v>1</v>
      </c>
      <c r="E2088" t="s">
        <v>60</v>
      </c>
      <c r="F2088" t="s">
        <v>25</v>
      </c>
      <c r="G2088" t="str">
        <f>"2025-01-20 23:58:55.689"</f>
        <v>2025-01-20 23:58:55.689</v>
      </c>
      <c r="H2088" t="s">
        <v>61</v>
      </c>
      <c r="I2088">
        <v>0</v>
      </c>
      <c r="J2088" t="s">
        <v>34</v>
      </c>
    </row>
    <row r="2089" spans="1:10" x14ac:dyDescent="0.25">
      <c r="A2089" s="1">
        <v>174</v>
      </c>
      <c r="B2089" t="s">
        <v>19</v>
      </c>
      <c r="C2089">
        <v>706</v>
      </c>
      <c r="D2089">
        <v>4</v>
      </c>
      <c r="E2089" t="s">
        <v>32</v>
      </c>
      <c r="F2089" t="s">
        <v>33</v>
      </c>
      <c r="G2089" t="str">
        <f>"2025-01-20 23:58:50.278"</f>
        <v>2025-01-20 23:58:50.278</v>
      </c>
      <c r="H2089" t="s">
        <v>21</v>
      </c>
      <c r="I2089">
        <v>0</v>
      </c>
      <c r="J2089" t="s">
        <v>34</v>
      </c>
    </row>
    <row r="2090" spans="1:10" x14ac:dyDescent="0.25">
      <c r="A2090" s="1">
        <v>175</v>
      </c>
      <c r="B2090" t="s">
        <v>19</v>
      </c>
      <c r="C2090">
        <v>706</v>
      </c>
      <c r="D2090">
        <v>4</v>
      </c>
      <c r="E2090" t="s">
        <v>32</v>
      </c>
      <c r="F2090" t="s">
        <v>33</v>
      </c>
      <c r="G2090" t="str">
        <f>"2025-01-20 23:58:23.188"</f>
        <v>2025-01-20 23:58:23.188</v>
      </c>
      <c r="H2090" t="s">
        <v>21</v>
      </c>
      <c r="I2090">
        <v>0</v>
      </c>
      <c r="J2090" t="s">
        <v>34</v>
      </c>
    </row>
    <row r="2091" spans="1:10" x14ac:dyDescent="0.25">
      <c r="A2091" s="1">
        <v>176</v>
      </c>
      <c r="B2091" t="s">
        <v>39</v>
      </c>
      <c r="C2091">
        <v>630</v>
      </c>
      <c r="D2091">
        <v>5</v>
      </c>
      <c r="E2091" t="s">
        <v>36</v>
      </c>
      <c r="F2091" t="s">
        <v>37</v>
      </c>
      <c r="G2091" t="str">
        <f>"2025-01-20 23:27:41.590"</f>
        <v>2025-01-20 23:27:41.590</v>
      </c>
      <c r="H2091" t="s">
        <v>38</v>
      </c>
      <c r="I2091">
        <v>0</v>
      </c>
      <c r="J2091" t="s">
        <v>34</v>
      </c>
    </row>
    <row r="2092" spans="1:10" x14ac:dyDescent="0.25">
      <c r="A2092" s="1">
        <v>177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"2025-01-20 23:22:38.768"</f>
        <v>2025-01-20 23:22:38.768</v>
      </c>
      <c r="H2092" t="s">
        <v>21</v>
      </c>
      <c r="I2092">
        <v>0</v>
      </c>
      <c r="J2092" t="s">
        <v>22</v>
      </c>
    </row>
    <row r="2093" spans="1:10" x14ac:dyDescent="0.25">
      <c r="A2093" s="1">
        <v>178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"2025-01-20 11:05:17.404"</f>
        <v>2025-01-20 11:05:17.404</v>
      </c>
      <c r="H2093" t="s">
        <v>21</v>
      </c>
      <c r="I2093">
        <v>0</v>
      </c>
      <c r="J2093" t="s">
        <v>22</v>
      </c>
    </row>
    <row r="2094" spans="1:10" x14ac:dyDescent="0.25">
      <c r="A2094" s="1">
        <v>179</v>
      </c>
      <c r="B2094" t="s">
        <v>43</v>
      </c>
      <c r="C2094">
        <v>235</v>
      </c>
      <c r="D2094">
        <v>7</v>
      </c>
      <c r="E2094" t="s">
        <v>90</v>
      </c>
      <c r="F2094" t="s">
        <v>48</v>
      </c>
      <c r="G2094" t="str">
        <f>"2025-01-20 04:38:13.388"</f>
        <v>2025-01-20 04:38:13.388</v>
      </c>
      <c r="H2094" t="s">
        <v>64</v>
      </c>
    </row>
    <row r="2095" spans="1:10" x14ac:dyDescent="0.25">
      <c r="A2095" s="1">
        <v>180</v>
      </c>
      <c r="B2095" t="s">
        <v>39</v>
      </c>
      <c r="C2095">
        <v>235</v>
      </c>
      <c r="D2095">
        <v>7</v>
      </c>
      <c r="E2095" t="s">
        <v>90</v>
      </c>
      <c r="F2095" t="s">
        <v>48</v>
      </c>
      <c r="G2095" t="str">
        <f>"2025-01-20 04:38:08.372"</f>
        <v>2025-01-20 04:38:08.372</v>
      </c>
      <c r="H2095" t="s">
        <v>64</v>
      </c>
      <c r="I2095">
        <v>30.78</v>
      </c>
      <c r="J2095" t="s">
        <v>27</v>
      </c>
    </row>
    <row r="2096" spans="1:10" x14ac:dyDescent="0.25">
      <c r="A2096" s="1">
        <v>181</v>
      </c>
      <c r="B2096" t="s">
        <v>23</v>
      </c>
      <c r="C2096">
        <v>61</v>
      </c>
      <c r="D2096">
        <v>2</v>
      </c>
      <c r="E2096" t="s">
        <v>41</v>
      </c>
      <c r="F2096" t="s">
        <v>42</v>
      </c>
      <c r="G2096" t="str">
        <f>"2025-01-19 18:18:51.710"</f>
        <v>2025-01-19 18:18:51.710</v>
      </c>
      <c r="H2096" t="s">
        <v>21</v>
      </c>
    </row>
    <row r="2097" spans="1:10" x14ac:dyDescent="0.25">
      <c r="A2097" s="1">
        <v>182</v>
      </c>
      <c r="B2097" t="s">
        <v>39</v>
      </c>
      <c r="C2097">
        <v>61</v>
      </c>
      <c r="D2097">
        <v>2</v>
      </c>
      <c r="E2097" t="s">
        <v>41</v>
      </c>
      <c r="F2097" t="s">
        <v>42</v>
      </c>
      <c r="G2097" t="str">
        <f>"2025-01-19 18:18:47.710"</f>
        <v>2025-01-19 18:18:47.710</v>
      </c>
      <c r="H2097" t="s">
        <v>21</v>
      </c>
      <c r="I2097">
        <v>35.21</v>
      </c>
      <c r="J2097" t="s">
        <v>31</v>
      </c>
    </row>
    <row r="2098" spans="1:10" s="3" customFormat="1" x14ac:dyDescent="0.25">
      <c r="A2098" s="2">
        <v>183</v>
      </c>
      <c r="B2098" s="3" t="s">
        <v>23</v>
      </c>
      <c r="C2098" s="3">
        <v>647</v>
      </c>
      <c r="D2098" s="3">
        <v>1</v>
      </c>
      <c r="E2098" s="3" t="s">
        <v>29</v>
      </c>
      <c r="F2098" s="3" t="s">
        <v>30</v>
      </c>
      <c r="G2098" s="3" t="str">
        <f>"2025-01-19 16:36:13.410"</f>
        <v>2025-01-19 16:36:13.410</v>
      </c>
      <c r="H2098" s="3" t="s">
        <v>21</v>
      </c>
    </row>
    <row r="2099" spans="1:10" s="3" customFormat="1" x14ac:dyDescent="0.25">
      <c r="A2099" s="2">
        <v>184</v>
      </c>
      <c r="B2099" s="3" t="s">
        <v>26</v>
      </c>
      <c r="C2099" s="3">
        <v>647</v>
      </c>
      <c r="D2099" s="3">
        <v>1</v>
      </c>
      <c r="E2099" s="3" t="s">
        <v>29</v>
      </c>
      <c r="F2099" s="3" t="s">
        <v>30</v>
      </c>
      <c r="G2099" s="3" t="str">
        <f>"2025-01-19 16:36:11.710"</f>
        <v>2025-01-19 16:36:11.710</v>
      </c>
      <c r="H2099" s="3" t="s">
        <v>21</v>
      </c>
      <c r="I2099" s="3">
        <v>18.600000000000001</v>
      </c>
      <c r="J2099" s="3" t="s">
        <v>31</v>
      </c>
    </row>
    <row r="2100" spans="1:10" x14ac:dyDescent="0.25">
      <c r="A2100" s="1">
        <v>185</v>
      </c>
      <c r="B2100" t="s">
        <v>43</v>
      </c>
      <c r="C2100">
        <v>235</v>
      </c>
      <c r="D2100">
        <v>7</v>
      </c>
      <c r="E2100" t="s">
        <v>90</v>
      </c>
      <c r="F2100" t="s">
        <v>48</v>
      </c>
      <c r="G2100" t="str">
        <f>"2025-01-19 09:37:15.989"</f>
        <v>2025-01-19 09:37:15.989</v>
      </c>
      <c r="H2100" t="s">
        <v>64</v>
      </c>
    </row>
    <row r="2101" spans="1:10" x14ac:dyDescent="0.25">
      <c r="A2101" s="1">
        <v>186</v>
      </c>
      <c r="B2101" t="s">
        <v>39</v>
      </c>
      <c r="C2101">
        <v>235</v>
      </c>
      <c r="D2101">
        <v>7</v>
      </c>
      <c r="E2101" t="s">
        <v>90</v>
      </c>
      <c r="F2101" t="s">
        <v>48</v>
      </c>
      <c r="G2101" t="str">
        <f>"2025-01-19 09:37:10.972"</f>
        <v>2025-01-19 09:37:10.972</v>
      </c>
      <c r="H2101" t="s">
        <v>64</v>
      </c>
      <c r="I2101">
        <v>30.55</v>
      </c>
      <c r="J2101" t="s">
        <v>27</v>
      </c>
    </row>
    <row r="2102" spans="1:10" x14ac:dyDescent="0.25">
      <c r="A2102" s="1">
        <v>187</v>
      </c>
      <c r="B2102" t="s">
        <v>23</v>
      </c>
      <c r="C2102">
        <v>619</v>
      </c>
      <c r="D2102">
        <v>1</v>
      </c>
      <c r="E2102" t="s">
        <v>60</v>
      </c>
      <c r="F2102" t="s">
        <v>25</v>
      </c>
      <c r="G2102" t="str">
        <f>"2025-01-18 18:22:09.009"</f>
        <v>2025-01-18 18:22:09.009</v>
      </c>
      <c r="H2102" t="s">
        <v>61</v>
      </c>
    </row>
    <row r="2103" spans="1:10" x14ac:dyDescent="0.25">
      <c r="A2103" s="1">
        <v>188</v>
      </c>
      <c r="B2103" t="s">
        <v>26</v>
      </c>
      <c r="C2103">
        <v>619</v>
      </c>
      <c r="D2103">
        <v>1</v>
      </c>
      <c r="E2103" t="s">
        <v>60</v>
      </c>
      <c r="F2103" t="s">
        <v>25</v>
      </c>
      <c r="G2103" t="str">
        <f>"2025-01-18 18:21:21.809"</f>
        <v>2025-01-18 18:21:21.809</v>
      </c>
      <c r="H2103" t="s">
        <v>61</v>
      </c>
      <c r="I2103">
        <v>0</v>
      </c>
      <c r="J2103" t="s">
        <v>114</v>
      </c>
    </row>
    <row r="2104" spans="1:10" x14ac:dyDescent="0.25">
      <c r="A2104" s="1">
        <v>189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"2025-01-18 18:21:15.306"</f>
        <v>2025-01-18 18:21:15.306</v>
      </c>
      <c r="H2104" t="s">
        <v>21</v>
      </c>
    </row>
    <row r="2105" spans="1:10" x14ac:dyDescent="0.25">
      <c r="A2105" s="1">
        <v>190</v>
      </c>
      <c r="B2105" t="s">
        <v>23</v>
      </c>
      <c r="C2105">
        <v>98</v>
      </c>
      <c r="D2105">
        <v>1</v>
      </c>
      <c r="E2105" t="s">
        <v>67</v>
      </c>
      <c r="F2105" t="s">
        <v>68</v>
      </c>
      <c r="G2105" t="str">
        <f>"2025-01-18 18:16:07.500"</f>
        <v>2025-01-18 18:16:07.500</v>
      </c>
      <c r="H2105" t="s">
        <v>21</v>
      </c>
    </row>
    <row r="2106" spans="1:10" x14ac:dyDescent="0.25">
      <c r="A2106" s="1">
        <v>191</v>
      </c>
      <c r="B2106" t="s">
        <v>26</v>
      </c>
      <c r="C2106">
        <v>98</v>
      </c>
      <c r="D2106">
        <v>1</v>
      </c>
      <c r="E2106" t="s">
        <v>67</v>
      </c>
      <c r="F2106" t="s">
        <v>68</v>
      </c>
      <c r="G2106" t="str">
        <f>"2025-01-18 18:16:06.501"</f>
        <v>2025-01-18 18:16:06.501</v>
      </c>
      <c r="H2106" t="s">
        <v>21</v>
      </c>
      <c r="I2106">
        <v>0</v>
      </c>
      <c r="J2106" t="s">
        <v>34</v>
      </c>
    </row>
    <row r="2107" spans="1:10" x14ac:dyDescent="0.25">
      <c r="A2107" s="1">
        <v>192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"2025-01-18 18:15:24.308"</f>
        <v>2025-01-18 18:15:24.308</v>
      </c>
      <c r="H2107" t="s">
        <v>21</v>
      </c>
    </row>
    <row r="2108" spans="1:10" x14ac:dyDescent="0.25">
      <c r="A2108" s="1">
        <v>193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"2025-01-18 18:09:57.304"</f>
        <v>2025-01-18 18:09:57.304</v>
      </c>
      <c r="H2108" t="s">
        <v>21</v>
      </c>
    </row>
    <row r="2109" spans="1:10" x14ac:dyDescent="0.25">
      <c r="A2109" s="1">
        <v>194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"2025-01-18 18:05:49.471"</f>
        <v>2025-01-18 18:05:49.471</v>
      </c>
      <c r="H2109" t="s">
        <v>21</v>
      </c>
      <c r="I2109">
        <v>0</v>
      </c>
      <c r="J2109" t="s">
        <v>22</v>
      </c>
    </row>
    <row r="2110" spans="1:10" x14ac:dyDescent="0.25">
      <c r="A2110" s="1">
        <v>195</v>
      </c>
      <c r="B2110" t="s">
        <v>19</v>
      </c>
      <c r="C2110">
        <v>706</v>
      </c>
      <c r="D2110">
        <v>4</v>
      </c>
      <c r="E2110" t="s">
        <v>32</v>
      </c>
      <c r="F2110" t="s">
        <v>33</v>
      </c>
      <c r="G2110" t="str">
        <f>"2025-01-18 10:07:11.718"</f>
        <v>2025-01-18 10:07:11.718</v>
      </c>
      <c r="H2110" t="s">
        <v>21</v>
      </c>
      <c r="I2110">
        <v>0</v>
      </c>
      <c r="J2110" t="s">
        <v>34</v>
      </c>
    </row>
    <row r="2111" spans="1:10" x14ac:dyDescent="0.25">
      <c r="A2111" s="1">
        <v>196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"2025-01-18 10:04:37.468"</f>
        <v>2025-01-18 10:04:37.468</v>
      </c>
      <c r="H2111" t="s">
        <v>21</v>
      </c>
      <c r="I2111">
        <v>0</v>
      </c>
      <c r="J2111" t="s">
        <v>22</v>
      </c>
    </row>
    <row r="2112" spans="1:10" x14ac:dyDescent="0.25">
      <c r="A2112" s="1">
        <v>197</v>
      </c>
      <c r="B2112" t="s">
        <v>43</v>
      </c>
      <c r="C2112">
        <v>235</v>
      </c>
      <c r="D2112">
        <v>4</v>
      </c>
      <c r="E2112" t="s">
        <v>90</v>
      </c>
      <c r="F2112" t="s">
        <v>56</v>
      </c>
      <c r="G2112" t="str">
        <f>"2025-01-18 04:20:24.679"</f>
        <v>2025-01-18 04:20:24.679</v>
      </c>
      <c r="H2112" t="s">
        <v>64</v>
      </c>
    </row>
    <row r="2113" spans="1:10" x14ac:dyDescent="0.25">
      <c r="A2113" s="1">
        <v>198</v>
      </c>
      <c r="B2113" t="s">
        <v>39</v>
      </c>
      <c r="C2113">
        <v>235</v>
      </c>
      <c r="D2113">
        <v>4</v>
      </c>
      <c r="E2113" t="s">
        <v>90</v>
      </c>
      <c r="F2113" t="s">
        <v>56</v>
      </c>
      <c r="G2113" t="str">
        <f>"2025-01-18 04:20:19.624"</f>
        <v>2025-01-18 04:20:19.624</v>
      </c>
      <c r="H2113" t="s">
        <v>64</v>
      </c>
      <c r="I2113">
        <v>13.48</v>
      </c>
      <c r="J2113" t="s">
        <v>27</v>
      </c>
    </row>
    <row r="2114" spans="1:10" s="3" customFormat="1" x14ac:dyDescent="0.25">
      <c r="A2114" s="2">
        <v>199</v>
      </c>
      <c r="B2114" s="3" t="s">
        <v>23</v>
      </c>
      <c r="C2114" s="3">
        <v>647</v>
      </c>
      <c r="D2114" s="3">
        <v>1</v>
      </c>
      <c r="E2114" s="3" t="s">
        <v>29</v>
      </c>
      <c r="F2114" s="3" t="s">
        <v>30</v>
      </c>
      <c r="G2114" s="3" t="str">
        <f>"2025-01-17 01:58:00.719"</f>
        <v>2025-01-17 01:58:00.719</v>
      </c>
      <c r="H2114" s="3" t="s">
        <v>21</v>
      </c>
    </row>
    <row r="2115" spans="1:10" s="3" customFormat="1" x14ac:dyDescent="0.25">
      <c r="A2115" s="2">
        <v>200</v>
      </c>
      <c r="B2115" s="3" t="s">
        <v>26</v>
      </c>
      <c r="C2115" s="3">
        <v>647</v>
      </c>
      <c r="D2115" s="3">
        <v>1</v>
      </c>
      <c r="E2115" s="3" t="s">
        <v>29</v>
      </c>
      <c r="F2115" s="3" t="s">
        <v>30</v>
      </c>
      <c r="G2115" s="3" t="str">
        <f>"2025-01-17 01:57:59.019"</f>
        <v>2025-01-17 01:57:59.019</v>
      </c>
      <c r="H2115" s="3" t="s">
        <v>21</v>
      </c>
      <c r="I2115" s="3">
        <v>18.55</v>
      </c>
      <c r="J2115" s="3" t="s">
        <v>31</v>
      </c>
    </row>
    <row r="2116" spans="1:10" x14ac:dyDescent="0.25">
      <c r="A2116" s="1">
        <v>201</v>
      </c>
      <c r="B2116" t="s">
        <v>23</v>
      </c>
      <c r="C2116">
        <v>635</v>
      </c>
      <c r="D2116">
        <v>1</v>
      </c>
      <c r="E2116" t="s">
        <v>24</v>
      </c>
      <c r="F2116" t="s">
        <v>25</v>
      </c>
      <c r="G2116" t="str">
        <f>"2025-01-16 22:03:45.971"</f>
        <v>2025-01-16 22:03:45.971</v>
      </c>
      <c r="H2116" t="s">
        <v>21</v>
      </c>
    </row>
    <row r="2117" spans="1:10" x14ac:dyDescent="0.25">
      <c r="A2117" s="1">
        <v>202</v>
      </c>
      <c r="B2117" t="s">
        <v>26</v>
      </c>
      <c r="C2117">
        <v>635</v>
      </c>
      <c r="D2117">
        <v>1</v>
      </c>
      <c r="E2117" t="s">
        <v>24</v>
      </c>
      <c r="F2117" t="s">
        <v>25</v>
      </c>
      <c r="G2117" t="str">
        <f>"2025-01-16 21:46:12.471"</f>
        <v>2025-01-16 21:46:12.471</v>
      </c>
      <c r="H2117" t="s">
        <v>21</v>
      </c>
      <c r="I2117">
        <v>9.06</v>
      </c>
      <c r="J2117" t="s">
        <v>27</v>
      </c>
    </row>
    <row r="2118" spans="1:10" s="3" customFormat="1" x14ac:dyDescent="0.25">
      <c r="A2118" s="2">
        <v>203</v>
      </c>
      <c r="B2118" s="3" t="s">
        <v>23</v>
      </c>
      <c r="C2118" s="3">
        <v>647</v>
      </c>
      <c r="D2118" s="3">
        <v>1</v>
      </c>
      <c r="E2118" s="3" t="s">
        <v>29</v>
      </c>
      <c r="F2118" s="3" t="s">
        <v>30</v>
      </c>
      <c r="G2118" s="3" t="str">
        <f>"2025-01-16 19:33:49.819"</f>
        <v>2025-01-16 19:33:49.819</v>
      </c>
      <c r="H2118" s="3" t="s">
        <v>21</v>
      </c>
    </row>
    <row r="2119" spans="1:10" s="3" customFormat="1" x14ac:dyDescent="0.25">
      <c r="A2119" s="2">
        <v>204</v>
      </c>
      <c r="B2119" s="3" t="s">
        <v>26</v>
      </c>
      <c r="C2119" s="3">
        <v>647</v>
      </c>
      <c r="D2119" s="3">
        <v>1</v>
      </c>
      <c r="E2119" s="3" t="s">
        <v>29</v>
      </c>
      <c r="F2119" s="3" t="s">
        <v>30</v>
      </c>
      <c r="G2119" s="3" t="str">
        <f>"2025-01-16 19:33:44.919"</f>
        <v>2025-01-16 19:33:44.919</v>
      </c>
      <c r="H2119" s="3" t="s">
        <v>21</v>
      </c>
      <c r="I2119" s="3">
        <v>17.48</v>
      </c>
      <c r="J2119" s="3" t="s">
        <v>31</v>
      </c>
    </row>
    <row r="2120" spans="1:10" x14ac:dyDescent="0.25">
      <c r="A2120" s="1">
        <v>205</v>
      </c>
      <c r="B2120" t="s">
        <v>23</v>
      </c>
      <c r="C2120">
        <v>635</v>
      </c>
      <c r="D2120">
        <v>1</v>
      </c>
      <c r="E2120" t="s">
        <v>24</v>
      </c>
      <c r="F2120" t="s">
        <v>25</v>
      </c>
      <c r="G2120" t="str">
        <f>"2025-01-15 21:55:30.871"</f>
        <v>2025-01-15 21:55:30.871</v>
      </c>
      <c r="H2120" t="s">
        <v>21</v>
      </c>
    </row>
    <row r="2121" spans="1:10" x14ac:dyDescent="0.25">
      <c r="A2121" s="1">
        <v>206</v>
      </c>
      <c r="B2121" t="s">
        <v>26</v>
      </c>
      <c r="C2121">
        <v>635</v>
      </c>
      <c r="D2121">
        <v>1</v>
      </c>
      <c r="E2121" t="s">
        <v>24</v>
      </c>
      <c r="F2121" t="s">
        <v>25</v>
      </c>
      <c r="G2121" t="str">
        <f>"2025-01-15 21:40:30.871"</f>
        <v>2025-01-15 21:40:30.871</v>
      </c>
      <c r="H2121" t="s">
        <v>21</v>
      </c>
      <c r="I2121">
        <v>8.65</v>
      </c>
      <c r="J2121" t="s">
        <v>27</v>
      </c>
    </row>
    <row r="2122" spans="1:10" x14ac:dyDescent="0.25">
      <c r="A2122" s="1">
        <v>207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"2025-01-15 13:52:57.299"</f>
        <v>2025-01-15 13:52:57.299</v>
      </c>
      <c r="H2122" t="s">
        <v>21</v>
      </c>
      <c r="I2122">
        <v>0</v>
      </c>
      <c r="J2122" t="s">
        <v>22</v>
      </c>
    </row>
    <row r="2123" spans="1:10" s="3" customFormat="1" x14ac:dyDescent="0.25">
      <c r="A2123" s="2">
        <v>208</v>
      </c>
      <c r="B2123" s="3" t="s">
        <v>23</v>
      </c>
      <c r="C2123" s="3">
        <v>647</v>
      </c>
      <c r="D2123" s="3">
        <v>1</v>
      </c>
      <c r="E2123" s="3" t="s">
        <v>29</v>
      </c>
      <c r="F2123" s="3" t="s">
        <v>30</v>
      </c>
      <c r="G2123" s="3" t="str">
        <f>"2025-01-15 03:25:03.370"</f>
        <v>2025-01-15 03:25:03.370</v>
      </c>
      <c r="H2123" s="3" t="s">
        <v>21</v>
      </c>
    </row>
    <row r="2124" spans="1:10" s="3" customFormat="1" x14ac:dyDescent="0.25">
      <c r="A2124" s="2">
        <v>209</v>
      </c>
      <c r="B2124" s="3" t="s">
        <v>26</v>
      </c>
      <c r="C2124" s="3">
        <v>647</v>
      </c>
      <c r="D2124" s="3">
        <v>1</v>
      </c>
      <c r="E2124" s="3" t="s">
        <v>29</v>
      </c>
      <c r="F2124" s="3" t="s">
        <v>30</v>
      </c>
      <c r="G2124" s="3" t="str">
        <f>"2025-01-15 03:24:59.670"</f>
        <v>2025-01-15 03:24:59.670</v>
      </c>
      <c r="H2124" s="3" t="s">
        <v>21</v>
      </c>
      <c r="I2124" s="3">
        <v>18.989999999999998</v>
      </c>
      <c r="J2124" s="3" t="s">
        <v>31</v>
      </c>
    </row>
    <row r="2125" spans="1:10" s="3" customFormat="1" x14ac:dyDescent="0.25">
      <c r="A2125" s="2">
        <v>210</v>
      </c>
      <c r="B2125" s="3" t="s">
        <v>23</v>
      </c>
      <c r="C2125" s="3">
        <v>647</v>
      </c>
      <c r="D2125" s="3">
        <v>1</v>
      </c>
      <c r="E2125" s="3" t="s">
        <v>29</v>
      </c>
      <c r="F2125" s="3" t="s">
        <v>30</v>
      </c>
      <c r="G2125" s="3" t="str">
        <f>"2025-01-14 21:58:19.170"</f>
        <v>2025-01-14 21:58:19.170</v>
      </c>
      <c r="H2125" s="3" t="s">
        <v>21</v>
      </c>
    </row>
    <row r="2126" spans="1:10" s="3" customFormat="1" x14ac:dyDescent="0.25">
      <c r="A2126" s="2">
        <v>211</v>
      </c>
      <c r="B2126" s="3" t="s">
        <v>26</v>
      </c>
      <c r="C2126" s="3">
        <v>647</v>
      </c>
      <c r="D2126" s="3">
        <v>1</v>
      </c>
      <c r="E2126" s="3" t="s">
        <v>29</v>
      </c>
      <c r="F2126" s="3" t="s">
        <v>30</v>
      </c>
      <c r="G2126" s="3" t="str">
        <f>"2025-01-14 21:58:17.870"</f>
        <v>2025-01-14 21:58:17.870</v>
      </c>
      <c r="H2126" s="3" t="s">
        <v>21</v>
      </c>
      <c r="I2126" s="3">
        <v>14.17</v>
      </c>
      <c r="J2126" s="3" t="s">
        <v>31</v>
      </c>
    </row>
    <row r="2127" spans="1:10" x14ac:dyDescent="0.25">
      <c r="A2127" s="1">
        <v>215</v>
      </c>
      <c r="B2127" t="s">
        <v>23</v>
      </c>
      <c r="C2127">
        <v>61</v>
      </c>
      <c r="D2127">
        <v>2</v>
      </c>
      <c r="E2127" t="s">
        <v>41</v>
      </c>
      <c r="F2127" t="s">
        <v>42</v>
      </c>
      <c r="G2127" t="str">
        <f>"2025-01-14 16:09:22.291"</f>
        <v>2025-01-14 16:09:22.291</v>
      </c>
      <c r="H2127" t="s">
        <v>21</v>
      </c>
    </row>
    <row r="2128" spans="1:10" x14ac:dyDescent="0.25">
      <c r="A2128" s="1">
        <v>216</v>
      </c>
      <c r="B2128" t="s">
        <v>39</v>
      </c>
      <c r="C2128">
        <v>61</v>
      </c>
      <c r="D2128">
        <v>2</v>
      </c>
      <c r="E2128" t="s">
        <v>41</v>
      </c>
      <c r="F2128" t="s">
        <v>42</v>
      </c>
      <c r="G2128" t="str">
        <f>"2025-01-14 16:09:13.791"</f>
        <v>2025-01-14 16:09:13.791</v>
      </c>
      <c r="H2128" t="s">
        <v>21</v>
      </c>
      <c r="I2128">
        <v>35.24</v>
      </c>
      <c r="J2128" t="s">
        <v>31</v>
      </c>
    </row>
    <row r="2129" spans="1:10" x14ac:dyDescent="0.25">
      <c r="A2129" s="1">
        <v>217</v>
      </c>
      <c r="B2129" t="s">
        <v>23</v>
      </c>
      <c r="C2129">
        <v>61</v>
      </c>
      <c r="D2129">
        <v>2</v>
      </c>
      <c r="E2129" t="s">
        <v>41</v>
      </c>
      <c r="F2129" t="s">
        <v>42</v>
      </c>
      <c r="G2129" t="str">
        <f>"2025-01-14 15:23:49.491"</f>
        <v>2025-01-14 15:23:49.491</v>
      </c>
      <c r="H2129" t="s">
        <v>21</v>
      </c>
    </row>
    <row r="2130" spans="1:10" x14ac:dyDescent="0.25">
      <c r="A2130" s="1">
        <v>218</v>
      </c>
      <c r="B2130" t="s">
        <v>39</v>
      </c>
      <c r="C2130">
        <v>61</v>
      </c>
      <c r="D2130">
        <v>2</v>
      </c>
      <c r="E2130" t="s">
        <v>41</v>
      </c>
      <c r="F2130" t="s">
        <v>42</v>
      </c>
      <c r="G2130" t="str">
        <f>"2025-01-14 15:23:33.691"</f>
        <v>2025-01-14 15:23:33.691</v>
      </c>
      <c r="H2130" t="s">
        <v>21</v>
      </c>
      <c r="I2130">
        <v>36.270000000000003</v>
      </c>
      <c r="J2130" t="s">
        <v>31</v>
      </c>
    </row>
    <row r="2131" spans="1:10" x14ac:dyDescent="0.25">
      <c r="A2131" s="1">
        <v>219</v>
      </c>
      <c r="B2131" t="s">
        <v>23</v>
      </c>
      <c r="C2131">
        <v>630</v>
      </c>
      <c r="D2131">
        <v>5</v>
      </c>
      <c r="E2131" t="s">
        <v>36</v>
      </c>
      <c r="F2131" t="s">
        <v>37</v>
      </c>
      <c r="G2131" t="str">
        <f>"2025-01-14 13:20:15.691"</f>
        <v>2025-01-14 13:20:15.691</v>
      </c>
      <c r="H2131" t="s">
        <v>38</v>
      </c>
    </row>
    <row r="2132" spans="1:10" x14ac:dyDescent="0.25">
      <c r="A2132" s="1">
        <v>220</v>
      </c>
      <c r="B2132" t="s">
        <v>19</v>
      </c>
      <c r="C2132">
        <v>706</v>
      </c>
      <c r="D2132">
        <v>4</v>
      </c>
      <c r="E2132" t="s">
        <v>32</v>
      </c>
      <c r="F2132" t="s">
        <v>33</v>
      </c>
      <c r="G2132" t="str">
        <f>"2025-01-14 13:19:45.749"</f>
        <v>2025-01-14 13:19:45.749</v>
      </c>
      <c r="H2132" t="s">
        <v>21</v>
      </c>
      <c r="I2132">
        <v>0</v>
      </c>
      <c r="J2132" t="s">
        <v>34</v>
      </c>
    </row>
    <row r="2133" spans="1:10" x14ac:dyDescent="0.25">
      <c r="A2133" s="1">
        <v>221</v>
      </c>
      <c r="B2133" t="s">
        <v>39</v>
      </c>
      <c r="C2133">
        <v>630</v>
      </c>
      <c r="D2133">
        <v>5</v>
      </c>
      <c r="E2133" t="s">
        <v>36</v>
      </c>
      <c r="F2133" t="s">
        <v>37</v>
      </c>
      <c r="G2133" t="str">
        <f>"2025-01-14 12:50:47.091"</f>
        <v>2025-01-14 12:50:47.091</v>
      </c>
      <c r="H2133" t="s">
        <v>38</v>
      </c>
      <c r="I2133">
        <v>0</v>
      </c>
      <c r="J2133" t="s">
        <v>34</v>
      </c>
    </row>
    <row r="2134" spans="1:10" x14ac:dyDescent="0.25">
      <c r="A2134" s="1">
        <v>222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"2025-01-14 12:45:44.309"</f>
        <v>2025-01-14 12:45:44.309</v>
      </c>
      <c r="H2134" t="s">
        <v>21</v>
      </c>
      <c r="I2134">
        <v>0</v>
      </c>
      <c r="J2134" t="s">
        <v>22</v>
      </c>
    </row>
    <row r="2135" spans="1:10" x14ac:dyDescent="0.25">
      <c r="A2135" s="1">
        <v>223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"2025-01-14 11:18:51.299"</f>
        <v>2025-01-14 11:18:51.299</v>
      </c>
      <c r="H2135" t="s">
        <v>21</v>
      </c>
      <c r="I2135">
        <v>0</v>
      </c>
      <c r="J2135" t="s">
        <v>22</v>
      </c>
    </row>
    <row r="2136" spans="1:10" x14ac:dyDescent="0.25">
      <c r="A2136" s="1">
        <v>224</v>
      </c>
      <c r="B2136" t="s">
        <v>23</v>
      </c>
      <c r="C2136">
        <v>619</v>
      </c>
      <c r="D2136">
        <v>1</v>
      </c>
      <c r="E2136" t="s">
        <v>60</v>
      </c>
      <c r="F2136" t="s">
        <v>25</v>
      </c>
      <c r="G2136" t="str">
        <f>"2025-01-14 11:17:26.764"</f>
        <v>2025-01-14 11:17:26.764</v>
      </c>
      <c r="H2136" t="s">
        <v>61</v>
      </c>
    </row>
    <row r="2137" spans="1:10" x14ac:dyDescent="0.25">
      <c r="A2137" s="1">
        <v>225</v>
      </c>
      <c r="B2137" t="s">
        <v>26</v>
      </c>
      <c r="C2137">
        <v>619</v>
      </c>
      <c r="D2137">
        <v>1</v>
      </c>
      <c r="E2137" t="s">
        <v>60</v>
      </c>
      <c r="F2137" t="s">
        <v>25</v>
      </c>
      <c r="G2137" t="str">
        <f>"2025-01-14 11:16:37.311"</f>
        <v>2025-01-14 11:16:37.311</v>
      </c>
      <c r="H2137" t="s">
        <v>61</v>
      </c>
      <c r="I2137">
        <v>0</v>
      </c>
      <c r="J2137" t="s">
        <v>34</v>
      </c>
    </row>
    <row r="2138" spans="1:10" x14ac:dyDescent="0.25">
      <c r="A2138" s="1">
        <v>226</v>
      </c>
      <c r="B2138" t="s">
        <v>19</v>
      </c>
      <c r="C2138">
        <v>706</v>
      </c>
      <c r="D2138">
        <v>4</v>
      </c>
      <c r="E2138" t="s">
        <v>32</v>
      </c>
      <c r="F2138" t="s">
        <v>33</v>
      </c>
      <c r="G2138" t="str">
        <f>"2025-01-14 11:16:32.433"</f>
        <v>2025-01-14 11:16:32.433</v>
      </c>
      <c r="H2138" t="s">
        <v>21</v>
      </c>
      <c r="I2138">
        <v>0</v>
      </c>
      <c r="J2138" t="s">
        <v>34</v>
      </c>
    </row>
    <row r="2139" spans="1:10" x14ac:dyDescent="0.25">
      <c r="A2139" s="1">
        <v>227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"2025-01-14 11:14:30.283"</f>
        <v>2025-01-14 11:14:30.283</v>
      </c>
      <c r="H2139" t="s">
        <v>21</v>
      </c>
      <c r="I2139">
        <v>0</v>
      </c>
      <c r="J2139" t="s">
        <v>22</v>
      </c>
    </row>
    <row r="2140" spans="1:10" x14ac:dyDescent="0.25">
      <c r="A2140" s="1">
        <v>228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"2025-01-14 10:56:31.358"</f>
        <v>2025-01-14 10:56:31.358</v>
      </c>
      <c r="H2140" t="s">
        <v>21</v>
      </c>
    </row>
    <row r="2141" spans="1:10" x14ac:dyDescent="0.25">
      <c r="A2141" s="1">
        <v>229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"2025-01-14 10:48:49.377"</f>
        <v>2025-01-14 10:48:49.377</v>
      </c>
      <c r="H2141" t="s">
        <v>21</v>
      </c>
      <c r="I2141">
        <v>0</v>
      </c>
      <c r="J2141" t="s">
        <v>22</v>
      </c>
    </row>
    <row r="2142" spans="1:10" x14ac:dyDescent="0.25">
      <c r="A2142" s="1">
        <v>230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"2025-01-14 10:40:49.299"</f>
        <v>2025-01-14 10:40:49.299</v>
      </c>
      <c r="H2142" t="s">
        <v>21</v>
      </c>
      <c r="I2142">
        <v>0</v>
      </c>
      <c r="J2142" t="s">
        <v>22</v>
      </c>
    </row>
    <row r="2143" spans="1:10" x14ac:dyDescent="0.25">
      <c r="A2143" s="1">
        <v>231</v>
      </c>
      <c r="B2143" t="s">
        <v>19</v>
      </c>
      <c r="C2143">
        <v>706</v>
      </c>
      <c r="D2143">
        <v>4</v>
      </c>
      <c r="E2143" t="s">
        <v>32</v>
      </c>
      <c r="F2143" t="s">
        <v>33</v>
      </c>
      <c r="G2143" t="str">
        <f>"2025-01-14 09:16:19.732"</f>
        <v>2025-01-14 09:16:19.732</v>
      </c>
      <c r="H2143" t="s">
        <v>21</v>
      </c>
      <c r="I2143">
        <v>0</v>
      </c>
      <c r="J2143" t="s">
        <v>34</v>
      </c>
    </row>
    <row r="2144" spans="1:10" x14ac:dyDescent="0.25">
      <c r="A2144" s="1">
        <v>232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"2025-01-14 09:13:31.292"</f>
        <v>2025-01-14 09:13:31.292</v>
      </c>
      <c r="H2144" t="s">
        <v>21</v>
      </c>
      <c r="I2144">
        <v>0</v>
      </c>
      <c r="J2144" t="s">
        <v>22</v>
      </c>
    </row>
    <row r="2145" spans="1:10" x14ac:dyDescent="0.25">
      <c r="A2145" s="1">
        <v>233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"2025-01-14 09:00:21.289"</f>
        <v>2025-01-14 09:00:21.289</v>
      </c>
      <c r="H2145" t="s">
        <v>21</v>
      </c>
      <c r="I2145">
        <v>0</v>
      </c>
      <c r="J2145" t="s">
        <v>22</v>
      </c>
    </row>
    <row r="2146" spans="1:10" x14ac:dyDescent="0.25">
      <c r="A2146" s="1">
        <v>234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"2025-01-14 08:24:17.302"</f>
        <v>2025-01-14 08:24:17.302</v>
      </c>
      <c r="H2146" t="s">
        <v>21</v>
      </c>
    </row>
    <row r="2147" spans="1:10" x14ac:dyDescent="0.25">
      <c r="A2147" s="1">
        <v>235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"2025-01-14 08:16:43.280"</f>
        <v>2025-01-14 08:16:43.280</v>
      </c>
      <c r="H2147" t="s">
        <v>21</v>
      </c>
    </row>
    <row r="2148" spans="1:10" x14ac:dyDescent="0.25">
      <c r="A2148" s="1">
        <v>236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"2025-01-14 08:06:02.284"</f>
        <v>2025-01-14 08:06:02.284</v>
      </c>
      <c r="H2148" t="s">
        <v>21</v>
      </c>
    </row>
    <row r="2149" spans="1:10" x14ac:dyDescent="0.25">
      <c r="A2149" s="1">
        <v>237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"2025-01-14 08:01:46.305"</f>
        <v>2025-01-14 08:01:46.305</v>
      </c>
      <c r="H2149" t="s">
        <v>21</v>
      </c>
      <c r="I2149">
        <v>0</v>
      </c>
      <c r="J2149" t="s">
        <v>22</v>
      </c>
    </row>
    <row r="2150" spans="1:10" x14ac:dyDescent="0.25">
      <c r="A2150" s="1">
        <v>238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"2025-01-13 00:38:40.312"</f>
        <v>2025-01-13 00:38:40.312</v>
      </c>
      <c r="H2150" t="s">
        <v>21</v>
      </c>
    </row>
    <row r="2151" spans="1:10" x14ac:dyDescent="0.25">
      <c r="A2151" s="1">
        <v>239</v>
      </c>
      <c r="B2151" t="s">
        <v>23</v>
      </c>
      <c r="C2151">
        <v>635</v>
      </c>
      <c r="D2151">
        <v>1</v>
      </c>
      <c r="E2151" t="s">
        <v>24</v>
      </c>
      <c r="F2151" t="s">
        <v>25</v>
      </c>
      <c r="G2151" t="str">
        <f>"2025-01-12 22:55:12.906"</f>
        <v>2025-01-12 22:55:12.906</v>
      </c>
      <c r="H2151" t="s">
        <v>21</v>
      </c>
    </row>
    <row r="2152" spans="1:10" x14ac:dyDescent="0.25">
      <c r="A2152" s="1">
        <v>240</v>
      </c>
      <c r="B2152" t="s">
        <v>26</v>
      </c>
      <c r="C2152">
        <v>635</v>
      </c>
      <c r="D2152">
        <v>1</v>
      </c>
      <c r="E2152" t="s">
        <v>24</v>
      </c>
      <c r="F2152" t="s">
        <v>25</v>
      </c>
      <c r="G2152" t="str">
        <f>"2025-01-12 22:43:20.406"</f>
        <v>2025-01-12 22:43:20.406</v>
      </c>
      <c r="H2152" t="s">
        <v>21</v>
      </c>
      <c r="I2152">
        <v>7.07</v>
      </c>
      <c r="J2152" t="s">
        <v>27</v>
      </c>
    </row>
    <row r="2153" spans="1:10" s="3" customFormat="1" x14ac:dyDescent="0.25">
      <c r="A2153" s="2">
        <v>241</v>
      </c>
      <c r="B2153" s="3" t="s">
        <v>23</v>
      </c>
      <c r="C2153" s="3">
        <v>647</v>
      </c>
      <c r="D2153" s="3">
        <v>1</v>
      </c>
      <c r="E2153" s="3" t="s">
        <v>29</v>
      </c>
      <c r="F2153" s="3" t="s">
        <v>30</v>
      </c>
      <c r="G2153" s="3" t="str">
        <f>"2025-01-10 23:06:28.206"</f>
        <v>2025-01-10 23:06:28.206</v>
      </c>
      <c r="H2153" s="3" t="s">
        <v>21</v>
      </c>
    </row>
    <row r="2154" spans="1:10" s="3" customFormat="1" x14ac:dyDescent="0.25">
      <c r="A2154" s="2">
        <v>242</v>
      </c>
      <c r="B2154" s="3" t="s">
        <v>26</v>
      </c>
      <c r="C2154" s="3">
        <v>647</v>
      </c>
      <c r="D2154" s="3">
        <v>1</v>
      </c>
      <c r="E2154" s="3" t="s">
        <v>29</v>
      </c>
      <c r="F2154" s="3" t="s">
        <v>30</v>
      </c>
      <c r="G2154" s="3" t="str">
        <f>"2025-01-10 23:06:25.307"</f>
        <v>2025-01-10 23:06:25.307</v>
      </c>
      <c r="H2154" s="3" t="s">
        <v>21</v>
      </c>
      <c r="I2154" s="3">
        <v>16.62</v>
      </c>
      <c r="J2154" s="3" t="s">
        <v>31</v>
      </c>
    </row>
    <row r="2155" spans="1:10" x14ac:dyDescent="0.25">
      <c r="A2155" s="1">
        <v>243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"2025-01-10 04:06:47.259"</f>
        <v>2025-01-10 04:06:47.259</v>
      </c>
      <c r="H2155" t="s">
        <v>21</v>
      </c>
    </row>
    <row r="2156" spans="1:10" x14ac:dyDescent="0.25">
      <c r="A2156" s="1">
        <v>244</v>
      </c>
      <c r="B2156" t="s">
        <v>19</v>
      </c>
      <c r="C2156">
        <v>706</v>
      </c>
      <c r="D2156">
        <v>2</v>
      </c>
      <c r="E2156" t="s">
        <v>32</v>
      </c>
      <c r="F2156" t="s">
        <v>35</v>
      </c>
      <c r="G2156" t="str">
        <f>"2025-01-10 04:04:53.310"</f>
        <v>2025-01-10 04:04:53.310</v>
      </c>
      <c r="H2156" t="s">
        <v>21</v>
      </c>
      <c r="I2156">
        <v>0</v>
      </c>
      <c r="J2156" t="s">
        <v>34</v>
      </c>
    </row>
    <row r="2157" spans="1:10" x14ac:dyDescent="0.25">
      <c r="A2157" s="1">
        <v>245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"2025-01-10 04:01:31.280"</f>
        <v>2025-01-10 04:01:31.280</v>
      </c>
      <c r="H2157" t="s">
        <v>21</v>
      </c>
    </row>
    <row r="2158" spans="1:10" x14ac:dyDescent="0.25">
      <c r="A2158" s="1">
        <v>246</v>
      </c>
      <c r="B2158" t="s">
        <v>39</v>
      </c>
      <c r="C2158">
        <v>630</v>
      </c>
      <c r="D2158">
        <v>5</v>
      </c>
      <c r="E2158" t="s">
        <v>36</v>
      </c>
      <c r="F2158" t="s">
        <v>37</v>
      </c>
      <c r="G2158" t="str">
        <f>"2025-01-10 02:36:51.019"</f>
        <v>2025-01-10 02:36:51.019</v>
      </c>
      <c r="H2158" t="s">
        <v>38</v>
      </c>
      <c r="I2158">
        <v>0</v>
      </c>
      <c r="J2158" t="s">
        <v>34</v>
      </c>
    </row>
    <row r="2159" spans="1:10" x14ac:dyDescent="0.25">
      <c r="A2159" s="1">
        <v>247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"2025-01-10 02:31:48.298"</f>
        <v>2025-01-10 02:31:48.298</v>
      </c>
      <c r="H2159" t="s">
        <v>21</v>
      </c>
    </row>
    <row r="2160" spans="1:10" s="3" customFormat="1" x14ac:dyDescent="0.25">
      <c r="A2160" s="2">
        <v>248</v>
      </c>
      <c r="B2160" s="3" t="s">
        <v>23</v>
      </c>
      <c r="C2160" s="3">
        <v>647</v>
      </c>
      <c r="D2160" s="3">
        <v>1</v>
      </c>
      <c r="E2160" s="3" t="s">
        <v>29</v>
      </c>
      <c r="F2160" s="3" t="s">
        <v>30</v>
      </c>
      <c r="G2160" s="3" t="str">
        <f>"2025-01-10 01:42:28.197"</f>
        <v>2025-01-10 01:42:28.197</v>
      </c>
      <c r="H2160" s="3" t="s">
        <v>21</v>
      </c>
    </row>
    <row r="2161" spans="1:10" s="3" customFormat="1" x14ac:dyDescent="0.25">
      <c r="A2161" s="2">
        <v>249</v>
      </c>
      <c r="B2161" s="3" t="s">
        <v>26</v>
      </c>
      <c r="C2161" s="3">
        <v>647</v>
      </c>
      <c r="D2161" s="3">
        <v>1</v>
      </c>
      <c r="E2161" s="3" t="s">
        <v>29</v>
      </c>
      <c r="F2161" s="3" t="s">
        <v>30</v>
      </c>
      <c r="G2161" s="3" t="str">
        <f>"2025-01-10 01:42:27.098"</f>
        <v>2025-01-10 01:42:27.098</v>
      </c>
      <c r="H2161" s="3" t="s">
        <v>21</v>
      </c>
      <c r="I2161" s="3">
        <v>18.510000000000002</v>
      </c>
      <c r="J2161" s="3" t="s">
        <v>31</v>
      </c>
    </row>
    <row r="2162" spans="1:10" x14ac:dyDescent="0.25">
      <c r="A2162" s="1">
        <v>253</v>
      </c>
      <c r="B2162" t="s">
        <v>23</v>
      </c>
      <c r="C2162">
        <v>630</v>
      </c>
      <c r="D2162">
        <v>5</v>
      </c>
      <c r="E2162" t="s">
        <v>36</v>
      </c>
      <c r="F2162" t="s">
        <v>37</v>
      </c>
      <c r="G2162" t="str">
        <f>"2025-01-08 11:27:33.904"</f>
        <v>2025-01-08 11:27:33.904</v>
      </c>
      <c r="H2162" t="s">
        <v>38</v>
      </c>
    </row>
    <row r="2163" spans="1:10" x14ac:dyDescent="0.25">
      <c r="A2163" s="1">
        <v>254</v>
      </c>
      <c r="B2163" t="s">
        <v>19</v>
      </c>
      <c r="C2163">
        <v>706</v>
      </c>
      <c r="D2163">
        <v>2</v>
      </c>
      <c r="E2163" t="s">
        <v>32</v>
      </c>
      <c r="F2163" t="s">
        <v>35</v>
      </c>
      <c r="G2163" t="str">
        <f>"2025-01-08 11:27:03.802"</f>
        <v>2025-01-08 11:27:03.802</v>
      </c>
      <c r="H2163" t="s">
        <v>21</v>
      </c>
      <c r="I2163">
        <v>0</v>
      </c>
      <c r="J2163" t="s">
        <v>34</v>
      </c>
    </row>
    <row r="2164" spans="1:10" x14ac:dyDescent="0.25">
      <c r="A2164" s="1">
        <v>255</v>
      </c>
      <c r="B2164" t="s">
        <v>39</v>
      </c>
      <c r="C2164">
        <v>630</v>
      </c>
      <c r="D2164">
        <v>5</v>
      </c>
      <c r="E2164" t="s">
        <v>36</v>
      </c>
      <c r="F2164" t="s">
        <v>37</v>
      </c>
      <c r="G2164" t="str">
        <f>"2025-01-08 11:12:17.705"</f>
        <v>2025-01-08 11:12:17.705</v>
      </c>
      <c r="H2164" t="s">
        <v>38</v>
      </c>
      <c r="I2164">
        <v>0</v>
      </c>
      <c r="J2164" t="s">
        <v>34</v>
      </c>
    </row>
    <row r="2165" spans="1:10" x14ac:dyDescent="0.25">
      <c r="A2165" s="1">
        <v>256</v>
      </c>
      <c r="B2165" t="s">
        <v>19</v>
      </c>
      <c r="C2165">
        <v>706</v>
      </c>
      <c r="D2165">
        <v>4</v>
      </c>
      <c r="E2165" t="s">
        <v>32</v>
      </c>
      <c r="F2165" t="s">
        <v>33</v>
      </c>
      <c r="G2165" t="str">
        <f>"2025-01-08 10:28:24.462"</f>
        <v>2025-01-08 10:28:24.462</v>
      </c>
      <c r="H2165" t="s">
        <v>21</v>
      </c>
      <c r="I2165">
        <v>0</v>
      </c>
      <c r="J2165" t="s">
        <v>34</v>
      </c>
    </row>
    <row r="2166" spans="1:10" x14ac:dyDescent="0.25">
      <c r="A2166" s="1">
        <v>257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"2025-01-08 10:28:09.322"</f>
        <v>2025-01-08 10:28:09.322</v>
      </c>
      <c r="H2166" t="s">
        <v>21</v>
      </c>
      <c r="I2166">
        <v>0</v>
      </c>
      <c r="J2166" t="s">
        <v>22</v>
      </c>
    </row>
    <row r="2167" spans="1:10" x14ac:dyDescent="0.25">
      <c r="A2167" s="1">
        <v>258</v>
      </c>
      <c r="B2167" t="s">
        <v>23</v>
      </c>
      <c r="C2167">
        <v>635</v>
      </c>
      <c r="D2167">
        <v>1</v>
      </c>
      <c r="E2167" t="s">
        <v>24</v>
      </c>
      <c r="F2167" t="s">
        <v>25</v>
      </c>
      <c r="G2167" t="str">
        <f>"2025-01-08 08:43:20.274"</f>
        <v>2025-01-08 08:43:20.274</v>
      </c>
      <c r="H2167" t="s">
        <v>21</v>
      </c>
    </row>
    <row r="2168" spans="1:10" x14ac:dyDescent="0.25">
      <c r="A2168" s="1">
        <v>259</v>
      </c>
      <c r="B2168" t="s">
        <v>26</v>
      </c>
      <c r="C2168">
        <v>635</v>
      </c>
      <c r="D2168">
        <v>1</v>
      </c>
      <c r="E2168" t="s">
        <v>24</v>
      </c>
      <c r="F2168" t="s">
        <v>25</v>
      </c>
      <c r="G2168" t="str">
        <f>"2025-01-08 08:28:13.774"</f>
        <v>2025-01-08 08:28:13.774</v>
      </c>
      <c r="H2168" t="s">
        <v>21</v>
      </c>
      <c r="I2168">
        <v>6.73</v>
      </c>
      <c r="J2168" t="s">
        <v>27</v>
      </c>
    </row>
    <row r="2169" spans="1:10" x14ac:dyDescent="0.25">
      <c r="A2169" s="1">
        <v>260</v>
      </c>
      <c r="B2169" t="s">
        <v>23</v>
      </c>
      <c r="C2169">
        <v>635</v>
      </c>
      <c r="D2169">
        <v>1</v>
      </c>
      <c r="E2169" t="s">
        <v>24</v>
      </c>
      <c r="F2169" t="s">
        <v>25</v>
      </c>
      <c r="G2169" t="str">
        <f>"2025-01-07 14:15:49.874"</f>
        <v>2025-01-07 14:15:49.874</v>
      </c>
      <c r="H2169" t="s">
        <v>21</v>
      </c>
    </row>
    <row r="2170" spans="1:10" x14ac:dyDescent="0.25">
      <c r="A2170" s="1">
        <v>261</v>
      </c>
      <c r="B2170" t="s">
        <v>26</v>
      </c>
      <c r="C2170">
        <v>635</v>
      </c>
      <c r="D2170">
        <v>1</v>
      </c>
      <c r="E2170" t="s">
        <v>24</v>
      </c>
      <c r="F2170" t="s">
        <v>25</v>
      </c>
      <c r="G2170" t="str">
        <f>"2025-01-07 14:00:47.874"</f>
        <v>2025-01-07 14:00:47.874</v>
      </c>
      <c r="H2170" t="s">
        <v>21</v>
      </c>
      <c r="I2170">
        <v>8.17</v>
      </c>
      <c r="J2170" t="s">
        <v>27</v>
      </c>
    </row>
    <row r="2171" spans="1:10" x14ac:dyDescent="0.25">
      <c r="A2171" s="1">
        <v>262</v>
      </c>
      <c r="B2171" t="s">
        <v>23</v>
      </c>
      <c r="C2171">
        <v>630</v>
      </c>
      <c r="D2171">
        <v>5</v>
      </c>
      <c r="E2171" t="s">
        <v>36</v>
      </c>
      <c r="F2171" t="s">
        <v>37</v>
      </c>
      <c r="G2171" t="str">
        <f>"2025-01-06 08:43:19.775"</f>
        <v>2025-01-06 08:43:19.775</v>
      </c>
      <c r="H2171" t="s">
        <v>38</v>
      </c>
    </row>
    <row r="2172" spans="1:10" x14ac:dyDescent="0.25">
      <c r="A2172" s="1">
        <v>263</v>
      </c>
      <c r="B2172" t="s">
        <v>19</v>
      </c>
      <c r="C2172">
        <v>706</v>
      </c>
      <c r="D2172">
        <v>2</v>
      </c>
      <c r="E2172" t="s">
        <v>32</v>
      </c>
      <c r="F2172" t="s">
        <v>35</v>
      </c>
      <c r="G2172" t="str">
        <f>"2025-01-06 08:42:49.633"</f>
        <v>2025-01-06 08:42:49.633</v>
      </c>
      <c r="H2172" t="s">
        <v>21</v>
      </c>
      <c r="I2172">
        <v>0</v>
      </c>
      <c r="J2172" t="s">
        <v>34</v>
      </c>
    </row>
    <row r="2173" spans="1:10" x14ac:dyDescent="0.25">
      <c r="A2173" s="1">
        <v>264</v>
      </c>
      <c r="B2173" t="s">
        <v>39</v>
      </c>
      <c r="C2173">
        <v>630</v>
      </c>
      <c r="D2173">
        <v>5</v>
      </c>
      <c r="E2173" t="s">
        <v>36</v>
      </c>
      <c r="F2173" t="s">
        <v>37</v>
      </c>
      <c r="G2173" t="str">
        <f>"2025-01-06 08:35:23.975"</f>
        <v>2025-01-06 08:35:23.975</v>
      </c>
      <c r="H2173" t="s">
        <v>38</v>
      </c>
      <c r="I2173">
        <v>0</v>
      </c>
      <c r="J2173" t="s">
        <v>34</v>
      </c>
    </row>
    <row r="2174" spans="1:10" x14ac:dyDescent="0.25">
      <c r="A2174" s="1">
        <v>265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"2025-01-06 08:30:21.283"</f>
        <v>2025-01-06 08:30:21.283</v>
      </c>
      <c r="H2174" t="s">
        <v>21</v>
      </c>
      <c r="I2174">
        <v>0</v>
      </c>
      <c r="J2174" t="s">
        <v>22</v>
      </c>
    </row>
    <row r="2175" spans="1:10" x14ac:dyDescent="0.25">
      <c r="A2175" s="1">
        <v>266</v>
      </c>
      <c r="B2175" t="s">
        <v>23</v>
      </c>
      <c r="C2175">
        <v>635</v>
      </c>
      <c r="D2175">
        <v>1</v>
      </c>
      <c r="E2175" t="s">
        <v>24</v>
      </c>
      <c r="F2175" t="s">
        <v>25</v>
      </c>
      <c r="G2175" t="str">
        <f>"2025-01-06 03:38:16.605"</f>
        <v>2025-01-06 03:38:16.605</v>
      </c>
      <c r="H2175" t="s">
        <v>21</v>
      </c>
    </row>
    <row r="2176" spans="1:10" x14ac:dyDescent="0.25">
      <c r="A2176" s="1">
        <v>267</v>
      </c>
      <c r="B2176" t="s">
        <v>26</v>
      </c>
      <c r="C2176">
        <v>635</v>
      </c>
      <c r="D2176">
        <v>1</v>
      </c>
      <c r="E2176" t="s">
        <v>24</v>
      </c>
      <c r="F2176" t="s">
        <v>25</v>
      </c>
      <c r="G2176" t="str">
        <f>"2025-01-06 03:22:32.705"</f>
        <v>2025-01-06 03:22:32.705</v>
      </c>
      <c r="H2176" t="s">
        <v>21</v>
      </c>
      <c r="I2176">
        <v>6.43</v>
      </c>
      <c r="J2176" t="s">
        <v>27</v>
      </c>
    </row>
    <row r="2177" spans="1:10" s="3" customFormat="1" x14ac:dyDescent="0.25">
      <c r="A2177" s="2">
        <v>268</v>
      </c>
      <c r="B2177" s="3" t="s">
        <v>23</v>
      </c>
      <c r="C2177" s="3">
        <v>647</v>
      </c>
      <c r="D2177" s="3">
        <v>1</v>
      </c>
      <c r="E2177" s="3" t="s">
        <v>29</v>
      </c>
      <c r="F2177" s="3" t="s">
        <v>30</v>
      </c>
      <c r="G2177" s="3" t="str">
        <f>"2025-01-03 23:12:53.206"</f>
        <v>2025-01-03 23:12:53.206</v>
      </c>
      <c r="H2177" s="3" t="s">
        <v>21</v>
      </c>
    </row>
    <row r="2178" spans="1:10" s="3" customFormat="1" x14ac:dyDescent="0.25">
      <c r="A2178" s="2">
        <v>269</v>
      </c>
      <c r="B2178" s="3" t="s">
        <v>26</v>
      </c>
      <c r="C2178" s="3">
        <v>647</v>
      </c>
      <c r="D2178" s="3">
        <v>1</v>
      </c>
      <c r="E2178" s="3" t="s">
        <v>29</v>
      </c>
      <c r="F2178" s="3" t="s">
        <v>30</v>
      </c>
      <c r="G2178" s="3" t="str">
        <f>"2025-01-03 23:12:22.906"</f>
        <v>2025-01-03 23:12:22.906</v>
      </c>
      <c r="H2178" s="3" t="s">
        <v>21</v>
      </c>
      <c r="I2178" s="3">
        <v>14.53</v>
      </c>
      <c r="J2178" s="3" t="s">
        <v>31</v>
      </c>
    </row>
    <row r="2179" spans="1:10" x14ac:dyDescent="0.25">
      <c r="A2179" s="1">
        <v>270</v>
      </c>
      <c r="B2179" t="s">
        <v>23</v>
      </c>
      <c r="C2179">
        <v>635</v>
      </c>
      <c r="D2179">
        <v>1</v>
      </c>
      <c r="E2179" t="s">
        <v>24</v>
      </c>
      <c r="F2179" t="s">
        <v>25</v>
      </c>
      <c r="G2179" t="str">
        <f>"2025-01-03 20:26:40.305"</f>
        <v>2025-01-03 20:26:40.305</v>
      </c>
      <c r="H2179" t="s">
        <v>21</v>
      </c>
    </row>
    <row r="2180" spans="1:10" x14ac:dyDescent="0.25">
      <c r="A2180" s="1">
        <v>271</v>
      </c>
      <c r="B2180" t="s">
        <v>26</v>
      </c>
      <c r="C2180">
        <v>635</v>
      </c>
      <c r="D2180">
        <v>1</v>
      </c>
      <c r="E2180" t="s">
        <v>24</v>
      </c>
      <c r="F2180" t="s">
        <v>25</v>
      </c>
      <c r="G2180" t="str">
        <f>"2025-01-03 20:08:21.305"</f>
        <v>2025-01-03 20:08:21.305</v>
      </c>
      <c r="H2180" t="s">
        <v>21</v>
      </c>
      <c r="I2180">
        <v>7.43</v>
      </c>
      <c r="J2180" t="s">
        <v>27</v>
      </c>
    </row>
    <row r="2181" spans="1:10" x14ac:dyDescent="0.25">
      <c r="A2181" s="1">
        <v>272</v>
      </c>
      <c r="B2181" t="s">
        <v>43</v>
      </c>
      <c r="C2181">
        <v>235</v>
      </c>
      <c r="D2181">
        <v>7</v>
      </c>
      <c r="E2181" t="s">
        <v>90</v>
      </c>
      <c r="F2181" t="s">
        <v>48</v>
      </c>
      <c r="G2181" t="str">
        <f>"2025-01-03 02:15:47.817"</f>
        <v>2025-01-03 02:15:47.817</v>
      </c>
      <c r="H2181" t="s">
        <v>64</v>
      </c>
    </row>
    <row r="2182" spans="1:10" x14ac:dyDescent="0.25">
      <c r="A2182" s="1">
        <v>273</v>
      </c>
      <c r="B2182" t="s">
        <v>39</v>
      </c>
      <c r="C2182">
        <v>235</v>
      </c>
      <c r="D2182">
        <v>7</v>
      </c>
      <c r="E2182" t="s">
        <v>90</v>
      </c>
      <c r="F2182" t="s">
        <v>48</v>
      </c>
      <c r="G2182" t="str">
        <f>"2025-01-03 02:15:42.718"</f>
        <v>2025-01-03 02:15:42.718</v>
      </c>
      <c r="H2182" t="s">
        <v>64</v>
      </c>
      <c r="I2182">
        <v>9.5</v>
      </c>
      <c r="J2182" t="s">
        <v>27</v>
      </c>
    </row>
    <row r="2183" spans="1:10" x14ac:dyDescent="0.25">
      <c r="A2183" s="1">
        <v>274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"2025-01-02 10:02:36.374"</f>
        <v>2025-01-02 10:02:36.374</v>
      </c>
      <c r="H2183" t="s">
        <v>21</v>
      </c>
    </row>
    <row r="2184" spans="1:10" x14ac:dyDescent="0.25">
      <c r="A2184" s="1">
        <v>275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"2025-01-02 09:34:06.245"</f>
        <v>2025-01-02 09:34:06.245</v>
      </c>
      <c r="H2184" t="s">
        <v>21</v>
      </c>
    </row>
    <row r="2185" spans="1:10" s="3" customFormat="1" x14ac:dyDescent="0.25">
      <c r="A2185" s="2">
        <v>276</v>
      </c>
      <c r="B2185" s="3" t="s">
        <v>23</v>
      </c>
      <c r="C2185" s="3">
        <v>647</v>
      </c>
      <c r="D2185" s="3">
        <v>1</v>
      </c>
      <c r="E2185" s="3" t="s">
        <v>29</v>
      </c>
      <c r="F2185" s="3" t="s">
        <v>30</v>
      </c>
      <c r="G2185" s="3" t="str">
        <f>"2025-01-02 07:53:18.772"</f>
        <v>2025-01-02 07:53:18.772</v>
      </c>
      <c r="H2185" s="3" t="s">
        <v>21</v>
      </c>
    </row>
    <row r="2186" spans="1:10" s="3" customFormat="1" x14ac:dyDescent="0.25">
      <c r="A2186" s="2">
        <v>277</v>
      </c>
      <c r="B2186" s="3" t="s">
        <v>26</v>
      </c>
      <c r="C2186" s="3">
        <v>647</v>
      </c>
      <c r="D2186" s="3">
        <v>1</v>
      </c>
      <c r="E2186" s="3" t="s">
        <v>29</v>
      </c>
      <c r="F2186" s="3" t="s">
        <v>30</v>
      </c>
      <c r="G2186" s="3" t="str">
        <f>"2025-01-02 07:53:09.172"</f>
        <v>2025-01-02 07:53:09.172</v>
      </c>
      <c r="H2186" s="3" t="s">
        <v>21</v>
      </c>
      <c r="I2186" s="3">
        <v>8.09</v>
      </c>
      <c r="J2186" s="3" t="s">
        <v>31</v>
      </c>
    </row>
    <row r="2187" spans="1:10" s="3" customFormat="1" x14ac:dyDescent="0.25">
      <c r="A2187" s="2">
        <v>278</v>
      </c>
      <c r="B2187" s="3" t="s">
        <v>23</v>
      </c>
      <c r="C2187" s="3">
        <v>647</v>
      </c>
      <c r="D2187" s="3">
        <v>1</v>
      </c>
      <c r="E2187" s="3" t="s">
        <v>29</v>
      </c>
      <c r="F2187" s="3" t="s">
        <v>30</v>
      </c>
      <c r="G2187" s="3" t="str">
        <f>"2025-01-02 06:37:44.372"</f>
        <v>2025-01-02 06:37:44.372</v>
      </c>
      <c r="H2187" s="3" t="s">
        <v>21</v>
      </c>
    </row>
    <row r="2188" spans="1:10" s="3" customFormat="1" x14ac:dyDescent="0.25">
      <c r="A2188" s="2">
        <v>279</v>
      </c>
      <c r="B2188" s="3" t="s">
        <v>26</v>
      </c>
      <c r="C2188" s="3">
        <v>647</v>
      </c>
      <c r="D2188" s="3">
        <v>1</v>
      </c>
      <c r="E2188" s="3" t="s">
        <v>29</v>
      </c>
      <c r="F2188" s="3" t="s">
        <v>30</v>
      </c>
      <c r="G2188" s="3" t="str">
        <f>"2025-01-02 06:37:42.272"</f>
        <v>2025-01-02 06:37:42.272</v>
      </c>
      <c r="H2188" s="3" t="s">
        <v>21</v>
      </c>
      <c r="I2188" s="3">
        <v>9.5</v>
      </c>
      <c r="J2188" s="3" t="s">
        <v>31</v>
      </c>
    </row>
    <row r="2189" spans="1:10" s="3" customFormat="1" x14ac:dyDescent="0.25">
      <c r="A2189" s="2">
        <v>280</v>
      </c>
      <c r="B2189" s="3" t="s">
        <v>23</v>
      </c>
      <c r="C2189" s="3">
        <v>647</v>
      </c>
      <c r="D2189" s="3">
        <v>1</v>
      </c>
      <c r="E2189" s="3" t="s">
        <v>29</v>
      </c>
      <c r="F2189" s="3" t="s">
        <v>30</v>
      </c>
      <c r="G2189" s="3" t="str">
        <f>"2025-01-02 04:21:43.272"</f>
        <v>2025-01-02 04:21:43.272</v>
      </c>
      <c r="H2189" s="3" t="s">
        <v>21</v>
      </c>
    </row>
    <row r="2190" spans="1:10" s="3" customFormat="1" x14ac:dyDescent="0.25">
      <c r="A2190" s="2">
        <v>281</v>
      </c>
      <c r="B2190" s="3" t="s">
        <v>26</v>
      </c>
      <c r="C2190" s="3">
        <v>647</v>
      </c>
      <c r="D2190" s="3">
        <v>1</v>
      </c>
      <c r="E2190" s="3" t="s">
        <v>29</v>
      </c>
      <c r="F2190" s="3" t="s">
        <v>30</v>
      </c>
      <c r="G2190" s="3" t="str">
        <f>"2025-01-02 04:21:39.972"</f>
        <v>2025-01-02 04:21:39.972</v>
      </c>
      <c r="H2190" s="3" t="s">
        <v>21</v>
      </c>
      <c r="I2190" s="3">
        <v>10.3</v>
      </c>
      <c r="J2190" s="3" t="s">
        <v>31</v>
      </c>
    </row>
    <row r="2191" spans="1:10" x14ac:dyDescent="0.25">
      <c r="A2191" s="1">
        <v>282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"2025-01-02 02:42:36.230"</f>
        <v>2025-01-02 02:42:36.230</v>
      </c>
      <c r="H2191" t="s">
        <v>21</v>
      </c>
      <c r="I2191">
        <v>0</v>
      </c>
      <c r="J2191" t="s">
        <v>22</v>
      </c>
    </row>
    <row r="2192" spans="1:10" x14ac:dyDescent="0.25">
      <c r="A2192" s="1">
        <v>283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"2025-01-02 02:20:50.218"</f>
        <v>2025-01-02 02:20:50.218</v>
      </c>
      <c r="H2192" t="s">
        <v>21</v>
      </c>
      <c r="I2192">
        <v>0</v>
      </c>
      <c r="J2192" t="s">
        <v>22</v>
      </c>
    </row>
    <row r="2193" spans="1:10" x14ac:dyDescent="0.25">
      <c r="A2193" s="1">
        <v>284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"2025-01-02 02:00:11.220"</f>
        <v>2025-01-02 02:00:11.220</v>
      </c>
      <c r="H2193" t="s">
        <v>21</v>
      </c>
      <c r="I2193">
        <v>0</v>
      </c>
      <c r="J2193" t="s">
        <v>22</v>
      </c>
    </row>
    <row r="2194" spans="1:10" x14ac:dyDescent="0.25">
      <c r="A2194" s="1">
        <v>285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"2025-01-02 00:48:35.244"</f>
        <v>2025-01-02 00:48:35.244</v>
      </c>
      <c r="H2194" t="s">
        <v>21</v>
      </c>
      <c r="I2194">
        <v>0</v>
      </c>
      <c r="J2194" t="s">
        <v>22</v>
      </c>
    </row>
    <row r="2195" spans="1:10" x14ac:dyDescent="0.25">
      <c r="A2195" s="1">
        <v>286</v>
      </c>
      <c r="B2195" t="s">
        <v>43</v>
      </c>
      <c r="C2195">
        <v>137</v>
      </c>
      <c r="D2195">
        <v>4</v>
      </c>
      <c r="E2195" t="s">
        <v>57</v>
      </c>
      <c r="F2195" t="s">
        <v>56</v>
      </c>
      <c r="G2195" t="str">
        <f>"2025-01-01 21:53:48.278"</f>
        <v>2025-01-01 21:53:48.278</v>
      </c>
      <c r="H2195" t="s">
        <v>49</v>
      </c>
    </row>
    <row r="2196" spans="1:10" x14ac:dyDescent="0.25">
      <c r="A2196" s="1">
        <v>287</v>
      </c>
      <c r="B2196" t="s">
        <v>39</v>
      </c>
      <c r="C2196">
        <v>137</v>
      </c>
      <c r="D2196">
        <v>4</v>
      </c>
      <c r="E2196" t="s">
        <v>57</v>
      </c>
      <c r="F2196" t="s">
        <v>56</v>
      </c>
      <c r="G2196" t="str">
        <f>"2025-01-01 21:53:43.201"</f>
        <v>2025-01-01 21:53:43.201</v>
      </c>
      <c r="H2196" t="s">
        <v>49</v>
      </c>
      <c r="I2196">
        <v>20.37</v>
      </c>
      <c r="J2196" t="s">
        <v>27</v>
      </c>
    </row>
    <row r="2197" spans="1:10" s="3" customFormat="1" x14ac:dyDescent="0.25">
      <c r="A2197" s="2">
        <v>288</v>
      </c>
      <c r="B2197" s="3" t="s">
        <v>23</v>
      </c>
      <c r="C2197" s="3">
        <v>647</v>
      </c>
      <c r="D2197" s="3">
        <v>1</v>
      </c>
      <c r="E2197" s="3" t="s">
        <v>29</v>
      </c>
      <c r="F2197" s="3" t="s">
        <v>30</v>
      </c>
      <c r="G2197" s="3" t="str">
        <f>"2025-01-01 20:24:45.339"</f>
        <v>2025-01-01 20:24:45.339</v>
      </c>
      <c r="H2197" s="3" t="s">
        <v>21</v>
      </c>
    </row>
    <row r="2198" spans="1:10" s="3" customFormat="1" x14ac:dyDescent="0.25">
      <c r="A2198" s="2">
        <v>289</v>
      </c>
      <c r="B2198" s="3" t="s">
        <v>26</v>
      </c>
      <c r="C2198" s="3">
        <v>647</v>
      </c>
      <c r="D2198" s="3">
        <v>1</v>
      </c>
      <c r="E2198" s="3" t="s">
        <v>29</v>
      </c>
      <c r="F2198" s="3" t="s">
        <v>30</v>
      </c>
      <c r="G2198" s="3" t="str">
        <f>"2025-01-01 20:24:42.239"</f>
        <v>2025-01-01 20:24:42.239</v>
      </c>
      <c r="H2198" s="3" t="s">
        <v>21</v>
      </c>
      <c r="I2198" s="3">
        <v>16.170000000000002</v>
      </c>
      <c r="J2198" s="3" t="s">
        <v>31</v>
      </c>
    </row>
    <row r="2199" spans="1:10" x14ac:dyDescent="0.25">
      <c r="A2199" s="1">
        <v>290</v>
      </c>
      <c r="B2199" t="s">
        <v>19</v>
      </c>
      <c r="C2199">
        <v>706</v>
      </c>
      <c r="D2199">
        <v>4</v>
      </c>
      <c r="E2199" t="s">
        <v>32</v>
      </c>
      <c r="F2199" t="s">
        <v>33</v>
      </c>
      <c r="G2199" t="str">
        <f>"2025-01-01 15:53:18.194"</f>
        <v>2025-01-01 15:53:18.194</v>
      </c>
      <c r="H2199" t="s">
        <v>21</v>
      </c>
      <c r="I2199">
        <v>0</v>
      </c>
      <c r="J2199" t="s">
        <v>34</v>
      </c>
    </row>
    <row r="2200" spans="1:10" x14ac:dyDescent="0.25">
      <c r="A2200" s="1">
        <v>291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"2025-01-01 15:49:19.214"</f>
        <v>2025-01-01 15:49:19.214</v>
      </c>
      <c r="H2200" t="s">
        <v>21</v>
      </c>
      <c r="I2200">
        <v>0</v>
      </c>
      <c r="J2200" t="s">
        <v>22</v>
      </c>
    </row>
    <row r="2201" spans="1:10" x14ac:dyDescent="0.25">
      <c r="A2201" s="1">
        <v>292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"2025-01-01 15:44:57.334"</f>
        <v>2025-01-01 15:44:57.334</v>
      </c>
      <c r="H2201" t="s">
        <v>21</v>
      </c>
      <c r="I2201">
        <v>0</v>
      </c>
      <c r="J2201" t="s">
        <v>22</v>
      </c>
    </row>
    <row r="2202" spans="1:10" x14ac:dyDescent="0.25">
      <c r="A2202" s="1">
        <v>293</v>
      </c>
      <c r="B2202" t="s">
        <v>39</v>
      </c>
      <c r="C2202">
        <v>630</v>
      </c>
      <c r="D2202">
        <v>5</v>
      </c>
      <c r="E2202" t="s">
        <v>36</v>
      </c>
      <c r="F2202" t="s">
        <v>37</v>
      </c>
      <c r="G2202" t="str">
        <f>"2025-01-01 15:42:00.987"</f>
        <v>2025-01-01 15:42:00.987</v>
      </c>
      <c r="H2202" t="s">
        <v>38</v>
      </c>
      <c r="I2202">
        <v>0</v>
      </c>
      <c r="J2202" t="s">
        <v>34</v>
      </c>
    </row>
    <row r="2203" spans="1:10" x14ac:dyDescent="0.25">
      <c r="A2203" s="1">
        <v>294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"2025-01-01 15:36:58.194"</f>
        <v>2025-01-01 15:36:58.194</v>
      </c>
      <c r="H2203" t="s">
        <v>21</v>
      </c>
      <c r="I2203">
        <v>0</v>
      </c>
      <c r="J2203" t="s">
        <v>22</v>
      </c>
    </row>
    <row r="2204" spans="1:10" x14ac:dyDescent="0.25">
      <c r="A2204" s="1">
        <v>295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"2025-01-01 15:32:02.200"</f>
        <v>2025-01-01 15:32:02.200</v>
      </c>
      <c r="H2204" t="s">
        <v>21</v>
      </c>
      <c r="I2204">
        <v>0</v>
      </c>
      <c r="J2204" t="s">
        <v>22</v>
      </c>
    </row>
    <row r="2205" spans="1:10" x14ac:dyDescent="0.25">
      <c r="A2205" s="1">
        <v>296</v>
      </c>
      <c r="B2205" t="s">
        <v>23</v>
      </c>
      <c r="C2205">
        <v>4</v>
      </c>
      <c r="D2205">
        <v>1</v>
      </c>
      <c r="E2205" t="s">
        <v>115</v>
      </c>
      <c r="F2205" t="s">
        <v>116</v>
      </c>
      <c r="G2205" t="str">
        <f>"2025-01-01 15:26:14.148"</f>
        <v>2025-01-01 15:26:14.148</v>
      </c>
      <c r="H2205" t="s">
        <v>117</v>
      </c>
    </row>
    <row r="2206" spans="1:10" x14ac:dyDescent="0.25">
      <c r="A2206" s="1">
        <v>297</v>
      </c>
      <c r="B2206" t="s">
        <v>26</v>
      </c>
      <c r="C2206">
        <v>4</v>
      </c>
      <c r="D2206">
        <v>1</v>
      </c>
      <c r="E2206" t="s">
        <v>115</v>
      </c>
      <c r="F2206" t="s">
        <v>116</v>
      </c>
      <c r="G2206" t="str">
        <f>"2025-01-01 15:25:45.929"</f>
        <v>2025-01-01 15:25:45.929</v>
      </c>
      <c r="H2206" t="s">
        <v>117</v>
      </c>
      <c r="I2206">
        <v>0</v>
      </c>
      <c r="J2206" t="s">
        <v>114</v>
      </c>
    </row>
    <row r="2207" spans="1:10" x14ac:dyDescent="0.25">
      <c r="A2207" s="1">
        <v>298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"2025-01-01 15:25:40.207"</f>
        <v>2025-01-01 15:25:40.207</v>
      </c>
      <c r="H2207" t="s">
        <v>21</v>
      </c>
    </row>
    <row r="2208" spans="1:10" x14ac:dyDescent="0.25">
      <c r="A2208" s="1">
        <v>299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"2025-01-01 11:58:09.517"</f>
        <v>2025-01-01 11:58:09.517</v>
      </c>
      <c r="H2208" t="s">
        <v>21</v>
      </c>
      <c r="I2208">
        <v>0</v>
      </c>
      <c r="J2208" t="s">
        <v>22</v>
      </c>
    </row>
    <row r="2209" spans="1:10" x14ac:dyDescent="0.25">
      <c r="A2209" s="1">
        <v>300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"2024-12-31 13:17:54.215"</f>
        <v>2024-12-31 13:17:54.215</v>
      </c>
      <c r="H2209" t="s">
        <v>21</v>
      </c>
    </row>
    <row r="2210" spans="1:10" x14ac:dyDescent="0.25">
      <c r="A2210" s="1">
        <v>301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"2024-12-31 00:00:35.132"</f>
        <v>2024-12-31 00:00:35.132</v>
      </c>
      <c r="H2210" t="s">
        <v>21</v>
      </c>
      <c r="I2210">
        <v>0</v>
      </c>
      <c r="J2210" t="s">
        <v>22</v>
      </c>
    </row>
    <row r="2211" spans="1:10" x14ac:dyDescent="0.25">
      <c r="A2211" s="1">
        <v>302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"2024-12-30 22:26:38.162"</f>
        <v>2024-12-30 22:26:38.162</v>
      </c>
      <c r="H2211" t="s">
        <v>21</v>
      </c>
      <c r="I2211">
        <v>0</v>
      </c>
      <c r="J2211" t="s">
        <v>22</v>
      </c>
    </row>
    <row r="2212" spans="1:10" s="3" customFormat="1" x14ac:dyDescent="0.25">
      <c r="A2212" s="2">
        <v>303</v>
      </c>
      <c r="B2212" s="3" t="s">
        <v>23</v>
      </c>
      <c r="C2212" s="3">
        <v>647</v>
      </c>
      <c r="D2212" s="3">
        <v>1</v>
      </c>
      <c r="E2212" s="3" t="s">
        <v>29</v>
      </c>
      <c r="F2212" s="3" t="s">
        <v>30</v>
      </c>
      <c r="G2212" s="3" t="str">
        <f>"2024-12-30 22:08:07.266"</f>
        <v>2024-12-30 22:08:07.266</v>
      </c>
      <c r="H2212" s="3" t="s">
        <v>21</v>
      </c>
    </row>
    <row r="2213" spans="1:10" s="3" customFormat="1" x14ac:dyDescent="0.25">
      <c r="A2213" s="2">
        <v>304</v>
      </c>
      <c r="B2213" s="3" t="s">
        <v>26</v>
      </c>
      <c r="C2213" s="3">
        <v>647</v>
      </c>
      <c r="D2213" s="3">
        <v>1</v>
      </c>
      <c r="E2213" s="3" t="s">
        <v>29</v>
      </c>
      <c r="F2213" s="3" t="s">
        <v>30</v>
      </c>
      <c r="G2213" s="3" t="str">
        <f>"2024-12-30 22:08:06.166"</f>
        <v>2024-12-30 22:08:06.166</v>
      </c>
      <c r="H2213" s="3" t="s">
        <v>21</v>
      </c>
      <c r="I2213" s="3">
        <v>12.8</v>
      </c>
      <c r="J2213" s="3" t="s">
        <v>31</v>
      </c>
    </row>
    <row r="2214" spans="1:10" s="3" customFormat="1" x14ac:dyDescent="0.25">
      <c r="A2214" s="2">
        <v>305</v>
      </c>
      <c r="B2214" s="3" t="s">
        <v>23</v>
      </c>
      <c r="C2214" s="3">
        <v>647</v>
      </c>
      <c r="D2214" s="3">
        <v>1</v>
      </c>
      <c r="E2214" s="3" t="s">
        <v>29</v>
      </c>
      <c r="F2214" s="3" t="s">
        <v>30</v>
      </c>
      <c r="G2214" s="3" t="str">
        <f>"2024-12-30 21:40:22.466"</f>
        <v>2024-12-30 21:40:22.466</v>
      </c>
      <c r="H2214" s="3" t="s">
        <v>21</v>
      </c>
    </row>
    <row r="2215" spans="1:10" s="3" customFormat="1" x14ac:dyDescent="0.25">
      <c r="A2215" s="2">
        <v>306</v>
      </c>
      <c r="B2215" s="3" t="s">
        <v>26</v>
      </c>
      <c r="C2215" s="3">
        <v>647</v>
      </c>
      <c r="D2215" s="3">
        <v>1</v>
      </c>
      <c r="E2215" s="3" t="s">
        <v>29</v>
      </c>
      <c r="F2215" s="3" t="s">
        <v>30</v>
      </c>
      <c r="G2215" s="3" t="str">
        <f>"2024-12-30 21:40:19.966"</f>
        <v>2024-12-30 21:40:19.966</v>
      </c>
      <c r="H2215" s="3" t="s">
        <v>21</v>
      </c>
      <c r="I2215" s="3">
        <v>17.07</v>
      </c>
      <c r="J2215" s="3" t="s">
        <v>31</v>
      </c>
    </row>
    <row r="2216" spans="1:10" x14ac:dyDescent="0.25">
      <c r="A2216" s="1">
        <v>307</v>
      </c>
      <c r="B2216" t="s">
        <v>19</v>
      </c>
      <c r="C2216">
        <v>706</v>
      </c>
      <c r="D2216">
        <v>4</v>
      </c>
      <c r="E2216" t="s">
        <v>32</v>
      </c>
      <c r="F2216" t="s">
        <v>33</v>
      </c>
      <c r="G2216" t="str">
        <f>"2024-12-30 17:39:17.004"</f>
        <v>2024-12-30 17:39:17.004</v>
      </c>
      <c r="H2216" t="s">
        <v>21</v>
      </c>
      <c r="I2216">
        <v>0</v>
      </c>
      <c r="J2216" t="s">
        <v>34</v>
      </c>
    </row>
    <row r="2217" spans="1:10" x14ac:dyDescent="0.25">
      <c r="A2217" s="1">
        <v>308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"2024-12-30 16:37:44.094"</f>
        <v>2024-12-30 16:37:44.094</v>
      </c>
      <c r="H2217" t="s">
        <v>21</v>
      </c>
    </row>
    <row r="2218" spans="1:10" x14ac:dyDescent="0.25">
      <c r="A2218" s="1">
        <v>309</v>
      </c>
      <c r="B2218" t="s">
        <v>19</v>
      </c>
      <c r="C2218">
        <v>706</v>
      </c>
      <c r="D2218">
        <v>4</v>
      </c>
      <c r="E2218" t="s">
        <v>32</v>
      </c>
      <c r="F2218" t="s">
        <v>33</v>
      </c>
      <c r="G2218" t="str">
        <f>"2024-12-30 15:42:37.220"</f>
        <v>2024-12-30 15:42:37.220</v>
      </c>
      <c r="H2218" t="s">
        <v>21</v>
      </c>
      <c r="I2218">
        <v>0</v>
      </c>
      <c r="J2218" t="s">
        <v>34</v>
      </c>
    </row>
    <row r="2219" spans="1:10" x14ac:dyDescent="0.25">
      <c r="A2219" s="1">
        <v>310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"2024-12-30 15:32:59.100"</f>
        <v>2024-12-30 15:32:59.100</v>
      </c>
      <c r="H2219" t="s">
        <v>21</v>
      </c>
    </row>
    <row r="2220" spans="1:10" x14ac:dyDescent="0.25">
      <c r="A2220" s="1">
        <v>311</v>
      </c>
      <c r="B2220" t="s">
        <v>19</v>
      </c>
      <c r="C2220">
        <v>706</v>
      </c>
      <c r="D2220">
        <v>2</v>
      </c>
      <c r="E2220" t="s">
        <v>32</v>
      </c>
      <c r="F2220" t="s">
        <v>35</v>
      </c>
      <c r="G2220" t="str">
        <f>"2024-12-30 15:23:22.438"</f>
        <v>2024-12-30 15:23:22.438</v>
      </c>
      <c r="H2220" t="s">
        <v>21</v>
      </c>
      <c r="I2220">
        <v>0</v>
      </c>
      <c r="J2220" t="s">
        <v>34</v>
      </c>
    </row>
    <row r="2221" spans="1:10" x14ac:dyDescent="0.25">
      <c r="A2221" s="1">
        <v>312</v>
      </c>
      <c r="B2221" t="s">
        <v>19</v>
      </c>
      <c r="C2221">
        <v>706</v>
      </c>
      <c r="D2221">
        <v>2</v>
      </c>
      <c r="E2221" t="s">
        <v>32</v>
      </c>
      <c r="F2221" t="s">
        <v>35</v>
      </c>
      <c r="G2221" t="str">
        <f>"2024-12-30 15:22:51.838"</f>
        <v>2024-12-30 15:22:51.838</v>
      </c>
      <c r="H2221" t="s">
        <v>21</v>
      </c>
      <c r="I2221">
        <v>0</v>
      </c>
      <c r="J2221" t="s">
        <v>34</v>
      </c>
    </row>
    <row r="2222" spans="1:10" x14ac:dyDescent="0.25">
      <c r="A2222" s="1">
        <v>313</v>
      </c>
      <c r="B2222" t="s">
        <v>19</v>
      </c>
      <c r="C2222">
        <v>706</v>
      </c>
      <c r="D2222">
        <v>4</v>
      </c>
      <c r="E2222" t="s">
        <v>32</v>
      </c>
      <c r="F2222" t="s">
        <v>33</v>
      </c>
      <c r="G2222" t="str">
        <f>"2024-12-30 15:17:56.168"</f>
        <v>2024-12-30 15:17:56.168</v>
      </c>
      <c r="H2222" t="s">
        <v>21</v>
      </c>
      <c r="I2222">
        <v>0</v>
      </c>
      <c r="J2222" t="s">
        <v>34</v>
      </c>
    </row>
    <row r="2223" spans="1:10" x14ac:dyDescent="0.25">
      <c r="A2223" s="1">
        <v>314</v>
      </c>
      <c r="B2223" t="s">
        <v>19</v>
      </c>
      <c r="C2223">
        <v>706</v>
      </c>
      <c r="D2223">
        <v>4</v>
      </c>
      <c r="E2223" t="s">
        <v>32</v>
      </c>
      <c r="F2223" t="s">
        <v>33</v>
      </c>
      <c r="G2223" t="str">
        <f>"2024-12-30 15:10:20.768"</f>
        <v>2024-12-30 15:10:20.768</v>
      </c>
      <c r="H2223" t="s">
        <v>21</v>
      </c>
      <c r="I2223">
        <v>0</v>
      </c>
      <c r="J2223" t="s">
        <v>34</v>
      </c>
    </row>
    <row r="2224" spans="1:10" x14ac:dyDescent="0.25">
      <c r="A2224" s="1">
        <v>315</v>
      </c>
      <c r="B2224" t="s">
        <v>19</v>
      </c>
      <c r="C2224">
        <v>706</v>
      </c>
      <c r="D2224">
        <v>4</v>
      </c>
      <c r="E2224" t="s">
        <v>32</v>
      </c>
      <c r="F2224" t="s">
        <v>33</v>
      </c>
      <c r="G2224" t="str">
        <f>"2024-12-30 15:06:40.378"</f>
        <v>2024-12-30 15:06:40.378</v>
      </c>
      <c r="H2224" t="s">
        <v>21</v>
      </c>
      <c r="I2224">
        <v>0</v>
      </c>
      <c r="J2224" t="s">
        <v>34</v>
      </c>
    </row>
    <row r="2225" spans="1:10" x14ac:dyDescent="0.25">
      <c r="A2225" s="1">
        <v>316</v>
      </c>
      <c r="B2225" t="s">
        <v>19</v>
      </c>
      <c r="C2225">
        <v>706</v>
      </c>
      <c r="D2225">
        <v>2</v>
      </c>
      <c r="E2225" t="s">
        <v>32</v>
      </c>
      <c r="F2225" t="s">
        <v>35</v>
      </c>
      <c r="G2225" t="str">
        <f>"2024-12-30 15:04:55.038"</f>
        <v>2024-12-30 15:04:55.038</v>
      </c>
      <c r="H2225" t="s">
        <v>21</v>
      </c>
      <c r="I2225">
        <v>0</v>
      </c>
      <c r="J2225" t="s">
        <v>34</v>
      </c>
    </row>
    <row r="2226" spans="1:10" x14ac:dyDescent="0.25">
      <c r="A2226" s="1">
        <v>317</v>
      </c>
      <c r="B2226" t="s">
        <v>19</v>
      </c>
      <c r="C2226">
        <v>706</v>
      </c>
      <c r="D2226">
        <v>2</v>
      </c>
      <c r="E2226" t="s">
        <v>32</v>
      </c>
      <c r="F2226" t="s">
        <v>35</v>
      </c>
      <c r="G2226" t="str">
        <f>"2024-12-30 15:03:03.038"</f>
        <v>2024-12-30 15:03:03.038</v>
      </c>
      <c r="H2226" t="s">
        <v>21</v>
      </c>
      <c r="I2226">
        <v>0</v>
      </c>
      <c r="J2226" t="s">
        <v>34</v>
      </c>
    </row>
    <row r="2227" spans="1:10" x14ac:dyDescent="0.25">
      <c r="A2227" s="1">
        <v>318</v>
      </c>
      <c r="B2227" t="s">
        <v>19</v>
      </c>
      <c r="C2227">
        <v>706</v>
      </c>
      <c r="D2227">
        <v>4</v>
      </c>
      <c r="E2227" t="s">
        <v>32</v>
      </c>
      <c r="F2227" t="s">
        <v>33</v>
      </c>
      <c r="G2227" t="str">
        <f>"2024-12-30 15:00:23.198"</f>
        <v>2024-12-30 15:00:23.198</v>
      </c>
      <c r="H2227" t="s">
        <v>21</v>
      </c>
      <c r="I2227">
        <v>0</v>
      </c>
      <c r="J2227" t="s">
        <v>34</v>
      </c>
    </row>
    <row r="2228" spans="1:10" x14ac:dyDescent="0.25">
      <c r="A2228" s="1">
        <v>319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"2024-12-30 14:45:51.098"</f>
        <v>2024-12-30 14:45:51.098</v>
      </c>
      <c r="H2228" t="s">
        <v>21</v>
      </c>
      <c r="I2228">
        <v>0</v>
      </c>
      <c r="J2228" t="s">
        <v>22</v>
      </c>
    </row>
    <row r="2229" spans="1:10" x14ac:dyDescent="0.25">
      <c r="A2229" s="1">
        <v>320</v>
      </c>
      <c r="B2229" t="s">
        <v>23</v>
      </c>
      <c r="C2229">
        <v>629</v>
      </c>
      <c r="D2229">
        <v>1</v>
      </c>
      <c r="E2229" t="s">
        <v>118</v>
      </c>
      <c r="F2229" t="s">
        <v>119</v>
      </c>
      <c r="G2229" t="str">
        <f>"2024-12-30 14:36:33.797"</f>
        <v>2024-12-30 14:36:33.797</v>
      </c>
      <c r="H2229" t="s">
        <v>21</v>
      </c>
    </row>
    <row r="2230" spans="1:10" x14ac:dyDescent="0.25">
      <c r="A2230" s="1">
        <v>321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"2024-12-30 14:36:01.096"</f>
        <v>2024-12-30 14:36:01.096</v>
      </c>
      <c r="H2230" t="s">
        <v>21</v>
      </c>
      <c r="I2230">
        <v>0</v>
      </c>
      <c r="J2230" t="s">
        <v>22</v>
      </c>
    </row>
    <row r="2231" spans="1:10" x14ac:dyDescent="0.25">
      <c r="A2231" s="1">
        <v>322</v>
      </c>
      <c r="B2231" t="s">
        <v>26</v>
      </c>
      <c r="C2231">
        <v>629</v>
      </c>
      <c r="D2231">
        <v>1</v>
      </c>
      <c r="E2231" t="s">
        <v>118</v>
      </c>
      <c r="F2231" t="s">
        <v>119</v>
      </c>
      <c r="G2231" t="str">
        <f>"2024-12-30 09:29:12.796"</f>
        <v>2024-12-30 09:29:12.796</v>
      </c>
      <c r="H2231" t="s">
        <v>21</v>
      </c>
      <c r="I2231">
        <v>0</v>
      </c>
      <c r="J2231" t="s">
        <v>34</v>
      </c>
    </row>
    <row r="2232" spans="1:10" x14ac:dyDescent="0.25">
      <c r="A2232" s="1">
        <v>323</v>
      </c>
      <c r="B2232" t="s">
        <v>19</v>
      </c>
      <c r="C2232">
        <v>706</v>
      </c>
      <c r="D2232">
        <v>4</v>
      </c>
      <c r="E2232" t="s">
        <v>32</v>
      </c>
      <c r="F2232" t="s">
        <v>33</v>
      </c>
      <c r="G2232" t="str">
        <f>"2024-12-30 09:27:53.424"</f>
        <v>2024-12-30 09:27:53.424</v>
      </c>
      <c r="H2232" t="s">
        <v>21</v>
      </c>
      <c r="I2232">
        <v>0</v>
      </c>
      <c r="J2232" t="s">
        <v>34</v>
      </c>
    </row>
    <row r="2233" spans="1:10" x14ac:dyDescent="0.25">
      <c r="A2233" s="1">
        <v>324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"2024-12-30 09:26:54.094"</f>
        <v>2024-12-30 09:26:54.094</v>
      </c>
      <c r="H2233" t="s">
        <v>21</v>
      </c>
      <c r="I2233">
        <v>0</v>
      </c>
      <c r="J2233" t="s">
        <v>22</v>
      </c>
    </row>
    <row r="2234" spans="1:10" x14ac:dyDescent="0.25">
      <c r="A2234" s="1">
        <v>325</v>
      </c>
      <c r="B2234" t="s">
        <v>19</v>
      </c>
      <c r="C2234">
        <v>706</v>
      </c>
      <c r="D2234">
        <v>3</v>
      </c>
      <c r="E2234" t="s">
        <v>32</v>
      </c>
      <c r="F2234" t="s">
        <v>40</v>
      </c>
      <c r="G2234" t="str">
        <f>"2024-12-30 09:24:24.329"</f>
        <v>2024-12-30 09:24:24.329</v>
      </c>
      <c r="H2234" t="s">
        <v>21</v>
      </c>
      <c r="I2234">
        <v>0</v>
      </c>
      <c r="J2234" t="s">
        <v>34</v>
      </c>
    </row>
    <row r="2235" spans="1:10" x14ac:dyDescent="0.25">
      <c r="A2235" s="1">
        <v>326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"2024-12-30 09:22:40.099"</f>
        <v>2024-12-30 09:22:40.099</v>
      </c>
      <c r="H2235" t="s">
        <v>21</v>
      </c>
    </row>
    <row r="2236" spans="1:10" x14ac:dyDescent="0.25">
      <c r="A2236" s="1">
        <v>327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"2024-12-29 17:06:54.122"</f>
        <v>2024-12-29 17:06:54.122</v>
      </c>
      <c r="H2236" t="s">
        <v>21</v>
      </c>
      <c r="I2236">
        <v>0</v>
      </c>
      <c r="J2236" t="s">
        <v>22</v>
      </c>
    </row>
    <row r="2237" spans="1:10" x14ac:dyDescent="0.25">
      <c r="A2237" s="1">
        <v>328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"2024-12-29 14:19:14.080"</f>
        <v>2024-12-29 14:19:14.080</v>
      </c>
      <c r="H2237" t="s">
        <v>21</v>
      </c>
    </row>
    <row r="2238" spans="1:10" x14ac:dyDescent="0.25">
      <c r="A2238" s="1">
        <v>329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"2024-12-29 12:59:21.087"</f>
        <v>2024-12-29 12:59:21.087</v>
      </c>
      <c r="H2238" t="s">
        <v>21</v>
      </c>
    </row>
    <row r="2239" spans="1:10" x14ac:dyDescent="0.25">
      <c r="A2239" s="1">
        <v>330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"2024-12-29 10:40:38.091"</f>
        <v>2024-12-29 10:40:38.091</v>
      </c>
      <c r="H2239" t="s">
        <v>21</v>
      </c>
      <c r="I2239">
        <v>0</v>
      </c>
      <c r="J2239" t="s">
        <v>22</v>
      </c>
    </row>
    <row r="2240" spans="1:10" x14ac:dyDescent="0.25">
      <c r="A2240" s="1">
        <v>331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"2024-12-29 10:39:02.085"</f>
        <v>2024-12-29 10:39:02.085</v>
      </c>
      <c r="H2240" t="s">
        <v>21</v>
      </c>
    </row>
    <row r="2241" spans="1:10" x14ac:dyDescent="0.25">
      <c r="A2241" s="1">
        <v>332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"2024-12-29 09:38:29.087"</f>
        <v>2024-12-29 09:38:29.087</v>
      </c>
      <c r="H2241" t="s">
        <v>21</v>
      </c>
      <c r="I2241">
        <v>0</v>
      </c>
      <c r="J2241" t="s">
        <v>22</v>
      </c>
    </row>
    <row r="2242" spans="1:10" x14ac:dyDescent="0.25">
      <c r="A2242" s="1">
        <v>333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"2024-12-29 09:09:13.083"</f>
        <v>2024-12-29 09:09:13.083</v>
      </c>
      <c r="H2242" t="s">
        <v>21</v>
      </c>
      <c r="I2242">
        <v>0</v>
      </c>
      <c r="J2242" t="s">
        <v>22</v>
      </c>
    </row>
    <row r="2243" spans="1:10" x14ac:dyDescent="0.25">
      <c r="A2243" s="1">
        <v>334</v>
      </c>
      <c r="B2243" t="s">
        <v>19</v>
      </c>
      <c r="C2243">
        <v>706</v>
      </c>
      <c r="D2243">
        <v>2</v>
      </c>
      <c r="E2243" t="s">
        <v>32</v>
      </c>
      <c r="F2243" t="s">
        <v>35</v>
      </c>
      <c r="G2243" t="str">
        <f>"2024-12-29 08:47:07.320"</f>
        <v>2024-12-29 08:47:07.320</v>
      </c>
      <c r="H2243" t="s">
        <v>21</v>
      </c>
      <c r="I2243">
        <v>0</v>
      </c>
      <c r="J2243" t="s">
        <v>34</v>
      </c>
    </row>
    <row r="2244" spans="1:10" x14ac:dyDescent="0.25">
      <c r="A2244" s="1">
        <v>335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"2024-12-29 08:46:11.090"</f>
        <v>2024-12-29 08:46:11.090</v>
      </c>
      <c r="H2244" t="s">
        <v>21</v>
      </c>
    </row>
    <row r="2245" spans="1:10" x14ac:dyDescent="0.25">
      <c r="A2245" s="1">
        <v>336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"2024-12-28 16:26:11.096"</f>
        <v>2024-12-28 16:26:11.096</v>
      </c>
      <c r="H2245" t="s">
        <v>21</v>
      </c>
    </row>
    <row r="2246" spans="1:10" x14ac:dyDescent="0.25">
      <c r="A2246" s="1">
        <v>337</v>
      </c>
      <c r="B2246" t="s">
        <v>19</v>
      </c>
      <c r="C2246">
        <v>706</v>
      </c>
      <c r="D2246">
        <v>4</v>
      </c>
      <c r="E2246" t="s">
        <v>32</v>
      </c>
      <c r="F2246" t="s">
        <v>33</v>
      </c>
      <c r="G2246" t="str">
        <f>"2024-12-28 13:36:27.069"</f>
        <v>2024-12-28 13:36:27.069</v>
      </c>
      <c r="H2246" t="s">
        <v>21</v>
      </c>
      <c r="I2246">
        <v>0</v>
      </c>
      <c r="J2246" t="s">
        <v>34</v>
      </c>
    </row>
    <row r="2247" spans="1:10" x14ac:dyDescent="0.25">
      <c r="A2247" s="1">
        <v>338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"2024-12-28 13:35:57.079"</f>
        <v>2024-12-28 13:35:57.079</v>
      </c>
      <c r="H2247" t="s">
        <v>21</v>
      </c>
      <c r="I2247">
        <v>0</v>
      </c>
      <c r="J2247" t="s">
        <v>22</v>
      </c>
    </row>
    <row r="2248" spans="1:10" x14ac:dyDescent="0.25">
      <c r="A2248" s="1">
        <v>339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"2024-12-28 09:17:55.080"</f>
        <v>2024-12-28 09:17:55.080</v>
      </c>
      <c r="H2248" t="s">
        <v>21</v>
      </c>
      <c r="I2248">
        <v>0</v>
      </c>
      <c r="J2248" t="s">
        <v>22</v>
      </c>
    </row>
    <row r="2249" spans="1:10" x14ac:dyDescent="0.25">
      <c r="A2249" s="1">
        <v>340</v>
      </c>
      <c r="B2249" t="s">
        <v>19</v>
      </c>
      <c r="C2249">
        <v>706</v>
      </c>
      <c r="D2249">
        <v>2</v>
      </c>
      <c r="E2249" t="s">
        <v>32</v>
      </c>
      <c r="F2249" t="s">
        <v>35</v>
      </c>
      <c r="G2249" t="str">
        <f>"2024-12-28 08:24:33.880"</f>
        <v>2024-12-28 08:24:33.880</v>
      </c>
      <c r="H2249" t="s">
        <v>21</v>
      </c>
      <c r="I2249">
        <v>0</v>
      </c>
      <c r="J2249" t="s">
        <v>34</v>
      </c>
    </row>
    <row r="2250" spans="1:10" x14ac:dyDescent="0.25">
      <c r="A2250" s="1">
        <v>341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"2024-12-28 08:24:15.060"</f>
        <v>2024-12-28 08:24:15.060</v>
      </c>
      <c r="H2250" t="s">
        <v>21</v>
      </c>
    </row>
    <row r="2251" spans="1:10" x14ac:dyDescent="0.25">
      <c r="A2251" s="1">
        <v>342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"2024-12-28 08:21:14.069"</f>
        <v>2024-12-28 08:21:14.069</v>
      </c>
      <c r="H2251" t="s">
        <v>21</v>
      </c>
    </row>
    <row r="2252" spans="1:10" x14ac:dyDescent="0.25">
      <c r="A2252" s="1">
        <v>343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"2024-12-27 17:09:20.050"</f>
        <v>2024-12-27 17:09:20.050</v>
      </c>
      <c r="H2252" t="s">
        <v>21</v>
      </c>
    </row>
    <row r="2253" spans="1:10" x14ac:dyDescent="0.25">
      <c r="A2253" s="1">
        <v>344</v>
      </c>
      <c r="B2253" t="s">
        <v>19</v>
      </c>
      <c r="C2253">
        <v>706</v>
      </c>
      <c r="D2253">
        <v>4</v>
      </c>
      <c r="E2253" t="s">
        <v>32</v>
      </c>
      <c r="F2253" t="s">
        <v>33</v>
      </c>
      <c r="G2253" t="str">
        <f>"2024-12-27 16:49:48.843"</f>
        <v>2024-12-27 16:49:48.843</v>
      </c>
      <c r="H2253" t="s">
        <v>21</v>
      </c>
      <c r="I2253">
        <v>0</v>
      </c>
      <c r="J2253" t="s">
        <v>34</v>
      </c>
    </row>
    <row r="2254" spans="1:10" x14ac:dyDescent="0.25">
      <c r="A2254" s="1">
        <v>345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"2024-12-27 16:44:17.063"</f>
        <v>2024-12-27 16:44:17.063</v>
      </c>
      <c r="H2254" t="s">
        <v>21</v>
      </c>
      <c r="I2254">
        <v>0</v>
      </c>
      <c r="J2254" t="s">
        <v>22</v>
      </c>
    </row>
    <row r="2255" spans="1:10" x14ac:dyDescent="0.25">
      <c r="A2255" s="1">
        <v>346</v>
      </c>
      <c r="B2255" t="s">
        <v>19</v>
      </c>
      <c r="C2255">
        <v>706</v>
      </c>
      <c r="D2255">
        <v>2</v>
      </c>
      <c r="E2255" t="s">
        <v>32</v>
      </c>
      <c r="F2255" t="s">
        <v>35</v>
      </c>
      <c r="G2255" t="str">
        <f>"2024-12-27 16:37:49.694"</f>
        <v>2024-12-27 16:37:49.694</v>
      </c>
      <c r="H2255" t="s">
        <v>21</v>
      </c>
      <c r="I2255">
        <v>0</v>
      </c>
      <c r="J2255" t="s">
        <v>34</v>
      </c>
    </row>
    <row r="2256" spans="1:10" x14ac:dyDescent="0.25">
      <c r="A2256" s="1">
        <v>347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"2024-12-27 16:36:15.054"</f>
        <v>2024-12-27 16:36:15.054</v>
      </c>
      <c r="H2256" t="s">
        <v>21</v>
      </c>
      <c r="I2256">
        <v>0</v>
      </c>
      <c r="J2256" t="s">
        <v>22</v>
      </c>
    </row>
    <row r="2257" spans="1:10" x14ac:dyDescent="0.25">
      <c r="A2257" s="1">
        <v>350</v>
      </c>
      <c r="B2257" t="s">
        <v>19</v>
      </c>
      <c r="C2257">
        <v>782</v>
      </c>
      <c r="D2257">
        <v>7</v>
      </c>
      <c r="E2257" t="s">
        <v>69</v>
      </c>
      <c r="F2257" t="s">
        <v>70</v>
      </c>
      <c r="G2257" t="str">
        <f>"2024-12-27 16:30:10.594"</f>
        <v>2024-12-27 16:30:10.594</v>
      </c>
      <c r="H2257" t="s">
        <v>21</v>
      </c>
      <c r="I2257">
        <v>0</v>
      </c>
      <c r="J2257" t="s">
        <v>34</v>
      </c>
    </row>
    <row r="2258" spans="1:10" x14ac:dyDescent="0.25">
      <c r="A2258" s="1">
        <v>353</v>
      </c>
      <c r="B2258" t="s">
        <v>23</v>
      </c>
      <c r="C2258">
        <v>250</v>
      </c>
      <c r="D2258">
        <v>7</v>
      </c>
      <c r="E2258" t="s">
        <v>78</v>
      </c>
      <c r="F2258" t="s">
        <v>79</v>
      </c>
      <c r="G2258" t="str">
        <f>"2024-12-27 16:30:10.590"</f>
        <v>2024-12-27 16:30:10.590</v>
      </c>
      <c r="H2258" t="s">
        <v>21</v>
      </c>
    </row>
    <row r="2259" spans="1:10" x14ac:dyDescent="0.25">
      <c r="A2259" s="1">
        <v>354</v>
      </c>
      <c r="B2259" t="s">
        <v>23</v>
      </c>
      <c r="C2259">
        <v>248</v>
      </c>
      <c r="D2259">
        <v>7</v>
      </c>
      <c r="E2259" t="s">
        <v>80</v>
      </c>
      <c r="F2259" t="s">
        <v>81</v>
      </c>
      <c r="G2259" t="str">
        <f>"2024-12-27 16:30:10.589"</f>
        <v>2024-12-27 16:30:10.589</v>
      </c>
      <c r="H2259" t="s">
        <v>21</v>
      </c>
    </row>
    <row r="2260" spans="1:10" x14ac:dyDescent="0.25">
      <c r="A2260" s="1">
        <v>355</v>
      </c>
      <c r="B2260" t="s">
        <v>23</v>
      </c>
      <c r="C2260">
        <v>207</v>
      </c>
      <c r="D2260">
        <v>2</v>
      </c>
      <c r="E2260" t="s">
        <v>82</v>
      </c>
      <c r="F2260" t="s">
        <v>83</v>
      </c>
      <c r="G2260" t="str">
        <f>"2024-12-27 16:30:10.587"</f>
        <v>2024-12-27 16:30:10.587</v>
      </c>
      <c r="H2260" t="s">
        <v>64</v>
      </c>
    </row>
    <row r="2261" spans="1:10" x14ac:dyDescent="0.25">
      <c r="A2261" s="1">
        <v>356</v>
      </c>
      <c r="B2261" t="s">
        <v>23</v>
      </c>
      <c r="C2261">
        <v>150</v>
      </c>
      <c r="D2261">
        <v>7</v>
      </c>
      <c r="E2261" t="s">
        <v>94</v>
      </c>
      <c r="F2261" t="s">
        <v>79</v>
      </c>
      <c r="G2261" t="str">
        <f>"2024-12-27 16:30:10.584"</f>
        <v>2024-12-27 16:30:10.584</v>
      </c>
      <c r="H2261" t="s">
        <v>21</v>
      </c>
    </row>
    <row r="2262" spans="1:10" x14ac:dyDescent="0.25">
      <c r="A2262" s="1">
        <v>357</v>
      </c>
      <c r="B2262" t="s">
        <v>23</v>
      </c>
      <c r="C2262">
        <v>107</v>
      </c>
      <c r="D2262">
        <v>2</v>
      </c>
      <c r="E2262" t="s">
        <v>85</v>
      </c>
      <c r="F2262" t="s">
        <v>83</v>
      </c>
      <c r="G2262" t="str">
        <f>"2024-12-27 16:30:10.581"</f>
        <v>2024-12-27 16:30:10.581</v>
      </c>
      <c r="H2262" t="s">
        <v>49</v>
      </c>
    </row>
    <row r="2263" spans="1:10" x14ac:dyDescent="0.25">
      <c r="A2263" s="1">
        <v>358</v>
      </c>
      <c r="B2263" t="s">
        <v>23</v>
      </c>
      <c r="C2263">
        <v>12</v>
      </c>
      <c r="D2263">
        <v>2</v>
      </c>
      <c r="E2263" t="s">
        <v>120</v>
      </c>
      <c r="F2263" t="s">
        <v>121</v>
      </c>
      <c r="G2263" t="str">
        <f>"2024-12-27 16:30:10.579"</f>
        <v>2024-12-27 16:30:10.579</v>
      </c>
      <c r="H2263" t="s">
        <v>21</v>
      </c>
    </row>
    <row r="2264" spans="1:10" x14ac:dyDescent="0.25">
      <c r="A2264" s="1">
        <v>359</v>
      </c>
      <c r="B2264" t="s">
        <v>23</v>
      </c>
      <c r="C2264">
        <v>12</v>
      </c>
      <c r="D2264">
        <v>1</v>
      </c>
      <c r="E2264" t="s">
        <v>120</v>
      </c>
      <c r="F2264" t="s">
        <v>122</v>
      </c>
      <c r="G2264" t="str">
        <f>"2024-12-27 16:30:10.578"</f>
        <v>2024-12-27 16:30:10.578</v>
      </c>
      <c r="H2264" t="s">
        <v>21</v>
      </c>
    </row>
    <row r="2265" spans="1:10" x14ac:dyDescent="0.25">
      <c r="A2265" s="1">
        <v>360</v>
      </c>
      <c r="B2265" t="s">
        <v>19</v>
      </c>
      <c r="C2265">
        <v>782</v>
      </c>
      <c r="D2265">
        <v>7</v>
      </c>
      <c r="E2265" t="s">
        <v>69</v>
      </c>
      <c r="F2265" t="s">
        <v>70</v>
      </c>
      <c r="G2265" t="str">
        <f>"2024-12-27 16:30:10.576"</f>
        <v>2024-12-27 16:30:10.576</v>
      </c>
      <c r="H2265" t="s">
        <v>21</v>
      </c>
      <c r="I2265">
        <v>0</v>
      </c>
      <c r="J2265" t="s">
        <v>34</v>
      </c>
    </row>
    <row r="2266" spans="1:10" x14ac:dyDescent="0.25">
      <c r="A2266" s="1">
        <v>361</v>
      </c>
      <c r="B2266" t="s">
        <v>23</v>
      </c>
      <c r="C2266">
        <v>4</v>
      </c>
      <c r="D2266">
        <v>1</v>
      </c>
      <c r="E2266" t="s">
        <v>115</v>
      </c>
      <c r="F2266" t="s">
        <v>116</v>
      </c>
      <c r="G2266" t="str">
        <f>"2024-12-27 16:29:42.787"</f>
        <v>2024-12-27 16:29:42.787</v>
      </c>
      <c r="H2266" t="s">
        <v>117</v>
      </c>
    </row>
    <row r="2267" spans="1:10" x14ac:dyDescent="0.25">
      <c r="A2267" s="1">
        <v>362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"2024-12-27 16:26:24.047"</f>
        <v>2024-12-27 16:26:24.047</v>
      </c>
      <c r="H2267" t="s">
        <v>21</v>
      </c>
      <c r="I2267">
        <v>0</v>
      </c>
      <c r="J2267" t="s">
        <v>22</v>
      </c>
    </row>
    <row r="2268" spans="1:10" x14ac:dyDescent="0.25">
      <c r="A2268" s="1">
        <v>363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"2024-12-27 16:22:59.052"</f>
        <v>2024-12-27 16:22:59.052</v>
      </c>
      <c r="H2268" t="s">
        <v>21</v>
      </c>
    </row>
    <row r="2269" spans="1:10" x14ac:dyDescent="0.25">
      <c r="A2269" s="1">
        <v>364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"2024-12-27 16:12:57.055"</f>
        <v>2024-12-27 16:12:57.055</v>
      </c>
      <c r="H2269" t="s">
        <v>21</v>
      </c>
    </row>
    <row r="2270" spans="1:10" x14ac:dyDescent="0.25">
      <c r="A2270" s="1">
        <v>365</v>
      </c>
      <c r="B2270" t="s">
        <v>26</v>
      </c>
      <c r="C2270">
        <v>248</v>
      </c>
      <c r="D2270">
        <v>7</v>
      </c>
      <c r="E2270" t="s">
        <v>80</v>
      </c>
      <c r="F2270" t="s">
        <v>81</v>
      </c>
      <c r="G2270" t="str">
        <f>"2024-12-27 16:08:24.992"</f>
        <v>2024-12-27 16:08:24.992</v>
      </c>
      <c r="H2270" t="s">
        <v>21</v>
      </c>
      <c r="I2270">
        <v>0</v>
      </c>
      <c r="J2270" t="s">
        <v>59</v>
      </c>
    </row>
    <row r="2271" spans="1:10" x14ac:dyDescent="0.25">
      <c r="A2271" s="1">
        <v>366</v>
      </c>
      <c r="B2271" t="s">
        <v>26</v>
      </c>
      <c r="C2271">
        <v>250</v>
      </c>
      <c r="D2271">
        <v>7</v>
      </c>
      <c r="E2271" t="s">
        <v>78</v>
      </c>
      <c r="F2271" t="s">
        <v>79</v>
      </c>
      <c r="G2271" t="str">
        <f>"2024-12-27 16:08:23.852"</f>
        <v>2024-12-27 16:08:23.852</v>
      </c>
      <c r="H2271" t="s">
        <v>21</v>
      </c>
      <c r="I2271">
        <v>0</v>
      </c>
      <c r="J2271" t="s">
        <v>59</v>
      </c>
    </row>
    <row r="2272" spans="1:10" x14ac:dyDescent="0.25">
      <c r="A2272" s="1">
        <v>367</v>
      </c>
      <c r="B2272" t="s">
        <v>43</v>
      </c>
      <c r="C2272">
        <v>250</v>
      </c>
      <c r="D2272">
        <v>7</v>
      </c>
      <c r="E2272" t="s">
        <v>78</v>
      </c>
      <c r="F2272" t="s">
        <v>79</v>
      </c>
      <c r="G2272" t="str">
        <f>"2024-12-27 16:08:23.423"</f>
        <v>2024-12-27 16:08:23.423</v>
      </c>
      <c r="H2272" t="s">
        <v>21</v>
      </c>
    </row>
    <row r="2273" spans="1:10" x14ac:dyDescent="0.25">
      <c r="A2273" s="1">
        <v>368</v>
      </c>
      <c r="B2273" t="s">
        <v>43</v>
      </c>
      <c r="C2273">
        <v>248</v>
      </c>
      <c r="D2273">
        <v>7</v>
      </c>
      <c r="E2273" t="s">
        <v>80</v>
      </c>
      <c r="F2273" t="s">
        <v>81</v>
      </c>
      <c r="G2273" t="str">
        <f>"2024-12-27 16:08:23.323"</f>
        <v>2024-12-27 16:08:23.323</v>
      </c>
      <c r="H2273" t="s">
        <v>21</v>
      </c>
    </row>
    <row r="2274" spans="1:10" x14ac:dyDescent="0.25">
      <c r="A2274" s="1">
        <v>369</v>
      </c>
      <c r="B2274" t="s">
        <v>26</v>
      </c>
      <c r="C2274">
        <v>150</v>
      </c>
      <c r="D2274">
        <v>7</v>
      </c>
      <c r="E2274" t="s">
        <v>94</v>
      </c>
      <c r="F2274" t="s">
        <v>79</v>
      </c>
      <c r="G2274" t="str">
        <f>"2024-12-27 16:08:22.192"</f>
        <v>2024-12-27 16:08:22.192</v>
      </c>
      <c r="H2274" t="s">
        <v>21</v>
      </c>
      <c r="I2274">
        <v>0</v>
      </c>
      <c r="J2274" t="s">
        <v>59</v>
      </c>
    </row>
    <row r="2275" spans="1:10" x14ac:dyDescent="0.25">
      <c r="A2275" s="1">
        <v>370</v>
      </c>
      <c r="B2275" t="s">
        <v>43</v>
      </c>
      <c r="C2275">
        <v>150</v>
      </c>
      <c r="D2275">
        <v>7</v>
      </c>
      <c r="E2275" t="s">
        <v>94</v>
      </c>
      <c r="F2275" t="s">
        <v>79</v>
      </c>
      <c r="G2275" t="str">
        <f>"2024-12-27 16:08:22.123"</f>
        <v>2024-12-27 16:08:22.123</v>
      </c>
      <c r="H2275" t="s">
        <v>21</v>
      </c>
    </row>
    <row r="2276" spans="1:10" x14ac:dyDescent="0.25">
      <c r="A2276" s="1">
        <v>371</v>
      </c>
      <c r="B2276" t="s">
        <v>43</v>
      </c>
      <c r="C2276">
        <v>148</v>
      </c>
      <c r="D2276">
        <v>7</v>
      </c>
      <c r="E2276" t="s">
        <v>95</v>
      </c>
      <c r="F2276" t="s">
        <v>81</v>
      </c>
      <c r="G2276" t="str">
        <f>"2024-12-27 16:08:22.023"</f>
        <v>2024-12-27 16:08:22.023</v>
      </c>
      <c r="H2276" t="s">
        <v>21</v>
      </c>
    </row>
    <row r="2277" spans="1:10" x14ac:dyDescent="0.25">
      <c r="A2277" s="1">
        <v>372</v>
      </c>
      <c r="B2277" t="s">
        <v>39</v>
      </c>
      <c r="C2277">
        <v>250</v>
      </c>
      <c r="D2277">
        <v>7</v>
      </c>
      <c r="E2277" t="s">
        <v>78</v>
      </c>
      <c r="F2277" t="s">
        <v>79</v>
      </c>
      <c r="G2277" t="str">
        <f>"2024-12-27 16:08:18.277"</f>
        <v>2024-12-27 16:08:18.277</v>
      </c>
      <c r="H2277" t="s">
        <v>21</v>
      </c>
      <c r="I2277">
        <v>0</v>
      </c>
      <c r="J2277" t="s">
        <v>59</v>
      </c>
    </row>
    <row r="2278" spans="1:10" x14ac:dyDescent="0.25">
      <c r="A2278" s="1">
        <v>373</v>
      </c>
      <c r="B2278" t="s">
        <v>39</v>
      </c>
      <c r="C2278">
        <v>248</v>
      </c>
      <c r="D2278">
        <v>7</v>
      </c>
      <c r="E2278" t="s">
        <v>80</v>
      </c>
      <c r="F2278" t="s">
        <v>81</v>
      </c>
      <c r="G2278" t="str">
        <f>"2024-12-27 16:08:18.272"</f>
        <v>2024-12-27 16:08:18.272</v>
      </c>
      <c r="H2278" t="s">
        <v>21</v>
      </c>
      <c r="I2278">
        <v>0</v>
      </c>
      <c r="J2278" t="s">
        <v>59</v>
      </c>
    </row>
    <row r="2279" spans="1:10" x14ac:dyDescent="0.25">
      <c r="A2279" s="1">
        <v>374</v>
      </c>
      <c r="B2279" t="s">
        <v>39</v>
      </c>
      <c r="C2279">
        <v>150</v>
      </c>
      <c r="D2279">
        <v>7</v>
      </c>
      <c r="E2279" t="s">
        <v>94</v>
      </c>
      <c r="F2279" t="s">
        <v>79</v>
      </c>
      <c r="G2279" t="str">
        <f>"2024-12-27 16:08:16.982"</f>
        <v>2024-12-27 16:08:16.982</v>
      </c>
      <c r="H2279" t="s">
        <v>21</v>
      </c>
      <c r="I2279">
        <v>0</v>
      </c>
      <c r="J2279" t="s">
        <v>59</v>
      </c>
    </row>
    <row r="2280" spans="1:10" x14ac:dyDescent="0.25">
      <c r="A2280" s="1">
        <v>375</v>
      </c>
      <c r="B2280" t="s">
        <v>39</v>
      </c>
      <c r="C2280">
        <v>148</v>
      </c>
      <c r="D2280">
        <v>7</v>
      </c>
      <c r="E2280" t="s">
        <v>95</v>
      </c>
      <c r="F2280" t="s">
        <v>81</v>
      </c>
      <c r="G2280" t="str">
        <f>"2024-12-27 16:08:16.977"</f>
        <v>2024-12-27 16:08:16.977</v>
      </c>
      <c r="H2280" t="s">
        <v>21</v>
      </c>
      <c r="I2280">
        <v>0</v>
      </c>
      <c r="J2280" t="s">
        <v>59</v>
      </c>
    </row>
    <row r="2281" spans="1:10" x14ac:dyDescent="0.25">
      <c r="A2281" s="1">
        <v>376</v>
      </c>
      <c r="B2281" t="s">
        <v>26</v>
      </c>
      <c r="C2281">
        <v>107</v>
      </c>
      <c r="D2281">
        <v>2</v>
      </c>
      <c r="E2281" t="s">
        <v>85</v>
      </c>
      <c r="F2281" t="s">
        <v>83</v>
      </c>
      <c r="G2281" t="str">
        <f>"2024-12-27 16:08:16.972"</f>
        <v>2024-12-27 16:08:16.972</v>
      </c>
      <c r="H2281" t="s">
        <v>49</v>
      </c>
      <c r="I2281">
        <v>0</v>
      </c>
      <c r="J2281" t="s">
        <v>59</v>
      </c>
    </row>
    <row r="2282" spans="1:10" x14ac:dyDescent="0.25">
      <c r="A2282" s="1">
        <v>377</v>
      </c>
      <c r="B2282" t="s">
        <v>26</v>
      </c>
      <c r="C2282">
        <v>207</v>
      </c>
      <c r="D2282">
        <v>2</v>
      </c>
      <c r="E2282" t="s">
        <v>82</v>
      </c>
      <c r="F2282" t="s">
        <v>83</v>
      </c>
      <c r="G2282" t="str">
        <f>"2024-12-27 16:08:16.632"</f>
        <v>2024-12-27 16:08:16.632</v>
      </c>
      <c r="H2282" t="s">
        <v>64</v>
      </c>
      <c r="I2282">
        <v>0</v>
      </c>
      <c r="J2282" t="s">
        <v>59</v>
      </c>
    </row>
    <row r="2283" spans="1:10" x14ac:dyDescent="0.25">
      <c r="A2283" s="1">
        <v>378</v>
      </c>
      <c r="B2283" t="s">
        <v>19</v>
      </c>
      <c r="C2283">
        <v>706</v>
      </c>
      <c r="D2283">
        <v>4</v>
      </c>
      <c r="E2283" t="s">
        <v>32</v>
      </c>
      <c r="F2283" t="s">
        <v>33</v>
      </c>
      <c r="G2283" t="str">
        <f>"2024-12-27 16:08:05.008"</f>
        <v>2024-12-27 16:08:05.008</v>
      </c>
      <c r="H2283" t="s">
        <v>21</v>
      </c>
      <c r="I2283">
        <v>0</v>
      </c>
      <c r="J2283" t="s">
        <v>59</v>
      </c>
    </row>
    <row r="2284" spans="1:10" x14ac:dyDescent="0.25">
      <c r="A2284" s="1">
        <v>379</v>
      </c>
      <c r="B2284" t="s">
        <v>19</v>
      </c>
      <c r="C2284">
        <v>719</v>
      </c>
      <c r="D2284">
        <v>1</v>
      </c>
      <c r="E2284" t="s">
        <v>76</v>
      </c>
      <c r="F2284" t="s">
        <v>123</v>
      </c>
      <c r="G2284" t="str">
        <f>"2024-12-27 15:46:00.610"</f>
        <v>2024-12-27 15:46:00.610</v>
      </c>
      <c r="H2284" t="s">
        <v>21</v>
      </c>
      <c r="I2284">
        <v>0</v>
      </c>
      <c r="J2284" t="s">
        <v>34</v>
      </c>
    </row>
    <row r="2285" spans="1:10" x14ac:dyDescent="0.25">
      <c r="A2285" s="1">
        <v>380</v>
      </c>
      <c r="B2285" t="s">
        <v>23</v>
      </c>
      <c r="C2285">
        <v>650</v>
      </c>
      <c r="D2285">
        <v>4</v>
      </c>
      <c r="E2285" t="s">
        <v>124</v>
      </c>
      <c r="F2285" t="s">
        <v>125</v>
      </c>
      <c r="G2285" t="str">
        <f>"2024-12-26 23:45:58.990"</f>
        <v>2024-12-26 23:45:58.990</v>
      </c>
      <c r="H2285" t="s">
        <v>21</v>
      </c>
    </row>
    <row r="2286" spans="1:10" x14ac:dyDescent="0.25">
      <c r="A2286" s="1">
        <v>381</v>
      </c>
      <c r="B2286" t="s">
        <v>23</v>
      </c>
      <c r="C2286">
        <v>98</v>
      </c>
      <c r="D2286">
        <v>1</v>
      </c>
      <c r="E2286" t="s">
        <v>67</v>
      </c>
      <c r="F2286" t="s">
        <v>68</v>
      </c>
      <c r="G2286" t="str">
        <f>"2024-12-26 23:45:00.789"</f>
        <v>2024-12-26 23:45:00.789</v>
      </c>
      <c r="H2286" t="s">
        <v>21</v>
      </c>
    </row>
    <row r="2287" spans="1:10" x14ac:dyDescent="0.25">
      <c r="A2287" s="1">
        <v>382</v>
      </c>
      <c r="B2287" t="s">
        <v>26</v>
      </c>
      <c r="C2287">
        <v>98</v>
      </c>
      <c r="D2287">
        <v>1</v>
      </c>
      <c r="E2287" t="s">
        <v>67</v>
      </c>
      <c r="F2287" t="s">
        <v>68</v>
      </c>
      <c r="G2287" t="str">
        <f>"2024-12-26 23:44:59.390"</f>
        <v>2024-12-26 23:44:59.390</v>
      </c>
      <c r="H2287" t="s">
        <v>21</v>
      </c>
      <c r="I2287">
        <v>0</v>
      </c>
      <c r="J2287" t="s">
        <v>34</v>
      </c>
    </row>
    <row r="2288" spans="1:10" x14ac:dyDescent="0.25">
      <c r="A2288" s="1">
        <v>383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"2024-12-26 23:44:08.048"</f>
        <v>2024-12-26 23:44:08.048</v>
      </c>
      <c r="H2288" t="s">
        <v>21</v>
      </c>
    </row>
    <row r="2289" spans="1:10" x14ac:dyDescent="0.25">
      <c r="A2289" s="1">
        <v>384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"2024-12-26 23:42:31.035"</f>
        <v>2024-12-26 23:42:31.035</v>
      </c>
      <c r="H2289" t="s">
        <v>21</v>
      </c>
    </row>
    <row r="2290" spans="1:10" x14ac:dyDescent="0.25">
      <c r="A2290" s="1">
        <v>385</v>
      </c>
      <c r="B2290" t="s">
        <v>39</v>
      </c>
      <c r="C2290">
        <v>641</v>
      </c>
      <c r="D2290">
        <v>1</v>
      </c>
      <c r="E2290" t="s">
        <v>126</v>
      </c>
      <c r="F2290" t="s">
        <v>121</v>
      </c>
      <c r="G2290" t="str">
        <f>"2024-12-26 23:35:10.796"</f>
        <v>2024-12-26 23:35:10.796</v>
      </c>
      <c r="H2290" t="s">
        <v>21</v>
      </c>
      <c r="I2290">
        <v>0</v>
      </c>
      <c r="J2290" t="s">
        <v>34</v>
      </c>
    </row>
    <row r="2291" spans="1:10" x14ac:dyDescent="0.25">
      <c r="A2291" s="1">
        <v>386</v>
      </c>
      <c r="B2291" t="s">
        <v>39</v>
      </c>
      <c r="C2291">
        <v>640</v>
      </c>
      <c r="D2291">
        <v>1</v>
      </c>
      <c r="E2291" t="s">
        <v>127</v>
      </c>
      <c r="F2291" t="s">
        <v>122</v>
      </c>
      <c r="G2291" t="str">
        <f>"2024-12-26 23:35:10.786"</f>
        <v>2024-12-26 23:35:10.786</v>
      </c>
      <c r="H2291" t="s">
        <v>61</v>
      </c>
      <c r="I2291">
        <v>0</v>
      </c>
      <c r="J2291" t="s">
        <v>34</v>
      </c>
    </row>
    <row r="2292" spans="1:10" x14ac:dyDescent="0.25">
      <c r="A2292" s="1">
        <v>387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"2024-12-26 23:35:00.818"</f>
        <v>2024-12-26 23:35:00.818</v>
      </c>
      <c r="H2292" t="s">
        <v>21</v>
      </c>
      <c r="I2292">
        <v>0</v>
      </c>
      <c r="J2292" t="s">
        <v>22</v>
      </c>
    </row>
    <row r="2293" spans="1:10" x14ac:dyDescent="0.25">
      <c r="A2293" s="1">
        <v>388</v>
      </c>
      <c r="B2293" t="s">
        <v>39</v>
      </c>
      <c r="C2293">
        <v>641</v>
      </c>
      <c r="D2293">
        <v>1</v>
      </c>
      <c r="E2293" t="s">
        <v>126</v>
      </c>
      <c r="F2293" t="s">
        <v>121</v>
      </c>
      <c r="G2293" t="str">
        <f>"2024-12-26 23:33:54.833"</f>
        <v>2024-12-26 23:33:54.833</v>
      </c>
      <c r="H2293" t="s">
        <v>21</v>
      </c>
      <c r="I2293">
        <v>0</v>
      </c>
      <c r="J2293" t="s">
        <v>114</v>
      </c>
    </row>
    <row r="2294" spans="1:10" x14ac:dyDescent="0.25">
      <c r="A2294" s="1">
        <v>389</v>
      </c>
      <c r="B2294" t="s">
        <v>39</v>
      </c>
      <c r="C2294">
        <v>640</v>
      </c>
      <c r="D2294">
        <v>1</v>
      </c>
      <c r="E2294" t="s">
        <v>127</v>
      </c>
      <c r="F2294" t="s">
        <v>122</v>
      </c>
      <c r="G2294" t="str">
        <f>"2024-12-26 23:33:54.827"</f>
        <v>2024-12-26 23:33:54.827</v>
      </c>
      <c r="H2294" t="s">
        <v>61</v>
      </c>
      <c r="I2294">
        <v>0</v>
      </c>
      <c r="J2294" t="s">
        <v>114</v>
      </c>
    </row>
    <row r="2295" spans="1:10" x14ac:dyDescent="0.25">
      <c r="A2295" s="1">
        <v>390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"2024-12-26 23:33:44.809"</f>
        <v>2024-12-26 23:33:44.809</v>
      </c>
      <c r="H2295" t="s">
        <v>21</v>
      </c>
    </row>
    <row r="2296" spans="1:10" x14ac:dyDescent="0.25">
      <c r="A2296" s="1">
        <v>391</v>
      </c>
      <c r="B2296" t="s">
        <v>23</v>
      </c>
      <c r="C2296">
        <v>590</v>
      </c>
      <c r="D2296">
        <v>8</v>
      </c>
      <c r="E2296" t="s">
        <v>128</v>
      </c>
      <c r="F2296" t="s">
        <v>129</v>
      </c>
      <c r="G2296" t="str">
        <f>"2024-12-26 23:33:44.719"</f>
        <v>2024-12-26 23:33:44.719</v>
      </c>
      <c r="H2296" t="s">
        <v>21</v>
      </c>
    </row>
    <row r="2297" spans="1:10" x14ac:dyDescent="0.25">
      <c r="A2297" s="1">
        <v>392</v>
      </c>
      <c r="B2297" t="s">
        <v>26</v>
      </c>
      <c r="C2297">
        <v>590</v>
      </c>
      <c r="D2297">
        <v>8</v>
      </c>
      <c r="E2297" t="s">
        <v>128</v>
      </c>
      <c r="F2297" t="s">
        <v>129</v>
      </c>
      <c r="G2297" t="str">
        <f>"2024-12-26 23:32:30.871"</f>
        <v>2024-12-26 23:32:30.871</v>
      </c>
      <c r="H2297" t="s">
        <v>21</v>
      </c>
      <c r="I2297">
        <v>0</v>
      </c>
      <c r="J2297" t="s">
        <v>114</v>
      </c>
    </row>
    <row r="2298" spans="1:10" x14ac:dyDescent="0.25">
      <c r="A2298" s="1">
        <v>393</v>
      </c>
      <c r="B2298" t="s">
        <v>39</v>
      </c>
      <c r="C2298">
        <v>641</v>
      </c>
      <c r="D2298">
        <v>1</v>
      </c>
      <c r="E2298" t="s">
        <v>126</v>
      </c>
      <c r="F2298" t="s">
        <v>121</v>
      </c>
      <c r="G2298" t="str">
        <f>"2024-12-26 23:32:27.890"</f>
        <v>2024-12-26 23:32:27.890</v>
      </c>
      <c r="H2298" t="s">
        <v>21</v>
      </c>
      <c r="I2298">
        <v>0</v>
      </c>
      <c r="J2298" t="s">
        <v>114</v>
      </c>
    </row>
    <row r="2299" spans="1:10" x14ac:dyDescent="0.25">
      <c r="A2299" s="1">
        <v>394</v>
      </c>
      <c r="B2299" t="s">
        <v>39</v>
      </c>
      <c r="C2299">
        <v>640</v>
      </c>
      <c r="D2299">
        <v>1</v>
      </c>
      <c r="E2299" t="s">
        <v>127</v>
      </c>
      <c r="F2299" t="s">
        <v>122</v>
      </c>
      <c r="G2299" t="str">
        <f>"2024-12-26 23:32:27.882"</f>
        <v>2024-12-26 23:32:27.882</v>
      </c>
      <c r="H2299" t="s">
        <v>61</v>
      </c>
      <c r="I2299">
        <v>0</v>
      </c>
      <c r="J2299" t="s">
        <v>114</v>
      </c>
    </row>
    <row r="2300" spans="1:10" x14ac:dyDescent="0.25">
      <c r="A2300" s="1">
        <v>395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"2024-12-26 23:32:17.811"</f>
        <v>2024-12-26 23:32:17.811</v>
      </c>
      <c r="H2300" t="s">
        <v>21</v>
      </c>
    </row>
    <row r="2301" spans="1:10" x14ac:dyDescent="0.25">
      <c r="A2301" s="1">
        <v>396</v>
      </c>
      <c r="B2301" t="s">
        <v>23</v>
      </c>
      <c r="C2301">
        <v>590</v>
      </c>
      <c r="D2301">
        <v>8</v>
      </c>
      <c r="E2301" t="s">
        <v>128</v>
      </c>
      <c r="F2301" t="s">
        <v>129</v>
      </c>
      <c r="G2301" t="str">
        <f>"2024-12-26 23:32:17.722"</f>
        <v>2024-12-26 23:32:17.722</v>
      </c>
      <c r="H2301" t="s">
        <v>21</v>
      </c>
    </row>
    <row r="2302" spans="1:10" x14ac:dyDescent="0.25">
      <c r="A2302" s="1">
        <v>397</v>
      </c>
      <c r="B2302" t="s">
        <v>23</v>
      </c>
      <c r="C2302">
        <v>590</v>
      </c>
      <c r="D2302">
        <v>7</v>
      </c>
      <c r="E2302" t="s">
        <v>128</v>
      </c>
      <c r="F2302" t="s">
        <v>130</v>
      </c>
      <c r="G2302" t="str">
        <f>"2024-12-26 23:32:17.721"</f>
        <v>2024-12-26 23:32:17.721</v>
      </c>
      <c r="H2302" t="s">
        <v>21</v>
      </c>
    </row>
    <row r="2303" spans="1:10" x14ac:dyDescent="0.25">
      <c r="A2303" s="1">
        <v>398</v>
      </c>
      <c r="B2303" t="s">
        <v>26</v>
      </c>
      <c r="C2303">
        <v>590</v>
      </c>
      <c r="D2303">
        <v>8</v>
      </c>
      <c r="E2303" t="s">
        <v>128</v>
      </c>
      <c r="F2303" t="s">
        <v>129</v>
      </c>
      <c r="G2303" t="str">
        <f>"2024-12-26 23:31:35.875"</f>
        <v>2024-12-26 23:31:35.875</v>
      </c>
      <c r="H2303" t="s">
        <v>21</v>
      </c>
      <c r="I2303">
        <v>0</v>
      </c>
      <c r="J2303" t="s">
        <v>34</v>
      </c>
    </row>
    <row r="2304" spans="1:10" x14ac:dyDescent="0.25">
      <c r="A2304" s="1">
        <v>399</v>
      </c>
      <c r="B2304" t="s">
        <v>26</v>
      </c>
      <c r="C2304">
        <v>590</v>
      </c>
      <c r="D2304">
        <v>7</v>
      </c>
      <c r="E2304" t="s">
        <v>128</v>
      </c>
      <c r="F2304" t="s">
        <v>130</v>
      </c>
      <c r="G2304" t="str">
        <f>"2024-12-26 23:31:35.874"</f>
        <v>2024-12-26 23:31:35.874</v>
      </c>
      <c r="H2304" t="s">
        <v>21</v>
      </c>
      <c r="I2304">
        <v>0</v>
      </c>
      <c r="J2304" t="s">
        <v>34</v>
      </c>
    </row>
    <row r="2305" spans="1:10" x14ac:dyDescent="0.25">
      <c r="A2305" s="1">
        <v>400</v>
      </c>
      <c r="B2305" t="s">
        <v>39</v>
      </c>
      <c r="C2305">
        <v>641</v>
      </c>
      <c r="D2305">
        <v>1</v>
      </c>
      <c r="E2305" t="s">
        <v>126</v>
      </c>
      <c r="F2305" t="s">
        <v>121</v>
      </c>
      <c r="G2305" t="str">
        <f>"2024-12-26 23:31:32.792"</f>
        <v>2024-12-26 23:31:32.792</v>
      </c>
      <c r="H2305" t="s">
        <v>21</v>
      </c>
      <c r="I2305">
        <v>0</v>
      </c>
      <c r="J2305" t="s">
        <v>34</v>
      </c>
    </row>
    <row r="2306" spans="1:10" x14ac:dyDescent="0.25">
      <c r="A2306" s="1">
        <v>401</v>
      </c>
      <c r="B2306" t="s">
        <v>39</v>
      </c>
      <c r="C2306">
        <v>640</v>
      </c>
      <c r="D2306">
        <v>1</v>
      </c>
      <c r="E2306" t="s">
        <v>127</v>
      </c>
      <c r="F2306" t="s">
        <v>122</v>
      </c>
      <c r="G2306" t="str">
        <f>"2024-12-26 23:31:32.784"</f>
        <v>2024-12-26 23:31:32.784</v>
      </c>
      <c r="H2306" t="s">
        <v>61</v>
      </c>
      <c r="I2306">
        <v>0</v>
      </c>
      <c r="J2306" t="s">
        <v>34</v>
      </c>
    </row>
    <row r="2307" spans="1:10" x14ac:dyDescent="0.25">
      <c r="A2307" s="1">
        <v>402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"2024-12-26 23:31:22.814"</f>
        <v>2024-12-26 23:31:22.814</v>
      </c>
      <c r="H2307" t="s">
        <v>21</v>
      </c>
      <c r="I2307">
        <v>0</v>
      </c>
      <c r="J2307" t="s">
        <v>22</v>
      </c>
    </row>
    <row r="2308" spans="1:10" x14ac:dyDescent="0.25">
      <c r="A2308" s="1">
        <v>403</v>
      </c>
      <c r="B2308" t="s">
        <v>23</v>
      </c>
      <c r="C2308">
        <v>590</v>
      </c>
      <c r="D2308">
        <v>8</v>
      </c>
      <c r="E2308" t="s">
        <v>128</v>
      </c>
      <c r="F2308" t="s">
        <v>129</v>
      </c>
      <c r="G2308" t="str">
        <f>"2024-12-26 23:31:22.725"</f>
        <v>2024-12-26 23:31:22.725</v>
      </c>
      <c r="H2308" t="s">
        <v>21</v>
      </c>
    </row>
    <row r="2309" spans="1:10" x14ac:dyDescent="0.25">
      <c r="A2309" s="1">
        <v>404</v>
      </c>
      <c r="B2309" t="s">
        <v>23</v>
      </c>
      <c r="C2309">
        <v>590</v>
      </c>
      <c r="D2309">
        <v>7</v>
      </c>
      <c r="E2309" t="s">
        <v>128</v>
      </c>
      <c r="F2309" t="s">
        <v>130</v>
      </c>
      <c r="G2309" t="str">
        <f>"2024-12-26 23:31:22.724"</f>
        <v>2024-12-26 23:31:22.724</v>
      </c>
      <c r="H2309" t="s">
        <v>21</v>
      </c>
    </row>
    <row r="2310" spans="1:10" x14ac:dyDescent="0.25">
      <c r="A2310" s="1">
        <v>405</v>
      </c>
      <c r="B2310" t="s">
        <v>26</v>
      </c>
      <c r="C2310">
        <v>590</v>
      </c>
      <c r="D2310">
        <v>7</v>
      </c>
      <c r="E2310" t="s">
        <v>128</v>
      </c>
      <c r="F2310" t="s">
        <v>130</v>
      </c>
      <c r="G2310" t="str">
        <f>"2024-12-26 23:29:56.483"</f>
        <v>2024-12-26 23:29:56.483</v>
      </c>
      <c r="H2310" t="s">
        <v>21</v>
      </c>
      <c r="I2310">
        <v>0</v>
      </c>
      <c r="J2310" t="s">
        <v>34</v>
      </c>
    </row>
    <row r="2311" spans="1:10" x14ac:dyDescent="0.25">
      <c r="A2311" s="1">
        <v>406</v>
      </c>
      <c r="B2311" t="s">
        <v>26</v>
      </c>
      <c r="C2311">
        <v>590</v>
      </c>
      <c r="D2311">
        <v>8</v>
      </c>
      <c r="E2311" t="s">
        <v>128</v>
      </c>
      <c r="F2311" t="s">
        <v>129</v>
      </c>
      <c r="G2311" t="str">
        <f>"2024-12-26 23:29:50.983"</f>
        <v>2024-12-26 23:29:50.983</v>
      </c>
      <c r="H2311" t="s">
        <v>21</v>
      </c>
      <c r="I2311">
        <v>0</v>
      </c>
      <c r="J2311" t="s">
        <v>34</v>
      </c>
    </row>
    <row r="2312" spans="1:10" x14ac:dyDescent="0.25">
      <c r="A2312" s="1">
        <v>407</v>
      </c>
      <c r="B2312" t="s">
        <v>39</v>
      </c>
      <c r="C2312">
        <v>641</v>
      </c>
      <c r="D2312">
        <v>1</v>
      </c>
      <c r="E2312" t="s">
        <v>126</v>
      </c>
      <c r="F2312" t="s">
        <v>121</v>
      </c>
      <c r="G2312" t="str">
        <f>"2024-12-26 23:29:46.896"</f>
        <v>2024-12-26 23:29:46.896</v>
      </c>
      <c r="H2312" t="s">
        <v>21</v>
      </c>
      <c r="I2312">
        <v>0</v>
      </c>
      <c r="J2312" t="s">
        <v>34</v>
      </c>
    </row>
    <row r="2313" spans="1:10" x14ac:dyDescent="0.25">
      <c r="A2313" s="1">
        <v>408</v>
      </c>
      <c r="B2313" t="s">
        <v>39</v>
      </c>
      <c r="C2313">
        <v>640</v>
      </c>
      <c r="D2313">
        <v>1</v>
      </c>
      <c r="E2313" t="s">
        <v>127</v>
      </c>
      <c r="F2313" t="s">
        <v>122</v>
      </c>
      <c r="G2313" t="str">
        <f>"2024-12-26 23:29:46.890"</f>
        <v>2024-12-26 23:29:46.890</v>
      </c>
      <c r="H2313" t="s">
        <v>61</v>
      </c>
      <c r="I2313">
        <v>0</v>
      </c>
      <c r="J2313" t="s">
        <v>34</v>
      </c>
    </row>
    <row r="2314" spans="1:10" x14ac:dyDescent="0.25">
      <c r="A2314" s="1">
        <v>409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"2024-12-26 23:29:36.823"</f>
        <v>2024-12-26 23:29:36.823</v>
      </c>
      <c r="H2314" t="s">
        <v>21</v>
      </c>
      <c r="I2314">
        <v>0</v>
      </c>
      <c r="J2314" t="s">
        <v>22</v>
      </c>
    </row>
    <row r="2315" spans="1:10" x14ac:dyDescent="0.25">
      <c r="A2315" s="1">
        <v>410</v>
      </c>
      <c r="B2315" t="s">
        <v>23</v>
      </c>
      <c r="C2315">
        <v>590</v>
      </c>
      <c r="D2315">
        <v>8</v>
      </c>
      <c r="E2315" t="s">
        <v>128</v>
      </c>
      <c r="F2315" t="s">
        <v>129</v>
      </c>
      <c r="G2315" t="str">
        <f>"2024-12-26 23:29:36.734"</f>
        <v>2024-12-26 23:29:36.734</v>
      </c>
      <c r="H2315" t="s">
        <v>21</v>
      </c>
    </row>
    <row r="2316" spans="1:10" x14ac:dyDescent="0.25">
      <c r="A2316" s="1">
        <v>411</v>
      </c>
      <c r="B2316" t="s">
        <v>23</v>
      </c>
      <c r="C2316">
        <v>590</v>
      </c>
      <c r="D2316">
        <v>7</v>
      </c>
      <c r="E2316" t="s">
        <v>128</v>
      </c>
      <c r="F2316" t="s">
        <v>130</v>
      </c>
      <c r="G2316" t="str">
        <f>"2024-12-26 23:29:36.733"</f>
        <v>2024-12-26 23:29:36.733</v>
      </c>
      <c r="H2316" t="s">
        <v>21</v>
      </c>
    </row>
    <row r="2317" spans="1:10" x14ac:dyDescent="0.25">
      <c r="A2317" s="1">
        <v>414</v>
      </c>
      <c r="B2317" t="s">
        <v>39</v>
      </c>
      <c r="C2317">
        <v>641</v>
      </c>
      <c r="D2317">
        <v>1</v>
      </c>
      <c r="E2317" t="s">
        <v>126</v>
      </c>
      <c r="F2317" t="s">
        <v>121</v>
      </c>
      <c r="G2317" t="str">
        <f>"2024-12-26 23:26:51.210"</f>
        <v>2024-12-26 23:26:51.210</v>
      </c>
      <c r="H2317" t="s">
        <v>21</v>
      </c>
      <c r="I2317">
        <v>0</v>
      </c>
      <c r="J2317" t="s">
        <v>114</v>
      </c>
    </row>
    <row r="2318" spans="1:10" x14ac:dyDescent="0.25">
      <c r="A2318" s="1">
        <v>415</v>
      </c>
      <c r="B2318" t="s">
        <v>39</v>
      </c>
      <c r="C2318">
        <v>640</v>
      </c>
      <c r="D2318">
        <v>1</v>
      </c>
      <c r="E2318" t="s">
        <v>127</v>
      </c>
      <c r="F2318" t="s">
        <v>122</v>
      </c>
      <c r="G2318" t="str">
        <f>"2024-12-26 23:26:51.202"</f>
        <v>2024-12-26 23:26:51.202</v>
      </c>
      <c r="H2318" t="s">
        <v>61</v>
      </c>
      <c r="I2318">
        <v>0</v>
      </c>
      <c r="J2318" t="s">
        <v>114</v>
      </c>
    </row>
    <row r="2319" spans="1:10" x14ac:dyDescent="0.25">
      <c r="A2319" s="1">
        <v>416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"2024-12-26 23:26:41.132"</f>
        <v>2024-12-26 23:26:41.132</v>
      </c>
      <c r="H2319" t="s">
        <v>21</v>
      </c>
      <c r="I2319">
        <v>0</v>
      </c>
      <c r="J2319" t="s">
        <v>22</v>
      </c>
    </row>
    <row r="2320" spans="1:10" x14ac:dyDescent="0.25">
      <c r="A2320" s="1">
        <v>417</v>
      </c>
      <c r="B2320" t="s">
        <v>23</v>
      </c>
      <c r="C2320">
        <v>24</v>
      </c>
      <c r="D2320">
        <v>9</v>
      </c>
      <c r="E2320" t="s">
        <v>131</v>
      </c>
      <c r="F2320" t="s">
        <v>132</v>
      </c>
      <c r="G2320" t="str">
        <f>"2024-12-26 23:26:41.000"</f>
        <v>2024-12-26 23:26:41.000</v>
      </c>
      <c r="H2320" t="s">
        <v>73</v>
      </c>
    </row>
    <row r="2321" spans="1:10" x14ac:dyDescent="0.25">
      <c r="A2321" s="1">
        <v>418</v>
      </c>
      <c r="B2321" t="s">
        <v>19</v>
      </c>
      <c r="C2321">
        <v>754</v>
      </c>
      <c r="D2321">
        <v>0</v>
      </c>
      <c r="E2321" t="s">
        <v>133</v>
      </c>
      <c r="F2321" t="s">
        <v>133</v>
      </c>
      <c r="G2321" t="str">
        <f>"2024-12-26 23:24:38.135"</f>
        <v>2024-12-26 23:24:38.135</v>
      </c>
      <c r="H2321" t="s">
        <v>21</v>
      </c>
      <c r="I2321">
        <v>0</v>
      </c>
      <c r="J2321" t="s">
        <v>34</v>
      </c>
    </row>
    <row r="2322" spans="1:10" x14ac:dyDescent="0.25">
      <c r="A2322" s="1">
        <v>419</v>
      </c>
      <c r="B2322" t="s">
        <v>39</v>
      </c>
      <c r="C2322">
        <v>641</v>
      </c>
      <c r="D2322">
        <v>1</v>
      </c>
      <c r="E2322" t="s">
        <v>126</v>
      </c>
      <c r="F2322" t="s">
        <v>121</v>
      </c>
      <c r="G2322" t="str">
        <f>"2024-12-26 23:23:32.492"</f>
        <v>2024-12-26 23:23:32.492</v>
      </c>
      <c r="H2322" t="s">
        <v>21</v>
      </c>
      <c r="I2322">
        <v>0</v>
      </c>
      <c r="J2322" t="s">
        <v>34</v>
      </c>
    </row>
    <row r="2323" spans="1:10" x14ac:dyDescent="0.25">
      <c r="A2323" s="1">
        <v>420</v>
      </c>
      <c r="B2323" t="s">
        <v>39</v>
      </c>
      <c r="C2323">
        <v>640</v>
      </c>
      <c r="D2323">
        <v>1</v>
      </c>
      <c r="E2323" t="s">
        <v>127</v>
      </c>
      <c r="F2323" t="s">
        <v>122</v>
      </c>
      <c r="G2323" t="str">
        <f>"2024-12-26 23:23:32.484"</f>
        <v>2024-12-26 23:23:32.484</v>
      </c>
      <c r="H2323" t="s">
        <v>61</v>
      </c>
      <c r="I2323">
        <v>0</v>
      </c>
      <c r="J2323" t="s">
        <v>34</v>
      </c>
    </row>
    <row r="2324" spans="1:10" x14ac:dyDescent="0.25">
      <c r="A2324" s="1">
        <v>421</v>
      </c>
      <c r="B2324" t="s">
        <v>19</v>
      </c>
      <c r="C2324">
        <v>753</v>
      </c>
      <c r="D2324">
        <v>1</v>
      </c>
      <c r="E2324" t="s">
        <v>134</v>
      </c>
      <c r="F2324" t="s">
        <v>135</v>
      </c>
      <c r="G2324" t="str">
        <f>"2024-12-26 23:23:29.360"</f>
        <v>2024-12-26 23:23:29.360</v>
      </c>
      <c r="H2324" t="s">
        <v>21</v>
      </c>
      <c r="I2324">
        <v>0</v>
      </c>
      <c r="J2324" t="s">
        <v>34</v>
      </c>
    </row>
    <row r="2325" spans="1:10" x14ac:dyDescent="0.25">
      <c r="A2325" s="1">
        <v>422</v>
      </c>
      <c r="B2325" t="s">
        <v>26</v>
      </c>
      <c r="C2325">
        <v>590</v>
      </c>
      <c r="D2325">
        <v>8</v>
      </c>
      <c r="E2325" t="s">
        <v>128</v>
      </c>
      <c r="F2325" t="s">
        <v>129</v>
      </c>
      <c r="G2325" t="str">
        <f>"2024-12-26 23:23:28.080"</f>
        <v>2024-12-26 23:23:28.080</v>
      </c>
      <c r="H2325" t="s">
        <v>21</v>
      </c>
      <c r="I2325">
        <v>0</v>
      </c>
      <c r="J2325" t="s">
        <v>34</v>
      </c>
    </row>
    <row r="2326" spans="1:10" x14ac:dyDescent="0.25">
      <c r="A2326" s="1">
        <v>423</v>
      </c>
      <c r="B2326" t="s">
        <v>26</v>
      </c>
      <c r="C2326">
        <v>4</v>
      </c>
      <c r="D2326">
        <v>1</v>
      </c>
      <c r="E2326" t="s">
        <v>115</v>
      </c>
      <c r="F2326" t="s">
        <v>116</v>
      </c>
      <c r="G2326" t="str">
        <f>"2024-12-26 23:23:27.262"</f>
        <v>2024-12-26 23:23:27.262</v>
      </c>
      <c r="H2326" t="s">
        <v>117</v>
      </c>
      <c r="I2326">
        <v>0</v>
      </c>
      <c r="J2326" t="s">
        <v>34</v>
      </c>
    </row>
    <row r="2327" spans="1:10" x14ac:dyDescent="0.25">
      <c r="A2327" s="1">
        <v>424</v>
      </c>
      <c r="B2327" t="s">
        <v>26</v>
      </c>
      <c r="C2327">
        <v>590</v>
      </c>
      <c r="D2327">
        <v>7</v>
      </c>
      <c r="E2327" t="s">
        <v>128</v>
      </c>
      <c r="F2327" t="s">
        <v>130</v>
      </c>
      <c r="G2327" t="str">
        <f>"2024-12-26 23:23:26.980"</f>
        <v>2024-12-26 23:23:26.980</v>
      </c>
      <c r="H2327" t="s">
        <v>21</v>
      </c>
      <c r="I2327">
        <v>0</v>
      </c>
      <c r="J2327" t="s">
        <v>34</v>
      </c>
    </row>
    <row r="2328" spans="1:10" x14ac:dyDescent="0.25">
      <c r="A2328" s="1">
        <v>425</v>
      </c>
      <c r="B2328" t="s">
        <v>26</v>
      </c>
      <c r="C2328">
        <v>12</v>
      </c>
      <c r="D2328">
        <v>1</v>
      </c>
      <c r="E2328" t="s">
        <v>120</v>
      </c>
      <c r="F2328" t="s">
        <v>122</v>
      </c>
      <c r="G2328" t="str">
        <f>"2024-12-26 23:23:26.404"</f>
        <v>2024-12-26 23:23:26.404</v>
      </c>
      <c r="H2328" t="s">
        <v>21</v>
      </c>
      <c r="I2328">
        <v>0</v>
      </c>
      <c r="J2328" t="s">
        <v>34</v>
      </c>
    </row>
    <row r="2329" spans="1:10" x14ac:dyDescent="0.25">
      <c r="A2329" s="1">
        <v>426</v>
      </c>
      <c r="B2329" t="s">
        <v>26</v>
      </c>
      <c r="C2329">
        <v>12</v>
      </c>
      <c r="D2329">
        <v>2</v>
      </c>
      <c r="E2329" t="s">
        <v>120</v>
      </c>
      <c r="F2329" t="s">
        <v>121</v>
      </c>
      <c r="G2329" t="str">
        <f>"2024-12-26 23:23:26.305"</f>
        <v>2024-12-26 23:23:26.305</v>
      </c>
      <c r="H2329" t="s">
        <v>21</v>
      </c>
      <c r="I2329">
        <v>0</v>
      </c>
      <c r="J2329" t="s">
        <v>34</v>
      </c>
    </row>
    <row r="2330" spans="1:10" x14ac:dyDescent="0.25">
      <c r="A2330" s="1">
        <v>427</v>
      </c>
      <c r="B2330" t="s">
        <v>26</v>
      </c>
      <c r="C2330">
        <v>650</v>
      </c>
      <c r="D2330">
        <v>4</v>
      </c>
      <c r="E2330" t="s">
        <v>124</v>
      </c>
      <c r="F2330" t="s">
        <v>125</v>
      </c>
      <c r="G2330" t="str">
        <f>"2024-12-26 23:23:24.915"</f>
        <v>2024-12-26 23:23:24.915</v>
      </c>
      <c r="H2330" t="s">
        <v>21</v>
      </c>
      <c r="I2330">
        <v>0</v>
      </c>
      <c r="J2330" t="s">
        <v>22</v>
      </c>
    </row>
    <row r="2331" spans="1:10" x14ac:dyDescent="0.25">
      <c r="A2331" s="1">
        <v>428</v>
      </c>
      <c r="B2331" t="s">
        <v>23</v>
      </c>
      <c r="C2331">
        <v>590</v>
      </c>
      <c r="D2331">
        <v>23</v>
      </c>
      <c r="E2331" t="s">
        <v>128</v>
      </c>
      <c r="F2331" t="s">
        <v>136</v>
      </c>
      <c r="G2331" t="str">
        <f>"2024-12-26 23:23:22.749"</f>
        <v>2024-12-26 23:23:22.749</v>
      </c>
      <c r="H2331" t="s">
        <v>21</v>
      </c>
    </row>
    <row r="2332" spans="1:10" x14ac:dyDescent="0.25">
      <c r="A2332" s="1">
        <v>429</v>
      </c>
      <c r="B2332" t="s">
        <v>26</v>
      </c>
      <c r="C2332">
        <v>590</v>
      </c>
      <c r="D2332">
        <v>23</v>
      </c>
      <c r="E2332" t="s">
        <v>128</v>
      </c>
      <c r="F2332" t="s">
        <v>136</v>
      </c>
      <c r="G2332" t="str">
        <f>"2024-12-26 23:22:43.672"</f>
        <v>2024-12-26 23:22:43.672</v>
      </c>
      <c r="H2332" t="s">
        <v>21</v>
      </c>
      <c r="I2332">
        <v>0</v>
      </c>
      <c r="J2332" t="s">
        <v>22</v>
      </c>
    </row>
    <row r="2333" spans="1:10" x14ac:dyDescent="0.25">
      <c r="A2333" s="1">
        <v>430</v>
      </c>
      <c r="B2333" t="s">
        <v>26</v>
      </c>
      <c r="C2333">
        <v>24</v>
      </c>
      <c r="D2333">
        <v>9</v>
      </c>
      <c r="E2333" t="s">
        <v>131</v>
      </c>
      <c r="F2333" t="s">
        <v>132</v>
      </c>
      <c r="G2333" t="str">
        <f>"2024-12-26 23:22:43.340"</f>
        <v>2024-12-26 23:22:43.340</v>
      </c>
      <c r="H2333" t="s">
        <v>73</v>
      </c>
      <c r="I2333">
        <v>0</v>
      </c>
      <c r="J2333" t="s">
        <v>22</v>
      </c>
    </row>
    <row r="2334" spans="1:10" x14ac:dyDescent="0.25">
      <c r="A2334" s="1">
        <v>431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"2024-12-26 23:22:43.290"</f>
        <v>2024-12-26 23:22:43.290</v>
      </c>
      <c r="H2334" t="s">
        <v>21</v>
      </c>
      <c r="I2334">
        <v>0</v>
      </c>
      <c r="J2334" t="s">
        <v>22</v>
      </c>
    </row>
    <row r="2335" spans="1:10" x14ac:dyDescent="0.25">
      <c r="A2335" s="1">
        <v>433</v>
      </c>
      <c r="B2335" t="s">
        <v>39</v>
      </c>
      <c r="C2335">
        <v>641</v>
      </c>
      <c r="D2335">
        <v>1</v>
      </c>
      <c r="E2335" t="s">
        <v>126</v>
      </c>
      <c r="F2335" t="s">
        <v>121</v>
      </c>
      <c r="G2335" t="str">
        <f>"2024-12-26 23:09:55.716"</f>
        <v>2024-12-26 23:09:55.716</v>
      </c>
      <c r="H2335" t="s">
        <v>21</v>
      </c>
    </row>
    <row r="2336" spans="1:10" x14ac:dyDescent="0.25">
      <c r="A2336" s="1">
        <v>434</v>
      </c>
      <c r="B2336" t="s">
        <v>39</v>
      </c>
      <c r="C2336">
        <v>640</v>
      </c>
      <c r="D2336">
        <v>1</v>
      </c>
      <c r="E2336" t="s">
        <v>127</v>
      </c>
      <c r="F2336" t="s">
        <v>122</v>
      </c>
      <c r="G2336" t="str">
        <f>"2024-12-26 23:09:55.714"</f>
        <v>2024-12-26 23:09:55.714</v>
      </c>
      <c r="H2336" t="s">
        <v>61</v>
      </c>
    </row>
    <row r="2337" spans="1:8" x14ac:dyDescent="0.25">
      <c r="A2337" s="1">
        <v>435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"2024-12-26 23:09:43.996"</f>
        <v>2024-12-26 23:09:43.996</v>
      </c>
      <c r="H2337" t="s">
        <v>21</v>
      </c>
    </row>
    <row r="2338" spans="1:8" x14ac:dyDescent="0.25">
      <c r="A2338" s="1">
        <v>436</v>
      </c>
      <c r="B2338" t="s">
        <v>23</v>
      </c>
      <c r="C2338">
        <v>57</v>
      </c>
      <c r="D2338">
        <v>1</v>
      </c>
      <c r="E2338" t="s">
        <v>137</v>
      </c>
      <c r="F2338" t="s">
        <v>138</v>
      </c>
      <c r="G2338" t="str">
        <f>"2024-12-26 23:01:02.919"</f>
        <v>2024-12-26 23:01:02.919</v>
      </c>
      <c r="H2338" t="s">
        <v>49</v>
      </c>
    </row>
    <row r="2339" spans="1:8" x14ac:dyDescent="0.25">
      <c r="A2339" s="1">
        <v>438</v>
      </c>
      <c r="B2339" t="s">
        <v>23</v>
      </c>
      <c r="C2339">
        <v>74</v>
      </c>
      <c r="D2339">
        <v>1</v>
      </c>
      <c r="E2339" t="s">
        <v>139</v>
      </c>
      <c r="F2339" t="s">
        <v>140</v>
      </c>
      <c r="G2339" t="str">
        <f>"2024-12-26 23:00:55.561"</f>
        <v>2024-12-26 23:00:55.561</v>
      </c>
      <c r="H2339" t="s">
        <v>49</v>
      </c>
    </row>
    <row r="2340" spans="1:8" x14ac:dyDescent="0.25">
      <c r="A2340" s="1">
        <v>439</v>
      </c>
      <c r="B2340" t="s">
        <v>39</v>
      </c>
      <c r="C2340">
        <v>641</v>
      </c>
      <c r="D2340">
        <v>1</v>
      </c>
      <c r="E2340" t="s">
        <v>126</v>
      </c>
      <c r="F2340" t="s">
        <v>121</v>
      </c>
      <c r="G2340" t="str">
        <f>"2024-12-26 23:00:52.784"</f>
        <v>2024-12-26 23:00:52.784</v>
      </c>
      <c r="H2340" t="s">
        <v>21</v>
      </c>
    </row>
    <row r="2341" spans="1:8" x14ac:dyDescent="0.25">
      <c r="A2341" s="1">
        <v>440</v>
      </c>
      <c r="B2341" t="s">
        <v>39</v>
      </c>
      <c r="C2341">
        <v>640</v>
      </c>
      <c r="D2341">
        <v>1</v>
      </c>
      <c r="E2341" t="s">
        <v>127</v>
      </c>
      <c r="F2341" t="s">
        <v>122</v>
      </c>
      <c r="G2341" t="str">
        <f>"2024-12-26 23:00:52.781"</f>
        <v>2024-12-26 23:00:52.781</v>
      </c>
      <c r="H2341" t="s">
        <v>61</v>
      </c>
    </row>
    <row r="2342" spans="1:8" x14ac:dyDescent="0.25">
      <c r="A2342" s="1">
        <v>441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"2024-12-26 23:00:40.983"</f>
        <v>2024-12-26 23:00:40.983</v>
      </c>
      <c r="H2342" t="s">
        <v>21</v>
      </c>
    </row>
    <row r="2343" spans="1:8" x14ac:dyDescent="0.25">
      <c r="A2343" s="1">
        <v>442</v>
      </c>
      <c r="B2343" t="s">
        <v>26</v>
      </c>
      <c r="C2343">
        <v>74</v>
      </c>
      <c r="D2343">
        <v>1</v>
      </c>
      <c r="E2343" t="s">
        <v>139</v>
      </c>
      <c r="F2343" t="s">
        <v>140</v>
      </c>
      <c r="G2343" t="str">
        <f>"2023-11-21 01:31:47.084"</f>
        <v>2023-11-21 01:31:47.084</v>
      </c>
      <c r="H2343" t="s">
        <v>49</v>
      </c>
    </row>
    <row r="2344" spans="1:8" x14ac:dyDescent="0.25">
      <c r="A2344" s="1">
        <v>444</v>
      </c>
      <c r="B2344" t="s">
        <v>23</v>
      </c>
      <c r="C2344">
        <v>75</v>
      </c>
      <c r="D2344">
        <v>1</v>
      </c>
      <c r="E2344" t="s">
        <v>141</v>
      </c>
      <c r="F2344" t="s">
        <v>142</v>
      </c>
      <c r="G2344" t="str">
        <f>"2023-11-21 01:31:13.683"</f>
        <v>2023-11-21 01:31:13.683</v>
      </c>
      <c r="H2344" t="s">
        <v>64</v>
      </c>
    </row>
    <row r="2345" spans="1:8" x14ac:dyDescent="0.25">
      <c r="A2345" s="1">
        <v>446</v>
      </c>
      <c r="B2345" t="s">
        <v>39</v>
      </c>
      <c r="C2345">
        <v>641</v>
      </c>
      <c r="D2345">
        <v>1</v>
      </c>
      <c r="E2345" t="s">
        <v>126</v>
      </c>
      <c r="F2345" t="s">
        <v>121</v>
      </c>
      <c r="G2345" t="str">
        <f>"2023-11-21 01:31:10.765"</f>
        <v>2023-11-21 01:31:10.765</v>
      </c>
      <c r="H2345" t="s">
        <v>21</v>
      </c>
    </row>
    <row r="2346" spans="1:8" x14ac:dyDescent="0.25">
      <c r="A2346" s="1">
        <v>447</v>
      </c>
      <c r="B2346" t="s">
        <v>39</v>
      </c>
      <c r="C2346">
        <v>640</v>
      </c>
      <c r="D2346">
        <v>1</v>
      </c>
      <c r="E2346" t="s">
        <v>127</v>
      </c>
      <c r="F2346" t="s">
        <v>122</v>
      </c>
      <c r="G2346" t="str">
        <f>"2023-11-21 01:31:10.763"</f>
        <v>2023-11-21 01:31:10.763</v>
      </c>
      <c r="H2346" t="s">
        <v>61</v>
      </c>
    </row>
    <row r="2347" spans="1:8" x14ac:dyDescent="0.25">
      <c r="A2347" s="1">
        <v>448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"2023-11-21 01:30:58.992"</f>
        <v>2023-11-21 01:30:58.992</v>
      </c>
      <c r="H2347" t="s">
        <v>21</v>
      </c>
    </row>
    <row r="2348" spans="1:8" x14ac:dyDescent="0.25">
      <c r="A2348" s="1">
        <v>449</v>
      </c>
      <c r="B2348" t="s">
        <v>23</v>
      </c>
      <c r="C2348">
        <v>590</v>
      </c>
      <c r="D2348">
        <v>7</v>
      </c>
      <c r="E2348" t="s">
        <v>128</v>
      </c>
      <c r="F2348" t="s">
        <v>130</v>
      </c>
      <c r="G2348" t="str">
        <f>"2023-11-21 01:30:58.862"</f>
        <v>2023-11-21 01:30:58.862</v>
      </c>
      <c r="H2348" t="s">
        <v>21</v>
      </c>
    </row>
    <row r="2349" spans="1:8" x14ac:dyDescent="0.25">
      <c r="A2349" s="1">
        <v>450</v>
      </c>
      <c r="B2349" t="s">
        <v>26</v>
      </c>
      <c r="C2349">
        <v>107</v>
      </c>
      <c r="D2349">
        <v>2</v>
      </c>
      <c r="E2349" t="s">
        <v>85</v>
      </c>
      <c r="F2349" t="s">
        <v>83</v>
      </c>
      <c r="G2349" t="str">
        <f>"2023-11-21 01:26:57.961"</f>
        <v>2023-11-21 01:26:57.961</v>
      </c>
      <c r="H2349" t="s">
        <v>49</v>
      </c>
    </row>
    <row r="2350" spans="1:8" x14ac:dyDescent="0.25">
      <c r="A2350" s="1">
        <v>451</v>
      </c>
      <c r="B2350" t="s">
        <v>26</v>
      </c>
      <c r="C2350">
        <v>75</v>
      </c>
      <c r="D2350">
        <v>1</v>
      </c>
      <c r="E2350" t="s">
        <v>141</v>
      </c>
      <c r="F2350" t="s">
        <v>142</v>
      </c>
      <c r="G2350" t="str">
        <f>"2023-11-21 01:26:57.284"</f>
        <v>2023-11-21 01:26:57.284</v>
      </c>
      <c r="H2350" t="s">
        <v>64</v>
      </c>
    </row>
    <row r="2351" spans="1:8" x14ac:dyDescent="0.25">
      <c r="A2351" s="1">
        <v>452</v>
      </c>
      <c r="B2351" t="s">
        <v>26</v>
      </c>
      <c r="C2351">
        <v>590</v>
      </c>
      <c r="D2351">
        <v>7</v>
      </c>
      <c r="E2351" t="s">
        <v>128</v>
      </c>
      <c r="F2351" t="s">
        <v>130</v>
      </c>
      <c r="G2351" t="str">
        <f>"2023-11-21 01:26:39.603"</f>
        <v>2023-11-21 01:26:39.603</v>
      </c>
      <c r="H2351" t="s">
        <v>21</v>
      </c>
    </row>
    <row r="2352" spans="1:8" x14ac:dyDescent="0.25">
      <c r="A2352" s="1">
        <v>453</v>
      </c>
      <c r="B2352" t="s">
        <v>26</v>
      </c>
      <c r="C2352">
        <v>57</v>
      </c>
      <c r="D2352">
        <v>1</v>
      </c>
      <c r="E2352" t="s">
        <v>137</v>
      </c>
      <c r="F2352" t="s">
        <v>138</v>
      </c>
      <c r="G2352" t="str">
        <f>"2023-11-21 01:26:39.561"</f>
        <v>2023-11-21 01:26:39.561</v>
      </c>
      <c r="H2352" t="s">
        <v>49</v>
      </c>
    </row>
    <row r="2353" spans="1:8" x14ac:dyDescent="0.25">
      <c r="A2353" s="1">
        <v>454</v>
      </c>
      <c r="B2353" t="s">
        <v>19</v>
      </c>
      <c r="C2353">
        <v>753</v>
      </c>
      <c r="D2353">
        <v>1</v>
      </c>
      <c r="E2353" t="s">
        <v>134</v>
      </c>
      <c r="F2353" t="s">
        <v>135</v>
      </c>
      <c r="G2353" t="str">
        <f>"2023-11-21 01:26:36.383"</f>
        <v>2023-11-21 01:26:36.383</v>
      </c>
      <c r="H2353" t="s">
        <v>21</v>
      </c>
    </row>
    <row r="2354" spans="1:8" x14ac:dyDescent="0.25">
      <c r="A2354" s="1">
        <v>457</v>
      </c>
      <c r="B2354" t="s">
        <v>39</v>
      </c>
      <c r="C2354">
        <v>641</v>
      </c>
      <c r="D2354">
        <v>1</v>
      </c>
      <c r="E2354" t="s">
        <v>126</v>
      </c>
      <c r="F2354" t="s">
        <v>121</v>
      </c>
      <c r="G2354" t="str">
        <f>"2023-11-21 01:26:31.779"</f>
        <v>2023-11-21 01:26:31.779</v>
      </c>
      <c r="H2354" t="s">
        <v>21</v>
      </c>
    </row>
    <row r="2355" spans="1:8" x14ac:dyDescent="0.25">
      <c r="A2355" s="1">
        <v>458</v>
      </c>
      <c r="B2355" t="s">
        <v>39</v>
      </c>
      <c r="C2355">
        <v>640</v>
      </c>
      <c r="D2355">
        <v>1</v>
      </c>
      <c r="E2355" t="s">
        <v>127</v>
      </c>
      <c r="F2355" t="s">
        <v>122</v>
      </c>
      <c r="G2355" t="str">
        <f>"2023-11-21 01:26:31.777"</f>
        <v>2023-11-21 01:26:31.777</v>
      </c>
      <c r="H2355" t="s">
        <v>61</v>
      </c>
    </row>
    <row r="2356" spans="1:8" x14ac:dyDescent="0.25">
      <c r="A2356" s="1">
        <v>460</v>
      </c>
      <c r="B2356" t="s">
        <v>26</v>
      </c>
      <c r="C2356">
        <v>4</v>
      </c>
      <c r="D2356">
        <v>1</v>
      </c>
      <c r="E2356" t="s">
        <v>115</v>
      </c>
      <c r="F2356" t="s">
        <v>116</v>
      </c>
      <c r="G2356" t="str">
        <f>"2023-11-21 01:26:26.595"</f>
        <v>2023-11-21 01:26:26.595</v>
      </c>
      <c r="H2356" t="s">
        <v>117</v>
      </c>
    </row>
    <row r="2357" spans="1:8" x14ac:dyDescent="0.25">
      <c r="A2357" s="1">
        <v>461</v>
      </c>
      <c r="B2357" t="s">
        <v>26</v>
      </c>
      <c r="C2357">
        <v>12</v>
      </c>
      <c r="D2357">
        <v>1</v>
      </c>
      <c r="E2357" t="s">
        <v>120</v>
      </c>
      <c r="F2357" t="s">
        <v>122</v>
      </c>
      <c r="G2357" t="str">
        <f>"2023-11-21 01:26:25.737"</f>
        <v>2023-11-21 01:26:25.737</v>
      </c>
      <c r="H2357" t="s">
        <v>21</v>
      </c>
    </row>
    <row r="2358" spans="1:8" x14ac:dyDescent="0.25">
      <c r="A2358" s="1">
        <v>462</v>
      </c>
      <c r="B2358" t="s">
        <v>26</v>
      </c>
      <c r="C2358">
        <v>12</v>
      </c>
      <c r="D2358">
        <v>2</v>
      </c>
      <c r="E2358" t="s">
        <v>120</v>
      </c>
      <c r="F2358" t="s">
        <v>121</v>
      </c>
      <c r="G2358" t="str">
        <f>"2023-11-21 01:26:25.637"</f>
        <v>2023-11-21 01:26:25.637</v>
      </c>
      <c r="H2358" t="s">
        <v>21</v>
      </c>
    </row>
    <row r="2359" spans="1:8" x14ac:dyDescent="0.25">
      <c r="A2359" s="1">
        <v>463</v>
      </c>
      <c r="B2359" t="s">
        <v>26</v>
      </c>
      <c r="C2359">
        <v>650</v>
      </c>
      <c r="D2359">
        <v>4</v>
      </c>
      <c r="E2359" t="s">
        <v>124</v>
      </c>
      <c r="F2359" t="s">
        <v>125</v>
      </c>
      <c r="G2359" t="str">
        <f>"2023-11-21 01:26:24.232"</f>
        <v>2023-11-21 01:26:24.232</v>
      </c>
      <c r="H2359" t="s">
        <v>21</v>
      </c>
    </row>
    <row r="2360" spans="1:8" x14ac:dyDescent="0.25">
      <c r="A2360" s="1">
        <v>464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"2023-11-21 01:26:19.883"</f>
        <v>2023-11-21 01:26:19.883</v>
      </c>
      <c r="H2360" t="s">
        <v>21</v>
      </c>
    </row>
  </sheetData>
  <autoFilter ref="A9:J2360" xr:uid="{01192E78-D88E-4A60-BC4C-1DCABFF0793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4DEA0-5F19-4B30-9D3A-E0340F85E2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events_ru_64_20260715-145329 79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2026-07-15T05:12:22Z</dcterms:modified>
</cp:coreProperties>
</file>
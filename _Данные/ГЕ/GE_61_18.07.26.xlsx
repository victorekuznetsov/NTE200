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120B31D-5B60-423B-8A3F-7BC02D4627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1_20260719-043441 85" sheetId="2" r:id="rId1"/>
    <sheet name="Лист1" sheetId="1" r:id="rId2"/>
  </sheets>
  <definedNames>
    <definedName name="_xlnm._FilterDatabase" localSheetId="0" hidden="1">'events_ru_61_20260719-043441 85'!$A$9:$J$3804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4CD0D3-28FB-4D89-9A3A-B57A4635A290}" keepAlive="1" name="Запрос — events_ru_61_20260719-043441 852" description="Соединение с запросом &quot;events_ru_61_20260719-043441 852&quot; в книге." type="5" refreshedVersion="0" background="1">
    <dbPr connection="Provider=Microsoft.Mashup.OleDb.1;Data Source=$Workbook$;Location=&quot;events_ru_61_20260719-043441 852&quot;;Extended Properties=&quot;&quot;" command="SELECT * FROM [events_ru_61_20260719-043441 852]"/>
  </connection>
</connections>
</file>

<file path=xl/sharedStrings.xml><?xml version="1.0" encoding="utf-8"?>
<sst xmlns="http://schemas.openxmlformats.org/spreadsheetml/2006/main" count="17430" uniqueCount="132">
  <si>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</si>
  <si>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</si>
  <si>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</si>
  <si>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</si>
  <si>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</si>
  <si>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</si>
  <si>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</si>
  <si>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</si>
  <si>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</si>
  <si>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</si>
  <si>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</si>
  <si>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</si>
  <si>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</si>
  <si>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</si>
  <si>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</si>
  <si>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</si>
  <si>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</si>
  <si>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</si>
  <si>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</si>
  <si>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</si>
  <si>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</si>
  <si>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</si>
  <si>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</si>
  <si>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Давление охл воздуха мотор-колеса вне пределов</t>
  </si>
  <si>
    <t>Обнаружен низкий расход охл воздуха</t>
  </si>
  <si>
    <t>Предел скорости</t>
  </si>
  <si>
    <t xml:space="preserve">Log </t>
  </si>
  <si>
    <t>Retard</t>
  </si>
  <si>
    <t>Ready</t>
  </si>
  <si>
    <t>Система в безопасном режиме</t>
  </si>
  <si>
    <t>Вход в безопасный режим файловой системы - Запуск двигателя</t>
  </si>
  <si>
    <t>Test</t>
  </si>
  <si>
    <t>Вход в безопасный режим файловой системы - Ключ или CPS</t>
  </si>
  <si>
    <t>Null</t>
  </si>
  <si>
    <t>Самосвал перегружен - NR</t>
  </si>
  <si>
    <t>Не доступно</t>
  </si>
  <si>
    <t>Log+</t>
  </si>
  <si>
    <t>Propel</t>
  </si>
  <si>
    <t>Сравнение CMD скорости вращения ДВС</t>
  </si>
  <si>
    <t>ОБ/МИН не соответствуют команде</t>
  </si>
  <si>
    <t>ARst</t>
  </si>
  <si>
    <t>TMC2 Система ИНВ</t>
  </si>
  <si>
    <t>Нет высокоскоростных данных от PSC</t>
  </si>
  <si>
    <t>TMC1 Система ИНВ</t>
  </si>
  <si>
    <t>Отказ связи обоих ИНВЕРТОРОВ</t>
  </si>
  <si>
    <t>Отказ связи ИНВ</t>
  </si>
  <si>
    <t>Нет питания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</si>
  <si>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</si>
  <si>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</si>
  <si>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</si>
  <si>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</si>
  <si>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</si>
  <si>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</si>
  <si>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Введен безопасный режим файловой системы - Низкий заряд батареи</t>
  </si>
  <si>
    <t>Рабочий тормоз на ходу</t>
  </si>
  <si>
    <t>Рабочие тормоза использованы на ходу</t>
  </si>
  <si>
    <t>WRst</t>
  </si>
  <si>
    <t>Низкая мощность</t>
  </si>
  <si>
    <t>Регулировка мощности в отрицательной зоне</t>
  </si>
  <si>
    <t>Тест VI не пройден</t>
  </si>
  <si>
    <t>Инвертор</t>
  </si>
  <si>
    <t>Высокое показание датчика при выключенном ДВС</t>
  </si>
  <si>
    <t>Reset All Faults</t>
  </si>
  <si>
    <t>Zero</t>
  </si>
  <si>
    <t>Оба датичка скорости передних колёс</t>
  </si>
  <si>
    <t>Отключена пробуксовка</t>
  </si>
  <si>
    <t>Превышении скорости</t>
  </si>
  <si>
    <t>Управление скоростью - превышение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</si>
  <si>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</si>
  <si>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</si>
  <si>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</si>
  <si>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Самопроизвольный останов ДВС</t>
  </si>
  <si>
    <t>Unrequested Engine Speed Drop - While Stopped</t>
  </si>
  <si>
    <t>Rest</t>
  </si>
  <si>
    <t>Получено предупреждение ДВС</t>
  </si>
  <si>
    <t>Запрет тяги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</si>
  <si>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</si>
  <si>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</si>
  <si>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</si>
  <si>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Останов ДВС во время движения</t>
  </si>
  <si>
    <t>TMC2 Фаза С- ИНВ</t>
  </si>
  <si>
    <t>Модули фаз С+ и С- вкл.</t>
  </si>
  <si>
    <t>Сбой источника питания IGBT фаза С-</t>
  </si>
  <si>
    <t>Отказ платы FB173 - НЕТ ТЯГИ</t>
  </si>
  <si>
    <t>Показание A3P</t>
  </si>
  <si>
    <t>Отказ аналогового датчика</t>
  </si>
  <si>
    <t>КЗ на землю</t>
  </si>
  <si>
    <t>PSC напряжение ЗПТ</t>
  </si>
  <si>
    <t>Превышение тока третичной обмотки</t>
  </si>
  <si>
    <t>Слишком высокий ток третичной обмотки генератора</t>
  </si>
  <si>
    <t>TMC2 Источник питания ИНВ</t>
  </si>
  <si>
    <t>-15 вольт вне допусков</t>
  </si>
  <si>
    <t>TMC1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</si>
  <si>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</si>
  <si>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</si>
  <si>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</si>
  <si>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</si>
  <si>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</si>
  <si>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</si>
  <si>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Команда сохранения данных PTU</t>
  </si>
  <si>
    <t>Инициированное водителем сохранение данных</t>
  </si>
  <si>
    <t>Нужна калибровка педали</t>
  </si>
  <si>
    <t>Полная мощность не достигнута</t>
  </si>
  <si>
    <t>Слишком низкое напряжение фильтра ЗПТ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</si>
  <si>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</si>
  <si>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</si>
  <si>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</si>
  <si>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</si>
  <si>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</si>
  <si>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</si>
  <si>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TMC1 Чоппер 2 ИНВ (NR)</t>
  </si>
  <si>
    <t>TMC1 Отказ GDPS1 [FM589]</t>
  </si>
  <si>
    <t>TMC1 Чоппер 1 ИНВ (NR)</t>
  </si>
  <si>
    <t>Изменен серийный номер карты</t>
  </si>
  <si>
    <t>Инвертор №1</t>
  </si>
  <si>
    <t>Инвертор №2</t>
  </si>
  <si>
    <t>TMC1 Фаза С+ ИНВ</t>
  </si>
  <si>
    <t>Сбой источника питания IGBT фаза С+</t>
  </si>
  <si>
    <t>Установка часов реального времени</t>
  </si>
  <si>
    <t>через WebPTU</t>
  </si>
  <si>
    <t xml:space="preserve">TMC2 ИНВ Фаза A+/фаза A- </t>
  </si>
  <si>
    <t>Отказ, насыщение IGBT фаза A-</t>
  </si>
  <si>
    <t>TMC1 Фаза А- ИНВ (NR)</t>
  </si>
  <si>
    <t>Фаза A- не выкл. при напряжении включения/пост. тока</t>
  </si>
  <si>
    <t>TMC2 ИНВ Фаза А+ (NR)</t>
  </si>
  <si>
    <t>Фаза A+ не выкл. при напряжении включения/пост. тока</t>
  </si>
  <si>
    <t>TMC1 ИНВ Фаза А+ (NR)</t>
  </si>
  <si>
    <t>TMC1 Фаза В- ИНВ (NR)</t>
  </si>
  <si>
    <t>Фаза В- не выкл. при напряжении включения/пост. тока</t>
  </si>
  <si>
    <t>TMC1 Фаза С- ИНВ (NR)</t>
  </si>
  <si>
    <t>Фаза С- не выкл. при напряжении включения/пост. тока</t>
  </si>
  <si>
    <t>Проверка усиления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</si>
</sst>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921C-1C6D-45C0-918D-9574577AD3FF}">
  <dimension ref="A1:J3804"/>
  <sheetViews>
    <sheetView tabSelected="1" workbookViewId="0">
      <selection activeCell="E9" sqref="E9"/>
    </sheetView>
  </sheetViews>
  <sheetFormatPr defaultRowHeight="15" x14ac:dyDescent="0.25"/>
  <cols>
    <col min="1" max="1" width="16" bestFit="1" customWidth="1"/>
    <col min="5" max="5" width="50.7109375" bestFit="1" customWidth="1"/>
    <col min="6" max="6" width="72.28515625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61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"2026-07-19 04:34:41.853"</f>
        <v>2026-07-19 04:34:41.853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"2026-07-19 04:34:08.533"</f>
        <v>2026-07-19 04:34:08.533</v>
      </c>
      <c r="H10" t="s">
        <v>21</v>
      </c>
    </row>
    <row r="11" spans="1:10" x14ac:dyDescent="0.25">
      <c r="A11" s="1"/>
      <c r="B11" t="s">
        <v>22</v>
      </c>
      <c r="C11">
        <v>630</v>
      </c>
      <c r="D11">
        <v>1</v>
      </c>
      <c r="E11" t="s">
        <v>23</v>
      </c>
      <c r="F11" t="s">
        <v>24</v>
      </c>
      <c r="G11" t="str">
        <f>"2026-07-19 01:59:22.122"</f>
        <v>2026-07-19 01:59:22.122</v>
      </c>
      <c r="H11" t="s">
        <v>25</v>
      </c>
    </row>
    <row r="12" spans="1:10" x14ac:dyDescent="0.25">
      <c r="A12" s="1"/>
      <c r="B12" t="s">
        <v>26</v>
      </c>
      <c r="C12">
        <v>630</v>
      </c>
      <c r="D12">
        <v>1</v>
      </c>
      <c r="E12" t="s">
        <v>23</v>
      </c>
      <c r="F12" t="s">
        <v>24</v>
      </c>
      <c r="G12" t="str">
        <f>"2026-07-19 01:57:44.622"</f>
        <v>2026-07-19 01:57:44.622</v>
      </c>
      <c r="H12" t="s">
        <v>25</v>
      </c>
      <c r="I12">
        <v>-1.84</v>
      </c>
      <c r="J12" t="s">
        <v>27</v>
      </c>
    </row>
    <row r="13" spans="1:10" x14ac:dyDescent="0.25">
      <c r="A13" s="1"/>
      <c r="B13" t="s">
        <v>22</v>
      </c>
      <c r="C13">
        <v>630</v>
      </c>
      <c r="D13">
        <v>1</v>
      </c>
      <c r="E13" t="s">
        <v>23</v>
      </c>
      <c r="F13" t="s">
        <v>24</v>
      </c>
      <c r="G13" t="str">
        <f>"2026-07-19 01:57:07.622"</f>
        <v>2026-07-19 01:57:07.622</v>
      </c>
      <c r="H13" t="s">
        <v>25</v>
      </c>
    </row>
    <row r="14" spans="1:10" x14ac:dyDescent="0.25">
      <c r="A14" s="1"/>
      <c r="B14" t="s">
        <v>26</v>
      </c>
      <c r="C14">
        <v>630</v>
      </c>
      <c r="D14">
        <v>1</v>
      </c>
      <c r="E14" t="s">
        <v>23</v>
      </c>
      <c r="F14" t="s">
        <v>24</v>
      </c>
      <c r="G14" t="str">
        <f>"2026-07-19 01:56:21.522"</f>
        <v>2026-07-19 01:56:21.522</v>
      </c>
      <c r="H14" t="s">
        <v>25</v>
      </c>
      <c r="I14">
        <v>-0.39</v>
      </c>
      <c r="J14" t="s">
        <v>28</v>
      </c>
    </row>
    <row r="15" spans="1:10" x14ac:dyDescent="0.25">
      <c r="A15" s="1"/>
      <c r="B15" t="s">
        <v>22</v>
      </c>
      <c r="C15">
        <v>630</v>
      </c>
      <c r="D15">
        <v>1</v>
      </c>
      <c r="E15" t="s">
        <v>23</v>
      </c>
      <c r="F15" t="s">
        <v>24</v>
      </c>
      <c r="G15" t="str">
        <f>"2026-07-19 01:51:59.122"</f>
        <v>2026-07-19 01:51:59.122</v>
      </c>
      <c r="H15" t="s">
        <v>25</v>
      </c>
    </row>
    <row r="16" spans="1:10" x14ac:dyDescent="0.25">
      <c r="A16" s="1"/>
      <c r="B16" t="s">
        <v>26</v>
      </c>
      <c r="C16">
        <v>630</v>
      </c>
      <c r="D16">
        <v>1</v>
      </c>
      <c r="E16" t="s">
        <v>23</v>
      </c>
      <c r="F16" t="s">
        <v>24</v>
      </c>
      <c r="G16" t="str">
        <f>"2026-07-19 01:50:20.322"</f>
        <v>2026-07-19 01:50:20.322</v>
      </c>
      <c r="H16" t="s">
        <v>25</v>
      </c>
      <c r="I16">
        <v>-0.11</v>
      </c>
      <c r="J16" t="s">
        <v>28</v>
      </c>
    </row>
    <row r="17" spans="1:10" x14ac:dyDescent="0.25">
      <c r="A17" s="1"/>
      <c r="B17" t="s">
        <v>19</v>
      </c>
      <c r="C17">
        <v>706</v>
      </c>
      <c r="D17">
        <v>2</v>
      </c>
      <c r="E17" t="s">
        <v>29</v>
      </c>
      <c r="F17" t="s">
        <v>30</v>
      </c>
      <c r="G17" t="str">
        <f>"2026-07-19 01:47:13.881"</f>
        <v>2026-07-19 01:47:13.881</v>
      </c>
      <c r="H17" t="s">
        <v>21</v>
      </c>
      <c r="I17">
        <v>0</v>
      </c>
      <c r="J17" t="s">
        <v>31</v>
      </c>
    </row>
    <row r="18" spans="1:10" x14ac:dyDescent="0.25">
      <c r="A18" s="1"/>
      <c r="B18" t="s">
        <v>19</v>
      </c>
      <c r="C18">
        <v>706</v>
      </c>
      <c r="D18">
        <v>3</v>
      </c>
      <c r="E18" t="s">
        <v>29</v>
      </c>
      <c r="F18" t="s">
        <v>32</v>
      </c>
      <c r="G18" t="str">
        <f>"2026-07-19 01:47:07.231"</f>
        <v>2026-07-19 01:47:07.231</v>
      </c>
      <c r="H18" t="s">
        <v>21</v>
      </c>
      <c r="I18">
        <v>0</v>
      </c>
      <c r="J18" t="s">
        <v>31</v>
      </c>
    </row>
    <row r="19" spans="1:10" x14ac:dyDescent="0.25">
      <c r="A19" s="1"/>
      <c r="B19" t="s">
        <v>22</v>
      </c>
      <c r="C19">
        <v>630</v>
      </c>
      <c r="D19">
        <v>1</v>
      </c>
      <c r="E19" t="s">
        <v>23</v>
      </c>
      <c r="F19" t="s">
        <v>24</v>
      </c>
      <c r="G19" t="str">
        <f>"2026-07-19 01:46:55.422"</f>
        <v>2026-07-19 01:46:55.422</v>
      </c>
      <c r="H19" t="s">
        <v>25</v>
      </c>
    </row>
    <row r="20" spans="1:10" x14ac:dyDescent="0.25">
      <c r="A20" s="1">
        <v>0</v>
      </c>
      <c r="B20" t="s">
        <v>26</v>
      </c>
      <c r="C20">
        <v>630</v>
      </c>
      <c r="D20">
        <v>1</v>
      </c>
      <c r="E20" t="s">
        <v>23</v>
      </c>
      <c r="F20" t="s">
        <v>24</v>
      </c>
      <c r="G20" t="str">
        <f>"2026-07-19 01:46:17.522"</f>
        <v>2026-07-19 01:46:17.522</v>
      </c>
      <c r="H20" t="s">
        <v>25</v>
      </c>
      <c r="I20">
        <v>0</v>
      </c>
      <c r="J20" t="s">
        <v>28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"2026-07-19 01:43:04.531"</f>
        <v>2026-07-19 01:43:04.531</v>
      </c>
      <c r="H21" t="s">
        <v>21</v>
      </c>
      <c r="I21">
        <v>0</v>
      </c>
      <c r="J21" t="s">
        <v>33</v>
      </c>
    </row>
    <row r="22" spans="1:10" x14ac:dyDescent="0.25">
      <c r="A22" s="1">
        <v>2</v>
      </c>
      <c r="B22" t="s">
        <v>19</v>
      </c>
      <c r="C22">
        <v>706</v>
      </c>
      <c r="D22">
        <v>2</v>
      </c>
      <c r="E22" t="s">
        <v>29</v>
      </c>
      <c r="F22" t="s">
        <v>30</v>
      </c>
      <c r="G22" t="str">
        <f>"2026-07-19 01:21:17.720"</f>
        <v>2026-07-19 01:21:17.720</v>
      </c>
      <c r="H22" t="s">
        <v>21</v>
      </c>
      <c r="I22">
        <v>0</v>
      </c>
      <c r="J22" t="s">
        <v>31</v>
      </c>
    </row>
    <row r="23" spans="1:10" x14ac:dyDescent="0.25">
      <c r="A23" s="1">
        <v>3</v>
      </c>
      <c r="B23" t="s">
        <v>19</v>
      </c>
      <c r="C23">
        <v>706</v>
      </c>
      <c r="D23">
        <v>2</v>
      </c>
      <c r="E23" t="s">
        <v>29</v>
      </c>
      <c r="F23" t="s">
        <v>30</v>
      </c>
      <c r="G23" t="str">
        <f>"2026-07-19 01:21:07.920"</f>
        <v>2026-07-19 01:21:07.920</v>
      </c>
      <c r="H23" t="s">
        <v>21</v>
      </c>
      <c r="I23">
        <v>0</v>
      </c>
      <c r="J23" t="s">
        <v>31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"2026-07-19 01:20:36.540"</f>
        <v>2026-07-19 01:20:36.540</v>
      </c>
      <c r="H24" t="s">
        <v>21</v>
      </c>
    </row>
    <row r="25" spans="1:10" x14ac:dyDescent="0.25">
      <c r="A25" s="1">
        <v>5</v>
      </c>
      <c r="B25" t="s">
        <v>22</v>
      </c>
      <c r="C25">
        <v>635</v>
      </c>
      <c r="D25">
        <v>1</v>
      </c>
      <c r="E25" t="s">
        <v>34</v>
      </c>
      <c r="F25" t="s">
        <v>35</v>
      </c>
      <c r="G25" t="str">
        <f>"2026-07-18 22:28:30.556"</f>
        <v>2026-07-18 22:28:30.556</v>
      </c>
      <c r="H25" t="s">
        <v>21</v>
      </c>
    </row>
    <row r="26" spans="1:10" x14ac:dyDescent="0.25">
      <c r="A26" s="1">
        <v>6</v>
      </c>
      <c r="B26" t="s">
        <v>36</v>
      </c>
      <c r="C26">
        <v>635</v>
      </c>
      <c r="D26">
        <v>1</v>
      </c>
      <c r="E26" t="s">
        <v>34</v>
      </c>
      <c r="F26" t="s">
        <v>35</v>
      </c>
      <c r="G26" t="str">
        <f>"2026-07-18 21:57:36.556"</f>
        <v>2026-07-18 21:57:36.556</v>
      </c>
      <c r="H26" t="s">
        <v>21</v>
      </c>
      <c r="I26">
        <v>6.35</v>
      </c>
      <c r="J26" t="s">
        <v>37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"2026-07-18 13:26:06.568"</f>
        <v>2026-07-18 13:26:06.568</v>
      </c>
      <c r="H27" t="s">
        <v>21</v>
      </c>
    </row>
    <row r="28" spans="1:10" x14ac:dyDescent="0.25">
      <c r="A28" s="1">
        <v>8</v>
      </c>
      <c r="B28" t="s">
        <v>22</v>
      </c>
      <c r="C28">
        <v>89</v>
      </c>
      <c r="D28">
        <v>2</v>
      </c>
      <c r="E28" t="s">
        <v>38</v>
      </c>
      <c r="F28" t="s">
        <v>39</v>
      </c>
      <c r="G28" t="str">
        <f>"2026-07-18 09:52:11.228"</f>
        <v>2026-07-18 09:52:11.228</v>
      </c>
      <c r="H28" t="s">
        <v>21</v>
      </c>
    </row>
    <row r="29" spans="1:10" x14ac:dyDescent="0.25">
      <c r="A29" s="1">
        <v>9</v>
      </c>
      <c r="B29" t="s">
        <v>26</v>
      </c>
      <c r="C29">
        <v>89</v>
      </c>
      <c r="D29">
        <v>2</v>
      </c>
      <c r="E29" t="s">
        <v>38</v>
      </c>
      <c r="F29" t="s">
        <v>39</v>
      </c>
      <c r="G29" t="str">
        <f>"2026-07-18 09:51:59.929"</f>
        <v>2026-07-18 09:51:59.929</v>
      </c>
      <c r="H29" t="s">
        <v>21</v>
      </c>
      <c r="I29">
        <v>11.24</v>
      </c>
      <c r="J29" t="s">
        <v>37</v>
      </c>
    </row>
    <row r="30" spans="1:10" x14ac:dyDescent="0.25">
      <c r="A30" s="1">
        <v>0</v>
      </c>
      <c r="B30" t="s">
        <v>40</v>
      </c>
      <c r="C30">
        <v>215</v>
      </c>
      <c r="D30">
        <v>6</v>
      </c>
      <c r="E30" t="s">
        <v>41</v>
      </c>
      <c r="F30" t="s">
        <v>42</v>
      </c>
      <c r="G30" t="str">
        <f>"2026-07-18 05:41:24.809"</f>
        <v>2026-07-18 05:41:24.809</v>
      </c>
      <c r="H30" t="s">
        <v>21</v>
      </c>
    </row>
    <row r="31" spans="1:10" x14ac:dyDescent="0.25">
      <c r="A31" s="1">
        <v>1</v>
      </c>
      <c r="B31" t="s">
        <v>40</v>
      </c>
      <c r="C31">
        <v>115</v>
      </c>
      <c r="D31">
        <v>6</v>
      </c>
      <c r="E31" t="s">
        <v>43</v>
      </c>
      <c r="F31" t="s">
        <v>42</v>
      </c>
      <c r="G31" t="str">
        <f>"2026-07-18 05:41:24.710"</f>
        <v>2026-07-18 05:41:24.710</v>
      </c>
      <c r="H31" t="s">
        <v>21</v>
      </c>
    </row>
    <row r="32" spans="1:10" x14ac:dyDescent="0.25">
      <c r="A32" s="1">
        <v>2</v>
      </c>
      <c r="B32" t="s">
        <v>26</v>
      </c>
      <c r="C32">
        <v>215</v>
      </c>
      <c r="D32">
        <v>6</v>
      </c>
      <c r="E32" t="s">
        <v>41</v>
      </c>
      <c r="F32" t="s">
        <v>42</v>
      </c>
      <c r="G32" t="str">
        <f>"2026-07-18 05:41:19.619"</f>
        <v>2026-07-18 05:41:19.619</v>
      </c>
      <c r="H32" t="s">
        <v>21</v>
      </c>
      <c r="I32">
        <v>0</v>
      </c>
      <c r="J32" t="s">
        <v>31</v>
      </c>
    </row>
    <row r="33" spans="1:10" x14ac:dyDescent="0.25">
      <c r="A33" s="1">
        <v>3</v>
      </c>
      <c r="B33" t="s">
        <v>26</v>
      </c>
      <c r="C33">
        <v>115</v>
      </c>
      <c r="D33">
        <v>6</v>
      </c>
      <c r="E33" t="s">
        <v>43</v>
      </c>
      <c r="F33" t="s">
        <v>42</v>
      </c>
      <c r="G33" t="str">
        <f>"2026-07-18 05:41:19.615"</f>
        <v>2026-07-18 05:41:19.615</v>
      </c>
      <c r="H33" t="s">
        <v>21</v>
      </c>
      <c r="I33">
        <v>0</v>
      </c>
      <c r="J33" t="s">
        <v>31</v>
      </c>
    </row>
    <row r="34" spans="1:10" x14ac:dyDescent="0.25">
      <c r="A34" s="1">
        <v>4</v>
      </c>
      <c r="B34" t="s">
        <v>22</v>
      </c>
      <c r="C34">
        <v>6</v>
      </c>
      <c r="D34">
        <v>1</v>
      </c>
      <c r="E34" t="s">
        <v>44</v>
      </c>
      <c r="F34" t="s">
        <v>45</v>
      </c>
      <c r="G34" t="str">
        <f>"2026-07-18 05:41:19.471"</f>
        <v>2026-07-18 05:41:19.471</v>
      </c>
      <c r="H34" t="s">
        <v>46</v>
      </c>
    </row>
    <row r="35" spans="1:10" x14ac:dyDescent="0.25">
      <c r="A35" s="1">
        <v>5</v>
      </c>
      <c r="B35" t="s">
        <v>22</v>
      </c>
      <c r="C35">
        <v>75</v>
      </c>
      <c r="D35">
        <v>1</v>
      </c>
      <c r="E35" t="s">
        <v>47</v>
      </c>
      <c r="F35" t="s">
        <v>48</v>
      </c>
      <c r="G35" t="str">
        <f>"2026-07-18 05:41:19.469"</f>
        <v>2026-07-18 05:41:19.469</v>
      </c>
      <c r="H35" t="s">
        <v>49</v>
      </c>
    </row>
    <row r="36" spans="1:10" x14ac:dyDescent="0.25">
      <c r="A36" s="1">
        <v>6</v>
      </c>
      <c r="B36" t="s">
        <v>22</v>
      </c>
      <c r="C36">
        <v>74</v>
      </c>
      <c r="D36">
        <v>1</v>
      </c>
      <c r="E36" t="s">
        <v>50</v>
      </c>
      <c r="F36" t="s">
        <v>51</v>
      </c>
      <c r="G36" t="str">
        <f>"2026-07-18 05:41:19.465"</f>
        <v>2026-07-18 05:41:19.465</v>
      </c>
      <c r="H36" t="s">
        <v>52</v>
      </c>
    </row>
    <row r="37" spans="1:10" x14ac:dyDescent="0.25">
      <c r="A37" s="1">
        <v>7</v>
      </c>
      <c r="B37" t="s">
        <v>36</v>
      </c>
      <c r="C37">
        <v>75</v>
      </c>
      <c r="D37">
        <v>1</v>
      </c>
      <c r="E37" t="s">
        <v>47</v>
      </c>
      <c r="F37" t="s">
        <v>48</v>
      </c>
      <c r="G37" t="str">
        <f>"2026-07-18 05:41:07.977"</f>
        <v>2026-07-18 05:41:07.977</v>
      </c>
      <c r="H37" t="s">
        <v>49</v>
      </c>
      <c r="I37">
        <v>0</v>
      </c>
      <c r="J37" t="s">
        <v>31</v>
      </c>
    </row>
    <row r="38" spans="1:10" x14ac:dyDescent="0.25">
      <c r="A38" s="1">
        <v>8</v>
      </c>
      <c r="B38" t="s">
        <v>36</v>
      </c>
      <c r="C38">
        <v>74</v>
      </c>
      <c r="D38">
        <v>1</v>
      </c>
      <c r="E38" t="s">
        <v>50</v>
      </c>
      <c r="F38" t="s">
        <v>51</v>
      </c>
      <c r="G38" t="str">
        <f>"2026-07-18 05:41:07.971"</f>
        <v>2026-07-18 05:41:07.971</v>
      </c>
      <c r="H38" t="s">
        <v>52</v>
      </c>
      <c r="I38">
        <v>0</v>
      </c>
      <c r="J38" t="s">
        <v>31</v>
      </c>
    </row>
    <row r="39" spans="1:10" x14ac:dyDescent="0.25">
      <c r="A39" s="1">
        <v>9</v>
      </c>
      <c r="B39" t="s">
        <v>26</v>
      </c>
      <c r="C39">
        <v>6</v>
      </c>
      <c r="D39">
        <v>1</v>
      </c>
      <c r="E39" t="s">
        <v>44</v>
      </c>
      <c r="F39" t="s">
        <v>45</v>
      </c>
      <c r="G39" t="str">
        <f>"2026-07-18 05:41:07.965"</f>
        <v>2026-07-18 05:41:07.965</v>
      </c>
      <c r="H39" t="s">
        <v>46</v>
      </c>
      <c r="I39">
        <v>0</v>
      </c>
      <c r="J39" t="s">
        <v>31</v>
      </c>
    </row>
    <row r="40" spans="1:10" x14ac:dyDescent="0.25">
      <c r="A40" s="1">
        <v>3</v>
      </c>
      <c r="B40" t="s">
        <v>19</v>
      </c>
      <c r="C40">
        <v>706</v>
      </c>
      <c r="D40">
        <v>4</v>
      </c>
      <c r="E40" t="s">
        <v>29</v>
      </c>
      <c r="F40" t="s">
        <v>53</v>
      </c>
      <c r="G40" t="str">
        <f>"2026-07-18 00:54:49.848"</f>
        <v>2026-07-18 00:54:49.848</v>
      </c>
      <c r="H40" t="s">
        <v>21</v>
      </c>
      <c r="I40">
        <v>0</v>
      </c>
      <c r="J40" t="s">
        <v>31</v>
      </c>
    </row>
    <row r="41" spans="1:10" x14ac:dyDescent="0.25">
      <c r="A41" s="1">
        <v>4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"2026-07-18 00:50:12.538"</f>
        <v>2026-07-18 00:50:12.538</v>
      </c>
      <c r="H41" t="s">
        <v>21</v>
      </c>
    </row>
    <row r="42" spans="1:10" x14ac:dyDescent="0.25">
      <c r="A42" s="1">
        <v>5</v>
      </c>
      <c r="B42" t="s">
        <v>19</v>
      </c>
      <c r="C42">
        <v>706</v>
      </c>
      <c r="D42">
        <v>2</v>
      </c>
      <c r="E42" t="s">
        <v>29</v>
      </c>
      <c r="F42" t="s">
        <v>30</v>
      </c>
      <c r="G42" t="str">
        <f>"2026-07-17 01:35:59.331"</f>
        <v>2026-07-17 01:35:59.331</v>
      </c>
      <c r="H42" t="s">
        <v>21</v>
      </c>
      <c r="I42">
        <v>0</v>
      </c>
      <c r="J42" t="s">
        <v>31</v>
      </c>
    </row>
    <row r="43" spans="1:10" x14ac:dyDescent="0.25">
      <c r="A43" s="1">
        <v>6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"2026-07-17 01:31:22.571"</f>
        <v>2026-07-17 01:31:22.571</v>
      </c>
      <c r="H43" t="s">
        <v>21</v>
      </c>
      <c r="I43">
        <v>0</v>
      </c>
      <c r="J43" t="s">
        <v>33</v>
      </c>
    </row>
    <row r="44" spans="1:10" x14ac:dyDescent="0.25">
      <c r="A44" s="1">
        <v>7</v>
      </c>
      <c r="B44" t="s">
        <v>19</v>
      </c>
      <c r="C44">
        <v>706</v>
      </c>
      <c r="D44">
        <v>2</v>
      </c>
      <c r="E44" t="s">
        <v>29</v>
      </c>
      <c r="F44" t="s">
        <v>30</v>
      </c>
      <c r="G44" t="str">
        <f>"2026-07-16 22:18:57.904"</f>
        <v>2026-07-16 22:18:57.904</v>
      </c>
      <c r="H44" t="s">
        <v>21</v>
      </c>
      <c r="I44">
        <v>0</v>
      </c>
      <c r="J44" t="s">
        <v>31</v>
      </c>
    </row>
    <row r="45" spans="1:10" x14ac:dyDescent="0.25">
      <c r="A45" s="1">
        <v>8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"2026-07-16 12:26:33.534"</f>
        <v>2026-07-16 12:26:33.534</v>
      </c>
      <c r="H45" t="s">
        <v>21</v>
      </c>
      <c r="I45">
        <v>0</v>
      </c>
      <c r="J45" t="s">
        <v>33</v>
      </c>
    </row>
    <row r="46" spans="1:10" x14ac:dyDescent="0.25">
      <c r="A46" s="1">
        <v>9</v>
      </c>
      <c r="B46" t="s">
        <v>19</v>
      </c>
      <c r="C46">
        <v>706</v>
      </c>
      <c r="D46">
        <v>2</v>
      </c>
      <c r="E46" t="s">
        <v>29</v>
      </c>
      <c r="F46" t="s">
        <v>30</v>
      </c>
      <c r="G46" t="str">
        <f>"2026-07-16 01:25:31.910"</f>
        <v>2026-07-16 01:25:31.910</v>
      </c>
      <c r="H46" t="s">
        <v>21</v>
      </c>
      <c r="I46">
        <v>0</v>
      </c>
      <c r="J46" t="s">
        <v>31</v>
      </c>
    </row>
    <row r="47" spans="1:10" x14ac:dyDescent="0.25">
      <c r="A47" s="1">
        <v>0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"2026-07-16 01:23:19.540"</f>
        <v>2026-07-16 01:23:19.540</v>
      </c>
      <c r="H47" t="s">
        <v>21</v>
      </c>
    </row>
    <row r="48" spans="1:10" x14ac:dyDescent="0.25">
      <c r="A48" s="1">
        <v>1</v>
      </c>
      <c r="B48" t="s">
        <v>19</v>
      </c>
      <c r="C48">
        <v>706</v>
      </c>
      <c r="D48">
        <v>4</v>
      </c>
      <c r="E48" t="s">
        <v>29</v>
      </c>
      <c r="F48" t="s">
        <v>53</v>
      </c>
      <c r="G48" t="str">
        <f>"2026-07-15 20:00:37.036"</f>
        <v>2026-07-15 20:00:37.036</v>
      </c>
      <c r="H48" t="s">
        <v>21</v>
      </c>
      <c r="I48">
        <v>0</v>
      </c>
      <c r="J48" t="s">
        <v>31</v>
      </c>
    </row>
    <row r="49" spans="1:10" x14ac:dyDescent="0.25">
      <c r="A49" s="1">
        <v>2</v>
      </c>
      <c r="B49" t="s">
        <v>19</v>
      </c>
      <c r="C49">
        <v>706</v>
      </c>
      <c r="D49">
        <v>2</v>
      </c>
      <c r="E49" t="s">
        <v>29</v>
      </c>
      <c r="F49" t="s">
        <v>30</v>
      </c>
      <c r="G49" t="str">
        <f>"2026-07-15 13:45:54.326"</f>
        <v>2026-07-15 13:45:54.326</v>
      </c>
      <c r="H49" t="s">
        <v>21</v>
      </c>
      <c r="I49">
        <v>0</v>
      </c>
      <c r="J49" t="s">
        <v>31</v>
      </c>
    </row>
    <row r="50" spans="1:10" x14ac:dyDescent="0.25">
      <c r="A50" s="1">
        <v>3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"2026-07-15 13:45:32.676"</f>
        <v>2026-07-15 13:45:32.676</v>
      </c>
      <c r="H50" t="s">
        <v>21</v>
      </c>
    </row>
    <row r="51" spans="1:10" x14ac:dyDescent="0.25">
      <c r="A51" s="1">
        <v>4</v>
      </c>
      <c r="B51" t="s">
        <v>22</v>
      </c>
      <c r="C51">
        <v>635</v>
      </c>
      <c r="D51">
        <v>1</v>
      </c>
      <c r="E51" t="s">
        <v>34</v>
      </c>
      <c r="F51" t="s">
        <v>35</v>
      </c>
      <c r="G51" t="str">
        <f>"2026-07-15 02:56:15.307"</f>
        <v>2026-07-15 02:56:15.307</v>
      </c>
      <c r="H51" t="s">
        <v>21</v>
      </c>
    </row>
    <row r="52" spans="1:10" x14ac:dyDescent="0.25">
      <c r="A52" s="1">
        <v>5</v>
      </c>
      <c r="B52" t="s">
        <v>36</v>
      </c>
      <c r="C52">
        <v>635</v>
      </c>
      <c r="D52">
        <v>1</v>
      </c>
      <c r="E52" t="s">
        <v>34</v>
      </c>
      <c r="F52" t="s">
        <v>35</v>
      </c>
      <c r="G52" t="str">
        <f>"2026-07-15 02:51:40.807"</f>
        <v>2026-07-15 02:51:40.807</v>
      </c>
      <c r="H52" t="s">
        <v>21</v>
      </c>
      <c r="I52">
        <v>3</v>
      </c>
      <c r="J52" t="s">
        <v>37</v>
      </c>
    </row>
    <row r="53" spans="1:10" x14ac:dyDescent="0.25">
      <c r="A53" s="1">
        <v>6</v>
      </c>
      <c r="B53" t="s">
        <v>19</v>
      </c>
      <c r="C53">
        <v>706</v>
      </c>
      <c r="D53">
        <v>4</v>
      </c>
      <c r="E53" t="s">
        <v>29</v>
      </c>
      <c r="F53" t="s">
        <v>53</v>
      </c>
      <c r="G53" t="str">
        <f>"2026-07-15 01:32:06.459"</f>
        <v>2026-07-15 01:32:06.459</v>
      </c>
      <c r="H53" t="s">
        <v>21</v>
      </c>
      <c r="I53">
        <v>0</v>
      </c>
      <c r="J53" t="s">
        <v>31</v>
      </c>
    </row>
    <row r="54" spans="1:10" x14ac:dyDescent="0.25">
      <c r="A54" s="1">
        <v>7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"2026-07-15 01:27:04.569"</f>
        <v>2026-07-15 01:27:04.569</v>
      </c>
      <c r="H54" t="s">
        <v>21</v>
      </c>
    </row>
    <row r="55" spans="1:10" x14ac:dyDescent="0.25">
      <c r="A55" s="1">
        <v>8</v>
      </c>
      <c r="B55" t="s">
        <v>22</v>
      </c>
      <c r="C55">
        <v>635</v>
      </c>
      <c r="D55">
        <v>1</v>
      </c>
      <c r="E55" t="s">
        <v>34</v>
      </c>
      <c r="F55" t="s">
        <v>35</v>
      </c>
      <c r="G55" t="str">
        <f>"2026-07-15 00:19:53.972"</f>
        <v>2026-07-15 00:19:53.972</v>
      </c>
      <c r="H55" t="s">
        <v>21</v>
      </c>
    </row>
    <row r="56" spans="1:10" x14ac:dyDescent="0.25">
      <c r="A56" s="1">
        <v>9</v>
      </c>
      <c r="B56" t="s">
        <v>36</v>
      </c>
      <c r="C56">
        <v>635</v>
      </c>
      <c r="D56">
        <v>1</v>
      </c>
      <c r="E56" t="s">
        <v>34</v>
      </c>
      <c r="F56" t="s">
        <v>35</v>
      </c>
      <c r="G56" t="str">
        <f>"2026-07-15 00:14:56.973"</f>
        <v>2026-07-15 00:14:56.973</v>
      </c>
      <c r="H56" t="s">
        <v>21</v>
      </c>
      <c r="I56">
        <v>3.51</v>
      </c>
      <c r="J56" t="s">
        <v>27</v>
      </c>
    </row>
    <row r="57" spans="1:10" x14ac:dyDescent="0.25">
      <c r="A57" s="1">
        <v>0</v>
      </c>
      <c r="B57" t="s">
        <v>19</v>
      </c>
      <c r="C57">
        <v>706</v>
      </c>
      <c r="D57">
        <v>2</v>
      </c>
      <c r="E57" t="s">
        <v>29</v>
      </c>
      <c r="F57" t="s">
        <v>30</v>
      </c>
      <c r="G57" t="str">
        <f>"2026-07-14 21:32:27.731"</f>
        <v>2026-07-14 21:32:27.731</v>
      </c>
      <c r="H57" t="s">
        <v>21</v>
      </c>
      <c r="I57">
        <v>0</v>
      </c>
      <c r="J57" t="s">
        <v>31</v>
      </c>
    </row>
    <row r="58" spans="1:10" x14ac:dyDescent="0.25">
      <c r="A58" s="1">
        <v>1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"2026-07-14 21:32:09.541"</f>
        <v>2026-07-14 21:32:09.541</v>
      </c>
      <c r="H58" t="s">
        <v>21</v>
      </c>
      <c r="I58">
        <v>0</v>
      </c>
      <c r="J58" t="s">
        <v>33</v>
      </c>
    </row>
    <row r="59" spans="1:10" x14ac:dyDescent="0.25">
      <c r="A59" s="1">
        <v>2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"2026-07-14 17:52:34.536"</f>
        <v>2026-07-14 17:52:34.536</v>
      </c>
      <c r="H59" t="s">
        <v>21</v>
      </c>
      <c r="I59">
        <v>0</v>
      </c>
      <c r="J59" t="s">
        <v>33</v>
      </c>
    </row>
    <row r="60" spans="1:10" x14ac:dyDescent="0.25">
      <c r="A60" s="1">
        <v>3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"2026-07-14 13:18:00.719"</f>
        <v>2026-07-14 13:18:00.719</v>
      </c>
      <c r="H60" t="s">
        <v>21</v>
      </c>
    </row>
    <row r="61" spans="1:10" x14ac:dyDescent="0.25">
      <c r="A61" s="1">
        <v>4</v>
      </c>
      <c r="B61" t="s">
        <v>19</v>
      </c>
      <c r="C61">
        <v>706</v>
      </c>
      <c r="D61">
        <v>2</v>
      </c>
      <c r="E61" t="s">
        <v>29</v>
      </c>
      <c r="F61" t="s">
        <v>30</v>
      </c>
      <c r="G61" t="str">
        <f>"2026-07-14 00:44:40.490"</f>
        <v>2026-07-14 00:44:40.490</v>
      </c>
      <c r="H61" t="s">
        <v>21</v>
      </c>
      <c r="I61">
        <v>0</v>
      </c>
      <c r="J61" t="s">
        <v>31</v>
      </c>
    </row>
    <row r="62" spans="1:10" x14ac:dyDescent="0.25">
      <c r="A62" s="1">
        <v>5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"2026-07-14 00:41:23.670"</f>
        <v>2026-07-14 00:41:23.670</v>
      </c>
      <c r="H62" t="s">
        <v>21</v>
      </c>
    </row>
    <row r="63" spans="1:10" x14ac:dyDescent="0.25">
      <c r="A63" s="1">
        <v>6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"2026-07-13 21:42:31.542"</f>
        <v>2026-07-13 21:42:31.542</v>
      </c>
      <c r="H63" t="s">
        <v>21</v>
      </c>
      <c r="I63">
        <v>0</v>
      </c>
      <c r="J63" t="s">
        <v>33</v>
      </c>
    </row>
    <row r="64" spans="1:10" s="3" customFormat="1" x14ac:dyDescent="0.25">
      <c r="A64" s="2">
        <v>7</v>
      </c>
      <c r="B64" s="3" t="s">
        <v>22</v>
      </c>
      <c r="C64" s="3">
        <v>647</v>
      </c>
      <c r="D64" s="3">
        <v>1</v>
      </c>
      <c r="E64" s="3" t="s">
        <v>54</v>
      </c>
      <c r="F64" s="3" t="s">
        <v>55</v>
      </c>
      <c r="G64" s="3" t="str">
        <f>"2026-07-13 20:36:04.253"</f>
        <v>2026-07-13 20:36:04.253</v>
      </c>
      <c r="H64" s="3" t="s">
        <v>21</v>
      </c>
    </row>
    <row r="65" spans="1:10" s="3" customFormat="1" x14ac:dyDescent="0.25">
      <c r="A65" s="2">
        <v>8</v>
      </c>
      <c r="B65" s="3" t="s">
        <v>36</v>
      </c>
      <c r="C65" s="3">
        <v>647</v>
      </c>
      <c r="D65" s="3">
        <v>1</v>
      </c>
      <c r="E65" s="3" t="s">
        <v>54</v>
      </c>
      <c r="F65" s="3" t="s">
        <v>55</v>
      </c>
      <c r="G65" s="3" t="str">
        <f>"2026-07-13 20:36:03.154"</f>
        <v>2026-07-13 20:36:03.154</v>
      </c>
      <c r="H65" s="3" t="s">
        <v>21</v>
      </c>
      <c r="I65" s="3">
        <v>12.65</v>
      </c>
      <c r="J65" s="3" t="s">
        <v>27</v>
      </c>
    </row>
    <row r="66" spans="1:10" x14ac:dyDescent="0.25">
      <c r="A66" s="1">
        <v>9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"2026-07-13 00:50:06.586"</f>
        <v>2026-07-13 00:50:06.586</v>
      </c>
      <c r="H66" t="s">
        <v>21</v>
      </c>
      <c r="I66">
        <v>0</v>
      </c>
      <c r="J66" t="s">
        <v>33</v>
      </c>
    </row>
    <row r="67" spans="1:10" x14ac:dyDescent="0.25">
      <c r="A67" s="1">
        <v>0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"2026-07-12 16:15:39.557"</f>
        <v>2026-07-12 16:15:39.557</v>
      </c>
      <c r="H67" t="s">
        <v>21</v>
      </c>
    </row>
    <row r="68" spans="1:10" x14ac:dyDescent="0.25">
      <c r="A68" s="1">
        <v>1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"2026-07-12 12:55:27.579"</f>
        <v>2026-07-12 12:55:27.579</v>
      </c>
      <c r="H68" t="s">
        <v>21</v>
      </c>
      <c r="I68">
        <v>0</v>
      </c>
      <c r="J68" t="s">
        <v>33</v>
      </c>
    </row>
    <row r="69" spans="1:10" x14ac:dyDescent="0.25">
      <c r="A69" s="1">
        <v>2</v>
      </c>
      <c r="B69" t="s">
        <v>22</v>
      </c>
      <c r="C69">
        <v>635</v>
      </c>
      <c r="D69">
        <v>1</v>
      </c>
      <c r="E69" t="s">
        <v>34</v>
      </c>
      <c r="F69" t="s">
        <v>35</v>
      </c>
      <c r="G69" t="str">
        <f>"2026-07-12 06:44:04.936"</f>
        <v>2026-07-12 06:44:04.936</v>
      </c>
      <c r="H69" t="s">
        <v>21</v>
      </c>
    </row>
    <row r="70" spans="1:10" x14ac:dyDescent="0.25">
      <c r="A70" s="1">
        <v>3</v>
      </c>
      <c r="B70" t="s">
        <v>36</v>
      </c>
      <c r="C70">
        <v>635</v>
      </c>
      <c r="D70">
        <v>1</v>
      </c>
      <c r="E70" t="s">
        <v>34</v>
      </c>
      <c r="F70" t="s">
        <v>35</v>
      </c>
      <c r="G70" t="str">
        <f>"2026-07-12 06:41:31.436"</f>
        <v>2026-07-12 06:41:31.436</v>
      </c>
      <c r="H70" t="s">
        <v>21</v>
      </c>
      <c r="I70">
        <v>-0.66</v>
      </c>
      <c r="J70" t="s">
        <v>37</v>
      </c>
    </row>
    <row r="71" spans="1:10" x14ac:dyDescent="0.25">
      <c r="A71" s="1">
        <v>4</v>
      </c>
      <c r="B71" t="s">
        <v>19</v>
      </c>
      <c r="C71">
        <v>706</v>
      </c>
      <c r="D71">
        <v>4</v>
      </c>
      <c r="E71" t="s">
        <v>29</v>
      </c>
      <c r="F71" t="s">
        <v>53</v>
      </c>
      <c r="G71" t="str">
        <f>"2026-07-12 02:07:25.048"</f>
        <v>2026-07-12 02:07:25.048</v>
      </c>
      <c r="H71" t="s">
        <v>21</v>
      </c>
      <c r="I71">
        <v>0</v>
      </c>
      <c r="J71" t="s">
        <v>31</v>
      </c>
    </row>
    <row r="72" spans="1:10" x14ac:dyDescent="0.25">
      <c r="A72" s="1">
        <v>5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"2026-07-12 02:06:56.558"</f>
        <v>2026-07-12 02:06:56.558</v>
      </c>
      <c r="H72" t="s">
        <v>21</v>
      </c>
    </row>
    <row r="73" spans="1:10" x14ac:dyDescent="0.25">
      <c r="A73" s="1">
        <v>6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"2026-07-11 13:42:20.567"</f>
        <v>2026-07-11 13:42:20.567</v>
      </c>
      <c r="H73" t="s">
        <v>21</v>
      </c>
      <c r="I73">
        <v>0</v>
      </c>
      <c r="J73" t="s">
        <v>33</v>
      </c>
    </row>
    <row r="74" spans="1:10" x14ac:dyDescent="0.25">
      <c r="A74" s="1">
        <v>7</v>
      </c>
      <c r="B74" t="s">
        <v>19</v>
      </c>
      <c r="C74">
        <v>706</v>
      </c>
      <c r="D74">
        <v>4</v>
      </c>
      <c r="E74" t="s">
        <v>29</v>
      </c>
      <c r="F74" t="s">
        <v>53</v>
      </c>
      <c r="G74" t="str">
        <f>"2026-07-11 01:34:49.149"</f>
        <v>2026-07-11 01:34:49.149</v>
      </c>
      <c r="H74" t="s">
        <v>21</v>
      </c>
      <c r="I74">
        <v>0</v>
      </c>
      <c r="J74" t="s">
        <v>31</v>
      </c>
    </row>
    <row r="75" spans="1:10" x14ac:dyDescent="0.25">
      <c r="A75" s="1">
        <v>8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"2026-07-11 01:26:20.709"</f>
        <v>2026-07-11 01:26:20.709</v>
      </c>
      <c r="H75" t="s">
        <v>21</v>
      </c>
    </row>
    <row r="76" spans="1:10" x14ac:dyDescent="0.25">
      <c r="A76" s="1">
        <v>9</v>
      </c>
      <c r="B76" t="s">
        <v>22</v>
      </c>
      <c r="C76">
        <v>89</v>
      </c>
      <c r="D76">
        <v>2</v>
      </c>
      <c r="E76" t="s">
        <v>38</v>
      </c>
      <c r="F76" t="s">
        <v>39</v>
      </c>
      <c r="G76" t="str">
        <f>"2026-07-10 22:01:24.479"</f>
        <v>2026-07-10 22:01:24.479</v>
      </c>
      <c r="H76" t="s">
        <v>21</v>
      </c>
    </row>
    <row r="77" spans="1:10" x14ac:dyDescent="0.25">
      <c r="A77" s="1">
        <v>0</v>
      </c>
      <c r="B77" t="s">
        <v>26</v>
      </c>
      <c r="C77">
        <v>89</v>
      </c>
      <c r="D77">
        <v>2</v>
      </c>
      <c r="E77" t="s">
        <v>38</v>
      </c>
      <c r="F77" t="s">
        <v>39</v>
      </c>
      <c r="G77" t="str">
        <f>"2026-07-10 22:01:11.379"</f>
        <v>2026-07-10 22:01:11.379</v>
      </c>
      <c r="H77" t="s">
        <v>21</v>
      </c>
      <c r="I77">
        <v>3.65</v>
      </c>
      <c r="J77" t="s">
        <v>37</v>
      </c>
    </row>
    <row r="78" spans="1:10" x14ac:dyDescent="0.25">
      <c r="A78" s="1">
        <v>1</v>
      </c>
      <c r="B78" t="s">
        <v>22</v>
      </c>
      <c r="C78">
        <v>89</v>
      </c>
      <c r="D78">
        <v>2</v>
      </c>
      <c r="E78" t="s">
        <v>38</v>
      </c>
      <c r="F78" t="s">
        <v>39</v>
      </c>
      <c r="G78" t="str">
        <f>"2026-07-10 20:48:34.779"</f>
        <v>2026-07-10 20:48:34.779</v>
      </c>
      <c r="H78" t="s">
        <v>21</v>
      </c>
    </row>
    <row r="79" spans="1:10" x14ac:dyDescent="0.25">
      <c r="A79" s="1">
        <v>2</v>
      </c>
      <c r="B79" t="s">
        <v>26</v>
      </c>
      <c r="C79">
        <v>89</v>
      </c>
      <c r="D79">
        <v>2</v>
      </c>
      <c r="E79" t="s">
        <v>38</v>
      </c>
      <c r="F79" t="s">
        <v>39</v>
      </c>
      <c r="G79" t="str">
        <f>"2026-07-10 20:48:23.479"</f>
        <v>2026-07-10 20:48:23.479</v>
      </c>
      <c r="H79" t="s">
        <v>21</v>
      </c>
      <c r="I79">
        <v>9.01</v>
      </c>
      <c r="J79" t="s">
        <v>37</v>
      </c>
    </row>
    <row r="80" spans="1:10" x14ac:dyDescent="0.25">
      <c r="A80" s="1">
        <v>3</v>
      </c>
      <c r="B80" t="s">
        <v>22</v>
      </c>
      <c r="C80">
        <v>89</v>
      </c>
      <c r="D80">
        <v>2</v>
      </c>
      <c r="E80" t="s">
        <v>38</v>
      </c>
      <c r="F80" t="s">
        <v>39</v>
      </c>
      <c r="G80" t="str">
        <f>"2026-07-10 20:40:03.479"</f>
        <v>2026-07-10 20:40:03.479</v>
      </c>
      <c r="H80" t="s">
        <v>21</v>
      </c>
    </row>
    <row r="81" spans="1:10" x14ac:dyDescent="0.25">
      <c r="A81" s="1">
        <v>4</v>
      </c>
      <c r="B81" t="s">
        <v>26</v>
      </c>
      <c r="C81">
        <v>89</v>
      </c>
      <c r="D81">
        <v>2</v>
      </c>
      <c r="E81" t="s">
        <v>38</v>
      </c>
      <c r="F81" t="s">
        <v>39</v>
      </c>
      <c r="G81" t="str">
        <f>"2026-07-10 20:39:51.680"</f>
        <v>2026-07-10 20:39:51.680</v>
      </c>
      <c r="H81" t="s">
        <v>21</v>
      </c>
      <c r="I81">
        <v>22.01</v>
      </c>
      <c r="J81" t="s">
        <v>37</v>
      </c>
    </row>
    <row r="82" spans="1:10" x14ac:dyDescent="0.25">
      <c r="A82" s="1">
        <v>5</v>
      </c>
      <c r="B82" t="s">
        <v>22</v>
      </c>
      <c r="C82">
        <v>89</v>
      </c>
      <c r="D82">
        <v>2</v>
      </c>
      <c r="E82" t="s">
        <v>38</v>
      </c>
      <c r="F82" t="s">
        <v>39</v>
      </c>
      <c r="G82" t="str">
        <f>"2026-07-10 20:09:47.079"</f>
        <v>2026-07-10 20:09:47.079</v>
      </c>
      <c r="H82" t="s">
        <v>21</v>
      </c>
    </row>
    <row r="83" spans="1:10" x14ac:dyDescent="0.25">
      <c r="A83" s="1">
        <v>6</v>
      </c>
      <c r="B83" t="s">
        <v>26</v>
      </c>
      <c r="C83">
        <v>89</v>
      </c>
      <c r="D83">
        <v>2</v>
      </c>
      <c r="E83" t="s">
        <v>38</v>
      </c>
      <c r="F83" t="s">
        <v>39</v>
      </c>
      <c r="G83" t="str">
        <f>"2026-07-10 20:09:36.680"</f>
        <v>2026-07-10 20:09:36.680</v>
      </c>
      <c r="H83" t="s">
        <v>21</v>
      </c>
      <c r="I83">
        <v>8.6</v>
      </c>
      <c r="J83" t="s">
        <v>37</v>
      </c>
    </row>
    <row r="84" spans="1:10" x14ac:dyDescent="0.25">
      <c r="A84" s="1">
        <v>7</v>
      </c>
      <c r="B84" t="s">
        <v>22</v>
      </c>
      <c r="C84">
        <v>89</v>
      </c>
      <c r="D84">
        <v>2</v>
      </c>
      <c r="E84" t="s">
        <v>38</v>
      </c>
      <c r="F84" t="s">
        <v>39</v>
      </c>
      <c r="G84" t="str">
        <f>"2026-07-10 19:12:25.479"</f>
        <v>2026-07-10 19:12:25.479</v>
      </c>
      <c r="H84" t="s">
        <v>21</v>
      </c>
    </row>
    <row r="85" spans="1:10" x14ac:dyDescent="0.25">
      <c r="A85" s="1">
        <v>8</v>
      </c>
      <c r="B85" t="s">
        <v>26</v>
      </c>
      <c r="C85">
        <v>89</v>
      </c>
      <c r="D85">
        <v>2</v>
      </c>
      <c r="E85" t="s">
        <v>38</v>
      </c>
      <c r="F85" t="s">
        <v>39</v>
      </c>
      <c r="G85" t="str">
        <f>"2026-07-10 19:11:35.379"</f>
        <v>2026-07-10 19:11:35.379</v>
      </c>
      <c r="H85" t="s">
        <v>21</v>
      </c>
      <c r="I85">
        <v>15.87</v>
      </c>
      <c r="J85" t="s">
        <v>37</v>
      </c>
    </row>
    <row r="86" spans="1:10" x14ac:dyDescent="0.25">
      <c r="A86" s="1">
        <v>9</v>
      </c>
      <c r="B86" t="s">
        <v>22</v>
      </c>
      <c r="C86">
        <v>89</v>
      </c>
      <c r="D86">
        <v>2</v>
      </c>
      <c r="E86" t="s">
        <v>38</v>
      </c>
      <c r="F86" t="s">
        <v>39</v>
      </c>
      <c r="G86" t="str">
        <f>"2026-07-10 17:34:45.379"</f>
        <v>2026-07-10 17:34:45.379</v>
      </c>
      <c r="H86" t="s">
        <v>21</v>
      </c>
    </row>
    <row r="87" spans="1:10" x14ac:dyDescent="0.25">
      <c r="A87" s="1">
        <v>0</v>
      </c>
      <c r="B87" t="s">
        <v>26</v>
      </c>
      <c r="C87">
        <v>89</v>
      </c>
      <c r="D87">
        <v>2</v>
      </c>
      <c r="E87" t="s">
        <v>38</v>
      </c>
      <c r="F87" t="s">
        <v>39</v>
      </c>
      <c r="G87" t="str">
        <f>"2026-07-10 17:34:32.579"</f>
        <v>2026-07-10 17:34:32.579</v>
      </c>
      <c r="H87" t="s">
        <v>21</v>
      </c>
      <c r="I87">
        <v>12.08</v>
      </c>
      <c r="J87" t="s">
        <v>37</v>
      </c>
    </row>
    <row r="88" spans="1:10" x14ac:dyDescent="0.25">
      <c r="A88" s="1">
        <v>1</v>
      </c>
      <c r="B88" t="s">
        <v>22</v>
      </c>
      <c r="C88">
        <v>89</v>
      </c>
      <c r="D88">
        <v>2</v>
      </c>
      <c r="E88" t="s">
        <v>38</v>
      </c>
      <c r="F88" t="s">
        <v>39</v>
      </c>
      <c r="G88" t="str">
        <f>"2026-07-10 17:13:49.579"</f>
        <v>2026-07-10 17:13:49.579</v>
      </c>
      <c r="H88" t="s">
        <v>21</v>
      </c>
    </row>
    <row r="89" spans="1:10" x14ac:dyDescent="0.25">
      <c r="A89" s="1">
        <v>2</v>
      </c>
      <c r="B89" t="s">
        <v>26</v>
      </c>
      <c r="C89">
        <v>89</v>
      </c>
      <c r="D89">
        <v>2</v>
      </c>
      <c r="E89" t="s">
        <v>38</v>
      </c>
      <c r="F89" t="s">
        <v>39</v>
      </c>
      <c r="G89" t="str">
        <f>"2026-07-10 17:13:26.979"</f>
        <v>2026-07-10 17:13:26.979</v>
      </c>
      <c r="H89" t="s">
        <v>21</v>
      </c>
      <c r="I89">
        <v>7.21</v>
      </c>
      <c r="J89" t="s">
        <v>37</v>
      </c>
    </row>
    <row r="90" spans="1:10" x14ac:dyDescent="0.25">
      <c r="A90" s="1">
        <v>3</v>
      </c>
      <c r="B90" t="s">
        <v>22</v>
      </c>
      <c r="C90">
        <v>89</v>
      </c>
      <c r="D90">
        <v>2</v>
      </c>
      <c r="E90" t="s">
        <v>38</v>
      </c>
      <c r="F90" t="s">
        <v>39</v>
      </c>
      <c r="G90" t="str">
        <f>"2026-07-10 16:13:10.680"</f>
        <v>2026-07-10 16:13:10.680</v>
      </c>
      <c r="H90" t="s">
        <v>21</v>
      </c>
    </row>
    <row r="91" spans="1:10" x14ac:dyDescent="0.25">
      <c r="A91" s="1">
        <v>4</v>
      </c>
      <c r="B91" t="s">
        <v>26</v>
      </c>
      <c r="C91">
        <v>89</v>
      </c>
      <c r="D91">
        <v>2</v>
      </c>
      <c r="E91" t="s">
        <v>38</v>
      </c>
      <c r="F91" t="s">
        <v>39</v>
      </c>
      <c r="G91" t="str">
        <f>"2026-07-10 16:12:57.380"</f>
        <v>2026-07-10 16:12:57.380</v>
      </c>
      <c r="H91" t="s">
        <v>21</v>
      </c>
      <c r="I91">
        <v>11.97</v>
      </c>
      <c r="J91" t="s">
        <v>37</v>
      </c>
    </row>
    <row r="92" spans="1:10" x14ac:dyDescent="0.25">
      <c r="A92" s="1">
        <v>5</v>
      </c>
      <c r="B92" t="s">
        <v>19</v>
      </c>
      <c r="C92">
        <v>706</v>
      </c>
      <c r="D92">
        <v>2</v>
      </c>
      <c r="E92" t="s">
        <v>29</v>
      </c>
      <c r="F92" t="s">
        <v>30</v>
      </c>
      <c r="G92" t="str">
        <f>"2026-07-10 13:35:24.138"</f>
        <v>2026-07-10 13:35:24.138</v>
      </c>
      <c r="H92" t="s">
        <v>21</v>
      </c>
      <c r="I92">
        <v>0</v>
      </c>
      <c r="J92" t="s">
        <v>31</v>
      </c>
    </row>
    <row r="93" spans="1:10" x14ac:dyDescent="0.25">
      <c r="A93" s="1">
        <v>6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"2026-07-10 13:35:01.578"</f>
        <v>2026-07-10 13:35:01.578</v>
      </c>
      <c r="H93" t="s">
        <v>21</v>
      </c>
    </row>
    <row r="94" spans="1:10" x14ac:dyDescent="0.25">
      <c r="A94" s="1">
        <v>7</v>
      </c>
      <c r="B94" t="s">
        <v>19</v>
      </c>
      <c r="C94">
        <v>706</v>
      </c>
      <c r="D94">
        <v>2</v>
      </c>
      <c r="E94" t="s">
        <v>29</v>
      </c>
      <c r="F94" t="s">
        <v>30</v>
      </c>
      <c r="G94" t="str">
        <f>"2026-07-10 00:21:26.732"</f>
        <v>2026-07-10 00:21:26.732</v>
      </c>
      <c r="H94" t="s">
        <v>21</v>
      </c>
      <c r="I94">
        <v>0</v>
      </c>
      <c r="J94" t="s">
        <v>31</v>
      </c>
    </row>
    <row r="95" spans="1:10" x14ac:dyDescent="0.25">
      <c r="A95" s="1">
        <v>8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"2026-07-10 00:17:02.542"</f>
        <v>2026-07-10 00:17:02.542</v>
      </c>
      <c r="H95" t="s">
        <v>21</v>
      </c>
    </row>
    <row r="96" spans="1:10" x14ac:dyDescent="0.25">
      <c r="A96" s="1">
        <v>9</v>
      </c>
      <c r="B96" t="s">
        <v>22</v>
      </c>
      <c r="C96">
        <v>89</v>
      </c>
      <c r="D96">
        <v>2</v>
      </c>
      <c r="E96" t="s">
        <v>38</v>
      </c>
      <c r="F96" t="s">
        <v>39</v>
      </c>
      <c r="G96" t="str">
        <f>"2026-07-09 20:43:59.421"</f>
        <v>2026-07-09 20:43:59.421</v>
      </c>
      <c r="H96" t="s">
        <v>21</v>
      </c>
    </row>
    <row r="97" spans="1:10" x14ac:dyDescent="0.25">
      <c r="A97" s="1">
        <v>0</v>
      </c>
      <c r="B97" t="s">
        <v>26</v>
      </c>
      <c r="C97">
        <v>89</v>
      </c>
      <c r="D97">
        <v>2</v>
      </c>
      <c r="E97" t="s">
        <v>38</v>
      </c>
      <c r="F97" t="s">
        <v>39</v>
      </c>
      <c r="G97" t="str">
        <f>"2026-07-09 20:43:18.421"</f>
        <v>2026-07-09 20:43:18.421</v>
      </c>
      <c r="H97" t="s">
        <v>21</v>
      </c>
      <c r="I97">
        <v>14.47</v>
      </c>
      <c r="J97" t="s">
        <v>37</v>
      </c>
    </row>
    <row r="98" spans="1:10" x14ac:dyDescent="0.25">
      <c r="A98" s="1">
        <v>1</v>
      </c>
      <c r="B98" t="s">
        <v>22</v>
      </c>
      <c r="C98">
        <v>89</v>
      </c>
      <c r="D98">
        <v>2</v>
      </c>
      <c r="E98" t="s">
        <v>38</v>
      </c>
      <c r="F98" t="s">
        <v>39</v>
      </c>
      <c r="G98" t="str">
        <f>"2026-07-09 19:46:03.021"</f>
        <v>2026-07-09 19:46:03.021</v>
      </c>
      <c r="H98" t="s">
        <v>21</v>
      </c>
    </row>
    <row r="99" spans="1:10" x14ac:dyDescent="0.25">
      <c r="A99" s="1">
        <v>2</v>
      </c>
      <c r="B99" t="s">
        <v>26</v>
      </c>
      <c r="C99">
        <v>89</v>
      </c>
      <c r="D99">
        <v>2</v>
      </c>
      <c r="E99" t="s">
        <v>38</v>
      </c>
      <c r="F99" t="s">
        <v>39</v>
      </c>
      <c r="G99" t="str">
        <f>"2026-07-09 19:45:19.921"</f>
        <v>2026-07-09 19:45:19.921</v>
      </c>
      <c r="H99" t="s">
        <v>21</v>
      </c>
      <c r="I99">
        <v>7.98</v>
      </c>
      <c r="J99" t="s">
        <v>37</v>
      </c>
    </row>
    <row r="100" spans="1:10" x14ac:dyDescent="0.25">
      <c r="A100" s="1">
        <v>3</v>
      </c>
      <c r="B100" t="s">
        <v>22</v>
      </c>
      <c r="C100">
        <v>89</v>
      </c>
      <c r="D100">
        <v>2</v>
      </c>
      <c r="E100" t="s">
        <v>38</v>
      </c>
      <c r="F100" t="s">
        <v>39</v>
      </c>
      <c r="G100" t="str">
        <f>"2026-07-09 16:02:02.721"</f>
        <v>2026-07-09 16:02:02.721</v>
      </c>
      <c r="H100" t="s">
        <v>21</v>
      </c>
    </row>
    <row r="101" spans="1:10" x14ac:dyDescent="0.25">
      <c r="A101" s="1">
        <v>4</v>
      </c>
      <c r="B101" t="s">
        <v>26</v>
      </c>
      <c r="C101">
        <v>89</v>
      </c>
      <c r="D101">
        <v>2</v>
      </c>
      <c r="E101" t="s">
        <v>38</v>
      </c>
      <c r="F101" t="s">
        <v>39</v>
      </c>
      <c r="G101" t="str">
        <f>"2026-07-09 16:01:37.321"</f>
        <v>2026-07-09 16:01:37.321</v>
      </c>
      <c r="H101" t="s">
        <v>21</v>
      </c>
      <c r="I101">
        <v>15.4</v>
      </c>
      <c r="J101" t="s">
        <v>37</v>
      </c>
    </row>
    <row r="102" spans="1:10" x14ac:dyDescent="0.25">
      <c r="A102" s="1">
        <v>5</v>
      </c>
      <c r="B102" t="s">
        <v>56</v>
      </c>
      <c r="C102">
        <v>89</v>
      </c>
      <c r="D102">
        <v>2</v>
      </c>
      <c r="E102" t="s">
        <v>38</v>
      </c>
      <c r="F102" t="s">
        <v>39</v>
      </c>
      <c r="G102" t="str">
        <f>"2026-07-09 14:57:29.032"</f>
        <v>2026-07-09 14:57:29.032</v>
      </c>
      <c r="H102" t="s">
        <v>21</v>
      </c>
    </row>
    <row r="103" spans="1:10" x14ac:dyDescent="0.25">
      <c r="A103" s="1">
        <v>6</v>
      </c>
      <c r="B103" t="s">
        <v>56</v>
      </c>
      <c r="C103">
        <v>87</v>
      </c>
      <c r="D103">
        <v>1</v>
      </c>
      <c r="E103" t="s">
        <v>57</v>
      </c>
      <c r="F103" t="s">
        <v>58</v>
      </c>
      <c r="G103" t="str">
        <f>"2026-07-09 14:57:29.029"</f>
        <v>2026-07-09 14:57:29.029</v>
      </c>
      <c r="H103" t="s">
        <v>21</v>
      </c>
    </row>
    <row r="104" spans="1:10" x14ac:dyDescent="0.25">
      <c r="A104" s="1">
        <v>7</v>
      </c>
      <c r="B104" t="s">
        <v>26</v>
      </c>
      <c r="C104">
        <v>89</v>
      </c>
      <c r="D104">
        <v>2</v>
      </c>
      <c r="E104" t="s">
        <v>38</v>
      </c>
      <c r="F104" t="s">
        <v>39</v>
      </c>
      <c r="G104" t="str">
        <f>"2026-07-09 14:57:14.522"</f>
        <v>2026-07-09 14:57:14.522</v>
      </c>
      <c r="H104" t="s">
        <v>21</v>
      </c>
      <c r="I104">
        <v>2.31</v>
      </c>
      <c r="J104" t="s">
        <v>37</v>
      </c>
    </row>
    <row r="105" spans="1:10" x14ac:dyDescent="0.25">
      <c r="A105" s="1">
        <v>8</v>
      </c>
      <c r="B105" t="s">
        <v>26</v>
      </c>
      <c r="C105">
        <v>87</v>
      </c>
      <c r="D105">
        <v>1</v>
      </c>
      <c r="E105" t="s">
        <v>57</v>
      </c>
      <c r="F105" t="s">
        <v>58</v>
      </c>
      <c r="G105" t="str">
        <f>"2026-07-09 14:57:13.801"</f>
        <v>2026-07-09 14:57:13.801</v>
      </c>
      <c r="H105" t="s">
        <v>21</v>
      </c>
      <c r="I105">
        <v>2.25</v>
      </c>
      <c r="J105" t="s">
        <v>37</v>
      </c>
    </row>
    <row r="106" spans="1:10" x14ac:dyDescent="0.25">
      <c r="A106" s="1">
        <v>9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"2026-07-09 13:00:08.717"</f>
        <v>2026-07-09 13:00:08.717</v>
      </c>
      <c r="H106" t="s">
        <v>21</v>
      </c>
    </row>
    <row r="107" spans="1:10" x14ac:dyDescent="0.25">
      <c r="A107" s="1">
        <v>0</v>
      </c>
      <c r="B107" t="s">
        <v>22</v>
      </c>
      <c r="C107">
        <v>89</v>
      </c>
      <c r="D107">
        <v>2</v>
      </c>
      <c r="E107" t="s">
        <v>38</v>
      </c>
      <c r="F107" t="s">
        <v>39</v>
      </c>
      <c r="G107" t="str">
        <f>"2026-07-09 08:00:28.737"</f>
        <v>2026-07-09 08:00:28.737</v>
      </c>
      <c r="H107" t="s">
        <v>21</v>
      </c>
    </row>
    <row r="108" spans="1:10" x14ac:dyDescent="0.25">
      <c r="A108" s="1">
        <v>1</v>
      </c>
      <c r="B108" t="s">
        <v>26</v>
      </c>
      <c r="C108">
        <v>89</v>
      </c>
      <c r="D108">
        <v>2</v>
      </c>
      <c r="E108" t="s">
        <v>38</v>
      </c>
      <c r="F108" t="s">
        <v>39</v>
      </c>
      <c r="G108" t="str">
        <f>"2026-07-09 07:59:49.638"</f>
        <v>2026-07-09 07:59:49.638</v>
      </c>
      <c r="H108" t="s">
        <v>21</v>
      </c>
      <c r="I108">
        <v>13.28</v>
      </c>
      <c r="J108" t="s">
        <v>37</v>
      </c>
    </row>
    <row r="109" spans="1:10" x14ac:dyDescent="0.25">
      <c r="A109" s="1">
        <v>2</v>
      </c>
      <c r="B109" t="s">
        <v>19</v>
      </c>
      <c r="C109">
        <v>706</v>
      </c>
      <c r="D109">
        <v>4</v>
      </c>
      <c r="E109" t="s">
        <v>29</v>
      </c>
      <c r="F109" t="s">
        <v>53</v>
      </c>
      <c r="G109" t="str">
        <f>"2026-07-09 01:49:29.047"</f>
        <v>2026-07-09 01:49:29.047</v>
      </c>
      <c r="H109" t="s">
        <v>21</v>
      </c>
      <c r="I109">
        <v>0</v>
      </c>
      <c r="J109" t="s">
        <v>31</v>
      </c>
    </row>
    <row r="110" spans="1:10" x14ac:dyDescent="0.25">
      <c r="A110" s="1">
        <v>3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"2026-07-09 01:44:06.557"</f>
        <v>2026-07-09 01:44:06.557</v>
      </c>
      <c r="H110" t="s">
        <v>21</v>
      </c>
      <c r="I110">
        <v>0</v>
      </c>
      <c r="J110" t="s">
        <v>33</v>
      </c>
    </row>
    <row r="111" spans="1:10" x14ac:dyDescent="0.25">
      <c r="A111" s="1">
        <v>4</v>
      </c>
      <c r="B111" t="s">
        <v>22</v>
      </c>
      <c r="C111">
        <v>89</v>
      </c>
      <c r="D111">
        <v>2</v>
      </c>
      <c r="E111" t="s">
        <v>38</v>
      </c>
      <c r="F111" t="s">
        <v>39</v>
      </c>
      <c r="G111" t="str">
        <f>"2026-07-08 21:30:12.051"</f>
        <v>2026-07-08 21:30:12.051</v>
      </c>
      <c r="H111" t="s">
        <v>21</v>
      </c>
    </row>
    <row r="112" spans="1:10" x14ac:dyDescent="0.25">
      <c r="A112" s="1">
        <v>5</v>
      </c>
      <c r="B112" t="s">
        <v>26</v>
      </c>
      <c r="C112">
        <v>89</v>
      </c>
      <c r="D112">
        <v>2</v>
      </c>
      <c r="E112" t="s">
        <v>38</v>
      </c>
      <c r="F112" t="s">
        <v>39</v>
      </c>
      <c r="G112" t="str">
        <f>"2026-07-08 21:29:13.851"</f>
        <v>2026-07-08 21:29:13.851</v>
      </c>
      <c r="H112" t="s">
        <v>21</v>
      </c>
      <c r="I112">
        <v>9.33</v>
      </c>
      <c r="J112" t="s">
        <v>37</v>
      </c>
    </row>
    <row r="113" spans="1:10" x14ac:dyDescent="0.25">
      <c r="A113" s="1">
        <v>6</v>
      </c>
      <c r="B113" t="s">
        <v>22</v>
      </c>
      <c r="C113">
        <v>89</v>
      </c>
      <c r="D113">
        <v>2</v>
      </c>
      <c r="E113" t="s">
        <v>38</v>
      </c>
      <c r="F113" t="s">
        <v>39</v>
      </c>
      <c r="G113" t="str">
        <f>"2026-07-08 17:20:04.651"</f>
        <v>2026-07-08 17:20:04.651</v>
      </c>
      <c r="H113" t="s">
        <v>21</v>
      </c>
    </row>
    <row r="114" spans="1:10" x14ac:dyDescent="0.25">
      <c r="A114" s="1">
        <v>7</v>
      </c>
      <c r="B114" t="s">
        <v>26</v>
      </c>
      <c r="C114">
        <v>89</v>
      </c>
      <c r="D114">
        <v>2</v>
      </c>
      <c r="E114" t="s">
        <v>38</v>
      </c>
      <c r="F114" t="s">
        <v>39</v>
      </c>
      <c r="G114" t="str">
        <f>"2026-07-08 17:19:31.551"</f>
        <v>2026-07-08 17:19:31.551</v>
      </c>
      <c r="H114" t="s">
        <v>21</v>
      </c>
      <c r="I114">
        <v>10.71</v>
      </c>
      <c r="J114" t="s">
        <v>37</v>
      </c>
    </row>
    <row r="115" spans="1:10" x14ac:dyDescent="0.25">
      <c r="A115" s="1">
        <v>8</v>
      </c>
      <c r="B115" t="s">
        <v>22</v>
      </c>
      <c r="C115">
        <v>89</v>
      </c>
      <c r="D115">
        <v>2</v>
      </c>
      <c r="E115" t="s">
        <v>38</v>
      </c>
      <c r="F115" t="s">
        <v>39</v>
      </c>
      <c r="G115" t="str">
        <f>"2026-07-08 14:38:57.551"</f>
        <v>2026-07-08 14:38:57.551</v>
      </c>
      <c r="H115" t="s">
        <v>21</v>
      </c>
    </row>
    <row r="116" spans="1:10" x14ac:dyDescent="0.25">
      <c r="A116" s="1">
        <v>9</v>
      </c>
      <c r="B116" t="s">
        <v>26</v>
      </c>
      <c r="C116">
        <v>89</v>
      </c>
      <c r="D116">
        <v>2</v>
      </c>
      <c r="E116" t="s">
        <v>38</v>
      </c>
      <c r="F116" t="s">
        <v>39</v>
      </c>
      <c r="G116" t="str">
        <f>"2026-07-08 14:38:44.852"</f>
        <v>2026-07-08 14:38:44.852</v>
      </c>
      <c r="H116" t="s">
        <v>21</v>
      </c>
      <c r="I116">
        <v>11.97</v>
      </c>
      <c r="J116" t="s">
        <v>37</v>
      </c>
    </row>
    <row r="117" spans="1:10" x14ac:dyDescent="0.25">
      <c r="A117" s="1">
        <v>10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"2026-07-08 13:24:39.671"</f>
        <v>2026-07-08 13:24:39.671</v>
      </c>
      <c r="H117" t="s">
        <v>21</v>
      </c>
      <c r="I117">
        <v>0</v>
      </c>
      <c r="J117" t="s">
        <v>33</v>
      </c>
    </row>
    <row r="118" spans="1:10" x14ac:dyDescent="0.25">
      <c r="A118" s="1">
        <v>11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"2026-07-08 04:01:11.521"</f>
        <v>2026-07-08 04:01:11.521</v>
      </c>
      <c r="H118" t="s">
        <v>21</v>
      </c>
    </row>
    <row r="119" spans="1:10" x14ac:dyDescent="0.25">
      <c r="A119" s="1">
        <v>12</v>
      </c>
      <c r="B119" t="s">
        <v>19</v>
      </c>
      <c r="C119">
        <v>706</v>
      </c>
      <c r="D119">
        <v>2</v>
      </c>
      <c r="E119" t="s">
        <v>29</v>
      </c>
      <c r="F119" t="s">
        <v>30</v>
      </c>
      <c r="G119" t="str">
        <f>"2026-07-08 03:35:56.334"</f>
        <v>2026-07-08 03:35:56.334</v>
      </c>
      <c r="H119" t="s">
        <v>21</v>
      </c>
      <c r="I119">
        <v>0</v>
      </c>
      <c r="J119" t="s">
        <v>31</v>
      </c>
    </row>
    <row r="120" spans="1:10" x14ac:dyDescent="0.25">
      <c r="A120" s="1">
        <v>13</v>
      </c>
      <c r="B120" t="s">
        <v>19</v>
      </c>
      <c r="C120">
        <v>706</v>
      </c>
      <c r="D120">
        <v>2</v>
      </c>
      <c r="E120" t="s">
        <v>29</v>
      </c>
      <c r="F120" t="s">
        <v>30</v>
      </c>
      <c r="G120" t="str">
        <f>"2026-07-08 03:34:08.934"</f>
        <v>2026-07-08 03:34:08.934</v>
      </c>
      <c r="H120" t="s">
        <v>21</v>
      </c>
      <c r="I120">
        <v>0</v>
      </c>
      <c r="J120" t="s">
        <v>31</v>
      </c>
    </row>
    <row r="121" spans="1:10" x14ac:dyDescent="0.25">
      <c r="A121" s="1">
        <v>14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"2026-07-08 03:31:42.534"</f>
        <v>2026-07-08 03:31:42.534</v>
      </c>
      <c r="H121" t="s">
        <v>21</v>
      </c>
      <c r="I121">
        <v>0</v>
      </c>
      <c r="J121" t="s">
        <v>33</v>
      </c>
    </row>
    <row r="122" spans="1:10" x14ac:dyDescent="0.25">
      <c r="A122" s="1">
        <v>15</v>
      </c>
      <c r="B122" t="s">
        <v>19</v>
      </c>
      <c r="C122">
        <v>706</v>
      </c>
      <c r="D122">
        <v>2</v>
      </c>
      <c r="E122" t="s">
        <v>29</v>
      </c>
      <c r="F122" t="s">
        <v>30</v>
      </c>
      <c r="G122" t="str">
        <f>"2026-07-08 03:30:12.853"</f>
        <v>2026-07-08 03:30:12.853</v>
      </c>
      <c r="H122" t="s">
        <v>21</v>
      </c>
      <c r="I122">
        <v>0</v>
      </c>
      <c r="J122" t="s">
        <v>31</v>
      </c>
    </row>
    <row r="123" spans="1:10" x14ac:dyDescent="0.25">
      <c r="A123" s="1">
        <v>16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"2026-07-08 03:00:14.623"</f>
        <v>2026-07-08 03:00:14.623</v>
      </c>
      <c r="H123" t="s">
        <v>21</v>
      </c>
    </row>
    <row r="124" spans="1:10" x14ac:dyDescent="0.25">
      <c r="A124" s="1">
        <v>17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"2026-07-07 13:31:43.689"</f>
        <v>2026-07-07 13:31:43.689</v>
      </c>
      <c r="H124" t="s">
        <v>21</v>
      </c>
      <c r="I124">
        <v>0</v>
      </c>
      <c r="J124" t="s">
        <v>33</v>
      </c>
    </row>
    <row r="125" spans="1:10" x14ac:dyDescent="0.25">
      <c r="A125" s="1">
        <v>18</v>
      </c>
      <c r="B125" t="s">
        <v>19</v>
      </c>
      <c r="C125">
        <v>706</v>
      </c>
      <c r="D125">
        <v>4</v>
      </c>
      <c r="E125" t="s">
        <v>29</v>
      </c>
      <c r="F125" t="s">
        <v>53</v>
      </c>
      <c r="G125" t="str">
        <f>"2026-07-07 00:18:50.042"</f>
        <v>2026-07-07 00:18:50.042</v>
      </c>
      <c r="H125" t="s">
        <v>21</v>
      </c>
      <c r="I125">
        <v>0</v>
      </c>
      <c r="J125" t="s">
        <v>31</v>
      </c>
    </row>
    <row r="126" spans="1:10" x14ac:dyDescent="0.25">
      <c r="A126" s="1">
        <v>19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"2026-07-07 00:09:24.542"</f>
        <v>2026-07-07 00:09:24.542</v>
      </c>
      <c r="H126" t="s">
        <v>21</v>
      </c>
      <c r="I126">
        <v>0</v>
      </c>
      <c r="J126" t="s">
        <v>33</v>
      </c>
    </row>
    <row r="127" spans="1:10" s="3" customFormat="1" x14ac:dyDescent="0.25">
      <c r="A127" s="2">
        <v>20</v>
      </c>
      <c r="B127" s="3" t="s">
        <v>22</v>
      </c>
      <c r="C127" s="3">
        <v>647</v>
      </c>
      <c r="D127" s="3">
        <v>1</v>
      </c>
      <c r="E127" s="3" t="s">
        <v>54</v>
      </c>
      <c r="F127" s="3" t="s">
        <v>55</v>
      </c>
      <c r="G127" s="3" t="str">
        <f>"2026-07-06 23:06:12.279"</f>
        <v>2026-07-06 23:06:12.279</v>
      </c>
      <c r="H127" s="3" t="s">
        <v>21</v>
      </c>
    </row>
    <row r="128" spans="1:10" s="3" customFormat="1" x14ac:dyDescent="0.25">
      <c r="A128" s="2">
        <v>21</v>
      </c>
      <c r="B128" s="3" t="s">
        <v>36</v>
      </c>
      <c r="C128" s="3">
        <v>647</v>
      </c>
      <c r="D128" s="3">
        <v>1</v>
      </c>
      <c r="E128" s="3" t="s">
        <v>54</v>
      </c>
      <c r="F128" s="3" t="s">
        <v>55</v>
      </c>
      <c r="G128" s="3" t="str">
        <f>"2026-07-06 23:06:10.079"</f>
        <v>2026-07-06 23:06:10.079</v>
      </c>
      <c r="H128" s="3" t="s">
        <v>21</v>
      </c>
      <c r="I128" s="3">
        <v>8.14</v>
      </c>
      <c r="J128" s="3" t="s">
        <v>27</v>
      </c>
    </row>
    <row r="129" spans="1:10" x14ac:dyDescent="0.25">
      <c r="A129" s="1">
        <v>22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"2026-07-06 13:47:13.697"</f>
        <v>2026-07-06 13:47:13.697</v>
      </c>
      <c r="H129" t="s">
        <v>21</v>
      </c>
      <c r="I129">
        <v>0</v>
      </c>
      <c r="J129" t="s">
        <v>33</v>
      </c>
    </row>
    <row r="130" spans="1:10" x14ac:dyDescent="0.25">
      <c r="A130" s="1">
        <v>23</v>
      </c>
      <c r="B130" t="s">
        <v>19</v>
      </c>
      <c r="C130">
        <v>706</v>
      </c>
      <c r="D130">
        <v>4</v>
      </c>
      <c r="E130" t="s">
        <v>29</v>
      </c>
      <c r="F130" t="s">
        <v>53</v>
      </c>
      <c r="G130" t="str">
        <f>"2026-07-06 00:40:36.862"</f>
        <v>2026-07-06 00:40:36.862</v>
      </c>
      <c r="H130" t="s">
        <v>21</v>
      </c>
      <c r="I130">
        <v>0</v>
      </c>
      <c r="J130" t="s">
        <v>31</v>
      </c>
    </row>
    <row r="131" spans="1:10" x14ac:dyDescent="0.25">
      <c r="A131" s="1">
        <v>24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"2026-07-06 00:37:19.532"</f>
        <v>2026-07-06 00:37:19.532</v>
      </c>
      <c r="H131" t="s">
        <v>21</v>
      </c>
      <c r="I131">
        <v>0</v>
      </c>
      <c r="J131" t="s">
        <v>33</v>
      </c>
    </row>
    <row r="132" spans="1:10" x14ac:dyDescent="0.25">
      <c r="A132" s="1">
        <v>25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"2026-07-05 23:23:51.525"</f>
        <v>2026-07-05 23:23:51.525</v>
      </c>
      <c r="H132" t="s">
        <v>21</v>
      </c>
      <c r="I132">
        <v>0</v>
      </c>
      <c r="J132" t="s">
        <v>33</v>
      </c>
    </row>
    <row r="133" spans="1:10" x14ac:dyDescent="0.25">
      <c r="A133" s="1">
        <v>27</v>
      </c>
      <c r="B133" t="s">
        <v>19</v>
      </c>
      <c r="C133">
        <v>706</v>
      </c>
      <c r="D133">
        <v>4</v>
      </c>
      <c r="E133" t="s">
        <v>29</v>
      </c>
      <c r="F133" t="s">
        <v>53</v>
      </c>
      <c r="G133" t="str">
        <f>"2026-07-05 01:28:39.649"</f>
        <v>2026-07-05 01:28:39.649</v>
      </c>
      <c r="H133" t="s">
        <v>21</v>
      </c>
      <c r="I133">
        <v>0</v>
      </c>
      <c r="J133" t="s">
        <v>31</v>
      </c>
    </row>
    <row r="134" spans="1:10" x14ac:dyDescent="0.25">
      <c r="A134" s="1">
        <v>28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"2026-07-05 01:27:14.559"</f>
        <v>2026-07-05 01:27:14.559</v>
      </c>
      <c r="H134" t="s">
        <v>21</v>
      </c>
      <c r="I134">
        <v>0</v>
      </c>
      <c r="J134" t="s">
        <v>33</v>
      </c>
    </row>
    <row r="135" spans="1:10" x14ac:dyDescent="0.25">
      <c r="A135" s="1">
        <v>29</v>
      </c>
      <c r="B135" t="s">
        <v>19</v>
      </c>
      <c r="C135">
        <v>706</v>
      </c>
      <c r="D135">
        <v>2</v>
      </c>
      <c r="E135" t="s">
        <v>29</v>
      </c>
      <c r="F135" t="s">
        <v>30</v>
      </c>
      <c r="G135" t="str">
        <f>"2026-07-04 16:58:31.303"</f>
        <v>2026-07-04 16:58:31.303</v>
      </c>
      <c r="H135" t="s">
        <v>21</v>
      </c>
      <c r="I135">
        <v>0</v>
      </c>
      <c r="J135" t="s">
        <v>31</v>
      </c>
    </row>
    <row r="136" spans="1:10" x14ac:dyDescent="0.25">
      <c r="A136" s="1">
        <v>30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"2026-07-04 16:57:25.553"</f>
        <v>2026-07-04 16:57:25.553</v>
      </c>
      <c r="H136" t="s">
        <v>21</v>
      </c>
    </row>
    <row r="137" spans="1:10" x14ac:dyDescent="0.25">
      <c r="A137" s="1">
        <v>31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"2026-07-04 13:15:34.552"</f>
        <v>2026-07-04 13:15:34.552</v>
      </c>
      <c r="H137" t="s">
        <v>21</v>
      </c>
      <c r="I137">
        <v>0</v>
      </c>
      <c r="J137" t="s">
        <v>33</v>
      </c>
    </row>
    <row r="138" spans="1:10" x14ac:dyDescent="0.25">
      <c r="A138" s="1">
        <v>32</v>
      </c>
      <c r="B138" t="s">
        <v>22</v>
      </c>
      <c r="C138">
        <v>635</v>
      </c>
      <c r="D138">
        <v>1</v>
      </c>
      <c r="E138" t="s">
        <v>34</v>
      </c>
      <c r="F138" t="s">
        <v>35</v>
      </c>
      <c r="G138" t="str">
        <f>"2026-07-04 02:43:58.391"</f>
        <v>2026-07-04 02:43:58.391</v>
      </c>
      <c r="H138" t="s">
        <v>21</v>
      </c>
    </row>
    <row r="139" spans="1:10" x14ac:dyDescent="0.25">
      <c r="A139" s="1">
        <v>33</v>
      </c>
      <c r="B139" t="s">
        <v>36</v>
      </c>
      <c r="C139">
        <v>635</v>
      </c>
      <c r="D139">
        <v>1</v>
      </c>
      <c r="E139" t="s">
        <v>34</v>
      </c>
      <c r="F139" t="s">
        <v>35</v>
      </c>
      <c r="G139" t="str">
        <f>"2026-07-04 02:39:47.991"</f>
        <v>2026-07-04 02:39:47.991</v>
      </c>
      <c r="H139" t="s">
        <v>21</v>
      </c>
      <c r="I139">
        <v>-0.12</v>
      </c>
      <c r="J139" t="s">
        <v>37</v>
      </c>
    </row>
    <row r="140" spans="1:10" x14ac:dyDescent="0.25">
      <c r="A140" s="1">
        <v>34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"2026-07-04 02:25:15.522"</f>
        <v>2026-07-04 02:25:15.522</v>
      </c>
      <c r="H140" t="s">
        <v>21</v>
      </c>
      <c r="I140">
        <v>0</v>
      </c>
      <c r="J140" t="s">
        <v>33</v>
      </c>
    </row>
    <row r="141" spans="1:10" x14ac:dyDescent="0.25">
      <c r="A141" s="1">
        <v>35</v>
      </c>
      <c r="B141" t="s">
        <v>19</v>
      </c>
      <c r="C141">
        <v>706</v>
      </c>
      <c r="D141">
        <v>2</v>
      </c>
      <c r="E141" t="s">
        <v>29</v>
      </c>
      <c r="F141" t="s">
        <v>30</v>
      </c>
      <c r="G141" t="str">
        <f>"2026-07-04 00:53:15.714"</f>
        <v>2026-07-04 00:53:15.714</v>
      </c>
      <c r="H141" t="s">
        <v>21</v>
      </c>
      <c r="I141">
        <v>0</v>
      </c>
      <c r="J141" t="s">
        <v>31</v>
      </c>
    </row>
    <row r="142" spans="1:10" x14ac:dyDescent="0.25">
      <c r="A142" s="1">
        <v>36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"2026-07-04 00:49:25.724"</f>
        <v>2026-07-04 00:49:25.724</v>
      </c>
      <c r="H142" t="s">
        <v>21</v>
      </c>
      <c r="I142">
        <v>0</v>
      </c>
      <c r="J142" t="s">
        <v>33</v>
      </c>
    </row>
    <row r="143" spans="1:10" x14ac:dyDescent="0.25">
      <c r="A143" s="1">
        <v>37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"2026-07-03 17:53:37.531"</f>
        <v>2026-07-03 17:53:37.531</v>
      </c>
      <c r="H143" t="s">
        <v>21</v>
      </c>
      <c r="I143">
        <v>0</v>
      </c>
      <c r="J143" t="s">
        <v>33</v>
      </c>
    </row>
    <row r="144" spans="1:10" x14ac:dyDescent="0.25">
      <c r="A144" s="1">
        <v>38</v>
      </c>
      <c r="B144" t="s">
        <v>19</v>
      </c>
      <c r="C144">
        <v>706</v>
      </c>
      <c r="D144">
        <v>4</v>
      </c>
      <c r="E144" t="s">
        <v>29</v>
      </c>
      <c r="F144" t="s">
        <v>53</v>
      </c>
      <c r="G144" t="str">
        <f>"2026-07-03 01:56:28.248"</f>
        <v>2026-07-03 01:56:28.248</v>
      </c>
      <c r="H144" t="s">
        <v>21</v>
      </c>
      <c r="I144">
        <v>0</v>
      </c>
      <c r="J144" t="s">
        <v>31</v>
      </c>
    </row>
    <row r="145" spans="1:10" x14ac:dyDescent="0.25">
      <c r="A145" s="1">
        <v>39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"2026-07-03 01:52:27.568"</f>
        <v>2026-07-03 01:52:27.568</v>
      </c>
      <c r="H145" t="s">
        <v>21</v>
      </c>
      <c r="I145">
        <v>0</v>
      </c>
      <c r="J145" t="s">
        <v>33</v>
      </c>
    </row>
    <row r="146" spans="1:10" x14ac:dyDescent="0.25">
      <c r="A146" s="1">
        <v>40</v>
      </c>
      <c r="B146" t="s">
        <v>19</v>
      </c>
      <c r="C146">
        <v>706</v>
      </c>
      <c r="D146">
        <v>4</v>
      </c>
      <c r="E146" t="s">
        <v>29</v>
      </c>
      <c r="F146" t="s">
        <v>53</v>
      </c>
      <c r="G146" t="str">
        <f>"2026-07-02 03:04:31.462"</f>
        <v>2026-07-02 03:04:31.462</v>
      </c>
      <c r="H146" t="s">
        <v>21</v>
      </c>
      <c r="I146">
        <v>0</v>
      </c>
      <c r="J146" t="s">
        <v>31</v>
      </c>
    </row>
    <row r="147" spans="1:10" x14ac:dyDescent="0.25">
      <c r="A147" s="1">
        <v>41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"2026-07-02 03:04:14.512"</f>
        <v>2026-07-02 03:04:14.512</v>
      </c>
      <c r="H147" t="s">
        <v>21</v>
      </c>
    </row>
    <row r="148" spans="1:10" x14ac:dyDescent="0.25">
      <c r="A148" s="1">
        <v>42</v>
      </c>
      <c r="B148" t="s">
        <v>19</v>
      </c>
      <c r="C148">
        <v>700</v>
      </c>
      <c r="D148">
        <v>0</v>
      </c>
      <c r="E148" t="s">
        <v>20</v>
      </c>
      <c r="F148" t="s">
        <v>20</v>
      </c>
      <c r="G148" t="str">
        <f>"2026-07-02 01:44:03.567"</f>
        <v>2026-07-02 01:44:03.567</v>
      </c>
      <c r="H148" t="s">
        <v>21</v>
      </c>
      <c r="I148">
        <v>0</v>
      </c>
      <c r="J148" t="s">
        <v>33</v>
      </c>
    </row>
    <row r="149" spans="1:10" x14ac:dyDescent="0.25">
      <c r="A149" s="1">
        <v>43</v>
      </c>
      <c r="B149" t="s">
        <v>22</v>
      </c>
      <c r="C149">
        <v>635</v>
      </c>
      <c r="D149">
        <v>1</v>
      </c>
      <c r="E149" t="s">
        <v>34</v>
      </c>
      <c r="F149" t="s">
        <v>35</v>
      </c>
      <c r="G149" t="str">
        <f>"2026-07-01 22:00:24.553"</f>
        <v>2026-07-01 22:00:24.553</v>
      </c>
      <c r="H149" t="s">
        <v>21</v>
      </c>
    </row>
    <row r="150" spans="1:10" x14ac:dyDescent="0.25">
      <c r="A150" s="1">
        <v>44</v>
      </c>
      <c r="B150" t="s">
        <v>36</v>
      </c>
      <c r="C150">
        <v>635</v>
      </c>
      <c r="D150">
        <v>1</v>
      </c>
      <c r="E150" t="s">
        <v>34</v>
      </c>
      <c r="F150" t="s">
        <v>35</v>
      </c>
      <c r="G150" t="str">
        <f>"2026-07-01 21:57:51.053"</f>
        <v>2026-07-01 21:57:51.053</v>
      </c>
      <c r="H150" t="s">
        <v>21</v>
      </c>
      <c r="I150">
        <v>3.55</v>
      </c>
      <c r="J150" t="s">
        <v>28</v>
      </c>
    </row>
    <row r="151" spans="1:10" x14ac:dyDescent="0.25">
      <c r="A151" s="1">
        <v>45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"2026-07-01 13:17:23.565"</f>
        <v>2026-07-01 13:17:23.565</v>
      </c>
      <c r="H151" t="s">
        <v>21</v>
      </c>
      <c r="I151">
        <v>0</v>
      </c>
      <c r="J151" t="s">
        <v>33</v>
      </c>
    </row>
    <row r="152" spans="1:10" x14ac:dyDescent="0.25">
      <c r="A152" s="1">
        <v>46</v>
      </c>
      <c r="B152" t="s">
        <v>19</v>
      </c>
      <c r="C152">
        <v>706</v>
      </c>
      <c r="D152">
        <v>4</v>
      </c>
      <c r="E152" t="s">
        <v>29</v>
      </c>
      <c r="F152" t="s">
        <v>53</v>
      </c>
      <c r="G152" t="str">
        <f>"2026-07-01 01:15:21.355"</f>
        <v>2026-07-01 01:15:21.355</v>
      </c>
      <c r="H152" t="s">
        <v>21</v>
      </c>
      <c r="I152">
        <v>0</v>
      </c>
      <c r="J152" t="s">
        <v>31</v>
      </c>
    </row>
    <row r="153" spans="1:10" x14ac:dyDescent="0.25">
      <c r="A153" s="1">
        <v>47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"2026-07-01 01:08:44.565"</f>
        <v>2026-07-01 01:08:44.565</v>
      </c>
      <c r="H153" t="s">
        <v>21</v>
      </c>
      <c r="I153">
        <v>0</v>
      </c>
      <c r="J153" t="s">
        <v>33</v>
      </c>
    </row>
    <row r="154" spans="1:10" x14ac:dyDescent="0.25">
      <c r="A154" s="1">
        <v>48</v>
      </c>
      <c r="B154" t="s">
        <v>19</v>
      </c>
      <c r="C154">
        <v>706</v>
      </c>
      <c r="D154">
        <v>2</v>
      </c>
      <c r="E154" t="s">
        <v>29</v>
      </c>
      <c r="F154" t="s">
        <v>30</v>
      </c>
      <c r="G154" t="str">
        <f>"2026-06-30 21:30:53.939"</f>
        <v>2026-06-30 21:30:53.939</v>
      </c>
      <c r="H154" t="s">
        <v>21</v>
      </c>
      <c r="I154">
        <v>0</v>
      </c>
      <c r="J154" t="s">
        <v>31</v>
      </c>
    </row>
    <row r="155" spans="1:10" x14ac:dyDescent="0.25">
      <c r="A155" s="1">
        <v>49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"2026-06-30 09:53:55.539"</f>
        <v>2026-06-30 09:53:55.539</v>
      </c>
      <c r="H155" t="s">
        <v>21</v>
      </c>
      <c r="I155">
        <v>0</v>
      </c>
      <c r="J155" t="s">
        <v>33</v>
      </c>
    </row>
    <row r="156" spans="1:10" x14ac:dyDescent="0.25">
      <c r="A156" s="1">
        <v>50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"2026-06-30 09:50:07.588"</f>
        <v>2026-06-30 09:50:07.588</v>
      </c>
      <c r="H156" t="s">
        <v>21</v>
      </c>
    </row>
    <row r="157" spans="1:10" x14ac:dyDescent="0.25">
      <c r="A157" s="1">
        <v>51</v>
      </c>
      <c r="B157" t="s">
        <v>40</v>
      </c>
      <c r="C157">
        <v>77</v>
      </c>
      <c r="D157">
        <v>1</v>
      </c>
      <c r="E157" t="s">
        <v>59</v>
      </c>
      <c r="F157" t="s">
        <v>60</v>
      </c>
      <c r="G157" t="str">
        <f>"2026-06-30 09:42:27.300"</f>
        <v>2026-06-30 09:42:27.300</v>
      </c>
      <c r="H157" t="s">
        <v>46</v>
      </c>
    </row>
    <row r="158" spans="1:10" x14ac:dyDescent="0.25">
      <c r="A158" s="1">
        <v>52</v>
      </c>
      <c r="B158" t="s">
        <v>26</v>
      </c>
      <c r="C158">
        <v>77</v>
      </c>
      <c r="D158">
        <v>1</v>
      </c>
      <c r="E158" t="s">
        <v>59</v>
      </c>
      <c r="F158" t="s">
        <v>60</v>
      </c>
      <c r="G158" t="str">
        <f>"2026-06-30 09:42:22.234"</f>
        <v>2026-06-30 09:42:22.234</v>
      </c>
      <c r="H158" t="s">
        <v>46</v>
      </c>
      <c r="I158">
        <v>0</v>
      </c>
      <c r="J158" t="s">
        <v>31</v>
      </c>
    </row>
    <row r="159" spans="1:10" x14ac:dyDescent="0.25">
      <c r="A159" s="1">
        <v>53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"2026-06-30 09:41:41.535"</f>
        <v>2026-06-30 09:41:41.535</v>
      </c>
      <c r="H159" t="s">
        <v>21</v>
      </c>
      <c r="I159">
        <v>0</v>
      </c>
      <c r="J159" t="s">
        <v>33</v>
      </c>
    </row>
    <row r="160" spans="1:10" x14ac:dyDescent="0.25">
      <c r="A160" s="1">
        <v>54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"2026-06-30 09:23:15.554"</f>
        <v>2026-06-30 09:23:15.554</v>
      </c>
      <c r="H160" t="s">
        <v>21</v>
      </c>
      <c r="I160">
        <v>0</v>
      </c>
      <c r="J160" t="s">
        <v>33</v>
      </c>
    </row>
    <row r="161" spans="1:10" x14ac:dyDescent="0.25">
      <c r="A161" s="1">
        <v>55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"2026-06-30 09:02:12.537"</f>
        <v>2026-06-30 09:02:12.537</v>
      </c>
      <c r="H161" t="s">
        <v>21</v>
      </c>
    </row>
    <row r="162" spans="1:10" x14ac:dyDescent="0.25">
      <c r="A162" s="1">
        <v>56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"2026-06-30 08:55:56.536"</f>
        <v>2026-06-30 08:55:56.536</v>
      </c>
      <c r="H162" t="s">
        <v>21</v>
      </c>
    </row>
    <row r="163" spans="1:10" x14ac:dyDescent="0.25">
      <c r="A163" s="1">
        <v>57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"2026-06-30 08:49:35.548"</f>
        <v>2026-06-30 08:49:35.548</v>
      </c>
      <c r="H163" t="s">
        <v>21</v>
      </c>
      <c r="I163">
        <v>0</v>
      </c>
      <c r="J163" t="s">
        <v>33</v>
      </c>
    </row>
    <row r="164" spans="1:10" x14ac:dyDescent="0.25">
      <c r="A164" s="1">
        <v>58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"2026-06-30 08:42:42.534"</f>
        <v>2026-06-30 08:42:42.534</v>
      </c>
      <c r="H164" t="s">
        <v>21</v>
      </c>
    </row>
    <row r="165" spans="1:10" x14ac:dyDescent="0.25">
      <c r="A165" s="1">
        <v>59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"2026-06-30 08:38:00.535"</f>
        <v>2026-06-30 08:38:00.535</v>
      </c>
      <c r="H165" t="s">
        <v>21</v>
      </c>
    </row>
    <row r="166" spans="1:10" x14ac:dyDescent="0.25">
      <c r="A166" s="1">
        <v>60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"2026-06-30 06:09:26.559"</f>
        <v>2026-06-30 06:09:26.559</v>
      </c>
      <c r="H166" t="s">
        <v>21</v>
      </c>
      <c r="I166">
        <v>0</v>
      </c>
      <c r="J166" t="s">
        <v>33</v>
      </c>
    </row>
    <row r="167" spans="1:10" x14ac:dyDescent="0.25">
      <c r="A167" s="1">
        <v>61</v>
      </c>
      <c r="B167" t="s">
        <v>19</v>
      </c>
      <c r="C167">
        <v>706</v>
      </c>
      <c r="D167">
        <v>2</v>
      </c>
      <c r="E167" t="s">
        <v>29</v>
      </c>
      <c r="F167" t="s">
        <v>30</v>
      </c>
      <c r="G167" t="str">
        <f>"2026-06-30 05:39:56.536"</f>
        <v>2026-06-30 05:39:56.536</v>
      </c>
      <c r="H167" t="s">
        <v>21</v>
      </c>
      <c r="I167">
        <v>0</v>
      </c>
      <c r="J167" t="s">
        <v>31</v>
      </c>
    </row>
    <row r="168" spans="1:10" s="3" customFormat="1" x14ac:dyDescent="0.25">
      <c r="A168" s="2">
        <v>62</v>
      </c>
      <c r="B168" s="3" t="s">
        <v>22</v>
      </c>
      <c r="C168" s="3">
        <v>647</v>
      </c>
      <c r="D168" s="3">
        <v>1</v>
      </c>
      <c r="E168" s="3" t="s">
        <v>54</v>
      </c>
      <c r="F168" s="3" t="s">
        <v>55</v>
      </c>
      <c r="G168" s="3" t="str">
        <f>"2026-06-30 04:47:39.634"</f>
        <v>2026-06-30 04:47:39.634</v>
      </c>
      <c r="H168" s="3" t="s">
        <v>21</v>
      </c>
    </row>
    <row r="169" spans="1:10" s="3" customFormat="1" x14ac:dyDescent="0.25">
      <c r="A169" s="2">
        <v>63</v>
      </c>
      <c r="B169" s="3" t="s">
        <v>36</v>
      </c>
      <c r="C169" s="3">
        <v>647</v>
      </c>
      <c r="D169" s="3">
        <v>1</v>
      </c>
      <c r="E169" s="3" t="s">
        <v>54</v>
      </c>
      <c r="F169" s="3" t="s">
        <v>55</v>
      </c>
      <c r="G169" s="3" t="str">
        <f>"2026-06-30 04:47:36.535"</f>
        <v>2026-06-30 04:47:36.535</v>
      </c>
      <c r="H169" s="3" t="s">
        <v>21</v>
      </c>
      <c r="I169" s="3">
        <v>18.47</v>
      </c>
      <c r="J169" s="3" t="s">
        <v>27</v>
      </c>
    </row>
    <row r="170" spans="1:10" x14ac:dyDescent="0.25">
      <c r="A170" s="1">
        <v>64</v>
      </c>
      <c r="B170" t="s">
        <v>19</v>
      </c>
      <c r="C170">
        <v>706</v>
      </c>
      <c r="D170">
        <v>4</v>
      </c>
      <c r="E170" t="s">
        <v>29</v>
      </c>
      <c r="F170" t="s">
        <v>53</v>
      </c>
      <c r="G170" t="str">
        <f>"2026-06-30 02:12:16.046"</f>
        <v>2026-06-30 02:12:16.046</v>
      </c>
      <c r="H170" t="s">
        <v>21</v>
      </c>
      <c r="I170">
        <v>0</v>
      </c>
      <c r="J170" t="s">
        <v>31</v>
      </c>
    </row>
    <row r="171" spans="1:10" x14ac:dyDescent="0.25">
      <c r="A171" s="1">
        <v>65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"2026-06-30 02:09:13.576"</f>
        <v>2026-06-30 02:09:13.576</v>
      </c>
      <c r="H171" t="s">
        <v>21</v>
      </c>
      <c r="I171">
        <v>0</v>
      </c>
      <c r="J171" t="s">
        <v>33</v>
      </c>
    </row>
    <row r="172" spans="1:10" x14ac:dyDescent="0.25">
      <c r="A172" s="1">
        <v>66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"2026-06-29 13:42:00.760"</f>
        <v>2026-06-29 13:42:00.760</v>
      </c>
      <c r="H172" t="s">
        <v>21</v>
      </c>
    </row>
    <row r="173" spans="1:10" x14ac:dyDescent="0.25">
      <c r="A173" s="1">
        <v>67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"2026-06-29 03:14:21.536"</f>
        <v>2026-06-29 03:14:21.536</v>
      </c>
      <c r="H173" t="s">
        <v>21</v>
      </c>
      <c r="I173">
        <v>0</v>
      </c>
      <c r="J173" t="s">
        <v>33</v>
      </c>
    </row>
    <row r="174" spans="1:10" x14ac:dyDescent="0.25">
      <c r="A174" s="1">
        <v>68</v>
      </c>
      <c r="B174" t="s">
        <v>19</v>
      </c>
      <c r="C174">
        <v>706</v>
      </c>
      <c r="D174">
        <v>2</v>
      </c>
      <c r="E174" t="s">
        <v>29</v>
      </c>
      <c r="F174" t="s">
        <v>30</v>
      </c>
      <c r="G174" t="str">
        <f>"2026-06-29 01:42:53.684"</f>
        <v>2026-06-29 01:42:53.684</v>
      </c>
      <c r="H174" t="s">
        <v>21</v>
      </c>
      <c r="I174">
        <v>0</v>
      </c>
      <c r="J174" t="s">
        <v>31</v>
      </c>
    </row>
    <row r="175" spans="1:10" x14ac:dyDescent="0.25">
      <c r="A175" s="1">
        <v>69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"2026-06-29 01:37:42.724"</f>
        <v>2026-06-29 01:37:42.724</v>
      </c>
      <c r="H175" t="s">
        <v>21</v>
      </c>
      <c r="I175">
        <v>0</v>
      </c>
      <c r="J175" t="s">
        <v>33</v>
      </c>
    </row>
    <row r="176" spans="1:10" x14ac:dyDescent="0.25">
      <c r="A176" s="1">
        <v>70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"2026-06-28 02:11:28.557"</f>
        <v>2026-06-28 02:11:28.557</v>
      </c>
      <c r="H176" t="s">
        <v>21</v>
      </c>
      <c r="I176">
        <v>0</v>
      </c>
      <c r="J176" t="s">
        <v>33</v>
      </c>
    </row>
    <row r="177" spans="1:10" x14ac:dyDescent="0.25">
      <c r="A177" s="1">
        <v>71</v>
      </c>
      <c r="B177" t="s">
        <v>22</v>
      </c>
      <c r="C177">
        <v>635</v>
      </c>
      <c r="D177">
        <v>1</v>
      </c>
      <c r="E177" t="s">
        <v>34</v>
      </c>
      <c r="F177" t="s">
        <v>35</v>
      </c>
      <c r="G177" t="str">
        <f>"2026-06-27 14:53:46.775"</f>
        <v>2026-06-27 14:53:46.775</v>
      </c>
      <c r="H177" t="s">
        <v>21</v>
      </c>
    </row>
    <row r="178" spans="1:10" x14ac:dyDescent="0.25">
      <c r="A178" s="1">
        <v>72</v>
      </c>
      <c r="B178" t="s">
        <v>36</v>
      </c>
      <c r="C178">
        <v>635</v>
      </c>
      <c r="D178">
        <v>1</v>
      </c>
      <c r="E178" t="s">
        <v>34</v>
      </c>
      <c r="F178" t="s">
        <v>35</v>
      </c>
      <c r="G178" t="str">
        <f>"2026-06-27 14:51:42.875"</f>
        <v>2026-06-27 14:51:42.875</v>
      </c>
      <c r="H178" t="s">
        <v>21</v>
      </c>
      <c r="I178">
        <v>5.46</v>
      </c>
      <c r="J178" t="s">
        <v>28</v>
      </c>
    </row>
    <row r="179" spans="1:10" x14ac:dyDescent="0.25">
      <c r="A179" s="1">
        <v>73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"2026-06-27 13:39:45.537"</f>
        <v>2026-06-27 13:39:45.537</v>
      </c>
      <c r="H179" t="s">
        <v>21</v>
      </c>
    </row>
    <row r="180" spans="1:10" x14ac:dyDescent="0.25">
      <c r="A180" s="1">
        <v>74</v>
      </c>
      <c r="B180" t="s">
        <v>22</v>
      </c>
      <c r="C180">
        <v>635</v>
      </c>
      <c r="D180">
        <v>1</v>
      </c>
      <c r="E180" t="s">
        <v>34</v>
      </c>
      <c r="F180" t="s">
        <v>35</v>
      </c>
      <c r="G180" t="str">
        <f>"2026-06-27 08:04:30.773"</f>
        <v>2026-06-27 08:04:30.773</v>
      </c>
      <c r="H180" t="s">
        <v>21</v>
      </c>
    </row>
    <row r="181" spans="1:10" x14ac:dyDescent="0.25">
      <c r="A181" s="1">
        <v>75</v>
      </c>
      <c r="B181" t="s">
        <v>36</v>
      </c>
      <c r="C181">
        <v>635</v>
      </c>
      <c r="D181">
        <v>1</v>
      </c>
      <c r="E181" t="s">
        <v>34</v>
      </c>
      <c r="F181" t="s">
        <v>35</v>
      </c>
      <c r="G181" t="str">
        <f>"2026-06-27 08:00:25.773"</f>
        <v>2026-06-27 08:00:25.773</v>
      </c>
      <c r="H181" t="s">
        <v>21</v>
      </c>
      <c r="I181">
        <v>3.8</v>
      </c>
      <c r="J181" t="s">
        <v>28</v>
      </c>
    </row>
    <row r="182" spans="1:10" s="3" customFormat="1" x14ac:dyDescent="0.25">
      <c r="A182" s="2">
        <v>76</v>
      </c>
      <c r="B182" s="3" t="s">
        <v>22</v>
      </c>
      <c r="C182" s="3">
        <v>647</v>
      </c>
      <c r="D182" s="3">
        <v>1</v>
      </c>
      <c r="E182" s="3" t="s">
        <v>54</v>
      </c>
      <c r="F182" s="3" t="s">
        <v>55</v>
      </c>
      <c r="G182" s="3" t="str">
        <f>"2026-06-27 05:46:14.421"</f>
        <v>2026-06-27 05:46:14.421</v>
      </c>
      <c r="H182" s="3" t="s">
        <v>21</v>
      </c>
    </row>
    <row r="183" spans="1:10" s="3" customFormat="1" x14ac:dyDescent="0.25">
      <c r="A183" s="2">
        <v>77</v>
      </c>
      <c r="B183" s="3" t="s">
        <v>36</v>
      </c>
      <c r="C183" s="3">
        <v>647</v>
      </c>
      <c r="D183" s="3">
        <v>1</v>
      </c>
      <c r="E183" s="3" t="s">
        <v>54</v>
      </c>
      <c r="F183" s="3" t="s">
        <v>55</v>
      </c>
      <c r="G183" s="3" t="str">
        <f>"2026-06-27 05:46:09.322"</f>
        <v>2026-06-27 05:46:09.322</v>
      </c>
      <c r="H183" s="3" t="s">
        <v>21</v>
      </c>
      <c r="I183" s="3">
        <v>16.45</v>
      </c>
      <c r="J183" s="3" t="s">
        <v>27</v>
      </c>
    </row>
    <row r="184" spans="1:10" x14ac:dyDescent="0.25">
      <c r="A184" s="1">
        <v>78</v>
      </c>
      <c r="B184" t="s">
        <v>19</v>
      </c>
      <c r="C184">
        <v>706</v>
      </c>
      <c r="D184">
        <v>2</v>
      </c>
      <c r="E184" t="s">
        <v>29</v>
      </c>
      <c r="F184" t="s">
        <v>30</v>
      </c>
      <c r="G184" t="str">
        <f>"2026-06-27 01:10:45.343"</f>
        <v>2026-06-27 01:10:45.343</v>
      </c>
      <c r="H184" t="s">
        <v>21</v>
      </c>
      <c r="I184">
        <v>0</v>
      </c>
      <c r="J184" t="s">
        <v>31</v>
      </c>
    </row>
    <row r="185" spans="1:10" x14ac:dyDescent="0.25">
      <c r="A185" s="1">
        <v>79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"2026-06-27 01:07:20.543"</f>
        <v>2026-06-27 01:07:20.543</v>
      </c>
      <c r="H185" t="s">
        <v>21</v>
      </c>
      <c r="I185">
        <v>0</v>
      </c>
      <c r="J185" t="s">
        <v>33</v>
      </c>
    </row>
    <row r="186" spans="1:10" x14ac:dyDescent="0.25">
      <c r="A186" s="1">
        <v>80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"2026-06-26 20:24:56.524"</f>
        <v>2026-06-26 20:24:56.524</v>
      </c>
      <c r="H186" t="s">
        <v>21</v>
      </c>
    </row>
    <row r="187" spans="1:10" x14ac:dyDescent="0.25">
      <c r="A187" s="1">
        <v>81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"2026-06-26 18:56:09.539"</f>
        <v>2026-06-26 18:56:09.539</v>
      </c>
      <c r="H187" t="s">
        <v>21</v>
      </c>
      <c r="I187">
        <v>0</v>
      </c>
      <c r="J187" t="s">
        <v>33</v>
      </c>
    </row>
    <row r="188" spans="1:10" x14ac:dyDescent="0.25">
      <c r="A188" s="1">
        <v>82</v>
      </c>
      <c r="B188" t="s">
        <v>19</v>
      </c>
      <c r="C188">
        <v>706</v>
      </c>
      <c r="D188">
        <v>2</v>
      </c>
      <c r="E188" t="s">
        <v>29</v>
      </c>
      <c r="F188" t="s">
        <v>30</v>
      </c>
      <c r="G188" t="str">
        <f>"2026-06-26 18:35:09.514"</f>
        <v>2026-06-26 18:35:09.514</v>
      </c>
      <c r="H188" t="s">
        <v>21</v>
      </c>
      <c r="I188">
        <v>0</v>
      </c>
      <c r="J188" t="s">
        <v>31</v>
      </c>
    </row>
    <row r="189" spans="1:10" x14ac:dyDescent="0.25">
      <c r="A189" s="1">
        <v>83</v>
      </c>
      <c r="B189" t="s">
        <v>19</v>
      </c>
      <c r="C189">
        <v>706</v>
      </c>
      <c r="D189">
        <v>4</v>
      </c>
      <c r="E189" t="s">
        <v>29</v>
      </c>
      <c r="F189" t="s">
        <v>53</v>
      </c>
      <c r="G189" t="str">
        <f>"2026-06-26 18:32:09.414"</f>
        <v>2026-06-26 18:32:09.414</v>
      </c>
      <c r="H189" t="s">
        <v>21</v>
      </c>
      <c r="I189">
        <v>0</v>
      </c>
      <c r="J189" t="s">
        <v>31</v>
      </c>
    </row>
    <row r="190" spans="1:10" x14ac:dyDescent="0.25">
      <c r="A190" s="1">
        <v>84</v>
      </c>
      <c r="B190" t="s">
        <v>19</v>
      </c>
      <c r="C190">
        <v>706</v>
      </c>
      <c r="D190">
        <v>2</v>
      </c>
      <c r="E190" t="s">
        <v>29</v>
      </c>
      <c r="F190" t="s">
        <v>30</v>
      </c>
      <c r="G190" t="str">
        <f>"2026-06-26 18:19:40.714"</f>
        <v>2026-06-26 18:19:40.714</v>
      </c>
      <c r="H190" t="s">
        <v>21</v>
      </c>
      <c r="I190">
        <v>0</v>
      </c>
      <c r="J190" t="s">
        <v>31</v>
      </c>
    </row>
    <row r="191" spans="1:10" x14ac:dyDescent="0.25">
      <c r="A191" s="1">
        <v>85</v>
      </c>
      <c r="B191" t="s">
        <v>19</v>
      </c>
      <c r="C191">
        <v>706</v>
      </c>
      <c r="D191">
        <v>4</v>
      </c>
      <c r="E191" t="s">
        <v>29</v>
      </c>
      <c r="F191" t="s">
        <v>53</v>
      </c>
      <c r="G191" t="str">
        <f>"2026-06-26 18:19:18.854"</f>
        <v>2026-06-26 18:19:18.854</v>
      </c>
      <c r="H191" t="s">
        <v>21</v>
      </c>
      <c r="I191">
        <v>0</v>
      </c>
      <c r="J191" t="s">
        <v>31</v>
      </c>
    </row>
    <row r="192" spans="1:10" x14ac:dyDescent="0.25">
      <c r="A192" s="1">
        <v>86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"2026-06-26 18:03:47.604"</f>
        <v>2026-06-26 18:03:47.604</v>
      </c>
      <c r="H192" t="s">
        <v>21</v>
      </c>
      <c r="I192">
        <v>0</v>
      </c>
      <c r="J192" t="s">
        <v>33</v>
      </c>
    </row>
    <row r="193" spans="1:10" x14ac:dyDescent="0.25">
      <c r="A193" s="1">
        <v>87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"2026-06-26 12:47:39.568"</f>
        <v>2026-06-26 12:47:39.568</v>
      </c>
      <c r="H193" t="s">
        <v>21</v>
      </c>
    </row>
    <row r="194" spans="1:10" x14ac:dyDescent="0.25">
      <c r="A194" s="1">
        <v>88</v>
      </c>
      <c r="B194" t="s">
        <v>40</v>
      </c>
      <c r="C194">
        <v>77</v>
      </c>
      <c r="D194">
        <v>1</v>
      </c>
      <c r="E194" t="s">
        <v>59</v>
      </c>
      <c r="F194" t="s">
        <v>60</v>
      </c>
      <c r="G194" t="str">
        <f>"2026-06-26 01:50:49.840"</f>
        <v>2026-06-26 01:50:49.840</v>
      </c>
      <c r="H194" t="s">
        <v>46</v>
      </c>
    </row>
    <row r="195" spans="1:10" x14ac:dyDescent="0.25">
      <c r="A195" s="1">
        <v>89</v>
      </c>
      <c r="B195" t="s">
        <v>26</v>
      </c>
      <c r="C195">
        <v>77</v>
      </c>
      <c r="D195">
        <v>1</v>
      </c>
      <c r="E195" t="s">
        <v>59</v>
      </c>
      <c r="F195" t="s">
        <v>60</v>
      </c>
      <c r="G195" t="str">
        <f>"2026-06-26 01:50:44.785"</f>
        <v>2026-06-26 01:50:44.785</v>
      </c>
      <c r="H195" t="s">
        <v>46</v>
      </c>
      <c r="I195">
        <v>0</v>
      </c>
      <c r="J195" t="s">
        <v>31</v>
      </c>
    </row>
    <row r="196" spans="1:10" x14ac:dyDescent="0.25">
      <c r="A196" s="1">
        <v>90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"2026-06-26 01:50:03.567"</f>
        <v>2026-06-26 01:50:03.567</v>
      </c>
      <c r="H196" t="s">
        <v>21</v>
      </c>
    </row>
    <row r="197" spans="1:10" x14ac:dyDescent="0.25">
      <c r="A197" s="1">
        <v>91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"2026-06-25 22:06:34.674"</f>
        <v>2026-06-25 22:06:34.674</v>
      </c>
      <c r="H197" t="s">
        <v>21</v>
      </c>
    </row>
    <row r="198" spans="1:10" x14ac:dyDescent="0.25">
      <c r="A198" s="1">
        <v>92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"2026-06-25 22:03:21.523"</f>
        <v>2026-06-25 22:03:21.523</v>
      </c>
      <c r="H198" t="s">
        <v>21</v>
      </c>
    </row>
    <row r="199" spans="1:10" x14ac:dyDescent="0.25">
      <c r="A199" s="1">
        <v>93</v>
      </c>
      <c r="B199" t="s">
        <v>19</v>
      </c>
      <c r="C199">
        <v>706</v>
      </c>
      <c r="D199">
        <v>2</v>
      </c>
      <c r="E199" t="s">
        <v>29</v>
      </c>
      <c r="F199" t="s">
        <v>30</v>
      </c>
      <c r="G199" t="str">
        <f>"2026-06-25 21:56:27.693"</f>
        <v>2026-06-25 21:56:27.693</v>
      </c>
      <c r="H199" t="s">
        <v>21</v>
      </c>
      <c r="I199">
        <v>0</v>
      </c>
      <c r="J199" t="s">
        <v>31</v>
      </c>
    </row>
    <row r="200" spans="1:10" x14ac:dyDescent="0.25">
      <c r="A200" s="1">
        <v>94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"2026-06-25 21:55:59.543"</f>
        <v>2026-06-25 21:55:59.543</v>
      </c>
      <c r="H200" t="s">
        <v>21</v>
      </c>
    </row>
    <row r="201" spans="1:10" x14ac:dyDescent="0.25">
      <c r="A201" s="1">
        <v>95</v>
      </c>
      <c r="B201" t="s">
        <v>19</v>
      </c>
      <c r="C201">
        <v>706</v>
      </c>
      <c r="D201">
        <v>4</v>
      </c>
      <c r="E201" t="s">
        <v>29</v>
      </c>
      <c r="F201" t="s">
        <v>53</v>
      </c>
      <c r="G201" t="str">
        <f>"2026-06-25 12:15:52.064"</f>
        <v>2026-06-25 12:15:52.064</v>
      </c>
      <c r="H201" t="s">
        <v>21</v>
      </c>
      <c r="I201">
        <v>0</v>
      </c>
      <c r="J201" t="s">
        <v>31</v>
      </c>
    </row>
    <row r="202" spans="1:10" x14ac:dyDescent="0.25">
      <c r="A202" s="1">
        <v>96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"2026-06-25 12:15:25.664"</f>
        <v>2026-06-25 12:15:25.664</v>
      </c>
      <c r="H202" t="s">
        <v>21</v>
      </c>
    </row>
    <row r="203" spans="1:10" s="3" customFormat="1" x14ac:dyDescent="0.25">
      <c r="A203" s="2">
        <v>97</v>
      </c>
      <c r="B203" s="3" t="s">
        <v>22</v>
      </c>
      <c r="C203" s="3">
        <v>647</v>
      </c>
      <c r="D203" s="3">
        <v>1</v>
      </c>
      <c r="E203" s="3" t="s">
        <v>54</v>
      </c>
      <c r="F203" s="3" t="s">
        <v>55</v>
      </c>
      <c r="G203" s="3" t="str">
        <f>"2026-06-24 23:52:21.132"</f>
        <v>2026-06-24 23:52:21.132</v>
      </c>
      <c r="H203" s="3" t="s">
        <v>21</v>
      </c>
    </row>
    <row r="204" spans="1:10" s="3" customFormat="1" x14ac:dyDescent="0.25">
      <c r="A204" s="2">
        <v>98</v>
      </c>
      <c r="B204" s="3" t="s">
        <v>36</v>
      </c>
      <c r="C204" s="3">
        <v>647</v>
      </c>
      <c r="D204" s="3">
        <v>1</v>
      </c>
      <c r="E204" s="3" t="s">
        <v>54</v>
      </c>
      <c r="F204" s="3" t="s">
        <v>55</v>
      </c>
      <c r="G204" s="3" t="str">
        <f>"2026-06-24 23:52:18.032"</f>
        <v>2026-06-24 23:52:18.032</v>
      </c>
      <c r="H204" s="3" t="s">
        <v>21</v>
      </c>
      <c r="I204" s="3">
        <v>9.51</v>
      </c>
      <c r="J204" s="3" t="s">
        <v>27</v>
      </c>
    </row>
    <row r="205" spans="1:10" x14ac:dyDescent="0.25">
      <c r="A205" s="1">
        <v>99</v>
      </c>
      <c r="B205" t="s">
        <v>19</v>
      </c>
      <c r="C205">
        <v>706</v>
      </c>
      <c r="D205">
        <v>4</v>
      </c>
      <c r="E205" t="s">
        <v>29</v>
      </c>
      <c r="F205" t="s">
        <v>53</v>
      </c>
      <c r="G205" t="str">
        <f>"2026-06-24 12:34:58.061"</f>
        <v>2026-06-24 12:34:58.061</v>
      </c>
      <c r="H205" t="s">
        <v>21</v>
      </c>
      <c r="I205">
        <v>0</v>
      </c>
      <c r="J205" t="s">
        <v>31</v>
      </c>
    </row>
    <row r="206" spans="1:10" x14ac:dyDescent="0.25">
      <c r="A206" s="1">
        <v>0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"2026-06-24 12:31:39.551"</f>
        <v>2026-06-24 12:31:39.551</v>
      </c>
      <c r="H206" t="s">
        <v>21</v>
      </c>
      <c r="I206">
        <v>0</v>
      </c>
      <c r="J206" t="s">
        <v>33</v>
      </c>
    </row>
    <row r="207" spans="1:10" s="3" customFormat="1" x14ac:dyDescent="0.25">
      <c r="A207" s="2">
        <v>1</v>
      </c>
      <c r="B207" s="3" t="s">
        <v>22</v>
      </c>
      <c r="C207" s="3">
        <v>647</v>
      </c>
      <c r="D207" s="3">
        <v>1</v>
      </c>
      <c r="E207" s="3" t="s">
        <v>54</v>
      </c>
      <c r="F207" s="3" t="s">
        <v>55</v>
      </c>
      <c r="G207" s="3" t="str">
        <f>"2026-06-24 05:43:42.220"</f>
        <v>2026-06-24 05:43:42.220</v>
      </c>
      <c r="H207" s="3" t="s">
        <v>21</v>
      </c>
    </row>
    <row r="208" spans="1:10" s="3" customFormat="1" x14ac:dyDescent="0.25">
      <c r="A208" s="2">
        <v>2</v>
      </c>
      <c r="B208" s="3" t="s">
        <v>36</v>
      </c>
      <c r="C208" s="3">
        <v>647</v>
      </c>
      <c r="D208" s="3">
        <v>1</v>
      </c>
      <c r="E208" s="3" t="s">
        <v>54</v>
      </c>
      <c r="F208" s="3" t="s">
        <v>55</v>
      </c>
      <c r="G208" s="3" t="str">
        <f>"2026-06-24 05:43:41.120"</f>
        <v>2026-06-24 05:43:41.120</v>
      </c>
      <c r="H208" s="3" t="s">
        <v>21</v>
      </c>
      <c r="I208" s="3">
        <v>11.87</v>
      </c>
      <c r="J208" s="3" t="s">
        <v>27</v>
      </c>
    </row>
    <row r="209" spans="1:10" s="3" customFormat="1" x14ac:dyDescent="0.25">
      <c r="A209" s="2">
        <v>3</v>
      </c>
      <c r="B209" s="3" t="s">
        <v>22</v>
      </c>
      <c r="C209" s="3">
        <v>647</v>
      </c>
      <c r="D209" s="3">
        <v>1</v>
      </c>
      <c r="E209" s="3" t="s">
        <v>54</v>
      </c>
      <c r="F209" s="3" t="s">
        <v>55</v>
      </c>
      <c r="G209" s="3" t="str">
        <f>"2026-06-23 19:20:42.720"</f>
        <v>2026-06-23 19:20:42.720</v>
      </c>
      <c r="H209" s="3" t="s">
        <v>21</v>
      </c>
    </row>
    <row r="210" spans="1:10" s="3" customFormat="1" x14ac:dyDescent="0.25">
      <c r="A210" s="2">
        <v>4</v>
      </c>
      <c r="B210" s="3" t="s">
        <v>36</v>
      </c>
      <c r="C210" s="3">
        <v>647</v>
      </c>
      <c r="D210" s="3">
        <v>1</v>
      </c>
      <c r="E210" s="3" t="s">
        <v>54</v>
      </c>
      <c r="F210" s="3" t="s">
        <v>55</v>
      </c>
      <c r="G210" s="3" t="str">
        <f>"2026-06-23 19:20:39.621"</f>
        <v>2026-06-23 19:20:39.621</v>
      </c>
      <c r="H210" s="3" t="s">
        <v>21</v>
      </c>
      <c r="I210" s="3">
        <v>10.56</v>
      </c>
      <c r="J210" s="3" t="s">
        <v>27</v>
      </c>
    </row>
    <row r="211" spans="1:10" x14ac:dyDescent="0.25">
      <c r="A211" s="1">
        <v>5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"2026-06-23 18:04:37.742"</f>
        <v>2026-06-23 18:04:37.742</v>
      </c>
      <c r="H211" t="s">
        <v>21</v>
      </c>
      <c r="I211">
        <v>0</v>
      </c>
      <c r="J211" t="s">
        <v>33</v>
      </c>
    </row>
    <row r="212" spans="1:10" x14ac:dyDescent="0.25">
      <c r="A212" s="1">
        <v>6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"2026-06-23 13:42:43.527"</f>
        <v>2026-06-23 13:42:43.527</v>
      </c>
      <c r="H212" t="s">
        <v>21</v>
      </c>
    </row>
    <row r="213" spans="1:10" x14ac:dyDescent="0.25">
      <c r="A213" s="1">
        <v>7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"2026-06-21 16:01:39.572"</f>
        <v>2026-06-21 16:01:39.572</v>
      </c>
      <c r="H213" t="s">
        <v>21</v>
      </c>
    </row>
    <row r="214" spans="1:10" x14ac:dyDescent="0.25">
      <c r="A214" s="1">
        <v>8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"2026-06-21 13:10:38.569"</f>
        <v>2026-06-21 13:10:38.569</v>
      </c>
      <c r="H214" t="s">
        <v>21</v>
      </c>
      <c r="I214">
        <v>0</v>
      </c>
      <c r="J214" t="s">
        <v>33</v>
      </c>
    </row>
    <row r="215" spans="1:10" x14ac:dyDescent="0.25">
      <c r="A215" s="1">
        <v>9</v>
      </c>
      <c r="B215" t="s">
        <v>40</v>
      </c>
      <c r="C215">
        <v>215</v>
      </c>
      <c r="D215">
        <v>6</v>
      </c>
      <c r="E215" t="s">
        <v>41</v>
      </c>
      <c r="F215" t="s">
        <v>42</v>
      </c>
      <c r="G215" t="str">
        <f>"2026-06-20 21:05:12.897"</f>
        <v>2026-06-20 21:05:12.897</v>
      </c>
      <c r="H215" t="s">
        <v>21</v>
      </c>
    </row>
    <row r="216" spans="1:10" x14ac:dyDescent="0.25">
      <c r="A216" s="1">
        <v>10</v>
      </c>
      <c r="B216" t="s">
        <v>40</v>
      </c>
      <c r="C216">
        <v>115</v>
      </c>
      <c r="D216">
        <v>6</v>
      </c>
      <c r="E216" t="s">
        <v>43</v>
      </c>
      <c r="F216" t="s">
        <v>42</v>
      </c>
      <c r="G216" t="str">
        <f>"2026-06-20 21:05:12.798"</f>
        <v>2026-06-20 21:05:12.798</v>
      </c>
      <c r="H216" t="s">
        <v>21</v>
      </c>
    </row>
    <row r="217" spans="1:10" x14ac:dyDescent="0.25">
      <c r="A217" s="1">
        <v>11</v>
      </c>
      <c r="B217" t="s">
        <v>26</v>
      </c>
      <c r="C217">
        <v>215</v>
      </c>
      <c r="D217">
        <v>6</v>
      </c>
      <c r="E217" t="s">
        <v>41</v>
      </c>
      <c r="F217" t="s">
        <v>42</v>
      </c>
      <c r="G217" t="str">
        <f>"2026-06-20 21:05:07.769"</f>
        <v>2026-06-20 21:05:07.769</v>
      </c>
      <c r="H217" t="s">
        <v>21</v>
      </c>
      <c r="I217">
        <v>0</v>
      </c>
      <c r="J217" t="s">
        <v>31</v>
      </c>
    </row>
    <row r="218" spans="1:10" x14ac:dyDescent="0.25">
      <c r="A218" s="1">
        <v>12</v>
      </c>
      <c r="B218" t="s">
        <v>26</v>
      </c>
      <c r="C218">
        <v>115</v>
      </c>
      <c r="D218">
        <v>6</v>
      </c>
      <c r="E218" t="s">
        <v>43</v>
      </c>
      <c r="F218" t="s">
        <v>42</v>
      </c>
      <c r="G218" t="str">
        <f>"2026-06-20 21:05:07.764"</f>
        <v>2026-06-20 21:05:07.764</v>
      </c>
      <c r="H218" t="s">
        <v>21</v>
      </c>
      <c r="I218">
        <v>0</v>
      </c>
      <c r="J218" t="s">
        <v>31</v>
      </c>
    </row>
    <row r="219" spans="1:10" x14ac:dyDescent="0.25">
      <c r="A219" s="1">
        <v>13</v>
      </c>
      <c r="B219" t="s">
        <v>22</v>
      </c>
      <c r="C219">
        <v>6</v>
      </c>
      <c r="D219">
        <v>1</v>
      </c>
      <c r="E219" t="s">
        <v>44</v>
      </c>
      <c r="F219" t="s">
        <v>45</v>
      </c>
      <c r="G219" t="str">
        <f>"2026-06-20 21:05:07.643"</f>
        <v>2026-06-20 21:05:07.643</v>
      </c>
      <c r="H219" t="s">
        <v>46</v>
      </c>
    </row>
    <row r="220" spans="1:10" x14ac:dyDescent="0.25">
      <c r="A220" s="1">
        <v>14</v>
      </c>
      <c r="B220" t="s">
        <v>22</v>
      </c>
      <c r="C220">
        <v>75</v>
      </c>
      <c r="D220">
        <v>1</v>
      </c>
      <c r="E220" t="s">
        <v>47</v>
      </c>
      <c r="F220" t="s">
        <v>48</v>
      </c>
      <c r="G220" t="str">
        <f>"2026-06-20 21:05:07.639"</f>
        <v>2026-06-20 21:05:07.639</v>
      </c>
      <c r="H220" t="s">
        <v>49</v>
      </c>
    </row>
    <row r="221" spans="1:10" x14ac:dyDescent="0.25">
      <c r="A221" s="1">
        <v>15</v>
      </c>
      <c r="B221" t="s">
        <v>22</v>
      </c>
      <c r="C221">
        <v>74</v>
      </c>
      <c r="D221">
        <v>1</v>
      </c>
      <c r="E221" t="s">
        <v>50</v>
      </c>
      <c r="F221" t="s">
        <v>51</v>
      </c>
      <c r="G221" t="str">
        <f>"2026-06-20 21:05:07.636"</f>
        <v>2026-06-20 21:05:07.636</v>
      </c>
      <c r="H221" t="s">
        <v>52</v>
      </c>
    </row>
    <row r="222" spans="1:10" x14ac:dyDescent="0.25">
      <c r="A222" s="1">
        <v>16</v>
      </c>
      <c r="B222" t="s">
        <v>36</v>
      </c>
      <c r="C222">
        <v>75</v>
      </c>
      <c r="D222">
        <v>1</v>
      </c>
      <c r="E222" t="s">
        <v>47</v>
      </c>
      <c r="F222" t="s">
        <v>48</v>
      </c>
      <c r="G222" t="str">
        <f>"2026-06-20 21:04:56.095"</f>
        <v>2026-06-20 21:04:56.095</v>
      </c>
      <c r="H222" t="s">
        <v>49</v>
      </c>
      <c r="I222">
        <v>0</v>
      </c>
      <c r="J222" t="s">
        <v>31</v>
      </c>
    </row>
    <row r="223" spans="1:10" x14ac:dyDescent="0.25">
      <c r="A223" s="1">
        <v>17</v>
      </c>
      <c r="B223" t="s">
        <v>36</v>
      </c>
      <c r="C223">
        <v>74</v>
      </c>
      <c r="D223">
        <v>1</v>
      </c>
      <c r="E223" t="s">
        <v>50</v>
      </c>
      <c r="F223" t="s">
        <v>51</v>
      </c>
      <c r="G223" t="str">
        <f>"2026-06-20 21:04:56.090"</f>
        <v>2026-06-20 21:04:56.090</v>
      </c>
      <c r="H223" t="s">
        <v>52</v>
      </c>
      <c r="I223">
        <v>0</v>
      </c>
      <c r="J223" t="s">
        <v>31</v>
      </c>
    </row>
    <row r="224" spans="1:10" x14ac:dyDescent="0.25">
      <c r="A224" s="1">
        <v>18</v>
      </c>
      <c r="B224" t="s">
        <v>26</v>
      </c>
      <c r="C224">
        <v>6</v>
      </c>
      <c r="D224">
        <v>1</v>
      </c>
      <c r="E224" t="s">
        <v>44</v>
      </c>
      <c r="F224" t="s">
        <v>45</v>
      </c>
      <c r="G224" t="str">
        <f>"2026-06-20 21:04:56.085"</f>
        <v>2026-06-20 21:04:56.085</v>
      </c>
      <c r="H224" t="s">
        <v>46</v>
      </c>
      <c r="I224">
        <v>0</v>
      </c>
      <c r="J224" t="s">
        <v>31</v>
      </c>
    </row>
    <row r="225" spans="1:10" x14ac:dyDescent="0.25">
      <c r="A225" s="1">
        <v>22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"2026-06-20 13:29:23.527"</f>
        <v>2026-06-20 13:29:23.527</v>
      </c>
      <c r="H225" t="s">
        <v>21</v>
      </c>
    </row>
    <row r="226" spans="1:10" x14ac:dyDescent="0.25">
      <c r="A226" s="1">
        <v>23</v>
      </c>
      <c r="B226" t="s">
        <v>22</v>
      </c>
      <c r="C226">
        <v>635</v>
      </c>
      <c r="D226">
        <v>1</v>
      </c>
      <c r="E226" t="s">
        <v>34</v>
      </c>
      <c r="F226" t="s">
        <v>35</v>
      </c>
      <c r="G226" t="str">
        <f>"2026-06-19 15:50:35.247"</f>
        <v>2026-06-19 15:50:35.247</v>
      </c>
      <c r="H226" t="s">
        <v>21</v>
      </c>
    </row>
    <row r="227" spans="1:10" x14ac:dyDescent="0.25">
      <c r="A227" s="1">
        <v>24</v>
      </c>
      <c r="B227" t="s">
        <v>36</v>
      </c>
      <c r="C227">
        <v>635</v>
      </c>
      <c r="D227">
        <v>1</v>
      </c>
      <c r="E227" t="s">
        <v>34</v>
      </c>
      <c r="F227" t="s">
        <v>35</v>
      </c>
      <c r="G227" t="str">
        <f>"2026-06-19 15:41:57.247"</f>
        <v>2026-06-19 15:41:57.247</v>
      </c>
      <c r="H227" t="s">
        <v>21</v>
      </c>
      <c r="I227">
        <v>2.14</v>
      </c>
      <c r="J227" t="s">
        <v>37</v>
      </c>
    </row>
    <row r="228" spans="1:10" x14ac:dyDescent="0.25">
      <c r="A228" s="1">
        <v>25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"2026-06-18 13:38:24.560"</f>
        <v>2026-06-18 13:38:24.560</v>
      </c>
      <c r="H228" t="s">
        <v>21</v>
      </c>
      <c r="I228">
        <v>0</v>
      </c>
      <c r="J228" t="s">
        <v>33</v>
      </c>
    </row>
    <row r="229" spans="1:10" x14ac:dyDescent="0.25">
      <c r="A229" s="1">
        <v>26</v>
      </c>
      <c r="B229" t="s">
        <v>19</v>
      </c>
      <c r="C229">
        <v>706</v>
      </c>
      <c r="D229">
        <v>4</v>
      </c>
      <c r="E229" t="s">
        <v>29</v>
      </c>
      <c r="F229" t="s">
        <v>53</v>
      </c>
      <c r="G229" t="str">
        <f>"2026-06-17 13:54:41.420"</f>
        <v>2026-06-17 13:54:41.420</v>
      </c>
      <c r="H229" t="s">
        <v>21</v>
      </c>
      <c r="I229">
        <v>0</v>
      </c>
      <c r="J229" t="s">
        <v>31</v>
      </c>
    </row>
    <row r="230" spans="1:10" x14ac:dyDescent="0.25">
      <c r="A230" s="1">
        <v>27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"2026-06-17 13:26:58.560"</f>
        <v>2026-06-17 13:26:58.560</v>
      </c>
      <c r="H230" t="s">
        <v>21</v>
      </c>
    </row>
    <row r="231" spans="1:10" x14ac:dyDescent="0.25">
      <c r="A231" s="1">
        <v>29</v>
      </c>
      <c r="B231" t="s">
        <v>22</v>
      </c>
      <c r="C231">
        <v>635</v>
      </c>
      <c r="D231">
        <v>1</v>
      </c>
      <c r="E231" t="s">
        <v>34</v>
      </c>
      <c r="F231" t="s">
        <v>35</v>
      </c>
      <c r="G231" t="str">
        <f>"2026-06-17 06:37:53.235"</f>
        <v>2026-06-17 06:37:53.235</v>
      </c>
      <c r="H231" t="s">
        <v>21</v>
      </c>
    </row>
    <row r="232" spans="1:10" x14ac:dyDescent="0.25">
      <c r="A232" s="1">
        <v>30</v>
      </c>
      <c r="B232" t="s">
        <v>36</v>
      </c>
      <c r="C232">
        <v>635</v>
      </c>
      <c r="D232">
        <v>1</v>
      </c>
      <c r="E232" t="s">
        <v>34</v>
      </c>
      <c r="F232" t="s">
        <v>35</v>
      </c>
      <c r="G232" t="str">
        <f>"2026-06-17 06:35:15.235"</f>
        <v>2026-06-17 06:35:15.235</v>
      </c>
      <c r="H232" t="s">
        <v>21</v>
      </c>
      <c r="I232">
        <v>3.77</v>
      </c>
      <c r="J232" t="s">
        <v>27</v>
      </c>
    </row>
    <row r="233" spans="1:10" x14ac:dyDescent="0.25">
      <c r="A233" s="1">
        <v>31</v>
      </c>
      <c r="B233" t="s">
        <v>22</v>
      </c>
      <c r="C233">
        <v>635</v>
      </c>
      <c r="D233">
        <v>1</v>
      </c>
      <c r="E233" t="s">
        <v>34</v>
      </c>
      <c r="F233" t="s">
        <v>35</v>
      </c>
      <c r="G233" t="str">
        <f>"2026-06-16 05:55:05.835"</f>
        <v>2026-06-16 05:55:05.835</v>
      </c>
      <c r="H233" t="s">
        <v>21</v>
      </c>
    </row>
    <row r="234" spans="1:10" x14ac:dyDescent="0.25">
      <c r="A234" s="1">
        <v>32</v>
      </c>
      <c r="B234" t="s">
        <v>36</v>
      </c>
      <c r="C234">
        <v>635</v>
      </c>
      <c r="D234">
        <v>1</v>
      </c>
      <c r="E234" t="s">
        <v>34</v>
      </c>
      <c r="F234" t="s">
        <v>35</v>
      </c>
      <c r="G234" t="str">
        <f>"2026-06-16 05:49:20.335"</f>
        <v>2026-06-16 05:49:20.335</v>
      </c>
      <c r="H234" t="s">
        <v>21</v>
      </c>
      <c r="I234">
        <v>5.38</v>
      </c>
      <c r="J234" t="s">
        <v>37</v>
      </c>
    </row>
    <row r="235" spans="1:10" x14ac:dyDescent="0.25">
      <c r="A235" s="1">
        <v>33</v>
      </c>
      <c r="B235" t="s">
        <v>19</v>
      </c>
      <c r="C235">
        <v>706</v>
      </c>
      <c r="D235">
        <v>2</v>
      </c>
      <c r="E235" t="s">
        <v>29</v>
      </c>
      <c r="F235" t="s">
        <v>30</v>
      </c>
      <c r="G235" t="str">
        <f>"2026-06-16 04:37:02.724"</f>
        <v>2026-06-16 04:37:02.724</v>
      </c>
      <c r="H235" t="s">
        <v>21</v>
      </c>
      <c r="I235">
        <v>0</v>
      </c>
      <c r="J235" t="s">
        <v>31</v>
      </c>
    </row>
    <row r="236" spans="1:10" x14ac:dyDescent="0.25">
      <c r="A236" s="1">
        <v>34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"2026-06-16 04:26:37.544"</f>
        <v>2026-06-16 04:26:37.544</v>
      </c>
      <c r="H236" t="s">
        <v>21</v>
      </c>
    </row>
    <row r="237" spans="1:10" x14ac:dyDescent="0.25">
      <c r="A237" s="1">
        <v>35</v>
      </c>
      <c r="B237" t="s">
        <v>19</v>
      </c>
      <c r="C237">
        <v>706</v>
      </c>
      <c r="D237">
        <v>2</v>
      </c>
      <c r="E237" t="s">
        <v>29</v>
      </c>
      <c r="F237" t="s">
        <v>30</v>
      </c>
      <c r="G237" t="str">
        <f>"2026-06-16 04:15:07.924"</f>
        <v>2026-06-16 04:15:07.924</v>
      </c>
      <c r="H237" t="s">
        <v>21</v>
      </c>
      <c r="I237">
        <v>0</v>
      </c>
      <c r="J237" t="s">
        <v>31</v>
      </c>
    </row>
    <row r="238" spans="1:10" x14ac:dyDescent="0.25">
      <c r="A238" s="1">
        <v>36</v>
      </c>
      <c r="B238" t="s">
        <v>19</v>
      </c>
      <c r="C238">
        <v>706</v>
      </c>
      <c r="D238">
        <v>4</v>
      </c>
      <c r="E238" t="s">
        <v>29</v>
      </c>
      <c r="F238" t="s">
        <v>53</v>
      </c>
      <c r="G238" t="str">
        <f>"2026-06-16 04:14:52.464"</f>
        <v>2026-06-16 04:14:52.464</v>
      </c>
      <c r="H238" t="s">
        <v>21</v>
      </c>
      <c r="I238">
        <v>0</v>
      </c>
      <c r="J238" t="s">
        <v>31</v>
      </c>
    </row>
    <row r="239" spans="1:10" x14ac:dyDescent="0.25">
      <c r="A239" s="1">
        <v>37</v>
      </c>
      <c r="B239" t="s">
        <v>19</v>
      </c>
      <c r="C239">
        <v>706</v>
      </c>
      <c r="D239">
        <v>2</v>
      </c>
      <c r="E239" t="s">
        <v>29</v>
      </c>
      <c r="F239" t="s">
        <v>30</v>
      </c>
      <c r="G239" t="str">
        <f>"2026-06-16 04:13:02.314"</f>
        <v>2026-06-16 04:13:02.314</v>
      </c>
      <c r="H239" t="s">
        <v>21</v>
      </c>
      <c r="I239">
        <v>0</v>
      </c>
      <c r="J239" t="s">
        <v>31</v>
      </c>
    </row>
    <row r="240" spans="1:10" x14ac:dyDescent="0.25">
      <c r="A240" s="1">
        <v>38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"2026-06-16 04:12:07.644"</f>
        <v>2026-06-16 04:12:07.644</v>
      </c>
      <c r="H240" t="s">
        <v>21</v>
      </c>
      <c r="I240">
        <v>0</v>
      </c>
      <c r="J240" t="s">
        <v>33</v>
      </c>
    </row>
    <row r="241" spans="1:10" x14ac:dyDescent="0.25">
      <c r="A241" s="1">
        <v>39</v>
      </c>
      <c r="B241" t="s">
        <v>19</v>
      </c>
      <c r="C241">
        <v>706</v>
      </c>
      <c r="D241">
        <v>2</v>
      </c>
      <c r="E241" t="s">
        <v>29</v>
      </c>
      <c r="F241" t="s">
        <v>30</v>
      </c>
      <c r="G241" t="str">
        <f>"2026-06-16 04:07:46.939"</f>
        <v>2026-06-16 04:07:46.939</v>
      </c>
      <c r="H241" t="s">
        <v>21</v>
      </c>
      <c r="I241">
        <v>0</v>
      </c>
      <c r="J241" t="s">
        <v>31</v>
      </c>
    </row>
    <row r="242" spans="1:10" x14ac:dyDescent="0.25">
      <c r="A242" s="1">
        <v>40</v>
      </c>
      <c r="B242" t="s">
        <v>19</v>
      </c>
      <c r="C242">
        <v>706</v>
      </c>
      <c r="D242">
        <v>3</v>
      </c>
      <c r="E242" t="s">
        <v>29</v>
      </c>
      <c r="F242" t="s">
        <v>32</v>
      </c>
      <c r="G242" t="str">
        <f>"2026-06-16 04:07:05.909"</f>
        <v>2026-06-16 04:07:05.909</v>
      </c>
      <c r="H242" t="s">
        <v>21</v>
      </c>
      <c r="I242">
        <v>0</v>
      </c>
      <c r="J242" t="s">
        <v>31</v>
      </c>
    </row>
    <row r="243" spans="1:10" x14ac:dyDescent="0.25">
      <c r="A243" s="1">
        <v>41</v>
      </c>
      <c r="B243" t="s">
        <v>19</v>
      </c>
      <c r="C243">
        <v>706</v>
      </c>
      <c r="D243">
        <v>4</v>
      </c>
      <c r="E243" t="s">
        <v>29</v>
      </c>
      <c r="F243" t="s">
        <v>53</v>
      </c>
      <c r="G243" t="str">
        <f>"2026-06-16 04:06:28.719"</f>
        <v>2026-06-16 04:06:28.719</v>
      </c>
      <c r="H243" t="s">
        <v>21</v>
      </c>
      <c r="I243">
        <v>0</v>
      </c>
      <c r="J243" t="s">
        <v>31</v>
      </c>
    </row>
    <row r="244" spans="1:10" x14ac:dyDescent="0.25">
      <c r="A244" s="1">
        <v>42</v>
      </c>
      <c r="B244" t="s">
        <v>19</v>
      </c>
      <c r="C244">
        <v>706</v>
      </c>
      <c r="D244">
        <v>4</v>
      </c>
      <c r="E244" t="s">
        <v>29</v>
      </c>
      <c r="F244" t="s">
        <v>53</v>
      </c>
      <c r="G244" t="str">
        <f>"2026-06-16 04:06:14.519"</f>
        <v>2026-06-16 04:06:14.519</v>
      </c>
      <c r="H244" t="s">
        <v>21</v>
      </c>
      <c r="I244">
        <v>0</v>
      </c>
      <c r="J244" t="s">
        <v>31</v>
      </c>
    </row>
    <row r="245" spans="1:10" x14ac:dyDescent="0.25">
      <c r="A245" s="1">
        <v>43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"2026-06-16 03:42:56.529"</f>
        <v>2026-06-16 03:42:56.529</v>
      </c>
      <c r="H245" t="s">
        <v>21</v>
      </c>
    </row>
    <row r="246" spans="1:10" x14ac:dyDescent="0.25">
      <c r="A246" s="1">
        <v>44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"2026-06-16 01:40:03.537"</f>
        <v>2026-06-16 01:40:03.537</v>
      </c>
      <c r="H246" t="s">
        <v>21</v>
      </c>
      <c r="I246">
        <v>0</v>
      </c>
      <c r="J246" t="s">
        <v>33</v>
      </c>
    </row>
    <row r="247" spans="1:10" x14ac:dyDescent="0.25">
      <c r="A247" s="1">
        <v>45</v>
      </c>
      <c r="B247" t="s">
        <v>22</v>
      </c>
      <c r="C247">
        <v>635</v>
      </c>
      <c r="D247">
        <v>1</v>
      </c>
      <c r="E247" t="s">
        <v>34</v>
      </c>
      <c r="F247" t="s">
        <v>35</v>
      </c>
      <c r="G247" t="str">
        <f>"2026-06-15 19:34:48.359"</f>
        <v>2026-06-15 19:34:48.359</v>
      </c>
      <c r="H247" t="s">
        <v>21</v>
      </c>
    </row>
    <row r="248" spans="1:10" x14ac:dyDescent="0.25">
      <c r="A248" s="1">
        <v>46</v>
      </c>
      <c r="B248" t="s">
        <v>36</v>
      </c>
      <c r="C248">
        <v>635</v>
      </c>
      <c r="D248">
        <v>1</v>
      </c>
      <c r="E248" t="s">
        <v>34</v>
      </c>
      <c r="F248" t="s">
        <v>35</v>
      </c>
      <c r="G248" t="str">
        <f>"2026-06-15 19:25:45.859"</f>
        <v>2026-06-15 19:25:45.859</v>
      </c>
      <c r="H248" t="s">
        <v>21</v>
      </c>
      <c r="I248">
        <v>1.7</v>
      </c>
      <c r="J248" t="s">
        <v>28</v>
      </c>
    </row>
    <row r="249" spans="1:10" x14ac:dyDescent="0.25">
      <c r="A249" s="1">
        <v>47</v>
      </c>
      <c r="B249" t="s">
        <v>19</v>
      </c>
      <c r="C249">
        <v>706</v>
      </c>
      <c r="D249">
        <v>4</v>
      </c>
      <c r="E249" t="s">
        <v>29</v>
      </c>
      <c r="F249" t="s">
        <v>53</v>
      </c>
      <c r="G249" t="str">
        <f>"2026-06-15 12:43:29.265"</f>
        <v>2026-06-15 12:43:29.265</v>
      </c>
      <c r="H249" t="s">
        <v>21</v>
      </c>
      <c r="I249">
        <v>0</v>
      </c>
      <c r="J249" t="s">
        <v>31</v>
      </c>
    </row>
    <row r="250" spans="1:10" x14ac:dyDescent="0.25">
      <c r="A250" s="1">
        <v>48</v>
      </c>
      <c r="B250" t="s">
        <v>22</v>
      </c>
      <c r="C250">
        <v>630</v>
      </c>
      <c r="D250">
        <v>5</v>
      </c>
      <c r="E250" t="s">
        <v>23</v>
      </c>
      <c r="F250" t="s">
        <v>61</v>
      </c>
      <c r="G250" t="str">
        <f>"2026-06-15 12:24:33.460"</f>
        <v>2026-06-15 12:24:33.460</v>
      </c>
      <c r="H250" t="s">
        <v>25</v>
      </c>
    </row>
    <row r="251" spans="1:10" x14ac:dyDescent="0.25">
      <c r="A251" s="1">
        <v>49</v>
      </c>
      <c r="B251" t="s">
        <v>26</v>
      </c>
      <c r="C251">
        <v>630</v>
      </c>
      <c r="D251">
        <v>5</v>
      </c>
      <c r="E251" t="s">
        <v>23</v>
      </c>
      <c r="F251" t="s">
        <v>61</v>
      </c>
      <c r="G251" t="str">
        <f>"2026-06-15 12:19:14.860"</f>
        <v>2026-06-15 12:19:14.860</v>
      </c>
      <c r="H251" t="s">
        <v>25</v>
      </c>
      <c r="I251">
        <v>0</v>
      </c>
      <c r="J251" t="s">
        <v>31</v>
      </c>
    </row>
    <row r="252" spans="1:10" x14ac:dyDescent="0.25">
      <c r="A252" s="1">
        <v>50</v>
      </c>
      <c r="B252" t="s">
        <v>19</v>
      </c>
      <c r="C252">
        <v>706</v>
      </c>
      <c r="D252">
        <v>4</v>
      </c>
      <c r="E252" t="s">
        <v>29</v>
      </c>
      <c r="F252" t="s">
        <v>53</v>
      </c>
      <c r="G252" t="str">
        <f>"2026-06-15 09:58:37.445"</f>
        <v>2026-06-15 09:58:37.445</v>
      </c>
      <c r="H252" t="s">
        <v>21</v>
      </c>
      <c r="I252">
        <v>0</v>
      </c>
      <c r="J252" t="s">
        <v>31</v>
      </c>
    </row>
    <row r="253" spans="1:10" x14ac:dyDescent="0.25">
      <c r="A253" s="1">
        <v>53</v>
      </c>
      <c r="B253" t="s">
        <v>19</v>
      </c>
      <c r="C253">
        <v>782</v>
      </c>
      <c r="D253">
        <v>7</v>
      </c>
      <c r="E253" t="s">
        <v>62</v>
      </c>
      <c r="F253" t="s">
        <v>63</v>
      </c>
      <c r="G253" t="str">
        <f>"2026-06-15 09:53:23.971"</f>
        <v>2026-06-15 09:53:23.971</v>
      </c>
      <c r="H253" t="s">
        <v>21</v>
      </c>
      <c r="I253">
        <v>0</v>
      </c>
      <c r="J253" t="s">
        <v>31</v>
      </c>
    </row>
    <row r="254" spans="1:10" x14ac:dyDescent="0.25">
      <c r="A254" s="1">
        <v>56</v>
      </c>
      <c r="B254" t="s">
        <v>22</v>
      </c>
      <c r="C254">
        <v>55</v>
      </c>
      <c r="D254">
        <v>1</v>
      </c>
      <c r="E254" t="s">
        <v>64</v>
      </c>
      <c r="F254" t="s">
        <v>65</v>
      </c>
      <c r="G254" t="str">
        <f>"2026-06-15 09:53:23.960"</f>
        <v>2026-06-15 09:53:23.960</v>
      </c>
      <c r="H254" t="s">
        <v>21</v>
      </c>
    </row>
    <row r="255" spans="1:10" x14ac:dyDescent="0.25">
      <c r="A255" s="1">
        <v>57</v>
      </c>
      <c r="B255" t="s">
        <v>19</v>
      </c>
      <c r="C255">
        <v>782</v>
      </c>
      <c r="D255">
        <v>7</v>
      </c>
      <c r="E255" t="s">
        <v>62</v>
      </c>
      <c r="F255" t="s">
        <v>63</v>
      </c>
      <c r="G255" t="str">
        <f>"2026-06-15 09:53:23.959"</f>
        <v>2026-06-15 09:53:23.959</v>
      </c>
      <c r="H255" t="s">
        <v>21</v>
      </c>
      <c r="I255">
        <v>0</v>
      </c>
      <c r="J255" t="s">
        <v>31</v>
      </c>
    </row>
    <row r="256" spans="1:10" x14ac:dyDescent="0.25">
      <c r="A256" s="1">
        <v>58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"2026-06-15 09:53:01.565"</f>
        <v>2026-06-15 09:53:01.565</v>
      </c>
      <c r="H256" t="s">
        <v>21</v>
      </c>
    </row>
    <row r="257" spans="1:10" x14ac:dyDescent="0.25">
      <c r="A257" s="1">
        <v>59</v>
      </c>
      <c r="B257" t="s">
        <v>26</v>
      </c>
      <c r="C257">
        <v>630</v>
      </c>
      <c r="D257">
        <v>5</v>
      </c>
      <c r="E257" t="s">
        <v>23</v>
      </c>
      <c r="F257" t="s">
        <v>61</v>
      </c>
      <c r="G257" t="str">
        <f>"2026-06-15 09:41:36.212"</f>
        <v>2026-06-15 09:41:36.212</v>
      </c>
      <c r="H257" t="s">
        <v>25</v>
      </c>
      <c r="I257">
        <v>0</v>
      </c>
      <c r="J257" t="s">
        <v>31</v>
      </c>
    </row>
    <row r="258" spans="1:10" x14ac:dyDescent="0.25">
      <c r="A258" s="1">
        <v>60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"2026-06-15 00:08:43.534"</f>
        <v>2026-06-15 00:08:43.534</v>
      </c>
      <c r="H258" t="s">
        <v>21</v>
      </c>
      <c r="I258">
        <v>0</v>
      </c>
      <c r="J258" t="s">
        <v>33</v>
      </c>
    </row>
    <row r="259" spans="1:10" x14ac:dyDescent="0.25">
      <c r="A259" s="1">
        <v>61</v>
      </c>
      <c r="B259" t="s">
        <v>19</v>
      </c>
      <c r="C259">
        <v>706</v>
      </c>
      <c r="D259">
        <v>4</v>
      </c>
      <c r="E259" t="s">
        <v>29</v>
      </c>
      <c r="F259" t="s">
        <v>53</v>
      </c>
      <c r="G259" t="str">
        <f>"2026-06-14 13:51:22.398"</f>
        <v>2026-06-14 13:51:22.398</v>
      </c>
      <c r="H259" t="s">
        <v>21</v>
      </c>
      <c r="I259">
        <v>0</v>
      </c>
      <c r="J259" t="s">
        <v>31</v>
      </c>
    </row>
    <row r="260" spans="1:10" x14ac:dyDescent="0.25">
      <c r="A260" s="1">
        <v>62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"2026-06-14 13:19:25.618"</f>
        <v>2026-06-14 13:19:25.618</v>
      </c>
      <c r="H260" t="s">
        <v>21</v>
      </c>
      <c r="I260">
        <v>0</v>
      </c>
      <c r="J260" t="s">
        <v>33</v>
      </c>
    </row>
    <row r="261" spans="1:10" x14ac:dyDescent="0.25">
      <c r="A261" s="1">
        <v>63</v>
      </c>
      <c r="B261" t="s">
        <v>22</v>
      </c>
      <c r="C261">
        <v>635</v>
      </c>
      <c r="D261">
        <v>1</v>
      </c>
      <c r="E261" t="s">
        <v>34</v>
      </c>
      <c r="F261" t="s">
        <v>35</v>
      </c>
      <c r="G261" t="str">
        <f>"2026-06-14 09:49:00.293"</f>
        <v>2026-06-14 09:49:00.293</v>
      </c>
      <c r="H261" t="s">
        <v>21</v>
      </c>
    </row>
    <row r="262" spans="1:10" x14ac:dyDescent="0.25">
      <c r="A262" s="1">
        <v>64</v>
      </c>
      <c r="B262" t="s">
        <v>36</v>
      </c>
      <c r="C262">
        <v>635</v>
      </c>
      <c r="D262">
        <v>1</v>
      </c>
      <c r="E262" t="s">
        <v>34</v>
      </c>
      <c r="F262" t="s">
        <v>35</v>
      </c>
      <c r="G262" t="str">
        <f>"2026-06-14 09:44:40.294"</f>
        <v>2026-06-14 09:44:40.294</v>
      </c>
      <c r="H262" t="s">
        <v>21</v>
      </c>
      <c r="I262">
        <v>1.44</v>
      </c>
      <c r="J262" t="s">
        <v>28</v>
      </c>
    </row>
    <row r="263" spans="1:10" x14ac:dyDescent="0.25">
      <c r="A263" s="1">
        <v>65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"2026-06-12 12:36:42.734"</f>
        <v>2026-06-12 12:36:42.734</v>
      </c>
      <c r="H263" t="s">
        <v>21</v>
      </c>
      <c r="I263">
        <v>0</v>
      </c>
      <c r="J263" t="s">
        <v>33</v>
      </c>
    </row>
    <row r="264" spans="1:10" x14ac:dyDescent="0.25">
      <c r="A264" s="1">
        <v>66</v>
      </c>
      <c r="B264" t="s">
        <v>26</v>
      </c>
      <c r="C264">
        <v>630</v>
      </c>
      <c r="D264">
        <v>5</v>
      </c>
      <c r="E264" t="s">
        <v>23</v>
      </c>
      <c r="F264" t="s">
        <v>61</v>
      </c>
      <c r="G264" t="str">
        <f>"2026-06-12 12:09:05.011"</f>
        <v>2026-06-12 12:09:05.011</v>
      </c>
      <c r="H264" t="s">
        <v>25</v>
      </c>
      <c r="I264">
        <v>0</v>
      </c>
      <c r="J264" t="s">
        <v>31</v>
      </c>
    </row>
    <row r="265" spans="1:10" x14ac:dyDescent="0.25">
      <c r="A265" s="1">
        <v>67</v>
      </c>
      <c r="B265" t="s">
        <v>19</v>
      </c>
      <c r="C265">
        <v>706</v>
      </c>
      <c r="D265">
        <v>4</v>
      </c>
      <c r="E265" t="s">
        <v>29</v>
      </c>
      <c r="F265" t="s">
        <v>53</v>
      </c>
      <c r="G265" t="str">
        <f>"2026-06-12 00:44:59.080"</f>
        <v>2026-06-12 00:44:59.080</v>
      </c>
      <c r="H265" t="s">
        <v>21</v>
      </c>
      <c r="I265">
        <v>0</v>
      </c>
      <c r="J265" t="s">
        <v>31</v>
      </c>
    </row>
    <row r="266" spans="1:10" x14ac:dyDescent="0.25">
      <c r="A266" s="1">
        <v>68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"2026-06-12 00:44:42.530"</f>
        <v>2026-06-12 00:44:42.530</v>
      </c>
      <c r="H266" t="s">
        <v>21</v>
      </c>
      <c r="I266">
        <v>0</v>
      </c>
      <c r="J266" t="s">
        <v>33</v>
      </c>
    </row>
    <row r="267" spans="1:10" x14ac:dyDescent="0.25">
      <c r="A267" s="1">
        <v>69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"2026-06-12 00:18:08.680"</f>
        <v>2026-06-12 00:18:08.680</v>
      </c>
      <c r="H267" t="s">
        <v>21</v>
      </c>
      <c r="I267">
        <v>0</v>
      </c>
      <c r="J267" t="s">
        <v>33</v>
      </c>
    </row>
    <row r="268" spans="1:10" x14ac:dyDescent="0.25">
      <c r="A268" s="1">
        <v>70</v>
      </c>
      <c r="B268" t="s">
        <v>19</v>
      </c>
      <c r="C268">
        <v>706</v>
      </c>
      <c r="D268">
        <v>4</v>
      </c>
      <c r="E268" t="s">
        <v>29</v>
      </c>
      <c r="F268" t="s">
        <v>53</v>
      </c>
      <c r="G268" t="str">
        <f>"2026-06-11 23:18:59.226"</f>
        <v>2026-06-11 23:18:59.226</v>
      </c>
      <c r="H268" t="s">
        <v>21</v>
      </c>
      <c r="I268">
        <v>0</v>
      </c>
      <c r="J268" t="s">
        <v>31</v>
      </c>
    </row>
    <row r="269" spans="1:10" x14ac:dyDescent="0.25">
      <c r="A269" s="1">
        <v>71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"2026-06-11 23:11:31.656"</f>
        <v>2026-06-11 23:11:31.656</v>
      </c>
      <c r="H269" t="s">
        <v>21</v>
      </c>
      <c r="I269">
        <v>0</v>
      </c>
      <c r="J269" t="s">
        <v>33</v>
      </c>
    </row>
    <row r="270" spans="1:10" x14ac:dyDescent="0.25">
      <c r="A270" s="1">
        <v>72</v>
      </c>
      <c r="B270" t="s">
        <v>36</v>
      </c>
      <c r="C270">
        <v>55</v>
      </c>
      <c r="D270">
        <v>1</v>
      </c>
      <c r="E270" t="s">
        <v>64</v>
      </c>
      <c r="F270" t="s">
        <v>65</v>
      </c>
      <c r="G270" t="str">
        <f>"2026-06-11 11:22:33.033"</f>
        <v>2026-06-11 11:22:33.033</v>
      </c>
      <c r="H270" t="s">
        <v>21</v>
      </c>
      <c r="I270">
        <v>5.17</v>
      </c>
      <c r="J270" t="s">
        <v>37</v>
      </c>
    </row>
    <row r="271" spans="1:10" x14ac:dyDescent="0.25">
      <c r="A271" s="1">
        <v>73</v>
      </c>
      <c r="B271" t="s">
        <v>22</v>
      </c>
      <c r="C271">
        <v>630</v>
      </c>
      <c r="D271">
        <v>1</v>
      </c>
      <c r="E271" t="s">
        <v>23</v>
      </c>
      <c r="F271" t="s">
        <v>24</v>
      </c>
      <c r="G271" t="str">
        <f>"2026-06-11 00:50:02.521"</f>
        <v>2026-06-11 00:50:02.521</v>
      </c>
      <c r="H271" t="s">
        <v>25</v>
      </c>
    </row>
    <row r="272" spans="1:10" x14ac:dyDescent="0.25">
      <c r="A272" s="1">
        <v>74</v>
      </c>
      <c r="B272" t="s">
        <v>26</v>
      </c>
      <c r="C272">
        <v>630</v>
      </c>
      <c r="D272">
        <v>1</v>
      </c>
      <c r="E272" t="s">
        <v>23</v>
      </c>
      <c r="F272" t="s">
        <v>24</v>
      </c>
      <c r="G272" t="str">
        <f>"2026-06-11 00:49:28.721"</f>
        <v>2026-06-11 00:49:28.721</v>
      </c>
      <c r="H272" t="s">
        <v>25</v>
      </c>
      <c r="I272">
        <v>0.11</v>
      </c>
      <c r="J272" t="s">
        <v>28</v>
      </c>
    </row>
    <row r="273" spans="1:10" x14ac:dyDescent="0.25">
      <c r="A273" s="1">
        <v>75</v>
      </c>
      <c r="B273" t="s">
        <v>22</v>
      </c>
      <c r="C273">
        <v>630</v>
      </c>
      <c r="D273">
        <v>1</v>
      </c>
      <c r="E273" t="s">
        <v>23</v>
      </c>
      <c r="F273" t="s">
        <v>24</v>
      </c>
      <c r="G273" t="str">
        <f>"2026-06-11 00:46:04.821"</f>
        <v>2026-06-11 00:46:04.821</v>
      </c>
      <c r="H273" t="s">
        <v>25</v>
      </c>
    </row>
    <row r="274" spans="1:10" x14ac:dyDescent="0.25">
      <c r="A274" s="1">
        <v>76</v>
      </c>
      <c r="B274" t="s">
        <v>26</v>
      </c>
      <c r="C274">
        <v>630</v>
      </c>
      <c r="D274">
        <v>1</v>
      </c>
      <c r="E274" t="s">
        <v>23</v>
      </c>
      <c r="F274" t="s">
        <v>24</v>
      </c>
      <c r="G274" t="str">
        <f>"2026-06-11 00:45:29.426"</f>
        <v>2026-06-11 00:45:29.426</v>
      </c>
      <c r="H274" t="s">
        <v>25</v>
      </c>
      <c r="I274">
        <v>0.96</v>
      </c>
      <c r="J274" t="s">
        <v>27</v>
      </c>
    </row>
    <row r="275" spans="1:10" x14ac:dyDescent="0.25">
      <c r="A275" s="1">
        <v>77</v>
      </c>
      <c r="B275" t="s">
        <v>56</v>
      </c>
      <c r="C275">
        <v>630</v>
      </c>
      <c r="D275">
        <v>1</v>
      </c>
      <c r="E275" t="s">
        <v>23</v>
      </c>
      <c r="F275" t="s">
        <v>24</v>
      </c>
      <c r="G275" t="str">
        <f>"2026-06-11 00:45:29.422"</f>
        <v>2026-06-11 00:45:29.422</v>
      </c>
      <c r="H275" t="s">
        <v>25</v>
      </c>
    </row>
    <row r="276" spans="1:10" x14ac:dyDescent="0.25">
      <c r="A276" s="1">
        <v>78</v>
      </c>
      <c r="B276" t="s">
        <v>26</v>
      </c>
      <c r="C276">
        <v>630</v>
      </c>
      <c r="D276">
        <v>1</v>
      </c>
      <c r="E276" t="s">
        <v>23</v>
      </c>
      <c r="F276" t="s">
        <v>24</v>
      </c>
      <c r="G276" t="str">
        <f>"2026-06-11 00:44:18.422"</f>
        <v>2026-06-11 00:44:18.422</v>
      </c>
      <c r="H276" t="s">
        <v>25</v>
      </c>
      <c r="I276">
        <v>1.88</v>
      </c>
      <c r="J276" t="s">
        <v>28</v>
      </c>
    </row>
    <row r="277" spans="1:10" x14ac:dyDescent="0.25">
      <c r="A277" s="1">
        <v>79</v>
      </c>
      <c r="B277" t="s">
        <v>19</v>
      </c>
      <c r="C277">
        <v>706</v>
      </c>
      <c r="D277">
        <v>4</v>
      </c>
      <c r="E277" t="s">
        <v>29</v>
      </c>
      <c r="F277" t="s">
        <v>53</v>
      </c>
      <c r="G277" t="str">
        <f>"2026-06-11 00:41:06.474"</f>
        <v>2026-06-11 00:41:06.474</v>
      </c>
      <c r="H277" t="s">
        <v>21</v>
      </c>
      <c r="I277">
        <v>0</v>
      </c>
      <c r="J277" t="s">
        <v>31</v>
      </c>
    </row>
    <row r="278" spans="1:10" x14ac:dyDescent="0.25">
      <c r="A278" s="1">
        <v>80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"2026-06-11 00:40:41.534"</f>
        <v>2026-06-11 00:40:41.534</v>
      </c>
      <c r="H278" t="s">
        <v>21</v>
      </c>
    </row>
    <row r="279" spans="1:10" x14ac:dyDescent="0.25">
      <c r="A279" s="1">
        <v>81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"2026-06-11 00:20:06.524"</f>
        <v>2026-06-11 00:20:06.524</v>
      </c>
      <c r="H279" t="s">
        <v>21</v>
      </c>
    </row>
    <row r="280" spans="1:10" x14ac:dyDescent="0.25">
      <c r="A280" s="1">
        <v>82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"2026-06-10 23:16:29.536"</f>
        <v>2026-06-10 23:16:29.536</v>
      </c>
      <c r="H280" t="s">
        <v>21</v>
      </c>
    </row>
    <row r="281" spans="1:10" x14ac:dyDescent="0.25">
      <c r="A281" s="1">
        <v>83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"2026-06-10 22:21:18.535"</f>
        <v>2026-06-10 22:21:18.535</v>
      </c>
      <c r="H281" t="s">
        <v>21</v>
      </c>
    </row>
    <row r="282" spans="1:10" x14ac:dyDescent="0.25">
      <c r="A282" s="1">
        <v>84</v>
      </c>
      <c r="B282" t="s">
        <v>22</v>
      </c>
      <c r="C282">
        <v>630</v>
      </c>
      <c r="D282">
        <v>1</v>
      </c>
      <c r="E282" t="s">
        <v>23</v>
      </c>
      <c r="F282" t="s">
        <v>24</v>
      </c>
      <c r="G282" t="str">
        <f>"2026-06-10 20:39:37.421"</f>
        <v>2026-06-10 20:39:37.421</v>
      </c>
      <c r="H282" t="s">
        <v>25</v>
      </c>
    </row>
    <row r="283" spans="1:10" x14ac:dyDescent="0.25">
      <c r="A283" s="1">
        <v>85</v>
      </c>
      <c r="B283" t="s">
        <v>26</v>
      </c>
      <c r="C283">
        <v>630</v>
      </c>
      <c r="D283">
        <v>1</v>
      </c>
      <c r="E283" t="s">
        <v>23</v>
      </c>
      <c r="F283" t="s">
        <v>24</v>
      </c>
      <c r="G283" t="str">
        <f>"2026-06-10 20:33:44.821"</f>
        <v>2026-06-10 20:33:44.821</v>
      </c>
      <c r="H283" t="s">
        <v>25</v>
      </c>
      <c r="I283">
        <v>-0.65</v>
      </c>
      <c r="J283" t="s">
        <v>28</v>
      </c>
    </row>
    <row r="284" spans="1:10" x14ac:dyDescent="0.25">
      <c r="A284" s="1">
        <v>86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"2026-06-10 20:31:10.525"</f>
        <v>2026-06-10 20:31:10.525</v>
      </c>
      <c r="H284" t="s">
        <v>21</v>
      </c>
    </row>
    <row r="285" spans="1:10" x14ac:dyDescent="0.25">
      <c r="A285" s="1">
        <v>87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"2026-06-10 14:59:30.532"</f>
        <v>2026-06-10 14:59:30.532</v>
      </c>
      <c r="H285" t="s">
        <v>21</v>
      </c>
      <c r="I285">
        <v>0</v>
      </c>
      <c r="J285" t="s">
        <v>33</v>
      </c>
    </row>
    <row r="286" spans="1:10" x14ac:dyDescent="0.25">
      <c r="A286" s="1">
        <v>88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"2026-06-10 13:06:49.527"</f>
        <v>2026-06-10 13:06:49.527</v>
      </c>
      <c r="H286" t="s">
        <v>21</v>
      </c>
      <c r="I286">
        <v>0</v>
      </c>
      <c r="J286" t="s">
        <v>33</v>
      </c>
    </row>
    <row r="287" spans="1:10" x14ac:dyDescent="0.25">
      <c r="A287" s="1">
        <v>89</v>
      </c>
      <c r="B287" t="s">
        <v>22</v>
      </c>
      <c r="C287">
        <v>630</v>
      </c>
      <c r="D287">
        <v>1</v>
      </c>
      <c r="E287" t="s">
        <v>23</v>
      </c>
      <c r="F287" t="s">
        <v>24</v>
      </c>
      <c r="G287" t="str">
        <f>"2026-06-10 11:52:20.319"</f>
        <v>2026-06-10 11:52:20.319</v>
      </c>
      <c r="H287" t="s">
        <v>25</v>
      </c>
    </row>
    <row r="288" spans="1:10" x14ac:dyDescent="0.25">
      <c r="A288" s="1">
        <v>90</v>
      </c>
      <c r="B288" t="s">
        <v>26</v>
      </c>
      <c r="C288">
        <v>630</v>
      </c>
      <c r="D288">
        <v>1</v>
      </c>
      <c r="E288" t="s">
        <v>23</v>
      </c>
      <c r="F288" t="s">
        <v>24</v>
      </c>
      <c r="G288" t="str">
        <f>"2026-06-10 11:51:36.420"</f>
        <v>2026-06-10 11:51:36.420</v>
      </c>
      <c r="H288" t="s">
        <v>25</v>
      </c>
      <c r="I288">
        <v>-1.1299999999999999</v>
      </c>
      <c r="J288" t="s">
        <v>28</v>
      </c>
    </row>
    <row r="289" spans="1:10" x14ac:dyDescent="0.25">
      <c r="A289" s="1">
        <v>91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"2026-06-10 11:27:14.531"</f>
        <v>2026-06-10 11:27:14.531</v>
      </c>
      <c r="H289" t="s">
        <v>21</v>
      </c>
    </row>
    <row r="290" spans="1:10" x14ac:dyDescent="0.25">
      <c r="A290" s="1">
        <v>92</v>
      </c>
      <c r="B290" t="s">
        <v>19</v>
      </c>
      <c r="C290">
        <v>706</v>
      </c>
      <c r="D290">
        <v>4</v>
      </c>
      <c r="E290" t="s">
        <v>29</v>
      </c>
      <c r="F290" t="s">
        <v>53</v>
      </c>
      <c r="G290" t="str">
        <f>"2026-06-08 13:37:56.785"</f>
        <v>2026-06-08 13:37:56.785</v>
      </c>
      <c r="H290" t="s">
        <v>21</v>
      </c>
      <c r="I290">
        <v>0</v>
      </c>
      <c r="J290" t="s">
        <v>31</v>
      </c>
    </row>
    <row r="291" spans="1:10" x14ac:dyDescent="0.25">
      <c r="A291" s="1">
        <v>93</v>
      </c>
      <c r="B291" t="s">
        <v>22</v>
      </c>
      <c r="C291">
        <v>61</v>
      </c>
      <c r="D291">
        <v>2</v>
      </c>
      <c r="E291" t="s">
        <v>66</v>
      </c>
      <c r="F291" t="s">
        <v>67</v>
      </c>
      <c r="G291" t="str">
        <f>"2026-06-08 09:17:04.695"</f>
        <v>2026-06-08 09:17:04.695</v>
      </c>
      <c r="H291" t="s">
        <v>21</v>
      </c>
    </row>
    <row r="292" spans="1:10" x14ac:dyDescent="0.25">
      <c r="A292" s="1">
        <v>94</v>
      </c>
      <c r="B292" t="s">
        <v>26</v>
      </c>
      <c r="C292">
        <v>61</v>
      </c>
      <c r="D292">
        <v>2</v>
      </c>
      <c r="E292" t="s">
        <v>66</v>
      </c>
      <c r="F292" t="s">
        <v>67</v>
      </c>
      <c r="G292" t="str">
        <f>"2026-06-08 09:16:43.795"</f>
        <v>2026-06-08 09:16:43.795</v>
      </c>
      <c r="H292" t="s">
        <v>21</v>
      </c>
      <c r="I292">
        <v>35.380000000000003</v>
      </c>
      <c r="J292" t="s">
        <v>27</v>
      </c>
    </row>
    <row r="293" spans="1:10" x14ac:dyDescent="0.25">
      <c r="A293" s="1">
        <v>95</v>
      </c>
      <c r="B293" t="s">
        <v>22</v>
      </c>
      <c r="C293">
        <v>61</v>
      </c>
      <c r="D293">
        <v>2</v>
      </c>
      <c r="E293" t="s">
        <v>66</v>
      </c>
      <c r="F293" t="s">
        <v>67</v>
      </c>
      <c r="G293" t="str">
        <f>"2026-06-08 08:40:12.795"</f>
        <v>2026-06-08 08:40:12.795</v>
      </c>
      <c r="H293" t="s">
        <v>21</v>
      </c>
    </row>
    <row r="294" spans="1:10" x14ac:dyDescent="0.25">
      <c r="A294" s="1">
        <v>96</v>
      </c>
      <c r="B294" t="s">
        <v>26</v>
      </c>
      <c r="C294">
        <v>61</v>
      </c>
      <c r="D294">
        <v>2</v>
      </c>
      <c r="E294" t="s">
        <v>66</v>
      </c>
      <c r="F294" t="s">
        <v>67</v>
      </c>
      <c r="G294" t="str">
        <f>"2026-06-08 08:39:51.095"</f>
        <v>2026-06-08 08:39:51.095</v>
      </c>
      <c r="H294" t="s">
        <v>21</v>
      </c>
      <c r="I294">
        <v>35.57</v>
      </c>
      <c r="J294" t="s">
        <v>27</v>
      </c>
    </row>
    <row r="295" spans="1:10" x14ac:dyDescent="0.25">
      <c r="A295" s="1">
        <v>97</v>
      </c>
      <c r="B295" t="s">
        <v>22</v>
      </c>
      <c r="C295">
        <v>635</v>
      </c>
      <c r="D295">
        <v>1</v>
      </c>
      <c r="E295" t="s">
        <v>34</v>
      </c>
      <c r="F295" t="s">
        <v>35</v>
      </c>
      <c r="G295" t="str">
        <f>"2026-06-08 08:12:33.354"</f>
        <v>2026-06-08 08:12:33.354</v>
      </c>
      <c r="H295" t="s">
        <v>21</v>
      </c>
    </row>
    <row r="296" spans="1:10" x14ac:dyDescent="0.25">
      <c r="A296" s="1">
        <v>98</v>
      </c>
      <c r="B296" t="s">
        <v>36</v>
      </c>
      <c r="C296">
        <v>635</v>
      </c>
      <c r="D296">
        <v>1</v>
      </c>
      <c r="E296" t="s">
        <v>34</v>
      </c>
      <c r="F296" t="s">
        <v>35</v>
      </c>
      <c r="G296" t="str">
        <f>"2026-06-08 08:09:52.854"</f>
        <v>2026-06-08 08:09:52.854</v>
      </c>
      <c r="H296" t="s">
        <v>21</v>
      </c>
      <c r="I296">
        <v>1.94</v>
      </c>
      <c r="J296" t="s">
        <v>37</v>
      </c>
    </row>
    <row r="297" spans="1:10" x14ac:dyDescent="0.25">
      <c r="A297" s="1">
        <v>99</v>
      </c>
      <c r="B297" t="s">
        <v>22</v>
      </c>
      <c r="C297">
        <v>635</v>
      </c>
      <c r="D297">
        <v>1</v>
      </c>
      <c r="E297" t="s">
        <v>34</v>
      </c>
      <c r="F297" t="s">
        <v>35</v>
      </c>
      <c r="G297" t="str">
        <f>"2026-06-07 22:27:58.854"</f>
        <v>2026-06-07 22:27:58.854</v>
      </c>
      <c r="H297" t="s">
        <v>21</v>
      </c>
    </row>
    <row r="298" spans="1:10" x14ac:dyDescent="0.25">
      <c r="A298" s="1">
        <v>0</v>
      </c>
      <c r="B298" t="s">
        <v>36</v>
      </c>
      <c r="C298">
        <v>635</v>
      </c>
      <c r="D298">
        <v>1</v>
      </c>
      <c r="E298" t="s">
        <v>34</v>
      </c>
      <c r="F298" t="s">
        <v>35</v>
      </c>
      <c r="G298" t="str">
        <f>"2026-06-07 22:24:38.854"</f>
        <v>2026-06-07 22:24:38.854</v>
      </c>
      <c r="H298" t="s">
        <v>21</v>
      </c>
      <c r="I298">
        <v>4.82</v>
      </c>
      <c r="J298" t="s">
        <v>37</v>
      </c>
    </row>
    <row r="299" spans="1:10" x14ac:dyDescent="0.25">
      <c r="A299" s="1">
        <v>1</v>
      </c>
      <c r="B299" t="s">
        <v>22</v>
      </c>
      <c r="C299">
        <v>635</v>
      </c>
      <c r="D299">
        <v>1</v>
      </c>
      <c r="E299" t="s">
        <v>34</v>
      </c>
      <c r="F299" t="s">
        <v>35</v>
      </c>
      <c r="G299" t="str">
        <f>"2026-06-07 21:22:24.954"</f>
        <v>2026-06-07 21:22:24.954</v>
      </c>
      <c r="H299" t="s">
        <v>21</v>
      </c>
    </row>
    <row r="300" spans="1:10" x14ac:dyDescent="0.25">
      <c r="A300" s="1">
        <v>2</v>
      </c>
      <c r="B300" t="s">
        <v>36</v>
      </c>
      <c r="C300">
        <v>635</v>
      </c>
      <c r="D300">
        <v>1</v>
      </c>
      <c r="E300" t="s">
        <v>34</v>
      </c>
      <c r="F300" t="s">
        <v>35</v>
      </c>
      <c r="G300" t="str">
        <f>"2026-06-07 21:19:24.954"</f>
        <v>2026-06-07 21:19:24.954</v>
      </c>
      <c r="H300" t="s">
        <v>21</v>
      </c>
      <c r="I300">
        <v>3.97</v>
      </c>
      <c r="J300" t="s">
        <v>37</v>
      </c>
    </row>
    <row r="301" spans="1:10" x14ac:dyDescent="0.25">
      <c r="A301" s="1">
        <v>3</v>
      </c>
      <c r="B301" t="s">
        <v>19</v>
      </c>
      <c r="C301">
        <v>706</v>
      </c>
      <c r="D301">
        <v>4</v>
      </c>
      <c r="E301" t="s">
        <v>29</v>
      </c>
      <c r="F301" t="s">
        <v>53</v>
      </c>
      <c r="G301" t="str">
        <f>"2026-06-07 13:44:43.885"</f>
        <v>2026-06-07 13:44:43.885</v>
      </c>
      <c r="H301" t="s">
        <v>21</v>
      </c>
      <c r="I301">
        <v>0</v>
      </c>
      <c r="J301" t="s">
        <v>31</v>
      </c>
    </row>
    <row r="302" spans="1:10" x14ac:dyDescent="0.25">
      <c r="A302" s="1">
        <v>5</v>
      </c>
      <c r="B302" t="s">
        <v>19</v>
      </c>
      <c r="C302">
        <v>706</v>
      </c>
      <c r="D302">
        <v>4</v>
      </c>
      <c r="E302" t="s">
        <v>29</v>
      </c>
      <c r="F302" t="s">
        <v>53</v>
      </c>
      <c r="G302" t="str">
        <f>"2026-06-06 14:12:02.145"</f>
        <v>2026-06-06 14:12:02.145</v>
      </c>
      <c r="H302" t="s">
        <v>21</v>
      </c>
      <c r="I302">
        <v>0</v>
      </c>
      <c r="J302" t="s">
        <v>31</v>
      </c>
    </row>
    <row r="303" spans="1:10" x14ac:dyDescent="0.25">
      <c r="A303" s="1">
        <v>6</v>
      </c>
      <c r="B303" t="s">
        <v>22</v>
      </c>
      <c r="C303">
        <v>635</v>
      </c>
      <c r="D303">
        <v>1</v>
      </c>
      <c r="E303" t="s">
        <v>34</v>
      </c>
      <c r="F303" t="s">
        <v>35</v>
      </c>
      <c r="G303" t="str">
        <f>"2026-06-05 20:57:57.554"</f>
        <v>2026-06-05 20:57:57.554</v>
      </c>
      <c r="H303" t="s">
        <v>21</v>
      </c>
    </row>
    <row r="304" spans="1:10" x14ac:dyDescent="0.25">
      <c r="A304" s="1">
        <v>7</v>
      </c>
      <c r="B304" t="s">
        <v>36</v>
      </c>
      <c r="C304">
        <v>635</v>
      </c>
      <c r="D304">
        <v>1</v>
      </c>
      <c r="E304" t="s">
        <v>34</v>
      </c>
      <c r="F304" t="s">
        <v>35</v>
      </c>
      <c r="G304" t="str">
        <f>"2026-06-05 20:53:25.054"</f>
        <v>2026-06-05 20:53:25.054</v>
      </c>
      <c r="H304" t="s">
        <v>21</v>
      </c>
      <c r="I304">
        <v>3.9</v>
      </c>
      <c r="J304" t="s">
        <v>28</v>
      </c>
    </row>
    <row r="305" spans="1:10" x14ac:dyDescent="0.25">
      <c r="A305" s="1">
        <v>8</v>
      </c>
      <c r="B305" t="s">
        <v>19</v>
      </c>
      <c r="C305">
        <v>706</v>
      </c>
      <c r="D305">
        <v>4</v>
      </c>
      <c r="E305" t="s">
        <v>29</v>
      </c>
      <c r="F305" t="s">
        <v>53</v>
      </c>
      <c r="G305" t="str">
        <f>"2026-06-05 17:22:29.725"</f>
        <v>2026-06-05 17:22:29.725</v>
      </c>
      <c r="H305" t="s">
        <v>21</v>
      </c>
      <c r="I305">
        <v>0</v>
      </c>
      <c r="J305" t="s">
        <v>31</v>
      </c>
    </row>
    <row r="306" spans="1:10" x14ac:dyDescent="0.25">
      <c r="A306" s="1">
        <v>9</v>
      </c>
      <c r="B306" t="s">
        <v>19</v>
      </c>
      <c r="C306">
        <v>706</v>
      </c>
      <c r="D306">
        <v>4</v>
      </c>
      <c r="E306" t="s">
        <v>29</v>
      </c>
      <c r="F306" t="s">
        <v>53</v>
      </c>
      <c r="G306" t="str">
        <f>"2026-06-05 12:36:42.615"</f>
        <v>2026-06-05 12:36:42.615</v>
      </c>
      <c r="H306" t="s">
        <v>21</v>
      </c>
      <c r="I306">
        <v>0</v>
      </c>
      <c r="J306" t="s">
        <v>31</v>
      </c>
    </row>
    <row r="307" spans="1:10" x14ac:dyDescent="0.25">
      <c r="A307" s="1">
        <v>10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"2026-06-05 12:10:18.545"</f>
        <v>2026-06-05 12:10:18.545</v>
      </c>
      <c r="H307" t="s">
        <v>21</v>
      </c>
      <c r="I307">
        <v>0</v>
      </c>
      <c r="J307" t="s">
        <v>33</v>
      </c>
    </row>
    <row r="308" spans="1:10" x14ac:dyDescent="0.25">
      <c r="A308" s="1">
        <v>11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"2026-06-04 20:02:22.645"</f>
        <v>2026-06-04 20:02:22.645</v>
      </c>
      <c r="H308" t="s">
        <v>21</v>
      </c>
      <c r="I308">
        <v>0</v>
      </c>
      <c r="J308" t="s">
        <v>33</v>
      </c>
    </row>
    <row r="309" spans="1:10" x14ac:dyDescent="0.25">
      <c r="A309" s="1">
        <v>12</v>
      </c>
      <c r="B309" t="s">
        <v>19</v>
      </c>
      <c r="C309">
        <v>700</v>
      </c>
      <c r="D309">
        <v>0</v>
      </c>
      <c r="E309" t="s">
        <v>20</v>
      </c>
      <c r="F309" t="s">
        <v>20</v>
      </c>
      <c r="G309" t="str">
        <f>"2026-06-04 18:55:59.539"</f>
        <v>2026-06-04 18:55:59.539</v>
      </c>
      <c r="H309" t="s">
        <v>21</v>
      </c>
      <c r="I309">
        <v>0</v>
      </c>
      <c r="J309" t="s">
        <v>33</v>
      </c>
    </row>
    <row r="310" spans="1:10" x14ac:dyDescent="0.25">
      <c r="A310" s="1">
        <v>13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"2026-06-04 18:31:18.706"</f>
        <v>2026-06-04 18:31:18.706</v>
      </c>
      <c r="H310" t="s">
        <v>21</v>
      </c>
      <c r="I310">
        <v>0</v>
      </c>
      <c r="J310" t="s">
        <v>33</v>
      </c>
    </row>
    <row r="311" spans="1:10" x14ac:dyDescent="0.25">
      <c r="A311" s="1">
        <v>14</v>
      </c>
      <c r="B311" t="s">
        <v>19</v>
      </c>
      <c r="C311">
        <v>706</v>
      </c>
      <c r="D311">
        <v>2</v>
      </c>
      <c r="E311" t="s">
        <v>29</v>
      </c>
      <c r="F311" t="s">
        <v>30</v>
      </c>
      <c r="G311" t="str">
        <f>"2026-06-04 13:45:11.948"</f>
        <v>2026-06-04 13:45:11.948</v>
      </c>
      <c r="H311" t="s">
        <v>21</v>
      </c>
      <c r="I311">
        <v>0</v>
      </c>
      <c r="J311" t="s">
        <v>31</v>
      </c>
    </row>
    <row r="312" spans="1:10" x14ac:dyDescent="0.25">
      <c r="A312" s="1">
        <v>15</v>
      </c>
      <c r="B312" t="s">
        <v>22</v>
      </c>
      <c r="C312">
        <v>635</v>
      </c>
      <c r="D312">
        <v>1</v>
      </c>
      <c r="E312" t="s">
        <v>34</v>
      </c>
      <c r="F312" t="s">
        <v>35</v>
      </c>
      <c r="G312" t="str">
        <f>"2026-06-04 10:32:11.767"</f>
        <v>2026-06-04 10:32:11.767</v>
      </c>
      <c r="H312" t="s">
        <v>21</v>
      </c>
    </row>
    <row r="313" spans="1:10" x14ac:dyDescent="0.25">
      <c r="A313" s="1">
        <v>16</v>
      </c>
      <c r="B313" t="s">
        <v>36</v>
      </c>
      <c r="C313">
        <v>635</v>
      </c>
      <c r="D313">
        <v>1</v>
      </c>
      <c r="E313" t="s">
        <v>34</v>
      </c>
      <c r="F313" t="s">
        <v>35</v>
      </c>
      <c r="G313" t="str">
        <f>"2026-06-04 10:00:58.367"</f>
        <v>2026-06-04 10:00:58.367</v>
      </c>
      <c r="H313" t="s">
        <v>21</v>
      </c>
      <c r="I313">
        <v>6.39</v>
      </c>
      <c r="J313" t="s">
        <v>37</v>
      </c>
    </row>
    <row r="314" spans="1:10" x14ac:dyDescent="0.25">
      <c r="A314" s="1">
        <v>17</v>
      </c>
      <c r="B314" t="s">
        <v>22</v>
      </c>
      <c r="C314">
        <v>61</v>
      </c>
      <c r="D314">
        <v>2</v>
      </c>
      <c r="E314" t="s">
        <v>66</v>
      </c>
      <c r="F314" t="s">
        <v>67</v>
      </c>
      <c r="G314" t="str">
        <f>"2026-06-04 08:25:36.407"</f>
        <v>2026-06-04 08:25:36.407</v>
      </c>
      <c r="H314" t="s">
        <v>21</v>
      </c>
    </row>
    <row r="315" spans="1:10" x14ac:dyDescent="0.25">
      <c r="A315" s="1">
        <v>18</v>
      </c>
      <c r="B315" t="s">
        <v>26</v>
      </c>
      <c r="C315">
        <v>61</v>
      </c>
      <c r="D315">
        <v>2</v>
      </c>
      <c r="E315" t="s">
        <v>66</v>
      </c>
      <c r="F315" t="s">
        <v>67</v>
      </c>
      <c r="G315" t="str">
        <f>"2026-06-04 08:25:16.008"</f>
        <v>2026-06-04 08:25:16.008</v>
      </c>
      <c r="H315" t="s">
        <v>21</v>
      </c>
      <c r="I315">
        <v>35.44</v>
      </c>
      <c r="J315" t="s">
        <v>27</v>
      </c>
    </row>
    <row r="316" spans="1:10" x14ac:dyDescent="0.25">
      <c r="A316" s="1">
        <v>19</v>
      </c>
      <c r="B316" t="s">
        <v>19</v>
      </c>
      <c r="C316">
        <v>706</v>
      </c>
      <c r="D316">
        <v>2</v>
      </c>
      <c r="E316" t="s">
        <v>29</v>
      </c>
      <c r="F316" t="s">
        <v>30</v>
      </c>
      <c r="G316" t="str">
        <f>"2026-06-03 17:19:38.048"</f>
        <v>2026-06-03 17:19:38.048</v>
      </c>
      <c r="H316" t="s">
        <v>21</v>
      </c>
      <c r="I316">
        <v>0</v>
      </c>
      <c r="J316" t="s">
        <v>31</v>
      </c>
    </row>
    <row r="317" spans="1:10" x14ac:dyDescent="0.25">
      <c r="A317" s="1">
        <v>20</v>
      </c>
      <c r="B317" t="s">
        <v>22</v>
      </c>
      <c r="C317">
        <v>635</v>
      </c>
      <c r="D317">
        <v>1</v>
      </c>
      <c r="E317" t="s">
        <v>34</v>
      </c>
      <c r="F317" t="s">
        <v>35</v>
      </c>
      <c r="G317" t="str">
        <f>"2026-06-02 23:50:54.967"</f>
        <v>2026-06-02 23:50:54.967</v>
      </c>
      <c r="H317" t="s">
        <v>21</v>
      </c>
    </row>
    <row r="318" spans="1:10" x14ac:dyDescent="0.25">
      <c r="A318" s="1">
        <v>21</v>
      </c>
      <c r="B318" t="s">
        <v>36</v>
      </c>
      <c r="C318">
        <v>635</v>
      </c>
      <c r="D318">
        <v>1</v>
      </c>
      <c r="E318" t="s">
        <v>34</v>
      </c>
      <c r="F318" t="s">
        <v>35</v>
      </c>
      <c r="G318" t="str">
        <f>"2026-06-02 23:48:17.967"</f>
        <v>2026-06-02 23:48:17.967</v>
      </c>
      <c r="H318" t="s">
        <v>21</v>
      </c>
      <c r="I318">
        <v>3.85</v>
      </c>
      <c r="J318" t="s">
        <v>37</v>
      </c>
    </row>
    <row r="319" spans="1:10" x14ac:dyDescent="0.25">
      <c r="A319" s="1">
        <v>22</v>
      </c>
      <c r="B319" t="s">
        <v>19</v>
      </c>
      <c r="C319">
        <v>706</v>
      </c>
      <c r="D319">
        <v>4</v>
      </c>
      <c r="E319" t="s">
        <v>29</v>
      </c>
      <c r="F319" t="s">
        <v>53</v>
      </c>
      <c r="G319" t="str">
        <f>"2026-06-02 12:47:52.178"</f>
        <v>2026-06-02 12:47:52.178</v>
      </c>
      <c r="H319" t="s">
        <v>21</v>
      </c>
      <c r="I319">
        <v>0</v>
      </c>
      <c r="J319" t="s">
        <v>31</v>
      </c>
    </row>
    <row r="320" spans="1:10" x14ac:dyDescent="0.25">
      <c r="A320" s="1">
        <v>23</v>
      </c>
      <c r="B320" t="s">
        <v>22</v>
      </c>
      <c r="C320">
        <v>635</v>
      </c>
      <c r="D320">
        <v>1</v>
      </c>
      <c r="E320" t="s">
        <v>34</v>
      </c>
      <c r="F320" t="s">
        <v>35</v>
      </c>
      <c r="G320" t="str">
        <f>"2026-06-02 04:58:11.367"</f>
        <v>2026-06-02 04:58:11.367</v>
      </c>
      <c r="H320" t="s">
        <v>21</v>
      </c>
    </row>
    <row r="321" spans="1:10" x14ac:dyDescent="0.25">
      <c r="A321" s="1">
        <v>24</v>
      </c>
      <c r="B321" t="s">
        <v>36</v>
      </c>
      <c r="C321">
        <v>635</v>
      </c>
      <c r="D321">
        <v>1</v>
      </c>
      <c r="E321" t="s">
        <v>34</v>
      </c>
      <c r="F321" t="s">
        <v>35</v>
      </c>
      <c r="G321" t="str">
        <f>"2026-06-02 04:49:42.367"</f>
        <v>2026-06-02 04:49:42.367</v>
      </c>
      <c r="H321" t="s">
        <v>21</v>
      </c>
      <c r="I321">
        <v>-0.2</v>
      </c>
      <c r="J321" t="s">
        <v>37</v>
      </c>
    </row>
    <row r="322" spans="1:10" x14ac:dyDescent="0.25">
      <c r="A322" s="1">
        <v>25</v>
      </c>
      <c r="B322" t="s">
        <v>22</v>
      </c>
      <c r="C322">
        <v>635</v>
      </c>
      <c r="D322">
        <v>1</v>
      </c>
      <c r="E322" t="s">
        <v>34</v>
      </c>
      <c r="F322" t="s">
        <v>35</v>
      </c>
      <c r="G322" t="str">
        <f>"2026-06-01 11:05:26.767"</f>
        <v>2026-06-01 11:05:26.767</v>
      </c>
      <c r="H322" t="s">
        <v>21</v>
      </c>
    </row>
    <row r="323" spans="1:10" x14ac:dyDescent="0.25">
      <c r="A323" s="1">
        <v>26</v>
      </c>
      <c r="B323" t="s">
        <v>36</v>
      </c>
      <c r="C323">
        <v>635</v>
      </c>
      <c r="D323">
        <v>1</v>
      </c>
      <c r="E323" t="s">
        <v>34</v>
      </c>
      <c r="F323" t="s">
        <v>35</v>
      </c>
      <c r="G323" t="str">
        <f>"2026-06-01 11:01:21.767"</f>
        <v>2026-06-01 11:01:21.767</v>
      </c>
      <c r="H323" t="s">
        <v>21</v>
      </c>
      <c r="I323">
        <v>3.15</v>
      </c>
      <c r="J323" t="s">
        <v>28</v>
      </c>
    </row>
    <row r="324" spans="1:10" x14ac:dyDescent="0.25">
      <c r="A324" s="1">
        <v>27</v>
      </c>
      <c r="B324" t="s">
        <v>19</v>
      </c>
      <c r="C324">
        <v>706</v>
      </c>
      <c r="D324">
        <v>4</v>
      </c>
      <c r="E324" t="s">
        <v>29</v>
      </c>
      <c r="F324" t="s">
        <v>53</v>
      </c>
      <c r="G324" t="str">
        <f>"2026-05-31 13:42:08.678"</f>
        <v>2026-05-31 13:42:08.678</v>
      </c>
      <c r="H324" t="s">
        <v>21</v>
      </c>
      <c r="I324">
        <v>0</v>
      </c>
      <c r="J324" t="s">
        <v>31</v>
      </c>
    </row>
    <row r="325" spans="1:10" x14ac:dyDescent="0.25">
      <c r="A325" s="1">
        <v>28</v>
      </c>
      <c r="B325" t="s">
        <v>22</v>
      </c>
      <c r="C325">
        <v>635</v>
      </c>
      <c r="D325">
        <v>1</v>
      </c>
      <c r="E325" t="s">
        <v>34</v>
      </c>
      <c r="F325" t="s">
        <v>35</v>
      </c>
      <c r="G325" t="str">
        <f>"2026-05-31 04:24:22.467"</f>
        <v>2026-05-31 04:24:22.467</v>
      </c>
      <c r="H325" t="s">
        <v>21</v>
      </c>
    </row>
    <row r="326" spans="1:10" x14ac:dyDescent="0.25">
      <c r="A326" s="1">
        <v>29</v>
      </c>
      <c r="B326" t="s">
        <v>36</v>
      </c>
      <c r="C326">
        <v>635</v>
      </c>
      <c r="D326">
        <v>1</v>
      </c>
      <c r="E326" t="s">
        <v>34</v>
      </c>
      <c r="F326" t="s">
        <v>35</v>
      </c>
      <c r="G326" t="str">
        <f>"2026-05-31 04:20:24.467"</f>
        <v>2026-05-31 04:20:24.467</v>
      </c>
      <c r="H326" t="s">
        <v>21</v>
      </c>
      <c r="I326">
        <v>3.88</v>
      </c>
      <c r="J326" t="s">
        <v>37</v>
      </c>
    </row>
    <row r="327" spans="1:10" x14ac:dyDescent="0.25">
      <c r="A327" s="1">
        <v>30</v>
      </c>
      <c r="B327" t="s">
        <v>19</v>
      </c>
      <c r="C327">
        <v>706</v>
      </c>
      <c r="D327">
        <v>4</v>
      </c>
      <c r="E327" t="s">
        <v>29</v>
      </c>
      <c r="F327" t="s">
        <v>53</v>
      </c>
      <c r="G327" t="str">
        <f>"2026-05-30 18:54:17.528"</f>
        <v>2026-05-30 18:54:17.528</v>
      </c>
      <c r="H327" t="s">
        <v>21</v>
      </c>
      <c r="I327">
        <v>0</v>
      </c>
      <c r="J327" t="s">
        <v>31</v>
      </c>
    </row>
    <row r="328" spans="1:10" x14ac:dyDescent="0.25">
      <c r="A328" s="1">
        <v>31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"2026-05-30 18:33:05.738"</f>
        <v>2026-05-30 18:33:05.738</v>
      </c>
      <c r="H328" t="s">
        <v>21</v>
      </c>
      <c r="I328">
        <v>0</v>
      </c>
      <c r="J328" t="s">
        <v>33</v>
      </c>
    </row>
    <row r="329" spans="1:10" x14ac:dyDescent="0.25">
      <c r="A329" s="1">
        <v>33</v>
      </c>
      <c r="B329" t="s">
        <v>22</v>
      </c>
      <c r="C329">
        <v>635</v>
      </c>
      <c r="D329">
        <v>1</v>
      </c>
      <c r="E329" t="s">
        <v>34</v>
      </c>
      <c r="F329" t="s">
        <v>35</v>
      </c>
      <c r="G329" t="str">
        <f>"2026-05-29 20:39:05.612"</f>
        <v>2026-05-29 20:39:05.612</v>
      </c>
      <c r="H329" t="s">
        <v>21</v>
      </c>
    </row>
    <row r="330" spans="1:10" x14ac:dyDescent="0.25">
      <c r="A330" s="1">
        <v>34</v>
      </c>
      <c r="B330" t="s">
        <v>36</v>
      </c>
      <c r="C330">
        <v>635</v>
      </c>
      <c r="D330">
        <v>1</v>
      </c>
      <c r="E330" t="s">
        <v>34</v>
      </c>
      <c r="F330" t="s">
        <v>35</v>
      </c>
      <c r="G330" t="str">
        <f>"2026-05-29 20:32:30.113"</f>
        <v>2026-05-29 20:32:30.113</v>
      </c>
      <c r="H330" t="s">
        <v>21</v>
      </c>
      <c r="I330">
        <v>1.56</v>
      </c>
      <c r="J330" t="s">
        <v>27</v>
      </c>
    </row>
    <row r="331" spans="1:10" x14ac:dyDescent="0.25">
      <c r="A331" s="1">
        <v>35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"2026-05-29 16:51:10.671"</f>
        <v>2026-05-29 16:51:10.671</v>
      </c>
      <c r="H331" t="s">
        <v>21</v>
      </c>
    </row>
    <row r="332" spans="1:10" x14ac:dyDescent="0.25">
      <c r="A332" s="1">
        <v>36</v>
      </c>
      <c r="B332" t="s">
        <v>22</v>
      </c>
      <c r="C332">
        <v>635</v>
      </c>
      <c r="D332">
        <v>1</v>
      </c>
      <c r="E332" t="s">
        <v>34</v>
      </c>
      <c r="F332" t="s">
        <v>35</v>
      </c>
      <c r="G332" t="str">
        <f>"2026-05-29 15:34:56.108"</f>
        <v>2026-05-29 15:34:56.108</v>
      </c>
      <c r="H332" t="s">
        <v>21</v>
      </c>
    </row>
    <row r="333" spans="1:10" x14ac:dyDescent="0.25">
      <c r="A333" s="1">
        <v>37</v>
      </c>
      <c r="B333" t="s">
        <v>36</v>
      </c>
      <c r="C333">
        <v>635</v>
      </c>
      <c r="D333">
        <v>1</v>
      </c>
      <c r="E333" t="s">
        <v>34</v>
      </c>
      <c r="F333" t="s">
        <v>35</v>
      </c>
      <c r="G333" t="str">
        <f>"2026-05-29 15:09:49.108"</f>
        <v>2026-05-29 15:09:49.108</v>
      </c>
      <c r="H333" t="s">
        <v>21</v>
      </c>
      <c r="I333">
        <v>7.39</v>
      </c>
      <c r="J333" t="s">
        <v>37</v>
      </c>
    </row>
    <row r="334" spans="1:10" x14ac:dyDescent="0.25">
      <c r="A334" s="1">
        <v>38</v>
      </c>
      <c r="B334" t="s">
        <v>22</v>
      </c>
      <c r="C334">
        <v>635</v>
      </c>
      <c r="D334">
        <v>1</v>
      </c>
      <c r="E334" t="s">
        <v>34</v>
      </c>
      <c r="F334" t="s">
        <v>35</v>
      </c>
      <c r="G334" t="str">
        <f>"2026-05-28 15:21:45.608"</f>
        <v>2026-05-28 15:21:45.608</v>
      </c>
      <c r="H334" t="s">
        <v>21</v>
      </c>
    </row>
    <row r="335" spans="1:10" x14ac:dyDescent="0.25">
      <c r="A335" s="1">
        <v>39</v>
      </c>
      <c r="B335" t="s">
        <v>36</v>
      </c>
      <c r="C335">
        <v>635</v>
      </c>
      <c r="D335">
        <v>1</v>
      </c>
      <c r="E335" t="s">
        <v>34</v>
      </c>
      <c r="F335" t="s">
        <v>35</v>
      </c>
      <c r="G335" t="str">
        <f>"2026-05-28 15:02:37.608"</f>
        <v>2026-05-28 15:02:37.608</v>
      </c>
      <c r="H335" t="s">
        <v>21</v>
      </c>
      <c r="I335">
        <v>4.1900000000000004</v>
      </c>
      <c r="J335" t="s">
        <v>37</v>
      </c>
    </row>
    <row r="336" spans="1:10" x14ac:dyDescent="0.25">
      <c r="A336" s="1">
        <v>41</v>
      </c>
      <c r="B336" t="s">
        <v>19</v>
      </c>
      <c r="C336">
        <v>706</v>
      </c>
      <c r="D336">
        <v>4</v>
      </c>
      <c r="E336" t="s">
        <v>29</v>
      </c>
      <c r="F336" t="s">
        <v>53</v>
      </c>
      <c r="G336" t="str">
        <f>"2026-05-28 13:30:49.420"</f>
        <v>2026-05-28 13:30:49.420</v>
      </c>
      <c r="H336" t="s">
        <v>21</v>
      </c>
      <c r="I336">
        <v>0</v>
      </c>
      <c r="J336" t="s">
        <v>31</v>
      </c>
    </row>
    <row r="337" spans="1:10" x14ac:dyDescent="0.25">
      <c r="A337" s="1">
        <v>42</v>
      </c>
      <c r="B337" t="s">
        <v>22</v>
      </c>
      <c r="C337">
        <v>635</v>
      </c>
      <c r="D337">
        <v>1</v>
      </c>
      <c r="E337" t="s">
        <v>34</v>
      </c>
      <c r="F337" t="s">
        <v>35</v>
      </c>
      <c r="G337" t="str">
        <f>"2026-05-27 23:04:50.808"</f>
        <v>2026-05-27 23:04:50.808</v>
      </c>
      <c r="H337" t="s">
        <v>21</v>
      </c>
    </row>
    <row r="338" spans="1:10" x14ac:dyDescent="0.25">
      <c r="A338" s="1">
        <v>43</v>
      </c>
      <c r="B338" t="s">
        <v>36</v>
      </c>
      <c r="C338">
        <v>635</v>
      </c>
      <c r="D338">
        <v>1</v>
      </c>
      <c r="E338" t="s">
        <v>34</v>
      </c>
      <c r="F338" t="s">
        <v>35</v>
      </c>
      <c r="G338" t="str">
        <f>"2026-05-27 23:00:07.808"</f>
        <v>2026-05-27 23:00:07.808</v>
      </c>
      <c r="H338" t="s">
        <v>21</v>
      </c>
      <c r="I338">
        <v>1.68</v>
      </c>
      <c r="J338" t="s">
        <v>27</v>
      </c>
    </row>
    <row r="339" spans="1:10" x14ac:dyDescent="0.25">
      <c r="A339" s="1">
        <v>44</v>
      </c>
      <c r="B339" t="s">
        <v>19</v>
      </c>
      <c r="C339">
        <v>706</v>
      </c>
      <c r="D339">
        <v>4</v>
      </c>
      <c r="E339" t="s">
        <v>29</v>
      </c>
      <c r="F339" t="s">
        <v>53</v>
      </c>
      <c r="G339" t="str">
        <f>"2026-05-26 13:53:25.550"</f>
        <v>2026-05-26 13:53:25.550</v>
      </c>
      <c r="H339" t="s">
        <v>21</v>
      </c>
      <c r="I339">
        <v>0</v>
      </c>
      <c r="J339" t="s">
        <v>31</v>
      </c>
    </row>
    <row r="340" spans="1:10" x14ac:dyDescent="0.25">
      <c r="A340" s="1">
        <v>45</v>
      </c>
      <c r="B340" t="s">
        <v>22</v>
      </c>
      <c r="C340">
        <v>635</v>
      </c>
      <c r="D340">
        <v>1</v>
      </c>
      <c r="E340" t="s">
        <v>34</v>
      </c>
      <c r="F340" t="s">
        <v>35</v>
      </c>
      <c r="G340" t="str">
        <f>"2026-05-26 11:09:29.508"</f>
        <v>2026-05-26 11:09:29.508</v>
      </c>
      <c r="H340" t="s">
        <v>21</v>
      </c>
    </row>
    <row r="341" spans="1:10" x14ac:dyDescent="0.25">
      <c r="A341" s="1">
        <v>46</v>
      </c>
      <c r="B341" t="s">
        <v>36</v>
      </c>
      <c r="C341">
        <v>635</v>
      </c>
      <c r="D341">
        <v>1</v>
      </c>
      <c r="E341" t="s">
        <v>34</v>
      </c>
      <c r="F341" t="s">
        <v>35</v>
      </c>
      <c r="G341" t="str">
        <f>"2026-05-26 11:06:57.008"</f>
        <v>2026-05-26 11:06:57.008</v>
      </c>
      <c r="H341" t="s">
        <v>21</v>
      </c>
      <c r="I341">
        <v>2.92</v>
      </c>
      <c r="J341" t="s">
        <v>28</v>
      </c>
    </row>
    <row r="342" spans="1:10" x14ac:dyDescent="0.25">
      <c r="A342" s="1">
        <v>47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"2026-05-26 07:06:36.570"</f>
        <v>2026-05-26 07:06:36.570</v>
      </c>
      <c r="H342" t="s">
        <v>21</v>
      </c>
      <c r="I342">
        <v>0</v>
      </c>
      <c r="J342" t="s">
        <v>33</v>
      </c>
    </row>
    <row r="343" spans="1:10" x14ac:dyDescent="0.25">
      <c r="A343" s="1">
        <v>48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"2026-05-25 15:19:01.532"</f>
        <v>2026-05-25 15:19:01.532</v>
      </c>
      <c r="H343" t="s">
        <v>21</v>
      </c>
    </row>
    <row r="344" spans="1:10" x14ac:dyDescent="0.25">
      <c r="A344" s="1">
        <v>49</v>
      </c>
      <c r="B344" t="s">
        <v>19</v>
      </c>
      <c r="C344">
        <v>700</v>
      </c>
      <c r="D344">
        <v>0</v>
      </c>
      <c r="E344" t="s">
        <v>20</v>
      </c>
      <c r="F344" t="s">
        <v>20</v>
      </c>
      <c r="G344" t="str">
        <f>"2026-05-25 15:08:31.579"</f>
        <v>2026-05-25 15:08:31.579</v>
      </c>
      <c r="H344" t="s">
        <v>21</v>
      </c>
    </row>
    <row r="345" spans="1:10" x14ac:dyDescent="0.25">
      <c r="A345" s="1">
        <v>50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"2026-05-25 10:37:06.527"</f>
        <v>2026-05-25 10:37:06.527</v>
      </c>
      <c r="H345" t="s">
        <v>21</v>
      </c>
    </row>
    <row r="346" spans="1:10" x14ac:dyDescent="0.25">
      <c r="A346" s="1">
        <v>51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"2026-05-25 10:20:54.537"</f>
        <v>2026-05-25 10:20:54.537</v>
      </c>
      <c r="H346" t="s">
        <v>21</v>
      </c>
      <c r="I346">
        <v>0</v>
      </c>
      <c r="J346" t="s">
        <v>33</v>
      </c>
    </row>
    <row r="347" spans="1:10" x14ac:dyDescent="0.25">
      <c r="A347" s="1">
        <v>52</v>
      </c>
      <c r="B347" t="s">
        <v>19</v>
      </c>
      <c r="C347">
        <v>706</v>
      </c>
      <c r="D347">
        <v>4</v>
      </c>
      <c r="E347" t="s">
        <v>29</v>
      </c>
      <c r="F347" t="s">
        <v>53</v>
      </c>
      <c r="G347" t="str">
        <f>"2026-05-25 10:05:08.831"</f>
        <v>2026-05-25 10:05:08.831</v>
      </c>
      <c r="H347" t="s">
        <v>21</v>
      </c>
      <c r="I347">
        <v>0</v>
      </c>
      <c r="J347" t="s">
        <v>31</v>
      </c>
    </row>
    <row r="348" spans="1:10" x14ac:dyDescent="0.25">
      <c r="A348" s="1">
        <v>53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"2026-05-25 09:50:15.541"</f>
        <v>2026-05-25 09:50:15.541</v>
      </c>
      <c r="H348" t="s">
        <v>21</v>
      </c>
    </row>
    <row r="349" spans="1:10" x14ac:dyDescent="0.25">
      <c r="A349" s="1">
        <v>54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"2026-05-25 01:44:29.537"</f>
        <v>2026-05-25 01:44:29.537</v>
      </c>
      <c r="H349" t="s">
        <v>21</v>
      </c>
    </row>
    <row r="350" spans="1:10" x14ac:dyDescent="0.25">
      <c r="A350" s="1">
        <v>55</v>
      </c>
      <c r="B350" t="s">
        <v>19</v>
      </c>
      <c r="C350">
        <v>706</v>
      </c>
      <c r="D350">
        <v>2</v>
      </c>
      <c r="E350" t="s">
        <v>29</v>
      </c>
      <c r="F350" t="s">
        <v>30</v>
      </c>
      <c r="G350" t="str">
        <f>"2026-05-24 13:37:16.290"</f>
        <v>2026-05-24 13:37:16.290</v>
      </c>
      <c r="H350" t="s">
        <v>21</v>
      </c>
      <c r="I350">
        <v>0</v>
      </c>
      <c r="J350" t="s">
        <v>31</v>
      </c>
    </row>
    <row r="351" spans="1:10" x14ac:dyDescent="0.25">
      <c r="A351" s="1">
        <v>56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"2026-05-24 13:36:20.560"</f>
        <v>2026-05-24 13:36:20.560</v>
      </c>
      <c r="H351" t="s">
        <v>21</v>
      </c>
      <c r="I351">
        <v>0</v>
      </c>
      <c r="J351" t="s">
        <v>33</v>
      </c>
    </row>
    <row r="352" spans="1:10" x14ac:dyDescent="0.25">
      <c r="A352" s="1">
        <v>57</v>
      </c>
      <c r="B352" t="s">
        <v>22</v>
      </c>
      <c r="C352">
        <v>635</v>
      </c>
      <c r="D352">
        <v>1</v>
      </c>
      <c r="E352" t="s">
        <v>34</v>
      </c>
      <c r="F352" t="s">
        <v>35</v>
      </c>
      <c r="G352" t="str">
        <f>"2026-05-24 05:31:04.135"</f>
        <v>2026-05-24 05:31:04.135</v>
      </c>
      <c r="H352" t="s">
        <v>21</v>
      </c>
    </row>
    <row r="353" spans="1:10" x14ac:dyDescent="0.25">
      <c r="A353" s="1">
        <v>58</v>
      </c>
      <c r="B353" t="s">
        <v>36</v>
      </c>
      <c r="C353">
        <v>635</v>
      </c>
      <c r="D353">
        <v>1</v>
      </c>
      <c r="E353" t="s">
        <v>34</v>
      </c>
      <c r="F353" t="s">
        <v>35</v>
      </c>
      <c r="G353" t="str">
        <f>"2026-05-24 05:27:39.635"</f>
        <v>2026-05-24 05:27:39.635</v>
      </c>
      <c r="H353" t="s">
        <v>21</v>
      </c>
      <c r="I353">
        <v>3.38</v>
      </c>
      <c r="J353" t="s">
        <v>37</v>
      </c>
    </row>
    <row r="354" spans="1:10" x14ac:dyDescent="0.25">
      <c r="A354" s="1">
        <v>59</v>
      </c>
      <c r="B354" t="s">
        <v>19</v>
      </c>
      <c r="C354">
        <v>706</v>
      </c>
      <c r="D354">
        <v>4</v>
      </c>
      <c r="E354" t="s">
        <v>29</v>
      </c>
      <c r="F354" t="s">
        <v>53</v>
      </c>
      <c r="G354" t="str">
        <f>"2026-05-23 17:05:59.856"</f>
        <v>2026-05-23 17:05:59.856</v>
      </c>
      <c r="H354" t="s">
        <v>21</v>
      </c>
      <c r="I354">
        <v>0</v>
      </c>
      <c r="J354" t="s">
        <v>31</v>
      </c>
    </row>
    <row r="355" spans="1:10" x14ac:dyDescent="0.25">
      <c r="A355" s="1">
        <v>60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"2026-05-23 17:04:52.706"</f>
        <v>2026-05-23 17:04:52.706</v>
      </c>
      <c r="H355" t="s">
        <v>21</v>
      </c>
      <c r="I355">
        <v>0</v>
      </c>
      <c r="J355" t="s">
        <v>33</v>
      </c>
    </row>
    <row r="356" spans="1:10" x14ac:dyDescent="0.25">
      <c r="A356" s="1">
        <v>61</v>
      </c>
      <c r="B356" t="s">
        <v>22</v>
      </c>
      <c r="C356">
        <v>635</v>
      </c>
      <c r="D356">
        <v>1</v>
      </c>
      <c r="E356" t="s">
        <v>34</v>
      </c>
      <c r="F356" t="s">
        <v>35</v>
      </c>
      <c r="G356" t="str">
        <f>"2026-05-23 12:09:05.819"</f>
        <v>2026-05-23 12:09:05.819</v>
      </c>
      <c r="H356" t="s">
        <v>21</v>
      </c>
    </row>
    <row r="357" spans="1:10" x14ac:dyDescent="0.25">
      <c r="A357" s="1">
        <v>62</v>
      </c>
      <c r="B357" t="s">
        <v>36</v>
      </c>
      <c r="C357">
        <v>635</v>
      </c>
      <c r="D357">
        <v>1</v>
      </c>
      <c r="E357" t="s">
        <v>34</v>
      </c>
      <c r="F357" t="s">
        <v>35</v>
      </c>
      <c r="G357" t="str">
        <f>"2026-05-23 12:03:54.819"</f>
        <v>2026-05-23 12:03:54.819</v>
      </c>
      <c r="H357" t="s">
        <v>21</v>
      </c>
      <c r="I357">
        <v>2.96</v>
      </c>
      <c r="J357" t="s">
        <v>27</v>
      </c>
    </row>
    <row r="358" spans="1:10" x14ac:dyDescent="0.25">
      <c r="A358" s="1">
        <v>64</v>
      </c>
      <c r="B358" t="s">
        <v>22</v>
      </c>
      <c r="C358">
        <v>61</v>
      </c>
      <c r="D358">
        <v>2</v>
      </c>
      <c r="E358" t="s">
        <v>66</v>
      </c>
      <c r="F358" t="s">
        <v>67</v>
      </c>
      <c r="G358" t="str">
        <f>"2026-05-22 08:35:01.131"</f>
        <v>2026-05-22 08:35:01.131</v>
      </c>
      <c r="H358" t="s">
        <v>21</v>
      </c>
    </row>
    <row r="359" spans="1:10" x14ac:dyDescent="0.25">
      <c r="A359" s="1">
        <v>65</v>
      </c>
      <c r="B359" t="s">
        <v>26</v>
      </c>
      <c r="C359">
        <v>61</v>
      </c>
      <c r="D359">
        <v>2</v>
      </c>
      <c r="E359" t="s">
        <v>66</v>
      </c>
      <c r="F359" t="s">
        <v>67</v>
      </c>
      <c r="G359" t="str">
        <f>"2026-05-22 08:34:48.032"</f>
        <v>2026-05-22 08:34:48.032</v>
      </c>
      <c r="H359" t="s">
        <v>21</v>
      </c>
      <c r="I359">
        <v>35.18</v>
      </c>
      <c r="J359" t="s">
        <v>27</v>
      </c>
    </row>
    <row r="360" spans="1:10" x14ac:dyDescent="0.25">
      <c r="A360" s="1">
        <v>66</v>
      </c>
      <c r="B360" t="s">
        <v>22</v>
      </c>
      <c r="C360">
        <v>635</v>
      </c>
      <c r="D360">
        <v>1</v>
      </c>
      <c r="E360" t="s">
        <v>34</v>
      </c>
      <c r="F360" t="s">
        <v>35</v>
      </c>
      <c r="G360" t="str">
        <f>"2026-05-22 07:31:19.319"</f>
        <v>2026-05-22 07:31:19.319</v>
      </c>
      <c r="H360" t="s">
        <v>21</v>
      </c>
    </row>
    <row r="361" spans="1:10" x14ac:dyDescent="0.25">
      <c r="A361" s="1">
        <v>67</v>
      </c>
      <c r="B361" t="s">
        <v>36</v>
      </c>
      <c r="C361">
        <v>635</v>
      </c>
      <c r="D361">
        <v>1</v>
      </c>
      <c r="E361" t="s">
        <v>34</v>
      </c>
      <c r="F361" t="s">
        <v>35</v>
      </c>
      <c r="G361" t="str">
        <f>"2026-05-22 07:27:49.819"</f>
        <v>2026-05-22 07:27:49.819</v>
      </c>
      <c r="H361" t="s">
        <v>21</v>
      </c>
      <c r="I361">
        <v>1.39</v>
      </c>
      <c r="J361" t="s">
        <v>27</v>
      </c>
    </row>
    <row r="362" spans="1:10" x14ac:dyDescent="0.25">
      <c r="A362" s="1">
        <v>68</v>
      </c>
      <c r="B362" t="s">
        <v>19</v>
      </c>
      <c r="C362">
        <v>706</v>
      </c>
      <c r="D362">
        <v>4</v>
      </c>
      <c r="E362" t="s">
        <v>29</v>
      </c>
      <c r="F362" t="s">
        <v>53</v>
      </c>
      <c r="G362" t="str">
        <f>"2026-05-21 17:35:10.782"</f>
        <v>2026-05-21 17:35:10.782</v>
      </c>
      <c r="H362" t="s">
        <v>21</v>
      </c>
      <c r="I362">
        <v>0</v>
      </c>
      <c r="J362" t="s">
        <v>31</v>
      </c>
    </row>
    <row r="363" spans="1:10" x14ac:dyDescent="0.25">
      <c r="A363" s="1">
        <v>69</v>
      </c>
      <c r="B363" t="s">
        <v>19</v>
      </c>
      <c r="C363">
        <v>706</v>
      </c>
      <c r="D363">
        <v>3</v>
      </c>
      <c r="E363" t="s">
        <v>29</v>
      </c>
      <c r="F363" t="s">
        <v>32</v>
      </c>
      <c r="G363" t="str">
        <f>"2026-05-21 17:17:53.092"</f>
        <v>2026-05-21 17:17:53.092</v>
      </c>
      <c r="H363" t="s">
        <v>21</v>
      </c>
      <c r="I363">
        <v>0</v>
      </c>
      <c r="J363" t="s">
        <v>31</v>
      </c>
    </row>
    <row r="364" spans="1:10" x14ac:dyDescent="0.25">
      <c r="A364" s="1">
        <v>70</v>
      </c>
      <c r="B364" t="s">
        <v>22</v>
      </c>
      <c r="C364">
        <v>61</v>
      </c>
      <c r="D364">
        <v>2</v>
      </c>
      <c r="E364" t="s">
        <v>66</v>
      </c>
      <c r="F364" t="s">
        <v>67</v>
      </c>
      <c r="G364" t="str">
        <f>"2026-05-21 16:01:52.131"</f>
        <v>2026-05-21 16:01:52.131</v>
      </c>
      <c r="H364" t="s">
        <v>21</v>
      </c>
    </row>
    <row r="365" spans="1:10" x14ac:dyDescent="0.25">
      <c r="A365" s="1">
        <v>71</v>
      </c>
      <c r="B365" t="s">
        <v>26</v>
      </c>
      <c r="C365">
        <v>61</v>
      </c>
      <c r="D365">
        <v>2</v>
      </c>
      <c r="E365" t="s">
        <v>66</v>
      </c>
      <c r="F365" t="s">
        <v>67</v>
      </c>
      <c r="G365" t="str">
        <f>"2026-05-21 16:00:41.032"</f>
        <v>2026-05-21 16:00:41.032</v>
      </c>
      <c r="H365" t="s">
        <v>21</v>
      </c>
      <c r="I365">
        <v>36</v>
      </c>
      <c r="J365" t="s">
        <v>27</v>
      </c>
    </row>
    <row r="366" spans="1:10" x14ac:dyDescent="0.25">
      <c r="A366" s="1">
        <v>72</v>
      </c>
      <c r="B366" t="s">
        <v>22</v>
      </c>
      <c r="C366">
        <v>635</v>
      </c>
      <c r="D366">
        <v>1</v>
      </c>
      <c r="E366" t="s">
        <v>34</v>
      </c>
      <c r="F366" t="s">
        <v>35</v>
      </c>
      <c r="G366" t="str">
        <f>"2026-05-21 08:09:15.419"</f>
        <v>2026-05-21 08:09:15.419</v>
      </c>
      <c r="H366" t="s">
        <v>21</v>
      </c>
    </row>
    <row r="367" spans="1:10" x14ac:dyDescent="0.25">
      <c r="A367" s="1">
        <v>73</v>
      </c>
      <c r="B367" t="s">
        <v>36</v>
      </c>
      <c r="C367">
        <v>635</v>
      </c>
      <c r="D367">
        <v>1</v>
      </c>
      <c r="E367" t="s">
        <v>34</v>
      </c>
      <c r="F367" t="s">
        <v>35</v>
      </c>
      <c r="G367" t="str">
        <f>"2026-05-21 07:43:50.519"</f>
        <v>2026-05-21 07:43:50.519</v>
      </c>
      <c r="H367" t="s">
        <v>21</v>
      </c>
      <c r="I367">
        <v>3.64</v>
      </c>
      <c r="J367" t="s">
        <v>37</v>
      </c>
    </row>
    <row r="368" spans="1:10" x14ac:dyDescent="0.25">
      <c r="A368" s="1">
        <v>74</v>
      </c>
      <c r="B368" t="s">
        <v>22</v>
      </c>
      <c r="C368">
        <v>635</v>
      </c>
      <c r="D368">
        <v>1</v>
      </c>
      <c r="E368" t="s">
        <v>34</v>
      </c>
      <c r="F368" t="s">
        <v>35</v>
      </c>
      <c r="G368" t="str">
        <f>"2026-05-21 02:34:38.519"</f>
        <v>2026-05-21 02:34:38.519</v>
      </c>
      <c r="H368" t="s">
        <v>21</v>
      </c>
    </row>
    <row r="369" spans="1:10" x14ac:dyDescent="0.25">
      <c r="A369" s="1">
        <v>75</v>
      </c>
      <c r="B369" t="s">
        <v>36</v>
      </c>
      <c r="C369">
        <v>635</v>
      </c>
      <c r="D369">
        <v>1</v>
      </c>
      <c r="E369" t="s">
        <v>34</v>
      </c>
      <c r="F369" t="s">
        <v>35</v>
      </c>
      <c r="G369" t="str">
        <f>"2026-05-21 02:26:46.519"</f>
        <v>2026-05-21 02:26:46.519</v>
      </c>
      <c r="H369" t="s">
        <v>21</v>
      </c>
      <c r="I369">
        <v>5.56</v>
      </c>
      <c r="J369" t="s">
        <v>37</v>
      </c>
    </row>
    <row r="370" spans="1:10" x14ac:dyDescent="0.25">
      <c r="A370" s="1">
        <v>76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"2026-05-20 17:38:18.522"</f>
        <v>2026-05-20 17:38:18.522</v>
      </c>
      <c r="H370" t="s">
        <v>21</v>
      </c>
    </row>
    <row r="371" spans="1:10" x14ac:dyDescent="0.25">
      <c r="A371" s="1">
        <v>77</v>
      </c>
      <c r="B371" t="s">
        <v>22</v>
      </c>
      <c r="C371">
        <v>635</v>
      </c>
      <c r="D371">
        <v>1</v>
      </c>
      <c r="E371" t="s">
        <v>34</v>
      </c>
      <c r="F371" t="s">
        <v>35</v>
      </c>
      <c r="G371" t="str">
        <f>"2026-05-20 16:53:58.086"</f>
        <v>2026-05-20 16:53:58.086</v>
      </c>
      <c r="H371" t="s">
        <v>21</v>
      </c>
    </row>
    <row r="372" spans="1:10" x14ac:dyDescent="0.25">
      <c r="A372" s="1">
        <v>78</v>
      </c>
      <c r="B372" t="s">
        <v>36</v>
      </c>
      <c r="C372">
        <v>635</v>
      </c>
      <c r="D372">
        <v>1</v>
      </c>
      <c r="E372" t="s">
        <v>34</v>
      </c>
      <c r="F372" t="s">
        <v>35</v>
      </c>
      <c r="G372" t="str">
        <f>"2026-05-20 16:50:43.086"</f>
        <v>2026-05-20 16:50:43.086</v>
      </c>
      <c r="H372" t="s">
        <v>21</v>
      </c>
      <c r="I372">
        <v>5.3</v>
      </c>
      <c r="J372" t="s">
        <v>37</v>
      </c>
    </row>
    <row r="373" spans="1:10" x14ac:dyDescent="0.25">
      <c r="A373" s="1">
        <v>79</v>
      </c>
      <c r="B373" t="s">
        <v>22</v>
      </c>
      <c r="C373">
        <v>635</v>
      </c>
      <c r="D373">
        <v>1</v>
      </c>
      <c r="E373" t="s">
        <v>34</v>
      </c>
      <c r="F373" t="s">
        <v>35</v>
      </c>
      <c r="G373" t="str">
        <f>"2026-05-20 11:55:53.586"</f>
        <v>2026-05-20 11:55:53.586</v>
      </c>
      <c r="H373" t="s">
        <v>21</v>
      </c>
    </row>
    <row r="374" spans="1:10" x14ac:dyDescent="0.25">
      <c r="A374" s="1">
        <v>80</v>
      </c>
      <c r="B374" t="s">
        <v>36</v>
      </c>
      <c r="C374">
        <v>635</v>
      </c>
      <c r="D374">
        <v>1</v>
      </c>
      <c r="E374" t="s">
        <v>34</v>
      </c>
      <c r="F374" t="s">
        <v>35</v>
      </c>
      <c r="G374" t="str">
        <f>"2026-05-20 11:52:01.587"</f>
        <v>2026-05-20 11:52:01.587</v>
      </c>
      <c r="H374" t="s">
        <v>21</v>
      </c>
      <c r="I374">
        <v>1.5</v>
      </c>
      <c r="J374" t="s">
        <v>37</v>
      </c>
    </row>
    <row r="375" spans="1:10" x14ac:dyDescent="0.25">
      <c r="A375" s="1">
        <v>81</v>
      </c>
      <c r="B375" t="s">
        <v>22</v>
      </c>
      <c r="C375">
        <v>42</v>
      </c>
      <c r="D375">
        <v>1</v>
      </c>
      <c r="E375" t="s">
        <v>68</v>
      </c>
      <c r="F375" t="s">
        <v>69</v>
      </c>
      <c r="G375" t="str">
        <f>"2026-05-20 08:45:35.444"</f>
        <v>2026-05-20 08:45:35.444</v>
      </c>
      <c r="H375" t="s">
        <v>70</v>
      </c>
    </row>
    <row r="376" spans="1:10" x14ac:dyDescent="0.25">
      <c r="A376" s="1">
        <v>82</v>
      </c>
      <c r="B376" t="s">
        <v>36</v>
      </c>
      <c r="C376">
        <v>42</v>
      </c>
      <c r="D376">
        <v>1</v>
      </c>
      <c r="E376" t="s">
        <v>68</v>
      </c>
      <c r="F376" t="s">
        <v>69</v>
      </c>
      <c r="G376" t="str">
        <f>"2026-05-20 08:44:58.644"</f>
        <v>2026-05-20 08:44:58.644</v>
      </c>
      <c r="H376" t="s">
        <v>70</v>
      </c>
      <c r="I376">
        <v>0</v>
      </c>
      <c r="J376" t="s">
        <v>31</v>
      </c>
    </row>
    <row r="377" spans="1:10" x14ac:dyDescent="0.25">
      <c r="A377" s="1">
        <v>83</v>
      </c>
      <c r="B377" t="s">
        <v>40</v>
      </c>
      <c r="C377">
        <v>215</v>
      </c>
      <c r="D377">
        <v>6</v>
      </c>
      <c r="E377" t="s">
        <v>41</v>
      </c>
      <c r="F377" t="s">
        <v>42</v>
      </c>
      <c r="G377" t="str">
        <f>"2026-05-20 08:44:33.154"</f>
        <v>2026-05-20 08:44:33.154</v>
      </c>
      <c r="H377" t="s">
        <v>21</v>
      </c>
    </row>
    <row r="378" spans="1:10" x14ac:dyDescent="0.25">
      <c r="A378" s="1">
        <v>84</v>
      </c>
      <c r="B378" t="s">
        <v>40</v>
      </c>
      <c r="C378">
        <v>115</v>
      </c>
      <c r="D378">
        <v>6</v>
      </c>
      <c r="E378" t="s">
        <v>43</v>
      </c>
      <c r="F378" t="s">
        <v>42</v>
      </c>
      <c r="G378" t="str">
        <f>"2026-05-20 08:44:33.054"</f>
        <v>2026-05-20 08:44:33.054</v>
      </c>
      <c r="H378" t="s">
        <v>21</v>
      </c>
    </row>
    <row r="379" spans="1:10" x14ac:dyDescent="0.25">
      <c r="A379" s="1">
        <v>85</v>
      </c>
      <c r="B379" t="s">
        <v>26</v>
      </c>
      <c r="C379">
        <v>215</v>
      </c>
      <c r="D379">
        <v>6</v>
      </c>
      <c r="E379" t="s">
        <v>41</v>
      </c>
      <c r="F379" t="s">
        <v>42</v>
      </c>
      <c r="G379" t="str">
        <f>"2026-05-20 08:44:28.014"</f>
        <v>2026-05-20 08:44:28.014</v>
      </c>
      <c r="H379" t="s">
        <v>21</v>
      </c>
      <c r="I379">
        <v>0</v>
      </c>
      <c r="J379" t="s">
        <v>31</v>
      </c>
    </row>
    <row r="380" spans="1:10" x14ac:dyDescent="0.25">
      <c r="A380" s="1">
        <v>86</v>
      </c>
      <c r="B380" t="s">
        <v>26</v>
      </c>
      <c r="C380">
        <v>115</v>
      </c>
      <c r="D380">
        <v>6</v>
      </c>
      <c r="E380" t="s">
        <v>43</v>
      </c>
      <c r="F380" t="s">
        <v>42</v>
      </c>
      <c r="G380" t="str">
        <f>"2026-05-20 08:44:28.009"</f>
        <v>2026-05-20 08:44:28.009</v>
      </c>
      <c r="H380" t="s">
        <v>21</v>
      </c>
      <c r="I380">
        <v>0</v>
      </c>
      <c r="J380" t="s">
        <v>31</v>
      </c>
    </row>
    <row r="381" spans="1:10" x14ac:dyDescent="0.25">
      <c r="A381" s="1">
        <v>87</v>
      </c>
      <c r="B381" t="s">
        <v>22</v>
      </c>
      <c r="C381">
        <v>6</v>
      </c>
      <c r="D381">
        <v>1</v>
      </c>
      <c r="E381" t="s">
        <v>44</v>
      </c>
      <c r="F381" t="s">
        <v>45</v>
      </c>
      <c r="G381" t="str">
        <f>"2026-05-20 08:44:27.914"</f>
        <v>2026-05-20 08:44:27.914</v>
      </c>
      <c r="H381" t="s">
        <v>46</v>
      </c>
    </row>
    <row r="382" spans="1:10" x14ac:dyDescent="0.25">
      <c r="A382" s="1">
        <v>88</v>
      </c>
      <c r="B382" t="s">
        <v>22</v>
      </c>
      <c r="C382">
        <v>75</v>
      </c>
      <c r="D382">
        <v>1</v>
      </c>
      <c r="E382" t="s">
        <v>47</v>
      </c>
      <c r="F382" t="s">
        <v>48</v>
      </c>
      <c r="G382" t="str">
        <f>"2026-05-20 08:44:27.910"</f>
        <v>2026-05-20 08:44:27.910</v>
      </c>
      <c r="H382" t="s">
        <v>49</v>
      </c>
    </row>
    <row r="383" spans="1:10" x14ac:dyDescent="0.25">
      <c r="A383" s="1">
        <v>89</v>
      </c>
      <c r="B383" t="s">
        <v>22</v>
      </c>
      <c r="C383">
        <v>74</v>
      </c>
      <c r="D383">
        <v>1</v>
      </c>
      <c r="E383" t="s">
        <v>50</v>
      </c>
      <c r="F383" t="s">
        <v>51</v>
      </c>
      <c r="G383" t="str">
        <f>"2026-05-20 08:44:27.906"</f>
        <v>2026-05-20 08:44:27.906</v>
      </c>
      <c r="H383" t="s">
        <v>52</v>
      </c>
    </row>
    <row r="384" spans="1:10" x14ac:dyDescent="0.25">
      <c r="A384" s="1">
        <v>90</v>
      </c>
      <c r="B384" t="s">
        <v>36</v>
      </c>
      <c r="C384">
        <v>75</v>
      </c>
      <c r="D384">
        <v>1</v>
      </c>
      <c r="E384" t="s">
        <v>47</v>
      </c>
      <c r="F384" t="s">
        <v>48</v>
      </c>
      <c r="G384" t="str">
        <f>"2026-05-20 08:44:16.422"</f>
        <v>2026-05-20 08:44:16.422</v>
      </c>
      <c r="H384" t="s">
        <v>49</v>
      </c>
      <c r="I384">
        <v>0</v>
      </c>
      <c r="J384" t="s">
        <v>31</v>
      </c>
    </row>
    <row r="385" spans="1:10" x14ac:dyDescent="0.25">
      <c r="A385" s="1">
        <v>91</v>
      </c>
      <c r="B385" t="s">
        <v>36</v>
      </c>
      <c r="C385">
        <v>74</v>
      </c>
      <c r="D385">
        <v>1</v>
      </c>
      <c r="E385" t="s">
        <v>50</v>
      </c>
      <c r="F385" t="s">
        <v>51</v>
      </c>
      <c r="G385" t="str">
        <f>"2026-05-20 08:44:16.418"</f>
        <v>2026-05-20 08:44:16.418</v>
      </c>
      <c r="H385" t="s">
        <v>52</v>
      </c>
      <c r="I385">
        <v>0</v>
      </c>
      <c r="J385" t="s">
        <v>31</v>
      </c>
    </row>
    <row r="386" spans="1:10" x14ac:dyDescent="0.25">
      <c r="A386" s="1">
        <v>92</v>
      </c>
      <c r="B386" t="s">
        <v>26</v>
      </c>
      <c r="C386">
        <v>6</v>
      </c>
      <c r="D386">
        <v>1</v>
      </c>
      <c r="E386" t="s">
        <v>44</v>
      </c>
      <c r="F386" t="s">
        <v>45</v>
      </c>
      <c r="G386" t="str">
        <f>"2026-05-20 08:44:16.412"</f>
        <v>2026-05-20 08:44:16.412</v>
      </c>
      <c r="H386" t="s">
        <v>46</v>
      </c>
      <c r="I386">
        <v>0</v>
      </c>
      <c r="J386" t="s">
        <v>31</v>
      </c>
    </row>
    <row r="387" spans="1:10" x14ac:dyDescent="0.25">
      <c r="A387" s="1">
        <v>96</v>
      </c>
      <c r="B387" t="s">
        <v>22</v>
      </c>
      <c r="C387">
        <v>635</v>
      </c>
      <c r="D387">
        <v>1</v>
      </c>
      <c r="E387" t="s">
        <v>34</v>
      </c>
      <c r="F387" t="s">
        <v>35</v>
      </c>
      <c r="G387" t="str">
        <f>"2026-05-19 15:31:18.824"</f>
        <v>2026-05-19 15:31:18.824</v>
      </c>
      <c r="H387" t="s">
        <v>21</v>
      </c>
    </row>
    <row r="388" spans="1:10" x14ac:dyDescent="0.25">
      <c r="A388" s="1">
        <v>97</v>
      </c>
      <c r="B388" t="s">
        <v>36</v>
      </c>
      <c r="C388">
        <v>635</v>
      </c>
      <c r="D388">
        <v>1</v>
      </c>
      <c r="E388" t="s">
        <v>34</v>
      </c>
      <c r="F388" t="s">
        <v>35</v>
      </c>
      <c r="G388" t="str">
        <f>"2026-05-19 15:27:47.824"</f>
        <v>2026-05-19 15:27:47.824</v>
      </c>
      <c r="H388" t="s">
        <v>21</v>
      </c>
      <c r="I388">
        <v>2.15</v>
      </c>
      <c r="J388" t="s">
        <v>28</v>
      </c>
    </row>
    <row r="389" spans="1:10" x14ac:dyDescent="0.25">
      <c r="A389" s="1">
        <v>98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"2026-05-18 12:39:52.593"</f>
        <v>2026-05-18 12:39:52.593</v>
      </c>
      <c r="H389" t="s">
        <v>21</v>
      </c>
      <c r="I389">
        <v>0</v>
      </c>
      <c r="J389" t="s">
        <v>33</v>
      </c>
    </row>
    <row r="390" spans="1:10" x14ac:dyDescent="0.25">
      <c r="A390" s="1">
        <v>99</v>
      </c>
      <c r="B390" t="s">
        <v>22</v>
      </c>
      <c r="C390">
        <v>635</v>
      </c>
      <c r="D390">
        <v>1</v>
      </c>
      <c r="E390" t="s">
        <v>34</v>
      </c>
      <c r="F390" t="s">
        <v>35</v>
      </c>
      <c r="G390" t="str">
        <f>"2026-05-18 11:18:37.802"</f>
        <v>2026-05-18 11:18:37.802</v>
      </c>
      <c r="H390" t="s">
        <v>21</v>
      </c>
    </row>
    <row r="391" spans="1:10" x14ac:dyDescent="0.25">
      <c r="A391" s="1">
        <v>0</v>
      </c>
      <c r="B391" t="s">
        <v>36</v>
      </c>
      <c r="C391">
        <v>635</v>
      </c>
      <c r="D391">
        <v>1</v>
      </c>
      <c r="E391" t="s">
        <v>34</v>
      </c>
      <c r="F391" t="s">
        <v>35</v>
      </c>
      <c r="G391" t="str">
        <f>"2026-05-18 11:16:35.402"</f>
        <v>2026-05-18 11:16:35.402</v>
      </c>
      <c r="H391" t="s">
        <v>21</v>
      </c>
      <c r="I391">
        <v>0</v>
      </c>
      <c r="J391" t="s">
        <v>28</v>
      </c>
    </row>
    <row r="392" spans="1:10" x14ac:dyDescent="0.25">
      <c r="A392" s="1">
        <v>1</v>
      </c>
      <c r="B392" t="s">
        <v>22</v>
      </c>
      <c r="C392">
        <v>635</v>
      </c>
      <c r="D392">
        <v>1</v>
      </c>
      <c r="E392" t="s">
        <v>34</v>
      </c>
      <c r="F392" t="s">
        <v>35</v>
      </c>
      <c r="G392" t="str">
        <f>"2026-05-18 10:46:34.402"</f>
        <v>2026-05-18 10:46:34.402</v>
      </c>
      <c r="H392" t="s">
        <v>21</v>
      </c>
    </row>
    <row r="393" spans="1:10" x14ac:dyDescent="0.25">
      <c r="A393" s="1">
        <v>2</v>
      </c>
      <c r="B393" t="s">
        <v>36</v>
      </c>
      <c r="C393">
        <v>635</v>
      </c>
      <c r="D393">
        <v>1</v>
      </c>
      <c r="E393" t="s">
        <v>34</v>
      </c>
      <c r="F393" t="s">
        <v>35</v>
      </c>
      <c r="G393" t="str">
        <f>"2026-05-18 10:44:22.402"</f>
        <v>2026-05-18 10:44:22.402</v>
      </c>
      <c r="H393" t="s">
        <v>21</v>
      </c>
      <c r="I393">
        <v>0.93</v>
      </c>
      <c r="J393" t="s">
        <v>27</v>
      </c>
    </row>
    <row r="394" spans="1:10" x14ac:dyDescent="0.25">
      <c r="A394" s="1">
        <v>3</v>
      </c>
      <c r="B394" t="s">
        <v>22</v>
      </c>
      <c r="C394">
        <v>635</v>
      </c>
      <c r="D394">
        <v>1</v>
      </c>
      <c r="E394" t="s">
        <v>34</v>
      </c>
      <c r="F394" t="s">
        <v>35</v>
      </c>
      <c r="G394" t="str">
        <f>"2026-05-17 14:52:19.402"</f>
        <v>2026-05-17 14:52:19.402</v>
      </c>
      <c r="H394" t="s">
        <v>21</v>
      </c>
    </row>
    <row r="395" spans="1:10" x14ac:dyDescent="0.25">
      <c r="A395" s="1">
        <v>4</v>
      </c>
      <c r="B395" t="s">
        <v>36</v>
      </c>
      <c r="C395">
        <v>635</v>
      </c>
      <c r="D395">
        <v>1</v>
      </c>
      <c r="E395" t="s">
        <v>34</v>
      </c>
      <c r="F395" t="s">
        <v>35</v>
      </c>
      <c r="G395" t="str">
        <f>"2026-05-17 14:46:59.902"</f>
        <v>2026-05-17 14:46:59.902</v>
      </c>
      <c r="H395" t="s">
        <v>21</v>
      </c>
      <c r="I395">
        <v>4.53</v>
      </c>
      <c r="J395" t="s">
        <v>27</v>
      </c>
    </row>
    <row r="396" spans="1:10" x14ac:dyDescent="0.25">
      <c r="A396" s="1">
        <v>5</v>
      </c>
      <c r="B396" t="s">
        <v>22</v>
      </c>
      <c r="C396">
        <v>635</v>
      </c>
      <c r="D396">
        <v>1</v>
      </c>
      <c r="E396" t="s">
        <v>34</v>
      </c>
      <c r="F396" t="s">
        <v>35</v>
      </c>
      <c r="G396" t="str">
        <f>"2026-05-17 04:55:12.402"</f>
        <v>2026-05-17 04:55:12.402</v>
      </c>
      <c r="H396" t="s">
        <v>21</v>
      </c>
    </row>
    <row r="397" spans="1:10" x14ac:dyDescent="0.25">
      <c r="A397" s="1">
        <v>6</v>
      </c>
      <c r="B397" t="s">
        <v>36</v>
      </c>
      <c r="C397">
        <v>635</v>
      </c>
      <c r="D397">
        <v>1</v>
      </c>
      <c r="E397" t="s">
        <v>34</v>
      </c>
      <c r="F397" t="s">
        <v>35</v>
      </c>
      <c r="G397" t="str">
        <f>"2026-05-17 04:50:57.902"</f>
        <v>2026-05-17 04:50:57.902</v>
      </c>
      <c r="H397" t="s">
        <v>21</v>
      </c>
      <c r="I397">
        <v>4.16</v>
      </c>
      <c r="J397" t="s">
        <v>37</v>
      </c>
    </row>
    <row r="398" spans="1:10" x14ac:dyDescent="0.25">
      <c r="A398" s="1">
        <v>7</v>
      </c>
      <c r="B398" t="s">
        <v>22</v>
      </c>
      <c r="C398">
        <v>635</v>
      </c>
      <c r="D398">
        <v>1</v>
      </c>
      <c r="E398" t="s">
        <v>34</v>
      </c>
      <c r="F398" t="s">
        <v>35</v>
      </c>
      <c r="G398" t="str">
        <f>"2026-05-17 03:09:36.102"</f>
        <v>2026-05-17 03:09:36.102</v>
      </c>
      <c r="H398" t="s">
        <v>21</v>
      </c>
    </row>
    <row r="399" spans="1:10" x14ac:dyDescent="0.25">
      <c r="A399" s="1">
        <v>8</v>
      </c>
      <c r="B399" t="s">
        <v>36</v>
      </c>
      <c r="C399">
        <v>635</v>
      </c>
      <c r="D399">
        <v>1</v>
      </c>
      <c r="E399" t="s">
        <v>34</v>
      </c>
      <c r="F399" t="s">
        <v>35</v>
      </c>
      <c r="G399" t="str">
        <f>"2026-05-17 03:06:30.602"</f>
        <v>2026-05-17 03:06:30.602</v>
      </c>
      <c r="H399" t="s">
        <v>21</v>
      </c>
      <c r="I399">
        <v>2.5299999999999998</v>
      </c>
      <c r="J399" t="s">
        <v>37</v>
      </c>
    </row>
    <row r="400" spans="1:10" x14ac:dyDescent="0.25">
      <c r="A400" s="1">
        <v>9</v>
      </c>
      <c r="B400" t="s">
        <v>22</v>
      </c>
      <c r="C400">
        <v>61</v>
      </c>
      <c r="D400">
        <v>2</v>
      </c>
      <c r="E400" t="s">
        <v>66</v>
      </c>
      <c r="F400" t="s">
        <v>67</v>
      </c>
      <c r="G400" t="str">
        <f>"2026-05-17 02:17:46.895"</f>
        <v>2026-05-17 02:17:46.895</v>
      </c>
      <c r="H400" t="s">
        <v>21</v>
      </c>
    </row>
    <row r="401" spans="1:10" x14ac:dyDescent="0.25">
      <c r="A401" s="1">
        <v>10</v>
      </c>
      <c r="B401" t="s">
        <v>26</v>
      </c>
      <c r="C401">
        <v>61</v>
      </c>
      <c r="D401">
        <v>2</v>
      </c>
      <c r="E401" t="s">
        <v>66</v>
      </c>
      <c r="F401" t="s">
        <v>67</v>
      </c>
      <c r="G401" t="str">
        <f>"2026-05-17 02:17:33.295"</f>
        <v>2026-05-17 02:17:33.295</v>
      </c>
      <c r="H401" t="s">
        <v>21</v>
      </c>
      <c r="I401">
        <v>35.369999999999997</v>
      </c>
      <c r="J401" t="s">
        <v>27</v>
      </c>
    </row>
    <row r="402" spans="1:10" x14ac:dyDescent="0.25">
      <c r="A402" s="1">
        <v>11</v>
      </c>
      <c r="B402" t="s">
        <v>22</v>
      </c>
      <c r="C402">
        <v>635</v>
      </c>
      <c r="D402">
        <v>1</v>
      </c>
      <c r="E402" t="s">
        <v>34</v>
      </c>
      <c r="F402" t="s">
        <v>35</v>
      </c>
      <c r="G402" t="str">
        <f>"2026-05-17 01:09:00.802"</f>
        <v>2026-05-17 01:09:00.802</v>
      </c>
      <c r="H402" t="s">
        <v>21</v>
      </c>
    </row>
    <row r="403" spans="1:10" x14ac:dyDescent="0.25">
      <c r="A403" s="1">
        <v>12</v>
      </c>
      <c r="B403" t="s">
        <v>36</v>
      </c>
      <c r="C403">
        <v>635</v>
      </c>
      <c r="D403">
        <v>1</v>
      </c>
      <c r="E403" t="s">
        <v>34</v>
      </c>
      <c r="F403" t="s">
        <v>35</v>
      </c>
      <c r="G403" t="str">
        <f>"2026-05-17 01:02:43.802"</f>
        <v>2026-05-17 01:02:43.802</v>
      </c>
      <c r="H403" t="s">
        <v>21</v>
      </c>
      <c r="I403">
        <v>1.1499999999999999</v>
      </c>
      <c r="J403" t="s">
        <v>27</v>
      </c>
    </row>
    <row r="404" spans="1:10" x14ac:dyDescent="0.25">
      <c r="A404" s="1">
        <v>13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"2026-05-16 13:05:04.514"</f>
        <v>2026-05-16 13:05:04.514</v>
      </c>
      <c r="H404" t="s">
        <v>21</v>
      </c>
    </row>
    <row r="405" spans="1:10" x14ac:dyDescent="0.25">
      <c r="A405" s="1">
        <v>14</v>
      </c>
      <c r="B405" t="s">
        <v>22</v>
      </c>
      <c r="C405">
        <v>635</v>
      </c>
      <c r="D405">
        <v>1</v>
      </c>
      <c r="E405" t="s">
        <v>34</v>
      </c>
      <c r="F405" t="s">
        <v>35</v>
      </c>
      <c r="G405" t="str">
        <f>"2026-05-15 14:41:01.174"</f>
        <v>2026-05-15 14:41:01.174</v>
      </c>
      <c r="H405" t="s">
        <v>21</v>
      </c>
    </row>
    <row r="406" spans="1:10" x14ac:dyDescent="0.25">
      <c r="A406" s="1">
        <v>15</v>
      </c>
      <c r="B406" t="s">
        <v>36</v>
      </c>
      <c r="C406">
        <v>635</v>
      </c>
      <c r="D406">
        <v>1</v>
      </c>
      <c r="E406" t="s">
        <v>34</v>
      </c>
      <c r="F406" t="s">
        <v>35</v>
      </c>
      <c r="G406" t="str">
        <f>"2026-05-15 14:38:19.675"</f>
        <v>2026-05-15 14:38:19.675</v>
      </c>
      <c r="H406" t="s">
        <v>21</v>
      </c>
      <c r="I406">
        <v>-0.3</v>
      </c>
      <c r="J406" t="s">
        <v>28</v>
      </c>
    </row>
    <row r="407" spans="1:10" x14ac:dyDescent="0.25">
      <c r="A407" s="1">
        <v>16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"2026-05-14 16:36:22.515"</f>
        <v>2026-05-14 16:36:22.515</v>
      </c>
      <c r="H407" t="s">
        <v>21</v>
      </c>
      <c r="I407">
        <v>0</v>
      </c>
      <c r="J407" t="s">
        <v>33</v>
      </c>
    </row>
    <row r="408" spans="1:10" x14ac:dyDescent="0.25">
      <c r="A408" s="1">
        <v>17</v>
      </c>
      <c r="B408" t="s">
        <v>19</v>
      </c>
      <c r="C408">
        <v>706</v>
      </c>
      <c r="D408">
        <v>4</v>
      </c>
      <c r="E408" t="s">
        <v>29</v>
      </c>
      <c r="F408" t="s">
        <v>53</v>
      </c>
      <c r="G408" t="str">
        <f>"2026-05-14 16:10:18.357"</f>
        <v>2026-05-14 16:10:18.357</v>
      </c>
      <c r="H408" t="s">
        <v>21</v>
      </c>
      <c r="I408">
        <v>0</v>
      </c>
      <c r="J408" t="s">
        <v>31</v>
      </c>
    </row>
    <row r="409" spans="1:10" x14ac:dyDescent="0.25">
      <c r="A409" s="1">
        <v>18</v>
      </c>
      <c r="B409" t="s">
        <v>19</v>
      </c>
      <c r="C409">
        <v>706</v>
      </c>
      <c r="D409">
        <v>2</v>
      </c>
      <c r="E409" t="s">
        <v>29</v>
      </c>
      <c r="F409" t="s">
        <v>30</v>
      </c>
      <c r="G409" t="str">
        <f>"2026-05-14 16:10:05.797"</f>
        <v>2026-05-14 16:10:05.797</v>
      </c>
      <c r="H409" t="s">
        <v>21</v>
      </c>
      <c r="I409">
        <v>0</v>
      </c>
      <c r="J409" t="s">
        <v>31</v>
      </c>
    </row>
    <row r="410" spans="1:10" x14ac:dyDescent="0.25">
      <c r="A410" s="1">
        <v>19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"2026-05-14 16:04:17.527"</f>
        <v>2026-05-14 16:04:17.527</v>
      </c>
      <c r="H410" t="s">
        <v>21</v>
      </c>
      <c r="I410">
        <v>0</v>
      </c>
      <c r="J410" t="s">
        <v>33</v>
      </c>
    </row>
    <row r="411" spans="1:10" x14ac:dyDescent="0.25">
      <c r="A411" s="1">
        <v>20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"2026-05-14 10:16:33.549"</f>
        <v>2026-05-14 10:16:33.549</v>
      </c>
      <c r="H411" t="s">
        <v>21</v>
      </c>
      <c r="I411">
        <v>0</v>
      </c>
      <c r="J411" t="s">
        <v>33</v>
      </c>
    </row>
    <row r="412" spans="1:10" x14ac:dyDescent="0.25">
      <c r="A412" s="1">
        <v>21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"2026-05-13 12:23:12.538"</f>
        <v>2026-05-13 12:23:12.538</v>
      </c>
      <c r="H412" t="s">
        <v>21</v>
      </c>
    </row>
    <row r="413" spans="1:10" x14ac:dyDescent="0.25">
      <c r="A413" s="1">
        <v>22</v>
      </c>
      <c r="B413" t="s">
        <v>22</v>
      </c>
      <c r="C413">
        <v>635</v>
      </c>
      <c r="D413">
        <v>1</v>
      </c>
      <c r="E413" t="s">
        <v>34</v>
      </c>
      <c r="F413" t="s">
        <v>35</v>
      </c>
      <c r="G413" t="str">
        <f>"2026-05-13 11:20:49.203"</f>
        <v>2026-05-13 11:20:49.203</v>
      </c>
      <c r="H413" t="s">
        <v>21</v>
      </c>
    </row>
    <row r="414" spans="1:10" x14ac:dyDescent="0.25">
      <c r="A414" s="1">
        <v>23</v>
      </c>
      <c r="B414" t="s">
        <v>36</v>
      </c>
      <c r="C414">
        <v>635</v>
      </c>
      <c r="D414">
        <v>1</v>
      </c>
      <c r="E414" t="s">
        <v>34</v>
      </c>
      <c r="F414" t="s">
        <v>35</v>
      </c>
      <c r="G414" t="str">
        <f>"2026-05-13 11:06:43.804"</f>
        <v>2026-05-13 11:06:43.804</v>
      </c>
      <c r="H414" t="s">
        <v>21</v>
      </c>
      <c r="I414">
        <v>0.54</v>
      </c>
      <c r="J414" t="s">
        <v>37</v>
      </c>
    </row>
    <row r="415" spans="1:10" x14ac:dyDescent="0.25">
      <c r="A415" s="1">
        <v>24</v>
      </c>
      <c r="B415" t="s">
        <v>22</v>
      </c>
      <c r="C415">
        <v>42</v>
      </c>
      <c r="D415">
        <v>1</v>
      </c>
      <c r="E415" t="s">
        <v>68</v>
      </c>
      <c r="F415" t="s">
        <v>69</v>
      </c>
      <c r="G415" t="str">
        <f>"2026-05-12 15:02:52.562"</f>
        <v>2026-05-12 15:02:52.562</v>
      </c>
      <c r="H415" t="s">
        <v>70</v>
      </c>
    </row>
    <row r="416" spans="1:10" x14ac:dyDescent="0.25">
      <c r="A416" s="1">
        <v>25</v>
      </c>
      <c r="B416" t="s">
        <v>36</v>
      </c>
      <c r="C416">
        <v>42</v>
      </c>
      <c r="D416">
        <v>1</v>
      </c>
      <c r="E416" t="s">
        <v>68</v>
      </c>
      <c r="F416" t="s">
        <v>69</v>
      </c>
      <c r="G416" t="str">
        <f>"2026-05-12 15:02:46.742"</f>
        <v>2026-05-12 15:02:46.742</v>
      </c>
      <c r="H416" t="s">
        <v>70</v>
      </c>
      <c r="I416">
        <v>0</v>
      </c>
      <c r="J416" t="s">
        <v>31</v>
      </c>
    </row>
    <row r="417" spans="1:10" x14ac:dyDescent="0.25">
      <c r="A417" s="1">
        <v>26</v>
      </c>
      <c r="B417" t="s">
        <v>19</v>
      </c>
      <c r="C417">
        <v>706</v>
      </c>
      <c r="D417">
        <v>2</v>
      </c>
      <c r="E417" t="s">
        <v>29</v>
      </c>
      <c r="F417" t="s">
        <v>30</v>
      </c>
      <c r="G417" t="str">
        <f>"2026-05-12 13:32:14.353"</f>
        <v>2026-05-12 13:32:14.353</v>
      </c>
      <c r="H417" t="s">
        <v>21</v>
      </c>
      <c r="I417">
        <v>0</v>
      </c>
      <c r="J417" t="s">
        <v>31</v>
      </c>
    </row>
    <row r="418" spans="1:10" x14ac:dyDescent="0.25">
      <c r="A418" s="1">
        <v>27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"2026-05-12 13:19:13.673"</f>
        <v>2026-05-12 13:19:13.673</v>
      </c>
      <c r="H418" t="s">
        <v>21</v>
      </c>
    </row>
    <row r="419" spans="1:10" x14ac:dyDescent="0.25">
      <c r="A419" s="1">
        <v>28</v>
      </c>
      <c r="B419" t="s">
        <v>19</v>
      </c>
      <c r="C419">
        <v>700</v>
      </c>
      <c r="D419">
        <v>0</v>
      </c>
      <c r="E419" t="s">
        <v>20</v>
      </c>
      <c r="F419" t="s">
        <v>20</v>
      </c>
      <c r="G419" t="str">
        <f>"2026-05-11 13:47:10.507"</f>
        <v>2026-05-11 13:47:10.507</v>
      </c>
      <c r="H419" t="s">
        <v>21</v>
      </c>
    </row>
    <row r="420" spans="1:10" x14ac:dyDescent="0.25">
      <c r="A420" s="1">
        <v>29</v>
      </c>
      <c r="B420" t="s">
        <v>19</v>
      </c>
      <c r="C420">
        <v>700</v>
      </c>
      <c r="D420">
        <v>0</v>
      </c>
      <c r="E420" t="s">
        <v>20</v>
      </c>
      <c r="F420" t="s">
        <v>20</v>
      </c>
      <c r="G420" t="str">
        <f>"2026-05-10 13:09:52.517"</f>
        <v>2026-05-10 13:09:52.517</v>
      </c>
      <c r="H420" t="s">
        <v>21</v>
      </c>
      <c r="I420">
        <v>0</v>
      </c>
      <c r="J420" t="s">
        <v>33</v>
      </c>
    </row>
    <row r="421" spans="1:10" x14ac:dyDescent="0.25">
      <c r="A421" s="1">
        <v>30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"2026-05-10 11:54:28.524"</f>
        <v>2026-05-10 11:54:28.524</v>
      </c>
      <c r="H421" t="s">
        <v>21</v>
      </c>
      <c r="I421">
        <v>0</v>
      </c>
      <c r="J421" t="s">
        <v>33</v>
      </c>
    </row>
    <row r="422" spans="1:10" x14ac:dyDescent="0.25">
      <c r="A422" s="1">
        <v>31</v>
      </c>
      <c r="B422" t="s">
        <v>22</v>
      </c>
      <c r="C422">
        <v>42</v>
      </c>
      <c r="D422">
        <v>1</v>
      </c>
      <c r="E422" t="s">
        <v>68</v>
      </c>
      <c r="F422" t="s">
        <v>69</v>
      </c>
      <c r="G422" t="str">
        <f>"2026-05-10 11:07:17.797"</f>
        <v>2026-05-10 11:07:17.797</v>
      </c>
      <c r="H422" t="s">
        <v>70</v>
      </c>
    </row>
    <row r="423" spans="1:10" x14ac:dyDescent="0.25">
      <c r="A423" s="1">
        <v>32</v>
      </c>
      <c r="B423" t="s">
        <v>36</v>
      </c>
      <c r="C423">
        <v>42</v>
      </c>
      <c r="D423">
        <v>1</v>
      </c>
      <c r="E423" t="s">
        <v>68</v>
      </c>
      <c r="F423" t="s">
        <v>69</v>
      </c>
      <c r="G423" t="str">
        <f>"2026-05-10 11:07:04.577"</f>
        <v>2026-05-10 11:07:04.577</v>
      </c>
      <c r="H423" t="s">
        <v>70</v>
      </c>
      <c r="I423">
        <v>0</v>
      </c>
      <c r="J423" t="s">
        <v>31</v>
      </c>
    </row>
    <row r="424" spans="1:10" x14ac:dyDescent="0.25">
      <c r="A424" s="1">
        <v>33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"2026-05-10 10:40:39.505"</f>
        <v>2026-05-10 10:40:39.505</v>
      </c>
      <c r="H424" t="s">
        <v>21</v>
      </c>
    </row>
    <row r="425" spans="1:10" x14ac:dyDescent="0.25">
      <c r="A425" s="1">
        <v>34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"2026-05-10 10:15:38.520"</f>
        <v>2026-05-10 10:15:38.520</v>
      </c>
      <c r="H425" t="s">
        <v>21</v>
      </c>
      <c r="I425">
        <v>0</v>
      </c>
      <c r="J425" t="s">
        <v>33</v>
      </c>
    </row>
    <row r="426" spans="1:10" x14ac:dyDescent="0.25">
      <c r="A426" s="1">
        <v>35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"2026-05-10 10:07:28.655"</f>
        <v>2026-05-10 10:07:28.655</v>
      </c>
      <c r="H426" t="s">
        <v>21</v>
      </c>
      <c r="I426">
        <v>0</v>
      </c>
      <c r="J426" t="s">
        <v>33</v>
      </c>
    </row>
    <row r="427" spans="1:10" x14ac:dyDescent="0.25">
      <c r="A427" s="1">
        <v>36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"2026-05-10 10:05:06.519"</f>
        <v>2026-05-10 10:05:06.519</v>
      </c>
      <c r="H427" t="s">
        <v>21</v>
      </c>
      <c r="I427">
        <v>0</v>
      </c>
      <c r="J427" t="s">
        <v>33</v>
      </c>
    </row>
    <row r="428" spans="1:10" x14ac:dyDescent="0.25">
      <c r="A428" s="1">
        <v>37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"2026-05-10 10:02:41.588"</f>
        <v>2026-05-10 10:02:41.588</v>
      </c>
      <c r="H428" t="s">
        <v>21</v>
      </c>
    </row>
    <row r="429" spans="1:10" x14ac:dyDescent="0.25">
      <c r="A429" s="1">
        <v>38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"2026-05-10 09:53:48.511"</f>
        <v>2026-05-10 09:53:48.511</v>
      </c>
      <c r="H429" t="s">
        <v>21</v>
      </c>
      <c r="I429">
        <v>0</v>
      </c>
      <c r="J429" t="s">
        <v>33</v>
      </c>
    </row>
    <row r="430" spans="1:10" x14ac:dyDescent="0.25">
      <c r="A430" s="1">
        <v>39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"2026-05-10 09:48:17.511"</f>
        <v>2026-05-10 09:48:17.511</v>
      </c>
      <c r="H430" t="s">
        <v>21</v>
      </c>
    </row>
    <row r="431" spans="1:10" x14ac:dyDescent="0.25">
      <c r="A431" s="1">
        <v>40</v>
      </c>
      <c r="B431" t="s">
        <v>19</v>
      </c>
      <c r="C431">
        <v>706</v>
      </c>
      <c r="D431">
        <v>4</v>
      </c>
      <c r="E431" t="s">
        <v>29</v>
      </c>
      <c r="F431" t="s">
        <v>53</v>
      </c>
      <c r="G431" t="str">
        <f>"2026-05-10 09:44:52.551"</f>
        <v>2026-05-10 09:44:52.551</v>
      </c>
      <c r="H431" t="s">
        <v>21</v>
      </c>
      <c r="I431">
        <v>0</v>
      </c>
      <c r="J431" t="s">
        <v>31</v>
      </c>
    </row>
    <row r="432" spans="1:10" x14ac:dyDescent="0.25">
      <c r="A432" s="1">
        <v>41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"2026-05-10 09:41:37.521"</f>
        <v>2026-05-10 09:41:37.521</v>
      </c>
      <c r="H432" t="s">
        <v>21</v>
      </c>
    </row>
    <row r="433" spans="1:10" x14ac:dyDescent="0.25">
      <c r="A433" s="1">
        <v>42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"2026-05-10 03:56:59.526"</f>
        <v>2026-05-10 03:56:59.526</v>
      </c>
      <c r="H433" t="s">
        <v>21</v>
      </c>
      <c r="I433">
        <v>0</v>
      </c>
      <c r="J433" t="s">
        <v>33</v>
      </c>
    </row>
    <row r="434" spans="1:10" x14ac:dyDescent="0.25">
      <c r="A434" s="1">
        <v>43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"2026-05-10 03:52:56.530"</f>
        <v>2026-05-10 03:52:56.530</v>
      </c>
      <c r="H434" t="s">
        <v>21</v>
      </c>
      <c r="I434">
        <v>0</v>
      </c>
      <c r="J434" t="s">
        <v>33</v>
      </c>
    </row>
    <row r="435" spans="1:10" x14ac:dyDescent="0.25">
      <c r="A435" s="1">
        <v>44</v>
      </c>
      <c r="B435" t="s">
        <v>19</v>
      </c>
      <c r="C435">
        <v>706</v>
      </c>
      <c r="D435">
        <v>2</v>
      </c>
      <c r="E435" t="s">
        <v>29</v>
      </c>
      <c r="F435" t="s">
        <v>30</v>
      </c>
      <c r="G435" t="str">
        <f>"2026-05-09 21:01:05.080"</f>
        <v>2026-05-09 21:01:05.080</v>
      </c>
      <c r="H435" t="s">
        <v>21</v>
      </c>
      <c r="I435">
        <v>0</v>
      </c>
      <c r="J435" t="s">
        <v>31</v>
      </c>
    </row>
    <row r="436" spans="1:10" x14ac:dyDescent="0.25">
      <c r="A436" s="1">
        <v>45</v>
      </c>
      <c r="B436" t="s">
        <v>19</v>
      </c>
      <c r="C436">
        <v>700</v>
      </c>
      <c r="D436">
        <v>0</v>
      </c>
      <c r="E436" t="s">
        <v>20</v>
      </c>
      <c r="F436" t="s">
        <v>20</v>
      </c>
      <c r="G436" t="str">
        <f>"2026-05-09 21:00:45.520"</f>
        <v>2026-05-09 21:00:45.520</v>
      </c>
      <c r="H436" t="s">
        <v>21</v>
      </c>
      <c r="I436">
        <v>0</v>
      </c>
      <c r="J436" t="s">
        <v>33</v>
      </c>
    </row>
    <row r="437" spans="1:10" x14ac:dyDescent="0.25">
      <c r="A437" s="1">
        <v>46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"2026-05-09 20:50:43.518"</f>
        <v>2026-05-09 20:50:43.518</v>
      </c>
      <c r="H437" t="s">
        <v>21</v>
      </c>
      <c r="I437">
        <v>0</v>
      </c>
      <c r="J437" t="s">
        <v>33</v>
      </c>
    </row>
    <row r="438" spans="1:10" x14ac:dyDescent="0.25">
      <c r="A438" s="1">
        <v>47</v>
      </c>
      <c r="B438" t="s">
        <v>26</v>
      </c>
      <c r="C438">
        <v>47</v>
      </c>
      <c r="D438">
        <v>2</v>
      </c>
      <c r="E438" t="s">
        <v>71</v>
      </c>
      <c r="F438" t="s">
        <v>72</v>
      </c>
      <c r="G438" t="str">
        <f>"2026-05-09 20:37:31.017"</f>
        <v>2026-05-09 20:37:31.017</v>
      </c>
      <c r="H438" t="s">
        <v>46</v>
      </c>
      <c r="I438">
        <v>0</v>
      </c>
      <c r="J438" t="s">
        <v>73</v>
      </c>
    </row>
    <row r="439" spans="1:10" x14ac:dyDescent="0.25">
      <c r="A439" s="1">
        <v>48</v>
      </c>
      <c r="B439" t="s">
        <v>19</v>
      </c>
      <c r="C439">
        <v>706</v>
      </c>
      <c r="D439">
        <v>4</v>
      </c>
      <c r="E439" t="s">
        <v>29</v>
      </c>
      <c r="F439" t="s">
        <v>53</v>
      </c>
      <c r="G439" t="str">
        <f>"2026-05-09 20:36:56.846"</f>
        <v>2026-05-09 20:36:56.846</v>
      </c>
      <c r="H439" t="s">
        <v>21</v>
      </c>
      <c r="I439">
        <v>0</v>
      </c>
      <c r="J439" t="s">
        <v>31</v>
      </c>
    </row>
    <row r="440" spans="1:10" x14ac:dyDescent="0.25">
      <c r="A440" s="1">
        <v>49</v>
      </c>
      <c r="B440" t="s">
        <v>19</v>
      </c>
      <c r="C440">
        <v>706</v>
      </c>
      <c r="D440">
        <v>4</v>
      </c>
      <c r="E440" t="s">
        <v>29</v>
      </c>
      <c r="F440" t="s">
        <v>53</v>
      </c>
      <c r="G440" t="str">
        <f>"2026-05-09 20:36:50.046"</f>
        <v>2026-05-09 20:36:50.046</v>
      </c>
      <c r="H440" t="s">
        <v>21</v>
      </c>
      <c r="I440">
        <v>0</v>
      </c>
      <c r="J440" t="s">
        <v>31</v>
      </c>
    </row>
    <row r="441" spans="1:10" x14ac:dyDescent="0.25">
      <c r="A441" s="1">
        <v>50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"2026-05-09 20:36:03.496"</f>
        <v>2026-05-09 20:36:03.496</v>
      </c>
      <c r="H441" t="s">
        <v>21</v>
      </c>
    </row>
    <row r="442" spans="1:10" x14ac:dyDescent="0.25">
      <c r="A442" s="1">
        <v>51</v>
      </c>
      <c r="B442" t="s">
        <v>19</v>
      </c>
      <c r="C442">
        <v>706</v>
      </c>
      <c r="D442">
        <v>2</v>
      </c>
      <c r="E442" t="s">
        <v>29</v>
      </c>
      <c r="F442" t="s">
        <v>30</v>
      </c>
      <c r="G442" t="str">
        <f>"2026-05-09 15:13:51.890"</f>
        <v>2026-05-09 15:13:51.890</v>
      </c>
      <c r="H442" t="s">
        <v>21</v>
      </c>
      <c r="I442">
        <v>0</v>
      </c>
      <c r="J442" t="s">
        <v>31</v>
      </c>
    </row>
    <row r="443" spans="1:10" x14ac:dyDescent="0.25">
      <c r="A443" s="1">
        <v>53</v>
      </c>
      <c r="B443" t="s">
        <v>19</v>
      </c>
      <c r="C443">
        <v>700</v>
      </c>
      <c r="D443">
        <v>0</v>
      </c>
      <c r="E443" t="s">
        <v>20</v>
      </c>
      <c r="F443" t="s">
        <v>20</v>
      </c>
      <c r="G443" t="str">
        <f>"2026-05-09 15:08:52.590"</f>
        <v>2026-05-09 15:08:52.590</v>
      </c>
      <c r="H443" t="s">
        <v>21</v>
      </c>
      <c r="I443">
        <v>0</v>
      </c>
      <c r="J443" t="s">
        <v>33</v>
      </c>
    </row>
    <row r="444" spans="1:10" x14ac:dyDescent="0.25">
      <c r="A444" s="1">
        <v>54</v>
      </c>
      <c r="B444" t="s">
        <v>26</v>
      </c>
      <c r="C444">
        <v>47</v>
      </c>
      <c r="D444">
        <v>2</v>
      </c>
      <c r="E444" t="s">
        <v>71</v>
      </c>
      <c r="F444" t="s">
        <v>72</v>
      </c>
      <c r="G444" t="str">
        <f>"2026-05-07 19:14:23.928"</f>
        <v>2026-05-07 19:14:23.928</v>
      </c>
      <c r="H444" t="s">
        <v>46</v>
      </c>
      <c r="I444">
        <v>0</v>
      </c>
      <c r="J444" t="s">
        <v>28</v>
      </c>
    </row>
    <row r="445" spans="1:10" x14ac:dyDescent="0.25">
      <c r="A445" s="1">
        <v>56</v>
      </c>
      <c r="B445" t="s">
        <v>22</v>
      </c>
      <c r="C445">
        <v>635</v>
      </c>
      <c r="D445">
        <v>1</v>
      </c>
      <c r="E445" t="s">
        <v>34</v>
      </c>
      <c r="F445" t="s">
        <v>35</v>
      </c>
      <c r="G445" t="str">
        <f>"2026-05-07 18:26:37.835"</f>
        <v>2026-05-07 18:26:37.835</v>
      </c>
      <c r="H445" t="s">
        <v>21</v>
      </c>
    </row>
    <row r="446" spans="1:10" x14ac:dyDescent="0.25">
      <c r="A446" s="1">
        <v>57</v>
      </c>
      <c r="B446" t="s">
        <v>36</v>
      </c>
      <c r="C446">
        <v>635</v>
      </c>
      <c r="D446">
        <v>1</v>
      </c>
      <c r="E446" t="s">
        <v>34</v>
      </c>
      <c r="F446" t="s">
        <v>35</v>
      </c>
      <c r="G446" t="str">
        <f>"2026-05-07 18:23:32.836"</f>
        <v>2026-05-07 18:23:32.836</v>
      </c>
      <c r="H446" t="s">
        <v>21</v>
      </c>
      <c r="I446">
        <v>4.16</v>
      </c>
      <c r="J446" t="s">
        <v>37</v>
      </c>
    </row>
    <row r="447" spans="1:10" x14ac:dyDescent="0.25">
      <c r="A447" s="1">
        <v>58</v>
      </c>
      <c r="B447" t="s">
        <v>19</v>
      </c>
      <c r="C447">
        <v>706</v>
      </c>
      <c r="D447">
        <v>4</v>
      </c>
      <c r="E447" t="s">
        <v>29</v>
      </c>
      <c r="F447" t="s">
        <v>53</v>
      </c>
      <c r="G447" t="str">
        <f>"2026-05-07 16:50:56.037"</f>
        <v>2026-05-07 16:50:56.037</v>
      </c>
      <c r="H447" t="s">
        <v>21</v>
      </c>
      <c r="I447">
        <v>0</v>
      </c>
      <c r="J447" t="s">
        <v>31</v>
      </c>
    </row>
    <row r="448" spans="1:10" x14ac:dyDescent="0.25">
      <c r="A448" s="1">
        <v>59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"2026-05-07 12:32:14.547"</f>
        <v>2026-05-07 12:32:14.547</v>
      </c>
      <c r="H448" t="s">
        <v>21</v>
      </c>
    </row>
    <row r="449" spans="1:10" x14ac:dyDescent="0.25">
      <c r="A449" s="1">
        <v>60</v>
      </c>
      <c r="B449" t="s">
        <v>22</v>
      </c>
      <c r="C449">
        <v>635</v>
      </c>
      <c r="D449">
        <v>1</v>
      </c>
      <c r="E449" t="s">
        <v>34</v>
      </c>
      <c r="F449" t="s">
        <v>35</v>
      </c>
      <c r="G449" t="str">
        <f>"2026-05-07 08:10:31.042"</f>
        <v>2026-05-07 08:10:31.042</v>
      </c>
      <c r="H449" t="s">
        <v>21</v>
      </c>
    </row>
    <row r="450" spans="1:10" x14ac:dyDescent="0.25">
      <c r="A450" s="1">
        <v>61</v>
      </c>
      <c r="B450" t="s">
        <v>36</v>
      </c>
      <c r="C450">
        <v>635</v>
      </c>
      <c r="D450">
        <v>1</v>
      </c>
      <c r="E450" t="s">
        <v>34</v>
      </c>
      <c r="F450" t="s">
        <v>35</v>
      </c>
      <c r="G450" t="str">
        <f>"2026-05-07 08:06:54.542"</f>
        <v>2026-05-07 08:06:54.542</v>
      </c>
      <c r="H450" t="s">
        <v>21</v>
      </c>
      <c r="I450">
        <v>2.93</v>
      </c>
      <c r="J450" t="s">
        <v>37</v>
      </c>
    </row>
    <row r="451" spans="1:10" x14ac:dyDescent="0.25">
      <c r="A451" s="1">
        <v>62</v>
      </c>
      <c r="B451" t="s">
        <v>22</v>
      </c>
      <c r="C451">
        <v>635</v>
      </c>
      <c r="D451">
        <v>1</v>
      </c>
      <c r="E451" t="s">
        <v>34</v>
      </c>
      <c r="F451" t="s">
        <v>35</v>
      </c>
      <c r="G451" t="str">
        <f>"2026-05-07 07:23:50.142"</f>
        <v>2026-05-07 07:23:50.142</v>
      </c>
      <c r="H451" t="s">
        <v>21</v>
      </c>
    </row>
    <row r="452" spans="1:10" x14ac:dyDescent="0.25">
      <c r="A452" s="1">
        <v>63</v>
      </c>
      <c r="B452" t="s">
        <v>36</v>
      </c>
      <c r="C452">
        <v>635</v>
      </c>
      <c r="D452">
        <v>1</v>
      </c>
      <c r="E452" t="s">
        <v>34</v>
      </c>
      <c r="F452" t="s">
        <v>35</v>
      </c>
      <c r="G452" t="str">
        <f>"2026-05-07 07:20:13.642"</f>
        <v>2026-05-07 07:20:13.642</v>
      </c>
      <c r="H452" t="s">
        <v>21</v>
      </c>
      <c r="I452">
        <v>1.51</v>
      </c>
      <c r="J452" t="s">
        <v>28</v>
      </c>
    </row>
    <row r="453" spans="1:10" x14ac:dyDescent="0.25">
      <c r="A453" s="1">
        <v>64</v>
      </c>
      <c r="B453" t="s">
        <v>19</v>
      </c>
      <c r="C453">
        <v>706</v>
      </c>
      <c r="D453">
        <v>2</v>
      </c>
      <c r="E453" t="s">
        <v>29</v>
      </c>
      <c r="F453" t="s">
        <v>30</v>
      </c>
      <c r="G453" t="str">
        <f>"2026-05-06 13:45:55.542"</f>
        <v>2026-05-06 13:45:55.542</v>
      </c>
      <c r="H453" t="s">
        <v>21</v>
      </c>
      <c r="I453">
        <v>0</v>
      </c>
      <c r="J453" t="s">
        <v>31</v>
      </c>
    </row>
    <row r="454" spans="1:10" x14ac:dyDescent="0.25">
      <c r="A454" s="1">
        <v>65</v>
      </c>
      <c r="B454" t="s">
        <v>19</v>
      </c>
      <c r="C454">
        <v>700</v>
      </c>
      <c r="D454">
        <v>0</v>
      </c>
      <c r="E454" t="s">
        <v>20</v>
      </c>
      <c r="F454" t="s">
        <v>20</v>
      </c>
      <c r="G454" t="str">
        <f>"2026-05-06 13:26:51.512"</f>
        <v>2026-05-06 13:26:51.512</v>
      </c>
      <c r="H454" t="s">
        <v>21</v>
      </c>
      <c r="I454">
        <v>0</v>
      </c>
      <c r="J454" t="s">
        <v>33</v>
      </c>
    </row>
    <row r="455" spans="1:10" x14ac:dyDescent="0.25">
      <c r="A455" s="1">
        <v>66</v>
      </c>
      <c r="B455" t="s">
        <v>22</v>
      </c>
      <c r="C455">
        <v>635</v>
      </c>
      <c r="D455">
        <v>1</v>
      </c>
      <c r="E455" t="s">
        <v>34</v>
      </c>
      <c r="F455" t="s">
        <v>35</v>
      </c>
      <c r="G455" t="str">
        <f>"2026-05-06 03:47:04.218"</f>
        <v>2026-05-06 03:47:04.218</v>
      </c>
      <c r="H455" t="s">
        <v>21</v>
      </c>
    </row>
    <row r="456" spans="1:10" x14ac:dyDescent="0.25">
      <c r="A456" s="1">
        <v>67</v>
      </c>
      <c r="B456" t="s">
        <v>36</v>
      </c>
      <c r="C456">
        <v>635</v>
      </c>
      <c r="D456">
        <v>1</v>
      </c>
      <c r="E456" t="s">
        <v>34</v>
      </c>
      <c r="F456" t="s">
        <v>35</v>
      </c>
      <c r="G456" t="str">
        <f>"2026-05-06 03:44:19.218"</f>
        <v>2026-05-06 03:44:19.218</v>
      </c>
      <c r="H456" t="s">
        <v>21</v>
      </c>
      <c r="I456">
        <v>2.12</v>
      </c>
      <c r="J456" t="s">
        <v>37</v>
      </c>
    </row>
    <row r="457" spans="1:10" x14ac:dyDescent="0.25">
      <c r="A457" s="1">
        <v>68</v>
      </c>
      <c r="B457" t="s">
        <v>22</v>
      </c>
      <c r="C457">
        <v>635</v>
      </c>
      <c r="D457">
        <v>1</v>
      </c>
      <c r="E457" t="s">
        <v>34</v>
      </c>
      <c r="F457" t="s">
        <v>35</v>
      </c>
      <c r="G457" t="str">
        <f>"2026-05-06 00:49:53.518"</f>
        <v>2026-05-06 00:49:53.518</v>
      </c>
      <c r="H457" t="s">
        <v>21</v>
      </c>
    </row>
    <row r="458" spans="1:10" x14ac:dyDescent="0.25">
      <c r="A458" s="1">
        <v>69</v>
      </c>
      <c r="B458" t="s">
        <v>36</v>
      </c>
      <c r="C458">
        <v>635</v>
      </c>
      <c r="D458">
        <v>1</v>
      </c>
      <c r="E458" t="s">
        <v>34</v>
      </c>
      <c r="F458" t="s">
        <v>35</v>
      </c>
      <c r="G458" t="str">
        <f>"2026-05-06 00:46:22.018"</f>
        <v>2026-05-06 00:46:22.018</v>
      </c>
      <c r="H458" t="s">
        <v>21</v>
      </c>
      <c r="I458">
        <v>2.86</v>
      </c>
      <c r="J458" t="s">
        <v>37</v>
      </c>
    </row>
    <row r="459" spans="1:10" x14ac:dyDescent="0.25">
      <c r="A459" s="1">
        <v>70</v>
      </c>
      <c r="B459" t="s">
        <v>22</v>
      </c>
      <c r="C459">
        <v>635</v>
      </c>
      <c r="D459">
        <v>1</v>
      </c>
      <c r="E459" t="s">
        <v>34</v>
      </c>
      <c r="F459" t="s">
        <v>35</v>
      </c>
      <c r="G459" t="str">
        <f>"2026-05-05 09:12:38.018"</f>
        <v>2026-05-05 09:12:38.018</v>
      </c>
      <c r="H459" t="s">
        <v>21</v>
      </c>
    </row>
    <row r="460" spans="1:10" x14ac:dyDescent="0.25">
      <c r="A460" s="1">
        <v>71</v>
      </c>
      <c r="B460" t="s">
        <v>36</v>
      </c>
      <c r="C460">
        <v>635</v>
      </c>
      <c r="D460">
        <v>1</v>
      </c>
      <c r="E460" t="s">
        <v>34</v>
      </c>
      <c r="F460" t="s">
        <v>35</v>
      </c>
      <c r="G460" t="str">
        <f>"2026-05-05 09:09:53.018"</f>
        <v>2026-05-05 09:09:53.018</v>
      </c>
      <c r="H460" t="s">
        <v>21</v>
      </c>
      <c r="I460">
        <v>5.01</v>
      </c>
      <c r="J460" t="s">
        <v>37</v>
      </c>
    </row>
    <row r="461" spans="1:10" x14ac:dyDescent="0.25">
      <c r="A461" s="1">
        <v>72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"2026-05-04 13:57:32.515"</f>
        <v>2026-05-04 13:57:32.515</v>
      </c>
      <c r="H461" t="s">
        <v>21</v>
      </c>
    </row>
    <row r="462" spans="1:10" x14ac:dyDescent="0.25">
      <c r="A462" s="1">
        <v>73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"2026-05-04 09:11:39.523"</f>
        <v>2026-05-04 09:11:39.523</v>
      </c>
      <c r="H462" t="s">
        <v>21</v>
      </c>
    </row>
    <row r="463" spans="1:10" x14ac:dyDescent="0.25">
      <c r="A463" s="1">
        <v>74</v>
      </c>
      <c r="B463" t="s">
        <v>19</v>
      </c>
      <c r="C463">
        <v>706</v>
      </c>
      <c r="D463">
        <v>4</v>
      </c>
      <c r="E463" t="s">
        <v>29</v>
      </c>
      <c r="F463" t="s">
        <v>53</v>
      </c>
      <c r="G463" t="str">
        <f>"2026-05-03 14:16:46.138"</f>
        <v>2026-05-03 14:16:46.138</v>
      </c>
      <c r="H463" t="s">
        <v>21</v>
      </c>
      <c r="I463">
        <v>0</v>
      </c>
      <c r="J463" t="s">
        <v>31</v>
      </c>
    </row>
    <row r="464" spans="1:10" x14ac:dyDescent="0.25">
      <c r="A464" s="1">
        <v>75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"2026-05-03 13:16:10.518"</f>
        <v>2026-05-03 13:16:10.518</v>
      </c>
      <c r="H464" t="s">
        <v>21</v>
      </c>
    </row>
    <row r="465" spans="1:10" x14ac:dyDescent="0.25">
      <c r="A465" s="1">
        <v>76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"2026-05-02 15:05:04.524"</f>
        <v>2026-05-02 15:05:04.524</v>
      </c>
      <c r="H465" t="s">
        <v>21</v>
      </c>
    </row>
    <row r="466" spans="1:10" x14ac:dyDescent="0.25">
      <c r="A466" s="1">
        <v>77</v>
      </c>
      <c r="B466" t="s">
        <v>19</v>
      </c>
      <c r="C466">
        <v>706</v>
      </c>
      <c r="D466">
        <v>2</v>
      </c>
      <c r="E466" t="s">
        <v>29</v>
      </c>
      <c r="F466" t="s">
        <v>30</v>
      </c>
      <c r="G466" t="str">
        <f>"2026-05-02 09:25:27.272"</f>
        <v>2026-05-02 09:25:27.272</v>
      </c>
      <c r="H466" t="s">
        <v>21</v>
      </c>
      <c r="I466">
        <v>0</v>
      </c>
      <c r="J466" t="s">
        <v>31</v>
      </c>
    </row>
    <row r="467" spans="1:10" x14ac:dyDescent="0.25">
      <c r="A467" s="1">
        <v>78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"2026-05-02 09:20:30.522"</f>
        <v>2026-05-02 09:20:30.522</v>
      </c>
      <c r="H467" t="s">
        <v>21</v>
      </c>
    </row>
    <row r="468" spans="1:10" x14ac:dyDescent="0.25">
      <c r="A468" s="1">
        <v>81</v>
      </c>
      <c r="B468" t="s">
        <v>19</v>
      </c>
      <c r="C468">
        <v>706</v>
      </c>
      <c r="D468">
        <v>4</v>
      </c>
      <c r="E468" t="s">
        <v>29</v>
      </c>
      <c r="F468" t="s">
        <v>53</v>
      </c>
      <c r="G468" t="str">
        <f>"2026-05-02 08:57:31.671"</f>
        <v>2026-05-02 08:57:31.671</v>
      </c>
      <c r="H468" t="s">
        <v>21</v>
      </c>
      <c r="I468">
        <v>0</v>
      </c>
      <c r="J468" t="s">
        <v>31</v>
      </c>
    </row>
    <row r="469" spans="1:10" x14ac:dyDescent="0.25">
      <c r="A469" s="1">
        <v>82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"2026-05-02 08:54:54.601"</f>
        <v>2026-05-02 08:54:54.601</v>
      </c>
      <c r="H469" t="s">
        <v>21</v>
      </c>
      <c r="I469">
        <v>0</v>
      </c>
      <c r="J469" t="s">
        <v>33</v>
      </c>
    </row>
    <row r="470" spans="1:10" x14ac:dyDescent="0.25">
      <c r="A470" s="1">
        <v>83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"2026-05-02 08:39:37.556"</f>
        <v>2026-05-02 08:39:37.556</v>
      </c>
      <c r="H470" t="s">
        <v>21</v>
      </c>
    </row>
    <row r="471" spans="1:10" x14ac:dyDescent="0.25">
      <c r="A471" s="1">
        <v>84</v>
      </c>
      <c r="B471" t="s">
        <v>22</v>
      </c>
      <c r="C471">
        <v>619</v>
      </c>
      <c r="D471">
        <v>1</v>
      </c>
      <c r="E471" t="s">
        <v>74</v>
      </c>
      <c r="F471" t="s">
        <v>35</v>
      </c>
      <c r="G471" t="str">
        <f>"2026-05-02 08:36:01.588"</f>
        <v>2026-05-02 08:36:01.588</v>
      </c>
      <c r="H471" t="s">
        <v>75</v>
      </c>
    </row>
    <row r="472" spans="1:10" x14ac:dyDescent="0.25">
      <c r="A472" s="1">
        <v>85</v>
      </c>
      <c r="B472" t="s">
        <v>36</v>
      </c>
      <c r="C472">
        <v>619</v>
      </c>
      <c r="D472">
        <v>1</v>
      </c>
      <c r="E472" t="s">
        <v>74</v>
      </c>
      <c r="F472" t="s">
        <v>35</v>
      </c>
      <c r="G472" t="str">
        <f>"2026-05-02 08:35:09.188"</f>
        <v>2026-05-02 08:35:09.188</v>
      </c>
      <c r="H472" t="s">
        <v>75</v>
      </c>
      <c r="I472">
        <v>6.58</v>
      </c>
      <c r="J472" t="s">
        <v>37</v>
      </c>
    </row>
    <row r="473" spans="1:10" x14ac:dyDescent="0.25">
      <c r="A473" s="1">
        <v>86</v>
      </c>
      <c r="B473" t="s">
        <v>19</v>
      </c>
      <c r="C473">
        <v>706</v>
      </c>
      <c r="D473">
        <v>4</v>
      </c>
      <c r="E473" t="s">
        <v>29</v>
      </c>
      <c r="F473" t="s">
        <v>53</v>
      </c>
      <c r="G473" t="str">
        <f>"2026-05-01 14:00:44.581"</f>
        <v>2026-05-01 14:00:44.581</v>
      </c>
      <c r="H473" t="s">
        <v>21</v>
      </c>
      <c r="I473">
        <v>0</v>
      </c>
      <c r="J473" t="s">
        <v>31</v>
      </c>
    </row>
    <row r="474" spans="1:10" x14ac:dyDescent="0.25">
      <c r="A474" s="1">
        <v>87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"2026-05-01 05:15:40.511"</f>
        <v>2026-05-01 05:15:40.511</v>
      </c>
      <c r="H474" t="s">
        <v>21</v>
      </c>
      <c r="I474">
        <v>0</v>
      </c>
      <c r="J474" t="s">
        <v>33</v>
      </c>
    </row>
    <row r="475" spans="1:10" x14ac:dyDescent="0.25">
      <c r="A475" s="1">
        <v>88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"2026-05-01 04:43:47.513"</f>
        <v>2026-05-01 04:43:47.513</v>
      </c>
      <c r="H475" t="s">
        <v>21</v>
      </c>
      <c r="I475">
        <v>0</v>
      </c>
      <c r="J475" t="s">
        <v>33</v>
      </c>
    </row>
    <row r="476" spans="1:10" x14ac:dyDescent="0.25">
      <c r="A476" s="1">
        <v>89</v>
      </c>
      <c r="B476" t="s">
        <v>19</v>
      </c>
      <c r="C476">
        <v>706</v>
      </c>
      <c r="D476">
        <v>4</v>
      </c>
      <c r="E476" t="s">
        <v>29</v>
      </c>
      <c r="F476" t="s">
        <v>53</v>
      </c>
      <c r="G476" t="str">
        <f>"2026-05-01 04:04:06.695"</f>
        <v>2026-05-01 04:04:06.695</v>
      </c>
      <c r="H476" t="s">
        <v>21</v>
      </c>
      <c r="I476">
        <v>0</v>
      </c>
      <c r="J476" t="s">
        <v>31</v>
      </c>
    </row>
    <row r="477" spans="1:10" x14ac:dyDescent="0.25">
      <c r="A477" s="1">
        <v>90</v>
      </c>
      <c r="B477" t="s">
        <v>19</v>
      </c>
      <c r="C477">
        <v>706</v>
      </c>
      <c r="D477">
        <v>4</v>
      </c>
      <c r="E477" t="s">
        <v>29</v>
      </c>
      <c r="F477" t="s">
        <v>53</v>
      </c>
      <c r="G477" t="str">
        <f>"2026-05-01 04:03:22.105"</f>
        <v>2026-05-01 04:03:22.105</v>
      </c>
      <c r="H477" t="s">
        <v>21</v>
      </c>
      <c r="I477">
        <v>0</v>
      </c>
      <c r="J477" t="s">
        <v>31</v>
      </c>
    </row>
    <row r="478" spans="1:10" x14ac:dyDescent="0.25">
      <c r="A478" s="1">
        <v>91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"2026-05-01 03:58:36.525"</f>
        <v>2026-05-01 03:58:36.525</v>
      </c>
      <c r="H478" t="s">
        <v>21</v>
      </c>
      <c r="I478">
        <v>0</v>
      </c>
      <c r="J478" t="s">
        <v>33</v>
      </c>
    </row>
    <row r="479" spans="1:10" x14ac:dyDescent="0.25">
      <c r="A479" s="1">
        <v>92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"2026-05-01 02:16:23.530"</f>
        <v>2026-05-01 02:16:23.530</v>
      </c>
      <c r="H479" t="s">
        <v>21</v>
      </c>
      <c r="I479">
        <v>0</v>
      </c>
      <c r="J479" t="s">
        <v>33</v>
      </c>
    </row>
    <row r="480" spans="1:10" x14ac:dyDescent="0.25">
      <c r="A480" s="1">
        <v>93</v>
      </c>
      <c r="B480" t="s">
        <v>22</v>
      </c>
      <c r="C480">
        <v>635</v>
      </c>
      <c r="D480">
        <v>1</v>
      </c>
      <c r="E480" t="s">
        <v>34</v>
      </c>
      <c r="F480" t="s">
        <v>35</v>
      </c>
      <c r="G480" t="str">
        <f>"2026-04-30 20:50:52.455"</f>
        <v>2026-04-30 20:50:52.455</v>
      </c>
      <c r="H480" t="s">
        <v>21</v>
      </c>
    </row>
    <row r="481" spans="1:10" x14ac:dyDescent="0.25">
      <c r="A481" s="1">
        <v>94</v>
      </c>
      <c r="B481" t="s">
        <v>36</v>
      </c>
      <c r="C481">
        <v>635</v>
      </c>
      <c r="D481">
        <v>1</v>
      </c>
      <c r="E481" t="s">
        <v>34</v>
      </c>
      <c r="F481" t="s">
        <v>35</v>
      </c>
      <c r="G481" t="str">
        <f>"2026-04-30 20:16:28.955"</f>
        <v>2026-04-30 20:16:28.955</v>
      </c>
      <c r="H481" t="s">
        <v>21</v>
      </c>
      <c r="I481">
        <v>4.51</v>
      </c>
      <c r="J481" t="s">
        <v>37</v>
      </c>
    </row>
    <row r="482" spans="1:10" x14ac:dyDescent="0.25">
      <c r="A482" s="1">
        <v>95</v>
      </c>
      <c r="B482" t="s">
        <v>22</v>
      </c>
      <c r="C482">
        <v>635</v>
      </c>
      <c r="D482">
        <v>1</v>
      </c>
      <c r="E482" t="s">
        <v>34</v>
      </c>
      <c r="F482" t="s">
        <v>35</v>
      </c>
      <c r="G482" t="str">
        <f>"2026-04-29 22:32:48.655"</f>
        <v>2026-04-29 22:32:48.655</v>
      </c>
      <c r="H482" t="s">
        <v>21</v>
      </c>
    </row>
    <row r="483" spans="1:10" x14ac:dyDescent="0.25">
      <c r="A483" s="1">
        <v>96</v>
      </c>
      <c r="B483" t="s">
        <v>36</v>
      </c>
      <c r="C483">
        <v>635</v>
      </c>
      <c r="D483">
        <v>1</v>
      </c>
      <c r="E483" t="s">
        <v>34</v>
      </c>
      <c r="F483" t="s">
        <v>35</v>
      </c>
      <c r="G483" t="str">
        <f>"2026-04-29 22:12:07.655"</f>
        <v>2026-04-29 22:12:07.655</v>
      </c>
      <c r="H483" t="s">
        <v>21</v>
      </c>
      <c r="I483">
        <v>5.53</v>
      </c>
      <c r="J483" t="s">
        <v>37</v>
      </c>
    </row>
    <row r="484" spans="1:10" x14ac:dyDescent="0.25">
      <c r="A484" s="1">
        <v>97</v>
      </c>
      <c r="B484" t="s">
        <v>40</v>
      </c>
      <c r="C484">
        <v>215</v>
      </c>
      <c r="D484">
        <v>6</v>
      </c>
      <c r="E484" t="s">
        <v>41</v>
      </c>
      <c r="F484" t="s">
        <v>42</v>
      </c>
      <c r="G484" t="str">
        <f>"2026-04-29 19:04:35.007"</f>
        <v>2026-04-29 19:04:35.007</v>
      </c>
      <c r="H484" t="s">
        <v>21</v>
      </c>
    </row>
    <row r="485" spans="1:10" x14ac:dyDescent="0.25">
      <c r="A485" s="1">
        <v>98</v>
      </c>
      <c r="B485" t="s">
        <v>40</v>
      </c>
      <c r="C485">
        <v>115</v>
      </c>
      <c r="D485">
        <v>6</v>
      </c>
      <c r="E485" t="s">
        <v>43</v>
      </c>
      <c r="F485" t="s">
        <v>42</v>
      </c>
      <c r="G485" t="str">
        <f>"2026-04-29 19:04:34.907"</f>
        <v>2026-04-29 19:04:34.907</v>
      </c>
      <c r="H485" t="s">
        <v>21</v>
      </c>
    </row>
    <row r="486" spans="1:10" x14ac:dyDescent="0.25">
      <c r="A486" s="1">
        <v>99</v>
      </c>
      <c r="B486" t="s">
        <v>26</v>
      </c>
      <c r="C486">
        <v>215</v>
      </c>
      <c r="D486">
        <v>6</v>
      </c>
      <c r="E486" t="s">
        <v>41</v>
      </c>
      <c r="F486" t="s">
        <v>42</v>
      </c>
      <c r="G486" t="str">
        <f>"2026-04-29 19:04:29.879"</f>
        <v>2026-04-29 19:04:29.879</v>
      </c>
      <c r="H486" t="s">
        <v>21</v>
      </c>
      <c r="I486">
        <v>0</v>
      </c>
      <c r="J486" t="s">
        <v>31</v>
      </c>
    </row>
    <row r="487" spans="1:10" x14ac:dyDescent="0.25">
      <c r="A487" s="1">
        <v>0</v>
      </c>
      <c r="B487" t="s">
        <v>26</v>
      </c>
      <c r="C487">
        <v>115</v>
      </c>
      <c r="D487">
        <v>6</v>
      </c>
      <c r="E487" t="s">
        <v>43</v>
      </c>
      <c r="F487" t="s">
        <v>42</v>
      </c>
      <c r="G487" t="str">
        <f>"2026-04-29 19:04:29.874"</f>
        <v>2026-04-29 19:04:29.874</v>
      </c>
      <c r="H487" t="s">
        <v>21</v>
      </c>
      <c r="I487">
        <v>0</v>
      </c>
      <c r="J487" t="s">
        <v>31</v>
      </c>
    </row>
    <row r="488" spans="1:10" x14ac:dyDescent="0.25">
      <c r="A488" s="1">
        <v>1</v>
      </c>
      <c r="B488" t="s">
        <v>22</v>
      </c>
      <c r="C488">
        <v>6</v>
      </c>
      <c r="D488">
        <v>1</v>
      </c>
      <c r="E488" t="s">
        <v>44</v>
      </c>
      <c r="F488" t="s">
        <v>45</v>
      </c>
      <c r="G488" t="str">
        <f>"2026-04-29 19:04:29.740"</f>
        <v>2026-04-29 19:04:29.740</v>
      </c>
      <c r="H488" t="s">
        <v>46</v>
      </c>
    </row>
    <row r="489" spans="1:10" x14ac:dyDescent="0.25">
      <c r="A489" s="1">
        <v>2</v>
      </c>
      <c r="B489" t="s">
        <v>22</v>
      </c>
      <c r="C489">
        <v>75</v>
      </c>
      <c r="D489">
        <v>1</v>
      </c>
      <c r="E489" t="s">
        <v>47</v>
      </c>
      <c r="F489" t="s">
        <v>48</v>
      </c>
      <c r="G489" t="str">
        <f>"2026-04-29 19:04:29.738"</f>
        <v>2026-04-29 19:04:29.738</v>
      </c>
      <c r="H489" t="s">
        <v>49</v>
      </c>
    </row>
    <row r="490" spans="1:10" x14ac:dyDescent="0.25">
      <c r="A490" s="1">
        <v>3</v>
      </c>
      <c r="B490" t="s">
        <v>22</v>
      </c>
      <c r="C490">
        <v>74</v>
      </c>
      <c r="D490">
        <v>1</v>
      </c>
      <c r="E490" t="s">
        <v>50</v>
      </c>
      <c r="F490" t="s">
        <v>51</v>
      </c>
      <c r="G490" t="str">
        <f>"2026-04-29 19:04:29.735"</f>
        <v>2026-04-29 19:04:29.735</v>
      </c>
      <c r="H490" t="s">
        <v>52</v>
      </c>
    </row>
    <row r="491" spans="1:10" x14ac:dyDescent="0.25">
      <c r="A491" s="1">
        <v>4</v>
      </c>
      <c r="B491" t="s">
        <v>36</v>
      </c>
      <c r="C491">
        <v>75</v>
      </c>
      <c r="D491">
        <v>1</v>
      </c>
      <c r="E491" t="s">
        <v>47</v>
      </c>
      <c r="F491" t="s">
        <v>48</v>
      </c>
      <c r="G491" t="str">
        <f>"2026-04-29 19:04:18.245"</f>
        <v>2026-04-29 19:04:18.245</v>
      </c>
      <c r="H491" t="s">
        <v>49</v>
      </c>
      <c r="I491">
        <v>0</v>
      </c>
      <c r="J491" t="s">
        <v>31</v>
      </c>
    </row>
    <row r="492" spans="1:10" x14ac:dyDescent="0.25">
      <c r="A492" s="1">
        <v>5</v>
      </c>
      <c r="B492" t="s">
        <v>36</v>
      </c>
      <c r="C492">
        <v>74</v>
      </c>
      <c r="D492">
        <v>1</v>
      </c>
      <c r="E492" t="s">
        <v>50</v>
      </c>
      <c r="F492" t="s">
        <v>51</v>
      </c>
      <c r="G492" t="str">
        <f>"2026-04-29 19:04:18.240"</f>
        <v>2026-04-29 19:04:18.240</v>
      </c>
      <c r="H492" t="s">
        <v>52</v>
      </c>
      <c r="I492">
        <v>0</v>
      </c>
      <c r="J492" t="s">
        <v>31</v>
      </c>
    </row>
    <row r="493" spans="1:10" x14ac:dyDescent="0.25">
      <c r="A493" s="1">
        <v>6</v>
      </c>
      <c r="B493" t="s">
        <v>26</v>
      </c>
      <c r="C493">
        <v>6</v>
      </c>
      <c r="D493">
        <v>1</v>
      </c>
      <c r="E493" t="s">
        <v>44</v>
      </c>
      <c r="F493" t="s">
        <v>45</v>
      </c>
      <c r="G493" t="str">
        <f>"2026-04-29 19:04:18.235"</f>
        <v>2026-04-29 19:04:18.235</v>
      </c>
      <c r="H493" t="s">
        <v>46</v>
      </c>
      <c r="I493">
        <v>0</v>
      </c>
      <c r="J493" t="s">
        <v>31</v>
      </c>
    </row>
    <row r="494" spans="1:10" x14ac:dyDescent="0.25">
      <c r="A494" s="1">
        <v>11</v>
      </c>
      <c r="B494" t="s">
        <v>19</v>
      </c>
      <c r="C494">
        <v>706</v>
      </c>
      <c r="D494">
        <v>4</v>
      </c>
      <c r="E494" t="s">
        <v>29</v>
      </c>
      <c r="F494" t="s">
        <v>53</v>
      </c>
      <c r="G494" t="str">
        <f>"2026-04-29 13:58:02.555"</f>
        <v>2026-04-29 13:58:02.555</v>
      </c>
      <c r="H494" t="s">
        <v>21</v>
      </c>
      <c r="I494">
        <v>0</v>
      </c>
      <c r="J494" t="s">
        <v>31</v>
      </c>
    </row>
    <row r="495" spans="1:10" x14ac:dyDescent="0.25">
      <c r="A495" s="1">
        <v>12</v>
      </c>
      <c r="B495" t="s">
        <v>22</v>
      </c>
      <c r="C495">
        <v>635</v>
      </c>
      <c r="D495">
        <v>1</v>
      </c>
      <c r="E495" t="s">
        <v>34</v>
      </c>
      <c r="F495" t="s">
        <v>35</v>
      </c>
      <c r="G495" t="str">
        <f>"2026-04-28 11:24:14.027"</f>
        <v>2026-04-28 11:24:14.027</v>
      </c>
      <c r="H495" t="s">
        <v>21</v>
      </c>
    </row>
    <row r="496" spans="1:10" x14ac:dyDescent="0.25">
      <c r="A496" s="1">
        <v>13</v>
      </c>
      <c r="B496" t="s">
        <v>36</v>
      </c>
      <c r="C496">
        <v>635</v>
      </c>
      <c r="D496">
        <v>1</v>
      </c>
      <c r="E496" t="s">
        <v>34</v>
      </c>
      <c r="F496" t="s">
        <v>35</v>
      </c>
      <c r="G496" t="str">
        <f>"2026-04-28 11:21:39.527"</f>
        <v>2026-04-28 11:21:39.527</v>
      </c>
      <c r="H496" t="s">
        <v>21</v>
      </c>
      <c r="I496">
        <v>2.5099999999999998</v>
      </c>
      <c r="J496" t="s">
        <v>37</v>
      </c>
    </row>
    <row r="497" spans="1:10" x14ac:dyDescent="0.25">
      <c r="A497" s="1">
        <v>14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"2026-04-28 11:03:02.535"</f>
        <v>2026-04-28 11:03:02.535</v>
      </c>
      <c r="H497" t="s">
        <v>21</v>
      </c>
    </row>
    <row r="498" spans="1:10" x14ac:dyDescent="0.25">
      <c r="A498" s="1">
        <v>15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"2026-04-27 08:18:50.546"</f>
        <v>2026-04-27 08:18:50.546</v>
      </c>
      <c r="H498" t="s">
        <v>21</v>
      </c>
      <c r="I498">
        <v>0</v>
      </c>
      <c r="J498" t="s">
        <v>33</v>
      </c>
    </row>
    <row r="499" spans="1:10" x14ac:dyDescent="0.25">
      <c r="A499" s="1">
        <v>16</v>
      </c>
      <c r="B499" t="s">
        <v>22</v>
      </c>
      <c r="C499">
        <v>635</v>
      </c>
      <c r="D499">
        <v>1</v>
      </c>
      <c r="E499" t="s">
        <v>34</v>
      </c>
      <c r="F499" t="s">
        <v>35</v>
      </c>
      <c r="G499" t="str">
        <f>"2026-04-27 00:31:47.390"</f>
        <v>2026-04-27 00:31:47.390</v>
      </c>
      <c r="H499" t="s">
        <v>21</v>
      </c>
    </row>
    <row r="500" spans="1:10" x14ac:dyDescent="0.25">
      <c r="A500" s="1">
        <v>17</v>
      </c>
      <c r="B500" t="s">
        <v>36</v>
      </c>
      <c r="C500">
        <v>635</v>
      </c>
      <c r="D500">
        <v>1</v>
      </c>
      <c r="E500" t="s">
        <v>34</v>
      </c>
      <c r="F500" t="s">
        <v>35</v>
      </c>
      <c r="G500" t="str">
        <f>"2026-04-27 00:27:12.890"</f>
        <v>2026-04-27 00:27:12.890</v>
      </c>
      <c r="H500" t="s">
        <v>21</v>
      </c>
      <c r="I500">
        <v>6.22</v>
      </c>
      <c r="J500" t="s">
        <v>37</v>
      </c>
    </row>
    <row r="501" spans="1:10" x14ac:dyDescent="0.25">
      <c r="A501" s="1">
        <v>18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"2026-04-26 13:38:01.522"</f>
        <v>2026-04-26 13:38:01.522</v>
      </c>
      <c r="H501" t="s">
        <v>21</v>
      </c>
      <c r="I501">
        <v>0</v>
      </c>
      <c r="J501" t="s">
        <v>33</v>
      </c>
    </row>
    <row r="502" spans="1:10" x14ac:dyDescent="0.25">
      <c r="A502" s="1">
        <v>19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"2026-04-26 13:18:25.529"</f>
        <v>2026-04-26 13:18:25.529</v>
      </c>
      <c r="H502" t="s">
        <v>21</v>
      </c>
    </row>
    <row r="503" spans="1:10" x14ac:dyDescent="0.25">
      <c r="A503" s="1">
        <v>20</v>
      </c>
      <c r="B503" t="s">
        <v>19</v>
      </c>
      <c r="C503">
        <v>700</v>
      </c>
      <c r="D503">
        <v>0</v>
      </c>
      <c r="E503" t="s">
        <v>20</v>
      </c>
      <c r="F503" t="s">
        <v>20</v>
      </c>
      <c r="G503" t="str">
        <f>"2026-04-26 10:00:05.549"</f>
        <v>2026-04-26 10:00:05.549</v>
      </c>
      <c r="H503" t="s">
        <v>21</v>
      </c>
      <c r="I503">
        <v>0</v>
      </c>
      <c r="J503" t="s">
        <v>33</v>
      </c>
    </row>
    <row r="504" spans="1:10" x14ac:dyDescent="0.25">
      <c r="A504" s="1">
        <v>21</v>
      </c>
      <c r="B504" t="s">
        <v>22</v>
      </c>
      <c r="C504">
        <v>635</v>
      </c>
      <c r="D504">
        <v>1</v>
      </c>
      <c r="E504" t="s">
        <v>34</v>
      </c>
      <c r="F504" t="s">
        <v>35</v>
      </c>
      <c r="G504" t="str">
        <f>"2026-04-25 06:14:40.436"</f>
        <v>2026-04-25 06:14:40.436</v>
      </c>
      <c r="H504" t="s">
        <v>21</v>
      </c>
    </row>
    <row r="505" spans="1:10" x14ac:dyDescent="0.25">
      <c r="A505" s="1">
        <v>22</v>
      </c>
      <c r="B505" t="s">
        <v>36</v>
      </c>
      <c r="C505">
        <v>635</v>
      </c>
      <c r="D505">
        <v>1</v>
      </c>
      <c r="E505" t="s">
        <v>34</v>
      </c>
      <c r="F505" t="s">
        <v>35</v>
      </c>
      <c r="G505" t="str">
        <f>"2026-04-25 06:11:30.936"</f>
        <v>2026-04-25 06:11:30.936</v>
      </c>
      <c r="H505" t="s">
        <v>21</v>
      </c>
      <c r="I505">
        <v>1.55</v>
      </c>
      <c r="J505" t="s">
        <v>37</v>
      </c>
    </row>
    <row r="506" spans="1:10" x14ac:dyDescent="0.25">
      <c r="A506" s="1">
        <v>23</v>
      </c>
      <c r="B506" t="s">
        <v>22</v>
      </c>
      <c r="C506">
        <v>635</v>
      </c>
      <c r="D506">
        <v>1</v>
      </c>
      <c r="E506" t="s">
        <v>34</v>
      </c>
      <c r="F506" t="s">
        <v>35</v>
      </c>
      <c r="G506" t="str">
        <f>"2026-04-25 02:13:39.836"</f>
        <v>2026-04-25 02:13:39.836</v>
      </c>
      <c r="H506" t="s">
        <v>21</v>
      </c>
    </row>
    <row r="507" spans="1:10" x14ac:dyDescent="0.25">
      <c r="A507" s="1">
        <v>24</v>
      </c>
      <c r="B507" t="s">
        <v>36</v>
      </c>
      <c r="C507">
        <v>635</v>
      </c>
      <c r="D507">
        <v>1</v>
      </c>
      <c r="E507" t="s">
        <v>34</v>
      </c>
      <c r="F507" t="s">
        <v>35</v>
      </c>
      <c r="G507" t="str">
        <f>"2026-04-25 02:11:17.836"</f>
        <v>2026-04-25 02:11:17.836</v>
      </c>
      <c r="H507" t="s">
        <v>21</v>
      </c>
      <c r="I507">
        <v>6.68</v>
      </c>
      <c r="J507" t="s">
        <v>37</v>
      </c>
    </row>
    <row r="508" spans="1:10" x14ac:dyDescent="0.25">
      <c r="A508" s="1">
        <v>25</v>
      </c>
      <c r="B508" t="s">
        <v>19</v>
      </c>
      <c r="C508">
        <v>700</v>
      </c>
      <c r="D508">
        <v>0</v>
      </c>
      <c r="E508" t="s">
        <v>20</v>
      </c>
      <c r="F508" t="s">
        <v>20</v>
      </c>
      <c r="G508" t="str">
        <f>"2026-04-25 00:40:56.549"</f>
        <v>2026-04-25 00:40:56.549</v>
      </c>
      <c r="H508" t="s">
        <v>21</v>
      </c>
    </row>
    <row r="509" spans="1:10" x14ac:dyDescent="0.25">
      <c r="A509" s="1">
        <v>26</v>
      </c>
      <c r="B509" t="s">
        <v>22</v>
      </c>
      <c r="C509">
        <v>635</v>
      </c>
      <c r="D509">
        <v>1</v>
      </c>
      <c r="E509" t="s">
        <v>34</v>
      </c>
      <c r="F509" t="s">
        <v>35</v>
      </c>
      <c r="G509" t="str">
        <f>"2026-04-24 08:26:24.535"</f>
        <v>2026-04-24 08:26:24.535</v>
      </c>
      <c r="H509" t="s">
        <v>21</v>
      </c>
    </row>
    <row r="510" spans="1:10" x14ac:dyDescent="0.25">
      <c r="A510" s="1">
        <v>27</v>
      </c>
      <c r="B510" t="s">
        <v>36</v>
      </c>
      <c r="C510">
        <v>635</v>
      </c>
      <c r="D510">
        <v>1</v>
      </c>
      <c r="E510" t="s">
        <v>34</v>
      </c>
      <c r="F510" t="s">
        <v>35</v>
      </c>
      <c r="G510" t="str">
        <f>"2026-04-24 08:24:11.535"</f>
        <v>2026-04-24 08:24:11.535</v>
      </c>
      <c r="H510" t="s">
        <v>21</v>
      </c>
      <c r="I510">
        <v>5.79</v>
      </c>
      <c r="J510" t="s">
        <v>28</v>
      </c>
    </row>
    <row r="511" spans="1:10" x14ac:dyDescent="0.25">
      <c r="A511" s="1">
        <v>28</v>
      </c>
      <c r="B511" t="s">
        <v>19</v>
      </c>
      <c r="C511">
        <v>706</v>
      </c>
      <c r="D511">
        <v>4</v>
      </c>
      <c r="E511" t="s">
        <v>29</v>
      </c>
      <c r="F511" t="s">
        <v>53</v>
      </c>
      <c r="G511" t="str">
        <f>"2026-04-23 13:43:07.777"</f>
        <v>2026-04-23 13:43:07.777</v>
      </c>
      <c r="H511" t="s">
        <v>21</v>
      </c>
      <c r="I511">
        <v>0</v>
      </c>
      <c r="J511" t="s">
        <v>31</v>
      </c>
    </row>
    <row r="512" spans="1:10" x14ac:dyDescent="0.25">
      <c r="A512" s="1">
        <v>29</v>
      </c>
      <c r="B512" t="s">
        <v>19</v>
      </c>
      <c r="C512">
        <v>700</v>
      </c>
      <c r="D512">
        <v>0</v>
      </c>
      <c r="E512" t="s">
        <v>20</v>
      </c>
      <c r="F512" t="s">
        <v>20</v>
      </c>
      <c r="G512" t="str">
        <f>"2026-04-23 12:52:28.547"</f>
        <v>2026-04-23 12:52:28.547</v>
      </c>
      <c r="H512" t="s">
        <v>21</v>
      </c>
    </row>
    <row r="513" spans="1:10" x14ac:dyDescent="0.25">
      <c r="A513" s="1">
        <v>30</v>
      </c>
      <c r="B513" t="s">
        <v>22</v>
      </c>
      <c r="C513">
        <v>635</v>
      </c>
      <c r="D513">
        <v>1</v>
      </c>
      <c r="E513" t="s">
        <v>34</v>
      </c>
      <c r="F513" t="s">
        <v>35</v>
      </c>
      <c r="G513" t="str">
        <f>"2026-04-23 07:34:48.567"</f>
        <v>2026-04-23 07:34:48.567</v>
      </c>
      <c r="H513" t="s">
        <v>21</v>
      </c>
    </row>
    <row r="514" spans="1:10" x14ac:dyDescent="0.25">
      <c r="A514" s="1">
        <v>31</v>
      </c>
      <c r="B514" t="s">
        <v>36</v>
      </c>
      <c r="C514">
        <v>635</v>
      </c>
      <c r="D514">
        <v>1</v>
      </c>
      <c r="E514" t="s">
        <v>34</v>
      </c>
      <c r="F514" t="s">
        <v>35</v>
      </c>
      <c r="G514" t="str">
        <f>"2026-04-23 07:29:57.067"</f>
        <v>2026-04-23 07:29:57.067</v>
      </c>
      <c r="H514" t="s">
        <v>21</v>
      </c>
      <c r="I514">
        <v>0</v>
      </c>
      <c r="J514" t="s">
        <v>28</v>
      </c>
    </row>
    <row r="515" spans="1:10" x14ac:dyDescent="0.25">
      <c r="A515" s="1">
        <v>32</v>
      </c>
      <c r="B515" t="s">
        <v>22</v>
      </c>
      <c r="C515">
        <v>635</v>
      </c>
      <c r="D515">
        <v>1</v>
      </c>
      <c r="E515" t="s">
        <v>34</v>
      </c>
      <c r="F515" t="s">
        <v>35</v>
      </c>
      <c r="G515" t="str">
        <f>"2026-04-23 07:00:12.667"</f>
        <v>2026-04-23 07:00:12.667</v>
      </c>
      <c r="H515" t="s">
        <v>21</v>
      </c>
    </row>
    <row r="516" spans="1:10" x14ac:dyDescent="0.25">
      <c r="A516" s="1">
        <v>33</v>
      </c>
      <c r="B516" t="s">
        <v>36</v>
      </c>
      <c r="C516">
        <v>635</v>
      </c>
      <c r="D516">
        <v>1</v>
      </c>
      <c r="E516" t="s">
        <v>34</v>
      </c>
      <c r="F516" t="s">
        <v>35</v>
      </c>
      <c r="G516" t="str">
        <f>"2026-04-23 06:57:43.167"</f>
        <v>2026-04-23 06:57:43.167</v>
      </c>
      <c r="H516" t="s">
        <v>21</v>
      </c>
      <c r="I516">
        <v>5.45</v>
      </c>
      <c r="J516" t="s">
        <v>37</v>
      </c>
    </row>
    <row r="517" spans="1:10" x14ac:dyDescent="0.25">
      <c r="A517" s="1">
        <v>34</v>
      </c>
      <c r="B517" t="s">
        <v>22</v>
      </c>
      <c r="C517">
        <v>635</v>
      </c>
      <c r="D517">
        <v>1</v>
      </c>
      <c r="E517" t="s">
        <v>34</v>
      </c>
      <c r="F517" t="s">
        <v>35</v>
      </c>
      <c r="G517" t="str">
        <f>"2026-04-23 01:11:46.767"</f>
        <v>2026-04-23 01:11:46.767</v>
      </c>
      <c r="H517" t="s">
        <v>21</v>
      </c>
    </row>
    <row r="518" spans="1:10" x14ac:dyDescent="0.25">
      <c r="A518" s="1">
        <v>35</v>
      </c>
      <c r="B518" t="s">
        <v>36</v>
      </c>
      <c r="C518">
        <v>635</v>
      </c>
      <c r="D518">
        <v>1</v>
      </c>
      <c r="E518" t="s">
        <v>34</v>
      </c>
      <c r="F518" t="s">
        <v>35</v>
      </c>
      <c r="G518" t="str">
        <f>"2026-04-23 01:04:24.767"</f>
        <v>2026-04-23 01:04:24.767</v>
      </c>
      <c r="H518" t="s">
        <v>21</v>
      </c>
      <c r="I518">
        <v>2.3199999999999998</v>
      </c>
      <c r="J518" t="s">
        <v>37</v>
      </c>
    </row>
    <row r="519" spans="1:10" x14ac:dyDescent="0.25">
      <c r="A519" s="1">
        <v>36</v>
      </c>
      <c r="B519" t="s">
        <v>22</v>
      </c>
      <c r="C519">
        <v>635</v>
      </c>
      <c r="D519">
        <v>1</v>
      </c>
      <c r="E519" t="s">
        <v>34</v>
      </c>
      <c r="F519" t="s">
        <v>35</v>
      </c>
      <c r="G519" t="str">
        <f>"2026-04-22 20:54:01.167"</f>
        <v>2026-04-22 20:54:01.167</v>
      </c>
      <c r="H519" t="s">
        <v>21</v>
      </c>
    </row>
    <row r="520" spans="1:10" x14ac:dyDescent="0.25">
      <c r="A520" s="1">
        <v>37</v>
      </c>
      <c r="B520" t="s">
        <v>36</v>
      </c>
      <c r="C520">
        <v>635</v>
      </c>
      <c r="D520">
        <v>1</v>
      </c>
      <c r="E520" t="s">
        <v>34</v>
      </c>
      <c r="F520" t="s">
        <v>35</v>
      </c>
      <c r="G520" t="str">
        <f>"2026-04-22 20:49:12.667"</f>
        <v>2026-04-22 20:49:12.667</v>
      </c>
      <c r="H520" t="s">
        <v>21</v>
      </c>
      <c r="I520">
        <v>5.01</v>
      </c>
      <c r="J520" t="s">
        <v>28</v>
      </c>
    </row>
    <row r="521" spans="1:10" x14ac:dyDescent="0.25">
      <c r="A521" s="1">
        <v>38</v>
      </c>
      <c r="B521" t="s">
        <v>22</v>
      </c>
      <c r="C521">
        <v>635</v>
      </c>
      <c r="D521">
        <v>1</v>
      </c>
      <c r="E521" t="s">
        <v>34</v>
      </c>
      <c r="F521" t="s">
        <v>35</v>
      </c>
      <c r="G521" t="str">
        <f>"2026-04-22 18:21:05.867"</f>
        <v>2026-04-22 18:21:05.867</v>
      </c>
      <c r="H521" t="s">
        <v>21</v>
      </c>
    </row>
    <row r="522" spans="1:10" x14ac:dyDescent="0.25">
      <c r="A522" s="1">
        <v>39</v>
      </c>
      <c r="B522" t="s">
        <v>36</v>
      </c>
      <c r="C522">
        <v>635</v>
      </c>
      <c r="D522">
        <v>1</v>
      </c>
      <c r="E522" t="s">
        <v>34</v>
      </c>
      <c r="F522" t="s">
        <v>35</v>
      </c>
      <c r="G522" t="str">
        <f>"2026-04-22 18:17:38.867"</f>
        <v>2026-04-22 18:17:38.867</v>
      </c>
      <c r="H522" t="s">
        <v>21</v>
      </c>
      <c r="I522">
        <v>0</v>
      </c>
      <c r="J522" t="s">
        <v>28</v>
      </c>
    </row>
    <row r="523" spans="1:10" x14ac:dyDescent="0.25">
      <c r="A523" s="1">
        <v>40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"2026-04-22 08:03:40.576"</f>
        <v>2026-04-22 08:03:40.576</v>
      </c>
      <c r="H523" t="s">
        <v>21</v>
      </c>
    </row>
    <row r="524" spans="1:10" x14ac:dyDescent="0.25">
      <c r="A524" s="1">
        <v>41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"2026-04-22 03:22:34.547"</f>
        <v>2026-04-22 03:22:34.547</v>
      </c>
      <c r="H524" t="s">
        <v>21</v>
      </c>
    </row>
    <row r="525" spans="1:10" x14ac:dyDescent="0.25">
      <c r="A525" s="1">
        <v>42</v>
      </c>
      <c r="B525" t="s">
        <v>19</v>
      </c>
      <c r="C525">
        <v>706</v>
      </c>
      <c r="D525">
        <v>4</v>
      </c>
      <c r="E525" t="s">
        <v>29</v>
      </c>
      <c r="F525" t="s">
        <v>53</v>
      </c>
      <c r="G525" t="str">
        <f>"2026-04-21 14:05:19.803"</f>
        <v>2026-04-21 14:05:19.803</v>
      </c>
      <c r="H525" t="s">
        <v>21</v>
      </c>
      <c r="I525">
        <v>0</v>
      </c>
      <c r="J525" t="s">
        <v>31</v>
      </c>
    </row>
    <row r="526" spans="1:10" x14ac:dyDescent="0.25">
      <c r="A526" s="1">
        <v>43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"2026-04-21 12:36:21.523"</f>
        <v>2026-04-21 12:36:21.523</v>
      </c>
      <c r="H526" t="s">
        <v>21</v>
      </c>
      <c r="I526">
        <v>0</v>
      </c>
      <c r="J526" t="s">
        <v>33</v>
      </c>
    </row>
    <row r="527" spans="1:10" x14ac:dyDescent="0.25">
      <c r="A527" s="1">
        <v>44</v>
      </c>
      <c r="B527" t="s">
        <v>22</v>
      </c>
      <c r="C527">
        <v>635</v>
      </c>
      <c r="D527">
        <v>1</v>
      </c>
      <c r="E527" t="s">
        <v>34</v>
      </c>
      <c r="F527" t="s">
        <v>35</v>
      </c>
      <c r="G527" t="str">
        <f>"2026-04-21 05:07:18.522"</f>
        <v>2026-04-21 05:07:18.522</v>
      </c>
      <c r="H527" t="s">
        <v>21</v>
      </c>
    </row>
    <row r="528" spans="1:10" x14ac:dyDescent="0.25">
      <c r="A528" s="1">
        <v>45</v>
      </c>
      <c r="B528" t="s">
        <v>36</v>
      </c>
      <c r="C528">
        <v>635</v>
      </c>
      <c r="D528">
        <v>1</v>
      </c>
      <c r="E528" t="s">
        <v>34</v>
      </c>
      <c r="F528" t="s">
        <v>35</v>
      </c>
      <c r="G528" t="str">
        <f>"2026-04-21 05:02:18.523"</f>
        <v>2026-04-21 05:02:18.523</v>
      </c>
      <c r="H528" t="s">
        <v>21</v>
      </c>
      <c r="I528">
        <v>3.76</v>
      </c>
      <c r="J528" t="s">
        <v>37</v>
      </c>
    </row>
    <row r="529" spans="1:10" x14ac:dyDescent="0.25">
      <c r="A529" s="1">
        <v>46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"2026-04-20 13:58:41.523"</f>
        <v>2026-04-20 13:58:41.523</v>
      </c>
      <c r="H529" t="s">
        <v>21</v>
      </c>
    </row>
    <row r="530" spans="1:10" x14ac:dyDescent="0.25">
      <c r="A530" s="1">
        <v>47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"2026-04-20 11:35:33.549"</f>
        <v>2026-04-20 11:35:33.549</v>
      </c>
      <c r="H530" t="s">
        <v>21</v>
      </c>
      <c r="I530">
        <v>0</v>
      </c>
      <c r="J530" t="s">
        <v>33</v>
      </c>
    </row>
    <row r="531" spans="1:10" x14ac:dyDescent="0.25">
      <c r="A531" s="1">
        <v>48</v>
      </c>
      <c r="B531" t="s">
        <v>19</v>
      </c>
      <c r="C531">
        <v>706</v>
      </c>
      <c r="D531">
        <v>2</v>
      </c>
      <c r="E531" t="s">
        <v>29</v>
      </c>
      <c r="F531" t="s">
        <v>30</v>
      </c>
      <c r="G531" t="str">
        <f>"2026-04-20 10:20:37.698"</f>
        <v>2026-04-20 10:20:37.698</v>
      </c>
      <c r="H531" t="s">
        <v>21</v>
      </c>
      <c r="I531">
        <v>0</v>
      </c>
      <c r="J531" t="s">
        <v>31</v>
      </c>
    </row>
    <row r="532" spans="1:10" x14ac:dyDescent="0.25">
      <c r="A532" s="1">
        <v>49</v>
      </c>
      <c r="B532" t="s">
        <v>19</v>
      </c>
      <c r="C532">
        <v>706</v>
      </c>
      <c r="D532">
        <v>2</v>
      </c>
      <c r="E532" t="s">
        <v>29</v>
      </c>
      <c r="F532" t="s">
        <v>30</v>
      </c>
      <c r="G532" t="str">
        <f>"2026-04-20 10:20:14.897"</f>
        <v>2026-04-20 10:20:14.897</v>
      </c>
      <c r="H532" t="s">
        <v>21</v>
      </c>
      <c r="I532">
        <v>0</v>
      </c>
      <c r="J532" t="s">
        <v>31</v>
      </c>
    </row>
    <row r="533" spans="1:10" x14ac:dyDescent="0.25">
      <c r="A533" s="1">
        <v>50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"2026-04-20 09:47:07.538"</f>
        <v>2026-04-20 09:47:07.538</v>
      </c>
      <c r="H533" t="s">
        <v>21</v>
      </c>
    </row>
    <row r="534" spans="1:10" x14ac:dyDescent="0.25">
      <c r="A534" s="1">
        <v>51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"2026-04-20 06:24:30.868"</f>
        <v>2026-04-20 06:24:30.868</v>
      </c>
      <c r="H534" t="s">
        <v>21</v>
      </c>
    </row>
    <row r="535" spans="1:10" x14ac:dyDescent="0.25">
      <c r="A535" s="1">
        <v>52</v>
      </c>
      <c r="B535" t="s">
        <v>19</v>
      </c>
      <c r="C535">
        <v>706</v>
      </c>
      <c r="D535">
        <v>2</v>
      </c>
      <c r="E535" t="s">
        <v>29</v>
      </c>
      <c r="F535" t="s">
        <v>30</v>
      </c>
      <c r="G535" t="str">
        <f>"2026-04-19 02:53:00.744"</f>
        <v>2026-04-19 02:53:00.744</v>
      </c>
      <c r="H535" t="s">
        <v>21</v>
      </c>
      <c r="I535">
        <v>0</v>
      </c>
      <c r="J535" t="s">
        <v>31</v>
      </c>
    </row>
    <row r="536" spans="1:10" x14ac:dyDescent="0.25">
      <c r="A536" s="1">
        <v>53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"2026-04-19 02:49:47.554"</f>
        <v>2026-04-19 02:49:47.554</v>
      </c>
      <c r="H536" t="s">
        <v>21</v>
      </c>
    </row>
    <row r="537" spans="1:10" x14ac:dyDescent="0.25">
      <c r="A537" s="1">
        <v>54</v>
      </c>
      <c r="B537" t="s">
        <v>19</v>
      </c>
      <c r="C537">
        <v>706</v>
      </c>
      <c r="D537">
        <v>4</v>
      </c>
      <c r="E537" t="s">
        <v>29</v>
      </c>
      <c r="F537" t="s">
        <v>53</v>
      </c>
      <c r="G537" t="str">
        <f>"2026-04-19 02:37:01.818"</f>
        <v>2026-04-19 02:37:01.818</v>
      </c>
      <c r="H537" t="s">
        <v>21</v>
      </c>
      <c r="I537">
        <v>0</v>
      </c>
      <c r="J537" t="s">
        <v>31</v>
      </c>
    </row>
    <row r="538" spans="1:10" x14ac:dyDescent="0.25">
      <c r="A538" s="1">
        <v>55</v>
      </c>
      <c r="B538" t="s">
        <v>40</v>
      </c>
      <c r="C538">
        <v>215</v>
      </c>
      <c r="D538">
        <v>6</v>
      </c>
      <c r="E538" t="s">
        <v>41</v>
      </c>
      <c r="F538" t="s">
        <v>42</v>
      </c>
      <c r="G538" t="str">
        <f>"2026-04-18 12:59:32.588"</f>
        <v>2026-04-18 12:59:32.588</v>
      </c>
      <c r="H538" t="s">
        <v>21</v>
      </c>
    </row>
    <row r="539" spans="1:10" x14ac:dyDescent="0.25">
      <c r="A539" s="1">
        <v>56</v>
      </c>
      <c r="B539" t="s">
        <v>40</v>
      </c>
      <c r="C539">
        <v>115</v>
      </c>
      <c r="D539">
        <v>6</v>
      </c>
      <c r="E539" t="s">
        <v>43</v>
      </c>
      <c r="F539" t="s">
        <v>42</v>
      </c>
      <c r="G539" t="str">
        <f>"2026-04-18 12:59:32.488"</f>
        <v>2026-04-18 12:59:32.488</v>
      </c>
      <c r="H539" t="s">
        <v>21</v>
      </c>
    </row>
    <row r="540" spans="1:10" x14ac:dyDescent="0.25">
      <c r="A540" s="1">
        <v>57</v>
      </c>
      <c r="B540" t="s">
        <v>26</v>
      </c>
      <c r="C540">
        <v>215</v>
      </c>
      <c r="D540">
        <v>6</v>
      </c>
      <c r="E540" t="s">
        <v>41</v>
      </c>
      <c r="F540" t="s">
        <v>42</v>
      </c>
      <c r="G540" t="str">
        <f>"2026-04-18 12:59:27.396"</f>
        <v>2026-04-18 12:59:27.396</v>
      </c>
      <c r="H540" t="s">
        <v>21</v>
      </c>
      <c r="I540">
        <v>0</v>
      </c>
      <c r="J540" t="s">
        <v>31</v>
      </c>
    </row>
    <row r="541" spans="1:10" x14ac:dyDescent="0.25">
      <c r="A541" s="1">
        <v>58</v>
      </c>
      <c r="B541" t="s">
        <v>26</v>
      </c>
      <c r="C541">
        <v>115</v>
      </c>
      <c r="D541">
        <v>6</v>
      </c>
      <c r="E541" t="s">
        <v>43</v>
      </c>
      <c r="F541" t="s">
        <v>42</v>
      </c>
      <c r="G541" t="str">
        <f>"2026-04-18 12:59:27.391"</f>
        <v>2026-04-18 12:59:27.391</v>
      </c>
      <c r="H541" t="s">
        <v>21</v>
      </c>
      <c r="I541">
        <v>0</v>
      </c>
      <c r="J541" t="s">
        <v>31</v>
      </c>
    </row>
    <row r="542" spans="1:10" x14ac:dyDescent="0.25">
      <c r="A542" s="1">
        <v>59</v>
      </c>
      <c r="B542" t="s">
        <v>22</v>
      </c>
      <c r="C542">
        <v>6</v>
      </c>
      <c r="D542">
        <v>1</v>
      </c>
      <c r="E542" t="s">
        <v>44</v>
      </c>
      <c r="F542" t="s">
        <v>45</v>
      </c>
      <c r="G542" t="str">
        <f>"2026-04-18 12:59:27.292"</f>
        <v>2026-04-18 12:59:27.292</v>
      </c>
      <c r="H542" t="s">
        <v>46</v>
      </c>
    </row>
    <row r="543" spans="1:10" x14ac:dyDescent="0.25">
      <c r="A543" s="1">
        <v>60</v>
      </c>
      <c r="B543" t="s">
        <v>22</v>
      </c>
      <c r="C543">
        <v>75</v>
      </c>
      <c r="D543">
        <v>1</v>
      </c>
      <c r="E543" t="s">
        <v>47</v>
      </c>
      <c r="F543" t="s">
        <v>48</v>
      </c>
      <c r="G543" t="str">
        <f>"2026-04-18 12:59:27.288"</f>
        <v>2026-04-18 12:59:27.288</v>
      </c>
      <c r="H543" t="s">
        <v>49</v>
      </c>
    </row>
    <row r="544" spans="1:10" x14ac:dyDescent="0.25">
      <c r="A544" s="1">
        <v>61</v>
      </c>
      <c r="B544" t="s">
        <v>22</v>
      </c>
      <c r="C544">
        <v>74</v>
      </c>
      <c r="D544">
        <v>1</v>
      </c>
      <c r="E544" t="s">
        <v>50</v>
      </c>
      <c r="F544" t="s">
        <v>51</v>
      </c>
      <c r="G544" t="str">
        <f>"2026-04-18 12:59:27.285"</f>
        <v>2026-04-18 12:59:27.285</v>
      </c>
      <c r="H544" t="s">
        <v>52</v>
      </c>
    </row>
    <row r="545" spans="1:10" x14ac:dyDescent="0.25">
      <c r="A545" s="1">
        <v>62</v>
      </c>
      <c r="B545" t="s">
        <v>36</v>
      </c>
      <c r="C545">
        <v>75</v>
      </c>
      <c r="D545">
        <v>1</v>
      </c>
      <c r="E545" t="s">
        <v>47</v>
      </c>
      <c r="F545" t="s">
        <v>48</v>
      </c>
      <c r="G545" t="str">
        <f>"2026-04-18 12:59:15.797"</f>
        <v>2026-04-18 12:59:15.797</v>
      </c>
      <c r="H545" t="s">
        <v>49</v>
      </c>
      <c r="I545">
        <v>0</v>
      </c>
      <c r="J545" t="s">
        <v>31</v>
      </c>
    </row>
    <row r="546" spans="1:10" x14ac:dyDescent="0.25">
      <c r="A546" s="1">
        <v>63</v>
      </c>
      <c r="B546" t="s">
        <v>36</v>
      </c>
      <c r="C546">
        <v>74</v>
      </c>
      <c r="D546">
        <v>1</v>
      </c>
      <c r="E546" t="s">
        <v>50</v>
      </c>
      <c r="F546" t="s">
        <v>51</v>
      </c>
      <c r="G546" t="str">
        <f>"2026-04-18 12:59:15.792"</f>
        <v>2026-04-18 12:59:15.792</v>
      </c>
      <c r="H546" t="s">
        <v>52</v>
      </c>
      <c r="I546">
        <v>0</v>
      </c>
      <c r="J546" t="s">
        <v>31</v>
      </c>
    </row>
    <row r="547" spans="1:10" x14ac:dyDescent="0.25">
      <c r="A547" s="1">
        <v>64</v>
      </c>
      <c r="B547" t="s">
        <v>26</v>
      </c>
      <c r="C547">
        <v>6</v>
      </c>
      <c r="D547">
        <v>1</v>
      </c>
      <c r="E547" t="s">
        <v>44</v>
      </c>
      <c r="F547" t="s">
        <v>45</v>
      </c>
      <c r="G547" t="str">
        <f>"2026-04-18 12:59:15.786"</f>
        <v>2026-04-18 12:59:15.786</v>
      </c>
      <c r="H547" t="s">
        <v>46</v>
      </c>
      <c r="I547">
        <v>0</v>
      </c>
      <c r="J547" t="s">
        <v>31</v>
      </c>
    </row>
    <row r="548" spans="1:10" x14ac:dyDescent="0.25">
      <c r="A548" s="1">
        <v>68</v>
      </c>
      <c r="B548" t="s">
        <v>19</v>
      </c>
      <c r="C548">
        <v>706</v>
      </c>
      <c r="D548">
        <v>4</v>
      </c>
      <c r="E548" t="s">
        <v>29</v>
      </c>
      <c r="F548" t="s">
        <v>53</v>
      </c>
      <c r="G548" t="str">
        <f>"2026-04-18 11:29:40.298"</f>
        <v>2026-04-18 11:29:40.298</v>
      </c>
      <c r="H548" t="s">
        <v>21</v>
      </c>
      <c r="I548">
        <v>0</v>
      </c>
      <c r="J548" t="s">
        <v>31</v>
      </c>
    </row>
    <row r="549" spans="1:10" x14ac:dyDescent="0.25">
      <c r="A549" s="1">
        <v>69</v>
      </c>
      <c r="B549" t="s">
        <v>22</v>
      </c>
      <c r="C549">
        <v>635</v>
      </c>
      <c r="D549">
        <v>1</v>
      </c>
      <c r="E549" t="s">
        <v>34</v>
      </c>
      <c r="F549" t="s">
        <v>35</v>
      </c>
      <c r="G549" t="str">
        <f>"2026-04-18 04:11:01.657"</f>
        <v>2026-04-18 04:11:01.657</v>
      </c>
      <c r="H549" t="s">
        <v>21</v>
      </c>
    </row>
    <row r="550" spans="1:10" x14ac:dyDescent="0.25">
      <c r="A550" s="1">
        <v>70</v>
      </c>
      <c r="B550" t="s">
        <v>36</v>
      </c>
      <c r="C550">
        <v>635</v>
      </c>
      <c r="D550">
        <v>1</v>
      </c>
      <c r="E550" t="s">
        <v>34</v>
      </c>
      <c r="F550" t="s">
        <v>35</v>
      </c>
      <c r="G550" t="str">
        <f>"2026-04-18 04:08:30.657"</f>
        <v>2026-04-18 04:08:30.657</v>
      </c>
      <c r="H550" t="s">
        <v>21</v>
      </c>
      <c r="I550">
        <v>0.79</v>
      </c>
      <c r="J550" t="s">
        <v>28</v>
      </c>
    </row>
    <row r="551" spans="1:10" x14ac:dyDescent="0.25">
      <c r="A551" s="1">
        <v>71</v>
      </c>
      <c r="B551" t="s">
        <v>22</v>
      </c>
      <c r="C551">
        <v>635</v>
      </c>
      <c r="D551">
        <v>1</v>
      </c>
      <c r="E551" t="s">
        <v>34</v>
      </c>
      <c r="F551" t="s">
        <v>35</v>
      </c>
      <c r="G551" t="str">
        <f>"2026-04-18 02:49:44.357"</f>
        <v>2026-04-18 02:49:44.357</v>
      </c>
      <c r="H551" t="s">
        <v>21</v>
      </c>
    </row>
    <row r="552" spans="1:10" x14ac:dyDescent="0.25">
      <c r="A552" s="1">
        <v>72</v>
      </c>
      <c r="B552" t="s">
        <v>36</v>
      </c>
      <c r="C552">
        <v>635</v>
      </c>
      <c r="D552">
        <v>1</v>
      </c>
      <c r="E552" t="s">
        <v>34</v>
      </c>
      <c r="F552" t="s">
        <v>35</v>
      </c>
      <c r="G552" t="str">
        <f>"2026-04-18 02:19:36.357"</f>
        <v>2026-04-18 02:19:36.357</v>
      </c>
      <c r="H552" t="s">
        <v>21</v>
      </c>
      <c r="I552">
        <v>6.46</v>
      </c>
      <c r="J552" t="s">
        <v>37</v>
      </c>
    </row>
    <row r="553" spans="1:10" x14ac:dyDescent="0.25">
      <c r="A553" s="1">
        <v>73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"2026-04-17 15:33:41.528"</f>
        <v>2026-04-17 15:33:41.528</v>
      </c>
      <c r="H553" t="s">
        <v>21</v>
      </c>
      <c r="I553">
        <v>0</v>
      </c>
      <c r="J553" t="s">
        <v>33</v>
      </c>
    </row>
    <row r="554" spans="1:10" x14ac:dyDescent="0.25">
      <c r="A554" s="1">
        <v>74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"2026-04-17 15:21:05.529"</f>
        <v>2026-04-17 15:21:05.529</v>
      </c>
      <c r="H554" t="s">
        <v>21</v>
      </c>
    </row>
    <row r="555" spans="1:10" x14ac:dyDescent="0.25">
      <c r="A555" s="1">
        <v>75</v>
      </c>
      <c r="B555" t="s">
        <v>19</v>
      </c>
      <c r="C555">
        <v>700</v>
      </c>
      <c r="D555">
        <v>0</v>
      </c>
      <c r="E555" t="s">
        <v>20</v>
      </c>
      <c r="F555" t="s">
        <v>20</v>
      </c>
      <c r="G555" t="str">
        <f>"2026-04-16 20:22:12.561"</f>
        <v>2026-04-16 20:22:12.561</v>
      </c>
      <c r="H555" t="s">
        <v>21</v>
      </c>
      <c r="I555">
        <v>0</v>
      </c>
      <c r="J555" t="s">
        <v>33</v>
      </c>
    </row>
    <row r="556" spans="1:10" x14ac:dyDescent="0.25">
      <c r="A556" s="1">
        <v>76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"2026-04-16 12:16:17.564"</f>
        <v>2026-04-16 12:16:17.564</v>
      </c>
      <c r="H556" t="s">
        <v>21</v>
      </c>
    </row>
    <row r="557" spans="1:10" x14ac:dyDescent="0.25">
      <c r="A557" s="1">
        <v>77</v>
      </c>
      <c r="B557" t="s">
        <v>19</v>
      </c>
      <c r="C557">
        <v>700</v>
      </c>
      <c r="D557">
        <v>0</v>
      </c>
      <c r="E557" t="s">
        <v>20</v>
      </c>
      <c r="F557" t="s">
        <v>20</v>
      </c>
      <c r="G557" t="str">
        <f>"2026-04-16 01:39:27.536"</f>
        <v>2026-04-16 01:39:27.536</v>
      </c>
      <c r="H557" t="s">
        <v>21</v>
      </c>
      <c r="I557">
        <v>0</v>
      </c>
      <c r="J557" t="s">
        <v>33</v>
      </c>
    </row>
    <row r="558" spans="1:10" x14ac:dyDescent="0.25">
      <c r="A558" s="1">
        <v>78</v>
      </c>
      <c r="B558" t="s">
        <v>22</v>
      </c>
      <c r="C558">
        <v>635</v>
      </c>
      <c r="D558">
        <v>1</v>
      </c>
      <c r="E558" t="s">
        <v>34</v>
      </c>
      <c r="F558" t="s">
        <v>35</v>
      </c>
      <c r="G558" t="str">
        <f>"2026-04-15 16:02:53.154"</f>
        <v>2026-04-15 16:02:53.154</v>
      </c>
      <c r="H558" t="s">
        <v>21</v>
      </c>
    </row>
    <row r="559" spans="1:10" x14ac:dyDescent="0.25">
      <c r="A559" s="1">
        <v>79</v>
      </c>
      <c r="B559" t="s">
        <v>36</v>
      </c>
      <c r="C559">
        <v>635</v>
      </c>
      <c r="D559">
        <v>1</v>
      </c>
      <c r="E559" t="s">
        <v>34</v>
      </c>
      <c r="F559" t="s">
        <v>35</v>
      </c>
      <c r="G559" t="str">
        <f>"2026-04-15 15:57:26.154"</f>
        <v>2026-04-15 15:57:26.154</v>
      </c>
      <c r="H559" t="s">
        <v>21</v>
      </c>
      <c r="I559">
        <v>3.3</v>
      </c>
      <c r="J559" t="s">
        <v>37</v>
      </c>
    </row>
    <row r="560" spans="1:10" x14ac:dyDescent="0.25">
      <c r="A560" s="1">
        <v>80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"2026-04-14 21:14:57.564"</f>
        <v>2026-04-14 21:14:57.564</v>
      </c>
      <c r="H560" t="s">
        <v>21</v>
      </c>
    </row>
    <row r="561" spans="1:10" x14ac:dyDescent="0.25">
      <c r="A561" s="1">
        <v>81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"2026-04-14 08:06:01.530"</f>
        <v>2026-04-14 08:06:01.530</v>
      </c>
      <c r="H561" t="s">
        <v>21</v>
      </c>
    </row>
    <row r="562" spans="1:10" x14ac:dyDescent="0.25">
      <c r="A562" s="1">
        <v>82</v>
      </c>
      <c r="B562" t="s">
        <v>22</v>
      </c>
      <c r="C562">
        <v>635</v>
      </c>
      <c r="D562">
        <v>1</v>
      </c>
      <c r="E562" t="s">
        <v>34</v>
      </c>
      <c r="F562" t="s">
        <v>35</v>
      </c>
      <c r="G562" t="str">
        <f>"2026-04-14 07:28:29.112"</f>
        <v>2026-04-14 07:28:29.112</v>
      </c>
      <c r="H562" t="s">
        <v>21</v>
      </c>
    </row>
    <row r="563" spans="1:10" x14ac:dyDescent="0.25">
      <c r="A563" s="1">
        <v>83</v>
      </c>
      <c r="B563" t="s">
        <v>36</v>
      </c>
      <c r="C563">
        <v>635</v>
      </c>
      <c r="D563">
        <v>1</v>
      </c>
      <c r="E563" t="s">
        <v>34</v>
      </c>
      <c r="F563" t="s">
        <v>35</v>
      </c>
      <c r="G563" t="str">
        <f>"2026-04-14 07:24:44.613"</f>
        <v>2026-04-14 07:24:44.613</v>
      </c>
      <c r="H563" t="s">
        <v>21</v>
      </c>
      <c r="I563">
        <v>2.2400000000000002</v>
      </c>
      <c r="J563" t="s">
        <v>37</v>
      </c>
    </row>
    <row r="564" spans="1:10" x14ac:dyDescent="0.25">
      <c r="A564" s="1">
        <v>84</v>
      </c>
      <c r="B564" t="s">
        <v>56</v>
      </c>
      <c r="C564">
        <v>33</v>
      </c>
      <c r="D564">
        <v>1</v>
      </c>
      <c r="E564" t="s">
        <v>76</v>
      </c>
      <c r="F564" t="s">
        <v>77</v>
      </c>
      <c r="G564" t="str">
        <f>"2026-04-13 03:46:44.813"</f>
        <v>2026-04-13 03:46:44.813</v>
      </c>
      <c r="H564" t="s">
        <v>78</v>
      </c>
    </row>
    <row r="565" spans="1:10" x14ac:dyDescent="0.25">
      <c r="A565" s="1">
        <v>85</v>
      </c>
      <c r="B565" t="s">
        <v>26</v>
      </c>
      <c r="C565">
        <v>33</v>
      </c>
      <c r="D565">
        <v>1</v>
      </c>
      <c r="E565" t="s">
        <v>76</v>
      </c>
      <c r="F565" t="s">
        <v>77</v>
      </c>
      <c r="G565" t="str">
        <f>"2026-04-13 03:46:22.825"</f>
        <v>2026-04-13 03:46:22.825</v>
      </c>
      <c r="H565" t="s">
        <v>78</v>
      </c>
      <c r="I565">
        <v>8.7899999999999991</v>
      </c>
      <c r="J565" t="s">
        <v>37</v>
      </c>
    </row>
    <row r="566" spans="1:10" x14ac:dyDescent="0.25">
      <c r="A566" s="1">
        <v>86</v>
      </c>
      <c r="B566" t="s">
        <v>19</v>
      </c>
      <c r="C566">
        <v>700</v>
      </c>
      <c r="D566">
        <v>0</v>
      </c>
      <c r="E566" t="s">
        <v>20</v>
      </c>
      <c r="F566" t="s">
        <v>20</v>
      </c>
      <c r="G566" t="str">
        <f>"2026-04-12 20:45:17.575"</f>
        <v>2026-04-12 20:45:17.575</v>
      </c>
      <c r="H566" t="s">
        <v>21</v>
      </c>
    </row>
    <row r="567" spans="1:10" x14ac:dyDescent="0.25">
      <c r="A567" s="1">
        <v>87</v>
      </c>
      <c r="B567" t="s">
        <v>19</v>
      </c>
      <c r="C567">
        <v>706</v>
      </c>
      <c r="D567">
        <v>2</v>
      </c>
      <c r="E567" t="s">
        <v>29</v>
      </c>
      <c r="F567" t="s">
        <v>30</v>
      </c>
      <c r="G567" t="str">
        <f>"2026-04-12 04:28:42.877"</f>
        <v>2026-04-12 04:28:42.877</v>
      </c>
      <c r="H567" t="s">
        <v>21</v>
      </c>
      <c r="I567">
        <v>0</v>
      </c>
      <c r="J567" t="s">
        <v>31</v>
      </c>
    </row>
    <row r="568" spans="1:10" x14ac:dyDescent="0.25">
      <c r="A568" s="1">
        <v>88</v>
      </c>
      <c r="B568" t="s">
        <v>56</v>
      </c>
      <c r="C568">
        <v>620</v>
      </c>
      <c r="D568">
        <v>1</v>
      </c>
      <c r="E568" t="s">
        <v>79</v>
      </c>
      <c r="F568" t="s">
        <v>35</v>
      </c>
      <c r="G568" t="str">
        <f>"2026-04-12 04:28:36.336"</f>
        <v>2026-04-12 04:28:36.336</v>
      </c>
      <c r="H568" t="s">
        <v>75</v>
      </c>
    </row>
    <row r="569" spans="1:10" x14ac:dyDescent="0.25">
      <c r="A569" s="1">
        <v>89</v>
      </c>
      <c r="B569" t="s">
        <v>26</v>
      </c>
      <c r="C569">
        <v>620</v>
      </c>
      <c r="D569">
        <v>1</v>
      </c>
      <c r="E569" t="s">
        <v>79</v>
      </c>
      <c r="F569" t="s">
        <v>35</v>
      </c>
      <c r="G569" t="str">
        <f>"2026-04-12 04:27:50.495"</f>
        <v>2026-04-12 04:27:50.495</v>
      </c>
      <c r="H569" t="s">
        <v>75</v>
      </c>
      <c r="I569">
        <v>21.65</v>
      </c>
      <c r="J569" t="s">
        <v>28</v>
      </c>
    </row>
    <row r="570" spans="1:10" x14ac:dyDescent="0.25">
      <c r="A570" s="1">
        <v>90</v>
      </c>
      <c r="B570" t="s">
        <v>19</v>
      </c>
      <c r="C570">
        <v>700</v>
      </c>
      <c r="D570">
        <v>0</v>
      </c>
      <c r="E570" t="s">
        <v>20</v>
      </c>
      <c r="F570" t="s">
        <v>20</v>
      </c>
      <c r="G570" t="str">
        <f>"2026-04-11 19:52:23.557"</f>
        <v>2026-04-11 19:52:23.557</v>
      </c>
      <c r="H570" t="s">
        <v>21</v>
      </c>
      <c r="I570">
        <v>0</v>
      </c>
      <c r="J570" t="s">
        <v>33</v>
      </c>
    </row>
    <row r="571" spans="1:10" x14ac:dyDescent="0.25">
      <c r="A571" s="1">
        <v>91</v>
      </c>
      <c r="B571" t="s">
        <v>22</v>
      </c>
      <c r="C571">
        <v>635</v>
      </c>
      <c r="D571">
        <v>1</v>
      </c>
      <c r="E571" t="s">
        <v>34</v>
      </c>
      <c r="F571" t="s">
        <v>35</v>
      </c>
      <c r="G571" t="str">
        <f>"2026-04-11 16:39:44.087"</f>
        <v>2026-04-11 16:39:44.087</v>
      </c>
      <c r="H571" t="s">
        <v>21</v>
      </c>
    </row>
    <row r="572" spans="1:10" x14ac:dyDescent="0.25">
      <c r="A572" s="1">
        <v>92</v>
      </c>
      <c r="B572" t="s">
        <v>36</v>
      </c>
      <c r="C572">
        <v>635</v>
      </c>
      <c r="D572">
        <v>1</v>
      </c>
      <c r="E572" t="s">
        <v>34</v>
      </c>
      <c r="F572" t="s">
        <v>35</v>
      </c>
      <c r="G572" t="str">
        <f>"2026-04-11 16:34:47.087"</f>
        <v>2026-04-11 16:34:47.087</v>
      </c>
      <c r="H572" t="s">
        <v>21</v>
      </c>
      <c r="I572">
        <v>0.24</v>
      </c>
      <c r="J572" t="s">
        <v>37</v>
      </c>
    </row>
    <row r="573" spans="1:10" x14ac:dyDescent="0.25">
      <c r="A573" s="1">
        <v>93</v>
      </c>
      <c r="B573" t="s">
        <v>22</v>
      </c>
      <c r="C573">
        <v>635</v>
      </c>
      <c r="D573">
        <v>1</v>
      </c>
      <c r="E573" t="s">
        <v>34</v>
      </c>
      <c r="F573" t="s">
        <v>35</v>
      </c>
      <c r="G573" t="str">
        <f>"2026-04-10 09:19:46.187"</f>
        <v>2026-04-10 09:19:46.187</v>
      </c>
      <c r="H573" t="s">
        <v>21</v>
      </c>
    </row>
    <row r="574" spans="1:10" x14ac:dyDescent="0.25">
      <c r="A574" s="1">
        <v>94</v>
      </c>
      <c r="B574" t="s">
        <v>36</v>
      </c>
      <c r="C574">
        <v>635</v>
      </c>
      <c r="D574">
        <v>1</v>
      </c>
      <c r="E574" t="s">
        <v>34</v>
      </c>
      <c r="F574" t="s">
        <v>35</v>
      </c>
      <c r="G574" t="str">
        <f>"2026-04-10 09:17:05.187"</f>
        <v>2026-04-10 09:17:05.187</v>
      </c>
      <c r="H574" t="s">
        <v>21</v>
      </c>
      <c r="I574">
        <v>3.57</v>
      </c>
      <c r="J574" t="s">
        <v>27</v>
      </c>
    </row>
    <row r="575" spans="1:10" s="3" customFormat="1" x14ac:dyDescent="0.25">
      <c r="A575" s="2">
        <v>95</v>
      </c>
      <c r="B575" s="3" t="s">
        <v>22</v>
      </c>
      <c r="C575" s="3">
        <v>647</v>
      </c>
      <c r="D575" s="3">
        <v>1</v>
      </c>
      <c r="E575" s="3" t="s">
        <v>54</v>
      </c>
      <c r="F575" s="3" t="s">
        <v>55</v>
      </c>
      <c r="G575" s="3" t="str">
        <f>"2026-04-10 07:50:44.335"</f>
        <v>2026-04-10 07:50:44.335</v>
      </c>
      <c r="H575" s="3" t="s">
        <v>21</v>
      </c>
    </row>
    <row r="576" spans="1:10" s="3" customFormat="1" x14ac:dyDescent="0.25">
      <c r="A576" s="2">
        <v>96</v>
      </c>
      <c r="B576" s="3" t="s">
        <v>36</v>
      </c>
      <c r="C576" s="3">
        <v>647</v>
      </c>
      <c r="D576" s="3">
        <v>1</v>
      </c>
      <c r="E576" s="3" t="s">
        <v>54</v>
      </c>
      <c r="F576" s="3" t="s">
        <v>55</v>
      </c>
      <c r="G576" s="3" t="str">
        <f>"2026-04-10 07:50:41.836"</f>
        <v>2026-04-10 07:50:41.836</v>
      </c>
      <c r="H576" s="3" t="s">
        <v>21</v>
      </c>
      <c r="I576" s="3">
        <v>9.11</v>
      </c>
      <c r="J576" s="3" t="s">
        <v>27</v>
      </c>
    </row>
    <row r="577" spans="1:10" x14ac:dyDescent="0.25">
      <c r="A577" s="1">
        <v>97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"2026-04-09 19:53:40.547"</f>
        <v>2026-04-09 19:53:40.547</v>
      </c>
      <c r="H577" t="s">
        <v>21</v>
      </c>
    </row>
    <row r="578" spans="1:10" x14ac:dyDescent="0.25">
      <c r="A578" s="1">
        <v>98</v>
      </c>
      <c r="B578" t="s">
        <v>19</v>
      </c>
      <c r="C578">
        <v>706</v>
      </c>
      <c r="D578">
        <v>4</v>
      </c>
      <c r="E578" t="s">
        <v>29</v>
      </c>
      <c r="F578" t="s">
        <v>53</v>
      </c>
      <c r="G578" t="str">
        <f>"2026-04-09 14:58:20.453"</f>
        <v>2026-04-09 14:58:20.453</v>
      </c>
      <c r="H578" t="s">
        <v>21</v>
      </c>
      <c r="I578">
        <v>0</v>
      </c>
      <c r="J578" t="s">
        <v>31</v>
      </c>
    </row>
    <row r="579" spans="1:10" x14ac:dyDescent="0.25">
      <c r="A579" s="1">
        <v>99</v>
      </c>
      <c r="B579" t="s">
        <v>19</v>
      </c>
      <c r="C579">
        <v>706</v>
      </c>
      <c r="D579">
        <v>4</v>
      </c>
      <c r="E579" t="s">
        <v>29</v>
      </c>
      <c r="F579" t="s">
        <v>53</v>
      </c>
      <c r="G579" t="str">
        <f>"2026-04-09 14:58:07.853"</f>
        <v>2026-04-09 14:58:07.853</v>
      </c>
      <c r="H579" t="s">
        <v>21</v>
      </c>
      <c r="I579">
        <v>0</v>
      </c>
      <c r="J579" t="s">
        <v>31</v>
      </c>
    </row>
    <row r="580" spans="1:10" x14ac:dyDescent="0.25">
      <c r="A580" s="1">
        <v>0</v>
      </c>
      <c r="B580" t="s">
        <v>19</v>
      </c>
      <c r="C580">
        <v>700</v>
      </c>
      <c r="D580">
        <v>0</v>
      </c>
      <c r="E580" t="s">
        <v>20</v>
      </c>
      <c r="F580" t="s">
        <v>20</v>
      </c>
      <c r="G580" t="str">
        <f>"2026-04-09 14:55:40.533"</f>
        <v>2026-04-09 14:55:40.533</v>
      </c>
      <c r="H580" t="s">
        <v>21</v>
      </c>
      <c r="I580">
        <v>0</v>
      </c>
      <c r="J580" t="s">
        <v>33</v>
      </c>
    </row>
    <row r="581" spans="1:10" x14ac:dyDescent="0.25">
      <c r="A581" s="1">
        <v>1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"2026-04-09 14:48:24.544"</f>
        <v>2026-04-09 14:48:24.544</v>
      </c>
      <c r="H581" t="s">
        <v>21</v>
      </c>
      <c r="I581">
        <v>0</v>
      </c>
      <c r="J581" t="s">
        <v>33</v>
      </c>
    </row>
    <row r="582" spans="1:10" x14ac:dyDescent="0.25">
      <c r="A582" s="1">
        <v>2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"2026-04-09 13:33:09.523"</f>
        <v>2026-04-09 13:33:09.523</v>
      </c>
      <c r="H582" t="s">
        <v>21</v>
      </c>
    </row>
    <row r="583" spans="1:10" x14ac:dyDescent="0.25">
      <c r="A583" s="1">
        <v>3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"2026-04-09 12:18:25.565"</f>
        <v>2026-04-09 12:18:25.565</v>
      </c>
      <c r="H583" t="s">
        <v>21</v>
      </c>
    </row>
    <row r="584" spans="1:10" x14ac:dyDescent="0.25">
      <c r="A584" s="1">
        <v>4</v>
      </c>
      <c r="B584" t="s">
        <v>19</v>
      </c>
      <c r="C584">
        <v>706</v>
      </c>
      <c r="D584">
        <v>4</v>
      </c>
      <c r="E584" t="s">
        <v>29</v>
      </c>
      <c r="F584" t="s">
        <v>53</v>
      </c>
      <c r="G584" t="str">
        <f>"2026-04-08 09:30:48.446"</f>
        <v>2026-04-08 09:30:48.446</v>
      </c>
      <c r="H584" t="s">
        <v>21</v>
      </c>
      <c r="I584">
        <v>0</v>
      </c>
      <c r="J584" t="s">
        <v>31</v>
      </c>
    </row>
    <row r="585" spans="1:10" x14ac:dyDescent="0.25">
      <c r="A585" s="1">
        <v>5</v>
      </c>
      <c r="B585" t="s">
        <v>22</v>
      </c>
      <c r="C585">
        <v>635</v>
      </c>
      <c r="D585">
        <v>1</v>
      </c>
      <c r="E585" t="s">
        <v>34</v>
      </c>
      <c r="F585" t="s">
        <v>35</v>
      </c>
      <c r="G585" t="str">
        <f>"2026-04-07 21:07:42.657"</f>
        <v>2026-04-07 21:07:42.657</v>
      </c>
      <c r="H585" t="s">
        <v>21</v>
      </c>
    </row>
    <row r="586" spans="1:10" x14ac:dyDescent="0.25">
      <c r="A586" s="1">
        <v>6</v>
      </c>
      <c r="B586" t="s">
        <v>36</v>
      </c>
      <c r="C586">
        <v>635</v>
      </c>
      <c r="D586">
        <v>1</v>
      </c>
      <c r="E586" t="s">
        <v>34</v>
      </c>
      <c r="F586" t="s">
        <v>35</v>
      </c>
      <c r="G586" t="str">
        <f>"2026-04-07 21:00:43.158"</f>
        <v>2026-04-07 21:00:43.158</v>
      </c>
      <c r="H586" t="s">
        <v>21</v>
      </c>
      <c r="I586">
        <v>0.03</v>
      </c>
      <c r="J586" t="s">
        <v>28</v>
      </c>
    </row>
    <row r="587" spans="1:10" x14ac:dyDescent="0.25">
      <c r="A587" s="1">
        <v>7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"2026-04-07 02:02:12.556"</f>
        <v>2026-04-07 02:02:12.556</v>
      </c>
      <c r="H587" t="s">
        <v>21</v>
      </c>
    </row>
    <row r="588" spans="1:10" x14ac:dyDescent="0.25">
      <c r="A588" s="1">
        <v>8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"2026-04-06 20:52:32.534"</f>
        <v>2026-04-06 20:52:32.534</v>
      </c>
      <c r="H588" t="s">
        <v>21</v>
      </c>
    </row>
    <row r="589" spans="1:10" x14ac:dyDescent="0.25">
      <c r="A589" s="1">
        <v>9</v>
      </c>
      <c r="B589" t="s">
        <v>22</v>
      </c>
      <c r="C589">
        <v>635</v>
      </c>
      <c r="D589">
        <v>1</v>
      </c>
      <c r="E589" t="s">
        <v>34</v>
      </c>
      <c r="F589" t="s">
        <v>35</v>
      </c>
      <c r="G589" t="str">
        <f>"2026-04-06 13:46:44.301"</f>
        <v>2026-04-06 13:46:44.301</v>
      </c>
      <c r="H589" t="s">
        <v>21</v>
      </c>
    </row>
    <row r="590" spans="1:10" x14ac:dyDescent="0.25">
      <c r="A590" s="1">
        <v>10</v>
      </c>
      <c r="B590" t="s">
        <v>36</v>
      </c>
      <c r="C590">
        <v>635</v>
      </c>
      <c r="D590">
        <v>1</v>
      </c>
      <c r="E590" t="s">
        <v>34</v>
      </c>
      <c r="F590" t="s">
        <v>35</v>
      </c>
      <c r="G590" t="str">
        <f>"2026-04-06 13:42:24.801"</f>
        <v>2026-04-06 13:42:24.801</v>
      </c>
      <c r="H590" t="s">
        <v>21</v>
      </c>
      <c r="I590">
        <v>3.88</v>
      </c>
      <c r="J590" t="s">
        <v>37</v>
      </c>
    </row>
    <row r="591" spans="1:10" x14ac:dyDescent="0.25">
      <c r="A591" s="1">
        <v>11</v>
      </c>
      <c r="B591" t="s">
        <v>22</v>
      </c>
      <c r="C591">
        <v>635</v>
      </c>
      <c r="D591">
        <v>1</v>
      </c>
      <c r="E591" t="s">
        <v>34</v>
      </c>
      <c r="F591" t="s">
        <v>35</v>
      </c>
      <c r="G591" t="str">
        <f>"2026-04-06 10:31:14.601"</f>
        <v>2026-04-06 10:31:14.601</v>
      </c>
      <c r="H591" t="s">
        <v>21</v>
      </c>
    </row>
    <row r="592" spans="1:10" x14ac:dyDescent="0.25">
      <c r="A592" s="1">
        <v>12</v>
      </c>
      <c r="B592" t="s">
        <v>36</v>
      </c>
      <c r="C592">
        <v>635</v>
      </c>
      <c r="D592">
        <v>1</v>
      </c>
      <c r="E592" t="s">
        <v>34</v>
      </c>
      <c r="F592" t="s">
        <v>35</v>
      </c>
      <c r="G592" t="str">
        <f>"2026-04-06 10:27:09.601"</f>
        <v>2026-04-06 10:27:09.601</v>
      </c>
      <c r="H592" t="s">
        <v>21</v>
      </c>
      <c r="I592">
        <v>1.85</v>
      </c>
      <c r="J592" t="s">
        <v>37</v>
      </c>
    </row>
    <row r="593" spans="1:10" x14ac:dyDescent="0.25">
      <c r="A593" s="1">
        <v>13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"2026-04-05 20:37:48.572"</f>
        <v>2026-04-05 20:37:48.572</v>
      </c>
      <c r="H593" t="s">
        <v>21</v>
      </c>
      <c r="I593">
        <v>0</v>
      </c>
      <c r="J593" t="s">
        <v>33</v>
      </c>
    </row>
    <row r="594" spans="1:10" s="3" customFormat="1" x14ac:dyDescent="0.25">
      <c r="A594" s="2">
        <v>14</v>
      </c>
      <c r="B594" s="3" t="s">
        <v>22</v>
      </c>
      <c r="C594" s="3">
        <v>647</v>
      </c>
      <c r="D594" s="3">
        <v>1</v>
      </c>
      <c r="E594" s="3" t="s">
        <v>54</v>
      </c>
      <c r="F594" s="3" t="s">
        <v>55</v>
      </c>
      <c r="G594" s="3" t="str">
        <f>"2026-04-05 10:53:25.831"</f>
        <v>2026-04-05 10:53:25.831</v>
      </c>
      <c r="H594" s="3" t="s">
        <v>21</v>
      </c>
    </row>
    <row r="595" spans="1:10" s="3" customFormat="1" x14ac:dyDescent="0.25">
      <c r="A595" s="2">
        <v>15</v>
      </c>
      <c r="B595" s="3" t="s">
        <v>36</v>
      </c>
      <c r="C595" s="3">
        <v>647</v>
      </c>
      <c r="D595" s="3">
        <v>1</v>
      </c>
      <c r="E595" s="3" t="s">
        <v>54</v>
      </c>
      <c r="F595" s="3" t="s">
        <v>55</v>
      </c>
      <c r="G595" s="3" t="str">
        <f>"2026-04-05 10:53:22.132"</f>
        <v>2026-04-05 10:53:22.132</v>
      </c>
      <c r="H595" s="3" t="s">
        <v>21</v>
      </c>
      <c r="I595" s="3">
        <v>15.46</v>
      </c>
      <c r="J595" s="3" t="s">
        <v>27</v>
      </c>
    </row>
    <row r="596" spans="1:10" x14ac:dyDescent="0.25">
      <c r="A596" s="1">
        <v>16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"2026-04-04 19:11:23.654"</f>
        <v>2026-04-04 19:11:23.654</v>
      </c>
      <c r="H596" t="s">
        <v>21</v>
      </c>
      <c r="I596">
        <v>0</v>
      </c>
      <c r="J596" t="s">
        <v>33</v>
      </c>
    </row>
    <row r="597" spans="1:10" x14ac:dyDescent="0.25">
      <c r="A597" s="1">
        <v>17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"2026-04-03 21:42:43.540"</f>
        <v>2026-04-03 21:42:43.540</v>
      </c>
      <c r="H597" t="s">
        <v>21</v>
      </c>
      <c r="I597">
        <v>0</v>
      </c>
      <c r="J597" t="s">
        <v>33</v>
      </c>
    </row>
    <row r="598" spans="1:10" x14ac:dyDescent="0.25">
      <c r="A598" s="1">
        <v>18</v>
      </c>
      <c r="B598" t="s">
        <v>22</v>
      </c>
      <c r="C598">
        <v>635</v>
      </c>
      <c r="D598">
        <v>1</v>
      </c>
      <c r="E598" t="s">
        <v>34</v>
      </c>
      <c r="F598" t="s">
        <v>35</v>
      </c>
      <c r="G598" t="str">
        <f>"2026-04-03 15:47:13.776"</f>
        <v>2026-04-03 15:47:13.776</v>
      </c>
      <c r="H598" t="s">
        <v>21</v>
      </c>
    </row>
    <row r="599" spans="1:10" x14ac:dyDescent="0.25">
      <c r="A599" s="1">
        <v>19</v>
      </c>
      <c r="B599" t="s">
        <v>36</v>
      </c>
      <c r="C599">
        <v>635</v>
      </c>
      <c r="D599">
        <v>1</v>
      </c>
      <c r="E599" t="s">
        <v>34</v>
      </c>
      <c r="F599" t="s">
        <v>35</v>
      </c>
      <c r="G599" t="str">
        <f>"2026-04-03 15:44:20.776"</f>
        <v>2026-04-03 15:44:20.776</v>
      </c>
      <c r="H599" t="s">
        <v>21</v>
      </c>
      <c r="I599">
        <v>3.02</v>
      </c>
      <c r="J599" t="s">
        <v>37</v>
      </c>
    </row>
    <row r="600" spans="1:10" x14ac:dyDescent="0.25">
      <c r="A600" s="1">
        <v>20</v>
      </c>
      <c r="B600" t="s">
        <v>40</v>
      </c>
      <c r="C600">
        <v>215</v>
      </c>
      <c r="D600">
        <v>6</v>
      </c>
      <c r="E600" t="s">
        <v>41</v>
      </c>
      <c r="F600" t="s">
        <v>42</v>
      </c>
      <c r="G600" t="str">
        <f>"2026-04-03 12:58:55.514"</f>
        <v>2026-04-03 12:58:55.514</v>
      </c>
      <c r="H600" t="s">
        <v>21</v>
      </c>
    </row>
    <row r="601" spans="1:10" x14ac:dyDescent="0.25">
      <c r="A601" s="1">
        <v>21</v>
      </c>
      <c r="B601" t="s">
        <v>40</v>
      </c>
      <c r="C601">
        <v>115</v>
      </c>
      <c r="D601">
        <v>6</v>
      </c>
      <c r="E601" t="s">
        <v>43</v>
      </c>
      <c r="F601" t="s">
        <v>42</v>
      </c>
      <c r="G601" t="str">
        <f>"2026-04-03 12:58:55.414"</f>
        <v>2026-04-03 12:58:55.414</v>
      </c>
      <c r="H601" t="s">
        <v>21</v>
      </c>
    </row>
    <row r="602" spans="1:10" x14ac:dyDescent="0.25">
      <c r="A602" s="1">
        <v>22</v>
      </c>
      <c r="B602" t="s">
        <v>26</v>
      </c>
      <c r="C602">
        <v>215</v>
      </c>
      <c r="D602">
        <v>6</v>
      </c>
      <c r="E602" t="s">
        <v>41</v>
      </c>
      <c r="F602" t="s">
        <v>42</v>
      </c>
      <c r="G602" t="str">
        <f>"2026-04-03 12:58:50.414"</f>
        <v>2026-04-03 12:58:50.414</v>
      </c>
      <c r="H602" t="s">
        <v>21</v>
      </c>
      <c r="I602">
        <v>0</v>
      </c>
      <c r="J602" t="s">
        <v>31</v>
      </c>
    </row>
    <row r="603" spans="1:10" x14ac:dyDescent="0.25">
      <c r="A603" s="1">
        <v>23</v>
      </c>
      <c r="B603" t="s">
        <v>26</v>
      </c>
      <c r="C603">
        <v>115</v>
      </c>
      <c r="D603">
        <v>6</v>
      </c>
      <c r="E603" t="s">
        <v>43</v>
      </c>
      <c r="F603" t="s">
        <v>42</v>
      </c>
      <c r="G603" t="str">
        <f>"2026-04-03 12:58:50.410"</f>
        <v>2026-04-03 12:58:50.410</v>
      </c>
      <c r="H603" t="s">
        <v>21</v>
      </c>
      <c r="I603">
        <v>0</v>
      </c>
      <c r="J603" t="s">
        <v>31</v>
      </c>
    </row>
    <row r="604" spans="1:10" x14ac:dyDescent="0.25">
      <c r="A604" s="1">
        <v>24</v>
      </c>
      <c r="B604" t="s">
        <v>22</v>
      </c>
      <c r="C604">
        <v>6</v>
      </c>
      <c r="D604">
        <v>1</v>
      </c>
      <c r="E604" t="s">
        <v>44</v>
      </c>
      <c r="F604" t="s">
        <v>45</v>
      </c>
      <c r="G604" t="str">
        <f>"2026-04-03 12:58:50.303"</f>
        <v>2026-04-03 12:58:50.303</v>
      </c>
      <c r="H604" t="s">
        <v>46</v>
      </c>
    </row>
    <row r="605" spans="1:10" x14ac:dyDescent="0.25">
      <c r="A605" s="1">
        <v>25</v>
      </c>
      <c r="B605" t="s">
        <v>22</v>
      </c>
      <c r="C605">
        <v>75</v>
      </c>
      <c r="D605">
        <v>1</v>
      </c>
      <c r="E605" t="s">
        <v>47</v>
      </c>
      <c r="F605" t="s">
        <v>48</v>
      </c>
      <c r="G605" t="str">
        <f>"2026-04-03 12:58:50.299"</f>
        <v>2026-04-03 12:58:50.299</v>
      </c>
      <c r="H605" t="s">
        <v>49</v>
      </c>
    </row>
    <row r="606" spans="1:10" x14ac:dyDescent="0.25">
      <c r="A606" s="1">
        <v>26</v>
      </c>
      <c r="B606" t="s">
        <v>22</v>
      </c>
      <c r="C606">
        <v>74</v>
      </c>
      <c r="D606">
        <v>1</v>
      </c>
      <c r="E606" t="s">
        <v>50</v>
      </c>
      <c r="F606" t="s">
        <v>51</v>
      </c>
      <c r="G606" t="str">
        <f>"2026-04-03 12:58:50.296"</f>
        <v>2026-04-03 12:58:50.296</v>
      </c>
      <c r="H606" t="s">
        <v>52</v>
      </c>
    </row>
    <row r="607" spans="1:10" x14ac:dyDescent="0.25">
      <c r="A607" s="1">
        <v>27</v>
      </c>
      <c r="B607" t="s">
        <v>36</v>
      </c>
      <c r="C607">
        <v>75</v>
      </c>
      <c r="D607">
        <v>1</v>
      </c>
      <c r="E607" t="s">
        <v>47</v>
      </c>
      <c r="F607" t="s">
        <v>48</v>
      </c>
      <c r="G607" t="str">
        <f>"2026-04-03 12:58:38.864"</f>
        <v>2026-04-03 12:58:38.864</v>
      </c>
      <c r="H607" t="s">
        <v>49</v>
      </c>
      <c r="I607">
        <v>0</v>
      </c>
      <c r="J607" t="s">
        <v>31</v>
      </c>
    </row>
    <row r="608" spans="1:10" x14ac:dyDescent="0.25">
      <c r="A608" s="1">
        <v>28</v>
      </c>
      <c r="B608" t="s">
        <v>36</v>
      </c>
      <c r="C608">
        <v>74</v>
      </c>
      <c r="D608">
        <v>1</v>
      </c>
      <c r="E608" t="s">
        <v>50</v>
      </c>
      <c r="F608" t="s">
        <v>51</v>
      </c>
      <c r="G608" t="str">
        <f>"2026-04-03 12:58:38.860"</f>
        <v>2026-04-03 12:58:38.860</v>
      </c>
      <c r="H608" t="s">
        <v>52</v>
      </c>
      <c r="I608">
        <v>0</v>
      </c>
      <c r="J608" t="s">
        <v>31</v>
      </c>
    </row>
    <row r="609" spans="1:10" x14ac:dyDescent="0.25">
      <c r="A609" s="1">
        <v>29</v>
      </c>
      <c r="B609" t="s">
        <v>26</v>
      </c>
      <c r="C609">
        <v>6</v>
      </c>
      <c r="D609">
        <v>1</v>
      </c>
      <c r="E609" t="s">
        <v>44</v>
      </c>
      <c r="F609" t="s">
        <v>45</v>
      </c>
      <c r="G609" t="str">
        <f>"2026-04-03 12:58:38.854"</f>
        <v>2026-04-03 12:58:38.854</v>
      </c>
      <c r="H609" t="s">
        <v>46</v>
      </c>
      <c r="I609">
        <v>0</v>
      </c>
      <c r="J609" t="s">
        <v>31</v>
      </c>
    </row>
    <row r="610" spans="1:10" x14ac:dyDescent="0.25">
      <c r="A610" s="1">
        <v>33</v>
      </c>
      <c r="B610" t="s">
        <v>19</v>
      </c>
      <c r="C610">
        <v>706</v>
      </c>
      <c r="D610">
        <v>4</v>
      </c>
      <c r="E610" t="s">
        <v>29</v>
      </c>
      <c r="F610" t="s">
        <v>53</v>
      </c>
      <c r="G610" t="str">
        <f>"2026-04-03 08:55:59.739"</f>
        <v>2026-04-03 08:55:59.739</v>
      </c>
      <c r="H610" t="s">
        <v>21</v>
      </c>
      <c r="I610">
        <v>0</v>
      </c>
      <c r="J610" t="s">
        <v>31</v>
      </c>
    </row>
    <row r="611" spans="1:10" s="3" customFormat="1" x14ac:dyDescent="0.25">
      <c r="A611" s="2">
        <v>34</v>
      </c>
      <c r="B611" s="3" t="s">
        <v>22</v>
      </c>
      <c r="C611" s="3">
        <v>647</v>
      </c>
      <c r="D611" s="3">
        <v>1</v>
      </c>
      <c r="E611" s="3" t="s">
        <v>54</v>
      </c>
      <c r="F611" s="3" t="s">
        <v>55</v>
      </c>
      <c r="G611" s="3" t="str">
        <f>"2026-04-03 08:55:33.086"</f>
        <v>2026-04-03 08:55:33.086</v>
      </c>
      <c r="H611" s="3" t="s">
        <v>21</v>
      </c>
    </row>
    <row r="612" spans="1:10" x14ac:dyDescent="0.25">
      <c r="A612" s="1">
        <v>35</v>
      </c>
      <c r="B612" t="s">
        <v>56</v>
      </c>
      <c r="C612">
        <v>620</v>
      </c>
      <c r="D612">
        <v>1</v>
      </c>
      <c r="E612" t="s">
        <v>79</v>
      </c>
      <c r="F612" t="s">
        <v>35</v>
      </c>
      <c r="G612" t="str">
        <f>"2026-04-03 08:55:32.139"</f>
        <v>2026-04-03 08:55:32.139</v>
      </c>
      <c r="H612" t="s">
        <v>75</v>
      </c>
    </row>
    <row r="613" spans="1:10" s="3" customFormat="1" x14ac:dyDescent="0.25">
      <c r="A613" s="2">
        <v>36</v>
      </c>
      <c r="B613" s="3" t="s">
        <v>36</v>
      </c>
      <c r="C613" s="3">
        <v>647</v>
      </c>
      <c r="D613" s="3">
        <v>1</v>
      </c>
      <c r="E613" s="3" t="s">
        <v>54</v>
      </c>
      <c r="F613" s="3" t="s">
        <v>55</v>
      </c>
      <c r="G613" s="3" t="str">
        <f>"2026-04-03 08:55:26.986"</f>
        <v>2026-04-03 08:55:26.986</v>
      </c>
      <c r="H613" s="3" t="s">
        <v>21</v>
      </c>
      <c r="I613" s="3">
        <v>14.88</v>
      </c>
      <c r="J613" s="3" t="s">
        <v>28</v>
      </c>
    </row>
    <row r="614" spans="1:10" x14ac:dyDescent="0.25">
      <c r="A614" s="1">
        <v>37</v>
      </c>
      <c r="B614" t="s">
        <v>26</v>
      </c>
      <c r="C614">
        <v>620</v>
      </c>
      <c r="D614">
        <v>1</v>
      </c>
      <c r="E614" t="s">
        <v>79</v>
      </c>
      <c r="F614" t="s">
        <v>35</v>
      </c>
      <c r="G614" t="str">
        <f>"2026-04-03 08:55:10.746"</f>
        <v>2026-04-03 08:55:10.746</v>
      </c>
      <c r="H614" t="s">
        <v>75</v>
      </c>
      <c r="I614">
        <v>30.07</v>
      </c>
      <c r="J614" t="s">
        <v>37</v>
      </c>
    </row>
    <row r="615" spans="1:10" x14ac:dyDescent="0.25">
      <c r="A615" s="1">
        <v>38</v>
      </c>
      <c r="B615" t="s">
        <v>19</v>
      </c>
      <c r="C615">
        <v>706</v>
      </c>
      <c r="D615">
        <v>2</v>
      </c>
      <c r="E615" t="s">
        <v>29</v>
      </c>
      <c r="F615" t="s">
        <v>30</v>
      </c>
      <c r="G615" t="str">
        <f>"2026-04-02 08:44:54.049"</f>
        <v>2026-04-02 08:44:54.049</v>
      </c>
      <c r="H615" t="s">
        <v>21</v>
      </c>
      <c r="I615">
        <v>0</v>
      </c>
      <c r="J615" t="s">
        <v>31</v>
      </c>
    </row>
    <row r="616" spans="1:10" x14ac:dyDescent="0.25">
      <c r="A616" s="1">
        <v>39</v>
      </c>
      <c r="B616" t="s">
        <v>22</v>
      </c>
      <c r="C616">
        <v>635</v>
      </c>
      <c r="D616">
        <v>1</v>
      </c>
      <c r="E616" t="s">
        <v>34</v>
      </c>
      <c r="F616" t="s">
        <v>35</v>
      </c>
      <c r="G616" t="str">
        <f>"2026-04-02 08:02:21.886"</f>
        <v>2026-04-02 08:02:21.886</v>
      </c>
      <c r="H616" t="s">
        <v>21</v>
      </c>
    </row>
    <row r="617" spans="1:10" x14ac:dyDescent="0.25">
      <c r="A617" s="1">
        <v>40</v>
      </c>
      <c r="B617" t="s">
        <v>36</v>
      </c>
      <c r="C617">
        <v>635</v>
      </c>
      <c r="D617">
        <v>1</v>
      </c>
      <c r="E617" t="s">
        <v>34</v>
      </c>
      <c r="F617" t="s">
        <v>35</v>
      </c>
      <c r="G617" t="str">
        <f>"2026-04-02 07:59:43.886"</f>
        <v>2026-04-02 07:59:43.886</v>
      </c>
      <c r="H617" t="s">
        <v>21</v>
      </c>
      <c r="I617">
        <v>0.04</v>
      </c>
      <c r="J617" t="s">
        <v>37</v>
      </c>
    </row>
    <row r="618" spans="1:10" x14ac:dyDescent="0.25">
      <c r="A618" s="1">
        <v>41</v>
      </c>
      <c r="B618" t="s">
        <v>19</v>
      </c>
      <c r="C618">
        <v>706</v>
      </c>
      <c r="D618">
        <v>4</v>
      </c>
      <c r="E618" t="s">
        <v>29</v>
      </c>
      <c r="F618" t="s">
        <v>53</v>
      </c>
      <c r="G618" t="str">
        <f>"2026-04-02 02:32:13.599"</f>
        <v>2026-04-02 02:32:13.599</v>
      </c>
      <c r="H618" t="s">
        <v>21</v>
      </c>
      <c r="I618">
        <v>0</v>
      </c>
      <c r="J618" t="s">
        <v>31</v>
      </c>
    </row>
    <row r="619" spans="1:10" x14ac:dyDescent="0.25">
      <c r="A619" s="1">
        <v>42</v>
      </c>
      <c r="B619" t="s">
        <v>19</v>
      </c>
      <c r="C619">
        <v>700</v>
      </c>
      <c r="D619">
        <v>0</v>
      </c>
      <c r="E619" t="s">
        <v>20</v>
      </c>
      <c r="F619" t="s">
        <v>20</v>
      </c>
      <c r="G619" t="str">
        <f>"2026-04-02 02:28:07.759"</f>
        <v>2026-04-02 02:28:07.759</v>
      </c>
      <c r="H619" t="s">
        <v>21</v>
      </c>
      <c r="I619">
        <v>0</v>
      </c>
      <c r="J619" t="s">
        <v>33</v>
      </c>
    </row>
    <row r="620" spans="1:10" x14ac:dyDescent="0.25">
      <c r="A620" s="1">
        <v>43</v>
      </c>
      <c r="B620" t="s">
        <v>22</v>
      </c>
      <c r="C620">
        <v>635</v>
      </c>
      <c r="D620">
        <v>1</v>
      </c>
      <c r="E620" t="s">
        <v>34</v>
      </c>
      <c r="F620" t="s">
        <v>35</v>
      </c>
      <c r="G620" t="str">
        <f>"2026-04-01 17:38:19.173"</f>
        <v>2026-04-01 17:38:19.173</v>
      </c>
      <c r="H620" t="s">
        <v>21</v>
      </c>
    </row>
    <row r="621" spans="1:10" x14ac:dyDescent="0.25">
      <c r="A621" s="1">
        <v>44</v>
      </c>
      <c r="B621" t="s">
        <v>36</v>
      </c>
      <c r="C621">
        <v>635</v>
      </c>
      <c r="D621">
        <v>1</v>
      </c>
      <c r="E621" t="s">
        <v>34</v>
      </c>
      <c r="F621" t="s">
        <v>35</v>
      </c>
      <c r="G621" t="str">
        <f>"2026-04-01 17:25:07.173"</f>
        <v>2026-04-01 17:25:07.173</v>
      </c>
      <c r="H621" t="s">
        <v>21</v>
      </c>
      <c r="I621">
        <v>0</v>
      </c>
      <c r="J621" t="s">
        <v>28</v>
      </c>
    </row>
    <row r="622" spans="1:10" s="3" customFormat="1" x14ac:dyDescent="0.25">
      <c r="A622" s="2">
        <v>46</v>
      </c>
      <c r="B622" s="3" t="s">
        <v>22</v>
      </c>
      <c r="C622" s="3">
        <v>647</v>
      </c>
      <c r="D622" s="3">
        <v>1</v>
      </c>
      <c r="E622" s="3" t="s">
        <v>54</v>
      </c>
      <c r="F622" s="3" t="s">
        <v>55</v>
      </c>
      <c r="G622" s="3" t="str">
        <f>"2026-04-01 07:14:35.427"</f>
        <v>2026-04-01 07:14:35.427</v>
      </c>
      <c r="H622" s="3" t="s">
        <v>21</v>
      </c>
    </row>
    <row r="623" spans="1:10" s="3" customFormat="1" x14ac:dyDescent="0.25">
      <c r="A623" s="2">
        <v>47</v>
      </c>
      <c r="B623" s="3" t="s">
        <v>36</v>
      </c>
      <c r="C623" s="3">
        <v>647</v>
      </c>
      <c r="D623" s="3">
        <v>1</v>
      </c>
      <c r="E623" s="3" t="s">
        <v>54</v>
      </c>
      <c r="F623" s="3" t="s">
        <v>55</v>
      </c>
      <c r="G623" s="3" t="str">
        <f>"2026-04-01 07:14:32.127"</f>
        <v>2026-04-01 07:14:32.127</v>
      </c>
      <c r="H623" s="3" t="s">
        <v>21</v>
      </c>
      <c r="I623" s="3">
        <v>8.98</v>
      </c>
      <c r="J623" s="3" t="s">
        <v>27</v>
      </c>
    </row>
    <row r="624" spans="1:10" x14ac:dyDescent="0.25">
      <c r="A624" s="1">
        <v>48</v>
      </c>
      <c r="B624" t="s">
        <v>22</v>
      </c>
      <c r="C624">
        <v>635</v>
      </c>
      <c r="D624">
        <v>1</v>
      </c>
      <c r="E624" t="s">
        <v>34</v>
      </c>
      <c r="F624" t="s">
        <v>35</v>
      </c>
      <c r="G624" t="str">
        <f>"2026-03-31 23:35:16.973"</f>
        <v>2026-03-31 23:35:16.973</v>
      </c>
      <c r="H624" t="s">
        <v>21</v>
      </c>
    </row>
    <row r="625" spans="1:10" x14ac:dyDescent="0.25">
      <c r="A625" s="1">
        <v>49</v>
      </c>
      <c r="B625" t="s">
        <v>36</v>
      </c>
      <c r="C625">
        <v>635</v>
      </c>
      <c r="D625">
        <v>1</v>
      </c>
      <c r="E625" t="s">
        <v>34</v>
      </c>
      <c r="F625" t="s">
        <v>35</v>
      </c>
      <c r="G625" t="str">
        <f>"2026-03-31 23:27:06.473"</f>
        <v>2026-03-31 23:27:06.473</v>
      </c>
      <c r="H625" t="s">
        <v>21</v>
      </c>
      <c r="I625">
        <v>3.96</v>
      </c>
      <c r="J625" t="s">
        <v>28</v>
      </c>
    </row>
    <row r="626" spans="1:10" s="3" customFormat="1" x14ac:dyDescent="0.25">
      <c r="A626" s="2">
        <v>50</v>
      </c>
      <c r="B626" s="3" t="s">
        <v>22</v>
      </c>
      <c r="C626" s="3">
        <v>647</v>
      </c>
      <c r="D626" s="3">
        <v>1</v>
      </c>
      <c r="E626" s="3" t="s">
        <v>54</v>
      </c>
      <c r="F626" s="3" t="s">
        <v>55</v>
      </c>
      <c r="G626" s="3" t="str">
        <f>"2026-03-30 07:45:05.527"</f>
        <v>2026-03-30 07:45:05.527</v>
      </c>
      <c r="H626" s="3" t="s">
        <v>21</v>
      </c>
    </row>
    <row r="627" spans="1:10" s="3" customFormat="1" x14ac:dyDescent="0.25">
      <c r="A627" s="2">
        <v>51</v>
      </c>
      <c r="B627" s="3" t="s">
        <v>36</v>
      </c>
      <c r="C627" s="3">
        <v>647</v>
      </c>
      <c r="D627" s="3">
        <v>1</v>
      </c>
      <c r="E627" s="3" t="s">
        <v>54</v>
      </c>
      <c r="F627" s="3" t="s">
        <v>55</v>
      </c>
      <c r="G627" s="3" t="str">
        <f>"2026-03-30 07:45:00.427"</f>
        <v>2026-03-30 07:45:00.427</v>
      </c>
      <c r="H627" s="3" t="s">
        <v>21</v>
      </c>
      <c r="I627" s="3">
        <v>15.81</v>
      </c>
      <c r="J627" s="3" t="s">
        <v>27</v>
      </c>
    </row>
    <row r="628" spans="1:10" x14ac:dyDescent="0.25">
      <c r="A628" s="1">
        <v>52</v>
      </c>
      <c r="B628" t="s">
        <v>22</v>
      </c>
      <c r="C628">
        <v>635</v>
      </c>
      <c r="D628">
        <v>1</v>
      </c>
      <c r="E628" t="s">
        <v>34</v>
      </c>
      <c r="F628" t="s">
        <v>35</v>
      </c>
      <c r="G628" t="str">
        <f>"2026-03-30 04:41:59.173"</f>
        <v>2026-03-30 04:41:59.173</v>
      </c>
      <c r="H628" t="s">
        <v>21</v>
      </c>
    </row>
    <row r="629" spans="1:10" x14ac:dyDescent="0.25">
      <c r="A629" s="1">
        <v>53</v>
      </c>
      <c r="B629" t="s">
        <v>36</v>
      </c>
      <c r="C629">
        <v>635</v>
      </c>
      <c r="D629">
        <v>1</v>
      </c>
      <c r="E629" t="s">
        <v>34</v>
      </c>
      <c r="F629" t="s">
        <v>35</v>
      </c>
      <c r="G629" t="str">
        <f>"2026-03-30 04:37:23.173"</f>
        <v>2026-03-30 04:37:23.173</v>
      </c>
      <c r="H629" t="s">
        <v>21</v>
      </c>
      <c r="I629">
        <v>0.57999999999999996</v>
      </c>
      <c r="J629" t="s">
        <v>37</v>
      </c>
    </row>
    <row r="630" spans="1:10" x14ac:dyDescent="0.25">
      <c r="A630" s="1">
        <v>54</v>
      </c>
      <c r="B630" t="s">
        <v>19</v>
      </c>
      <c r="C630">
        <v>706</v>
      </c>
      <c r="D630">
        <v>4</v>
      </c>
      <c r="E630" t="s">
        <v>29</v>
      </c>
      <c r="F630" t="s">
        <v>53</v>
      </c>
      <c r="G630" t="str">
        <f>"2026-03-30 01:40:49.464"</f>
        <v>2026-03-30 01:40:49.464</v>
      </c>
      <c r="H630" t="s">
        <v>21</v>
      </c>
      <c r="I630">
        <v>0</v>
      </c>
      <c r="J630" t="s">
        <v>31</v>
      </c>
    </row>
    <row r="631" spans="1:10" x14ac:dyDescent="0.25">
      <c r="A631" s="1">
        <v>55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"2026-03-30 01:40:30.534"</f>
        <v>2026-03-30 01:40:30.534</v>
      </c>
      <c r="H631" t="s">
        <v>21</v>
      </c>
    </row>
    <row r="632" spans="1:10" x14ac:dyDescent="0.25">
      <c r="A632" s="1">
        <v>56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"2026-03-29 21:29:39.555"</f>
        <v>2026-03-29 21:29:39.555</v>
      </c>
      <c r="H632" t="s">
        <v>21</v>
      </c>
      <c r="I632">
        <v>0</v>
      </c>
      <c r="J632" t="s">
        <v>33</v>
      </c>
    </row>
    <row r="633" spans="1:10" x14ac:dyDescent="0.25">
      <c r="A633" s="1">
        <v>57</v>
      </c>
      <c r="B633" t="s">
        <v>19</v>
      </c>
      <c r="C633">
        <v>706</v>
      </c>
      <c r="D633">
        <v>4</v>
      </c>
      <c r="E633" t="s">
        <v>29</v>
      </c>
      <c r="F633" t="s">
        <v>53</v>
      </c>
      <c r="G633" t="str">
        <f>"2026-03-29 21:26:12.583"</f>
        <v>2026-03-29 21:26:12.583</v>
      </c>
      <c r="H633" t="s">
        <v>21</v>
      </c>
      <c r="I633">
        <v>0</v>
      </c>
      <c r="J633" t="s">
        <v>31</v>
      </c>
    </row>
    <row r="634" spans="1:10" x14ac:dyDescent="0.25">
      <c r="A634" s="1">
        <v>58</v>
      </c>
      <c r="B634" t="s">
        <v>19</v>
      </c>
      <c r="C634">
        <v>700</v>
      </c>
      <c r="D634">
        <v>0</v>
      </c>
      <c r="E634" t="s">
        <v>20</v>
      </c>
      <c r="F634" t="s">
        <v>20</v>
      </c>
      <c r="G634" t="str">
        <f>"2026-03-29 21:23:52.573"</f>
        <v>2026-03-29 21:23:52.573</v>
      </c>
      <c r="H634" t="s">
        <v>21</v>
      </c>
      <c r="I634">
        <v>0</v>
      </c>
      <c r="J634" t="s">
        <v>33</v>
      </c>
    </row>
    <row r="635" spans="1:10" s="3" customFormat="1" x14ac:dyDescent="0.25">
      <c r="A635" s="2">
        <v>59</v>
      </c>
      <c r="B635" s="3" t="s">
        <v>22</v>
      </c>
      <c r="C635" s="3">
        <v>647</v>
      </c>
      <c r="D635" s="3">
        <v>1</v>
      </c>
      <c r="E635" s="3" t="s">
        <v>54</v>
      </c>
      <c r="F635" s="3" t="s">
        <v>55</v>
      </c>
      <c r="G635" s="3" t="str">
        <f>"2026-03-29 17:11:14.328"</f>
        <v>2026-03-29 17:11:14.328</v>
      </c>
      <c r="H635" s="3" t="s">
        <v>21</v>
      </c>
    </row>
    <row r="636" spans="1:10" s="3" customFormat="1" x14ac:dyDescent="0.25">
      <c r="A636" s="2">
        <v>60</v>
      </c>
      <c r="B636" s="3" t="s">
        <v>36</v>
      </c>
      <c r="C636" s="3">
        <v>647</v>
      </c>
      <c r="D636" s="3">
        <v>1</v>
      </c>
      <c r="E636" s="3" t="s">
        <v>54</v>
      </c>
      <c r="F636" s="3" t="s">
        <v>55</v>
      </c>
      <c r="G636" s="3" t="str">
        <f>"2026-03-29 17:11:11.628"</f>
        <v>2026-03-29 17:11:11.628</v>
      </c>
      <c r="H636" s="3" t="s">
        <v>21</v>
      </c>
      <c r="I636" s="3">
        <v>16.12</v>
      </c>
      <c r="J636" s="3" t="s">
        <v>27</v>
      </c>
    </row>
    <row r="637" spans="1:10" x14ac:dyDescent="0.25">
      <c r="A637" s="1">
        <v>61</v>
      </c>
      <c r="B637" t="s">
        <v>19</v>
      </c>
      <c r="C637">
        <v>706</v>
      </c>
      <c r="D637">
        <v>4</v>
      </c>
      <c r="E637" t="s">
        <v>29</v>
      </c>
      <c r="F637" t="s">
        <v>53</v>
      </c>
      <c r="G637" t="str">
        <f>"2026-03-29 12:21:07.277"</f>
        <v>2026-03-29 12:21:07.277</v>
      </c>
      <c r="H637" t="s">
        <v>21</v>
      </c>
      <c r="I637">
        <v>0</v>
      </c>
      <c r="J637" t="s">
        <v>31</v>
      </c>
    </row>
    <row r="638" spans="1:10" s="3" customFormat="1" x14ac:dyDescent="0.25">
      <c r="A638" s="2">
        <v>62</v>
      </c>
      <c r="B638" s="3" t="s">
        <v>22</v>
      </c>
      <c r="C638" s="3">
        <v>647</v>
      </c>
      <c r="D638" s="3">
        <v>1</v>
      </c>
      <c r="E638" s="3" t="s">
        <v>54</v>
      </c>
      <c r="F638" s="3" t="s">
        <v>55</v>
      </c>
      <c r="G638" s="3" t="str">
        <f>"2026-03-28 17:01:56.528"</f>
        <v>2026-03-28 17:01:56.528</v>
      </c>
      <c r="H638" s="3" t="s">
        <v>21</v>
      </c>
    </row>
    <row r="639" spans="1:10" s="3" customFormat="1" x14ac:dyDescent="0.25">
      <c r="A639" s="2">
        <v>63</v>
      </c>
      <c r="B639" s="3" t="s">
        <v>36</v>
      </c>
      <c r="C639" s="3">
        <v>647</v>
      </c>
      <c r="D639" s="3">
        <v>1</v>
      </c>
      <c r="E639" s="3" t="s">
        <v>54</v>
      </c>
      <c r="F639" s="3" t="s">
        <v>55</v>
      </c>
      <c r="G639" s="3" t="str">
        <f>"2026-03-28 17:01:52.428"</f>
        <v>2026-03-28 17:01:52.428</v>
      </c>
      <c r="H639" s="3" t="s">
        <v>21</v>
      </c>
      <c r="I639" s="3">
        <v>11.04</v>
      </c>
      <c r="J639" s="3" t="s">
        <v>27</v>
      </c>
    </row>
    <row r="640" spans="1:10" x14ac:dyDescent="0.25">
      <c r="A640" s="1">
        <v>64</v>
      </c>
      <c r="B640" t="s">
        <v>19</v>
      </c>
      <c r="C640">
        <v>706</v>
      </c>
      <c r="D640">
        <v>2</v>
      </c>
      <c r="E640" t="s">
        <v>29</v>
      </c>
      <c r="F640" t="s">
        <v>30</v>
      </c>
      <c r="G640" t="str">
        <f>"2026-03-27 11:02:09.097"</f>
        <v>2026-03-27 11:02:09.097</v>
      </c>
      <c r="H640" t="s">
        <v>21</v>
      </c>
      <c r="I640">
        <v>0</v>
      </c>
      <c r="J640" t="s">
        <v>31</v>
      </c>
    </row>
    <row r="641" spans="1:10" x14ac:dyDescent="0.25">
      <c r="A641" s="1">
        <v>65</v>
      </c>
      <c r="B641" t="s">
        <v>19</v>
      </c>
      <c r="C641">
        <v>700</v>
      </c>
      <c r="D641">
        <v>0</v>
      </c>
      <c r="E641" t="s">
        <v>20</v>
      </c>
      <c r="F641" t="s">
        <v>20</v>
      </c>
      <c r="G641" t="str">
        <f>"2026-03-27 10:58:54.737"</f>
        <v>2026-03-27 10:58:54.737</v>
      </c>
      <c r="H641" t="s">
        <v>21</v>
      </c>
    </row>
    <row r="642" spans="1:10" x14ac:dyDescent="0.25">
      <c r="A642" s="1">
        <v>66</v>
      </c>
      <c r="B642" t="s">
        <v>22</v>
      </c>
      <c r="C642">
        <v>635</v>
      </c>
      <c r="D642">
        <v>1</v>
      </c>
      <c r="E642" t="s">
        <v>34</v>
      </c>
      <c r="F642" t="s">
        <v>35</v>
      </c>
      <c r="G642" t="str">
        <f>"2026-03-27 09:02:00.141"</f>
        <v>2026-03-27 09:02:00.141</v>
      </c>
      <c r="H642" t="s">
        <v>21</v>
      </c>
    </row>
    <row r="643" spans="1:10" x14ac:dyDescent="0.25">
      <c r="A643" s="1">
        <v>67</v>
      </c>
      <c r="B643" t="s">
        <v>36</v>
      </c>
      <c r="C643">
        <v>635</v>
      </c>
      <c r="D643">
        <v>1</v>
      </c>
      <c r="E643" t="s">
        <v>34</v>
      </c>
      <c r="F643" t="s">
        <v>35</v>
      </c>
      <c r="G643" t="str">
        <f>"2026-03-27 08:48:32.141"</f>
        <v>2026-03-27 08:48:32.141</v>
      </c>
      <c r="H643" t="s">
        <v>21</v>
      </c>
      <c r="I643">
        <v>0.08</v>
      </c>
      <c r="J643" t="s">
        <v>28</v>
      </c>
    </row>
    <row r="644" spans="1:10" x14ac:dyDescent="0.25">
      <c r="A644" s="1">
        <v>68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"2026-03-26 20:10:59.571"</f>
        <v>2026-03-26 20:10:59.571</v>
      </c>
      <c r="H644" t="s">
        <v>21</v>
      </c>
      <c r="I644">
        <v>0</v>
      </c>
      <c r="J644" t="s">
        <v>33</v>
      </c>
    </row>
    <row r="645" spans="1:10" x14ac:dyDescent="0.25">
      <c r="A645" s="1">
        <v>69</v>
      </c>
      <c r="B645" t="s">
        <v>19</v>
      </c>
      <c r="C645">
        <v>706</v>
      </c>
      <c r="D645">
        <v>4</v>
      </c>
      <c r="E645" t="s">
        <v>29</v>
      </c>
      <c r="F645" t="s">
        <v>53</v>
      </c>
      <c r="G645" t="str">
        <f>"2026-03-25 14:59:21.860"</f>
        <v>2026-03-25 14:59:21.860</v>
      </c>
      <c r="H645" t="s">
        <v>21</v>
      </c>
      <c r="I645">
        <v>0</v>
      </c>
      <c r="J645" t="s">
        <v>31</v>
      </c>
    </row>
    <row r="646" spans="1:10" x14ac:dyDescent="0.25">
      <c r="A646" s="1">
        <v>70</v>
      </c>
      <c r="B646" t="s">
        <v>19</v>
      </c>
      <c r="C646">
        <v>700</v>
      </c>
      <c r="D646">
        <v>0</v>
      </c>
      <c r="E646" t="s">
        <v>20</v>
      </c>
      <c r="F646" t="s">
        <v>20</v>
      </c>
      <c r="G646" t="str">
        <f>"2026-03-25 14:55:26.660"</f>
        <v>2026-03-25 14:55:26.660</v>
      </c>
      <c r="H646" t="s">
        <v>21</v>
      </c>
    </row>
    <row r="647" spans="1:10" x14ac:dyDescent="0.25">
      <c r="A647" s="1">
        <v>71</v>
      </c>
      <c r="B647" t="s">
        <v>22</v>
      </c>
      <c r="C647">
        <v>635</v>
      </c>
      <c r="D647">
        <v>1</v>
      </c>
      <c r="E647" t="s">
        <v>34</v>
      </c>
      <c r="F647" t="s">
        <v>35</v>
      </c>
      <c r="G647" t="str">
        <f>"2026-03-25 06:16:50.209"</f>
        <v>2026-03-25 06:16:50.209</v>
      </c>
      <c r="H647" t="s">
        <v>21</v>
      </c>
    </row>
    <row r="648" spans="1:10" x14ac:dyDescent="0.25">
      <c r="A648" s="1">
        <v>72</v>
      </c>
      <c r="B648" t="s">
        <v>36</v>
      </c>
      <c r="C648">
        <v>635</v>
      </c>
      <c r="D648">
        <v>1</v>
      </c>
      <c r="E648" t="s">
        <v>34</v>
      </c>
      <c r="F648" t="s">
        <v>35</v>
      </c>
      <c r="G648" t="str">
        <f>"2026-03-25 06:14:27.709"</f>
        <v>2026-03-25 06:14:27.709</v>
      </c>
      <c r="H648" t="s">
        <v>21</v>
      </c>
      <c r="I648">
        <v>9.11</v>
      </c>
      <c r="J648" t="s">
        <v>37</v>
      </c>
    </row>
    <row r="649" spans="1:10" s="3" customFormat="1" x14ac:dyDescent="0.25">
      <c r="A649" s="2">
        <v>74</v>
      </c>
      <c r="B649" s="3" t="s">
        <v>22</v>
      </c>
      <c r="C649" s="3">
        <v>647</v>
      </c>
      <c r="D649" s="3">
        <v>1</v>
      </c>
      <c r="E649" s="3" t="s">
        <v>54</v>
      </c>
      <c r="F649" s="3" t="s">
        <v>55</v>
      </c>
      <c r="G649" s="3" t="str">
        <f>"2026-03-24 16:21:31.610"</f>
        <v>2026-03-24 16:21:31.610</v>
      </c>
      <c r="H649" s="3" t="s">
        <v>21</v>
      </c>
    </row>
    <row r="650" spans="1:10" s="3" customFormat="1" x14ac:dyDescent="0.25">
      <c r="A650" s="2">
        <v>75</v>
      </c>
      <c r="B650" s="3" t="s">
        <v>36</v>
      </c>
      <c r="C650" s="3">
        <v>647</v>
      </c>
      <c r="D650" s="3">
        <v>1</v>
      </c>
      <c r="E650" s="3" t="s">
        <v>54</v>
      </c>
      <c r="F650" s="3" t="s">
        <v>55</v>
      </c>
      <c r="G650" s="3" t="str">
        <f>"2026-03-24 16:21:28.710"</f>
        <v>2026-03-24 16:21:28.710</v>
      </c>
      <c r="H650" s="3" t="s">
        <v>21</v>
      </c>
      <c r="I650" s="3">
        <v>18.84</v>
      </c>
      <c r="J650" s="3" t="s">
        <v>27</v>
      </c>
    </row>
    <row r="651" spans="1:10" x14ac:dyDescent="0.25">
      <c r="A651" s="1">
        <v>77</v>
      </c>
      <c r="B651" t="s">
        <v>19</v>
      </c>
      <c r="C651">
        <v>706</v>
      </c>
      <c r="D651">
        <v>4</v>
      </c>
      <c r="E651" t="s">
        <v>29</v>
      </c>
      <c r="F651" t="s">
        <v>53</v>
      </c>
      <c r="G651" t="str">
        <f>"2026-03-23 12:11:33.462"</f>
        <v>2026-03-23 12:11:33.462</v>
      </c>
      <c r="H651" t="s">
        <v>21</v>
      </c>
      <c r="I651">
        <v>0</v>
      </c>
      <c r="J651" t="s">
        <v>31</v>
      </c>
    </row>
    <row r="652" spans="1:10" x14ac:dyDescent="0.25">
      <c r="A652" s="1">
        <v>78</v>
      </c>
      <c r="B652" t="s">
        <v>19</v>
      </c>
      <c r="C652">
        <v>700</v>
      </c>
      <c r="D652">
        <v>0</v>
      </c>
      <c r="E652" t="s">
        <v>20</v>
      </c>
      <c r="F652" t="s">
        <v>20</v>
      </c>
      <c r="G652" t="str">
        <f>"2026-03-22 20:00:43.742"</f>
        <v>2026-03-22 20:00:43.742</v>
      </c>
      <c r="H652" t="s">
        <v>21</v>
      </c>
    </row>
    <row r="653" spans="1:10" x14ac:dyDescent="0.25">
      <c r="A653" s="1">
        <v>79</v>
      </c>
      <c r="B653" t="s">
        <v>19</v>
      </c>
      <c r="C653">
        <v>706</v>
      </c>
      <c r="D653">
        <v>2</v>
      </c>
      <c r="E653" t="s">
        <v>29</v>
      </c>
      <c r="F653" t="s">
        <v>30</v>
      </c>
      <c r="G653" t="str">
        <f>"2026-03-22 16:35:41.966"</f>
        <v>2026-03-22 16:35:41.966</v>
      </c>
      <c r="H653" t="s">
        <v>21</v>
      </c>
      <c r="I653">
        <v>0</v>
      </c>
      <c r="J653" t="s">
        <v>31</v>
      </c>
    </row>
    <row r="654" spans="1:10" x14ac:dyDescent="0.25">
      <c r="A654" s="1">
        <v>80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"2026-03-22 15:01:41.536"</f>
        <v>2026-03-22 15:01:41.536</v>
      </c>
      <c r="H654" t="s">
        <v>21</v>
      </c>
    </row>
    <row r="655" spans="1:10" s="3" customFormat="1" x14ac:dyDescent="0.25">
      <c r="A655" s="2">
        <v>81</v>
      </c>
      <c r="B655" s="3" t="s">
        <v>22</v>
      </c>
      <c r="C655" s="3">
        <v>647</v>
      </c>
      <c r="D655" s="3">
        <v>1</v>
      </c>
      <c r="E655" s="3" t="s">
        <v>54</v>
      </c>
      <c r="F655" s="3" t="s">
        <v>55</v>
      </c>
      <c r="G655" s="3" t="str">
        <f>"2026-03-21 13:06:09.730"</f>
        <v>2026-03-21 13:06:09.730</v>
      </c>
      <c r="H655" s="3" t="s">
        <v>21</v>
      </c>
    </row>
    <row r="656" spans="1:10" s="3" customFormat="1" x14ac:dyDescent="0.25">
      <c r="A656" s="2">
        <v>82</v>
      </c>
      <c r="B656" s="3" t="s">
        <v>36</v>
      </c>
      <c r="C656" s="3">
        <v>647</v>
      </c>
      <c r="D656" s="3">
        <v>1</v>
      </c>
      <c r="E656" s="3" t="s">
        <v>54</v>
      </c>
      <c r="F656" s="3" t="s">
        <v>55</v>
      </c>
      <c r="G656" s="3" t="str">
        <f>"2026-03-21 13:06:06.631"</f>
        <v>2026-03-21 13:06:06.631</v>
      </c>
      <c r="H656" s="3" t="s">
        <v>21</v>
      </c>
      <c r="I656" s="3">
        <v>9.17</v>
      </c>
      <c r="J656" s="3" t="s">
        <v>27</v>
      </c>
    </row>
    <row r="657" spans="1:10" x14ac:dyDescent="0.25">
      <c r="A657" s="1">
        <v>83</v>
      </c>
      <c r="B657" t="s">
        <v>19</v>
      </c>
      <c r="C657">
        <v>706</v>
      </c>
      <c r="D657">
        <v>4</v>
      </c>
      <c r="E657" t="s">
        <v>29</v>
      </c>
      <c r="F657" t="s">
        <v>53</v>
      </c>
      <c r="G657" t="str">
        <f>"2026-03-21 09:10:24.462"</f>
        <v>2026-03-21 09:10:24.462</v>
      </c>
      <c r="H657" t="s">
        <v>21</v>
      </c>
      <c r="I657">
        <v>0</v>
      </c>
      <c r="J657" t="s">
        <v>31</v>
      </c>
    </row>
    <row r="658" spans="1:10" x14ac:dyDescent="0.25">
      <c r="A658" s="1">
        <v>84</v>
      </c>
      <c r="B658" t="s">
        <v>19</v>
      </c>
      <c r="C658">
        <v>700</v>
      </c>
      <c r="D658">
        <v>0</v>
      </c>
      <c r="E658" t="s">
        <v>20</v>
      </c>
      <c r="F658" t="s">
        <v>20</v>
      </c>
      <c r="G658" t="str">
        <f>"2026-03-21 09:09:45.542"</f>
        <v>2026-03-21 09:09:45.542</v>
      </c>
      <c r="H658" t="s">
        <v>21</v>
      </c>
    </row>
    <row r="659" spans="1:10" x14ac:dyDescent="0.25">
      <c r="A659" s="1">
        <v>85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"2026-03-21 08:58:18.580"</f>
        <v>2026-03-21 08:58:18.580</v>
      </c>
      <c r="H659" t="s">
        <v>21</v>
      </c>
    </row>
    <row r="660" spans="1:10" x14ac:dyDescent="0.25">
      <c r="A660" s="1">
        <v>86</v>
      </c>
      <c r="B660" t="s">
        <v>22</v>
      </c>
      <c r="C660">
        <v>61</v>
      </c>
      <c r="D660">
        <v>2</v>
      </c>
      <c r="E660" t="s">
        <v>66</v>
      </c>
      <c r="F660" t="s">
        <v>67</v>
      </c>
      <c r="G660" t="str">
        <f>"2026-03-21 04:54:52.640"</f>
        <v>2026-03-21 04:54:52.640</v>
      </c>
      <c r="H660" t="s">
        <v>21</v>
      </c>
    </row>
    <row r="661" spans="1:10" x14ac:dyDescent="0.25">
      <c r="A661" s="1">
        <v>87</v>
      </c>
      <c r="B661" t="s">
        <v>26</v>
      </c>
      <c r="C661">
        <v>61</v>
      </c>
      <c r="D661">
        <v>2</v>
      </c>
      <c r="E661" t="s">
        <v>66</v>
      </c>
      <c r="F661" t="s">
        <v>67</v>
      </c>
      <c r="G661" t="str">
        <f>"2026-03-21 04:54:43.341"</f>
        <v>2026-03-21 04:54:43.341</v>
      </c>
      <c r="H661" t="s">
        <v>21</v>
      </c>
      <c r="I661">
        <v>35.840000000000003</v>
      </c>
      <c r="J661" t="s">
        <v>27</v>
      </c>
    </row>
    <row r="662" spans="1:10" s="3" customFormat="1" x14ac:dyDescent="0.25">
      <c r="A662" s="2">
        <v>88</v>
      </c>
      <c r="B662" s="3" t="s">
        <v>22</v>
      </c>
      <c r="C662" s="3">
        <v>647</v>
      </c>
      <c r="D662" s="3">
        <v>1</v>
      </c>
      <c r="E662" s="3" t="s">
        <v>54</v>
      </c>
      <c r="F662" s="3" t="s">
        <v>55</v>
      </c>
      <c r="G662" s="3" t="str">
        <f>"2026-03-20 14:53:33.441"</f>
        <v>2026-03-20 14:53:33.441</v>
      </c>
      <c r="H662" s="3" t="s">
        <v>21</v>
      </c>
    </row>
    <row r="663" spans="1:10" s="3" customFormat="1" x14ac:dyDescent="0.25">
      <c r="A663" s="2">
        <v>89</v>
      </c>
      <c r="B663" s="3" t="s">
        <v>36</v>
      </c>
      <c r="C663" s="3">
        <v>647</v>
      </c>
      <c r="D663" s="3">
        <v>1</v>
      </c>
      <c r="E663" s="3" t="s">
        <v>54</v>
      </c>
      <c r="F663" s="3" t="s">
        <v>55</v>
      </c>
      <c r="G663" s="3" t="str">
        <f>"2026-03-20 14:53:30.941"</f>
        <v>2026-03-20 14:53:30.941</v>
      </c>
      <c r="H663" s="3" t="s">
        <v>21</v>
      </c>
      <c r="I663" s="3">
        <v>9.02</v>
      </c>
      <c r="J663" s="3" t="s">
        <v>27</v>
      </c>
    </row>
    <row r="664" spans="1:10" s="3" customFormat="1" x14ac:dyDescent="0.25">
      <c r="A664" s="2">
        <v>90</v>
      </c>
      <c r="B664" s="3" t="s">
        <v>22</v>
      </c>
      <c r="C664" s="3">
        <v>647</v>
      </c>
      <c r="D664" s="3">
        <v>1</v>
      </c>
      <c r="E664" s="3" t="s">
        <v>54</v>
      </c>
      <c r="F664" s="3" t="s">
        <v>55</v>
      </c>
      <c r="G664" s="3" t="str">
        <f>"2026-03-20 14:53:27.741"</f>
        <v>2026-03-20 14:53:27.741</v>
      </c>
      <c r="H664" s="3" t="s">
        <v>21</v>
      </c>
    </row>
    <row r="665" spans="1:10" s="3" customFormat="1" x14ac:dyDescent="0.25">
      <c r="A665" s="2">
        <v>91</v>
      </c>
      <c r="B665" s="3" t="s">
        <v>36</v>
      </c>
      <c r="C665" s="3">
        <v>647</v>
      </c>
      <c r="D665" s="3">
        <v>1</v>
      </c>
      <c r="E665" s="3" t="s">
        <v>54</v>
      </c>
      <c r="F665" s="3" t="s">
        <v>55</v>
      </c>
      <c r="G665" s="3" t="str">
        <f>"2026-03-20 14:53:25.141"</f>
        <v>2026-03-20 14:53:25.141</v>
      </c>
      <c r="H665" s="3" t="s">
        <v>21</v>
      </c>
      <c r="I665" s="3">
        <v>10.93</v>
      </c>
      <c r="J665" s="3" t="s">
        <v>27</v>
      </c>
    </row>
    <row r="666" spans="1:10" x14ac:dyDescent="0.25">
      <c r="A666" s="1">
        <v>92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"2026-03-19 15:13:54.590"</f>
        <v>2026-03-19 15:13:54.590</v>
      </c>
      <c r="H666" t="s">
        <v>21</v>
      </c>
    </row>
    <row r="667" spans="1:10" x14ac:dyDescent="0.25">
      <c r="A667" s="1">
        <v>93</v>
      </c>
      <c r="B667" t="s">
        <v>19</v>
      </c>
      <c r="C667">
        <v>700</v>
      </c>
      <c r="D667">
        <v>0</v>
      </c>
      <c r="E667" t="s">
        <v>20</v>
      </c>
      <c r="F667" t="s">
        <v>20</v>
      </c>
      <c r="G667" t="str">
        <f>"2026-03-19 15:01:30.541"</f>
        <v>2026-03-19 15:01:30.541</v>
      </c>
      <c r="H667" t="s">
        <v>21</v>
      </c>
    </row>
    <row r="668" spans="1:10" x14ac:dyDescent="0.25">
      <c r="A668" s="1">
        <v>94</v>
      </c>
      <c r="B668" t="s">
        <v>19</v>
      </c>
      <c r="C668">
        <v>700</v>
      </c>
      <c r="D668">
        <v>0</v>
      </c>
      <c r="E668" t="s">
        <v>20</v>
      </c>
      <c r="F668" t="s">
        <v>20</v>
      </c>
      <c r="G668" t="str">
        <f>"2026-03-19 10:53:53.801"</f>
        <v>2026-03-19 10:53:53.801</v>
      </c>
      <c r="H668" t="s">
        <v>21</v>
      </c>
    </row>
    <row r="669" spans="1:10" x14ac:dyDescent="0.25">
      <c r="A669" s="1">
        <v>95</v>
      </c>
      <c r="B669" t="s">
        <v>22</v>
      </c>
      <c r="C669">
        <v>635</v>
      </c>
      <c r="D669">
        <v>1</v>
      </c>
      <c r="E669" t="s">
        <v>34</v>
      </c>
      <c r="F669" t="s">
        <v>35</v>
      </c>
      <c r="G669" t="str">
        <f>"2026-03-18 23:10:02.968"</f>
        <v>2026-03-18 23:10:02.968</v>
      </c>
      <c r="H669" t="s">
        <v>21</v>
      </c>
    </row>
    <row r="670" spans="1:10" x14ac:dyDescent="0.25">
      <c r="A670" s="1">
        <v>96</v>
      </c>
      <c r="B670" t="s">
        <v>36</v>
      </c>
      <c r="C670">
        <v>635</v>
      </c>
      <c r="D670">
        <v>1</v>
      </c>
      <c r="E670" t="s">
        <v>34</v>
      </c>
      <c r="F670" t="s">
        <v>35</v>
      </c>
      <c r="G670" t="str">
        <f>"2026-03-18 23:07:21.468"</f>
        <v>2026-03-18 23:07:21.468</v>
      </c>
      <c r="H670" t="s">
        <v>21</v>
      </c>
      <c r="I670">
        <v>6.63</v>
      </c>
      <c r="J670" t="s">
        <v>37</v>
      </c>
    </row>
    <row r="671" spans="1:10" x14ac:dyDescent="0.25">
      <c r="A671" s="1">
        <v>97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"2026-03-18 12:52:23.548"</f>
        <v>2026-03-18 12:52:23.548</v>
      </c>
      <c r="H671" t="s">
        <v>21</v>
      </c>
      <c r="I671">
        <v>0</v>
      </c>
      <c r="J671" t="s">
        <v>33</v>
      </c>
    </row>
    <row r="672" spans="1:10" x14ac:dyDescent="0.25">
      <c r="A672" s="1">
        <v>98</v>
      </c>
      <c r="B672" t="s">
        <v>22</v>
      </c>
      <c r="C672">
        <v>635</v>
      </c>
      <c r="D672">
        <v>1</v>
      </c>
      <c r="E672" t="s">
        <v>34</v>
      </c>
      <c r="F672" t="s">
        <v>35</v>
      </c>
      <c r="G672" t="str">
        <f>"2026-03-17 20:44:01.295"</f>
        <v>2026-03-17 20:44:01.295</v>
      </c>
      <c r="H672" t="s">
        <v>21</v>
      </c>
    </row>
    <row r="673" spans="1:10" x14ac:dyDescent="0.25">
      <c r="A673" s="1">
        <v>99</v>
      </c>
      <c r="B673" t="s">
        <v>36</v>
      </c>
      <c r="C673">
        <v>635</v>
      </c>
      <c r="D673">
        <v>1</v>
      </c>
      <c r="E673" t="s">
        <v>34</v>
      </c>
      <c r="F673" t="s">
        <v>35</v>
      </c>
      <c r="G673" t="str">
        <f>"2026-03-17 20:41:18.296"</f>
        <v>2026-03-17 20:41:18.296</v>
      </c>
      <c r="H673" t="s">
        <v>21</v>
      </c>
      <c r="I673">
        <v>-0.02</v>
      </c>
      <c r="J673" t="s">
        <v>28</v>
      </c>
    </row>
    <row r="674" spans="1:10" x14ac:dyDescent="0.25">
      <c r="A674" s="1">
        <v>0</v>
      </c>
      <c r="B674" t="s">
        <v>19</v>
      </c>
      <c r="C674">
        <v>706</v>
      </c>
      <c r="D674">
        <v>2</v>
      </c>
      <c r="E674" t="s">
        <v>29</v>
      </c>
      <c r="F674" t="s">
        <v>30</v>
      </c>
      <c r="G674" t="str">
        <f>"2026-03-16 12:31:47.357"</f>
        <v>2026-03-16 12:31:47.357</v>
      </c>
      <c r="H674" t="s">
        <v>21</v>
      </c>
      <c r="I674">
        <v>0</v>
      </c>
      <c r="J674" t="s">
        <v>31</v>
      </c>
    </row>
    <row r="675" spans="1:10" x14ac:dyDescent="0.25">
      <c r="A675" s="1">
        <v>1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"2026-03-16 12:31:28.707"</f>
        <v>2026-03-16 12:31:28.707</v>
      </c>
      <c r="H675" t="s">
        <v>21</v>
      </c>
    </row>
    <row r="676" spans="1:10" x14ac:dyDescent="0.25">
      <c r="A676" s="1">
        <v>2</v>
      </c>
      <c r="B676" t="s">
        <v>22</v>
      </c>
      <c r="C676">
        <v>635</v>
      </c>
      <c r="D676">
        <v>1</v>
      </c>
      <c r="E676" t="s">
        <v>34</v>
      </c>
      <c r="F676" t="s">
        <v>35</v>
      </c>
      <c r="G676" t="str">
        <f>"2026-03-16 07:45:14.681"</f>
        <v>2026-03-16 07:45:14.681</v>
      </c>
      <c r="H676" t="s">
        <v>21</v>
      </c>
    </row>
    <row r="677" spans="1:10" x14ac:dyDescent="0.25">
      <c r="A677" s="1">
        <v>3</v>
      </c>
      <c r="B677" t="s">
        <v>36</v>
      </c>
      <c r="C677">
        <v>635</v>
      </c>
      <c r="D677">
        <v>1</v>
      </c>
      <c r="E677" t="s">
        <v>34</v>
      </c>
      <c r="F677" t="s">
        <v>35</v>
      </c>
      <c r="G677" t="str">
        <f>"2026-03-16 07:41:23.181"</f>
        <v>2026-03-16 07:41:23.181</v>
      </c>
      <c r="H677" t="s">
        <v>21</v>
      </c>
      <c r="I677">
        <v>5.72</v>
      </c>
      <c r="J677" t="s">
        <v>37</v>
      </c>
    </row>
    <row r="678" spans="1:10" x14ac:dyDescent="0.25">
      <c r="A678" s="1">
        <v>4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"2026-03-15 13:41:48.552"</f>
        <v>2026-03-15 13:41:48.552</v>
      </c>
      <c r="H678" t="s">
        <v>21</v>
      </c>
      <c r="I678">
        <v>0</v>
      </c>
      <c r="J678" t="s">
        <v>33</v>
      </c>
    </row>
    <row r="679" spans="1:10" x14ac:dyDescent="0.25">
      <c r="A679" s="1">
        <v>5</v>
      </c>
      <c r="B679" t="s">
        <v>40</v>
      </c>
      <c r="C679">
        <v>77</v>
      </c>
      <c r="D679">
        <v>1</v>
      </c>
      <c r="E679" t="s">
        <v>59</v>
      </c>
      <c r="F679" t="s">
        <v>60</v>
      </c>
      <c r="G679" t="str">
        <f>"2026-03-13 13:17:41.912"</f>
        <v>2026-03-13 13:17:41.912</v>
      </c>
      <c r="H679" t="s">
        <v>46</v>
      </c>
    </row>
    <row r="680" spans="1:10" x14ac:dyDescent="0.25">
      <c r="A680" s="1">
        <v>6</v>
      </c>
      <c r="B680" t="s">
        <v>26</v>
      </c>
      <c r="C680">
        <v>77</v>
      </c>
      <c r="D680">
        <v>1</v>
      </c>
      <c r="E680" t="s">
        <v>59</v>
      </c>
      <c r="F680" t="s">
        <v>60</v>
      </c>
      <c r="G680" t="str">
        <f>"2026-03-13 13:17:36.842"</f>
        <v>2026-03-13 13:17:36.842</v>
      </c>
      <c r="H680" t="s">
        <v>46</v>
      </c>
      <c r="I680">
        <v>0</v>
      </c>
      <c r="J680" t="s">
        <v>31</v>
      </c>
    </row>
    <row r="681" spans="1:10" x14ac:dyDescent="0.25">
      <c r="A681" s="1">
        <v>7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"2026-03-13 13:16:55.543"</f>
        <v>2026-03-13 13:16:55.543</v>
      </c>
      <c r="H681" t="s">
        <v>21</v>
      </c>
    </row>
    <row r="682" spans="1:10" x14ac:dyDescent="0.25">
      <c r="A682" s="1">
        <v>11</v>
      </c>
      <c r="B682" t="s">
        <v>22</v>
      </c>
      <c r="C682">
        <v>635</v>
      </c>
      <c r="D682">
        <v>1</v>
      </c>
      <c r="E682" t="s">
        <v>34</v>
      </c>
      <c r="F682" t="s">
        <v>35</v>
      </c>
      <c r="G682" t="str">
        <f>"2026-03-11 17:37:16.635"</f>
        <v>2026-03-11 17:37:16.635</v>
      </c>
      <c r="H682" t="s">
        <v>21</v>
      </c>
    </row>
    <row r="683" spans="1:10" x14ac:dyDescent="0.25">
      <c r="A683" s="1">
        <v>12</v>
      </c>
      <c r="B683" t="s">
        <v>36</v>
      </c>
      <c r="C683">
        <v>635</v>
      </c>
      <c r="D683">
        <v>1</v>
      </c>
      <c r="E683" t="s">
        <v>34</v>
      </c>
      <c r="F683" t="s">
        <v>35</v>
      </c>
      <c r="G683" t="str">
        <f>"2026-03-11 17:34:59.135"</f>
        <v>2026-03-11 17:34:59.135</v>
      </c>
      <c r="H683" t="s">
        <v>21</v>
      </c>
      <c r="I683">
        <v>-1.17</v>
      </c>
      <c r="J683" t="s">
        <v>37</v>
      </c>
    </row>
    <row r="684" spans="1:10" s="3" customFormat="1" x14ac:dyDescent="0.25">
      <c r="A684" s="2">
        <v>13</v>
      </c>
      <c r="B684" s="3" t="s">
        <v>22</v>
      </c>
      <c r="C684" s="3">
        <v>647</v>
      </c>
      <c r="D684" s="3">
        <v>1</v>
      </c>
      <c r="E684" s="3" t="s">
        <v>54</v>
      </c>
      <c r="F684" s="3" t="s">
        <v>55</v>
      </c>
      <c r="G684" s="3" t="str">
        <f>"2026-03-10 20:20:24.036"</f>
        <v>2026-03-10 20:20:24.036</v>
      </c>
      <c r="H684" s="3" t="s">
        <v>21</v>
      </c>
    </row>
    <row r="685" spans="1:10" s="3" customFormat="1" x14ac:dyDescent="0.25">
      <c r="A685" s="2">
        <v>14</v>
      </c>
      <c r="B685" s="3" t="s">
        <v>36</v>
      </c>
      <c r="C685" s="3">
        <v>647</v>
      </c>
      <c r="D685" s="3">
        <v>1</v>
      </c>
      <c r="E685" s="3" t="s">
        <v>54</v>
      </c>
      <c r="F685" s="3" t="s">
        <v>55</v>
      </c>
      <c r="G685" s="3" t="str">
        <f>"2026-03-10 20:20:17.135"</f>
        <v>2026-03-10 20:20:17.135</v>
      </c>
      <c r="H685" s="3" t="s">
        <v>21</v>
      </c>
      <c r="I685" s="3">
        <v>11.95</v>
      </c>
      <c r="J685" s="3" t="s">
        <v>27</v>
      </c>
    </row>
    <row r="686" spans="1:10" x14ac:dyDescent="0.25">
      <c r="A686" s="1">
        <v>15</v>
      </c>
      <c r="B686" t="s">
        <v>22</v>
      </c>
      <c r="C686">
        <v>635</v>
      </c>
      <c r="D686">
        <v>1</v>
      </c>
      <c r="E686" t="s">
        <v>34</v>
      </c>
      <c r="F686" t="s">
        <v>35</v>
      </c>
      <c r="G686" t="str">
        <f>"2026-03-10 10:08:06.635"</f>
        <v>2026-03-10 10:08:06.635</v>
      </c>
      <c r="H686" t="s">
        <v>21</v>
      </c>
    </row>
    <row r="687" spans="1:10" x14ac:dyDescent="0.25">
      <c r="A687" s="1">
        <v>16</v>
      </c>
      <c r="B687" t="s">
        <v>36</v>
      </c>
      <c r="C687">
        <v>635</v>
      </c>
      <c r="D687">
        <v>1</v>
      </c>
      <c r="E687" t="s">
        <v>34</v>
      </c>
      <c r="F687" t="s">
        <v>35</v>
      </c>
      <c r="G687" t="str">
        <f>"2026-03-10 10:00:02.635"</f>
        <v>2026-03-10 10:00:02.635</v>
      </c>
      <c r="H687" t="s">
        <v>21</v>
      </c>
      <c r="I687">
        <v>1.75</v>
      </c>
      <c r="J687" t="s">
        <v>27</v>
      </c>
    </row>
    <row r="688" spans="1:10" x14ac:dyDescent="0.25">
      <c r="A688" s="1">
        <v>17</v>
      </c>
      <c r="B688" t="s">
        <v>19</v>
      </c>
      <c r="C688">
        <v>700</v>
      </c>
      <c r="D688">
        <v>0</v>
      </c>
      <c r="E688" t="s">
        <v>20</v>
      </c>
      <c r="F688" t="s">
        <v>20</v>
      </c>
      <c r="G688" t="str">
        <f>"2026-03-08 23:50:19.537"</f>
        <v>2026-03-08 23:50:19.537</v>
      </c>
      <c r="H688" t="s">
        <v>21</v>
      </c>
    </row>
    <row r="689" spans="1:10" x14ac:dyDescent="0.25">
      <c r="A689" s="1">
        <v>18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"2026-03-08 22:51:34.545"</f>
        <v>2026-03-08 22:51:34.545</v>
      </c>
      <c r="H689" t="s">
        <v>21</v>
      </c>
    </row>
    <row r="690" spans="1:10" x14ac:dyDescent="0.25">
      <c r="A690" s="1">
        <v>19</v>
      </c>
      <c r="B690" t="s">
        <v>19</v>
      </c>
      <c r="C690">
        <v>706</v>
      </c>
      <c r="D690">
        <v>4</v>
      </c>
      <c r="E690" t="s">
        <v>29</v>
      </c>
      <c r="F690" t="s">
        <v>53</v>
      </c>
      <c r="G690" t="str">
        <f>"2026-03-08 22:12:45.046"</f>
        <v>2026-03-08 22:12:45.046</v>
      </c>
      <c r="H690" t="s">
        <v>21</v>
      </c>
      <c r="I690">
        <v>0</v>
      </c>
      <c r="J690" t="s">
        <v>31</v>
      </c>
    </row>
    <row r="691" spans="1:10" x14ac:dyDescent="0.25">
      <c r="A691" s="1">
        <v>20</v>
      </c>
      <c r="B691" t="s">
        <v>19</v>
      </c>
      <c r="C691">
        <v>706</v>
      </c>
      <c r="D691">
        <v>2</v>
      </c>
      <c r="E691" t="s">
        <v>29</v>
      </c>
      <c r="F691" t="s">
        <v>30</v>
      </c>
      <c r="G691" t="str">
        <f>"2026-03-08 22:11:50.676"</f>
        <v>2026-03-08 22:11:50.676</v>
      </c>
      <c r="H691" t="s">
        <v>21</v>
      </c>
      <c r="I691">
        <v>0</v>
      </c>
      <c r="J691" t="s">
        <v>31</v>
      </c>
    </row>
    <row r="692" spans="1:10" x14ac:dyDescent="0.25">
      <c r="A692" s="1">
        <v>21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"2026-03-08 22:10:40.546"</f>
        <v>2026-03-08 22:10:40.546</v>
      </c>
      <c r="H692" t="s">
        <v>21</v>
      </c>
      <c r="I692">
        <v>0</v>
      </c>
      <c r="J692" t="s">
        <v>33</v>
      </c>
    </row>
    <row r="693" spans="1:10" x14ac:dyDescent="0.25">
      <c r="A693" s="1">
        <v>22</v>
      </c>
      <c r="B693" t="s">
        <v>19</v>
      </c>
      <c r="C693">
        <v>706</v>
      </c>
      <c r="D693">
        <v>4</v>
      </c>
      <c r="E693" t="s">
        <v>29</v>
      </c>
      <c r="F693" t="s">
        <v>53</v>
      </c>
      <c r="G693" t="str">
        <f>"2026-03-08 22:06:10.761"</f>
        <v>2026-03-08 22:06:10.761</v>
      </c>
      <c r="H693" t="s">
        <v>21</v>
      </c>
      <c r="I693">
        <v>0</v>
      </c>
      <c r="J693" t="s">
        <v>31</v>
      </c>
    </row>
    <row r="694" spans="1:10" x14ac:dyDescent="0.25">
      <c r="A694" s="1">
        <v>23</v>
      </c>
      <c r="B694" t="s">
        <v>19</v>
      </c>
      <c r="C694">
        <v>706</v>
      </c>
      <c r="D694">
        <v>4</v>
      </c>
      <c r="E694" t="s">
        <v>29</v>
      </c>
      <c r="F694" t="s">
        <v>53</v>
      </c>
      <c r="G694" t="str">
        <f>"2026-03-08 22:05:01.171"</f>
        <v>2026-03-08 22:05:01.171</v>
      </c>
      <c r="H694" t="s">
        <v>21</v>
      </c>
      <c r="I694">
        <v>0</v>
      </c>
      <c r="J694" t="s">
        <v>31</v>
      </c>
    </row>
    <row r="695" spans="1:10" x14ac:dyDescent="0.25">
      <c r="A695" s="1">
        <v>24</v>
      </c>
      <c r="B695" t="s">
        <v>19</v>
      </c>
      <c r="C695">
        <v>706</v>
      </c>
      <c r="D695">
        <v>4</v>
      </c>
      <c r="E695" t="s">
        <v>29</v>
      </c>
      <c r="F695" t="s">
        <v>53</v>
      </c>
      <c r="G695" t="str">
        <f>"2026-03-08 22:01:46.391"</f>
        <v>2026-03-08 22:01:46.391</v>
      </c>
      <c r="H695" t="s">
        <v>21</v>
      </c>
      <c r="I695">
        <v>0</v>
      </c>
      <c r="J695" t="s">
        <v>31</v>
      </c>
    </row>
    <row r="696" spans="1:10" x14ac:dyDescent="0.25">
      <c r="A696" s="1">
        <v>25</v>
      </c>
      <c r="B696" t="s">
        <v>56</v>
      </c>
      <c r="C696">
        <v>47</v>
      </c>
      <c r="D696">
        <v>2</v>
      </c>
      <c r="E696" t="s">
        <v>71</v>
      </c>
      <c r="F696" t="s">
        <v>72</v>
      </c>
      <c r="G696" t="str">
        <f>"2026-03-08 21:59:39.671"</f>
        <v>2026-03-08 21:59:39.671</v>
      </c>
      <c r="H696" t="s">
        <v>46</v>
      </c>
    </row>
    <row r="697" spans="1:10" x14ac:dyDescent="0.25">
      <c r="A697" s="1">
        <v>26</v>
      </c>
      <c r="B697" t="s">
        <v>19</v>
      </c>
      <c r="C697">
        <v>706</v>
      </c>
      <c r="D697">
        <v>2</v>
      </c>
      <c r="E697" t="s">
        <v>29</v>
      </c>
      <c r="F697" t="s">
        <v>30</v>
      </c>
      <c r="G697" t="str">
        <f>"2026-03-08 21:56:48.001"</f>
        <v>2026-03-08 21:56:48.001</v>
      </c>
      <c r="H697" t="s">
        <v>21</v>
      </c>
      <c r="I697">
        <v>0</v>
      </c>
      <c r="J697" t="s">
        <v>31</v>
      </c>
    </row>
    <row r="698" spans="1:10" x14ac:dyDescent="0.25">
      <c r="A698" s="1">
        <v>27</v>
      </c>
      <c r="B698" t="s">
        <v>19</v>
      </c>
      <c r="C698">
        <v>706</v>
      </c>
      <c r="D698">
        <v>2</v>
      </c>
      <c r="E698" t="s">
        <v>29</v>
      </c>
      <c r="F698" t="s">
        <v>30</v>
      </c>
      <c r="G698" t="str">
        <f>"2026-03-08 21:56:16.401"</f>
        <v>2026-03-08 21:56:16.401</v>
      </c>
      <c r="H698" t="s">
        <v>21</v>
      </c>
      <c r="I698">
        <v>0</v>
      </c>
      <c r="J698" t="s">
        <v>31</v>
      </c>
    </row>
    <row r="699" spans="1:10" x14ac:dyDescent="0.25">
      <c r="A699" s="1">
        <v>28</v>
      </c>
      <c r="B699" t="s">
        <v>26</v>
      </c>
      <c r="C699">
        <v>47</v>
      </c>
      <c r="D699">
        <v>2</v>
      </c>
      <c r="E699" t="s">
        <v>71</v>
      </c>
      <c r="F699" t="s">
        <v>72</v>
      </c>
      <c r="G699" t="str">
        <f>"2026-03-08 21:49:39.745"</f>
        <v>2026-03-08 21:49:39.745</v>
      </c>
      <c r="H699" t="s">
        <v>46</v>
      </c>
      <c r="I699">
        <v>0</v>
      </c>
      <c r="J699" t="s">
        <v>31</v>
      </c>
    </row>
    <row r="700" spans="1:10" x14ac:dyDescent="0.25">
      <c r="A700" s="1">
        <v>29</v>
      </c>
      <c r="B700" t="s">
        <v>19</v>
      </c>
      <c r="C700">
        <v>706</v>
      </c>
      <c r="D700">
        <v>4</v>
      </c>
      <c r="E700" t="s">
        <v>29</v>
      </c>
      <c r="F700" t="s">
        <v>53</v>
      </c>
      <c r="G700" t="str">
        <f>"2026-03-08 21:49:27.591"</f>
        <v>2026-03-08 21:49:27.591</v>
      </c>
      <c r="H700" t="s">
        <v>21</v>
      </c>
      <c r="I700">
        <v>0</v>
      </c>
      <c r="J700" t="s">
        <v>31</v>
      </c>
    </row>
    <row r="701" spans="1:10" x14ac:dyDescent="0.25">
      <c r="A701" s="1">
        <v>30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"2026-03-08 21:09:51.591"</f>
        <v>2026-03-08 21:09:51.591</v>
      </c>
      <c r="H701" t="s">
        <v>21</v>
      </c>
      <c r="I701">
        <v>0</v>
      </c>
      <c r="J701" t="s">
        <v>33</v>
      </c>
    </row>
    <row r="702" spans="1:10" x14ac:dyDescent="0.25">
      <c r="A702" s="1">
        <v>31</v>
      </c>
      <c r="B702" t="s">
        <v>22</v>
      </c>
      <c r="C702">
        <v>635</v>
      </c>
      <c r="D702">
        <v>1</v>
      </c>
      <c r="E702" t="s">
        <v>34</v>
      </c>
      <c r="F702" t="s">
        <v>35</v>
      </c>
      <c r="G702" t="str">
        <f>"2026-03-08 18:42:54.348"</f>
        <v>2026-03-08 18:42:54.348</v>
      </c>
      <c r="H702" t="s">
        <v>21</v>
      </c>
    </row>
    <row r="703" spans="1:10" x14ac:dyDescent="0.25">
      <c r="A703" s="1">
        <v>32</v>
      </c>
      <c r="B703" t="s">
        <v>36</v>
      </c>
      <c r="C703">
        <v>635</v>
      </c>
      <c r="D703">
        <v>1</v>
      </c>
      <c r="E703" t="s">
        <v>34</v>
      </c>
      <c r="F703" t="s">
        <v>35</v>
      </c>
      <c r="G703" t="str">
        <f>"2026-03-08 18:38:11.348"</f>
        <v>2026-03-08 18:38:11.348</v>
      </c>
      <c r="H703" t="s">
        <v>21</v>
      </c>
      <c r="I703">
        <v>5.4</v>
      </c>
      <c r="J703" t="s">
        <v>37</v>
      </c>
    </row>
    <row r="704" spans="1:10" x14ac:dyDescent="0.25">
      <c r="A704" s="1">
        <v>33</v>
      </c>
      <c r="B704" t="s">
        <v>19</v>
      </c>
      <c r="C704">
        <v>700</v>
      </c>
      <c r="D704">
        <v>0</v>
      </c>
      <c r="E704" t="s">
        <v>20</v>
      </c>
      <c r="F704" t="s">
        <v>20</v>
      </c>
      <c r="G704" t="str">
        <f>"2026-03-08 12:14:25.576"</f>
        <v>2026-03-08 12:14:25.576</v>
      </c>
      <c r="H704" t="s">
        <v>21</v>
      </c>
      <c r="I704">
        <v>0</v>
      </c>
      <c r="J704" t="s">
        <v>33</v>
      </c>
    </row>
    <row r="705" spans="1:10" x14ac:dyDescent="0.25">
      <c r="A705" s="1">
        <v>38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"2026-03-07 13:29:48.543"</f>
        <v>2026-03-07 13:29:48.543</v>
      </c>
      <c r="H705" t="s">
        <v>21</v>
      </c>
      <c r="I705">
        <v>0</v>
      </c>
      <c r="J705" t="s">
        <v>33</v>
      </c>
    </row>
    <row r="706" spans="1:10" x14ac:dyDescent="0.25">
      <c r="A706" s="1">
        <v>39</v>
      </c>
      <c r="B706" t="s">
        <v>22</v>
      </c>
      <c r="C706">
        <v>635</v>
      </c>
      <c r="D706">
        <v>1</v>
      </c>
      <c r="E706" t="s">
        <v>34</v>
      </c>
      <c r="F706" t="s">
        <v>35</v>
      </c>
      <c r="G706" t="str">
        <f>"2026-03-06 20:34:01.828"</f>
        <v>2026-03-06 20:34:01.828</v>
      </c>
      <c r="H706" t="s">
        <v>21</v>
      </c>
    </row>
    <row r="707" spans="1:10" x14ac:dyDescent="0.25">
      <c r="A707" s="1">
        <v>40</v>
      </c>
      <c r="B707" t="s">
        <v>36</v>
      </c>
      <c r="C707">
        <v>635</v>
      </c>
      <c r="D707">
        <v>1</v>
      </c>
      <c r="E707" t="s">
        <v>34</v>
      </c>
      <c r="F707" t="s">
        <v>35</v>
      </c>
      <c r="G707" t="str">
        <f>"2026-03-06 20:31:21.328"</f>
        <v>2026-03-06 20:31:21.328</v>
      </c>
      <c r="H707" t="s">
        <v>21</v>
      </c>
      <c r="I707">
        <v>1.62</v>
      </c>
      <c r="J707" t="s">
        <v>37</v>
      </c>
    </row>
    <row r="708" spans="1:10" s="3" customFormat="1" x14ac:dyDescent="0.25">
      <c r="A708" s="2">
        <v>41</v>
      </c>
      <c r="B708" s="3" t="s">
        <v>22</v>
      </c>
      <c r="C708" s="3">
        <v>647</v>
      </c>
      <c r="D708" s="3">
        <v>1</v>
      </c>
      <c r="E708" s="3" t="s">
        <v>54</v>
      </c>
      <c r="F708" s="3" t="s">
        <v>55</v>
      </c>
      <c r="G708" s="3" t="str">
        <f>"2026-03-06 20:17:59.228"</f>
        <v>2026-03-06 20:17:59.228</v>
      </c>
      <c r="H708" s="3" t="s">
        <v>21</v>
      </c>
    </row>
    <row r="709" spans="1:10" s="3" customFormat="1" x14ac:dyDescent="0.25">
      <c r="A709" s="2">
        <v>42</v>
      </c>
      <c r="B709" s="3" t="s">
        <v>36</v>
      </c>
      <c r="C709" s="3">
        <v>647</v>
      </c>
      <c r="D709" s="3">
        <v>1</v>
      </c>
      <c r="E709" s="3" t="s">
        <v>54</v>
      </c>
      <c r="F709" s="3" t="s">
        <v>55</v>
      </c>
      <c r="G709" s="3" t="str">
        <f>"2026-03-06 20:17:56.529"</f>
        <v>2026-03-06 20:17:56.529</v>
      </c>
      <c r="H709" s="3" t="s">
        <v>21</v>
      </c>
      <c r="I709" s="3">
        <v>11.55</v>
      </c>
      <c r="J709" s="3" t="s">
        <v>27</v>
      </c>
    </row>
    <row r="710" spans="1:10" x14ac:dyDescent="0.25">
      <c r="A710" s="1">
        <v>44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"2026-03-06 13:56:46.550"</f>
        <v>2026-03-06 13:56:46.550</v>
      </c>
      <c r="H710" t="s">
        <v>21</v>
      </c>
      <c r="I710">
        <v>0</v>
      </c>
      <c r="J710" t="s">
        <v>33</v>
      </c>
    </row>
    <row r="711" spans="1:10" x14ac:dyDescent="0.25">
      <c r="A711" s="1">
        <v>45</v>
      </c>
      <c r="B711" t="s">
        <v>22</v>
      </c>
      <c r="C711">
        <v>635</v>
      </c>
      <c r="D711">
        <v>1</v>
      </c>
      <c r="E711" t="s">
        <v>34</v>
      </c>
      <c r="F711" t="s">
        <v>35</v>
      </c>
      <c r="G711" t="str">
        <f>"2026-03-05 19:29:20.091"</f>
        <v>2026-03-05 19:29:20.091</v>
      </c>
      <c r="H711" t="s">
        <v>21</v>
      </c>
    </row>
    <row r="712" spans="1:10" x14ac:dyDescent="0.25">
      <c r="A712" s="1">
        <v>46</v>
      </c>
      <c r="B712" t="s">
        <v>36</v>
      </c>
      <c r="C712">
        <v>635</v>
      </c>
      <c r="D712">
        <v>1</v>
      </c>
      <c r="E712" t="s">
        <v>34</v>
      </c>
      <c r="F712" t="s">
        <v>35</v>
      </c>
      <c r="G712" t="str">
        <f>"2026-03-05 19:27:05.591"</f>
        <v>2026-03-05 19:27:05.591</v>
      </c>
      <c r="H712" t="s">
        <v>21</v>
      </c>
      <c r="I712">
        <v>0.17</v>
      </c>
      <c r="J712" t="s">
        <v>28</v>
      </c>
    </row>
    <row r="713" spans="1:10" x14ac:dyDescent="0.25">
      <c r="A713" s="1">
        <v>47</v>
      </c>
      <c r="B713" t="s">
        <v>19</v>
      </c>
      <c r="C713">
        <v>700</v>
      </c>
      <c r="D713">
        <v>0</v>
      </c>
      <c r="E713" t="s">
        <v>20</v>
      </c>
      <c r="F713" t="s">
        <v>20</v>
      </c>
      <c r="G713" t="str">
        <f>"2026-03-04 13:29:47.564"</f>
        <v>2026-03-04 13:29:47.564</v>
      </c>
      <c r="H713" t="s">
        <v>21</v>
      </c>
      <c r="I713">
        <v>0</v>
      </c>
      <c r="J713" t="s">
        <v>33</v>
      </c>
    </row>
    <row r="714" spans="1:10" s="3" customFormat="1" x14ac:dyDescent="0.25">
      <c r="A714" s="2">
        <v>48</v>
      </c>
      <c r="B714" s="3" t="s">
        <v>22</v>
      </c>
      <c r="C714" s="3">
        <v>647</v>
      </c>
      <c r="D714" s="3">
        <v>1</v>
      </c>
      <c r="E714" s="3" t="s">
        <v>54</v>
      </c>
      <c r="F714" s="3" t="s">
        <v>55</v>
      </c>
      <c r="G714" s="3" t="str">
        <f>"2026-03-03 11:48:34.862"</f>
        <v>2026-03-03 11:48:34.862</v>
      </c>
      <c r="H714" s="3" t="s">
        <v>21</v>
      </c>
    </row>
    <row r="715" spans="1:10" s="3" customFormat="1" x14ac:dyDescent="0.25">
      <c r="A715" s="2">
        <v>49</v>
      </c>
      <c r="B715" s="3" t="s">
        <v>36</v>
      </c>
      <c r="C715" s="3">
        <v>647</v>
      </c>
      <c r="D715" s="3">
        <v>1</v>
      </c>
      <c r="E715" s="3" t="s">
        <v>54</v>
      </c>
      <c r="F715" s="3" t="s">
        <v>55</v>
      </c>
      <c r="G715" s="3" t="str">
        <f>"2026-03-03 11:48:30.163"</f>
        <v>2026-03-03 11:48:30.163</v>
      </c>
      <c r="H715" s="3" t="s">
        <v>21</v>
      </c>
      <c r="I715" s="3">
        <v>8.5399999999999991</v>
      </c>
      <c r="J715" s="3" t="s">
        <v>27</v>
      </c>
    </row>
    <row r="716" spans="1:10" x14ac:dyDescent="0.25">
      <c r="A716" s="1">
        <v>50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"2026-03-02 13:52:11.575"</f>
        <v>2026-03-02 13:52:11.575</v>
      </c>
      <c r="H716" t="s">
        <v>21</v>
      </c>
    </row>
    <row r="717" spans="1:10" x14ac:dyDescent="0.25">
      <c r="A717" s="1">
        <v>51</v>
      </c>
      <c r="B717" t="s">
        <v>22</v>
      </c>
      <c r="C717">
        <v>635</v>
      </c>
      <c r="D717">
        <v>1</v>
      </c>
      <c r="E717" t="s">
        <v>34</v>
      </c>
      <c r="F717" t="s">
        <v>35</v>
      </c>
      <c r="G717" t="str">
        <f>"2026-03-02 05:02:19.549"</f>
        <v>2026-03-02 05:02:19.549</v>
      </c>
      <c r="H717" t="s">
        <v>21</v>
      </c>
    </row>
    <row r="718" spans="1:10" x14ac:dyDescent="0.25">
      <c r="A718" s="1">
        <v>52</v>
      </c>
      <c r="B718" t="s">
        <v>36</v>
      </c>
      <c r="C718">
        <v>635</v>
      </c>
      <c r="D718">
        <v>1</v>
      </c>
      <c r="E718" t="s">
        <v>34</v>
      </c>
      <c r="F718" t="s">
        <v>35</v>
      </c>
      <c r="G718" t="str">
        <f>"2026-03-02 04:59:57.549"</f>
        <v>2026-03-02 04:59:57.549</v>
      </c>
      <c r="H718" t="s">
        <v>21</v>
      </c>
      <c r="I718">
        <v>0.49</v>
      </c>
      <c r="J718" t="s">
        <v>28</v>
      </c>
    </row>
    <row r="719" spans="1:10" s="3" customFormat="1" x14ac:dyDescent="0.25">
      <c r="A719" s="2">
        <v>53</v>
      </c>
      <c r="B719" s="3" t="s">
        <v>22</v>
      </c>
      <c r="C719" s="3">
        <v>647</v>
      </c>
      <c r="D719" s="3">
        <v>1</v>
      </c>
      <c r="E719" s="3" t="s">
        <v>54</v>
      </c>
      <c r="F719" s="3" t="s">
        <v>55</v>
      </c>
      <c r="G719" s="3" t="str">
        <f>"2026-03-01 21:01:19.750"</f>
        <v>2026-03-01 21:01:19.750</v>
      </c>
      <c r="H719" s="3" t="s">
        <v>21</v>
      </c>
    </row>
    <row r="720" spans="1:10" s="3" customFormat="1" x14ac:dyDescent="0.25">
      <c r="A720" s="2">
        <v>54</v>
      </c>
      <c r="B720" s="3" t="s">
        <v>36</v>
      </c>
      <c r="C720" s="3">
        <v>647</v>
      </c>
      <c r="D720" s="3">
        <v>1</v>
      </c>
      <c r="E720" s="3" t="s">
        <v>54</v>
      </c>
      <c r="F720" s="3" t="s">
        <v>55</v>
      </c>
      <c r="G720" s="3" t="str">
        <f>"2026-03-01 21:01:15.250"</f>
        <v>2026-03-01 21:01:15.250</v>
      </c>
      <c r="H720" s="3" t="s">
        <v>21</v>
      </c>
      <c r="I720" s="3">
        <v>9.77</v>
      </c>
      <c r="J720" s="3" t="s">
        <v>27</v>
      </c>
    </row>
    <row r="721" spans="1:10" x14ac:dyDescent="0.25">
      <c r="A721" s="1">
        <v>55</v>
      </c>
      <c r="B721" t="s">
        <v>19</v>
      </c>
      <c r="C721">
        <v>700</v>
      </c>
      <c r="D721">
        <v>0</v>
      </c>
      <c r="E721" t="s">
        <v>20</v>
      </c>
      <c r="F721" t="s">
        <v>20</v>
      </c>
      <c r="G721" t="str">
        <f>"2026-03-01 13:49:17.669"</f>
        <v>2026-03-01 13:49:17.669</v>
      </c>
      <c r="H721" t="s">
        <v>21</v>
      </c>
    </row>
    <row r="722" spans="1:10" x14ac:dyDescent="0.25">
      <c r="A722" s="1">
        <v>56</v>
      </c>
      <c r="B722" t="s">
        <v>22</v>
      </c>
      <c r="C722">
        <v>635</v>
      </c>
      <c r="D722">
        <v>1</v>
      </c>
      <c r="E722" t="s">
        <v>34</v>
      </c>
      <c r="F722" t="s">
        <v>35</v>
      </c>
      <c r="G722" t="str">
        <f>"2026-03-01 08:13:06.642"</f>
        <v>2026-03-01 08:13:06.642</v>
      </c>
      <c r="H722" t="s">
        <v>21</v>
      </c>
    </row>
    <row r="723" spans="1:10" x14ac:dyDescent="0.25">
      <c r="A723" s="1">
        <v>57</v>
      </c>
      <c r="B723" t="s">
        <v>36</v>
      </c>
      <c r="C723">
        <v>635</v>
      </c>
      <c r="D723">
        <v>1</v>
      </c>
      <c r="E723" t="s">
        <v>34</v>
      </c>
      <c r="F723" t="s">
        <v>35</v>
      </c>
      <c r="G723" t="str">
        <f>"2026-03-01 08:10:02.142"</f>
        <v>2026-03-01 08:10:02.142</v>
      </c>
      <c r="H723" t="s">
        <v>21</v>
      </c>
      <c r="I723">
        <v>4.8</v>
      </c>
      <c r="J723" t="s">
        <v>37</v>
      </c>
    </row>
    <row r="724" spans="1:10" x14ac:dyDescent="0.25">
      <c r="A724" s="1">
        <v>59</v>
      </c>
      <c r="B724" t="s">
        <v>22</v>
      </c>
      <c r="C724">
        <v>635</v>
      </c>
      <c r="D724">
        <v>1</v>
      </c>
      <c r="E724" t="s">
        <v>34</v>
      </c>
      <c r="F724" t="s">
        <v>35</v>
      </c>
      <c r="G724" t="str">
        <f>"2026-03-01 00:30:54.342"</f>
        <v>2026-03-01 00:30:54.342</v>
      </c>
      <c r="H724" t="s">
        <v>21</v>
      </c>
    </row>
    <row r="725" spans="1:10" x14ac:dyDescent="0.25">
      <c r="A725" s="1">
        <v>60</v>
      </c>
      <c r="B725" t="s">
        <v>36</v>
      </c>
      <c r="C725">
        <v>635</v>
      </c>
      <c r="D725">
        <v>1</v>
      </c>
      <c r="E725" t="s">
        <v>34</v>
      </c>
      <c r="F725" t="s">
        <v>35</v>
      </c>
      <c r="G725" t="str">
        <f>"2026-03-01 00:27:35.842"</f>
        <v>2026-03-01 00:27:35.842</v>
      </c>
      <c r="H725" t="s">
        <v>21</v>
      </c>
      <c r="I725">
        <v>0.76</v>
      </c>
      <c r="J725" t="s">
        <v>37</v>
      </c>
    </row>
    <row r="726" spans="1:10" s="3" customFormat="1" x14ac:dyDescent="0.25">
      <c r="A726" s="2">
        <v>61</v>
      </c>
      <c r="B726" s="3" t="s">
        <v>22</v>
      </c>
      <c r="C726" s="3">
        <v>647</v>
      </c>
      <c r="D726" s="3">
        <v>1</v>
      </c>
      <c r="E726" s="3" t="s">
        <v>54</v>
      </c>
      <c r="F726" s="3" t="s">
        <v>55</v>
      </c>
      <c r="G726" s="3" t="str">
        <f>"2026-02-28 03:36:54.843"</f>
        <v>2026-02-28 03:36:54.843</v>
      </c>
      <c r="H726" s="3" t="s">
        <v>21</v>
      </c>
    </row>
    <row r="727" spans="1:10" s="3" customFormat="1" x14ac:dyDescent="0.25">
      <c r="A727" s="2">
        <v>62</v>
      </c>
      <c r="B727" s="3" t="s">
        <v>36</v>
      </c>
      <c r="C727" s="3">
        <v>647</v>
      </c>
      <c r="D727" s="3">
        <v>1</v>
      </c>
      <c r="E727" s="3" t="s">
        <v>54</v>
      </c>
      <c r="F727" s="3" t="s">
        <v>55</v>
      </c>
      <c r="G727" s="3" t="str">
        <f>"2026-02-28 03:36:49.743"</f>
        <v>2026-02-28 03:36:49.743</v>
      </c>
      <c r="H727" s="3" t="s">
        <v>21</v>
      </c>
      <c r="I727" s="3">
        <v>9.1</v>
      </c>
      <c r="J727" s="3" t="s">
        <v>27</v>
      </c>
    </row>
    <row r="728" spans="1:10" s="3" customFormat="1" x14ac:dyDescent="0.25">
      <c r="A728" s="2">
        <v>63</v>
      </c>
      <c r="B728" s="3" t="s">
        <v>22</v>
      </c>
      <c r="C728" s="3">
        <v>647</v>
      </c>
      <c r="D728" s="3">
        <v>1</v>
      </c>
      <c r="E728" s="3" t="s">
        <v>54</v>
      </c>
      <c r="F728" s="3" t="s">
        <v>55</v>
      </c>
      <c r="G728" s="3" t="str">
        <f>"2026-02-28 01:11:16.643"</f>
        <v>2026-02-28 01:11:16.643</v>
      </c>
      <c r="H728" s="3" t="s">
        <v>21</v>
      </c>
    </row>
    <row r="729" spans="1:10" s="3" customFormat="1" x14ac:dyDescent="0.25">
      <c r="A729" s="2">
        <v>64</v>
      </c>
      <c r="B729" s="3" t="s">
        <v>36</v>
      </c>
      <c r="C729" s="3">
        <v>647</v>
      </c>
      <c r="D729" s="3">
        <v>1</v>
      </c>
      <c r="E729" s="3" t="s">
        <v>54</v>
      </c>
      <c r="F729" s="3" t="s">
        <v>55</v>
      </c>
      <c r="G729" s="3" t="str">
        <f>"2026-02-28 01:11:14.543"</f>
        <v>2026-02-28 01:11:14.543</v>
      </c>
      <c r="H729" s="3" t="s">
        <v>21</v>
      </c>
      <c r="I729" s="3">
        <v>9.09</v>
      </c>
      <c r="J729" s="3" t="s">
        <v>27</v>
      </c>
    </row>
    <row r="730" spans="1:10" x14ac:dyDescent="0.25">
      <c r="A730" s="1">
        <v>65</v>
      </c>
      <c r="B730" t="s">
        <v>22</v>
      </c>
      <c r="C730">
        <v>635</v>
      </c>
      <c r="D730">
        <v>1</v>
      </c>
      <c r="E730" t="s">
        <v>34</v>
      </c>
      <c r="F730" t="s">
        <v>35</v>
      </c>
      <c r="G730" t="str">
        <f>"2026-02-27 17:22:18.342"</f>
        <v>2026-02-27 17:22:18.342</v>
      </c>
      <c r="H730" t="s">
        <v>21</v>
      </c>
    </row>
    <row r="731" spans="1:10" x14ac:dyDescent="0.25">
      <c r="A731" s="1">
        <v>66</v>
      </c>
      <c r="B731" t="s">
        <v>36</v>
      </c>
      <c r="C731">
        <v>635</v>
      </c>
      <c r="D731">
        <v>1</v>
      </c>
      <c r="E731" t="s">
        <v>34</v>
      </c>
      <c r="F731" t="s">
        <v>35</v>
      </c>
      <c r="G731" t="str">
        <f>"2026-02-27 17:16:19.842"</f>
        <v>2026-02-27 17:16:19.842</v>
      </c>
      <c r="H731" t="s">
        <v>21</v>
      </c>
      <c r="I731">
        <v>6.84</v>
      </c>
      <c r="J731" t="s">
        <v>37</v>
      </c>
    </row>
    <row r="732" spans="1:10" x14ac:dyDescent="0.25">
      <c r="A732" s="1">
        <v>67</v>
      </c>
      <c r="B732" t="s">
        <v>22</v>
      </c>
      <c r="C732">
        <v>635</v>
      </c>
      <c r="D732">
        <v>1</v>
      </c>
      <c r="E732" t="s">
        <v>34</v>
      </c>
      <c r="F732" t="s">
        <v>35</v>
      </c>
      <c r="G732" t="str">
        <f>"2026-02-26 14:53:53.342"</f>
        <v>2026-02-26 14:53:53.342</v>
      </c>
      <c r="H732" t="s">
        <v>21</v>
      </c>
    </row>
    <row r="733" spans="1:10" x14ac:dyDescent="0.25">
      <c r="A733" s="1">
        <v>68</v>
      </c>
      <c r="B733" t="s">
        <v>36</v>
      </c>
      <c r="C733">
        <v>635</v>
      </c>
      <c r="D733">
        <v>1</v>
      </c>
      <c r="E733" t="s">
        <v>34</v>
      </c>
      <c r="F733" t="s">
        <v>35</v>
      </c>
      <c r="G733" t="str">
        <f>"2026-02-26 14:50:32.342"</f>
        <v>2026-02-26 14:50:32.342</v>
      </c>
      <c r="H733" t="s">
        <v>21</v>
      </c>
      <c r="I733">
        <v>4.96</v>
      </c>
      <c r="J733" t="s">
        <v>37</v>
      </c>
    </row>
    <row r="734" spans="1:10" x14ac:dyDescent="0.25">
      <c r="A734" s="1">
        <v>69</v>
      </c>
      <c r="B734" t="s">
        <v>22</v>
      </c>
      <c r="C734">
        <v>635</v>
      </c>
      <c r="D734">
        <v>1</v>
      </c>
      <c r="E734" t="s">
        <v>34</v>
      </c>
      <c r="F734" t="s">
        <v>35</v>
      </c>
      <c r="G734" t="str">
        <f>"2026-02-26 14:37:26.342"</f>
        <v>2026-02-26 14:37:26.342</v>
      </c>
      <c r="H734" t="s">
        <v>21</v>
      </c>
    </row>
    <row r="735" spans="1:10" x14ac:dyDescent="0.25">
      <c r="A735" s="1">
        <v>70</v>
      </c>
      <c r="B735" t="s">
        <v>36</v>
      </c>
      <c r="C735">
        <v>635</v>
      </c>
      <c r="D735">
        <v>1</v>
      </c>
      <c r="E735" t="s">
        <v>34</v>
      </c>
      <c r="F735" t="s">
        <v>35</v>
      </c>
      <c r="G735" t="str">
        <f>"2026-02-26 14:23:19.342"</f>
        <v>2026-02-26 14:23:19.342</v>
      </c>
      <c r="H735" t="s">
        <v>21</v>
      </c>
      <c r="I735">
        <v>2.52</v>
      </c>
      <c r="J735" t="s">
        <v>37</v>
      </c>
    </row>
    <row r="736" spans="1:10" x14ac:dyDescent="0.25">
      <c r="A736" s="1">
        <v>71</v>
      </c>
      <c r="B736" t="s">
        <v>22</v>
      </c>
      <c r="C736">
        <v>635</v>
      </c>
      <c r="D736">
        <v>1</v>
      </c>
      <c r="E736" t="s">
        <v>34</v>
      </c>
      <c r="F736" t="s">
        <v>35</v>
      </c>
      <c r="G736" t="str">
        <f>"2026-02-26 10:07:15.242"</f>
        <v>2026-02-26 10:07:15.242</v>
      </c>
      <c r="H736" t="s">
        <v>21</v>
      </c>
    </row>
    <row r="737" spans="1:10" x14ac:dyDescent="0.25">
      <c r="A737" s="1">
        <v>72</v>
      </c>
      <c r="B737" t="s">
        <v>36</v>
      </c>
      <c r="C737">
        <v>635</v>
      </c>
      <c r="D737">
        <v>1</v>
      </c>
      <c r="E737" t="s">
        <v>34</v>
      </c>
      <c r="F737" t="s">
        <v>35</v>
      </c>
      <c r="G737" t="str">
        <f>"2026-02-26 10:02:55.242"</f>
        <v>2026-02-26 10:02:55.242</v>
      </c>
      <c r="H737" t="s">
        <v>21</v>
      </c>
      <c r="I737">
        <v>1.1499999999999999</v>
      </c>
      <c r="J737" t="s">
        <v>37</v>
      </c>
    </row>
    <row r="738" spans="1:10" x14ac:dyDescent="0.25">
      <c r="A738" s="1">
        <v>73</v>
      </c>
      <c r="B738" t="s">
        <v>22</v>
      </c>
      <c r="C738">
        <v>635</v>
      </c>
      <c r="D738">
        <v>1</v>
      </c>
      <c r="E738" t="s">
        <v>34</v>
      </c>
      <c r="F738" t="s">
        <v>35</v>
      </c>
      <c r="G738" t="str">
        <f>"2026-02-26 07:36:31.042"</f>
        <v>2026-02-26 07:36:31.042</v>
      </c>
      <c r="H738" t="s">
        <v>21</v>
      </c>
    </row>
    <row r="739" spans="1:10" x14ac:dyDescent="0.25">
      <c r="A739" s="1">
        <v>74</v>
      </c>
      <c r="B739" t="s">
        <v>36</v>
      </c>
      <c r="C739">
        <v>635</v>
      </c>
      <c r="D739">
        <v>1</v>
      </c>
      <c r="E739" t="s">
        <v>34</v>
      </c>
      <c r="F739" t="s">
        <v>35</v>
      </c>
      <c r="G739" t="str">
        <f>"2026-02-26 07:31:48.542"</f>
        <v>2026-02-26 07:31:48.542</v>
      </c>
      <c r="H739" t="s">
        <v>21</v>
      </c>
      <c r="I739">
        <v>0.9</v>
      </c>
      <c r="J739" t="s">
        <v>37</v>
      </c>
    </row>
    <row r="740" spans="1:10" x14ac:dyDescent="0.25">
      <c r="A740" s="1">
        <v>75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"2026-02-26 03:04:55.540"</f>
        <v>2026-02-26 03:04:55.540</v>
      </c>
      <c r="H740" t="s">
        <v>21</v>
      </c>
      <c r="I740">
        <v>0</v>
      </c>
      <c r="J740" t="s">
        <v>33</v>
      </c>
    </row>
    <row r="741" spans="1:10" x14ac:dyDescent="0.25">
      <c r="A741" s="1">
        <v>76</v>
      </c>
      <c r="B741" t="s">
        <v>19</v>
      </c>
      <c r="C741">
        <v>706</v>
      </c>
      <c r="D741">
        <v>2</v>
      </c>
      <c r="E741" t="s">
        <v>29</v>
      </c>
      <c r="F741" t="s">
        <v>30</v>
      </c>
      <c r="G741" t="str">
        <f>"2026-02-26 02:24:18.604"</f>
        <v>2026-02-26 02:24:18.604</v>
      </c>
      <c r="H741" t="s">
        <v>21</v>
      </c>
      <c r="I741">
        <v>0</v>
      </c>
      <c r="J741" t="s">
        <v>31</v>
      </c>
    </row>
    <row r="742" spans="1:10" x14ac:dyDescent="0.25">
      <c r="A742" s="1">
        <v>77</v>
      </c>
      <c r="B742" t="s">
        <v>19</v>
      </c>
      <c r="C742">
        <v>706</v>
      </c>
      <c r="D742">
        <v>4</v>
      </c>
      <c r="E742" t="s">
        <v>29</v>
      </c>
      <c r="F742" t="s">
        <v>53</v>
      </c>
      <c r="G742" t="str">
        <f>"2026-02-26 02:23:46.764"</f>
        <v>2026-02-26 02:23:46.764</v>
      </c>
      <c r="H742" t="s">
        <v>21</v>
      </c>
      <c r="I742">
        <v>0</v>
      </c>
      <c r="J742" t="s">
        <v>31</v>
      </c>
    </row>
    <row r="743" spans="1:10" x14ac:dyDescent="0.25">
      <c r="A743" s="1">
        <v>78</v>
      </c>
      <c r="B743" t="s">
        <v>19</v>
      </c>
      <c r="C743">
        <v>706</v>
      </c>
      <c r="D743">
        <v>2</v>
      </c>
      <c r="E743" t="s">
        <v>29</v>
      </c>
      <c r="F743" t="s">
        <v>30</v>
      </c>
      <c r="G743" t="str">
        <f>"2026-02-26 02:23:36.204"</f>
        <v>2026-02-26 02:23:36.204</v>
      </c>
      <c r="H743" t="s">
        <v>21</v>
      </c>
      <c r="I743">
        <v>0</v>
      </c>
      <c r="J743" t="s">
        <v>31</v>
      </c>
    </row>
    <row r="744" spans="1:10" x14ac:dyDescent="0.25">
      <c r="A744" s="1">
        <v>79</v>
      </c>
      <c r="B744" t="s">
        <v>19</v>
      </c>
      <c r="C744">
        <v>706</v>
      </c>
      <c r="D744">
        <v>4</v>
      </c>
      <c r="E744" t="s">
        <v>29</v>
      </c>
      <c r="F744" t="s">
        <v>53</v>
      </c>
      <c r="G744" t="str">
        <f>"2026-02-26 02:19:50.964"</f>
        <v>2026-02-26 02:19:50.964</v>
      </c>
      <c r="H744" t="s">
        <v>21</v>
      </c>
      <c r="I744">
        <v>0</v>
      </c>
      <c r="J744" t="s">
        <v>31</v>
      </c>
    </row>
    <row r="745" spans="1:10" x14ac:dyDescent="0.25">
      <c r="A745" s="1">
        <v>80</v>
      </c>
      <c r="B745" t="s">
        <v>19</v>
      </c>
      <c r="C745">
        <v>706</v>
      </c>
      <c r="D745">
        <v>2</v>
      </c>
      <c r="E745" t="s">
        <v>29</v>
      </c>
      <c r="F745" t="s">
        <v>30</v>
      </c>
      <c r="G745" t="str">
        <f>"2026-02-26 02:18:29.004"</f>
        <v>2026-02-26 02:18:29.004</v>
      </c>
      <c r="H745" t="s">
        <v>21</v>
      </c>
      <c r="I745">
        <v>0</v>
      </c>
      <c r="J745" t="s">
        <v>31</v>
      </c>
    </row>
    <row r="746" spans="1:10" x14ac:dyDescent="0.25">
      <c r="A746" s="1">
        <v>81</v>
      </c>
      <c r="B746" t="s">
        <v>19</v>
      </c>
      <c r="C746">
        <v>706</v>
      </c>
      <c r="D746">
        <v>4</v>
      </c>
      <c r="E746" t="s">
        <v>29</v>
      </c>
      <c r="F746" t="s">
        <v>53</v>
      </c>
      <c r="G746" t="str">
        <f>"2026-02-26 02:18:06.364"</f>
        <v>2026-02-26 02:18:06.364</v>
      </c>
      <c r="H746" t="s">
        <v>21</v>
      </c>
      <c r="I746">
        <v>0</v>
      </c>
      <c r="J746" t="s">
        <v>31</v>
      </c>
    </row>
    <row r="747" spans="1:10" x14ac:dyDescent="0.25">
      <c r="A747" s="1">
        <v>82</v>
      </c>
      <c r="B747" t="s">
        <v>19</v>
      </c>
      <c r="C747">
        <v>706</v>
      </c>
      <c r="D747">
        <v>4</v>
      </c>
      <c r="E747" t="s">
        <v>29</v>
      </c>
      <c r="F747" t="s">
        <v>53</v>
      </c>
      <c r="G747" t="str">
        <f>"2026-02-26 02:04:30.494"</f>
        <v>2026-02-26 02:04:30.494</v>
      </c>
      <c r="H747" t="s">
        <v>21</v>
      </c>
      <c r="I747">
        <v>0</v>
      </c>
      <c r="J747" t="s">
        <v>31</v>
      </c>
    </row>
    <row r="748" spans="1:10" x14ac:dyDescent="0.25">
      <c r="A748" s="1">
        <v>83</v>
      </c>
      <c r="B748" t="s">
        <v>19</v>
      </c>
      <c r="C748">
        <v>706</v>
      </c>
      <c r="D748">
        <v>4</v>
      </c>
      <c r="E748" t="s">
        <v>29</v>
      </c>
      <c r="F748" t="s">
        <v>53</v>
      </c>
      <c r="G748" t="str">
        <f>"2026-02-26 01:45:05.414"</f>
        <v>2026-02-26 01:45:05.414</v>
      </c>
      <c r="H748" t="s">
        <v>21</v>
      </c>
      <c r="I748">
        <v>0</v>
      </c>
      <c r="J748" t="s">
        <v>31</v>
      </c>
    </row>
    <row r="749" spans="1:10" x14ac:dyDescent="0.25">
      <c r="A749" s="1">
        <v>84</v>
      </c>
      <c r="B749" t="s">
        <v>19</v>
      </c>
      <c r="C749">
        <v>706</v>
      </c>
      <c r="D749">
        <v>4</v>
      </c>
      <c r="E749" t="s">
        <v>29</v>
      </c>
      <c r="F749" t="s">
        <v>53</v>
      </c>
      <c r="G749" t="str">
        <f>"2026-02-26 01:44:02.224"</f>
        <v>2026-02-26 01:44:02.224</v>
      </c>
      <c r="H749" t="s">
        <v>21</v>
      </c>
      <c r="I749">
        <v>0</v>
      </c>
      <c r="J749" t="s">
        <v>31</v>
      </c>
    </row>
    <row r="750" spans="1:10" x14ac:dyDescent="0.25">
      <c r="A750" s="1">
        <v>85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"2026-02-26 01:28:48.544"</f>
        <v>2026-02-26 01:28:48.544</v>
      </c>
      <c r="H750" t="s">
        <v>21</v>
      </c>
      <c r="I750">
        <v>0</v>
      </c>
      <c r="J750" t="s">
        <v>33</v>
      </c>
    </row>
    <row r="751" spans="1:10" x14ac:dyDescent="0.25">
      <c r="A751" s="1">
        <v>86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"2026-02-26 01:17:34.667"</f>
        <v>2026-02-26 01:17:34.667</v>
      </c>
      <c r="H751" t="s">
        <v>21</v>
      </c>
      <c r="I751">
        <v>0</v>
      </c>
      <c r="J751" t="s">
        <v>33</v>
      </c>
    </row>
    <row r="752" spans="1:10" x14ac:dyDescent="0.25">
      <c r="A752" s="1">
        <v>87</v>
      </c>
      <c r="B752" t="s">
        <v>22</v>
      </c>
      <c r="C752">
        <v>635</v>
      </c>
      <c r="D752">
        <v>1</v>
      </c>
      <c r="E752" t="s">
        <v>34</v>
      </c>
      <c r="F752" t="s">
        <v>35</v>
      </c>
      <c r="G752" t="str">
        <f>"2026-02-25 14:32:11.833"</f>
        <v>2026-02-25 14:32:11.833</v>
      </c>
      <c r="H752" t="s">
        <v>21</v>
      </c>
    </row>
    <row r="753" spans="1:10" x14ac:dyDescent="0.25">
      <c r="A753" s="1">
        <v>88</v>
      </c>
      <c r="B753" t="s">
        <v>36</v>
      </c>
      <c r="C753">
        <v>635</v>
      </c>
      <c r="D753">
        <v>1</v>
      </c>
      <c r="E753" t="s">
        <v>34</v>
      </c>
      <c r="F753" t="s">
        <v>35</v>
      </c>
      <c r="G753" t="str">
        <f>"2026-02-25 14:21:07.333"</f>
        <v>2026-02-25 14:21:07.333</v>
      </c>
      <c r="H753" t="s">
        <v>21</v>
      </c>
      <c r="I753">
        <v>0.11</v>
      </c>
      <c r="J753" t="s">
        <v>37</v>
      </c>
    </row>
    <row r="754" spans="1:10" x14ac:dyDescent="0.25">
      <c r="A754" s="1">
        <v>89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"2026-02-25 02:40:09.546"</f>
        <v>2026-02-25 02:40:09.546</v>
      </c>
      <c r="H754" t="s">
        <v>21</v>
      </c>
      <c r="I754">
        <v>0</v>
      </c>
      <c r="J754" t="s">
        <v>33</v>
      </c>
    </row>
    <row r="755" spans="1:10" x14ac:dyDescent="0.25">
      <c r="A755" s="1">
        <v>90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"2026-02-25 02:05:18.564"</f>
        <v>2026-02-25 02:05:18.564</v>
      </c>
      <c r="H755" t="s">
        <v>21</v>
      </c>
      <c r="I755">
        <v>0</v>
      </c>
      <c r="J755" t="s">
        <v>33</v>
      </c>
    </row>
    <row r="756" spans="1:10" x14ac:dyDescent="0.25">
      <c r="A756" s="1">
        <v>91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"2026-02-24 13:14:30.655"</f>
        <v>2026-02-24 13:14:30.655</v>
      </c>
      <c r="H756" t="s">
        <v>21</v>
      </c>
    </row>
    <row r="757" spans="1:10" x14ac:dyDescent="0.25">
      <c r="A757" s="1">
        <v>92</v>
      </c>
      <c r="B757" t="s">
        <v>40</v>
      </c>
      <c r="C757">
        <v>237</v>
      </c>
      <c r="D757">
        <v>4</v>
      </c>
      <c r="E757" t="s">
        <v>80</v>
      </c>
      <c r="F757" t="s">
        <v>81</v>
      </c>
      <c r="G757" t="str">
        <f>"2026-02-24 08:35:40.801"</f>
        <v>2026-02-24 08:35:40.801</v>
      </c>
      <c r="H757" t="s">
        <v>49</v>
      </c>
    </row>
    <row r="758" spans="1:10" x14ac:dyDescent="0.25">
      <c r="A758" s="1">
        <v>93</v>
      </c>
      <c r="B758" t="s">
        <v>26</v>
      </c>
      <c r="C758">
        <v>237</v>
      </c>
      <c r="D758">
        <v>4</v>
      </c>
      <c r="E758" t="s">
        <v>80</v>
      </c>
      <c r="F758" t="s">
        <v>81</v>
      </c>
      <c r="G758" t="str">
        <f>"2026-02-24 08:35:35.729"</f>
        <v>2026-02-24 08:35:35.729</v>
      </c>
      <c r="H758" t="s">
        <v>49</v>
      </c>
      <c r="I758">
        <v>8.11</v>
      </c>
      <c r="J758" t="s">
        <v>37</v>
      </c>
    </row>
    <row r="759" spans="1:10" x14ac:dyDescent="0.25">
      <c r="A759" s="1">
        <v>94</v>
      </c>
      <c r="B759" t="s">
        <v>22</v>
      </c>
      <c r="C759">
        <v>635</v>
      </c>
      <c r="D759">
        <v>1</v>
      </c>
      <c r="E759" t="s">
        <v>34</v>
      </c>
      <c r="F759" t="s">
        <v>35</v>
      </c>
      <c r="G759" t="str">
        <f>"2026-02-24 06:27:15.113"</f>
        <v>2026-02-24 06:27:15.113</v>
      </c>
      <c r="H759" t="s">
        <v>21</v>
      </c>
    </row>
    <row r="760" spans="1:10" x14ac:dyDescent="0.25">
      <c r="A760" s="1">
        <v>95</v>
      </c>
      <c r="B760" t="s">
        <v>36</v>
      </c>
      <c r="C760">
        <v>635</v>
      </c>
      <c r="D760">
        <v>1</v>
      </c>
      <c r="E760" t="s">
        <v>34</v>
      </c>
      <c r="F760" t="s">
        <v>35</v>
      </c>
      <c r="G760" t="str">
        <f>"2026-02-24 06:21:48.613"</f>
        <v>2026-02-24 06:21:48.613</v>
      </c>
      <c r="H760" t="s">
        <v>21</v>
      </c>
      <c r="I760">
        <v>0.16</v>
      </c>
      <c r="J760" t="s">
        <v>37</v>
      </c>
    </row>
    <row r="761" spans="1:10" x14ac:dyDescent="0.25">
      <c r="A761" s="1">
        <v>97</v>
      </c>
      <c r="B761" t="s">
        <v>22</v>
      </c>
      <c r="C761">
        <v>635</v>
      </c>
      <c r="D761">
        <v>1</v>
      </c>
      <c r="E761" t="s">
        <v>34</v>
      </c>
      <c r="F761" t="s">
        <v>35</v>
      </c>
      <c r="G761" t="str">
        <f>"2026-02-23 16:18:35.913"</f>
        <v>2026-02-23 16:18:35.913</v>
      </c>
      <c r="H761" t="s">
        <v>21</v>
      </c>
    </row>
    <row r="762" spans="1:10" x14ac:dyDescent="0.25">
      <c r="A762" s="1">
        <v>98</v>
      </c>
      <c r="B762" t="s">
        <v>36</v>
      </c>
      <c r="C762">
        <v>635</v>
      </c>
      <c r="D762">
        <v>1</v>
      </c>
      <c r="E762" t="s">
        <v>34</v>
      </c>
      <c r="F762" t="s">
        <v>35</v>
      </c>
      <c r="G762" t="str">
        <f>"2026-02-23 16:14:29.413"</f>
        <v>2026-02-23 16:14:29.413</v>
      </c>
      <c r="H762" t="s">
        <v>21</v>
      </c>
      <c r="I762">
        <v>1.44</v>
      </c>
      <c r="J762" t="s">
        <v>37</v>
      </c>
    </row>
    <row r="763" spans="1:10" x14ac:dyDescent="0.25">
      <c r="A763" s="1">
        <v>99</v>
      </c>
      <c r="B763" t="s">
        <v>22</v>
      </c>
      <c r="C763">
        <v>635</v>
      </c>
      <c r="D763">
        <v>1</v>
      </c>
      <c r="E763" t="s">
        <v>34</v>
      </c>
      <c r="F763" t="s">
        <v>35</v>
      </c>
      <c r="G763" t="str">
        <f>"2026-02-23 02:51:36.213"</f>
        <v>2026-02-23 02:51:36.213</v>
      </c>
      <c r="H763" t="s">
        <v>21</v>
      </c>
    </row>
    <row r="764" spans="1:10" x14ac:dyDescent="0.25">
      <c r="A764" s="1">
        <v>0</v>
      </c>
      <c r="B764" t="s">
        <v>36</v>
      </c>
      <c r="C764">
        <v>635</v>
      </c>
      <c r="D764">
        <v>1</v>
      </c>
      <c r="E764" t="s">
        <v>34</v>
      </c>
      <c r="F764" t="s">
        <v>35</v>
      </c>
      <c r="G764" t="str">
        <f>"2026-02-23 02:49:24.213"</f>
        <v>2026-02-23 02:49:24.213</v>
      </c>
      <c r="H764" t="s">
        <v>21</v>
      </c>
      <c r="I764">
        <v>2.73</v>
      </c>
      <c r="J764" t="s">
        <v>28</v>
      </c>
    </row>
    <row r="765" spans="1:10" x14ac:dyDescent="0.25">
      <c r="A765" s="1">
        <v>1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"2026-02-22 13:57:46.575"</f>
        <v>2026-02-22 13:57:46.575</v>
      </c>
      <c r="H765" t="s">
        <v>21</v>
      </c>
    </row>
    <row r="766" spans="1:10" s="3" customFormat="1" x14ac:dyDescent="0.25">
      <c r="A766" s="2">
        <v>2</v>
      </c>
      <c r="B766" s="3" t="s">
        <v>22</v>
      </c>
      <c r="C766" s="3">
        <v>647</v>
      </c>
      <c r="D766" s="3">
        <v>1</v>
      </c>
      <c r="E766" s="3" t="s">
        <v>54</v>
      </c>
      <c r="F766" s="3" t="s">
        <v>55</v>
      </c>
      <c r="G766" s="3" t="str">
        <f>"2026-02-21 03:47:41.323"</f>
        <v>2026-02-21 03:47:41.323</v>
      </c>
      <c r="H766" s="3" t="s">
        <v>21</v>
      </c>
    </row>
    <row r="767" spans="1:10" s="3" customFormat="1" x14ac:dyDescent="0.25">
      <c r="A767" s="2">
        <v>3</v>
      </c>
      <c r="B767" s="3" t="s">
        <v>36</v>
      </c>
      <c r="C767" s="3">
        <v>647</v>
      </c>
      <c r="D767" s="3">
        <v>1</v>
      </c>
      <c r="E767" s="3" t="s">
        <v>54</v>
      </c>
      <c r="F767" s="3" t="s">
        <v>55</v>
      </c>
      <c r="G767" s="3" t="str">
        <f>"2026-02-21 03:47:38.223"</f>
        <v>2026-02-21 03:47:38.223</v>
      </c>
      <c r="H767" s="3" t="s">
        <v>21</v>
      </c>
      <c r="I767" s="3">
        <v>14.37</v>
      </c>
      <c r="J767" s="3" t="s">
        <v>27</v>
      </c>
    </row>
    <row r="768" spans="1:10" x14ac:dyDescent="0.25">
      <c r="A768" s="1">
        <v>4</v>
      </c>
      <c r="B768" t="s">
        <v>22</v>
      </c>
      <c r="C768">
        <v>635</v>
      </c>
      <c r="D768">
        <v>1</v>
      </c>
      <c r="E768" t="s">
        <v>34</v>
      </c>
      <c r="F768" t="s">
        <v>35</v>
      </c>
      <c r="G768" t="str">
        <f>"2026-02-20 15:52:14.974"</f>
        <v>2026-02-20 15:52:14.974</v>
      </c>
      <c r="H768" t="s">
        <v>21</v>
      </c>
    </row>
    <row r="769" spans="1:10" x14ac:dyDescent="0.25">
      <c r="A769" s="1">
        <v>5</v>
      </c>
      <c r="B769" t="s">
        <v>36</v>
      </c>
      <c r="C769">
        <v>635</v>
      </c>
      <c r="D769">
        <v>1</v>
      </c>
      <c r="E769" t="s">
        <v>34</v>
      </c>
      <c r="F769" t="s">
        <v>35</v>
      </c>
      <c r="G769" t="str">
        <f>"2026-02-20 15:47:17.974"</f>
        <v>2026-02-20 15:47:17.974</v>
      </c>
      <c r="H769" t="s">
        <v>21</v>
      </c>
      <c r="I769">
        <v>2.69</v>
      </c>
      <c r="J769" t="s">
        <v>37</v>
      </c>
    </row>
    <row r="770" spans="1:10" x14ac:dyDescent="0.25">
      <c r="A770" s="1">
        <v>6</v>
      </c>
      <c r="B770" t="s">
        <v>40</v>
      </c>
      <c r="C770">
        <v>237</v>
      </c>
      <c r="D770">
        <v>7</v>
      </c>
      <c r="E770" t="s">
        <v>80</v>
      </c>
      <c r="F770" t="s">
        <v>82</v>
      </c>
      <c r="G770" t="str">
        <f>"2026-02-20 07:22:37.854"</f>
        <v>2026-02-20 07:22:37.854</v>
      </c>
      <c r="H770" t="s">
        <v>49</v>
      </c>
    </row>
    <row r="771" spans="1:10" x14ac:dyDescent="0.25">
      <c r="A771" s="1">
        <v>7</v>
      </c>
      <c r="B771" t="s">
        <v>26</v>
      </c>
      <c r="C771">
        <v>237</v>
      </c>
      <c r="D771">
        <v>7</v>
      </c>
      <c r="E771" t="s">
        <v>80</v>
      </c>
      <c r="F771" t="s">
        <v>82</v>
      </c>
      <c r="G771" t="str">
        <f>"2026-02-20 07:22:32.828"</f>
        <v>2026-02-20 07:22:32.828</v>
      </c>
      <c r="H771" t="s">
        <v>49</v>
      </c>
      <c r="I771">
        <v>7.19</v>
      </c>
      <c r="J771" t="s">
        <v>37</v>
      </c>
    </row>
    <row r="772" spans="1:10" x14ac:dyDescent="0.25">
      <c r="A772" s="1">
        <v>10</v>
      </c>
      <c r="B772" t="s">
        <v>19</v>
      </c>
      <c r="C772">
        <v>782</v>
      </c>
      <c r="D772">
        <v>7</v>
      </c>
      <c r="E772" t="s">
        <v>62</v>
      </c>
      <c r="F772" t="s">
        <v>63</v>
      </c>
      <c r="G772" t="str">
        <f>"2026-02-19 23:39:07.034"</f>
        <v>2026-02-19 23:39:07.034</v>
      </c>
      <c r="H772" t="s">
        <v>21</v>
      </c>
      <c r="I772">
        <v>0</v>
      </c>
      <c r="J772" t="s">
        <v>28</v>
      </c>
    </row>
    <row r="773" spans="1:10" x14ac:dyDescent="0.25">
      <c r="A773" s="1">
        <v>13</v>
      </c>
      <c r="B773" t="s">
        <v>22</v>
      </c>
      <c r="C773">
        <v>79</v>
      </c>
      <c r="D773">
        <v>9</v>
      </c>
      <c r="E773" t="s">
        <v>83</v>
      </c>
      <c r="F773" t="s">
        <v>84</v>
      </c>
      <c r="G773" t="str">
        <f>"2026-02-19 23:39:07.023"</f>
        <v>2026-02-19 23:39:07.023</v>
      </c>
      <c r="H773" t="s">
        <v>70</v>
      </c>
    </row>
    <row r="774" spans="1:10" x14ac:dyDescent="0.25">
      <c r="A774" s="1">
        <v>14</v>
      </c>
      <c r="B774" t="s">
        <v>19</v>
      </c>
      <c r="C774">
        <v>782</v>
      </c>
      <c r="D774">
        <v>7</v>
      </c>
      <c r="E774" t="s">
        <v>62</v>
      </c>
      <c r="F774" t="s">
        <v>63</v>
      </c>
      <c r="G774" t="str">
        <f>"2026-02-19 23:39:07.022"</f>
        <v>2026-02-19 23:39:07.022</v>
      </c>
      <c r="H774" t="s">
        <v>21</v>
      </c>
      <c r="I774">
        <v>0</v>
      </c>
      <c r="J774" t="s">
        <v>28</v>
      </c>
    </row>
    <row r="775" spans="1:10" x14ac:dyDescent="0.25">
      <c r="A775" s="1">
        <v>15</v>
      </c>
      <c r="B775" t="s">
        <v>22</v>
      </c>
      <c r="C775">
        <v>14</v>
      </c>
      <c r="D775">
        <v>13</v>
      </c>
      <c r="E775" t="s">
        <v>85</v>
      </c>
      <c r="F775" t="s">
        <v>86</v>
      </c>
      <c r="G775" t="str">
        <f>"2026-02-19 23:34:41.017"</f>
        <v>2026-02-19 23:34:41.017</v>
      </c>
      <c r="H775" t="s">
        <v>25</v>
      </c>
    </row>
    <row r="776" spans="1:10" x14ac:dyDescent="0.25">
      <c r="A776" s="1">
        <v>16</v>
      </c>
      <c r="B776" t="s">
        <v>22</v>
      </c>
      <c r="C776">
        <v>14</v>
      </c>
      <c r="D776">
        <v>10</v>
      </c>
      <c r="E776" t="s">
        <v>85</v>
      </c>
      <c r="F776" t="s">
        <v>87</v>
      </c>
      <c r="G776" t="str">
        <f>"2026-02-19 23:34:41.015"</f>
        <v>2026-02-19 23:34:41.015</v>
      </c>
      <c r="H776" t="s">
        <v>25</v>
      </c>
    </row>
    <row r="777" spans="1:10" x14ac:dyDescent="0.25">
      <c r="A777" s="1">
        <v>18</v>
      </c>
      <c r="B777" t="s">
        <v>56</v>
      </c>
      <c r="C777">
        <v>23</v>
      </c>
      <c r="D777">
        <v>1</v>
      </c>
      <c r="E777" t="s">
        <v>88</v>
      </c>
      <c r="F777" t="s">
        <v>89</v>
      </c>
      <c r="G777" t="str">
        <f>"2026-02-19 23:34:34.474"</f>
        <v>2026-02-19 23:34:34.474</v>
      </c>
      <c r="H777" t="s">
        <v>46</v>
      </c>
    </row>
    <row r="778" spans="1:10" x14ac:dyDescent="0.25">
      <c r="A778" s="1">
        <v>19</v>
      </c>
      <c r="B778" t="s">
        <v>40</v>
      </c>
      <c r="C778">
        <v>205</v>
      </c>
      <c r="D778">
        <v>3</v>
      </c>
      <c r="E778" t="s">
        <v>90</v>
      </c>
      <c r="F778" t="s">
        <v>91</v>
      </c>
      <c r="G778" t="str">
        <f>"2026-02-19 23:34:30.554"</f>
        <v>2026-02-19 23:34:30.554</v>
      </c>
      <c r="H778" t="s">
        <v>49</v>
      </c>
    </row>
    <row r="779" spans="1:10" x14ac:dyDescent="0.25">
      <c r="A779" s="1">
        <v>20</v>
      </c>
      <c r="B779" t="s">
        <v>40</v>
      </c>
      <c r="C779">
        <v>105</v>
      </c>
      <c r="D779">
        <v>3</v>
      </c>
      <c r="E779" t="s">
        <v>92</v>
      </c>
      <c r="F779" t="s">
        <v>91</v>
      </c>
      <c r="G779" t="str">
        <f>"2026-02-19 23:34:30.454"</f>
        <v>2026-02-19 23:34:30.454</v>
      </c>
      <c r="H779" t="s">
        <v>52</v>
      </c>
    </row>
    <row r="780" spans="1:10" x14ac:dyDescent="0.25">
      <c r="A780" s="1">
        <v>21</v>
      </c>
      <c r="B780" t="s">
        <v>26</v>
      </c>
      <c r="C780">
        <v>205</v>
      </c>
      <c r="D780">
        <v>3</v>
      </c>
      <c r="E780" t="s">
        <v>90</v>
      </c>
      <c r="F780" t="s">
        <v>91</v>
      </c>
      <c r="G780" t="str">
        <f>"2026-02-19 23:34:25.268"</f>
        <v>2026-02-19 23:34:25.268</v>
      </c>
      <c r="H780" t="s">
        <v>49</v>
      </c>
      <c r="I780">
        <v>10.88</v>
      </c>
      <c r="J780" t="s">
        <v>28</v>
      </c>
    </row>
    <row r="781" spans="1:10" x14ac:dyDescent="0.25">
      <c r="A781" s="1">
        <v>22</v>
      </c>
      <c r="B781" t="s">
        <v>40</v>
      </c>
      <c r="C781">
        <v>205</v>
      </c>
      <c r="D781">
        <v>3</v>
      </c>
      <c r="E781" t="s">
        <v>90</v>
      </c>
      <c r="F781" t="s">
        <v>91</v>
      </c>
      <c r="G781" t="str">
        <f>"2026-02-19 23:34:25.257"</f>
        <v>2026-02-19 23:34:25.257</v>
      </c>
      <c r="H781" t="s">
        <v>49</v>
      </c>
    </row>
    <row r="782" spans="1:10" x14ac:dyDescent="0.25">
      <c r="A782" s="1">
        <v>23</v>
      </c>
      <c r="B782" t="s">
        <v>26</v>
      </c>
      <c r="C782">
        <v>105</v>
      </c>
      <c r="D782">
        <v>3</v>
      </c>
      <c r="E782" t="s">
        <v>92</v>
      </c>
      <c r="F782" t="s">
        <v>91</v>
      </c>
      <c r="G782" t="str">
        <f>"2026-02-19 23:34:25.248"</f>
        <v>2026-02-19 23:34:25.248</v>
      </c>
      <c r="H782" t="s">
        <v>52</v>
      </c>
      <c r="I782">
        <v>10.89</v>
      </c>
      <c r="J782" t="s">
        <v>28</v>
      </c>
    </row>
    <row r="783" spans="1:10" x14ac:dyDescent="0.25">
      <c r="A783" s="1">
        <v>24</v>
      </c>
      <c r="B783" t="s">
        <v>40</v>
      </c>
      <c r="C783">
        <v>105</v>
      </c>
      <c r="D783">
        <v>3</v>
      </c>
      <c r="E783" t="s">
        <v>92</v>
      </c>
      <c r="F783" t="s">
        <v>91</v>
      </c>
      <c r="G783" t="str">
        <f>"2026-02-19 23:34:25.154"</f>
        <v>2026-02-19 23:34:25.154</v>
      </c>
      <c r="H783" t="s">
        <v>52</v>
      </c>
    </row>
    <row r="784" spans="1:10" x14ac:dyDescent="0.25">
      <c r="A784" s="1">
        <v>25</v>
      </c>
      <c r="B784" t="s">
        <v>40</v>
      </c>
      <c r="C784">
        <v>204</v>
      </c>
      <c r="D784">
        <v>8</v>
      </c>
      <c r="E784" t="s">
        <v>93</v>
      </c>
      <c r="F784" t="s">
        <v>94</v>
      </c>
      <c r="G784" t="str">
        <f>"2026-02-19 23:34:25.085"</f>
        <v>2026-02-19 23:34:25.085</v>
      </c>
      <c r="H784" t="s">
        <v>49</v>
      </c>
    </row>
    <row r="785" spans="1:10" x14ac:dyDescent="0.25">
      <c r="A785" s="1">
        <v>26</v>
      </c>
      <c r="B785" t="s">
        <v>40</v>
      </c>
      <c r="C785">
        <v>204</v>
      </c>
      <c r="D785">
        <v>6</v>
      </c>
      <c r="E785" t="s">
        <v>93</v>
      </c>
      <c r="F785" t="s">
        <v>95</v>
      </c>
      <c r="G785" t="str">
        <f>"2026-02-19 23:34:25.082"</f>
        <v>2026-02-19 23:34:25.082</v>
      </c>
      <c r="H785" t="s">
        <v>49</v>
      </c>
    </row>
    <row r="786" spans="1:10" x14ac:dyDescent="0.25">
      <c r="A786" s="1">
        <v>27</v>
      </c>
      <c r="B786" t="s">
        <v>40</v>
      </c>
      <c r="C786">
        <v>204</v>
      </c>
      <c r="D786">
        <v>5</v>
      </c>
      <c r="E786" t="s">
        <v>93</v>
      </c>
      <c r="F786" t="s">
        <v>96</v>
      </c>
      <c r="G786" t="str">
        <f>"2026-02-19 23:34:25.078"</f>
        <v>2026-02-19 23:34:25.078</v>
      </c>
      <c r="H786" t="s">
        <v>49</v>
      </c>
    </row>
    <row r="787" spans="1:10" x14ac:dyDescent="0.25">
      <c r="A787" s="1">
        <v>28</v>
      </c>
      <c r="B787" t="s">
        <v>40</v>
      </c>
      <c r="C787">
        <v>204</v>
      </c>
      <c r="D787">
        <v>1</v>
      </c>
      <c r="E787" t="s">
        <v>93</v>
      </c>
      <c r="F787" t="s">
        <v>97</v>
      </c>
      <c r="G787" t="str">
        <f>"2026-02-19 23:34:25.075"</f>
        <v>2026-02-19 23:34:25.075</v>
      </c>
      <c r="H787" t="s">
        <v>49</v>
      </c>
    </row>
    <row r="788" spans="1:10" x14ac:dyDescent="0.25">
      <c r="A788" s="1">
        <v>29</v>
      </c>
      <c r="B788" t="s">
        <v>40</v>
      </c>
      <c r="C788">
        <v>104</v>
      </c>
      <c r="D788">
        <v>8</v>
      </c>
      <c r="E788" t="s">
        <v>98</v>
      </c>
      <c r="F788" t="s">
        <v>94</v>
      </c>
      <c r="G788" t="str">
        <f>"2026-02-19 23:34:25.065"</f>
        <v>2026-02-19 23:34:25.065</v>
      </c>
      <c r="H788" t="s">
        <v>52</v>
      </c>
    </row>
    <row r="789" spans="1:10" x14ac:dyDescent="0.25">
      <c r="A789" s="1">
        <v>30</v>
      </c>
      <c r="B789" t="s">
        <v>40</v>
      </c>
      <c r="C789">
        <v>104</v>
      </c>
      <c r="D789">
        <v>6</v>
      </c>
      <c r="E789" t="s">
        <v>98</v>
      </c>
      <c r="F789" t="s">
        <v>95</v>
      </c>
      <c r="G789" t="str">
        <f>"2026-02-19 23:34:25.060"</f>
        <v>2026-02-19 23:34:25.060</v>
      </c>
      <c r="H789" t="s">
        <v>52</v>
      </c>
    </row>
    <row r="790" spans="1:10" x14ac:dyDescent="0.25">
      <c r="A790" s="1">
        <v>31</v>
      </c>
      <c r="B790" t="s">
        <v>40</v>
      </c>
      <c r="C790">
        <v>104</v>
      </c>
      <c r="D790">
        <v>5</v>
      </c>
      <c r="E790" t="s">
        <v>98</v>
      </c>
      <c r="F790" t="s">
        <v>96</v>
      </c>
      <c r="G790" t="str">
        <f>"2026-02-19 23:34:25.057"</f>
        <v>2026-02-19 23:34:25.057</v>
      </c>
      <c r="H790" t="s">
        <v>52</v>
      </c>
    </row>
    <row r="791" spans="1:10" x14ac:dyDescent="0.25">
      <c r="A791" s="1">
        <v>32</v>
      </c>
      <c r="B791" t="s">
        <v>40</v>
      </c>
      <c r="C791">
        <v>104</v>
      </c>
      <c r="D791">
        <v>1</v>
      </c>
      <c r="E791" t="s">
        <v>98</v>
      </c>
      <c r="F791" t="s">
        <v>97</v>
      </c>
      <c r="G791" t="str">
        <f>"2026-02-19 23:34:25.054"</f>
        <v>2026-02-19 23:34:25.054</v>
      </c>
      <c r="H791" t="s">
        <v>52</v>
      </c>
    </row>
    <row r="792" spans="1:10" x14ac:dyDescent="0.25">
      <c r="A792" s="1">
        <v>34</v>
      </c>
      <c r="B792" t="s">
        <v>36</v>
      </c>
      <c r="C792">
        <v>14</v>
      </c>
      <c r="D792">
        <v>13</v>
      </c>
      <c r="E792" t="s">
        <v>85</v>
      </c>
      <c r="F792" t="s">
        <v>86</v>
      </c>
      <c r="G792" t="str">
        <f>"2026-02-19 23:34:21.015"</f>
        <v>2026-02-19 23:34:21.015</v>
      </c>
      <c r="H792" t="s">
        <v>25</v>
      </c>
      <c r="I792">
        <v>13.43</v>
      </c>
      <c r="J792" t="s">
        <v>28</v>
      </c>
    </row>
    <row r="793" spans="1:10" x14ac:dyDescent="0.25">
      <c r="A793" s="1">
        <v>35</v>
      </c>
      <c r="B793" t="s">
        <v>36</v>
      </c>
      <c r="C793">
        <v>79</v>
      </c>
      <c r="D793">
        <v>9</v>
      </c>
      <c r="E793" t="s">
        <v>83</v>
      </c>
      <c r="F793" t="s">
        <v>84</v>
      </c>
      <c r="G793" t="str">
        <f>"2026-02-19 23:34:20.014"</f>
        <v>2026-02-19 23:34:20.014</v>
      </c>
      <c r="H793" t="s">
        <v>70</v>
      </c>
      <c r="I793">
        <v>13.36</v>
      </c>
      <c r="J793" t="s">
        <v>28</v>
      </c>
    </row>
    <row r="794" spans="1:10" x14ac:dyDescent="0.25">
      <c r="A794" s="1">
        <v>36</v>
      </c>
      <c r="B794" t="s">
        <v>36</v>
      </c>
      <c r="C794">
        <v>14</v>
      </c>
      <c r="D794">
        <v>10</v>
      </c>
      <c r="E794" t="s">
        <v>85</v>
      </c>
      <c r="F794" t="s">
        <v>87</v>
      </c>
      <c r="G794" t="str">
        <f>"2026-02-19 23:34:19.962"</f>
        <v>2026-02-19 23:34:19.962</v>
      </c>
      <c r="H794" t="s">
        <v>25</v>
      </c>
      <c r="I794">
        <v>13.36</v>
      </c>
      <c r="J794" t="s">
        <v>28</v>
      </c>
    </row>
    <row r="795" spans="1:10" x14ac:dyDescent="0.25">
      <c r="A795" s="1">
        <v>37</v>
      </c>
      <c r="B795" t="s">
        <v>26</v>
      </c>
      <c r="C795">
        <v>205</v>
      </c>
      <c r="D795">
        <v>3</v>
      </c>
      <c r="E795" t="s">
        <v>90</v>
      </c>
      <c r="F795" t="s">
        <v>91</v>
      </c>
      <c r="G795" t="str">
        <f>"2026-02-19 23:34:19.633"</f>
        <v>2026-02-19 23:34:19.633</v>
      </c>
      <c r="H795" t="s">
        <v>49</v>
      </c>
      <c r="I795">
        <v>13.32</v>
      </c>
      <c r="J795" t="s">
        <v>28</v>
      </c>
    </row>
    <row r="796" spans="1:10" x14ac:dyDescent="0.25">
      <c r="A796" s="1">
        <v>38</v>
      </c>
      <c r="B796" t="s">
        <v>26</v>
      </c>
      <c r="C796">
        <v>105</v>
      </c>
      <c r="D796">
        <v>3</v>
      </c>
      <c r="E796" t="s">
        <v>92</v>
      </c>
      <c r="F796" t="s">
        <v>91</v>
      </c>
      <c r="G796" t="str">
        <f>"2026-02-19 23:34:19.628"</f>
        <v>2026-02-19 23:34:19.628</v>
      </c>
      <c r="H796" t="s">
        <v>52</v>
      </c>
      <c r="I796">
        <v>13.32</v>
      </c>
      <c r="J796" t="s">
        <v>28</v>
      </c>
    </row>
    <row r="797" spans="1:10" x14ac:dyDescent="0.25">
      <c r="A797" s="1">
        <v>39</v>
      </c>
      <c r="B797" t="s">
        <v>26</v>
      </c>
      <c r="C797">
        <v>204</v>
      </c>
      <c r="D797">
        <v>8</v>
      </c>
      <c r="E797" t="s">
        <v>93</v>
      </c>
      <c r="F797" t="s">
        <v>94</v>
      </c>
      <c r="G797" t="str">
        <f>"2026-02-19 23:34:19.451"</f>
        <v>2026-02-19 23:34:19.451</v>
      </c>
      <c r="H797" t="s">
        <v>49</v>
      </c>
      <c r="I797">
        <v>13.28</v>
      </c>
      <c r="J797" t="s">
        <v>28</v>
      </c>
    </row>
    <row r="798" spans="1:10" x14ac:dyDescent="0.25">
      <c r="A798" s="1">
        <v>40</v>
      </c>
      <c r="B798" t="s">
        <v>26</v>
      </c>
      <c r="C798">
        <v>204</v>
      </c>
      <c r="D798">
        <v>6</v>
      </c>
      <c r="E798" t="s">
        <v>93</v>
      </c>
      <c r="F798" t="s">
        <v>95</v>
      </c>
      <c r="G798" t="str">
        <f>"2026-02-19 23:34:19.447"</f>
        <v>2026-02-19 23:34:19.447</v>
      </c>
      <c r="H798" t="s">
        <v>49</v>
      </c>
      <c r="I798">
        <v>13.28</v>
      </c>
      <c r="J798" t="s">
        <v>28</v>
      </c>
    </row>
    <row r="799" spans="1:10" x14ac:dyDescent="0.25">
      <c r="A799" s="1">
        <v>41</v>
      </c>
      <c r="B799" t="s">
        <v>26</v>
      </c>
      <c r="C799">
        <v>204</v>
      </c>
      <c r="D799">
        <v>5</v>
      </c>
      <c r="E799" t="s">
        <v>93</v>
      </c>
      <c r="F799" t="s">
        <v>96</v>
      </c>
      <c r="G799" t="str">
        <f>"2026-02-19 23:34:19.442"</f>
        <v>2026-02-19 23:34:19.442</v>
      </c>
      <c r="H799" t="s">
        <v>49</v>
      </c>
      <c r="I799">
        <v>13.28</v>
      </c>
      <c r="J799" t="s">
        <v>28</v>
      </c>
    </row>
    <row r="800" spans="1:10" x14ac:dyDescent="0.25">
      <c r="A800" s="1">
        <v>42</v>
      </c>
      <c r="B800" t="s">
        <v>26</v>
      </c>
      <c r="C800">
        <v>104</v>
      </c>
      <c r="D800">
        <v>8</v>
      </c>
      <c r="E800" t="s">
        <v>98</v>
      </c>
      <c r="F800" t="s">
        <v>94</v>
      </c>
      <c r="G800" t="str">
        <f>"2026-02-19 23:34:19.437"</f>
        <v>2026-02-19 23:34:19.437</v>
      </c>
      <c r="H800" t="s">
        <v>52</v>
      </c>
      <c r="I800">
        <v>13.28</v>
      </c>
      <c r="J800" t="s">
        <v>28</v>
      </c>
    </row>
    <row r="801" spans="1:10" x14ac:dyDescent="0.25">
      <c r="A801" s="1">
        <v>43</v>
      </c>
      <c r="B801" t="s">
        <v>26</v>
      </c>
      <c r="C801">
        <v>104</v>
      </c>
      <c r="D801">
        <v>6</v>
      </c>
      <c r="E801" t="s">
        <v>98</v>
      </c>
      <c r="F801" t="s">
        <v>95</v>
      </c>
      <c r="G801" t="str">
        <f>"2026-02-19 23:34:19.433"</f>
        <v>2026-02-19 23:34:19.433</v>
      </c>
      <c r="H801" t="s">
        <v>52</v>
      </c>
      <c r="I801">
        <v>13.28</v>
      </c>
      <c r="J801" t="s">
        <v>28</v>
      </c>
    </row>
    <row r="802" spans="1:10" x14ac:dyDescent="0.25">
      <c r="A802" s="1">
        <v>44</v>
      </c>
      <c r="B802" t="s">
        <v>26</v>
      </c>
      <c r="C802">
        <v>104</v>
      </c>
      <c r="D802">
        <v>5</v>
      </c>
      <c r="E802" t="s">
        <v>98</v>
      </c>
      <c r="F802" t="s">
        <v>96</v>
      </c>
      <c r="G802" t="str">
        <f>"2026-02-19 23:34:19.428"</f>
        <v>2026-02-19 23:34:19.428</v>
      </c>
      <c r="H802" t="s">
        <v>52</v>
      </c>
      <c r="I802">
        <v>13.28</v>
      </c>
      <c r="J802" t="s">
        <v>28</v>
      </c>
    </row>
    <row r="803" spans="1:10" x14ac:dyDescent="0.25">
      <c r="A803" s="1">
        <v>45</v>
      </c>
      <c r="B803" t="s">
        <v>26</v>
      </c>
      <c r="C803">
        <v>23</v>
      </c>
      <c r="D803">
        <v>1</v>
      </c>
      <c r="E803" t="s">
        <v>88</v>
      </c>
      <c r="F803" t="s">
        <v>89</v>
      </c>
      <c r="G803" t="str">
        <f>"2026-02-19 23:34:19.143"</f>
        <v>2026-02-19 23:34:19.143</v>
      </c>
      <c r="H803" t="s">
        <v>46</v>
      </c>
      <c r="I803">
        <v>13.16</v>
      </c>
      <c r="J803" t="s">
        <v>37</v>
      </c>
    </row>
    <row r="804" spans="1:10" x14ac:dyDescent="0.25">
      <c r="A804" s="1">
        <v>46</v>
      </c>
      <c r="B804" t="s">
        <v>26</v>
      </c>
      <c r="C804">
        <v>204</v>
      </c>
      <c r="D804">
        <v>1</v>
      </c>
      <c r="E804" t="s">
        <v>93</v>
      </c>
      <c r="F804" t="s">
        <v>97</v>
      </c>
      <c r="G804" t="str">
        <f>"2026-02-19 23:34:19.093"</f>
        <v>2026-02-19 23:34:19.093</v>
      </c>
      <c r="H804" t="s">
        <v>49</v>
      </c>
      <c r="I804">
        <v>13.12</v>
      </c>
      <c r="J804" t="s">
        <v>37</v>
      </c>
    </row>
    <row r="805" spans="1:10" x14ac:dyDescent="0.25">
      <c r="A805" s="1">
        <v>47</v>
      </c>
      <c r="B805" t="s">
        <v>26</v>
      </c>
      <c r="C805">
        <v>104</v>
      </c>
      <c r="D805">
        <v>1</v>
      </c>
      <c r="E805" t="s">
        <v>98</v>
      </c>
      <c r="F805" t="s">
        <v>97</v>
      </c>
      <c r="G805" t="str">
        <f>"2026-02-19 23:34:19.088"</f>
        <v>2026-02-19 23:34:19.088</v>
      </c>
      <c r="H805" t="s">
        <v>52</v>
      </c>
      <c r="I805">
        <v>13.12</v>
      </c>
      <c r="J805" t="s">
        <v>37</v>
      </c>
    </row>
    <row r="806" spans="1:10" x14ac:dyDescent="0.25">
      <c r="A806" s="1">
        <v>48</v>
      </c>
      <c r="B806" t="s">
        <v>19</v>
      </c>
      <c r="C806">
        <v>706</v>
      </c>
      <c r="D806">
        <v>4</v>
      </c>
      <c r="E806" t="s">
        <v>29</v>
      </c>
      <c r="F806" t="s">
        <v>53</v>
      </c>
      <c r="G806" t="str">
        <f>"2026-02-19 23:34:18.982"</f>
        <v>2026-02-19 23:34:18.982</v>
      </c>
      <c r="H806" t="s">
        <v>21</v>
      </c>
      <c r="I806">
        <v>13.04</v>
      </c>
      <c r="J806" t="s">
        <v>37</v>
      </c>
    </row>
    <row r="807" spans="1:10" x14ac:dyDescent="0.25">
      <c r="A807" s="1">
        <v>49</v>
      </c>
      <c r="B807" t="s">
        <v>22</v>
      </c>
      <c r="C807">
        <v>635</v>
      </c>
      <c r="D807">
        <v>1</v>
      </c>
      <c r="E807" t="s">
        <v>34</v>
      </c>
      <c r="F807" t="s">
        <v>35</v>
      </c>
      <c r="G807" t="str">
        <f>"2026-02-19 22:29:12.602"</f>
        <v>2026-02-19 22:29:12.602</v>
      </c>
      <c r="H807" t="s">
        <v>21</v>
      </c>
    </row>
    <row r="808" spans="1:10" x14ac:dyDescent="0.25">
      <c r="A808" s="1">
        <v>50</v>
      </c>
      <c r="B808" t="s">
        <v>36</v>
      </c>
      <c r="C808">
        <v>635</v>
      </c>
      <c r="D808">
        <v>1</v>
      </c>
      <c r="E808" t="s">
        <v>34</v>
      </c>
      <c r="F808" t="s">
        <v>35</v>
      </c>
      <c r="G808" t="str">
        <f>"2026-02-19 22:21:19.603"</f>
        <v>2026-02-19 22:21:19.603</v>
      </c>
      <c r="H808" t="s">
        <v>21</v>
      </c>
      <c r="I808">
        <v>8.7200000000000006</v>
      </c>
      <c r="J808" t="s">
        <v>27</v>
      </c>
    </row>
    <row r="809" spans="1:10" x14ac:dyDescent="0.25">
      <c r="A809" s="1">
        <v>51</v>
      </c>
      <c r="B809" t="s">
        <v>40</v>
      </c>
      <c r="C809">
        <v>237</v>
      </c>
      <c r="D809">
        <v>4</v>
      </c>
      <c r="E809" t="s">
        <v>80</v>
      </c>
      <c r="F809" t="s">
        <v>81</v>
      </c>
      <c r="G809" t="str">
        <f>"2026-02-19 21:45:23.755"</f>
        <v>2026-02-19 21:45:23.755</v>
      </c>
      <c r="H809" t="s">
        <v>49</v>
      </c>
    </row>
    <row r="810" spans="1:10" x14ac:dyDescent="0.25">
      <c r="A810" s="1">
        <v>52</v>
      </c>
      <c r="B810" t="s">
        <v>26</v>
      </c>
      <c r="C810">
        <v>237</v>
      </c>
      <c r="D810">
        <v>4</v>
      </c>
      <c r="E810" t="s">
        <v>80</v>
      </c>
      <c r="F810" t="s">
        <v>81</v>
      </c>
      <c r="G810" t="str">
        <f>"2026-02-19 21:45:18.688"</f>
        <v>2026-02-19 21:45:18.688</v>
      </c>
      <c r="H810" t="s">
        <v>49</v>
      </c>
      <c r="I810">
        <v>-4.54</v>
      </c>
      <c r="J810" t="s">
        <v>37</v>
      </c>
    </row>
    <row r="811" spans="1:10" x14ac:dyDescent="0.25">
      <c r="A811" s="1">
        <v>53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"2026-02-19 13:35:21.702"</f>
        <v>2026-02-19 13:35:21.702</v>
      </c>
      <c r="H811" t="s">
        <v>21</v>
      </c>
      <c r="I811">
        <v>0</v>
      </c>
      <c r="J811" t="s">
        <v>33</v>
      </c>
    </row>
    <row r="812" spans="1:10" x14ac:dyDescent="0.25">
      <c r="A812" s="1">
        <v>54</v>
      </c>
      <c r="B812" t="s">
        <v>22</v>
      </c>
      <c r="C812">
        <v>635</v>
      </c>
      <c r="D812">
        <v>1</v>
      </c>
      <c r="E812" t="s">
        <v>34</v>
      </c>
      <c r="F812" t="s">
        <v>35</v>
      </c>
      <c r="G812" t="str">
        <f>"2026-02-16 17:51:51.333"</f>
        <v>2026-02-16 17:51:51.333</v>
      </c>
      <c r="H812" t="s">
        <v>21</v>
      </c>
    </row>
    <row r="813" spans="1:10" x14ac:dyDescent="0.25">
      <c r="A813" s="1">
        <v>55</v>
      </c>
      <c r="B813" t="s">
        <v>36</v>
      </c>
      <c r="C813">
        <v>635</v>
      </c>
      <c r="D813">
        <v>1</v>
      </c>
      <c r="E813" t="s">
        <v>34</v>
      </c>
      <c r="F813" t="s">
        <v>35</v>
      </c>
      <c r="G813" t="str">
        <f>"2026-02-16 17:49:11.333"</f>
        <v>2026-02-16 17:49:11.333</v>
      </c>
      <c r="H813" t="s">
        <v>21</v>
      </c>
      <c r="I813">
        <v>5.39</v>
      </c>
      <c r="J813" t="s">
        <v>37</v>
      </c>
    </row>
    <row r="814" spans="1:10" x14ac:dyDescent="0.25">
      <c r="A814" s="1">
        <v>56</v>
      </c>
      <c r="B814" t="s">
        <v>22</v>
      </c>
      <c r="C814">
        <v>635</v>
      </c>
      <c r="D814">
        <v>1</v>
      </c>
      <c r="E814" t="s">
        <v>34</v>
      </c>
      <c r="F814" t="s">
        <v>35</v>
      </c>
      <c r="G814" t="str">
        <f>"2026-02-16 15:53:50.433"</f>
        <v>2026-02-16 15:53:50.433</v>
      </c>
      <c r="H814" t="s">
        <v>21</v>
      </c>
    </row>
    <row r="815" spans="1:10" x14ac:dyDescent="0.25">
      <c r="A815" s="1">
        <v>57</v>
      </c>
      <c r="B815" t="s">
        <v>36</v>
      </c>
      <c r="C815">
        <v>635</v>
      </c>
      <c r="D815">
        <v>1</v>
      </c>
      <c r="E815" t="s">
        <v>34</v>
      </c>
      <c r="F815" t="s">
        <v>35</v>
      </c>
      <c r="G815" t="str">
        <f>"2026-02-16 15:48:35.433"</f>
        <v>2026-02-16 15:48:35.433</v>
      </c>
      <c r="H815" t="s">
        <v>21</v>
      </c>
      <c r="I815">
        <v>3.79</v>
      </c>
      <c r="J815" t="s">
        <v>27</v>
      </c>
    </row>
    <row r="816" spans="1:10" x14ac:dyDescent="0.25">
      <c r="A816" s="1">
        <v>58</v>
      </c>
      <c r="B816" t="s">
        <v>22</v>
      </c>
      <c r="C816">
        <v>635</v>
      </c>
      <c r="D816">
        <v>1</v>
      </c>
      <c r="E816" t="s">
        <v>34</v>
      </c>
      <c r="F816" t="s">
        <v>35</v>
      </c>
      <c r="G816" t="str">
        <f>"2026-02-15 22:43:33.133"</f>
        <v>2026-02-15 22:43:33.133</v>
      </c>
      <c r="H816" t="s">
        <v>21</v>
      </c>
    </row>
    <row r="817" spans="1:10" x14ac:dyDescent="0.25">
      <c r="A817" s="1">
        <v>59</v>
      </c>
      <c r="B817" t="s">
        <v>36</v>
      </c>
      <c r="C817">
        <v>635</v>
      </c>
      <c r="D817">
        <v>1</v>
      </c>
      <c r="E817" t="s">
        <v>34</v>
      </c>
      <c r="F817" t="s">
        <v>35</v>
      </c>
      <c r="G817" t="str">
        <f>"2026-02-15 22:40:26.633"</f>
        <v>2026-02-15 22:40:26.633</v>
      </c>
      <c r="H817" t="s">
        <v>21</v>
      </c>
      <c r="I817">
        <v>0.9</v>
      </c>
      <c r="J817" t="s">
        <v>37</v>
      </c>
    </row>
    <row r="818" spans="1:10" x14ac:dyDescent="0.25">
      <c r="A818" s="1">
        <v>60</v>
      </c>
      <c r="B818" t="s">
        <v>22</v>
      </c>
      <c r="C818">
        <v>635</v>
      </c>
      <c r="D818">
        <v>1</v>
      </c>
      <c r="E818" t="s">
        <v>34</v>
      </c>
      <c r="F818" t="s">
        <v>35</v>
      </c>
      <c r="G818" t="str">
        <f>"2026-02-15 11:58:10.633"</f>
        <v>2026-02-15 11:58:10.633</v>
      </c>
      <c r="H818" t="s">
        <v>21</v>
      </c>
    </row>
    <row r="819" spans="1:10" x14ac:dyDescent="0.25">
      <c r="A819" s="1">
        <v>61</v>
      </c>
      <c r="B819" t="s">
        <v>36</v>
      </c>
      <c r="C819">
        <v>635</v>
      </c>
      <c r="D819">
        <v>1</v>
      </c>
      <c r="E819" t="s">
        <v>34</v>
      </c>
      <c r="F819" t="s">
        <v>35</v>
      </c>
      <c r="G819" t="str">
        <f>"2026-02-15 11:52:10.633"</f>
        <v>2026-02-15 11:52:10.633</v>
      </c>
      <c r="H819" t="s">
        <v>21</v>
      </c>
      <c r="I819">
        <v>3.76</v>
      </c>
      <c r="J819" t="s">
        <v>37</v>
      </c>
    </row>
    <row r="820" spans="1:10" x14ac:dyDescent="0.25">
      <c r="A820" s="1">
        <v>62</v>
      </c>
      <c r="B820" t="s">
        <v>22</v>
      </c>
      <c r="C820">
        <v>635</v>
      </c>
      <c r="D820">
        <v>1</v>
      </c>
      <c r="E820" t="s">
        <v>34</v>
      </c>
      <c r="F820" t="s">
        <v>35</v>
      </c>
      <c r="G820" t="str">
        <f>"2026-02-15 10:10:38.333"</f>
        <v>2026-02-15 10:10:38.333</v>
      </c>
      <c r="H820" t="s">
        <v>21</v>
      </c>
    </row>
    <row r="821" spans="1:10" x14ac:dyDescent="0.25">
      <c r="A821" s="1">
        <v>63</v>
      </c>
      <c r="B821" t="s">
        <v>36</v>
      </c>
      <c r="C821">
        <v>635</v>
      </c>
      <c r="D821">
        <v>1</v>
      </c>
      <c r="E821" t="s">
        <v>34</v>
      </c>
      <c r="F821" t="s">
        <v>35</v>
      </c>
      <c r="G821" t="str">
        <f>"2026-02-15 10:05:31.333"</f>
        <v>2026-02-15 10:05:31.333</v>
      </c>
      <c r="H821" t="s">
        <v>21</v>
      </c>
      <c r="I821">
        <v>4.16</v>
      </c>
      <c r="J821" t="s">
        <v>28</v>
      </c>
    </row>
    <row r="822" spans="1:10" x14ac:dyDescent="0.25">
      <c r="A822" s="1">
        <v>64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"2026-02-15 08:20:37.543"</f>
        <v>2026-02-15 08:20:37.543</v>
      </c>
      <c r="H822" t="s">
        <v>21</v>
      </c>
    </row>
    <row r="823" spans="1:10" x14ac:dyDescent="0.25">
      <c r="A823" s="1">
        <v>65</v>
      </c>
      <c r="B823" t="s">
        <v>19</v>
      </c>
      <c r="C823">
        <v>700</v>
      </c>
      <c r="D823">
        <v>0</v>
      </c>
      <c r="E823" t="s">
        <v>20</v>
      </c>
      <c r="F823" t="s">
        <v>20</v>
      </c>
      <c r="G823" t="str">
        <f>"2026-02-15 07:43:45.646"</f>
        <v>2026-02-15 07:43:45.646</v>
      </c>
      <c r="H823" t="s">
        <v>21</v>
      </c>
      <c r="I823">
        <v>0</v>
      </c>
      <c r="J823" t="s">
        <v>33</v>
      </c>
    </row>
    <row r="824" spans="1:10" x14ac:dyDescent="0.25">
      <c r="A824" s="1">
        <v>66</v>
      </c>
      <c r="B824" t="s">
        <v>19</v>
      </c>
      <c r="C824">
        <v>706</v>
      </c>
      <c r="D824">
        <v>4</v>
      </c>
      <c r="E824" t="s">
        <v>29</v>
      </c>
      <c r="F824" t="s">
        <v>53</v>
      </c>
      <c r="G824" t="str">
        <f>"2026-02-15 05:19:39.752"</f>
        <v>2026-02-15 05:19:39.752</v>
      </c>
      <c r="H824" t="s">
        <v>21</v>
      </c>
      <c r="I824">
        <v>0</v>
      </c>
      <c r="J824" t="s">
        <v>73</v>
      </c>
    </row>
    <row r="825" spans="1:10" x14ac:dyDescent="0.25">
      <c r="A825" s="1">
        <v>67</v>
      </c>
      <c r="B825" t="s">
        <v>19</v>
      </c>
      <c r="C825">
        <v>706</v>
      </c>
      <c r="D825">
        <v>3</v>
      </c>
      <c r="E825" t="s">
        <v>29</v>
      </c>
      <c r="F825" t="s">
        <v>32</v>
      </c>
      <c r="G825" t="str">
        <f>"2026-02-15 05:19:13.142"</f>
        <v>2026-02-15 05:19:13.142</v>
      </c>
      <c r="H825" t="s">
        <v>21</v>
      </c>
      <c r="I825">
        <v>0</v>
      </c>
      <c r="J825" t="s">
        <v>31</v>
      </c>
    </row>
    <row r="826" spans="1:10" x14ac:dyDescent="0.25">
      <c r="A826" s="1">
        <v>68</v>
      </c>
      <c r="B826" t="s">
        <v>19</v>
      </c>
      <c r="C826">
        <v>706</v>
      </c>
      <c r="D826">
        <v>4</v>
      </c>
      <c r="E826" t="s">
        <v>29</v>
      </c>
      <c r="F826" t="s">
        <v>53</v>
      </c>
      <c r="G826" t="str">
        <f>"2026-02-15 05:17:22.262"</f>
        <v>2026-02-15 05:17:22.262</v>
      </c>
      <c r="H826" t="s">
        <v>21</v>
      </c>
      <c r="I826">
        <v>0</v>
      </c>
      <c r="J826" t="s">
        <v>31</v>
      </c>
    </row>
    <row r="827" spans="1:10" x14ac:dyDescent="0.25">
      <c r="A827" s="1">
        <v>69</v>
      </c>
      <c r="B827" t="s">
        <v>19</v>
      </c>
      <c r="C827">
        <v>706</v>
      </c>
      <c r="D827">
        <v>4</v>
      </c>
      <c r="E827" t="s">
        <v>29</v>
      </c>
      <c r="F827" t="s">
        <v>53</v>
      </c>
      <c r="G827" t="str">
        <f>"2026-02-15 05:15:56.052"</f>
        <v>2026-02-15 05:15:56.052</v>
      </c>
      <c r="H827" t="s">
        <v>21</v>
      </c>
      <c r="I827">
        <v>0</v>
      </c>
      <c r="J827" t="s">
        <v>31</v>
      </c>
    </row>
    <row r="828" spans="1:10" x14ac:dyDescent="0.25">
      <c r="A828" s="1">
        <v>70</v>
      </c>
      <c r="B828" t="s">
        <v>19</v>
      </c>
      <c r="C828">
        <v>706</v>
      </c>
      <c r="D828">
        <v>4</v>
      </c>
      <c r="E828" t="s">
        <v>29</v>
      </c>
      <c r="F828" t="s">
        <v>53</v>
      </c>
      <c r="G828" t="str">
        <f>"2026-02-15 05:14:10.262"</f>
        <v>2026-02-15 05:14:10.262</v>
      </c>
      <c r="H828" t="s">
        <v>21</v>
      </c>
      <c r="I828">
        <v>0</v>
      </c>
      <c r="J828" t="s">
        <v>31</v>
      </c>
    </row>
    <row r="829" spans="1:10" x14ac:dyDescent="0.25">
      <c r="A829" s="1">
        <v>71</v>
      </c>
      <c r="B829" t="s">
        <v>19</v>
      </c>
      <c r="C829">
        <v>700</v>
      </c>
      <c r="D829">
        <v>0</v>
      </c>
      <c r="E829" t="s">
        <v>20</v>
      </c>
      <c r="F829" t="s">
        <v>20</v>
      </c>
      <c r="G829" t="str">
        <f>"2026-02-15 05:10:20.532"</f>
        <v>2026-02-15 05:10:20.532</v>
      </c>
      <c r="H829" t="s">
        <v>21</v>
      </c>
    </row>
    <row r="830" spans="1:10" x14ac:dyDescent="0.25">
      <c r="A830" s="1">
        <v>72</v>
      </c>
      <c r="B830" t="s">
        <v>19</v>
      </c>
      <c r="C830">
        <v>706</v>
      </c>
      <c r="D830">
        <v>4</v>
      </c>
      <c r="E830" t="s">
        <v>29</v>
      </c>
      <c r="F830" t="s">
        <v>53</v>
      </c>
      <c r="G830" t="str">
        <f>"2026-02-15 04:17:17.115"</f>
        <v>2026-02-15 04:17:17.115</v>
      </c>
      <c r="H830" t="s">
        <v>21</v>
      </c>
      <c r="I830">
        <v>0</v>
      </c>
      <c r="J830" t="s">
        <v>31</v>
      </c>
    </row>
    <row r="831" spans="1:10" x14ac:dyDescent="0.25">
      <c r="A831" s="1">
        <v>73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"2026-02-15 04:14:17.545"</f>
        <v>2026-02-15 04:14:17.545</v>
      </c>
      <c r="H831" t="s">
        <v>21</v>
      </c>
    </row>
    <row r="832" spans="1:10" x14ac:dyDescent="0.25">
      <c r="A832" s="1">
        <v>74</v>
      </c>
      <c r="B832" t="s">
        <v>19</v>
      </c>
      <c r="C832">
        <v>706</v>
      </c>
      <c r="D832">
        <v>2</v>
      </c>
      <c r="E832" t="s">
        <v>29</v>
      </c>
      <c r="F832" t="s">
        <v>30</v>
      </c>
      <c r="G832" t="str">
        <f>"2026-02-15 04:06:13.496"</f>
        <v>2026-02-15 04:06:13.496</v>
      </c>
      <c r="H832" t="s">
        <v>21</v>
      </c>
      <c r="I832">
        <v>0</v>
      </c>
      <c r="J832" t="s">
        <v>73</v>
      </c>
    </row>
    <row r="833" spans="1:10" x14ac:dyDescent="0.25">
      <c r="A833" s="1">
        <v>75</v>
      </c>
      <c r="B833" t="s">
        <v>19</v>
      </c>
      <c r="C833">
        <v>706</v>
      </c>
      <c r="D833">
        <v>4</v>
      </c>
      <c r="E833" t="s">
        <v>29</v>
      </c>
      <c r="F833" t="s">
        <v>53</v>
      </c>
      <c r="G833" t="str">
        <f>"2026-02-15 03:35:18.456"</f>
        <v>2026-02-15 03:35:18.456</v>
      </c>
      <c r="H833" t="s">
        <v>21</v>
      </c>
      <c r="I833">
        <v>0</v>
      </c>
      <c r="J833" t="s">
        <v>31</v>
      </c>
    </row>
    <row r="834" spans="1:10" x14ac:dyDescent="0.25">
      <c r="A834" s="1">
        <v>76</v>
      </c>
      <c r="B834" t="s">
        <v>19</v>
      </c>
      <c r="C834">
        <v>706</v>
      </c>
      <c r="D834">
        <v>4</v>
      </c>
      <c r="E834" t="s">
        <v>29</v>
      </c>
      <c r="F834" t="s">
        <v>53</v>
      </c>
      <c r="G834" t="str">
        <f>"2026-02-15 03:34:27.656"</f>
        <v>2026-02-15 03:34:27.656</v>
      </c>
      <c r="H834" t="s">
        <v>21</v>
      </c>
      <c r="I834">
        <v>0</v>
      </c>
      <c r="J834" t="s">
        <v>31</v>
      </c>
    </row>
    <row r="835" spans="1:10" x14ac:dyDescent="0.25">
      <c r="A835" s="1">
        <v>77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"2026-02-15 03:33:58.546"</f>
        <v>2026-02-15 03:33:58.546</v>
      </c>
      <c r="H835" t="s">
        <v>21</v>
      </c>
      <c r="I835">
        <v>0</v>
      </c>
      <c r="J835" t="s">
        <v>33</v>
      </c>
    </row>
    <row r="836" spans="1:10" x14ac:dyDescent="0.25">
      <c r="A836" s="1">
        <v>78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"2026-02-15 03:16:18.549"</f>
        <v>2026-02-15 03:16:18.549</v>
      </c>
      <c r="H836" t="s">
        <v>21</v>
      </c>
      <c r="I836">
        <v>0</v>
      </c>
      <c r="J836" t="s">
        <v>33</v>
      </c>
    </row>
    <row r="837" spans="1:10" x14ac:dyDescent="0.25">
      <c r="A837" s="1">
        <v>79</v>
      </c>
      <c r="B837" t="s">
        <v>19</v>
      </c>
      <c r="C837">
        <v>700</v>
      </c>
      <c r="D837">
        <v>0</v>
      </c>
      <c r="E837" t="s">
        <v>20</v>
      </c>
      <c r="F837" t="s">
        <v>20</v>
      </c>
      <c r="G837" t="str">
        <f>"2026-02-15 03:00:56.553"</f>
        <v>2026-02-15 03:00:56.553</v>
      </c>
      <c r="H837" t="s">
        <v>21</v>
      </c>
      <c r="I837">
        <v>0</v>
      </c>
      <c r="J837" t="s">
        <v>33</v>
      </c>
    </row>
    <row r="838" spans="1:10" x14ac:dyDescent="0.25">
      <c r="A838" s="1">
        <v>80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"2026-02-15 02:55:03.555"</f>
        <v>2026-02-15 02:55:03.555</v>
      </c>
      <c r="H838" t="s">
        <v>21</v>
      </c>
      <c r="I838">
        <v>0</v>
      </c>
      <c r="J838" t="s">
        <v>33</v>
      </c>
    </row>
    <row r="839" spans="1:10" x14ac:dyDescent="0.25">
      <c r="A839" s="1">
        <v>81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"2026-02-14 17:29:45.819"</f>
        <v>2026-02-14 17:29:45.819</v>
      </c>
      <c r="H839" t="s">
        <v>21</v>
      </c>
      <c r="I839">
        <v>0</v>
      </c>
      <c r="J839" t="s">
        <v>33</v>
      </c>
    </row>
    <row r="840" spans="1:10" x14ac:dyDescent="0.25">
      <c r="A840" s="1">
        <v>82</v>
      </c>
      <c r="B840" t="s">
        <v>19</v>
      </c>
      <c r="C840">
        <v>706</v>
      </c>
      <c r="D840">
        <v>2</v>
      </c>
      <c r="E840" t="s">
        <v>29</v>
      </c>
      <c r="F840" t="s">
        <v>30</v>
      </c>
      <c r="G840" t="str">
        <f>"2026-02-13 08:39:53.673"</f>
        <v>2026-02-13 08:39:53.673</v>
      </c>
      <c r="H840" t="s">
        <v>21</v>
      </c>
      <c r="I840">
        <v>0</v>
      </c>
      <c r="J840" t="s">
        <v>31</v>
      </c>
    </row>
    <row r="841" spans="1:10" x14ac:dyDescent="0.25">
      <c r="A841" s="1">
        <v>83</v>
      </c>
      <c r="B841" t="s">
        <v>22</v>
      </c>
      <c r="C841">
        <v>61</v>
      </c>
      <c r="D841">
        <v>2</v>
      </c>
      <c r="E841" t="s">
        <v>66</v>
      </c>
      <c r="F841" t="s">
        <v>67</v>
      </c>
      <c r="G841" t="str">
        <f>"2026-02-11 18:57:47.435"</f>
        <v>2026-02-11 18:57:47.435</v>
      </c>
      <c r="H841" t="s">
        <v>21</v>
      </c>
    </row>
    <row r="842" spans="1:10" x14ac:dyDescent="0.25">
      <c r="A842" s="1">
        <v>84</v>
      </c>
      <c r="B842" t="s">
        <v>26</v>
      </c>
      <c r="C842">
        <v>61</v>
      </c>
      <c r="D842">
        <v>2</v>
      </c>
      <c r="E842" t="s">
        <v>66</v>
      </c>
      <c r="F842" t="s">
        <v>67</v>
      </c>
      <c r="G842" t="str">
        <f>"2026-02-11 18:56:22.535"</f>
        <v>2026-02-11 18:56:22.535</v>
      </c>
      <c r="H842" t="s">
        <v>21</v>
      </c>
      <c r="I842">
        <v>35.729999999999997</v>
      </c>
      <c r="J842" t="s">
        <v>27</v>
      </c>
    </row>
    <row r="843" spans="1:10" x14ac:dyDescent="0.25">
      <c r="A843" s="1">
        <v>85</v>
      </c>
      <c r="B843" t="s">
        <v>22</v>
      </c>
      <c r="C843">
        <v>635</v>
      </c>
      <c r="D843">
        <v>1</v>
      </c>
      <c r="E843" t="s">
        <v>34</v>
      </c>
      <c r="F843" t="s">
        <v>35</v>
      </c>
      <c r="G843" t="str">
        <f>"2026-02-11 18:55:01.181"</f>
        <v>2026-02-11 18:55:01.181</v>
      </c>
      <c r="H843" t="s">
        <v>21</v>
      </c>
    </row>
    <row r="844" spans="1:10" x14ac:dyDescent="0.25">
      <c r="A844" s="1">
        <v>86</v>
      </c>
      <c r="B844" t="s">
        <v>36</v>
      </c>
      <c r="C844">
        <v>635</v>
      </c>
      <c r="D844">
        <v>1</v>
      </c>
      <c r="E844" t="s">
        <v>34</v>
      </c>
      <c r="F844" t="s">
        <v>35</v>
      </c>
      <c r="G844" t="str">
        <f>"2026-02-11 18:29:20.681"</f>
        <v>2026-02-11 18:29:20.681</v>
      </c>
      <c r="H844" t="s">
        <v>21</v>
      </c>
      <c r="I844">
        <v>4.41</v>
      </c>
      <c r="J844" t="s">
        <v>37</v>
      </c>
    </row>
    <row r="845" spans="1:10" x14ac:dyDescent="0.25">
      <c r="A845" s="1">
        <v>87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"2026-02-11 15:50:14.543"</f>
        <v>2026-02-11 15:50:14.543</v>
      </c>
      <c r="H845" t="s">
        <v>21</v>
      </c>
    </row>
    <row r="846" spans="1:10" x14ac:dyDescent="0.25">
      <c r="A846" s="1">
        <v>88</v>
      </c>
      <c r="B846" t="s">
        <v>19</v>
      </c>
      <c r="C846">
        <v>706</v>
      </c>
      <c r="D846">
        <v>4</v>
      </c>
      <c r="E846" t="s">
        <v>29</v>
      </c>
      <c r="F846" t="s">
        <v>53</v>
      </c>
      <c r="G846" t="str">
        <f>"2026-02-11 13:06:14.931"</f>
        <v>2026-02-11 13:06:14.931</v>
      </c>
      <c r="H846" t="s">
        <v>21</v>
      </c>
      <c r="I846">
        <v>0</v>
      </c>
      <c r="J846" t="s">
        <v>31</v>
      </c>
    </row>
    <row r="847" spans="1:10" x14ac:dyDescent="0.25">
      <c r="A847" s="1">
        <v>89</v>
      </c>
      <c r="B847" t="s">
        <v>22</v>
      </c>
      <c r="C847">
        <v>635</v>
      </c>
      <c r="D847">
        <v>1</v>
      </c>
      <c r="E847" t="s">
        <v>34</v>
      </c>
      <c r="F847" t="s">
        <v>35</v>
      </c>
      <c r="G847" t="str">
        <f>"2026-02-10 15:13:05.022"</f>
        <v>2026-02-10 15:13:05.022</v>
      </c>
      <c r="H847" t="s">
        <v>21</v>
      </c>
    </row>
    <row r="848" spans="1:10" x14ac:dyDescent="0.25">
      <c r="A848" s="1">
        <v>90</v>
      </c>
      <c r="B848" t="s">
        <v>36</v>
      </c>
      <c r="C848">
        <v>635</v>
      </c>
      <c r="D848">
        <v>1</v>
      </c>
      <c r="E848" t="s">
        <v>34</v>
      </c>
      <c r="F848" t="s">
        <v>35</v>
      </c>
      <c r="G848" t="str">
        <f>"2026-02-10 15:08:23.522"</f>
        <v>2026-02-10 15:08:23.522</v>
      </c>
      <c r="H848" t="s">
        <v>21</v>
      </c>
      <c r="I848">
        <v>4.79</v>
      </c>
      <c r="J848" t="s">
        <v>37</v>
      </c>
    </row>
    <row r="849" spans="1:10" x14ac:dyDescent="0.25">
      <c r="A849" s="1">
        <v>91</v>
      </c>
      <c r="B849" t="s">
        <v>22</v>
      </c>
      <c r="C849">
        <v>635</v>
      </c>
      <c r="D849">
        <v>1</v>
      </c>
      <c r="E849" t="s">
        <v>34</v>
      </c>
      <c r="F849" t="s">
        <v>35</v>
      </c>
      <c r="G849" t="str">
        <f>"2026-02-10 13:01:45.222"</f>
        <v>2026-02-10 13:01:45.222</v>
      </c>
      <c r="H849" t="s">
        <v>21</v>
      </c>
    </row>
    <row r="850" spans="1:10" x14ac:dyDescent="0.25">
      <c r="A850" s="1">
        <v>92</v>
      </c>
      <c r="B850" t="s">
        <v>36</v>
      </c>
      <c r="C850">
        <v>635</v>
      </c>
      <c r="D850">
        <v>1</v>
      </c>
      <c r="E850" t="s">
        <v>34</v>
      </c>
      <c r="F850" t="s">
        <v>35</v>
      </c>
      <c r="G850" t="str">
        <f>"2026-02-10 12:58:50.222"</f>
        <v>2026-02-10 12:58:50.222</v>
      </c>
      <c r="H850" t="s">
        <v>21</v>
      </c>
      <c r="I850">
        <v>2.85</v>
      </c>
      <c r="J850" t="s">
        <v>37</v>
      </c>
    </row>
    <row r="851" spans="1:10" x14ac:dyDescent="0.25">
      <c r="A851" s="1">
        <v>93</v>
      </c>
      <c r="B851" t="s">
        <v>22</v>
      </c>
      <c r="C851">
        <v>635</v>
      </c>
      <c r="D851">
        <v>1</v>
      </c>
      <c r="E851" t="s">
        <v>34</v>
      </c>
      <c r="F851" t="s">
        <v>35</v>
      </c>
      <c r="G851" t="str">
        <f>"2026-02-10 12:48:02.722"</f>
        <v>2026-02-10 12:48:02.722</v>
      </c>
      <c r="H851" t="s">
        <v>21</v>
      </c>
    </row>
    <row r="852" spans="1:10" x14ac:dyDescent="0.25">
      <c r="A852" s="1">
        <v>94</v>
      </c>
      <c r="B852" t="s">
        <v>36</v>
      </c>
      <c r="C852">
        <v>635</v>
      </c>
      <c r="D852">
        <v>1</v>
      </c>
      <c r="E852" t="s">
        <v>34</v>
      </c>
      <c r="F852" t="s">
        <v>35</v>
      </c>
      <c r="G852" t="str">
        <f>"2026-02-10 12:42:52.222"</f>
        <v>2026-02-10 12:42:52.222</v>
      </c>
      <c r="H852" t="s">
        <v>21</v>
      </c>
      <c r="I852">
        <v>3.45</v>
      </c>
      <c r="J852" t="s">
        <v>28</v>
      </c>
    </row>
    <row r="853" spans="1:10" x14ac:dyDescent="0.25">
      <c r="A853" s="1">
        <v>95</v>
      </c>
      <c r="B853" t="s">
        <v>22</v>
      </c>
      <c r="C853">
        <v>635</v>
      </c>
      <c r="D853">
        <v>1</v>
      </c>
      <c r="E853" t="s">
        <v>34</v>
      </c>
      <c r="F853" t="s">
        <v>35</v>
      </c>
      <c r="G853" t="str">
        <f>"2026-02-10 09:36:44.022"</f>
        <v>2026-02-10 09:36:44.022</v>
      </c>
      <c r="H853" t="s">
        <v>21</v>
      </c>
    </row>
    <row r="854" spans="1:10" x14ac:dyDescent="0.25">
      <c r="A854" s="1">
        <v>96</v>
      </c>
      <c r="B854" t="s">
        <v>36</v>
      </c>
      <c r="C854">
        <v>635</v>
      </c>
      <c r="D854">
        <v>1</v>
      </c>
      <c r="E854" t="s">
        <v>34</v>
      </c>
      <c r="F854" t="s">
        <v>35</v>
      </c>
      <c r="G854" t="str">
        <f>"2026-02-10 09:31:07.522"</f>
        <v>2026-02-10 09:31:07.522</v>
      </c>
      <c r="H854" t="s">
        <v>21</v>
      </c>
      <c r="I854">
        <v>2.09</v>
      </c>
      <c r="J854" t="s">
        <v>37</v>
      </c>
    </row>
    <row r="855" spans="1:10" x14ac:dyDescent="0.25">
      <c r="A855" s="1">
        <v>97</v>
      </c>
      <c r="B855" t="s">
        <v>22</v>
      </c>
      <c r="C855">
        <v>635</v>
      </c>
      <c r="D855">
        <v>1</v>
      </c>
      <c r="E855" t="s">
        <v>34</v>
      </c>
      <c r="F855" t="s">
        <v>35</v>
      </c>
      <c r="G855" t="str">
        <f>"2026-02-09 23:58:49.922"</f>
        <v>2026-02-09 23:58:49.922</v>
      </c>
      <c r="H855" t="s">
        <v>21</v>
      </c>
    </row>
    <row r="856" spans="1:10" x14ac:dyDescent="0.25">
      <c r="A856" s="1">
        <v>98</v>
      </c>
      <c r="B856" t="s">
        <v>36</v>
      </c>
      <c r="C856">
        <v>635</v>
      </c>
      <c r="D856">
        <v>1</v>
      </c>
      <c r="E856" t="s">
        <v>34</v>
      </c>
      <c r="F856" t="s">
        <v>35</v>
      </c>
      <c r="G856" t="str">
        <f>"2026-02-09 23:52:56.022"</f>
        <v>2026-02-09 23:52:56.022</v>
      </c>
      <c r="H856" t="s">
        <v>21</v>
      </c>
      <c r="I856">
        <v>2.7</v>
      </c>
      <c r="J856" t="s">
        <v>27</v>
      </c>
    </row>
    <row r="857" spans="1:10" x14ac:dyDescent="0.25">
      <c r="A857" s="1">
        <v>99</v>
      </c>
      <c r="B857" t="s">
        <v>22</v>
      </c>
      <c r="C857">
        <v>635</v>
      </c>
      <c r="D857">
        <v>1</v>
      </c>
      <c r="E857" t="s">
        <v>34</v>
      </c>
      <c r="F857" t="s">
        <v>35</v>
      </c>
      <c r="G857" t="str">
        <f>"2026-02-09 09:53:10.822"</f>
        <v>2026-02-09 09:53:10.822</v>
      </c>
      <c r="H857" t="s">
        <v>21</v>
      </c>
    </row>
    <row r="858" spans="1:10" x14ac:dyDescent="0.25">
      <c r="A858" s="1">
        <v>0</v>
      </c>
      <c r="B858" t="s">
        <v>36</v>
      </c>
      <c r="C858">
        <v>635</v>
      </c>
      <c r="D858">
        <v>1</v>
      </c>
      <c r="E858" t="s">
        <v>34</v>
      </c>
      <c r="F858" t="s">
        <v>35</v>
      </c>
      <c r="G858" t="str">
        <f>"2026-02-09 09:49:25.822"</f>
        <v>2026-02-09 09:49:25.822</v>
      </c>
      <c r="H858" t="s">
        <v>21</v>
      </c>
      <c r="I858">
        <v>1.75</v>
      </c>
      <c r="J858" t="s">
        <v>37</v>
      </c>
    </row>
    <row r="859" spans="1:10" x14ac:dyDescent="0.25">
      <c r="A859" s="1">
        <v>3</v>
      </c>
      <c r="B859" t="s">
        <v>22</v>
      </c>
      <c r="C859">
        <v>635</v>
      </c>
      <c r="D859">
        <v>1</v>
      </c>
      <c r="E859" t="s">
        <v>34</v>
      </c>
      <c r="F859" t="s">
        <v>35</v>
      </c>
      <c r="G859" t="str">
        <f>"2026-02-07 15:15:57.322"</f>
        <v>2026-02-07 15:15:57.322</v>
      </c>
      <c r="H859" t="s">
        <v>21</v>
      </c>
    </row>
    <row r="860" spans="1:10" x14ac:dyDescent="0.25">
      <c r="A860" s="1">
        <v>4</v>
      </c>
      <c r="B860" t="s">
        <v>36</v>
      </c>
      <c r="C860">
        <v>635</v>
      </c>
      <c r="D860">
        <v>1</v>
      </c>
      <c r="E860" t="s">
        <v>34</v>
      </c>
      <c r="F860" t="s">
        <v>35</v>
      </c>
      <c r="G860" t="str">
        <f>"2026-02-07 15:13:29.322"</f>
        <v>2026-02-07 15:13:29.322</v>
      </c>
      <c r="H860" t="s">
        <v>21</v>
      </c>
      <c r="I860">
        <v>3.9</v>
      </c>
      <c r="J860" t="s">
        <v>37</v>
      </c>
    </row>
    <row r="861" spans="1:10" s="3" customFormat="1" x14ac:dyDescent="0.25">
      <c r="A861" s="2">
        <v>5</v>
      </c>
      <c r="B861" s="3" t="s">
        <v>22</v>
      </c>
      <c r="C861" s="3">
        <v>647</v>
      </c>
      <c r="D861" s="3">
        <v>1</v>
      </c>
      <c r="E861" s="3" t="s">
        <v>54</v>
      </c>
      <c r="F861" s="3" t="s">
        <v>55</v>
      </c>
      <c r="G861" s="3" t="str">
        <f>"2026-02-06 15:11:34.523"</f>
        <v>2026-02-06 15:11:34.523</v>
      </c>
      <c r="H861" s="3" t="s">
        <v>21</v>
      </c>
    </row>
    <row r="862" spans="1:10" s="3" customFormat="1" x14ac:dyDescent="0.25">
      <c r="A862" s="2">
        <v>6</v>
      </c>
      <c r="B862" s="3" t="s">
        <v>36</v>
      </c>
      <c r="C862" s="3">
        <v>647</v>
      </c>
      <c r="D862" s="3">
        <v>1</v>
      </c>
      <c r="E862" s="3" t="s">
        <v>54</v>
      </c>
      <c r="F862" s="3" t="s">
        <v>55</v>
      </c>
      <c r="G862" s="3" t="str">
        <f>"2026-02-06 15:11:29.423"</f>
        <v>2026-02-06 15:11:29.423</v>
      </c>
      <c r="H862" s="3" t="s">
        <v>21</v>
      </c>
      <c r="I862" s="3">
        <v>13.25</v>
      </c>
      <c r="J862" s="3" t="s">
        <v>27</v>
      </c>
    </row>
    <row r="863" spans="1:10" x14ac:dyDescent="0.25">
      <c r="A863" s="1">
        <v>7</v>
      </c>
      <c r="B863" t="s">
        <v>22</v>
      </c>
      <c r="C863">
        <v>635</v>
      </c>
      <c r="D863">
        <v>1</v>
      </c>
      <c r="E863" t="s">
        <v>34</v>
      </c>
      <c r="F863" t="s">
        <v>35</v>
      </c>
      <c r="G863" t="str">
        <f>"2026-02-06 10:51:23.522"</f>
        <v>2026-02-06 10:51:23.522</v>
      </c>
      <c r="H863" t="s">
        <v>21</v>
      </c>
    </row>
    <row r="864" spans="1:10" x14ac:dyDescent="0.25">
      <c r="A864" s="1">
        <v>8</v>
      </c>
      <c r="B864" t="s">
        <v>36</v>
      </c>
      <c r="C864">
        <v>635</v>
      </c>
      <c r="D864">
        <v>1</v>
      </c>
      <c r="E864" t="s">
        <v>34</v>
      </c>
      <c r="F864" t="s">
        <v>35</v>
      </c>
      <c r="G864" t="str">
        <f>"2026-02-06 10:48:17.522"</f>
        <v>2026-02-06 10:48:17.522</v>
      </c>
      <c r="H864" t="s">
        <v>21</v>
      </c>
      <c r="I864">
        <v>3.99</v>
      </c>
      <c r="J864" t="s">
        <v>37</v>
      </c>
    </row>
    <row r="865" spans="1:10" x14ac:dyDescent="0.25">
      <c r="A865" s="1">
        <v>9</v>
      </c>
      <c r="B865" t="s">
        <v>22</v>
      </c>
      <c r="C865">
        <v>635</v>
      </c>
      <c r="D865">
        <v>1</v>
      </c>
      <c r="E865" t="s">
        <v>34</v>
      </c>
      <c r="F865" t="s">
        <v>35</v>
      </c>
      <c r="G865" t="str">
        <f>"2026-02-06 09:20:41.622"</f>
        <v>2026-02-06 09:20:41.622</v>
      </c>
      <c r="H865" t="s">
        <v>21</v>
      </c>
    </row>
    <row r="866" spans="1:10" x14ac:dyDescent="0.25">
      <c r="A866" s="1">
        <v>10</v>
      </c>
      <c r="B866" t="s">
        <v>36</v>
      </c>
      <c r="C866">
        <v>635</v>
      </c>
      <c r="D866">
        <v>1</v>
      </c>
      <c r="E866" t="s">
        <v>34</v>
      </c>
      <c r="F866" t="s">
        <v>35</v>
      </c>
      <c r="G866" t="str">
        <f>"2026-02-06 09:13:29.622"</f>
        <v>2026-02-06 09:13:29.622</v>
      </c>
      <c r="H866" t="s">
        <v>21</v>
      </c>
      <c r="I866">
        <v>1.31</v>
      </c>
      <c r="J866" t="s">
        <v>37</v>
      </c>
    </row>
    <row r="867" spans="1:10" x14ac:dyDescent="0.25">
      <c r="A867" s="1">
        <v>11</v>
      </c>
      <c r="B867" t="s">
        <v>22</v>
      </c>
      <c r="C867">
        <v>635</v>
      </c>
      <c r="D867">
        <v>1</v>
      </c>
      <c r="E867" t="s">
        <v>34</v>
      </c>
      <c r="F867" t="s">
        <v>35</v>
      </c>
      <c r="G867" t="str">
        <f>"2026-02-05 16:30:28.222"</f>
        <v>2026-02-05 16:30:28.222</v>
      </c>
      <c r="H867" t="s">
        <v>21</v>
      </c>
    </row>
    <row r="868" spans="1:10" x14ac:dyDescent="0.25">
      <c r="A868" s="1">
        <v>12</v>
      </c>
      <c r="B868" t="s">
        <v>36</v>
      </c>
      <c r="C868">
        <v>635</v>
      </c>
      <c r="D868">
        <v>1</v>
      </c>
      <c r="E868" t="s">
        <v>34</v>
      </c>
      <c r="F868" t="s">
        <v>35</v>
      </c>
      <c r="G868" t="str">
        <f>"2026-02-05 16:27:44.222"</f>
        <v>2026-02-05 16:27:44.222</v>
      </c>
      <c r="H868" t="s">
        <v>21</v>
      </c>
      <c r="I868">
        <v>2.4</v>
      </c>
      <c r="J868" t="s">
        <v>37</v>
      </c>
    </row>
    <row r="869" spans="1:10" s="3" customFormat="1" x14ac:dyDescent="0.25">
      <c r="A869" s="2">
        <v>13</v>
      </c>
      <c r="B869" s="3" t="s">
        <v>22</v>
      </c>
      <c r="C869" s="3">
        <v>647</v>
      </c>
      <c r="D869" s="3">
        <v>1</v>
      </c>
      <c r="E869" s="3" t="s">
        <v>54</v>
      </c>
      <c r="F869" s="3" t="s">
        <v>55</v>
      </c>
      <c r="G869" s="3" t="str">
        <f>"2026-02-05 11:55:03.923"</f>
        <v>2026-02-05 11:55:03.923</v>
      </c>
      <c r="H869" s="3" t="s">
        <v>21</v>
      </c>
    </row>
    <row r="870" spans="1:10" s="3" customFormat="1" x14ac:dyDescent="0.25">
      <c r="A870" s="2">
        <v>14</v>
      </c>
      <c r="B870" s="3" t="s">
        <v>36</v>
      </c>
      <c r="C870" s="3">
        <v>647</v>
      </c>
      <c r="D870" s="3">
        <v>1</v>
      </c>
      <c r="E870" s="3" t="s">
        <v>54</v>
      </c>
      <c r="F870" s="3" t="s">
        <v>55</v>
      </c>
      <c r="G870" s="3" t="str">
        <f>"2026-02-05 11:55:02.823"</f>
        <v>2026-02-05 11:55:02.823</v>
      </c>
      <c r="H870" s="3" t="s">
        <v>21</v>
      </c>
      <c r="I870" s="3">
        <v>14.31</v>
      </c>
      <c r="J870" s="3" t="s">
        <v>27</v>
      </c>
    </row>
    <row r="871" spans="1:10" x14ac:dyDescent="0.25">
      <c r="A871" s="1">
        <v>15</v>
      </c>
      <c r="B871" t="s">
        <v>19</v>
      </c>
      <c r="C871">
        <v>706</v>
      </c>
      <c r="D871">
        <v>4</v>
      </c>
      <c r="E871" t="s">
        <v>29</v>
      </c>
      <c r="F871" t="s">
        <v>53</v>
      </c>
      <c r="G871" t="str">
        <f>"2026-02-05 11:11:17.321"</f>
        <v>2026-02-05 11:11:17.321</v>
      </c>
      <c r="H871" t="s">
        <v>21</v>
      </c>
      <c r="I871">
        <v>0</v>
      </c>
      <c r="J871" t="s">
        <v>31</v>
      </c>
    </row>
    <row r="872" spans="1:10" x14ac:dyDescent="0.25">
      <c r="A872" s="1">
        <v>16</v>
      </c>
      <c r="B872" t="s">
        <v>22</v>
      </c>
      <c r="C872">
        <v>635</v>
      </c>
      <c r="D872">
        <v>1</v>
      </c>
      <c r="E872" t="s">
        <v>34</v>
      </c>
      <c r="F872" t="s">
        <v>35</v>
      </c>
      <c r="G872" t="str">
        <f>"2026-02-05 04:07:48.922"</f>
        <v>2026-02-05 04:07:48.922</v>
      </c>
      <c r="H872" t="s">
        <v>21</v>
      </c>
    </row>
    <row r="873" spans="1:10" x14ac:dyDescent="0.25">
      <c r="A873" s="1">
        <v>17</v>
      </c>
      <c r="B873" t="s">
        <v>36</v>
      </c>
      <c r="C873">
        <v>635</v>
      </c>
      <c r="D873">
        <v>1</v>
      </c>
      <c r="E873" t="s">
        <v>34</v>
      </c>
      <c r="F873" t="s">
        <v>35</v>
      </c>
      <c r="G873" t="str">
        <f>"2026-02-05 04:03:30.422"</f>
        <v>2026-02-05 04:03:30.422</v>
      </c>
      <c r="H873" t="s">
        <v>21</v>
      </c>
      <c r="I873">
        <v>3.26</v>
      </c>
      <c r="J873" t="s">
        <v>27</v>
      </c>
    </row>
    <row r="874" spans="1:10" x14ac:dyDescent="0.25">
      <c r="A874" s="1">
        <v>18</v>
      </c>
      <c r="B874" t="s">
        <v>22</v>
      </c>
      <c r="C874">
        <v>635</v>
      </c>
      <c r="D874">
        <v>1</v>
      </c>
      <c r="E874" t="s">
        <v>34</v>
      </c>
      <c r="F874" t="s">
        <v>35</v>
      </c>
      <c r="G874" t="str">
        <f>"2026-02-05 02:49:00.022"</f>
        <v>2026-02-05 02:49:00.022</v>
      </c>
      <c r="H874" t="s">
        <v>21</v>
      </c>
    </row>
    <row r="875" spans="1:10" x14ac:dyDescent="0.25">
      <c r="A875" s="1">
        <v>19</v>
      </c>
      <c r="B875" t="s">
        <v>36</v>
      </c>
      <c r="C875">
        <v>635</v>
      </c>
      <c r="D875">
        <v>1</v>
      </c>
      <c r="E875" t="s">
        <v>34</v>
      </c>
      <c r="F875" t="s">
        <v>35</v>
      </c>
      <c r="G875" t="str">
        <f>"2026-02-05 02:44:53.522"</f>
        <v>2026-02-05 02:44:53.522</v>
      </c>
      <c r="H875" t="s">
        <v>21</v>
      </c>
      <c r="I875">
        <v>7.98</v>
      </c>
      <c r="J875" t="s">
        <v>37</v>
      </c>
    </row>
    <row r="876" spans="1:10" x14ac:dyDescent="0.25">
      <c r="A876" s="1">
        <v>20</v>
      </c>
      <c r="B876" t="s">
        <v>22</v>
      </c>
      <c r="C876">
        <v>635</v>
      </c>
      <c r="D876">
        <v>1</v>
      </c>
      <c r="E876" t="s">
        <v>34</v>
      </c>
      <c r="F876" t="s">
        <v>35</v>
      </c>
      <c r="G876" t="str">
        <f>"2026-02-04 23:17:04.922"</f>
        <v>2026-02-04 23:17:04.922</v>
      </c>
      <c r="H876" t="s">
        <v>21</v>
      </c>
    </row>
    <row r="877" spans="1:10" x14ac:dyDescent="0.25">
      <c r="A877" s="1">
        <v>21</v>
      </c>
      <c r="B877" t="s">
        <v>36</v>
      </c>
      <c r="C877">
        <v>635</v>
      </c>
      <c r="D877">
        <v>1</v>
      </c>
      <c r="E877" t="s">
        <v>34</v>
      </c>
      <c r="F877" t="s">
        <v>35</v>
      </c>
      <c r="G877" t="str">
        <f>"2026-02-04 23:11:00.922"</f>
        <v>2026-02-04 23:11:00.922</v>
      </c>
      <c r="H877" t="s">
        <v>21</v>
      </c>
      <c r="I877">
        <v>5.77</v>
      </c>
      <c r="J877" t="s">
        <v>37</v>
      </c>
    </row>
    <row r="878" spans="1:10" x14ac:dyDescent="0.25">
      <c r="A878" s="1">
        <v>22</v>
      </c>
      <c r="B878" t="s">
        <v>22</v>
      </c>
      <c r="C878">
        <v>635</v>
      </c>
      <c r="D878">
        <v>1</v>
      </c>
      <c r="E878" t="s">
        <v>34</v>
      </c>
      <c r="F878" t="s">
        <v>35</v>
      </c>
      <c r="G878" t="str">
        <f>"2026-02-04 12:12:21.922"</f>
        <v>2026-02-04 12:12:21.922</v>
      </c>
      <c r="H878" t="s">
        <v>21</v>
      </c>
    </row>
    <row r="879" spans="1:10" x14ac:dyDescent="0.25">
      <c r="A879" s="1">
        <v>23</v>
      </c>
      <c r="B879" t="s">
        <v>36</v>
      </c>
      <c r="C879">
        <v>635</v>
      </c>
      <c r="D879">
        <v>1</v>
      </c>
      <c r="E879" t="s">
        <v>34</v>
      </c>
      <c r="F879" t="s">
        <v>35</v>
      </c>
      <c r="G879" t="str">
        <f>"2026-02-04 12:09:14.422"</f>
        <v>2026-02-04 12:09:14.422</v>
      </c>
      <c r="H879" t="s">
        <v>21</v>
      </c>
      <c r="I879">
        <v>2.6</v>
      </c>
      <c r="J879" t="s">
        <v>37</v>
      </c>
    </row>
    <row r="880" spans="1:10" x14ac:dyDescent="0.25">
      <c r="A880" s="1">
        <v>24</v>
      </c>
      <c r="B880" t="s">
        <v>22</v>
      </c>
      <c r="C880">
        <v>98</v>
      </c>
      <c r="D880">
        <v>1</v>
      </c>
      <c r="E880" t="s">
        <v>99</v>
      </c>
      <c r="F880" t="s">
        <v>100</v>
      </c>
      <c r="G880" t="str">
        <f>"2026-02-04 06:44:42.722"</f>
        <v>2026-02-04 06:44:42.722</v>
      </c>
      <c r="H880" t="s">
        <v>21</v>
      </c>
    </row>
    <row r="881" spans="1:10" x14ac:dyDescent="0.25">
      <c r="A881" s="1">
        <v>25</v>
      </c>
      <c r="B881" t="s">
        <v>36</v>
      </c>
      <c r="C881">
        <v>98</v>
      </c>
      <c r="D881">
        <v>1</v>
      </c>
      <c r="E881" t="s">
        <v>99</v>
      </c>
      <c r="F881" t="s">
        <v>100</v>
      </c>
      <c r="G881" t="str">
        <f>"2026-02-04 06:44:41.723"</f>
        <v>2026-02-04 06:44:41.723</v>
      </c>
      <c r="H881" t="s">
        <v>21</v>
      </c>
      <c r="I881">
        <v>0</v>
      </c>
      <c r="J881" t="s">
        <v>28</v>
      </c>
    </row>
    <row r="882" spans="1:10" x14ac:dyDescent="0.25">
      <c r="A882" s="1">
        <v>26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"2026-02-04 06:35:29.511"</f>
        <v>2026-02-04 06:35:29.511</v>
      </c>
      <c r="H882" t="s">
        <v>21</v>
      </c>
      <c r="I882">
        <v>0</v>
      </c>
      <c r="J882" t="s">
        <v>33</v>
      </c>
    </row>
    <row r="883" spans="1:10" x14ac:dyDescent="0.25">
      <c r="A883" s="1">
        <v>27</v>
      </c>
      <c r="B883" t="s">
        <v>40</v>
      </c>
      <c r="C883">
        <v>77</v>
      </c>
      <c r="D883">
        <v>1</v>
      </c>
      <c r="E883" t="s">
        <v>59</v>
      </c>
      <c r="F883" t="s">
        <v>60</v>
      </c>
      <c r="G883" t="str">
        <f>"2026-02-04 05:36:18.707"</f>
        <v>2026-02-04 05:36:18.707</v>
      </c>
      <c r="H883" t="s">
        <v>46</v>
      </c>
    </row>
    <row r="884" spans="1:10" x14ac:dyDescent="0.25">
      <c r="A884" s="1">
        <v>28</v>
      </c>
      <c r="B884" t="s">
        <v>26</v>
      </c>
      <c r="C884">
        <v>77</v>
      </c>
      <c r="D884">
        <v>1</v>
      </c>
      <c r="E884" t="s">
        <v>59</v>
      </c>
      <c r="F884" t="s">
        <v>60</v>
      </c>
      <c r="G884" t="str">
        <f>"2026-02-04 05:36:13.706"</f>
        <v>2026-02-04 05:36:13.706</v>
      </c>
      <c r="H884" t="s">
        <v>46</v>
      </c>
      <c r="I884">
        <v>0</v>
      </c>
      <c r="J884" t="s">
        <v>31</v>
      </c>
    </row>
    <row r="885" spans="1:10" x14ac:dyDescent="0.25">
      <c r="A885" s="1">
        <v>29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"2026-02-04 05:35:29.524"</f>
        <v>2026-02-04 05:35:29.524</v>
      </c>
      <c r="H885" t="s">
        <v>21</v>
      </c>
      <c r="I885">
        <v>0</v>
      </c>
      <c r="J885" t="s">
        <v>33</v>
      </c>
    </row>
    <row r="886" spans="1:10" x14ac:dyDescent="0.25">
      <c r="A886" s="1">
        <v>30</v>
      </c>
      <c r="B886" t="s">
        <v>40</v>
      </c>
      <c r="C886">
        <v>77</v>
      </c>
      <c r="D886">
        <v>1</v>
      </c>
      <c r="E886" t="s">
        <v>59</v>
      </c>
      <c r="F886" t="s">
        <v>60</v>
      </c>
      <c r="G886" t="str">
        <f>"2026-02-04 05:31:10.202"</f>
        <v>2026-02-04 05:31:10.202</v>
      </c>
      <c r="H886" t="s">
        <v>46</v>
      </c>
    </row>
    <row r="887" spans="1:10" x14ac:dyDescent="0.25">
      <c r="A887" s="1">
        <v>31</v>
      </c>
      <c r="B887" t="s">
        <v>26</v>
      </c>
      <c r="C887">
        <v>77</v>
      </c>
      <c r="D887">
        <v>1</v>
      </c>
      <c r="E887" t="s">
        <v>59</v>
      </c>
      <c r="F887" t="s">
        <v>60</v>
      </c>
      <c r="G887" t="str">
        <f>"2026-02-04 05:31:05.160"</f>
        <v>2026-02-04 05:31:05.160</v>
      </c>
      <c r="H887" t="s">
        <v>46</v>
      </c>
      <c r="I887">
        <v>0</v>
      </c>
      <c r="J887" t="s">
        <v>31</v>
      </c>
    </row>
    <row r="888" spans="1:10" x14ac:dyDescent="0.25">
      <c r="A888" s="1">
        <v>32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"2026-02-04 05:30:22.511"</f>
        <v>2026-02-04 05:30:22.511</v>
      </c>
      <c r="H888" t="s">
        <v>21</v>
      </c>
      <c r="I888">
        <v>0</v>
      </c>
      <c r="J888" t="s">
        <v>33</v>
      </c>
    </row>
    <row r="889" spans="1:10" x14ac:dyDescent="0.25">
      <c r="A889" s="1">
        <v>33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"2026-02-04 05:28:45.515"</f>
        <v>2026-02-04 05:28:45.515</v>
      </c>
      <c r="H889" t="s">
        <v>21</v>
      </c>
    </row>
    <row r="890" spans="1:10" x14ac:dyDescent="0.25">
      <c r="A890" s="1">
        <v>34</v>
      </c>
      <c r="B890" t="s">
        <v>19</v>
      </c>
      <c r="C890">
        <v>706</v>
      </c>
      <c r="D890">
        <v>4</v>
      </c>
      <c r="E890" t="s">
        <v>29</v>
      </c>
      <c r="F890" t="s">
        <v>53</v>
      </c>
      <c r="G890" t="str">
        <f>"2026-02-04 05:26:56.635"</f>
        <v>2026-02-04 05:26:56.635</v>
      </c>
      <c r="H890" t="s">
        <v>21</v>
      </c>
      <c r="I890">
        <v>0</v>
      </c>
      <c r="J890" t="s">
        <v>31</v>
      </c>
    </row>
    <row r="891" spans="1:10" x14ac:dyDescent="0.25">
      <c r="A891" s="1">
        <v>35</v>
      </c>
      <c r="B891" t="s">
        <v>19</v>
      </c>
      <c r="C891">
        <v>706</v>
      </c>
      <c r="D891">
        <v>2</v>
      </c>
      <c r="E891" t="s">
        <v>29</v>
      </c>
      <c r="F891" t="s">
        <v>30</v>
      </c>
      <c r="G891" t="str">
        <f>"2026-02-04 05:19:10.935"</f>
        <v>2026-02-04 05:19:10.935</v>
      </c>
      <c r="H891" t="s">
        <v>21</v>
      </c>
      <c r="I891">
        <v>0</v>
      </c>
      <c r="J891" t="s">
        <v>31</v>
      </c>
    </row>
    <row r="892" spans="1:10" x14ac:dyDescent="0.25">
      <c r="A892" s="1">
        <v>36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"2026-02-04 05:18:23.515"</f>
        <v>2026-02-04 05:18:23.515</v>
      </c>
      <c r="H892" t="s">
        <v>21</v>
      </c>
    </row>
    <row r="893" spans="1:10" x14ac:dyDescent="0.25">
      <c r="A893" s="1">
        <v>37</v>
      </c>
      <c r="B893" t="s">
        <v>19</v>
      </c>
      <c r="C893">
        <v>706</v>
      </c>
      <c r="D893">
        <v>4</v>
      </c>
      <c r="E893" t="s">
        <v>29</v>
      </c>
      <c r="F893" t="s">
        <v>53</v>
      </c>
      <c r="G893" t="str">
        <f>"2026-02-04 05:17:15.950"</f>
        <v>2026-02-04 05:17:15.950</v>
      </c>
      <c r="H893" t="s">
        <v>21</v>
      </c>
      <c r="I893">
        <v>0</v>
      </c>
      <c r="J893" t="s">
        <v>31</v>
      </c>
    </row>
    <row r="894" spans="1:10" x14ac:dyDescent="0.25">
      <c r="A894" s="1">
        <v>38</v>
      </c>
      <c r="B894" t="s">
        <v>19</v>
      </c>
      <c r="C894">
        <v>706</v>
      </c>
      <c r="D894">
        <v>4</v>
      </c>
      <c r="E894" t="s">
        <v>29</v>
      </c>
      <c r="F894" t="s">
        <v>53</v>
      </c>
      <c r="G894" t="str">
        <f>"2026-02-04 05:10:50.360"</f>
        <v>2026-02-04 05:10:50.360</v>
      </c>
      <c r="H894" t="s">
        <v>21</v>
      </c>
      <c r="I894">
        <v>0</v>
      </c>
      <c r="J894" t="s">
        <v>31</v>
      </c>
    </row>
    <row r="895" spans="1:10" x14ac:dyDescent="0.25">
      <c r="A895" s="1">
        <v>39</v>
      </c>
      <c r="B895" t="s">
        <v>19</v>
      </c>
      <c r="C895">
        <v>706</v>
      </c>
      <c r="D895">
        <v>4</v>
      </c>
      <c r="E895" t="s">
        <v>29</v>
      </c>
      <c r="F895" t="s">
        <v>53</v>
      </c>
      <c r="G895" t="str">
        <f>"2026-02-04 05:10:08.170"</f>
        <v>2026-02-04 05:10:08.170</v>
      </c>
      <c r="H895" t="s">
        <v>21</v>
      </c>
      <c r="I895">
        <v>0</v>
      </c>
      <c r="J895" t="s">
        <v>31</v>
      </c>
    </row>
    <row r="896" spans="1:10" x14ac:dyDescent="0.25">
      <c r="A896" s="1">
        <v>40</v>
      </c>
      <c r="B896" t="s">
        <v>19</v>
      </c>
      <c r="C896">
        <v>706</v>
      </c>
      <c r="D896">
        <v>4</v>
      </c>
      <c r="E896" t="s">
        <v>29</v>
      </c>
      <c r="F896" t="s">
        <v>53</v>
      </c>
      <c r="G896" t="str">
        <f>"2026-02-04 04:39:07.910"</f>
        <v>2026-02-04 04:39:07.910</v>
      </c>
      <c r="H896" t="s">
        <v>21</v>
      </c>
      <c r="I896">
        <v>0</v>
      </c>
      <c r="J896" t="s">
        <v>31</v>
      </c>
    </row>
    <row r="897" spans="1:10" x14ac:dyDescent="0.25">
      <c r="A897" s="1">
        <v>41</v>
      </c>
      <c r="B897" t="s">
        <v>19</v>
      </c>
      <c r="C897">
        <v>706</v>
      </c>
      <c r="D897">
        <v>4</v>
      </c>
      <c r="E897" t="s">
        <v>29</v>
      </c>
      <c r="F897" t="s">
        <v>53</v>
      </c>
      <c r="G897" t="str">
        <f>"2026-02-04 04:20:44.450"</f>
        <v>2026-02-04 04:20:44.450</v>
      </c>
      <c r="H897" t="s">
        <v>21</v>
      </c>
      <c r="I897">
        <v>0</v>
      </c>
      <c r="J897" t="s">
        <v>31</v>
      </c>
    </row>
    <row r="898" spans="1:10" x14ac:dyDescent="0.25">
      <c r="A898" s="1">
        <v>42</v>
      </c>
      <c r="B898" t="s">
        <v>19</v>
      </c>
      <c r="C898">
        <v>700</v>
      </c>
      <c r="D898">
        <v>0</v>
      </c>
      <c r="E898" t="s">
        <v>20</v>
      </c>
      <c r="F898" t="s">
        <v>20</v>
      </c>
      <c r="G898" t="str">
        <f>"2026-02-04 04:19:41.560"</f>
        <v>2026-02-04 04:19:41.560</v>
      </c>
      <c r="H898" t="s">
        <v>21</v>
      </c>
      <c r="I898">
        <v>0</v>
      </c>
      <c r="J898" t="s">
        <v>33</v>
      </c>
    </row>
    <row r="899" spans="1:10" x14ac:dyDescent="0.25">
      <c r="A899" s="1">
        <v>43</v>
      </c>
      <c r="B899" t="s">
        <v>19</v>
      </c>
      <c r="C899">
        <v>706</v>
      </c>
      <c r="D899">
        <v>2</v>
      </c>
      <c r="E899" t="s">
        <v>29</v>
      </c>
      <c r="F899" t="s">
        <v>30</v>
      </c>
      <c r="G899" t="str">
        <f>"2026-02-04 01:04:13.094"</f>
        <v>2026-02-04 01:04:13.094</v>
      </c>
      <c r="H899" t="s">
        <v>21</v>
      </c>
      <c r="I899">
        <v>0</v>
      </c>
      <c r="J899" t="s">
        <v>31</v>
      </c>
    </row>
    <row r="900" spans="1:10" x14ac:dyDescent="0.25">
      <c r="A900" s="1">
        <v>44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"2026-02-04 01:03:59.524"</f>
        <v>2026-02-04 01:03:59.524</v>
      </c>
      <c r="H900" t="s">
        <v>21</v>
      </c>
      <c r="I900">
        <v>0</v>
      </c>
      <c r="J900" t="s">
        <v>33</v>
      </c>
    </row>
    <row r="901" spans="1:10" x14ac:dyDescent="0.25">
      <c r="A901" s="1">
        <v>45</v>
      </c>
      <c r="B901" t="s">
        <v>22</v>
      </c>
      <c r="C901">
        <v>635</v>
      </c>
      <c r="D901">
        <v>1</v>
      </c>
      <c r="E901" t="s">
        <v>34</v>
      </c>
      <c r="F901" t="s">
        <v>35</v>
      </c>
      <c r="G901" t="str">
        <f>"2026-02-03 23:27:06.383"</f>
        <v>2026-02-03 23:27:06.383</v>
      </c>
      <c r="H901" t="s">
        <v>21</v>
      </c>
    </row>
    <row r="902" spans="1:10" x14ac:dyDescent="0.25">
      <c r="A902" s="1">
        <v>46</v>
      </c>
      <c r="B902" t="s">
        <v>36</v>
      </c>
      <c r="C902">
        <v>635</v>
      </c>
      <c r="D902">
        <v>1</v>
      </c>
      <c r="E902" t="s">
        <v>34</v>
      </c>
      <c r="F902" t="s">
        <v>35</v>
      </c>
      <c r="G902" t="str">
        <f>"2026-02-03 23:24:27.483"</f>
        <v>2026-02-03 23:24:27.483</v>
      </c>
      <c r="H902" t="s">
        <v>21</v>
      </c>
      <c r="I902">
        <v>4</v>
      </c>
      <c r="J902" t="s">
        <v>37</v>
      </c>
    </row>
    <row r="903" spans="1:10" x14ac:dyDescent="0.25">
      <c r="A903" s="1">
        <v>47</v>
      </c>
      <c r="B903" t="s">
        <v>22</v>
      </c>
      <c r="C903">
        <v>635</v>
      </c>
      <c r="D903">
        <v>1</v>
      </c>
      <c r="E903" t="s">
        <v>34</v>
      </c>
      <c r="F903" t="s">
        <v>35</v>
      </c>
      <c r="G903" t="str">
        <f>"2026-02-02 09:54:15.483"</f>
        <v>2026-02-02 09:54:15.483</v>
      </c>
      <c r="H903" t="s">
        <v>21</v>
      </c>
    </row>
    <row r="904" spans="1:10" x14ac:dyDescent="0.25">
      <c r="A904" s="1">
        <v>48</v>
      </c>
      <c r="B904" t="s">
        <v>36</v>
      </c>
      <c r="C904">
        <v>635</v>
      </c>
      <c r="D904">
        <v>1</v>
      </c>
      <c r="E904" t="s">
        <v>34</v>
      </c>
      <c r="F904" t="s">
        <v>35</v>
      </c>
      <c r="G904" t="str">
        <f>"2026-02-02 09:48:16.484"</f>
        <v>2026-02-02 09:48:16.484</v>
      </c>
      <c r="H904" t="s">
        <v>21</v>
      </c>
      <c r="I904">
        <v>1.76</v>
      </c>
      <c r="J904" t="s">
        <v>27</v>
      </c>
    </row>
    <row r="905" spans="1:10" x14ac:dyDescent="0.25">
      <c r="A905" s="1">
        <v>49</v>
      </c>
      <c r="B905" t="s">
        <v>22</v>
      </c>
      <c r="C905">
        <v>635</v>
      </c>
      <c r="D905">
        <v>1</v>
      </c>
      <c r="E905" t="s">
        <v>34</v>
      </c>
      <c r="F905" t="s">
        <v>35</v>
      </c>
      <c r="G905" t="str">
        <f>"2026-02-02 09:04:03.583"</f>
        <v>2026-02-02 09:04:03.583</v>
      </c>
      <c r="H905" t="s">
        <v>21</v>
      </c>
    </row>
    <row r="906" spans="1:10" x14ac:dyDescent="0.25">
      <c r="A906" s="1">
        <v>50</v>
      </c>
      <c r="B906" t="s">
        <v>36</v>
      </c>
      <c r="C906">
        <v>635</v>
      </c>
      <c r="D906">
        <v>1</v>
      </c>
      <c r="E906" t="s">
        <v>34</v>
      </c>
      <c r="F906" t="s">
        <v>35</v>
      </c>
      <c r="G906" t="str">
        <f>"2026-02-02 08:58:24.583"</f>
        <v>2026-02-02 08:58:24.583</v>
      </c>
      <c r="H906" t="s">
        <v>21</v>
      </c>
      <c r="I906">
        <v>2.4700000000000002</v>
      </c>
      <c r="J906" t="s">
        <v>37</v>
      </c>
    </row>
    <row r="907" spans="1:10" x14ac:dyDescent="0.25">
      <c r="A907" s="1">
        <v>51</v>
      </c>
      <c r="B907" t="s">
        <v>22</v>
      </c>
      <c r="C907">
        <v>635</v>
      </c>
      <c r="D907">
        <v>1</v>
      </c>
      <c r="E907" t="s">
        <v>34</v>
      </c>
      <c r="F907" t="s">
        <v>35</v>
      </c>
      <c r="G907" t="str">
        <f>"2026-02-02 05:10:42.884"</f>
        <v>2026-02-02 05:10:42.884</v>
      </c>
      <c r="H907" t="s">
        <v>21</v>
      </c>
    </row>
    <row r="908" spans="1:10" x14ac:dyDescent="0.25">
      <c r="A908" s="1">
        <v>52</v>
      </c>
      <c r="B908" t="s">
        <v>36</v>
      </c>
      <c r="C908">
        <v>635</v>
      </c>
      <c r="D908">
        <v>1</v>
      </c>
      <c r="E908" t="s">
        <v>34</v>
      </c>
      <c r="F908" t="s">
        <v>35</v>
      </c>
      <c r="G908" t="str">
        <f>"2026-02-02 05:02:04.483"</f>
        <v>2026-02-02 05:02:04.483</v>
      </c>
      <c r="H908" t="s">
        <v>21</v>
      </c>
      <c r="I908">
        <v>2.69</v>
      </c>
      <c r="J908" t="s">
        <v>37</v>
      </c>
    </row>
    <row r="909" spans="1:10" x14ac:dyDescent="0.25">
      <c r="A909" s="1">
        <v>53</v>
      </c>
      <c r="B909" t="s">
        <v>22</v>
      </c>
      <c r="C909">
        <v>635</v>
      </c>
      <c r="D909">
        <v>1</v>
      </c>
      <c r="E909" t="s">
        <v>34</v>
      </c>
      <c r="F909" t="s">
        <v>35</v>
      </c>
      <c r="G909" t="str">
        <f>"2026-02-01 12:40:55.484"</f>
        <v>2026-02-01 12:40:55.484</v>
      </c>
      <c r="H909" t="s">
        <v>21</v>
      </c>
    </row>
    <row r="910" spans="1:10" x14ac:dyDescent="0.25">
      <c r="A910" s="1">
        <v>54</v>
      </c>
      <c r="B910" t="s">
        <v>36</v>
      </c>
      <c r="C910">
        <v>635</v>
      </c>
      <c r="D910">
        <v>1</v>
      </c>
      <c r="E910" t="s">
        <v>34</v>
      </c>
      <c r="F910" t="s">
        <v>35</v>
      </c>
      <c r="G910" t="str">
        <f>"2026-02-01 12:15:16.583"</f>
        <v>2026-02-01 12:15:16.583</v>
      </c>
      <c r="H910" t="s">
        <v>21</v>
      </c>
      <c r="I910">
        <v>3.23</v>
      </c>
      <c r="J910" t="s">
        <v>37</v>
      </c>
    </row>
    <row r="911" spans="1:10" x14ac:dyDescent="0.25">
      <c r="A911" s="1">
        <v>55</v>
      </c>
      <c r="B911" t="s">
        <v>19</v>
      </c>
      <c r="C911">
        <v>706</v>
      </c>
      <c r="D911">
        <v>4</v>
      </c>
      <c r="E911" t="s">
        <v>29</v>
      </c>
      <c r="F911" t="s">
        <v>53</v>
      </c>
      <c r="G911" t="str">
        <f>"2026-01-31 14:53:54.553"</f>
        <v>2026-01-31 14:53:54.553</v>
      </c>
      <c r="H911" t="s">
        <v>21</v>
      </c>
      <c r="I911">
        <v>0</v>
      </c>
      <c r="J911" t="s">
        <v>31</v>
      </c>
    </row>
    <row r="912" spans="1:10" x14ac:dyDescent="0.25">
      <c r="A912" s="1">
        <v>56</v>
      </c>
      <c r="B912" t="s">
        <v>19</v>
      </c>
      <c r="C912">
        <v>706</v>
      </c>
      <c r="D912">
        <v>2</v>
      </c>
      <c r="E912" t="s">
        <v>29</v>
      </c>
      <c r="F912" t="s">
        <v>30</v>
      </c>
      <c r="G912" t="str">
        <f>"2026-01-31 13:15:38.353"</f>
        <v>2026-01-31 13:15:38.353</v>
      </c>
      <c r="H912" t="s">
        <v>21</v>
      </c>
      <c r="I912">
        <v>0</v>
      </c>
      <c r="J912" t="s">
        <v>31</v>
      </c>
    </row>
    <row r="913" spans="1:10" x14ac:dyDescent="0.25">
      <c r="A913" s="1">
        <v>57</v>
      </c>
      <c r="B913" t="s">
        <v>22</v>
      </c>
      <c r="C913">
        <v>635</v>
      </c>
      <c r="D913">
        <v>1</v>
      </c>
      <c r="E913" t="s">
        <v>34</v>
      </c>
      <c r="F913" t="s">
        <v>35</v>
      </c>
      <c r="G913" t="str">
        <f>"2026-01-29 13:43:55.783"</f>
        <v>2026-01-29 13:43:55.783</v>
      </c>
      <c r="H913" t="s">
        <v>21</v>
      </c>
    </row>
    <row r="914" spans="1:10" x14ac:dyDescent="0.25">
      <c r="A914" s="1">
        <v>58</v>
      </c>
      <c r="B914" t="s">
        <v>36</v>
      </c>
      <c r="C914">
        <v>635</v>
      </c>
      <c r="D914">
        <v>1</v>
      </c>
      <c r="E914" t="s">
        <v>34</v>
      </c>
      <c r="F914" t="s">
        <v>35</v>
      </c>
      <c r="G914" t="str">
        <f>"2026-01-29 13:37:26.783"</f>
        <v>2026-01-29 13:37:26.783</v>
      </c>
      <c r="H914" t="s">
        <v>21</v>
      </c>
      <c r="I914">
        <v>4.79</v>
      </c>
      <c r="J914" t="s">
        <v>37</v>
      </c>
    </row>
    <row r="915" spans="1:10" x14ac:dyDescent="0.25">
      <c r="A915" s="1">
        <v>61</v>
      </c>
      <c r="B915" t="s">
        <v>22</v>
      </c>
      <c r="C915">
        <v>635</v>
      </c>
      <c r="D915">
        <v>1</v>
      </c>
      <c r="E915" t="s">
        <v>34</v>
      </c>
      <c r="F915" t="s">
        <v>35</v>
      </c>
      <c r="G915" t="str">
        <f>"2026-01-28 11:18:16.284"</f>
        <v>2026-01-28 11:18:16.284</v>
      </c>
      <c r="H915" t="s">
        <v>21</v>
      </c>
    </row>
    <row r="916" spans="1:10" x14ac:dyDescent="0.25">
      <c r="A916" s="1">
        <v>62</v>
      </c>
      <c r="B916" t="s">
        <v>36</v>
      </c>
      <c r="C916">
        <v>635</v>
      </c>
      <c r="D916">
        <v>1</v>
      </c>
      <c r="E916" t="s">
        <v>34</v>
      </c>
      <c r="F916" t="s">
        <v>35</v>
      </c>
      <c r="G916" t="str">
        <f>"2026-01-28 11:13:57.284"</f>
        <v>2026-01-28 11:13:57.284</v>
      </c>
      <c r="H916" t="s">
        <v>21</v>
      </c>
      <c r="I916">
        <v>4.5</v>
      </c>
      <c r="J916" t="s">
        <v>27</v>
      </c>
    </row>
    <row r="917" spans="1:10" x14ac:dyDescent="0.25">
      <c r="A917" s="1">
        <v>63</v>
      </c>
      <c r="B917" t="s">
        <v>40</v>
      </c>
      <c r="C917">
        <v>115</v>
      </c>
      <c r="D917">
        <v>6</v>
      </c>
      <c r="E917" t="s">
        <v>43</v>
      </c>
      <c r="F917" t="s">
        <v>42</v>
      </c>
      <c r="G917" t="str">
        <f>"2026-01-28 07:32:44.711"</f>
        <v>2026-01-28 07:32:44.711</v>
      </c>
      <c r="H917" t="s">
        <v>21</v>
      </c>
    </row>
    <row r="918" spans="1:10" x14ac:dyDescent="0.25">
      <c r="A918" s="1">
        <v>64</v>
      </c>
      <c r="B918" t="s">
        <v>40</v>
      </c>
      <c r="C918">
        <v>215</v>
      </c>
      <c r="D918">
        <v>6</v>
      </c>
      <c r="E918" t="s">
        <v>41</v>
      </c>
      <c r="F918" t="s">
        <v>42</v>
      </c>
      <c r="G918" t="str">
        <f>"2026-01-28 07:32:44.211"</f>
        <v>2026-01-28 07:32:44.211</v>
      </c>
      <c r="H918" t="s">
        <v>21</v>
      </c>
    </row>
    <row r="919" spans="1:10" x14ac:dyDescent="0.25">
      <c r="A919" s="1">
        <v>65</v>
      </c>
      <c r="B919" t="s">
        <v>26</v>
      </c>
      <c r="C919">
        <v>115</v>
      </c>
      <c r="D919">
        <v>6</v>
      </c>
      <c r="E919" t="s">
        <v>43</v>
      </c>
      <c r="F919" t="s">
        <v>42</v>
      </c>
      <c r="G919" t="str">
        <f>"2026-01-28 07:32:39.619"</f>
        <v>2026-01-28 07:32:39.619</v>
      </c>
      <c r="H919" t="s">
        <v>21</v>
      </c>
      <c r="I919">
        <v>0</v>
      </c>
      <c r="J919" t="s">
        <v>31</v>
      </c>
    </row>
    <row r="920" spans="1:10" x14ac:dyDescent="0.25">
      <c r="A920" s="1">
        <v>66</v>
      </c>
      <c r="B920" t="s">
        <v>26</v>
      </c>
      <c r="C920">
        <v>215</v>
      </c>
      <c r="D920">
        <v>6</v>
      </c>
      <c r="E920" t="s">
        <v>41</v>
      </c>
      <c r="F920" t="s">
        <v>42</v>
      </c>
      <c r="G920" t="str">
        <f>"2026-01-28 07:32:39.139"</f>
        <v>2026-01-28 07:32:39.139</v>
      </c>
      <c r="H920" t="s">
        <v>21</v>
      </c>
      <c r="I920">
        <v>0</v>
      </c>
      <c r="J920" t="s">
        <v>31</v>
      </c>
    </row>
    <row r="921" spans="1:10" x14ac:dyDescent="0.25">
      <c r="A921" s="1">
        <v>67</v>
      </c>
      <c r="B921" t="s">
        <v>22</v>
      </c>
      <c r="C921">
        <v>6</v>
      </c>
      <c r="D921">
        <v>1</v>
      </c>
      <c r="E921" t="s">
        <v>44</v>
      </c>
      <c r="F921" t="s">
        <v>45</v>
      </c>
      <c r="G921" t="str">
        <f>"2026-01-28 07:32:39.037"</f>
        <v>2026-01-28 07:32:39.037</v>
      </c>
      <c r="H921" t="s">
        <v>46</v>
      </c>
    </row>
    <row r="922" spans="1:10" x14ac:dyDescent="0.25">
      <c r="A922" s="1">
        <v>68</v>
      </c>
      <c r="B922" t="s">
        <v>22</v>
      </c>
      <c r="C922">
        <v>75</v>
      </c>
      <c r="D922">
        <v>1</v>
      </c>
      <c r="E922" t="s">
        <v>47</v>
      </c>
      <c r="F922" t="s">
        <v>48</v>
      </c>
      <c r="G922" t="str">
        <f>"2026-01-28 07:32:39.034"</f>
        <v>2026-01-28 07:32:39.034</v>
      </c>
      <c r="H922" t="s">
        <v>49</v>
      </c>
    </row>
    <row r="923" spans="1:10" x14ac:dyDescent="0.25">
      <c r="A923" s="1">
        <v>69</v>
      </c>
      <c r="B923" t="s">
        <v>22</v>
      </c>
      <c r="C923">
        <v>74</v>
      </c>
      <c r="D923">
        <v>1</v>
      </c>
      <c r="E923" t="s">
        <v>50</v>
      </c>
      <c r="F923" t="s">
        <v>51</v>
      </c>
      <c r="G923" t="str">
        <f>"2026-01-28 07:32:39.031"</f>
        <v>2026-01-28 07:32:39.031</v>
      </c>
      <c r="H923" t="s">
        <v>52</v>
      </c>
    </row>
    <row r="924" spans="1:10" x14ac:dyDescent="0.25">
      <c r="A924" s="1">
        <v>70</v>
      </c>
      <c r="B924" t="s">
        <v>36</v>
      </c>
      <c r="C924">
        <v>75</v>
      </c>
      <c r="D924">
        <v>1</v>
      </c>
      <c r="E924" t="s">
        <v>47</v>
      </c>
      <c r="F924" t="s">
        <v>48</v>
      </c>
      <c r="G924" t="str">
        <f>"2026-01-28 07:32:27.494"</f>
        <v>2026-01-28 07:32:27.494</v>
      </c>
      <c r="H924" t="s">
        <v>49</v>
      </c>
      <c r="I924">
        <v>0</v>
      </c>
      <c r="J924" t="s">
        <v>31</v>
      </c>
    </row>
    <row r="925" spans="1:10" x14ac:dyDescent="0.25">
      <c r="A925" s="1">
        <v>71</v>
      </c>
      <c r="B925" t="s">
        <v>36</v>
      </c>
      <c r="C925">
        <v>74</v>
      </c>
      <c r="D925">
        <v>1</v>
      </c>
      <c r="E925" t="s">
        <v>50</v>
      </c>
      <c r="F925" t="s">
        <v>51</v>
      </c>
      <c r="G925" t="str">
        <f>"2026-01-28 07:32:27.488"</f>
        <v>2026-01-28 07:32:27.488</v>
      </c>
      <c r="H925" t="s">
        <v>52</v>
      </c>
      <c r="I925">
        <v>0</v>
      </c>
      <c r="J925" t="s">
        <v>31</v>
      </c>
    </row>
    <row r="926" spans="1:10" x14ac:dyDescent="0.25">
      <c r="A926" s="1">
        <v>72</v>
      </c>
      <c r="B926" t="s">
        <v>26</v>
      </c>
      <c r="C926">
        <v>6</v>
      </c>
      <c r="D926">
        <v>1</v>
      </c>
      <c r="E926" t="s">
        <v>44</v>
      </c>
      <c r="F926" t="s">
        <v>45</v>
      </c>
      <c r="G926" t="str">
        <f>"2026-01-28 07:32:27.484"</f>
        <v>2026-01-28 07:32:27.484</v>
      </c>
      <c r="H926" t="s">
        <v>46</v>
      </c>
      <c r="I926">
        <v>0</v>
      </c>
      <c r="J926" t="s">
        <v>31</v>
      </c>
    </row>
    <row r="927" spans="1:10" x14ac:dyDescent="0.25">
      <c r="A927" s="1">
        <v>76</v>
      </c>
      <c r="B927" t="s">
        <v>19</v>
      </c>
      <c r="C927">
        <v>706</v>
      </c>
      <c r="D927">
        <v>4</v>
      </c>
      <c r="E927" t="s">
        <v>29</v>
      </c>
      <c r="F927" t="s">
        <v>53</v>
      </c>
      <c r="G927" t="str">
        <f>"2026-01-27 12:56:26.693"</f>
        <v>2026-01-27 12:56:26.693</v>
      </c>
      <c r="H927" t="s">
        <v>21</v>
      </c>
      <c r="I927">
        <v>0</v>
      </c>
      <c r="J927" t="s">
        <v>31</v>
      </c>
    </row>
    <row r="928" spans="1:10" x14ac:dyDescent="0.25">
      <c r="A928" s="1">
        <v>77</v>
      </c>
      <c r="B928" t="s">
        <v>22</v>
      </c>
      <c r="C928">
        <v>635</v>
      </c>
      <c r="D928">
        <v>1</v>
      </c>
      <c r="E928" t="s">
        <v>34</v>
      </c>
      <c r="F928" t="s">
        <v>35</v>
      </c>
      <c r="G928" t="str">
        <f>"2026-01-27 08:11:01.883"</f>
        <v>2026-01-27 08:11:01.883</v>
      </c>
      <c r="H928" t="s">
        <v>21</v>
      </c>
    </row>
    <row r="929" spans="1:10" x14ac:dyDescent="0.25">
      <c r="A929" s="1">
        <v>78</v>
      </c>
      <c r="B929" t="s">
        <v>36</v>
      </c>
      <c r="C929">
        <v>635</v>
      </c>
      <c r="D929">
        <v>1</v>
      </c>
      <c r="E929" t="s">
        <v>34</v>
      </c>
      <c r="F929" t="s">
        <v>35</v>
      </c>
      <c r="G929" t="str">
        <f>"2026-01-27 08:03:38.883"</f>
        <v>2026-01-27 08:03:38.883</v>
      </c>
      <c r="H929" t="s">
        <v>21</v>
      </c>
      <c r="I929">
        <v>5.68</v>
      </c>
      <c r="J929" t="s">
        <v>37</v>
      </c>
    </row>
    <row r="930" spans="1:10" x14ac:dyDescent="0.25">
      <c r="A930" s="1">
        <v>79</v>
      </c>
      <c r="B930" t="s">
        <v>22</v>
      </c>
      <c r="C930">
        <v>635</v>
      </c>
      <c r="D930">
        <v>1</v>
      </c>
      <c r="E930" t="s">
        <v>34</v>
      </c>
      <c r="F930" t="s">
        <v>35</v>
      </c>
      <c r="G930" t="str">
        <f>"2026-01-26 08:28:41.083"</f>
        <v>2026-01-26 08:28:41.083</v>
      </c>
      <c r="H930" t="s">
        <v>21</v>
      </c>
    </row>
    <row r="931" spans="1:10" x14ac:dyDescent="0.25">
      <c r="A931" s="1">
        <v>80</v>
      </c>
      <c r="B931" t="s">
        <v>36</v>
      </c>
      <c r="C931">
        <v>635</v>
      </c>
      <c r="D931">
        <v>1</v>
      </c>
      <c r="E931" t="s">
        <v>34</v>
      </c>
      <c r="F931" t="s">
        <v>35</v>
      </c>
      <c r="G931" t="str">
        <f>"2026-01-26 08:22:58.583"</f>
        <v>2026-01-26 08:22:58.583</v>
      </c>
      <c r="H931" t="s">
        <v>21</v>
      </c>
      <c r="I931">
        <v>3.22</v>
      </c>
      <c r="J931" t="s">
        <v>37</v>
      </c>
    </row>
    <row r="932" spans="1:10" x14ac:dyDescent="0.25">
      <c r="A932" s="1">
        <v>81</v>
      </c>
      <c r="B932" t="s">
        <v>22</v>
      </c>
      <c r="C932">
        <v>635</v>
      </c>
      <c r="D932">
        <v>1</v>
      </c>
      <c r="E932" t="s">
        <v>34</v>
      </c>
      <c r="F932" t="s">
        <v>35</v>
      </c>
      <c r="G932" t="str">
        <f>"2026-01-25 14:00:45.283"</f>
        <v>2026-01-25 14:00:45.283</v>
      </c>
      <c r="H932" t="s">
        <v>21</v>
      </c>
    </row>
    <row r="933" spans="1:10" x14ac:dyDescent="0.25">
      <c r="A933" s="1">
        <v>82</v>
      </c>
      <c r="B933" t="s">
        <v>36</v>
      </c>
      <c r="C933">
        <v>635</v>
      </c>
      <c r="D933">
        <v>1</v>
      </c>
      <c r="E933" t="s">
        <v>34</v>
      </c>
      <c r="F933" t="s">
        <v>35</v>
      </c>
      <c r="G933" t="str">
        <f>"2026-01-25 13:56:50.783"</f>
        <v>2026-01-25 13:56:50.783</v>
      </c>
      <c r="H933" t="s">
        <v>21</v>
      </c>
      <c r="I933">
        <v>3.48</v>
      </c>
      <c r="J933" t="s">
        <v>27</v>
      </c>
    </row>
    <row r="934" spans="1:10" x14ac:dyDescent="0.25">
      <c r="A934" s="1">
        <v>83</v>
      </c>
      <c r="B934" t="s">
        <v>19</v>
      </c>
      <c r="C934">
        <v>700</v>
      </c>
      <c r="D934">
        <v>0</v>
      </c>
      <c r="E934" t="s">
        <v>20</v>
      </c>
      <c r="F934" t="s">
        <v>20</v>
      </c>
      <c r="G934" t="str">
        <f>"2026-01-24 15:26:31.503"</f>
        <v>2026-01-24 15:26:31.503</v>
      </c>
      <c r="H934" t="s">
        <v>21</v>
      </c>
      <c r="I934">
        <v>0</v>
      </c>
      <c r="J934" t="s">
        <v>33</v>
      </c>
    </row>
    <row r="935" spans="1:10" x14ac:dyDescent="0.25">
      <c r="A935" s="1">
        <v>84</v>
      </c>
      <c r="B935" t="s">
        <v>19</v>
      </c>
      <c r="C935">
        <v>706</v>
      </c>
      <c r="D935">
        <v>2</v>
      </c>
      <c r="E935" t="s">
        <v>29</v>
      </c>
      <c r="F935" t="s">
        <v>30</v>
      </c>
      <c r="G935" t="str">
        <f>"2026-01-24 15:13:40.562"</f>
        <v>2026-01-24 15:13:40.562</v>
      </c>
      <c r="H935" t="s">
        <v>21</v>
      </c>
      <c r="I935">
        <v>0</v>
      </c>
      <c r="J935" t="s">
        <v>31</v>
      </c>
    </row>
    <row r="936" spans="1:10" x14ac:dyDescent="0.25">
      <c r="A936" s="1">
        <v>85</v>
      </c>
      <c r="B936" t="s">
        <v>19</v>
      </c>
      <c r="C936">
        <v>706</v>
      </c>
      <c r="D936">
        <v>2</v>
      </c>
      <c r="E936" t="s">
        <v>29</v>
      </c>
      <c r="F936" t="s">
        <v>30</v>
      </c>
      <c r="G936" t="str">
        <f>"2026-01-24 15:13:12.762"</f>
        <v>2026-01-24 15:13:12.762</v>
      </c>
      <c r="H936" t="s">
        <v>21</v>
      </c>
      <c r="I936">
        <v>0</v>
      </c>
      <c r="J936" t="s">
        <v>31</v>
      </c>
    </row>
    <row r="937" spans="1:10" x14ac:dyDescent="0.25">
      <c r="A937" s="1">
        <v>86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"2026-01-24 15:07:55.502"</f>
        <v>2026-01-24 15:07:55.502</v>
      </c>
      <c r="H937" t="s">
        <v>21</v>
      </c>
      <c r="I937">
        <v>0</v>
      </c>
      <c r="J937" t="s">
        <v>33</v>
      </c>
    </row>
    <row r="938" spans="1:10" x14ac:dyDescent="0.25">
      <c r="A938" s="1">
        <v>87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"2026-01-24 12:13:07.515"</f>
        <v>2026-01-24 12:13:07.515</v>
      </c>
      <c r="H938" t="s">
        <v>21</v>
      </c>
    </row>
    <row r="939" spans="1:10" x14ac:dyDescent="0.25">
      <c r="A939" s="1">
        <v>88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"2026-01-24 11:57:41.747"</f>
        <v>2026-01-24 11:57:41.747</v>
      </c>
      <c r="H939" t="s">
        <v>21</v>
      </c>
      <c r="I939">
        <v>0</v>
      </c>
      <c r="J939" t="s">
        <v>33</v>
      </c>
    </row>
    <row r="940" spans="1:10" x14ac:dyDescent="0.25">
      <c r="A940" s="1">
        <v>89</v>
      </c>
      <c r="B940" t="s">
        <v>22</v>
      </c>
      <c r="C940">
        <v>635</v>
      </c>
      <c r="D940">
        <v>1</v>
      </c>
      <c r="E940" t="s">
        <v>34</v>
      </c>
      <c r="F940" t="s">
        <v>35</v>
      </c>
      <c r="G940" t="str">
        <f>"2026-01-23 20:26:21.829"</f>
        <v>2026-01-23 20:26:21.829</v>
      </c>
      <c r="H940" t="s">
        <v>21</v>
      </c>
    </row>
    <row r="941" spans="1:10" x14ac:dyDescent="0.25">
      <c r="A941" s="1">
        <v>90</v>
      </c>
      <c r="B941" t="s">
        <v>36</v>
      </c>
      <c r="C941">
        <v>635</v>
      </c>
      <c r="D941">
        <v>1</v>
      </c>
      <c r="E941" t="s">
        <v>34</v>
      </c>
      <c r="F941" t="s">
        <v>35</v>
      </c>
      <c r="G941" t="str">
        <f>"2026-01-23 20:21:24.829"</f>
        <v>2026-01-23 20:21:24.829</v>
      </c>
      <c r="H941" t="s">
        <v>21</v>
      </c>
      <c r="I941">
        <v>5.41</v>
      </c>
      <c r="J941" t="s">
        <v>37</v>
      </c>
    </row>
    <row r="942" spans="1:10" x14ac:dyDescent="0.25">
      <c r="A942" s="1">
        <v>92</v>
      </c>
      <c r="B942" t="s">
        <v>19</v>
      </c>
      <c r="C942">
        <v>706</v>
      </c>
      <c r="D942">
        <v>4</v>
      </c>
      <c r="E942" t="s">
        <v>29</v>
      </c>
      <c r="F942" t="s">
        <v>53</v>
      </c>
      <c r="G942" t="str">
        <f>"2026-01-22 13:18:15.481"</f>
        <v>2026-01-22 13:18:15.481</v>
      </c>
      <c r="H942" t="s">
        <v>21</v>
      </c>
      <c r="I942">
        <v>0</v>
      </c>
      <c r="J942" t="s">
        <v>31</v>
      </c>
    </row>
    <row r="943" spans="1:10" x14ac:dyDescent="0.25">
      <c r="A943" s="1">
        <v>94</v>
      </c>
      <c r="B943" t="s">
        <v>22</v>
      </c>
      <c r="C943">
        <v>635</v>
      </c>
      <c r="D943">
        <v>1</v>
      </c>
      <c r="E943" t="s">
        <v>34</v>
      </c>
      <c r="F943" t="s">
        <v>35</v>
      </c>
      <c r="G943" t="str">
        <f>"2026-01-21 21:12:18.829"</f>
        <v>2026-01-21 21:12:18.829</v>
      </c>
      <c r="H943" t="s">
        <v>21</v>
      </c>
    </row>
    <row r="944" spans="1:10" x14ac:dyDescent="0.25">
      <c r="A944" s="1">
        <v>95</v>
      </c>
      <c r="B944" t="s">
        <v>36</v>
      </c>
      <c r="C944">
        <v>635</v>
      </c>
      <c r="D944">
        <v>1</v>
      </c>
      <c r="E944" t="s">
        <v>34</v>
      </c>
      <c r="F944" t="s">
        <v>35</v>
      </c>
      <c r="G944" t="str">
        <f>"2026-01-21 21:05:40.829"</f>
        <v>2026-01-21 21:05:40.829</v>
      </c>
      <c r="H944" t="s">
        <v>21</v>
      </c>
      <c r="I944">
        <v>2.94</v>
      </c>
      <c r="J944" t="s">
        <v>37</v>
      </c>
    </row>
    <row r="945" spans="1:10" x14ac:dyDescent="0.25">
      <c r="A945" s="1">
        <v>96</v>
      </c>
      <c r="B945" t="s">
        <v>22</v>
      </c>
      <c r="C945">
        <v>635</v>
      </c>
      <c r="D945">
        <v>1</v>
      </c>
      <c r="E945" t="s">
        <v>34</v>
      </c>
      <c r="F945" t="s">
        <v>35</v>
      </c>
      <c r="G945" t="str">
        <f>"2026-01-21 18:53:06.529"</f>
        <v>2026-01-21 18:53:06.529</v>
      </c>
      <c r="H945" t="s">
        <v>21</v>
      </c>
    </row>
    <row r="946" spans="1:10" x14ac:dyDescent="0.25">
      <c r="A946" s="1">
        <v>97</v>
      </c>
      <c r="B946" t="s">
        <v>36</v>
      </c>
      <c r="C946">
        <v>635</v>
      </c>
      <c r="D946">
        <v>1</v>
      </c>
      <c r="E946" t="s">
        <v>34</v>
      </c>
      <c r="F946" t="s">
        <v>35</v>
      </c>
      <c r="G946" t="str">
        <f>"2026-01-21 18:27:22.029"</f>
        <v>2026-01-21 18:27:22.029</v>
      </c>
      <c r="H946" t="s">
        <v>21</v>
      </c>
      <c r="I946">
        <v>5.7</v>
      </c>
      <c r="J946" t="s">
        <v>37</v>
      </c>
    </row>
    <row r="947" spans="1:10" x14ac:dyDescent="0.25">
      <c r="A947" s="1">
        <v>98</v>
      </c>
      <c r="B947" t="s">
        <v>22</v>
      </c>
      <c r="C947">
        <v>635</v>
      </c>
      <c r="D947">
        <v>1</v>
      </c>
      <c r="E947" t="s">
        <v>34</v>
      </c>
      <c r="F947" t="s">
        <v>35</v>
      </c>
      <c r="G947" t="str">
        <f>"2026-01-21 15:13:02.329"</f>
        <v>2026-01-21 15:13:02.329</v>
      </c>
      <c r="H947" t="s">
        <v>21</v>
      </c>
    </row>
    <row r="948" spans="1:10" x14ac:dyDescent="0.25">
      <c r="A948" s="1">
        <v>99</v>
      </c>
      <c r="B948" t="s">
        <v>36</v>
      </c>
      <c r="C948">
        <v>635</v>
      </c>
      <c r="D948">
        <v>1</v>
      </c>
      <c r="E948" t="s">
        <v>34</v>
      </c>
      <c r="F948" t="s">
        <v>35</v>
      </c>
      <c r="G948" t="str">
        <f>"2026-01-21 15:07:44.329"</f>
        <v>2026-01-21 15:07:44.329</v>
      </c>
      <c r="H948" t="s">
        <v>21</v>
      </c>
      <c r="I948">
        <v>6.01</v>
      </c>
      <c r="J948" t="s">
        <v>37</v>
      </c>
    </row>
    <row r="949" spans="1:10" x14ac:dyDescent="0.25">
      <c r="A949" s="1">
        <v>0</v>
      </c>
      <c r="B949" t="s">
        <v>22</v>
      </c>
      <c r="C949">
        <v>635</v>
      </c>
      <c r="D949">
        <v>1</v>
      </c>
      <c r="E949" t="s">
        <v>34</v>
      </c>
      <c r="F949" t="s">
        <v>35</v>
      </c>
      <c r="G949" t="str">
        <f>"2026-01-20 20:41:42.129"</f>
        <v>2026-01-20 20:41:42.129</v>
      </c>
      <c r="H949" t="s">
        <v>21</v>
      </c>
    </row>
    <row r="950" spans="1:10" x14ac:dyDescent="0.25">
      <c r="A950" s="1">
        <v>1</v>
      </c>
      <c r="B950" t="s">
        <v>36</v>
      </c>
      <c r="C950">
        <v>635</v>
      </c>
      <c r="D950">
        <v>1</v>
      </c>
      <c r="E950" t="s">
        <v>34</v>
      </c>
      <c r="F950" t="s">
        <v>35</v>
      </c>
      <c r="G950" t="str">
        <f>"2026-01-20 20:35:23.129"</f>
        <v>2026-01-20 20:35:23.129</v>
      </c>
      <c r="H950" t="s">
        <v>21</v>
      </c>
      <c r="I950">
        <v>3.21</v>
      </c>
      <c r="J950" t="s">
        <v>37</v>
      </c>
    </row>
    <row r="951" spans="1:10" x14ac:dyDescent="0.25">
      <c r="A951" s="1">
        <v>2</v>
      </c>
      <c r="B951" t="s">
        <v>22</v>
      </c>
      <c r="C951">
        <v>635</v>
      </c>
      <c r="D951">
        <v>1</v>
      </c>
      <c r="E951" t="s">
        <v>34</v>
      </c>
      <c r="F951" t="s">
        <v>35</v>
      </c>
      <c r="G951" t="str">
        <f>"2026-01-19 12:09:17.629"</f>
        <v>2026-01-19 12:09:17.629</v>
      </c>
      <c r="H951" t="s">
        <v>21</v>
      </c>
    </row>
    <row r="952" spans="1:10" x14ac:dyDescent="0.25">
      <c r="A952" s="1">
        <v>3</v>
      </c>
      <c r="B952" t="s">
        <v>36</v>
      </c>
      <c r="C952">
        <v>635</v>
      </c>
      <c r="D952">
        <v>1</v>
      </c>
      <c r="E952" t="s">
        <v>34</v>
      </c>
      <c r="F952" t="s">
        <v>35</v>
      </c>
      <c r="G952" t="str">
        <f>"2026-01-19 12:05:17.129"</f>
        <v>2026-01-19 12:05:17.129</v>
      </c>
      <c r="H952" t="s">
        <v>21</v>
      </c>
      <c r="I952">
        <v>3.57</v>
      </c>
      <c r="J952" t="s">
        <v>37</v>
      </c>
    </row>
    <row r="953" spans="1:10" x14ac:dyDescent="0.25">
      <c r="A953" s="1">
        <v>4</v>
      </c>
      <c r="B953" t="s">
        <v>22</v>
      </c>
      <c r="C953">
        <v>635</v>
      </c>
      <c r="D953">
        <v>1</v>
      </c>
      <c r="E953" t="s">
        <v>34</v>
      </c>
      <c r="F953" t="s">
        <v>35</v>
      </c>
      <c r="G953" t="str">
        <f>"2026-01-19 08:20:42.029"</f>
        <v>2026-01-19 08:20:42.029</v>
      </c>
      <c r="H953" t="s">
        <v>21</v>
      </c>
    </row>
    <row r="954" spans="1:10" x14ac:dyDescent="0.25">
      <c r="A954" s="1">
        <v>5</v>
      </c>
      <c r="B954" t="s">
        <v>36</v>
      </c>
      <c r="C954">
        <v>635</v>
      </c>
      <c r="D954">
        <v>1</v>
      </c>
      <c r="E954" t="s">
        <v>34</v>
      </c>
      <c r="F954" t="s">
        <v>35</v>
      </c>
      <c r="G954" t="str">
        <f>"2026-01-19 08:16:26.529"</f>
        <v>2026-01-19 08:16:26.529</v>
      </c>
      <c r="H954" t="s">
        <v>21</v>
      </c>
      <c r="I954">
        <v>5.1100000000000003</v>
      </c>
      <c r="J954" t="s">
        <v>37</v>
      </c>
    </row>
    <row r="955" spans="1:10" x14ac:dyDescent="0.25">
      <c r="A955" s="1">
        <v>6</v>
      </c>
      <c r="B955" t="s">
        <v>22</v>
      </c>
      <c r="C955">
        <v>635</v>
      </c>
      <c r="D955">
        <v>1</v>
      </c>
      <c r="E955" t="s">
        <v>34</v>
      </c>
      <c r="F955" t="s">
        <v>35</v>
      </c>
      <c r="G955" t="str">
        <f>"2026-01-18 21:45:26.529"</f>
        <v>2026-01-18 21:45:26.529</v>
      </c>
      <c r="H955" t="s">
        <v>21</v>
      </c>
    </row>
    <row r="956" spans="1:10" x14ac:dyDescent="0.25">
      <c r="A956" s="1">
        <v>7</v>
      </c>
      <c r="B956" t="s">
        <v>36</v>
      </c>
      <c r="C956">
        <v>635</v>
      </c>
      <c r="D956">
        <v>1</v>
      </c>
      <c r="E956" t="s">
        <v>34</v>
      </c>
      <c r="F956" t="s">
        <v>35</v>
      </c>
      <c r="G956" t="str">
        <f>"2026-01-18 21:43:00.029"</f>
        <v>2026-01-18 21:43:00.029</v>
      </c>
      <c r="H956" t="s">
        <v>21</v>
      </c>
      <c r="I956">
        <v>0.31</v>
      </c>
      <c r="J956" t="s">
        <v>37</v>
      </c>
    </row>
    <row r="957" spans="1:10" x14ac:dyDescent="0.25">
      <c r="A957" s="1">
        <v>8</v>
      </c>
      <c r="B957" t="s">
        <v>19</v>
      </c>
      <c r="C957">
        <v>700</v>
      </c>
      <c r="D957">
        <v>0</v>
      </c>
      <c r="E957" t="s">
        <v>20</v>
      </c>
      <c r="F957" t="s">
        <v>20</v>
      </c>
      <c r="G957" t="str">
        <f>"2026-01-18 11:47:58.551"</f>
        <v>2026-01-18 11:47:58.551</v>
      </c>
      <c r="H957" t="s">
        <v>21</v>
      </c>
      <c r="I957">
        <v>0</v>
      </c>
      <c r="J957" t="s">
        <v>33</v>
      </c>
    </row>
    <row r="958" spans="1:10" s="3" customFormat="1" x14ac:dyDescent="0.25">
      <c r="A958" s="2">
        <v>9</v>
      </c>
      <c r="B958" s="3" t="s">
        <v>22</v>
      </c>
      <c r="C958" s="3">
        <v>647</v>
      </c>
      <c r="D958" s="3">
        <v>1</v>
      </c>
      <c r="E958" s="3" t="s">
        <v>54</v>
      </c>
      <c r="F958" s="3" t="s">
        <v>55</v>
      </c>
      <c r="G958" s="3" t="str">
        <f>"2026-01-18 04:59:22.660"</f>
        <v>2026-01-18 04:59:22.660</v>
      </c>
      <c r="H958" s="3" t="s">
        <v>21</v>
      </c>
    </row>
    <row r="959" spans="1:10" s="3" customFormat="1" x14ac:dyDescent="0.25">
      <c r="A959" s="2">
        <v>10</v>
      </c>
      <c r="B959" s="3" t="s">
        <v>36</v>
      </c>
      <c r="C959" s="3">
        <v>647</v>
      </c>
      <c r="D959" s="3">
        <v>1</v>
      </c>
      <c r="E959" s="3" t="s">
        <v>54</v>
      </c>
      <c r="F959" s="3" t="s">
        <v>55</v>
      </c>
      <c r="G959" s="3" t="str">
        <f>"2026-01-18 04:59:18.160"</f>
        <v>2026-01-18 04:59:18.160</v>
      </c>
      <c r="H959" s="3" t="s">
        <v>21</v>
      </c>
      <c r="I959" s="3">
        <v>17.329999999999998</v>
      </c>
      <c r="J959" s="3" t="s">
        <v>27</v>
      </c>
    </row>
    <row r="960" spans="1:10" x14ac:dyDescent="0.25">
      <c r="A960" s="1">
        <v>11</v>
      </c>
      <c r="B960" t="s">
        <v>22</v>
      </c>
      <c r="C960">
        <v>635</v>
      </c>
      <c r="D960">
        <v>1</v>
      </c>
      <c r="E960" t="s">
        <v>34</v>
      </c>
      <c r="F960" t="s">
        <v>35</v>
      </c>
      <c r="G960" t="str">
        <f>"2026-01-17 09:34:32.259"</f>
        <v>2026-01-17 09:34:32.259</v>
      </c>
      <c r="H960" t="s">
        <v>21</v>
      </c>
    </row>
    <row r="961" spans="1:10" x14ac:dyDescent="0.25">
      <c r="A961" s="1">
        <v>12</v>
      </c>
      <c r="B961" t="s">
        <v>36</v>
      </c>
      <c r="C961">
        <v>635</v>
      </c>
      <c r="D961">
        <v>1</v>
      </c>
      <c r="E961" t="s">
        <v>34</v>
      </c>
      <c r="F961" t="s">
        <v>35</v>
      </c>
      <c r="G961" t="str">
        <f>"2026-01-17 09:28:27.259"</f>
        <v>2026-01-17 09:28:27.259</v>
      </c>
      <c r="H961" t="s">
        <v>21</v>
      </c>
      <c r="I961">
        <v>0.11</v>
      </c>
      <c r="J961" t="s">
        <v>28</v>
      </c>
    </row>
    <row r="962" spans="1:10" x14ac:dyDescent="0.25">
      <c r="A962" s="1">
        <v>13</v>
      </c>
      <c r="B962" t="s">
        <v>22</v>
      </c>
      <c r="C962">
        <v>635</v>
      </c>
      <c r="D962">
        <v>1</v>
      </c>
      <c r="E962" t="s">
        <v>34</v>
      </c>
      <c r="F962" t="s">
        <v>35</v>
      </c>
      <c r="G962" t="str">
        <f>"2026-01-17 04:08:51.259"</f>
        <v>2026-01-17 04:08:51.259</v>
      </c>
      <c r="H962" t="s">
        <v>21</v>
      </c>
    </row>
    <row r="963" spans="1:10" x14ac:dyDescent="0.25">
      <c r="A963" s="1">
        <v>14</v>
      </c>
      <c r="B963" t="s">
        <v>36</v>
      </c>
      <c r="C963">
        <v>635</v>
      </c>
      <c r="D963">
        <v>1</v>
      </c>
      <c r="E963" t="s">
        <v>34</v>
      </c>
      <c r="F963" t="s">
        <v>35</v>
      </c>
      <c r="G963" t="str">
        <f>"2026-01-17 04:04:03.759"</f>
        <v>2026-01-17 04:04:03.759</v>
      </c>
      <c r="H963" t="s">
        <v>21</v>
      </c>
      <c r="I963">
        <v>4.5199999999999996</v>
      </c>
      <c r="J963" t="s">
        <v>37</v>
      </c>
    </row>
    <row r="964" spans="1:10" x14ac:dyDescent="0.25">
      <c r="A964" s="1">
        <v>15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"2026-01-16 09:34:12.524"</f>
        <v>2026-01-16 09:34:12.524</v>
      </c>
      <c r="H964" t="s">
        <v>21</v>
      </c>
    </row>
    <row r="965" spans="1:10" x14ac:dyDescent="0.25">
      <c r="A965" s="1">
        <v>16</v>
      </c>
      <c r="B965" t="s">
        <v>22</v>
      </c>
      <c r="C965">
        <v>635</v>
      </c>
      <c r="D965">
        <v>1</v>
      </c>
      <c r="E965" t="s">
        <v>34</v>
      </c>
      <c r="F965" t="s">
        <v>35</v>
      </c>
      <c r="G965" t="str">
        <f>"2026-01-15 12:01:50.840"</f>
        <v>2026-01-15 12:01:50.840</v>
      </c>
      <c r="H965" t="s">
        <v>21</v>
      </c>
    </row>
    <row r="966" spans="1:10" x14ac:dyDescent="0.25">
      <c r="A966" s="1">
        <v>17</v>
      </c>
      <c r="B966" t="s">
        <v>36</v>
      </c>
      <c r="C966">
        <v>635</v>
      </c>
      <c r="D966">
        <v>1</v>
      </c>
      <c r="E966" t="s">
        <v>34</v>
      </c>
      <c r="F966" t="s">
        <v>35</v>
      </c>
      <c r="G966" t="str">
        <f>"2026-01-15 11:59:56.340"</f>
        <v>2026-01-15 11:59:56.340</v>
      </c>
      <c r="H966" t="s">
        <v>21</v>
      </c>
      <c r="I966">
        <v>6.12</v>
      </c>
      <c r="J966" t="s">
        <v>37</v>
      </c>
    </row>
    <row r="967" spans="1:10" x14ac:dyDescent="0.25">
      <c r="A967" s="1">
        <v>18</v>
      </c>
      <c r="B967" t="s">
        <v>22</v>
      </c>
      <c r="C967">
        <v>635</v>
      </c>
      <c r="D967">
        <v>1</v>
      </c>
      <c r="E967" t="s">
        <v>34</v>
      </c>
      <c r="F967" t="s">
        <v>35</v>
      </c>
      <c r="G967" t="str">
        <f>"2026-01-15 11:09:43.940"</f>
        <v>2026-01-15 11:09:43.940</v>
      </c>
      <c r="H967" t="s">
        <v>21</v>
      </c>
    </row>
    <row r="968" spans="1:10" x14ac:dyDescent="0.25">
      <c r="A968" s="1">
        <v>19</v>
      </c>
      <c r="B968" t="s">
        <v>36</v>
      </c>
      <c r="C968">
        <v>635</v>
      </c>
      <c r="D968">
        <v>1</v>
      </c>
      <c r="E968" t="s">
        <v>34</v>
      </c>
      <c r="F968" t="s">
        <v>35</v>
      </c>
      <c r="G968" t="str">
        <f>"2026-01-15 11:05:26.440"</f>
        <v>2026-01-15 11:05:26.440</v>
      </c>
      <c r="H968" t="s">
        <v>21</v>
      </c>
      <c r="I968">
        <v>6.46</v>
      </c>
      <c r="J968" t="s">
        <v>37</v>
      </c>
    </row>
    <row r="969" spans="1:10" x14ac:dyDescent="0.25">
      <c r="A969" s="1">
        <v>20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"2026-01-15 10:24:07.503"</f>
        <v>2026-01-15 10:24:07.503</v>
      </c>
      <c r="H969" t="s">
        <v>21</v>
      </c>
    </row>
    <row r="970" spans="1:10" x14ac:dyDescent="0.25">
      <c r="A970" s="1">
        <v>21</v>
      </c>
      <c r="B970" t="s">
        <v>22</v>
      </c>
      <c r="C970">
        <v>61</v>
      </c>
      <c r="D970">
        <v>2</v>
      </c>
      <c r="E970" t="s">
        <v>66</v>
      </c>
      <c r="F970" t="s">
        <v>67</v>
      </c>
      <c r="G970" t="str">
        <f>"2026-01-15 04:27:45.728"</f>
        <v>2026-01-15 04:27:45.728</v>
      </c>
      <c r="H970" t="s">
        <v>21</v>
      </c>
    </row>
    <row r="971" spans="1:10" x14ac:dyDescent="0.25">
      <c r="A971" s="1">
        <v>22</v>
      </c>
      <c r="B971" t="s">
        <v>26</v>
      </c>
      <c r="C971">
        <v>61</v>
      </c>
      <c r="D971">
        <v>2</v>
      </c>
      <c r="E971" t="s">
        <v>66</v>
      </c>
      <c r="F971" t="s">
        <v>67</v>
      </c>
      <c r="G971" t="str">
        <f>"2026-01-15 04:26:22.829"</f>
        <v>2026-01-15 04:26:22.829</v>
      </c>
      <c r="H971" t="s">
        <v>21</v>
      </c>
      <c r="I971">
        <v>35.409999999999997</v>
      </c>
      <c r="J971" t="s">
        <v>27</v>
      </c>
    </row>
    <row r="972" spans="1:10" x14ac:dyDescent="0.25">
      <c r="A972" s="1">
        <v>23</v>
      </c>
      <c r="B972" t="s">
        <v>22</v>
      </c>
      <c r="C972">
        <v>635</v>
      </c>
      <c r="D972">
        <v>1</v>
      </c>
      <c r="E972" t="s">
        <v>34</v>
      </c>
      <c r="F972" t="s">
        <v>35</v>
      </c>
      <c r="G972" t="str">
        <f>"2026-01-14 12:29:30.328"</f>
        <v>2026-01-14 12:29:30.328</v>
      </c>
      <c r="H972" t="s">
        <v>21</v>
      </c>
    </row>
    <row r="973" spans="1:10" x14ac:dyDescent="0.25">
      <c r="A973" s="1">
        <v>24</v>
      </c>
      <c r="B973" t="s">
        <v>36</v>
      </c>
      <c r="C973">
        <v>635</v>
      </c>
      <c r="D973">
        <v>1</v>
      </c>
      <c r="E973" t="s">
        <v>34</v>
      </c>
      <c r="F973" t="s">
        <v>35</v>
      </c>
      <c r="G973" t="str">
        <f>"2026-01-14 12:21:47.828"</f>
        <v>2026-01-14 12:21:47.828</v>
      </c>
      <c r="H973" t="s">
        <v>21</v>
      </c>
      <c r="I973">
        <v>-0.14000000000000001</v>
      </c>
      <c r="J973" t="s">
        <v>28</v>
      </c>
    </row>
    <row r="974" spans="1:10" x14ac:dyDescent="0.25">
      <c r="A974" s="1">
        <v>26</v>
      </c>
      <c r="B974" t="s">
        <v>22</v>
      </c>
      <c r="C974">
        <v>635</v>
      </c>
      <c r="D974">
        <v>1</v>
      </c>
      <c r="E974" t="s">
        <v>34</v>
      </c>
      <c r="F974" t="s">
        <v>35</v>
      </c>
      <c r="G974" t="str">
        <f>"2026-01-14 09:00:16.128"</f>
        <v>2026-01-14 09:00:16.128</v>
      </c>
      <c r="H974" t="s">
        <v>21</v>
      </c>
    </row>
    <row r="975" spans="1:10" x14ac:dyDescent="0.25">
      <c r="A975" s="1">
        <v>27</v>
      </c>
      <c r="B975" t="s">
        <v>36</v>
      </c>
      <c r="C975">
        <v>635</v>
      </c>
      <c r="D975">
        <v>1</v>
      </c>
      <c r="E975" t="s">
        <v>34</v>
      </c>
      <c r="F975" t="s">
        <v>35</v>
      </c>
      <c r="G975" t="str">
        <f>"2026-01-14 08:55:08.628"</f>
        <v>2026-01-14 08:55:08.628</v>
      </c>
      <c r="H975" t="s">
        <v>21</v>
      </c>
      <c r="I975">
        <v>0.76</v>
      </c>
      <c r="J975" t="s">
        <v>37</v>
      </c>
    </row>
    <row r="976" spans="1:10" x14ac:dyDescent="0.25">
      <c r="A976" s="1">
        <v>28</v>
      </c>
      <c r="B976" t="s">
        <v>22</v>
      </c>
      <c r="C976">
        <v>98</v>
      </c>
      <c r="D976">
        <v>1</v>
      </c>
      <c r="E976" t="s">
        <v>99</v>
      </c>
      <c r="F976" t="s">
        <v>100</v>
      </c>
      <c r="G976" t="str">
        <f>"2026-01-14 08:38:35.828"</f>
        <v>2026-01-14 08:38:35.828</v>
      </c>
      <c r="H976" t="s">
        <v>21</v>
      </c>
    </row>
    <row r="977" spans="1:10" x14ac:dyDescent="0.25">
      <c r="A977" s="1">
        <v>29</v>
      </c>
      <c r="B977" t="s">
        <v>36</v>
      </c>
      <c r="C977">
        <v>98</v>
      </c>
      <c r="D977">
        <v>1</v>
      </c>
      <c r="E977" t="s">
        <v>99</v>
      </c>
      <c r="F977" t="s">
        <v>100</v>
      </c>
      <c r="G977" t="str">
        <f>"2026-01-14 08:38:34.829"</f>
        <v>2026-01-14 08:38:34.829</v>
      </c>
      <c r="H977" t="s">
        <v>21</v>
      </c>
      <c r="I977">
        <v>0</v>
      </c>
      <c r="J977" t="s">
        <v>28</v>
      </c>
    </row>
    <row r="978" spans="1:10" x14ac:dyDescent="0.25">
      <c r="A978" s="1">
        <v>30</v>
      </c>
      <c r="B978" t="s">
        <v>19</v>
      </c>
      <c r="C978">
        <v>700</v>
      </c>
      <c r="D978">
        <v>0</v>
      </c>
      <c r="E978" t="s">
        <v>20</v>
      </c>
      <c r="F978" t="s">
        <v>20</v>
      </c>
      <c r="G978" t="str">
        <f>"2026-01-14 05:20:45.488"</f>
        <v>2026-01-14 05:20:45.488</v>
      </c>
      <c r="H978" t="s">
        <v>21</v>
      </c>
    </row>
    <row r="979" spans="1:10" x14ac:dyDescent="0.25">
      <c r="A979" s="1">
        <v>31</v>
      </c>
      <c r="B979" t="s">
        <v>19</v>
      </c>
      <c r="C979">
        <v>706</v>
      </c>
      <c r="D979">
        <v>4</v>
      </c>
      <c r="E979" t="s">
        <v>29</v>
      </c>
      <c r="F979" t="s">
        <v>53</v>
      </c>
      <c r="G979" t="str">
        <f>"2026-01-14 04:00:50.035"</f>
        <v>2026-01-14 04:00:50.035</v>
      </c>
      <c r="H979" t="s">
        <v>21</v>
      </c>
      <c r="I979">
        <v>0</v>
      </c>
      <c r="J979" t="s">
        <v>31</v>
      </c>
    </row>
    <row r="980" spans="1:10" x14ac:dyDescent="0.25">
      <c r="A980" s="1">
        <v>32</v>
      </c>
      <c r="B980" t="s">
        <v>19</v>
      </c>
      <c r="C980">
        <v>706</v>
      </c>
      <c r="D980">
        <v>4</v>
      </c>
      <c r="E980" t="s">
        <v>29</v>
      </c>
      <c r="F980" t="s">
        <v>53</v>
      </c>
      <c r="G980" t="str">
        <f>"2026-01-14 04:00:34.415"</f>
        <v>2026-01-14 04:00:34.415</v>
      </c>
      <c r="H980" t="s">
        <v>21</v>
      </c>
      <c r="I980">
        <v>0</v>
      </c>
      <c r="J980" t="s">
        <v>31</v>
      </c>
    </row>
    <row r="981" spans="1:10" x14ac:dyDescent="0.25">
      <c r="A981" s="1">
        <v>33</v>
      </c>
      <c r="B981" t="s">
        <v>19</v>
      </c>
      <c r="C981">
        <v>706</v>
      </c>
      <c r="D981">
        <v>4</v>
      </c>
      <c r="E981" t="s">
        <v>29</v>
      </c>
      <c r="F981" t="s">
        <v>53</v>
      </c>
      <c r="G981" t="str">
        <f>"2026-01-14 03:53:39.935"</f>
        <v>2026-01-14 03:53:39.935</v>
      </c>
      <c r="H981" t="s">
        <v>21</v>
      </c>
      <c r="I981">
        <v>0</v>
      </c>
      <c r="J981" t="s">
        <v>31</v>
      </c>
    </row>
    <row r="982" spans="1:10" x14ac:dyDescent="0.25">
      <c r="A982" s="1">
        <v>34</v>
      </c>
      <c r="B982" t="s">
        <v>19</v>
      </c>
      <c r="C982">
        <v>706</v>
      </c>
      <c r="D982">
        <v>4</v>
      </c>
      <c r="E982" t="s">
        <v>29</v>
      </c>
      <c r="F982" t="s">
        <v>53</v>
      </c>
      <c r="G982" t="str">
        <f>"2026-01-14 03:53:16.445"</f>
        <v>2026-01-14 03:53:16.445</v>
      </c>
      <c r="H982" t="s">
        <v>21</v>
      </c>
      <c r="I982">
        <v>0</v>
      </c>
      <c r="J982" t="s">
        <v>31</v>
      </c>
    </row>
    <row r="983" spans="1:10" x14ac:dyDescent="0.25">
      <c r="A983" s="1">
        <v>35</v>
      </c>
      <c r="B983" t="s">
        <v>19</v>
      </c>
      <c r="C983">
        <v>706</v>
      </c>
      <c r="D983">
        <v>2</v>
      </c>
      <c r="E983" t="s">
        <v>29</v>
      </c>
      <c r="F983" t="s">
        <v>30</v>
      </c>
      <c r="G983" t="str">
        <f>"2026-01-14 03:44:14.755"</f>
        <v>2026-01-14 03:44:14.755</v>
      </c>
      <c r="H983" t="s">
        <v>21</v>
      </c>
      <c r="I983">
        <v>0</v>
      </c>
      <c r="J983" t="s">
        <v>31</v>
      </c>
    </row>
    <row r="984" spans="1:10" x14ac:dyDescent="0.25">
      <c r="A984" s="1">
        <v>36</v>
      </c>
      <c r="B984" t="s">
        <v>19</v>
      </c>
      <c r="C984">
        <v>706</v>
      </c>
      <c r="D984">
        <v>2</v>
      </c>
      <c r="E984" t="s">
        <v>29</v>
      </c>
      <c r="F984" t="s">
        <v>30</v>
      </c>
      <c r="G984" t="str">
        <f>"2026-01-14 03:42:26.155"</f>
        <v>2026-01-14 03:42:26.155</v>
      </c>
      <c r="H984" t="s">
        <v>21</v>
      </c>
      <c r="I984">
        <v>0</v>
      </c>
      <c r="J984" t="s">
        <v>31</v>
      </c>
    </row>
    <row r="985" spans="1:10" x14ac:dyDescent="0.25">
      <c r="A985" s="1">
        <v>37</v>
      </c>
      <c r="B985" t="s">
        <v>19</v>
      </c>
      <c r="C985">
        <v>706</v>
      </c>
      <c r="D985">
        <v>2</v>
      </c>
      <c r="E985" t="s">
        <v>29</v>
      </c>
      <c r="F985" t="s">
        <v>30</v>
      </c>
      <c r="G985" t="str">
        <f>"2026-01-14 03:41:52.755"</f>
        <v>2026-01-14 03:41:52.755</v>
      </c>
      <c r="H985" t="s">
        <v>21</v>
      </c>
      <c r="I985">
        <v>0</v>
      </c>
      <c r="J985" t="s">
        <v>31</v>
      </c>
    </row>
    <row r="986" spans="1:10" x14ac:dyDescent="0.25">
      <c r="A986" s="1">
        <v>38</v>
      </c>
      <c r="B986" t="s">
        <v>19</v>
      </c>
      <c r="C986">
        <v>700</v>
      </c>
      <c r="D986">
        <v>0</v>
      </c>
      <c r="E986" t="s">
        <v>20</v>
      </c>
      <c r="F986" t="s">
        <v>20</v>
      </c>
      <c r="G986" t="str">
        <f>"2026-01-14 03:40:48.505"</f>
        <v>2026-01-14 03:40:48.505</v>
      </c>
      <c r="H986" t="s">
        <v>21</v>
      </c>
      <c r="I986">
        <v>0</v>
      </c>
      <c r="J986" t="s">
        <v>33</v>
      </c>
    </row>
    <row r="987" spans="1:10" x14ac:dyDescent="0.25">
      <c r="A987" s="1">
        <v>39</v>
      </c>
      <c r="B987" t="s">
        <v>22</v>
      </c>
      <c r="C987">
        <v>650</v>
      </c>
      <c r="D987">
        <v>3</v>
      </c>
      <c r="E987" t="s">
        <v>101</v>
      </c>
      <c r="F987" t="s">
        <v>102</v>
      </c>
      <c r="G987" t="str">
        <f>"2026-01-14 03:15:56.958"</f>
        <v>2026-01-14 03:15:56.958</v>
      </c>
      <c r="H987" t="s">
        <v>21</v>
      </c>
    </row>
    <row r="988" spans="1:10" x14ac:dyDescent="0.25">
      <c r="A988" s="1">
        <v>42</v>
      </c>
      <c r="B988" t="s">
        <v>36</v>
      </c>
      <c r="C988">
        <v>650</v>
      </c>
      <c r="D988">
        <v>3</v>
      </c>
      <c r="E988" t="s">
        <v>101</v>
      </c>
      <c r="F988" t="s">
        <v>102</v>
      </c>
      <c r="G988" t="str">
        <f>"2026-01-14 03:14:27.072"</f>
        <v>2026-01-14 03:14:27.072</v>
      </c>
      <c r="H988" t="s">
        <v>21</v>
      </c>
      <c r="I988">
        <v>0</v>
      </c>
      <c r="J988" t="s">
        <v>31</v>
      </c>
    </row>
    <row r="989" spans="1:10" x14ac:dyDescent="0.25">
      <c r="A989" s="1">
        <v>43</v>
      </c>
      <c r="B989" t="s">
        <v>19</v>
      </c>
      <c r="C989">
        <v>782</v>
      </c>
      <c r="D989">
        <v>7</v>
      </c>
      <c r="E989" t="s">
        <v>62</v>
      </c>
      <c r="F989" t="s">
        <v>63</v>
      </c>
      <c r="G989" t="str">
        <f>"2026-01-14 03:14:27.069"</f>
        <v>2026-01-14 03:14:27.069</v>
      </c>
      <c r="H989" t="s">
        <v>21</v>
      </c>
      <c r="I989">
        <v>0</v>
      </c>
      <c r="J989" t="s">
        <v>31</v>
      </c>
    </row>
    <row r="990" spans="1:10" x14ac:dyDescent="0.25">
      <c r="A990" s="1">
        <v>46</v>
      </c>
      <c r="B990" t="s">
        <v>22</v>
      </c>
      <c r="C990">
        <v>650</v>
      </c>
      <c r="D990">
        <v>3</v>
      </c>
      <c r="E990" t="s">
        <v>101</v>
      </c>
      <c r="F990" t="s">
        <v>102</v>
      </c>
      <c r="G990" t="str">
        <f>"2026-01-14 03:14:27.058"</f>
        <v>2026-01-14 03:14:27.058</v>
      </c>
      <c r="H990" t="s">
        <v>21</v>
      </c>
    </row>
    <row r="991" spans="1:10" x14ac:dyDescent="0.25">
      <c r="A991" s="1">
        <v>47</v>
      </c>
      <c r="B991" t="s">
        <v>19</v>
      </c>
      <c r="C991">
        <v>782</v>
      </c>
      <c r="D991">
        <v>7</v>
      </c>
      <c r="E991" t="s">
        <v>62</v>
      </c>
      <c r="F991" t="s">
        <v>63</v>
      </c>
      <c r="G991" t="str">
        <f>"2026-01-14 03:14:27.057"</f>
        <v>2026-01-14 03:14:27.057</v>
      </c>
      <c r="H991" t="s">
        <v>21</v>
      </c>
      <c r="I991">
        <v>0</v>
      </c>
      <c r="J991" t="s">
        <v>31</v>
      </c>
    </row>
    <row r="992" spans="1:10" x14ac:dyDescent="0.25">
      <c r="A992" s="1">
        <v>48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"2026-01-14 03:04:57.486"</f>
        <v>2026-01-14 03:04:57.486</v>
      </c>
      <c r="H992" t="s">
        <v>21</v>
      </c>
      <c r="I992">
        <v>0</v>
      </c>
      <c r="J992" t="s">
        <v>33</v>
      </c>
    </row>
    <row r="993" spans="1:10" x14ac:dyDescent="0.25">
      <c r="A993" s="1">
        <v>49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"2026-01-14 02:35:49.646"</f>
        <v>2026-01-14 02:35:49.646</v>
      </c>
      <c r="H993" t="s">
        <v>21</v>
      </c>
      <c r="I993">
        <v>0</v>
      </c>
      <c r="J993" t="s">
        <v>33</v>
      </c>
    </row>
    <row r="994" spans="1:10" x14ac:dyDescent="0.25">
      <c r="A994" s="1">
        <v>50</v>
      </c>
      <c r="B994" t="s">
        <v>22</v>
      </c>
      <c r="C994">
        <v>635</v>
      </c>
      <c r="D994">
        <v>1</v>
      </c>
      <c r="E994" t="s">
        <v>34</v>
      </c>
      <c r="F994" t="s">
        <v>35</v>
      </c>
      <c r="G994" t="str">
        <f>"2026-01-12 23:51:37.459"</f>
        <v>2026-01-12 23:51:37.459</v>
      </c>
      <c r="H994" t="s">
        <v>21</v>
      </c>
    </row>
    <row r="995" spans="1:10" x14ac:dyDescent="0.25">
      <c r="A995" s="1">
        <v>51</v>
      </c>
      <c r="B995" t="s">
        <v>36</v>
      </c>
      <c r="C995">
        <v>635</v>
      </c>
      <c r="D995">
        <v>1</v>
      </c>
      <c r="E995" t="s">
        <v>34</v>
      </c>
      <c r="F995" t="s">
        <v>35</v>
      </c>
      <c r="G995" t="str">
        <f>"2026-01-12 23:46:50.959"</f>
        <v>2026-01-12 23:46:50.959</v>
      </c>
      <c r="H995" t="s">
        <v>21</v>
      </c>
      <c r="I995">
        <v>3</v>
      </c>
      <c r="J995" t="s">
        <v>28</v>
      </c>
    </row>
    <row r="996" spans="1:10" x14ac:dyDescent="0.25">
      <c r="A996" s="1">
        <v>52</v>
      </c>
      <c r="B996" t="s">
        <v>22</v>
      </c>
      <c r="C996">
        <v>98</v>
      </c>
      <c r="D996">
        <v>1</v>
      </c>
      <c r="E996" t="s">
        <v>99</v>
      </c>
      <c r="F996" t="s">
        <v>100</v>
      </c>
      <c r="G996" t="str">
        <f>"2026-01-12 15:14:31.751"</f>
        <v>2026-01-12 15:14:31.751</v>
      </c>
      <c r="H996" t="s">
        <v>21</v>
      </c>
    </row>
    <row r="997" spans="1:10" x14ac:dyDescent="0.25">
      <c r="A997" s="1">
        <v>53</v>
      </c>
      <c r="B997" t="s">
        <v>36</v>
      </c>
      <c r="C997">
        <v>98</v>
      </c>
      <c r="D997">
        <v>1</v>
      </c>
      <c r="E997" t="s">
        <v>99</v>
      </c>
      <c r="F997" t="s">
        <v>100</v>
      </c>
      <c r="G997" t="str">
        <f>"2026-01-12 15:14:30.551"</f>
        <v>2026-01-12 15:14:30.551</v>
      </c>
      <c r="H997" t="s">
        <v>21</v>
      </c>
      <c r="I997">
        <v>0</v>
      </c>
      <c r="J997" t="s">
        <v>28</v>
      </c>
    </row>
    <row r="998" spans="1:10" x14ac:dyDescent="0.25">
      <c r="A998" s="1">
        <v>55</v>
      </c>
      <c r="B998" t="s">
        <v>22</v>
      </c>
      <c r="C998">
        <v>635</v>
      </c>
      <c r="D998">
        <v>1</v>
      </c>
      <c r="E998" t="s">
        <v>34</v>
      </c>
      <c r="F998" t="s">
        <v>35</v>
      </c>
      <c r="G998" t="str">
        <f>"2026-01-11 22:22:00.759"</f>
        <v>2026-01-11 22:22:00.759</v>
      </c>
      <c r="H998" t="s">
        <v>21</v>
      </c>
    </row>
    <row r="999" spans="1:10" x14ac:dyDescent="0.25">
      <c r="A999" s="1">
        <v>56</v>
      </c>
      <c r="B999" t="s">
        <v>36</v>
      </c>
      <c r="C999">
        <v>635</v>
      </c>
      <c r="D999">
        <v>1</v>
      </c>
      <c r="E999" t="s">
        <v>34</v>
      </c>
      <c r="F999" t="s">
        <v>35</v>
      </c>
      <c r="G999" t="str">
        <f>"2026-01-11 22:18:19.359"</f>
        <v>2026-01-11 22:18:19.359</v>
      </c>
      <c r="H999" t="s">
        <v>21</v>
      </c>
      <c r="I999">
        <v>3.68</v>
      </c>
      <c r="J999" t="s">
        <v>37</v>
      </c>
    </row>
    <row r="1000" spans="1:10" x14ac:dyDescent="0.25">
      <c r="A1000" s="1">
        <v>57</v>
      </c>
      <c r="B1000" t="s">
        <v>22</v>
      </c>
      <c r="C1000">
        <v>635</v>
      </c>
      <c r="D1000">
        <v>1</v>
      </c>
      <c r="E1000" t="s">
        <v>34</v>
      </c>
      <c r="F1000" t="s">
        <v>35</v>
      </c>
      <c r="G1000" t="str">
        <f>"2026-01-11 18:50:25.159"</f>
        <v>2026-01-11 18:50:25.159</v>
      </c>
      <c r="H1000" t="s">
        <v>21</v>
      </c>
    </row>
    <row r="1001" spans="1:10" x14ac:dyDescent="0.25">
      <c r="A1001" s="1">
        <v>58</v>
      </c>
      <c r="B1001" t="s">
        <v>36</v>
      </c>
      <c r="C1001">
        <v>635</v>
      </c>
      <c r="D1001">
        <v>1</v>
      </c>
      <c r="E1001" t="s">
        <v>34</v>
      </c>
      <c r="F1001" t="s">
        <v>35</v>
      </c>
      <c r="G1001" t="str">
        <f>"2026-01-11 18:46:19.159"</f>
        <v>2026-01-11 18:46:19.159</v>
      </c>
      <c r="H1001" t="s">
        <v>21</v>
      </c>
      <c r="I1001">
        <v>0.88</v>
      </c>
      <c r="J1001" t="s">
        <v>27</v>
      </c>
    </row>
    <row r="1002" spans="1:10" x14ac:dyDescent="0.25">
      <c r="A1002" s="1">
        <v>59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"2026-01-11 15:04:33.514"</f>
        <v>2026-01-11 15:04:33.514</v>
      </c>
      <c r="H1002" t="s">
        <v>21</v>
      </c>
    </row>
    <row r="1003" spans="1:10" x14ac:dyDescent="0.25">
      <c r="A1003" s="1">
        <v>60</v>
      </c>
      <c r="B1003" t="s">
        <v>36</v>
      </c>
      <c r="C1003">
        <v>650</v>
      </c>
      <c r="D1003">
        <v>3</v>
      </c>
      <c r="E1003" t="s">
        <v>101</v>
      </c>
      <c r="F1003" t="s">
        <v>102</v>
      </c>
      <c r="G1003" t="str">
        <f>"2026-01-11 13:23:10.034"</f>
        <v>2026-01-11 13:23:10.034</v>
      </c>
      <c r="H1003" t="s">
        <v>21</v>
      </c>
      <c r="I1003">
        <v>5.99</v>
      </c>
      <c r="J1003" t="s">
        <v>37</v>
      </c>
    </row>
    <row r="1004" spans="1:10" x14ac:dyDescent="0.25">
      <c r="A1004" s="1">
        <v>61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"2026-01-11 09:36:00.481"</f>
        <v>2026-01-11 09:36:00.481</v>
      </c>
      <c r="H1004" t="s">
        <v>21</v>
      </c>
    </row>
    <row r="1005" spans="1:10" x14ac:dyDescent="0.25">
      <c r="A1005" s="1">
        <v>62</v>
      </c>
      <c r="B1005" t="s">
        <v>19</v>
      </c>
      <c r="C1005">
        <v>700</v>
      </c>
      <c r="D1005">
        <v>0</v>
      </c>
      <c r="E1005" t="s">
        <v>20</v>
      </c>
      <c r="F1005" t="s">
        <v>20</v>
      </c>
      <c r="G1005" t="str">
        <f>"2026-01-10 10:12:20.485"</f>
        <v>2026-01-10 10:12:20.485</v>
      </c>
      <c r="H1005" t="s">
        <v>21</v>
      </c>
      <c r="I1005">
        <v>0</v>
      </c>
      <c r="J1005" t="s">
        <v>33</v>
      </c>
    </row>
    <row r="1006" spans="1:10" x14ac:dyDescent="0.25">
      <c r="A1006" s="1">
        <v>63</v>
      </c>
      <c r="B1006" t="s">
        <v>22</v>
      </c>
      <c r="C1006">
        <v>635</v>
      </c>
      <c r="D1006">
        <v>1</v>
      </c>
      <c r="E1006" t="s">
        <v>34</v>
      </c>
      <c r="F1006" t="s">
        <v>35</v>
      </c>
      <c r="G1006" t="str">
        <f>"2026-01-10 02:46:04.004"</f>
        <v>2026-01-10 02:46:04.004</v>
      </c>
      <c r="H1006" t="s">
        <v>21</v>
      </c>
    </row>
    <row r="1007" spans="1:10" x14ac:dyDescent="0.25">
      <c r="A1007" s="1">
        <v>64</v>
      </c>
      <c r="B1007" t="s">
        <v>36</v>
      </c>
      <c r="C1007">
        <v>635</v>
      </c>
      <c r="D1007">
        <v>1</v>
      </c>
      <c r="E1007" t="s">
        <v>34</v>
      </c>
      <c r="F1007" t="s">
        <v>35</v>
      </c>
      <c r="G1007" t="str">
        <f>"2026-01-10 02:42:00.004"</f>
        <v>2026-01-10 02:42:00.004</v>
      </c>
      <c r="H1007" t="s">
        <v>21</v>
      </c>
      <c r="I1007">
        <v>3.34</v>
      </c>
      <c r="J1007" t="s">
        <v>37</v>
      </c>
    </row>
    <row r="1008" spans="1:10" x14ac:dyDescent="0.25">
      <c r="A1008" s="1">
        <v>67</v>
      </c>
      <c r="B1008" t="s">
        <v>19</v>
      </c>
      <c r="C1008">
        <v>700</v>
      </c>
      <c r="D1008">
        <v>0</v>
      </c>
      <c r="E1008" t="s">
        <v>20</v>
      </c>
      <c r="F1008" t="s">
        <v>20</v>
      </c>
      <c r="G1008" t="str">
        <f>"2026-01-09 10:54:47.489"</f>
        <v>2026-01-09 10:54:47.489</v>
      </c>
      <c r="H1008" t="s">
        <v>21</v>
      </c>
      <c r="I1008">
        <v>0</v>
      </c>
      <c r="J1008" t="s">
        <v>33</v>
      </c>
    </row>
    <row r="1009" spans="1:10" x14ac:dyDescent="0.25">
      <c r="A1009" s="1">
        <v>68</v>
      </c>
      <c r="B1009" t="s">
        <v>19</v>
      </c>
      <c r="C1009">
        <v>706</v>
      </c>
      <c r="D1009">
        <v>4</v>
      </c>
      <c r="E1009" t="s">
        <v>29</v>
      </c>
      <c r="F1009" t="s">
        <v>53</v>
      </c>
      <c r="G1009" t="str">
        <f>"2026-01-08 23:46:34.857"</f>
        <v>2026-01-08 23:46:34.857</v>
      </c>
      <c r="H1009" t="s">
        <v>21</v>
      </c>
      <c r="I1009">
        <v>0</v>
      </c>
      <c r="J1009" t="s">
        <v>31</v>
      </c>
    </row>
    <row r="1010" spans="1:10" x14ac:dyDescent="0.25">
      <c r="A1010" s="1">
        <v>69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"2026-01-08 23:45:41.487"</f>
        <v>2026-01-08 23:45:41.487</v>
      </c>
      <c r="H1010" t="s">
        <v>21</v>
      </c>
      <c r="I1010">
        <v>0</v>
      </c>
      <c r="J1010" t="s">
        <v>33</v>
      </c>
    </row>
    <row r="1011" spans="1:10" x14ac:dyDescent="0.25">
      <c r="A1011" s="1">
        <v>70</v>
      </c>
      <c r="B1011" t="s">
        <v>19</v>
      </c>
      <c r="C1011">
        <v>700</v>
      </c>
      <c r="D1011">
        <v>0</v>
      </c>
      <c r="E1011" t="s">
        <v>20</v>
      </c>
      <c r="F1011" t="s">
        <v>20</v>
      </c>
      <c r="G1011" t="str">
        <f>"2026-01-08 23:38:24.487"</f>
        <v>2026-01-08 23:38:24.487</v>
      </c>
      <c r="H1011" t="s">
        <v>21</v>
      </c>
      <c r="I1011">
        <v>0</v>
      </c>
      <c r="J1011" t="s">
        <v>33</v>
      </c>
    </row>
    <row r="1012" spans="1:10" x14ac:dyDescent="0.25">
      <c r="A1012" s="1">
        <v>71</v>
      </c>
      <c r="B1012" t="s">
        <v>22</v>
      </c>
      <c r="C1012">
        <v>635</v>
      </c>
      <c r="D1012">
        <v>1</v>
      </c>
      <c r="E1012" t="s">
        <v>34</v>
      </c>
      <c r="F1012" t="s">
        <v>35</v>
      </c>
      <c r="G1012" t="str">
        <f>"2026-01-08 18:08:20.511"</f>
        <v>2026-01-08 18:08:20.511</v>
      </c>
      <c r="H1012" t="s">
        <v>21</v>
      </c>
    </row>
    <row r="1013" spans="1:10" x14ac:dyDescent="0.25">
      <c r="A1013" s="1">
        <v>72</v>
      </c>
      <c r="B1013" t="s">
        <v>36</v>
      </c>
      <c r="C1013">
        <v>635</v>
      </c>
      <c r="D1013">
        <v>1</v>
      </c>
      <c r="E1013" t="s">
        <v>34</v>
      </c>
      <c r="F1013" t="s">
        <v>35</v>
      </c>
      <c r="G1013" t="str">
        <f>"2026-01-08 18:04:59.011"</f>
        <v>2026-01-08 18:04:59.011</v>
      </c>
      <c r="H1013" t="s">
        <v>21</v>
      </c>
      <c r="I1013">
        <v>5.79</v>
      </c>
      <c r="J1013" t="s">
        <v>37</v>
      </c>
    </row>
    <row r="1014" spans="1:10" x14ac:dyDescent="0.25">
      <c r="A1014" s="1">
        <v>73</v>
      </c>
      <c r="B1014" t="s">
        <v>22</v>
      </c>
      <c r="C1014">
        <v>42</v>
      </c>
      <c r="D1014">
        <v>1</v>
      </c>
      <c r="E1014" t="s">
        <v>68</v>
      </c>
      <c r="F1014" t="s">
        <v>69</v>
      </c>
      <c r="G1014" t="str">
        <f>"2026-01-08 15:16:33.848"</f>
        <v>2026-01-08 15:16:33.848</v>
      </c>
      <c r="H1014" t="s">
        <v>70</v>
      </c>
    </row>
    <row r="1015" spans="1:10" x14ac:dyDescent="0.25">
      <c r="A1015" s="1">
        <v>74</v>
      </c>
      <c r="B1015" t="s">
        <v>36</v>
      </c>
      <c r="C1015">
        <v>42</v>
      </c>
      <c r="D1015">
        <v>1</v>
      </c>
      <c r="E1015" t="s">
        <v>68</v>
      </c>
      <c r="F1015" t="s">
        <v>69</v>
      </c>
      <c r="G1015" t="str">
        <f>"2026-01-08 15:16:22.029"</f>
        <v>2026-01-08 15:16:22.029</v>
      </c>
      <c r="H1015" t="s">
        <v>70</v>
      </c>
      <c r="I1015">
        <v>0</v>
      </c>
      <c r="J1015" t="s">
        <v>31</v>
      </c>
    </row>
    <row r="1016" spans="1:10" x14ac:dyDescent="0.25">
      <c r="A1016" s="1">
        <v>75</v>
      </c>
      <c r="B1016" t="s">
        <v>19</v>
      </c>
      <c r="C1016">
        <v>700</v>
      </c>
      <c r="D1016">
        <v>0</v>
      </c>
      <c r="E1016" t="s">
        <v>20</v>
      </c>
      <c r="F1016" t="s">
        <v>20</v>
      </c>
      <c r="G1016" t="str">
        <f>"2026-01-08 13:11:40.460"</f>
        <v>2026-01-08 13:11:40.460</v>
      </c>
      <c r="H1016" t="s">
        <v>21</v>
      </c>
      <c r="I1016">
        <v>0</v>
      </c>
      <c r="J1016" t="s">
        <v>33</v>
      </c>
    </row>
    <row r="1017" spans="1:10" x14ac:dyDescent="0.25">
      <c r="A1017" s="1">
        <v>76</v>
      </c>
      <c r="B1017" t="s">
        <v>22</v>
      </c>
      <c r="C1017">
        <v>635</v>
      </c>
      <c r="D1017">
        <v>1</v>
      </c>
      <c r="E1017" t="s">
        <v>34</v>
      </c>
      <c r="F1017" t="s">
        <v>35</v>
      </c>
      <c r="G1017" t="str">
        <f>"2026-01-08 03:47:59.114"</f>
        <v>2026-01-08 03:47:59.114</v>
      </c>
      <c r="H1017" t="s">
        <v>21</v>
      </c>
    </row>
    <row r="1018" spans="1:10" x14ac:dyDescent="0.25">
      <c r="A1018" s="1">
        <v>77</v>
      </c>
      <c r="B1018" t="s">
        <v>36</v>
      </c>
      <c r="C1018">
        <v>635</v>
      </c>
      <c r="D1018">
        <v>1</v>
      </c>
      <c r="E1018" t="s">
        <v>34</v>
      </c>
      <c r="F1018" t="s">
        <v>35</v>
      </c>
      <c r="G1018" t="str">
        <f>"2026-01-08 03:44:32.114"</f>
        <v>2026-01-08 03:44:32.114</v>
      </c>
      <c r="H1018" t="s">
        <v>21</v>
      </c>
      <c r="I1018">
        <v>4.45</v>
      </c>
      <c r="J1018" t="s">
        <v>37</v>
      </c>
    </row>
    <row r="1019" spans="1:10" x14ac:dyDescent="0.25">
      <c r="A1019" s="1">
        <v>78</v>
      </c>
      <c r="B1019" t="s">
        <v>22</v>
      </c>
      <c r="C1019">
        <v>635</v>
      </c>
      <c r="D1019">
        <v>1</v>
      </c>
      <c r="E1019" t="s">
        <v>34</v>
      </c>
      <c r="F1019" t="s">
        <v>35</v>
      </c>
      <c r="G1019" t="str">
        <f>"2026-01-08 03:11:48.714"</f>
        <v>2026-01-08 03:11:48.714</v>
      </c>
      <c r="H1019" t="s">
        <v>21</v>
      </c>
    </row>
    <row r="1020" spans="1:10" x14ac:dyDescent="0.25">
      <c r="A1020" s="1">
        <v>79</v>
      </c>
      <c r="B1020" t="s">
        <v>36</v>
      </c>
      <c r="C1020">
        <v>635</v>
      </c>
      <c r="D1020">
        <v>1</v>
      </c>
      <c r="E1020" t="s">
        <v>34</v>
      </c>
      <c r="F1020" t="s">
        <v>35</v>
      </c>
      <c r="G1020" t="str">
        <f>"2026-01-08 03:08:10.214"</f>
        <v>2026-01-08 03:08:10.214</v>
      </c>
      <c r="H1020" t="s">
        <v>21</v>
      </c>
      <c r="I1020">
        <v>2.36</v>
      </c>
      <c r="J1020" t="s">
        <v>37</v>
      </c>
    </row>
    <row r="1021" spans="1:10" x14ac:dyDescent="0.25">
      <c r="A1021" s="1">
        <v>80</v>
      </c>
      <c r="B1021" t="s">
        <v>22</v>
      </c>
      <c r="C1021">
        <v>635</v>
      </c>
      <c r="D1021">
        <v>1</v>
      </c>
      <c r="E1021" t="s">
        <v>34</v>
      </c>
      <c r="F1021" t="s">
        <v>35</v>
      </c>
      <c r="G1021" t="str">
        <f>"2026-01-07 23:45:06.514"</f>
        <v>2026-01-07 23:45:06.514</v>
      </c>
      <c r="H1021" t="s">
        <v>21</v>
      </c>
    </row>
    <row r="1022" spans="1:10" x14ac:dyDescent="0.25">
      <c r="A1022" s="1">
        <v>81</v>
      </c>
      <c r="B1022" t="s">
        <v>36</v>
      </c>
      <c r="C1022">
        <v>635</v>
      </c>
      <c r="D1022">
        <v>1</v>
      </c>
      <c r="E1022" t="s">
        <v>34</v>
      </c>
      <c r="F1022" t="s">
        <v>35</v>
      </c>
      <c r="G1022" t="str">
        <f>"2026-01-07 23:22:46.514"</f>
        <v>2026-01-07 23:22:46.514</v>
      </c>
      <c r="H1022" t="s">
        <v>21</v>
      </c>
      <c r="I1022">
        <v>9.25</v>
      </c>
      <c r="J1022" t="s">
        <v>37</v>
      </c>
    </row>
    <row r="1023" spans="1:10" x14ac:dyDescent="0.25">
      <c r="A1023" s="1">
        <v>82</v>
      </c>
      <c r="B1023" t="s">
        <v>22</v>
      </c>
      <c r="C1023">
        <v>635</v>
      </c>
      <c r="D1023">
        <v>1</v>
      </c>
      <c r="E1023" t="s">
        <v>34</v>
      </c>
      <c r="F1023" t="s">
        <v>35</v>
      </c>
      <c r="G1023" t="str">
        <f>"2026-01-07 21:32:40.214"</f>
        <v>2026-01-07 21:32:40.214</v>
      </c>
      <c r="H1023" t="s">
        <v>21</v>
      </c>
    </row>
    <row r="1024" spans="1:10" x14ac:dyDescent="0.25">
      <c r="A1024" s="1">
        <v>83</v>
      </c>
      <c r="B1024" t="s">
        <v>36</v>
      </c>
      <c r="C1024">
        <v>635</v>
      </c>
      <c r="D1024">
        <v>1</v>
      </c>
      <c r="E1024" t="s">
        <v>34</v>
      </c>
      <c r="F1024" t="s">
        <v>35</v>
      </c>
      <c r="G1024" t="str">
        <f>"2026-01-07 21:27:53.715"</f>
        <v>2026-01-07 21:27:53.715</v>
      </c>
      <c r="H1024" t="s">
        <v>21</v>
      </c>
      <c r="I1024">
        <v>7.76</v>
      </c>
      <c r="J1024" t="s">
        <v>37</v>
      </c>
    </row>
    <row r="1025" spans="1:10" x14ac:dyDescent="0.25">
      <c r="A1025" s="1">
        <v>84</v>
      </c>
      <c r="B1025" t="s">
        <v>19</v>
      </c>
      <c r="C1025">
        <v>700</v>
      </c>
      <c r="D1025">
        <v>0</v>
      </c>
      <c r="E1025" t="s">
        <v>20</v>
      </c>
      <c r="F1025" t="s">
        <v>20</v>
      </c>
      <c r="G1025" t="str">
        <f>"2026-01-07 13:19:15.604"</f>
        <v>2026-01-07 13:19:15.604</v>
      </c>
      <c r="H1025" t="s">
        <v>21</v>
      </c>
      <c r="I1025">
        <v>0</v>
      </c>
      <c r="J1025" t="s">
        <v>33</v>
      </c>
    </row>
    <row r="1026" spans="1:10" x14ac:dyDescent="0.25">
      <c r="A1026" s="1">
        <v>85</v>
      </c>
      <c r="B1026" t="s">
        <v>22</v>
      </c>
      <c r="C1026">
        <v>635</v>
      </c>
      <c r="D1026">
        <v>1</v>
      </c>
      <c r="E1026" t="s">
        <v>34</v>
      </c>
      <c r="F1026" t="s">
        <v>35</v>
      </c>
      <c r="G1026" t="str">
        <f>"2026-01-06 20:43:32.659"</f>
        <v>2026-01-06 20:43:32.659</v>
      </c>
      <c r="H1026" t="s">
        <v>21</v>
      </c>
    </row>
    <row r="1027" spans="1:10" x14ac:dyDescent="0.25">
      <c r="A1027" s="1">
        <v>86</v>
      </c>
      <c r="B1027" t="s">
        <v>36</v>
      </c>
      <c r="C1027">
        <v>635</v>
      </c>
      <c r="D1027">
        <v>1</v>
      </c>
      <c r="E1027" t="s">
        <v>34</v>
      </c>
      <c r="F1027" t="s">
        <v>35</v>
      </c>
      <c r="G1027" t="str">
        <f>"2026-01-06 20:37:53.660"</f>
        <v>2026-01-06 20:37:53.660</v>
      </c>
      <c r="H1027" t="s">
        <v>21</v>
      </c>
      <c r="I1027">
        <v>2.59</v>
      </c>
      <c r="J1027" t="s">
        <v>37</v>
      </c>
    </row>
    <row r="1028" spans="1:10" x14ac:dyDescent="0.25">
      <c r="A1028" s="1">
        <v>87</v>
      </c>
      <c r="B1028" t="s">
        <v>19</v>
      </c>
      <c r="C1028">
        <v>700</v>
      </c>
      <c r="D1028">
        <v>0</v>
      </c>
      <c r="E1028" t="s">
        <v>20</v>
      </c>
      <c r="F1028" t="s">
        <v>20</v>
      </c>
      <c r="G1028" t="str">
        <f>"2026-01-06 13:03:44.508"</f>
        <v>2026-01-06 13:03:44.508</v>
      </c>
      <c r="H1028" t="s">
        <v>21</v>
      </c>
      <c r="I1028">
        <v>0</v>
      </c>
      <c r="J1028" t="s">
        <v>33</v>
      </c>
    </row>
    <row r="1029" spans="1:10" x14ac:dyDescent="0.25">
      <c r="A1029" s="1">
        <v>88</v>
      </c>
      <c r="B1029" t="s">
        <v>56</v>
      </c>
      <c r="C1029">
        <v>33</v>
      </c>
      <c r="D1029">
        <v>1</v>
      </c>
      <c r="E1029" t="s">
        <v>76</v>
      </c>
      <c r="F1029" t="s">
        <v>77</v>
      </c>
      <c r="G1029" t="str">
        <f>"2026-01-05 10:15:17.469"</f>
        <v>2026-01-05 10:15:17.469</v>
      </c>
      <c r="H1029" t="s">
        <v>78</v>
      </c>
    </row>
    <row r="1030" spans="1:10" x14ac:dyDescent="0.25">
      <c r="A1030" s="1">
        <v>89</v>
      </c>
      <c r="B1030" t="s">
        <v>26</v>
      </c>
      <c r="C1030">
        <v>33</v>
      </c>
      <c r="D1030">
        <v>1</v>
      </c>
      <c r="E1030" t="s">
        <v>76</v>
      </c>
      <c r="F1030" t="s">
        <v>77</v>
      </c>
      <c r="G1030" t="str">
        <f>"2026-01-05 10:14:47.121"</f>
        <v>2026-01-05 10:14:47.121</v>
      </c>
      <c r="H1030" t="s">
        <v>78</v>
      </c>
      <c r="I1030">
        <v>8.32</v>
      </c>
      <c r="J1030" t="s">
        <v>37</v>
      </c>
    </row>
    <row r="1031" spans="1:10" x14ac:dyDescent="0.25">
      <c r="A1031" s="1">
        <v>90</v>
      </c>
      <c r="B1031" t="s">
        <v>22</v>
      </c>
      <c r="C1031">
        <v>635</v>
      </c>
      <c r="D1031">
        <v>1</v>
      </c>
      <c r="E1031" t="s">
        <v>34</v>
      </c>
      <c r="F1031" t="s">
        <v>35</v>
      </c>
      <c r="G1031" t="str">
        <f>"2026-01-04 16:12:04.622"</f>
        <v>2026-01-04 16:12:04.622</v>
      </c>
      <c r="H1031" t="s">
        <v>21</v>
      </c>
    </row>
    <row r="1032" spans="1:10" x14ac:dyDescent="0.25">
      <c r="A1032" s="1">
        <v>91</v>
      </c>
      <c r="B1032" t="s">
        <v>36</v>
      </c>
      <c r="C1032">
        <v>635</v>
      </c>
      <c r="D1032">
        <v>1</v>
      </c>
      <c r="E1032" t="s">
        <v>34</v>
      </c>
      <c r="F1032" t="s">
        <v>35</v>
      </c>
      <c r="G1032" t="str">
        <f>"2026-01-04 16:09:50.622"</f>
        <v>2026-01-04 16:09:50.622</v>
      </c>
      <c r="H1032" t="s">
        <v>21</v>
      </c>
      <c r="I1032">
        <v>5.09</v>
      </c>
      <c r="J1032" t="s">
        <v>37</v>
      </c>
    </row>
    <row r="1033" spans="1:10" x14ac:dyDescent="0.25">
      <c r="A1033" s="1">
        <v>92</v>
      </c>
      <c r="B1033" t="s">
        <v>22</v>
      </c>
      <c r="C1033">
        <v>635</v>
      </c>
      <c r="D1033">
        <v>1</v>
      </c>
      <c r="E1033" t="s">
        <v>34</v>
      </c>
      <c r="F1033" t="s">
        <v>35</v>
      </c>
      <c r="G1033" t="str">
        <f>"2026-01-04 15:54:00.222"</f>
        <v>2026-01-04 15:54:00.222</v>
      </c>
      <c r="H1033" t="s">
        <v>21</v>
      </c>
    </row>
    <row r="1034" spans="1:10" x14ac:dyDescent="0.25">
      <c r="A1034" s="1">
        <v>93</v>
      </c>
      <c r="B1034" t="s">
        <v>36</v>
      </c>
      <c r="C1034">
        <v>635</v>
      </c>
      <c r="D1034">
        <v>1</v>
      </c>
      <c r="E1034" t="s">
        <v>34</v>
      </c>
      <c r="F1034" t="s">
        <v>35</v>
      </c>
      <c r="G1034" t="str">
        <f>"2026-01-04 15:49:36.222"</f>
        <v>2026-01-04 15:49:36.222</v>
      </c>
      <c r="H1034" t="s">
        <v>21</v>
      </c>
      <c r="I1034">
        <v>3.85</v>
      </c>
      <c r="J1034" t="s">
        <v>27</v>
      </c>
    </row>
    <row r="1035" spans="1:10" x14ac:dyDescent="0.25">
      <c r="A1035" s="1">
        <v>94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"2026-01-04 07:41:56.451"</f>
        <v>2026-01-04 07:41:56.451</v>
      </c>
      <c r="H1035" t="s">
        <v>21</v>
      </c>
      <c r="I1035">
        <v>0</v>
      </c>
      <c r="J1035" t="s">
        <v>33</v>
      </c>
    </row>
    <row r="1036" spans="1:10" x14ac:dyDescent="0.25">
      <c r="A1036" s="1">
        <v>95</v>
      </c>
      <c r="B1036" t="s">
        <v>19</v>
      </c>
      <c r="C1036">
        <v>700</v>
      </c>
      <c r="D1036">
        <v>0</v>
      </c>
      <c r="E1036" t="s">
        <v>20</v>
      </c>
      <c r="F1036" t="s">
        <v>20</v>
      </c>
      <c r="G1036" t="str">
        <f>"2026-01-03 11:14:46.567"</f>
        <v>2026-01-03 11:14:46.567</v>
      </c>
      <c r="H1036" t="s">
        <v>21</v>
      </c>
    </row>
    <row r="1037" spans="1:10" x14ac:dyDescent="0.25">
      <c r="A1037" s="1">
        <v>96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"2026-01-03 10:36:19.435"</f>
        <v>2026-01-03 10:36:19.435</v>
      </c>
      <c r="H1037" t="s">
        <v>21</v>
      </c>
      <c r="I1037">
        <v>0</v>
      </c>
      <c r="J1037" t="s">
        <v>33</v>
      </c>
    </row>
    <row r="1038" spans="1:10" x14ac:dyDescent="0.25">
      <c r="A1038" s="1">
        <v>97</v>
      </c>
      <c r="B1038" t="s">
        <v>19</v>
      </c>
      <c r="C1038">
        <v>706</v>
      </c>
      <c r="D1038">
        <v>4</v>
      </c>
      <c r="E1038" t="s">
        <v>29</v>
      </c>
      <c r="F1038" t="s">
        <v>53</v>
      </c>
      <c r="G1038" t="str">
        <f>"2026-01-03 10:20:31.381"</f>
        <v>2026-01-03 10:20:31.381</v>
      </c>
      <c r="H1038" t="s">
        <v>21</v>
      </c>
      <c r="I1038">
        <v>0</v>
      </c>
      <c r="J1038" t="s">
        <v>31</v>
      </c>
    </row>
    <row r="1039" spans="1:10" x14ac:dyDescent="0.25">
      <c r="A1039" s="1">
        <v>98</v>
      </c>
      <c r="B1039" t="s">
        <v>19</v>
      </c>
      <c r="C1039">
        <v>700</v>
      </c>
      <c r="D1039">
        <v>0</v>
      </c>
      <c r="E1039" t="s">
        <v>20</v>
      </c>
      <c r="F1039" t="s">
        <v>20</v>
      </c>
      <c r="G1039" t="str">
        <f>"2026-01-03 09:37:23.481"</f>
        <v>2026-01-03 09:37:23.481</v>
      </c>
      <c r="H1039" t="s">
        <v>21</v>
      </c>
    </row>
    <row r="1040" spans="1:10" x14ac:dyDescent="0.25">
      <c r="A1040" s="1">
        <v>99</v>
      </c>
      <c r="B1040" t="s">
        <v>22</v>
      </c>
      <c r="C1040">
        <v>635</v>
      </c>
      <c r="D1040">
        <v>1</v>
      </c>
      <c r="E1040" t="s">
        <v>34</v>
      </c>
      <c r="F1040" t="s">
        <v>35</v>
      </c>
      <c r="G1040" t="str">
        <f>"2026-01-02 21:44:16.312"</f>
        <v>2026-01-02 21:44:16.312</v>
      </c>
      <c r="H1040" t="s">
        <v>21</v>
      </c>
    </row>
    <row r="1041" spans="1:10" x14ac:dyDescent="0.25">
      <c r="A1041" s="1">
        <v>100</v>
      </c>
      <c r="B1041" t="s">
        <v>36</v>
      </c>
      <c r="C1041">
        <v>635</v>
      </c>
      <c r="D1041">
        <v>1</v>
      </c>
      <c r="E1041" t="s">
        <v>34</v>
      </c>
      <c r="F1041" t="s">
        <v>35</v>
      </c>
      <c r="G1041" t="str">
        <f>"2026-01-02 21:39:02.812"</f>
        <v>2026-01-02 21:39:02.812</v>
      </c>
      <c r="H1041" t="s">
        <v>21</v>
      </c>
      <c r="I1041">
        <v>1.99</v>
      </c>
      <c r="J1041" t="s">
        <v>37</v>
      </c>
    </row>
    <row r="1042" spans="1:10" x14ac:dyDescent="0.25">
      <c r="A1042" s="1">
        <v>101</v>
      </c>
      <c r="B1042" t="s">
        <v>22</v>
      </c>
      <c r="C1042">
        <v>635</v>
      </c>
      <c r="D1042">
        <v>1</v>
      </c>
      <c r="E1042" t="s">
        <v>34</v>
      </c>
      <c r="F1042" t="s">
        <v>35</v>
      </c>
      <c r="G1042" t="str">
        <f>"2026-01-02 16:18:47.312"</f>
        <v>2026-01-02 16:18:47.312</v>
      </c>
      <c r="H1042" t="s">
        <v>21</v>
      </c>
    </row>
    <row r="1043" spans="1:10" x14ac:dyDescent="0.25">
      <c r="A1043" s="1">
        <v>102</v>
      </c>
      <c r="B1043" t="s">
        <v>36</v>
      </c>
      <c r="C1043">
        <v>635</v>
      </c>
      <c r="D1043">
        <v>1</v>
      </c>
      <c r="E1043" t="s">
        <v>34</v>
      </c>
      <c r="F1043" t="s">
        <v>35</v>
      </c>
      <c r="G1043" t="str">
        <f>"2026-01-02 16:15:05.812"</f>
        <v>2026-01-02 16:15:05.812</v>
      </c>
      <c r="H1043" t="s">
        <v>21</v>
      </c>
      <c r="I1043">
        <v>2.87</v>
      </c>
      <c r="J1043" t="s">
        <v>27</v>
      </c>
    </row>
    <row r="1044" spans="1:10" x14ac:dyDescent="0.25">
      <c r="A1044" s="1">
        <v>103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"2026-01-02 09:56:45.452"</f>
        <v>2026-01-02 09:56:45.452</v>
      </c>
      <c r="H1044" t="s">
        <v>21</v>
      </c>
      <c r="I1044">
        <v>0</v>
      </c>
      <c r="J1044" t="s">
        <v>33</v>
      </c>
    </row>
    <row r="1045" spans="1:10" x14ac:dyDescent="0.25">
      <c r="A1045" s="1">
        <v>104</v>
      </c>
      <c r="B1045" t="s">
        <v>19</v>
      </c>
      <c r="C1045">
        <v>700</v>
      </c>
      <c r="D1045">
        <v>0</v>
      </c>
      <c r="E1045" t="s">
        <v>20</v>
      </c>
      <c r="F1045" t="s">
        <v>20</v>
      </c>
      <c r="G1045" t="str">
        <f>"2026-01-02 08:22:23.449"</f>
        <v>2026-01-02 08:22:23.449</v>
      </c>
      <c r="H1045" t="s">
        <v>21</v>
      </c>
    </row>
    <row r="1046" spans="1:10" x14ac:dyDescent="0.25">
      <c r="A1046" s="1">
        <v>105</v>
      </c>
      <c r="B1046" t="s">
        <v>22</v>
      </c>
      <c r="C1046">
        <v>635</v>
      </c>
      <c r="D1046">
        <v>1</v>
      </c>
      <c r="E1046" t="s">
        <v>34</v>
      </c>
      <c r="F1046" t="s">
        <v>35</v>
      </c>
      <c r="G1046" t="str">
        <f>"2026-01-01 23:55:04.284"</f>
        <v>2026-01-01 23:55:04.284</v>
      </c>
      <c r="H1046" t="s">
        <v>21</v>
      </c>
    </row>
    <row r="1047" spans="1:10" x14ac:dyDescent="0.25">
      <c r="A1047" s="1">
        <v>106</v>
      </c>
      <c r="B1047" t="s">
        <v>36</v>
      </c>
      <c r="C1047">
        <v>635</v>
      </c>
      <c r="D1047">
        <v>1</v>
      </c>
      <c r="E1047" t="s">
        <v>34</v>
      </c>
      <c r="F1047" t="s">
        <v>35</v>
      </c>
      <c r="G1047" t="str">
        <f>"2026-01-01 23:52:09.784"</f>
        <v>2026-01-01 23:52:09.784</v>
      </c>
      <c r="H1047" t="s">
        <v>21</v>
      </c>
      <c r="I1047">
        <v>2.23</v>
      </c>
      <c r="J1047" t="s">
        <v>37</v>
      </c>
    </row>
    <row r="1048" spans="1:10" x14ac:dyDescent="0.25">
      <c r="A1048" s="1">
        <v>107</v>
      </c>
      <c r="B1048" t="s">
        <v>22</v>
      </c>
      <c r="C1048">
        <v>635</v>
      </c>
      <c r="D1048">
        <v>1</v>
      </c>
      <c r="E1048" t="s">
        <v>34</v>
      </c>
      <c r="F1048" t="s">
        <v>35</v>
      </c>
      <c r="G1048" t="str">
        <f>"2025-12-31 10:39:15.184"</f>
        <v>2025-12-31 10:39:15.184</v>
      </c>
      <c r="H1048" t="s">
        <v>21</v>
      </c>
    </row>
    <row r="1049" spans="1:10" x14ac:dyDescent="0.25">
      <c r="A1049" s="1">
        <v>108</v>
      </c>
      <c r="B1049" t="s">
        <v>36</v>
      </c>
      <c r="C1049">
        <v>635</v>
      </c>
      <c r="D1049">
        <v>1</v>
      </c>
      <c r="E1049" t="s">
        <v>34</v>
      </c>
      <c r="F1049" t="s">
        <v>35</v>
      </c>
      <c r="G1049" t="str">
        <f>"2025-12-31 10:35:54.684"</f>
        <v>2025-12-31 10:35:54.684</v>
      </c>
      <c r="H1049" t="s">
        <v>21</v>
      </c>
      <c r="I1049">
        <v>-0.15</v>
      </c>
      <c r="J1049" t="s">
        <v>28</v>
      </c>
    </row>
    <row r="1050" spans="1:10" x14ac:dyDescent="0.25">
      <c r="A1050" s="1">
        <v>109</v>
      </c>
      <c r="B1050" t="s">
        <v>22</v>
      </c>
      <c r="C1050">
        <v>42</v>
      </c>
      <c r="D1050">
        <v>1</v>
      </c>
      <c r="E1050" t="s">
        <v>68</v>
      </c>
      <c r="F1050" t="s">
        <v>69</v>
      </c>
      <c r="G1050" t="str">
        <f>"2025-12-30 13:47:53.354"</f>
        <v>2025-12-30 13:47:53.354</v>
      </c>
      <c r="H1050" t="s">
        <v>70</v>
      </c>
    </row>
    <row r="1051" spans="1:10" x14ac:dyDescent="0.25">
      <c r="A1051" s="1">
        <v>110</v>
      </c>
      <c r="B1051" t="s">
        <v>36</v>
      </c>
      <c r="C1051">
        <v>42</v>
      </c>
      <c r="D1051">
        <v>1</v>
      </c>
      <c r="E1051" t="s">
        <v>68</v>
      </c>
      <c r="F1051" t="s">
        <v>69</v>
      </c>
      <c r="G1051" t="str">
        <f>"2025-12-30 13:47:23.355"</f>
        <v>2025-12-30 13:47:23.355</v>
      </c>
      <c r="H1051" t="s">
        <v>70</v>
      </c>
      <c r="I1051">
        <v>0</v>
      </c>
      <c r="J1051" t="s">
        <v>31</v>
      </c>
    </row>
    <row r="1052" spans="1:10" x14ac:dyDescent="0.25">
      <c r="A1052" s="1">
        <v>111</v>
      </c>
      <c r="B1052" t="s">
        <v>22</v>
      </c>
      <c r="C1052">
        <v>635</v>
      </c>
      <c r="D1052">
        <v>1</v>
      </c>
      <c r="E1052" t="s">
        <v>34</v>
      </c>
      <c r="F1052" t="s">
        <v>35</v>
      </c>
      <c r="G1052" t="str">
        <f>"2025-12-30 03:26:53.984"</f>
        <v>2025-12-30 03:26:53.984</v>
      </c>
      <c r="H1052" t="s">
        <v>21</v>
      </c>
    </row>
    <row r="1053" spans="1:10" x14ac:dyDescent="0.25">
      <c r="A1053" s="1">
        <v>112</v>
      </c>
      <c r="B1053" t="s">
        <v>36</v>
      </c>
      <c r="C1053">
        <v>635</v>
      </c>
      <c r="D1053">
        <v>1</v>
      </c>
      <c r="E1053" t="s">
        <v>34</v>
      </c>
      <c r="F1053" t="s">
        <v>35</v>
      </c>
      <c r="G1053" t="str">
        <f>"2025-12-30 03:23:18.984"</f>
        <v>2025-12-30 03:23:18.984</v>
      </c>
      <c r="H1053" t="s">
        <v>21</v>
      </c>
      <c r="I1053">
        <v>3.35</v>
      </c>
      <c r="J1053" t="s">
        <v>28</v>
      </c>
    </row>
    <row r="1054" spans="1:10" x14ac:dyDescent="0.25">
      <c r="A1054" s="1">
        <v>113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"2025-12-29 22:53:49.494"</f>
        <v>2025-12-29 22:53:49.494</v>
      </c>
      <c r="H1054" t="s">
        <v>21</v>
      </c>
      <c r="I1054">
        <v>0</v>
      </c>
      <c r="J1054" t="s">
        <v>33</v>
      </c>
    </row>
    <row r="1055" spans="1:10" x14ac:dyDescent="0.25">
      <c r="A1055" s="1">
        <v>114</v>
      </c>
      <c r="B1055" t="s">
        <v>19</v>
      </c>
      <c r="C1055">
        <v>706</v>
      </c>
      <c r="D1055">
        <v>4</v>
      </c>
      <c r="E1055" t="s">
        <v>29</v>
      </c>
      <c r="F1055" t="s">
        <v>53</v>
      </c>
      <c r="G1055" t="str">
        <f>"2025-12-29 22:22:29.622"</f>
        <v>2025-12-29 22:22:29.622</v>
      </c>
      <c r="H1055" t="s">
        <v>21</v>
      </c>
      <c r="I1055">
        <v>0</v>
      </c>
      <c r="J1055" t="s">
        <v>31</v>
      </c>
    </row>
    <row r="1056" spans="1:10" x14ac:dyDescent="0.25">
      <c r="A1056" s="1">
        <v>115</v>
      </c>
      <c r="B1056" t="s">
        <v>19</v>
      </c>
      <c r="C1056">
        <v>700</v>
      </c>
      <c r="D1056">
        <v>0</v>
      </c>
      <c r="E1056" t="s">
        <v>20</v>
      </c>
      <c r="F1056" t="s">
        <v>20</v>
      </c>
      <c r="G1056" t="str">
        <f>"2025-12-29 08:54:26.472"</f>
        <v>2025-12-29 08:54:26.472</v>
      </c>
      <c r="H1056" t="s">
        <v>21</v>
      </c>
      <c r="I1056">
        <v>0</v>
      </c>
      <c r="J1056" t="s">
        <v>33</v>
      </c>
    </row>
    <row r="1057" spans="1:10" x14ac:dyDescent="0.25">
      <c r="A1057" s="1">
        <v>116</v>
      </c>
      <c r="B1057" t="s">
        <v>22</v>
      </c>
      <c r="C1057">
        <v>635</v>
      </c>
      <c r="D1057">
        <v>1</v>
      </c>
      <c r="E1057" t="s">
        <v>34</v>
      </c>
      <c r="F1057" t="s">
        <v>35</v>
      </c>
      <c r="G1057" t="str">
        <f>"2025-12-28 20:21:17.740"</f>
        <v>2025-12-28 20:21:17.740</v>
      </c>
      <c r="H1057" t="s">
        <v>21</v>
      </c>
    </row>
    <row r="1058" spans="1:10" x14ac:dyDescent="0.25">
      <c r="A1058" s="1">
        <v>117</v>
      </c>
      <c r="B1058" t="s">
        <v>36</v>
      </c>
      <c r="C1058">
        <v>635</v>
      </c>
      <c r="D1058">
        <v>1</v>
      </c>
      <c r="E1058" t="s">
        <v>34</v>
      </c>
      <c r="F1058" t="s">
        <v>35</v>
      </c>
      <c r="G1058" t="str">
        <f>"2025-12-28 20:18:28.240"</f>
        <v>2025-12-28 20:18:28.240</v>
      </c>
      <c r="H1058" t="s">
        <v>21</v>
      </c>
      <c r="I1058">
        <v>0.3</v>
      </c>
      <c r="J1058" t="s">
        <v>37</v>
      </c>
    </row>
    <row r="1059" spans="1:10" x14ac:dyDescent="0.25">
      <c r="A1059" s="1">
        <v>118</v>
      </c>
      <c r="B1059" t="s">
        <v>22</v>
      </c>
      <c r="C1059">
        <v>635</v>
      </c>
      <c r="D1059">
        <v>1</v>
      </c>
      <c r="E1059" t="s">
        <v>34</v>
      </c>
      <c r="F1059" t="s">
        <v>35</v>
      </c>
      <c r="G1059" t="str">
        <f>"2025-12-28 05:24:00.640"</f>
        <v>2025-12-28 05:24:00.640</v>
      </c>
      <c r="H1059" t="s">
        <v>21</v>
      </c>
    </row>
    <row r="1060" spans="1:10" x14ac:dyDescent="0.25">
      <c r="A1060" s="1">
        <v>119</v>
      </c>
      <c r="B1060" t="s">
        <v>36</v>
      </c>
      <c r="C1060">
        <v>635</v>
      </c>
      <c r="D1060">
        <v>1</v>
      </c>
      <c r="E1060" t="s">
        <v>34</v>
      </c>
      <c r="F1060" t="s">
        <v>35</v>
      </c>
      <c r="G1060" t="str">
        <f>"2025-12-28 05:16:48.140"</f>
        <v>2025-12-28 05:16:48.140</v>
      </c>
      <c r="H1060" t="s">
        <v>21</v>
      </c>
      <c r="I1060">
        <v>7.74</v>
      </c>
      <c r="J1060" t="s">
        <v>28</v>
      </c>
    </row>
    <row r="1061" spans="1:10" x14ac:dyDescent="0.25">
      <c r="A1061" s="1">
        <v>120</v>
      </c>
      <c r="B1061" t="s">
        <v>22</v>
      </c>
      <c r="C1061">
        <v>635</v>
      </c>
      <c r="D1061">
        <v>1</v>
      </c>
      <c r="E1061" t="s">
        <v>34</v>
      </c>
      <c r="F1061" t="s">
        <v>35</v>
      </c>
      <c r="G1061" t="str">
        <f>"2025-12-27 21:34:11.340"</f>
        <v>2025-12-27 21:34:11.340</v>
      </c>
      <c r="H1061" t="s">
        <v>21</v>
      </c>
    </row>
    <row r="1062" spans="1:10" x14ac:dyDescent="0.25">
      <c r="A1062" s="1">
        <v>121</v>
      </c>
      <c r="B1062" t="s">
        <v>36</v>
      </c>
      <c r="C1062">
        <v>635</v>
      </c>
      <c r="D1062">
        <v>1</v>
      </c>
      <c r="E1062" t="s">
        <v>34</v>
      </c>
      <c r="F1062" t="s">
        <v>35</v>
      </c>
      <c r="G1062" t="str">
        <f>"2025-12-27 21:07:20.840"</f>
        <v>2025-12-27 21:07:20.840</v>
      </c>
      <c r="H1062" t="s">
        <v>21</v>
      </c>
      <c r="I1062">
        <v>6.22</v>
      </c>
      <c r="J1062" t="s">
        <v>37</v>
      </c>
    </row>
    <row r="1063" spans="1:10" x14ac:dyDescent="0.25">
      <c r="A1063" s="1">
        <v>122</v>
      </c>
      <c r="B1063" t="s">
        <v>22</v>
      </c>
      <c r="C1063">
        <v>635</v>
      </c>
      <c r="D1063">
        <v>1</v>
      </c>
      <c r="E1063" t="s">
        <v>34</v>
      </c>
      <c r="F1063" t="s">
        <v>35</v>
      </c>
      <c r="G1063" t="str">
        <f>"2025-12-27 17:20:28.240"</f>
        <v>2025-12-27 17:20:28.240</v>
      </c>
      <c r="H1063" t="s">
        <v>21</v>
      </c>
    </row>
    <row r="1064" spans="1:10" x14ac:dyDescent="0.25">
      <c r="A1064" s="1">
        <v>123</v>
      </c>
      <c r="B1064" t="s">
        <v>36</v>
      </c>
      <c r="C1064">
        <v>635</v>
      </c>
      <c r="D1064">
        <v>1</v>
      </c>
      <c r="E1064" t="s">
        <v>34</v>
      </c>
      <c r="F1064" t="s">
        <v>35</v>
      </c>
      <c r="G1064" t="str">
        <f>"2025-12-27 16:54:46.740"</f>
        <v>2025-12-27 16:54:46.740</v>
      </c>
      <c r="H1064" t="s">
        <v>21</v>
      </c>
      <c r="I1064">
        <v>-0.24</v>
      </c>
      <c r="J1064" t="s">
        <v>37</v>
      </c>
    </row>
    <row r="1065" spans="1:10" x14ac:dyDescent="0.25">
      <c r="A1065" s="1">
        <v>124</v>
      </c>
      <c r="B1065" t="s">
        <v>22</v>
      </c>
      <c r="C1065">
        <v>635</v>
      </c>
      <c r="D1065">
        <v>1</v>
      </c>
      <c r="E1065" t="s">
        <v>34</v>
      </c>
      <c r="F1065" t="s">
        <v>35</v>
      </c>
      <c r="G1065" t="str">
        <f>"2025-12-27 15:19:21.940"</f>
        <v>2025-12-27 15:19:21.940</v>
      </c>
      <c r="H1065" t="s">
        <v>21</v>
      </c>
    </row>
    <row r="1066" spans="1:10" x14ac:dyDescent="0.25">
      <c r="A1066" s="1">
        <v>125</v>
      </c>
      <c r="B1066" t="s">
        <v>36</v>
      </c>
      <c r="C1066">
        <v>635</v>
      </c>
      <c r="D1066">
        <v>1</v>
      </c>
      <c r="E1066" t="s">
        <v>34</v>
      </c>
      <c r="F1066" t="s">
        <v>35</v>
      </c>
      <c r="G1066" t="str">
        <f>"2025-12-27 15:09:35.440"</f>
        <v>2025-12-27 15:09:35.440</v>
      </c>
      <c r="H1066" t="s">
        <v>21</v>
      </c>
      <c r="I1066">
        <v>1.63</v>
      </c>
      <c r="J1066" t="s">
        <v>28</v>
      </c>
    </row>
    <row r="1067" spans="1:10" x14ac:dyDescent="0.25">
      <c r="A1067" s="1">
        <v>126</v>
      </c>
      <c r="B1067" t="s">
        <v>19</v>
      </c>
      <c r="C1067">
        <v>700</v>
      </c>
      <c r="D1067">
        <v>0</v>
      </c>
      <c r="E1067" t="s">
        <v>20</v>
      </c>
      <c r="F1067" t="s">
        <v>20</v>
      </c>
      <c r="G1067" t="str">
        <f>"2025-12-27 09:21:06.462"</f>
        <v>2025-12-27 09:21:06.462</v>
      </c>
      <c r="H1067" t="s">
        <v>21</v>
      </c>
    </row>
    <row r="1068" spans="1:10" x14ac:dyDescent="0.25">
      <c r="A1068" s="1">
        <v>127</v>
      </c>
      <c r="B1068" t="s">
        <v>22</v>
      </c>
      <c r="C1068">
        <v>98</v>
      </c>
      <c r="D1068">
        <v>1</v>
      </c>
      <c r="E1068" t="s">
        <v>99</v>
      </c>
      <c r="F1068" t="s">
        <v>100</v>
      </c>
      <c r="G1068" t="str">
        <f>"2025-12-27 07:14:57.558"</f>
        <v>2025-12-27 07:14:57.558</v>
      </c>
      <c r="H1068" t="s">
        <v>21</v>
      </c>
    </row>
    <row r="1069" spans="1:10" x14ac:dyDescent="0.25">
      <c r="A1069" s="1">
        <v>128</v>
      </c>
      <c r="B1069" t="s">
        <v>36</v>
      </c>
      <c r="C1069">
        <v>98</v>
      </c>
      <c r="D1069">
        <v>1</v>
      </c>
      <c r="E1069" t="s">
        <v>99</v>
      </c>
      <c r="F1069" t="s">
        <v>100</v>
      </c>
      <c r="G1069" t="str">
        <f>"2025-12-27 07:14:56.559"</f>
        <v>2025-12-27 07:14:56.559</v>
      </c>
      <c r="H1069" t="s">
        <v>21</v>
      </c>
      <c r="I1069">
        <v>0</v>
      </c>
      <c r="J1069" t="s">
        <v>28</v>
      </c>
    </row>
    <row r="1070" spans="1:10" x14ac:dyDescent="0.25">
      <c r="A1070" s="1">
        <v>129</v>
      </c>
      <c r="B1070" t="s">
        <v>22</v>
      </c>
      <c r="C1070">
        <v>635</v>
      </c>
      <c r="D1070">
        <v>1</v>
      </c>
      <c r="E1070" t="s">
        <v>34</v>
      </c>
      <c r="F1070" t="s">
        <v>35</v>
      </c>
      <c r="G1070" t="str">
        <f>"2025-12-26 23:03:26.046"</f>
        <v>2025-12-26 23:03:26.046</v>
      </c>
      <c r="H1070" t="s">
        <v>21</v>
      </c>
    </row>
    <row r="1071" spans="1:10" x14ac:dyDescent="0.25">
      <c r="A1071" s="1">
        <v>130</v>
      </c>
      <c r="B1071" t="s">
        <v>36</v>
      </c>
      <c r="C1071">
        <v>635</v>
      </c>
      <c r="D1071">
        <v>1</v>
      </c>
      <c r="E1071" t="s">
        <v>34</v>
      </c>
      <c r="F1071" t="s">
        <v>35</v>
      </c>
      <c r="G1071" t="str">
        <f>"2025-12-26 22:21:01.546"</f>
        <v>2025-12-26 22:21:01.546</v>
      </c>
      <c r="H1071" t="s">
        <v>21</v>
      </c>
      <c r="I1071">
        <v>4.9400000000000004</v>
      </c>
      <c r="J1071" t="s">
        <v>37</v>
      </c>
    </row>
    <row r="1072" spans="1:10" x14ac:dyDescent="0.25">
      <c r="A1072" s="1">
        <v>131</v>
      </c>
      <c r="B1072" t="s">
        <v>22</v>
      </c>
      <c r="C1072">
        <v>635</v>
      </c>
      <c r="D1072">
        <v>1</v>
      </c>
      <c r="E1072" t="s">
        <v>34</v>
      </c>
      <c r="F1072" t="s">
        <v>35</v>
      </c>
      <c r="G1072" t="str">
        <f>"2025-12-26 15:25:00.246"</f>
        <v>2025-12-26 15:25:00.246</v>
      </c>
      <c r="H1072" t="s">
        <v>21</v>
      </c>
    </row>
    <row r="1073" spans="1:10" x14ac:dyDescent="0.25">
      <c r="A1073" s="1">
        <v>132</v>
      </c>
      <c r="B1073" t="s">
        <v>36</v>
      </c>
      <c r="C1073">
        <v>635</v>
      </c>
      <c r="D1073">
        <v>1</v>
      </c>
      <c r="E1073" t="s">
        <v>34</v>
      </c>
      <c r="F1073" t="s">
        <v>35</v>
      </c>
      <c r="G1073" t="str">
        <f>"2025-12-26 15:20:17.246"</f>
        <v>2025-12-26 15:20:17.246</v>
      </c>
      <c r="H1073" t="s">
        <v>21</v>
      </c>
      <c r="I1073">
        <v>2.94</v>
      </c>
      <c r="J1073" t="s">
        <v>28</v>
      </c>
    </row>
    <row r="1074" spans="1:10" x14ac:dyDescent="0.25">
      <c r="A1074" s="1">
        <v>133</v>
      </c>
      <c r="B1074" t="s">
        <v>22</v>
      </c>
      <c r="C1074">
        <v>635</v>
      </c>
      <c r="D1074">
        <v>1</v>
      </c>
      <c r="E1074" t="s">
        <v>34</v>
      </c>
      <c r="F1074" t="s">
        <v>35</v>
      </c>
      <c r="G1074" t="str">
        <f>"2025-12-25 17:23:22.746"</f>
        <v>2025-12-25 17:23:22.746</v>
      </c>
      <c r="H1074" t="s">
        <v>21</v>
      </c>
    </row>
    <row r="1075" spans="1:10" x14ac:dyDescent="0.25">
      <c r="A1075" s="1">
        <v>134</v>
      </c>
      <c r="B1075" t="s">
        <v>36</v>
      </c>
      <c r="C1075">
        <v>635</v>
      </c>
      <c r="D1075">
        <v>1</v>
      </c>
      <c r="E1075" t="s">
        <v>34</v>
      </c>
      <c r="F1075" t="s">
        <v>35</v>
      </c>
      <c r="G1075" t="str">
        <f>"2025-12-25 17:18:57.746"</f>
        <v>2025-12-25 17:18:57.746</v>
      </c>
      <c r="H1075" t="s">
        <v>21</v>
      </c>
      <c r="I1075">
        <v>3.49</v>
      </c>
      <c r="J1075" t="s">
        <v>27</v>
      </c>
    </row>
    <row r="1076" spans="1:10" x14ac:dyDescent="0.25">
      <c r="A1076" s="1">
        <v>135</v>
      </c>
      <c r="B1076" t="s">
        <v>22</v>
      </c>
      <c r="C1076">
        <v>635</v>
      </c>
      <c r="D1076">
        <v>1</v>
      </c>
      <c r="E1076" t="s">
        <v>34</v>
      </c>
      <c r="F1076" t="s">
        <v>35</v>
      </c>
      <c r="G1076" t="str">
        <f>"2025-12-25 15:41:10.946"</f>
        <v>2025-12-25 15:41:10.946</v>
      </c>
      <c r="H1076" t="s">
        <v>21</v>
      </c>
    </row>
    <row r="1077" spans="1:10" x14ac:dyDescent="0.25">
      <c r="A1077" s="1">
        <v>136</v>
      </c>
      <c r="B1077" t="s">
        <v>36</v>
      </c>
      <c r="C1077">
        <v>635</v>
      </c>
      <c r="D1077">
        <v>1</v>
      </c>
      <c r="E1077" t="s">
        <v>34</v>
      </c>
      <c r="F1077" t="s">
        <v>35</v>
      </c>
      <c r="G1077" t="str">
        <f>"2025-12-25 15:38:21.446"</f>
        <v>2025-12-25 15:38:21.446</v>
      </c>
      <c r="H1077" t="s">
        <v>21</v>
      </c>
      <c r="I1077">
        <v>4.88</v>
      </c>
      <c r="J1077" t="s">
        <v>27</v>
      </c>
    </row>
    <row r="1078" spans="1:10" x14ac:dyDescent="0.25">
      <c r="A1078" s="1">
        <v>137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"2025-12-25 09:42:26.479"</f>
        <v>2025-12-25 09:42:26.479</v>
      </c>
      <c r="H1078" t="s">
        <v>21</v>
      </c>
    </row>
    <row r="1079" spans="1:10" x14ac:dyDescent="0.25">
      <c r="A1079" s="1">
        <v>138</v>
      </c>
      <c r="B1079" t="s">
        <v>22</v>
      </c>
      <c r="C1079">
        <v>635</v>
      </c>
      <c r="D1079">
        <v>1</v>
      </c>
      <c r="E1079" t="s">
        <v>34</v>
      </c>
      <c r="F1079" t="s">
        <v>35</v>
      </c>
      <c r="G1079" t="str">
        <f>"2025-12-25 04:52:49.790"</f>
        <v>2025-12-25 04:52:49.790</v>
      </c>
      <c r="H1079" t="s">
        <v>21</v>
      </c>
    </row>
    <row r="1080" spans="1:10" x14ac:dyDescent="0.25">
      <c r="A1080" s="1">
        <v>139</v>
      </c>
      <c r="B1080" t="s">
        <v>36</v>
      </c>
      <c r="C1080">
        <v>635</v>
      </c>
      <c r="D1080">
        <v>1</v>
      </c>
      <c r="E1080" t="s">
        <v>34</v>
      </c>
      <c r="F1080" t="s">
        <v>35</v>
      </c>
      <c r="G1080" t="str">
        <f>"2025-12-25 04:24:59.790"</f>
        <v>2025-12-25 04:24:59.790</v>
      </c>
      <c r="H1080" t="s">
        <v>21</v>
      </c>
      <c r="I1080">
        <v>5.21</v>
      </c>
      <c r="J1080" t="s">
        <v>37</v>
      </c>
    </row>
    <row r="1081" spans="1:10" x14ac:dyDescent="0.25">
      <c r="A1081" s="1">
        <v>140</v>
      </c>
      <c r="B1081" t="s">
        <v>19</v>
      </c>
      <c r="C1081">
        <v>706</v>
      </c>
      <c r="D1081">
        <v>4</v>
      </c>
      <c r="E1081" t="s">
        <v>29</v>
      </c>
      <c r="F1081" t="s">
        <v>53</v>
      </c>
      <c r="G1081" t="str">
        <f>"2025-12-24 16:08:32.342"</f>
        <v>2025-12-24 16:08:32.342</v>
      </c>
      <c r="H1081" t="s">
        <v>21</v>
      </c>
      <c r="I1081">
        <v>0</v>
      </c>
      <c r="J1081" t="s">
        <v>31</v>
      </c>
    </row>
    <row r="1082" spans="1:10" x14ac:dyDescent="0.25">
      <c r="A1082" s="1">
        <v>141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"2025-12-24 16:02:14.482"</f>
        <v>2025-12-24 16:02:14.482</v>
      </c>
      <c r="H1082" t="s">
        <v>21</v>
      </c>
      <c r="I1082">
        <v>0</v>
      </c>
      <c r="J1082" t="s">
        <v>33</v>
      </c>
    </row>
    <row r="1083" spans="1:10" x14ac:dyDescent="0.25">
      <c r="A1083" s="1">
        <v>142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"2025-12-24 15:23:56.459"</f>
        <v>2025-12-24 15:23:56.459</v>
      </c>
      <c r="H1083" t="s">
        <v>21</v>
      </c>
      <c r="I1083">
        <v>0</v>
      </c>
      <c r="J1083" t="s">
        <v>33</v>
      </c>
    </row>
    <row r="1084" spans="1:10" x14ac:dyDescent="0.25">
      <c r="A1084" s="1">
        <v>143</v>
      </c>
      <c r="B1084" t="s">
        <v>19</v>
      </c>
      <c r="C1084">
        <v>706</v>
      </c>
      <c r="D1084">
        <v>4</v>
      </c>
      <c r="E1084" t="s">
        <v>29</v>
      </c>
      <c r="F1084" t="s">
        <v>53</v>
      </c>
      <c r="G1084" t="str">
        <f>"2025-12-24 14:56:21.695"</f>
        <v>2025-12-24 14:56:21.695</v>
      </c>
      <c r="H1084" t="s">
        <v>21</v>
      </c>
      <c r="I1084">
        <v>0</v>
      </c>
      <c r="J1084" t="s">
        <v>31</v>
      </c>
    </row>
    <row r="1085" spans="1:10" x14ac:dyDescent="0.25">
      <c r="A1085" s="1">
        <v>144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"2025-12-24 08:57:12.635"</f>
        <v>2025-12-24 08:57:12.635</v>
      </c>
      <c r="H1085" t="s">
        <v>21</v>
      </c>
      <c r="I1085">
        <v>0</v>
      </c>
      <c r="J1085" t="s">
        <v>33</v>
      </c>
    </row>
    <row r="1086" spans="1:10" x14ac:dyDescent="0.25">
      <c r="A1086" s="1">
        <v>145</v>
      </c>
      <c r="B1086" t="s">
        <v>19</v>
      </c>
      <c r="C1086">
        <v>706</v>
      </c>
      <c r="D1086">
        <v>4</v>
      </c>
      <c r="E1086" t="s">
        <v>29</v>
      </c>
      <c r="F1086" t="s">
        <v>53</v>
      </c>
      <c r="G1086" t="str">
        <f>"2025-12-24 08:01:44.610"</f>
        <v>2025-12-24 08:01:44.610</v>
      </c>
      <c r="H1086" t="s">
        <v>21</v>
      </c>
      <c r="I1086">
        <v>0</v>
      </c>
      <c r="J1086" t="s">
        <v>31</v>
      </c>
    </row>
    <row r="1087" spans="1:10" x14ac:dyDescent="0.25">
      <c r="A1087" s="1">
        <v>146</v>
      </c>
      <c r="B1087" t="s">
        <v>19</v>
      </c>
      <c r="C1087">
        <v>706</v>
      </c>
      <c r="D1087">
        <v>4</v>
      </c>
      <c r="E1087" t="s">
        <v>29</v>
      </c>
      <c r="F1087" t="s">
        <v>53</v>
      </c>
      <c r="G1087" t="str">
        <f>"2025-12-24 06:36:19.970"</f>
        <v>2025-12-24 06:36:19.970</v>
      </c>
      <c r="H1087" t="s">
        <v>21</v>
      </c>
      <c r="I1087">
        <v>0</v>
      </c>
      <c r="J1087" t="s">
        <v>31</v>
      </c>
    </row>
    <row r="1088" spans="1:10" x14ac:dyDescent="0.25">
      <c r="A1088" s="1">
        <v>147</v>
      </c>
      <c r="B1088" t="s">
        <v>19</v>
      </c>
      <c r="C1088">
        <v>700</v>
      </c>
      <c r="D1088">
        <v>0</v>
      </c>
      <c r="E1088" t="s">
        <v>20</v>
      </c>
      <c r="F1088" t="s">
        <v>20</v>
      </c>
      <c r="G1088" t="str">
        <f>"2025-12-24 05:42:10.440"</f>
        <v>2025-12-24 05:42:10.440</v>
      </c>
      <c r="H1088" t="s">
        <v>21</v>
      </c>
      <c r="I1088">
        <v>0</v>
      </c>
      <c r="J1088" t="s">
        <v>33</v>
      </c>
    </row>
    <row r="1089" spans="1:10" x14ac:dyDescent="0.25">
      <c r="A1089" s="1">
        <v>148</v>
      </c>
      <c r="B1089" t="s">
        <v>19</v>
      </c>
      <c r="C1089">
        <v>700</v>
      </c>
      <c r="D1089">
        <v>0</v>
      </c>
      <c r="E1089" t="s">
        <v>20</v>
      </c>
      <c r="F1089" t="s">
        <v>20</v>
      </c>
      <c r="G1089" t="str">
        <f>"2025-12-24 03:43:47.442"</f>
        <v>2025-12-24 03:43:47.442</v>
      </c>
      <c r="H1089" t="s">
        <v>21</v>
      </c>
      <c r="I1089">
        <v>0</v>
      </c>
      <c r="J1089" t="s">
        <v>33</v>
      </c>
    </row>
    <row r="1090" spans="1:10" x14ac:dyDescent="0.25">
      <c r="A1090" s="1">
        <v>149</v>
      </c>
      <c r="B1090" t="s">
        <v>19</v>
      </c>
      <c r="C1090">
        <v>706</v>
      </c>
      <c r="D1090">
        <v>4</v>
      </c>
      <c r="E1090" t="s">
        <v>29</v>
      </c>
      <c r="F1090" t="s">
        <v>53</v>
      </c>
      <c r="G1090" t="str">
        <f>"2025-12-24 03:23:14.519"</f>
        <v>2025-12-24 03:23:14.519</v>
      </c>
      <c r="H1090" t="s">
        <v>21</v>
      </c>
      <c r="I1090">
        <v>0</v>
      </c>
      <c r="J1090" t="s">
        <v>31</v>
      </c>
    </row>
    <row r="1091" spans="1:10" x14ac:dyDescent="0.25">
      <c r="A1091" s="1">
        <v>150</v>
      </c>
      <c r="B1091" t="s">
        <v>19</v>
      </c>
      <c r="C1091">
        <v>700</v>
      </c>
      <c r="D1091">
        <v>0</v>
      </c>
      <c r="E1091" t="s">
        <v>20</v>
      </c>
      <c r="F1091" t="s">
        <v>20</v>
      </c>
      <c r="G1091" t="str">
        <f>"2025-12-24 03:22:56.439"</f>
        <v>2025-12-24 03:22:56.439</v>
      </c>
      <c r="H1091" t="s">
        <v>21</v>
      </c>
      <c r="I1091">
        <v>0</v>
      </c>
      <c r="J1091" t="s">
        <v>33</v>
      </c>
    </row>
    <row r="1092" spans="1:10" x14ac:dyDescent="0.25">
      <c r="A1092" s="1">
        <v>151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"2025-12-24 03:02:49.445"</f>
        <v>2025-12-24 03:02:49.445</v>
      </c>
      <c r="H1092" t="s">
        <v>21</v>
      </c>
      <c r="I1092">
        <v>0</v>
      </c>
      <c r="J1092" t="s">
        <v>33</v>
      </c>
    </row>
    <row r="1093" spans="1:10" x14ac:dyDescent="0.25">
      <c r="A1093" s="1">
        <v>152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"2025-12-24 02:58:27.444"</f>
        <v>2025-12-24 02:58:27.444</v>
      </c>
      <c r="H1093" t="s">
        <v>21</v>
      </c>
    </row>
    <row r="1094" spans="1:10" x14ac:dyDescent="0.25">
      <c r="A1094" s="1">
        <v>153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"2025-12-24 02:18:50.424"</f>
        <v>2025-12-24 02:18:50.424</v>
      </c>
      <c r="H1094" t="s">
        <v>21</v>
      </c>
      <c r="I1094">
        <v>0</v>
      </c>
      <c r="J1094" t="s">
        <v>33</v>
      </c>
    </row>
    <row r="1095" spans="1:10" x14ac:dyDescent="0.25">
      <c r="A1095" s="1">
        <v>154</v>
      </c>
      <c r="B1095" t="s">
        <v>19</v>
      </c>
      <c r="C1095">
        <v>700</v>
      </c>
      <c r="D1095">
        <v>0</v>
      </c>
      <c r="E1095" t="s">
        <v>20</v>
      </c>
      <c r="F1095" t="s">
        <v>20</v>
      </c>
      <c r="G1095" t="str">
        <f>"2025-12-24 02:12:16.428"</f>
        <v>2025-12-24 02:12:16.428</v>
      </c>
      <c r="H1095" t="s">
        <v>21</v>
      </c>
      <c r="I1095">
        <v>0</v>
      </c>
      <c r="J1095" t="s">
        <v>33</v>
      </c>
    </row>
    <row r="1096" spans="1:10" x14ac:dyDescent="0.25">
      <c r="A1096" s="1">
        <v>155</v>
      </c>
      <c r="B1096" t="s">
        <v>19</v>
      </c>
      <c r="C1096">
        <v>700</v>
      </c>
      <c r="D1096">
        <v>0</v>
      </c>
      <c r="E1096" t="s">
        <v>20</v>
      </c>
      <c r="F1096" t="s">
        <v>20</v>
      </c>
      <c r="G1096" t="str">
        <f>"2025-12-24 02:08:57.455"</f>
        <v>2025-12-24 02:08:57.455</v>
      </c>
      <c r="H1096" t="s">
        <v>21</v>
      </c>
      <c r="I1096">
        <v>0</v>
      </c>
      <c r="J1096" t="s">
        <v>33</v>
      </c>
    </row>
    <row r="1097" spans="1:10" x14ac:dyDescent="0.25">
      <c r="A1097" s="1">
        <v>156</v>
      </c>
      <c r="B1097" t="s">
        <v>19</v>
      </c>
      <c r="C1097">
        <v>706</v>
      </c>
      <c r="D1097">
        <v>4</v>
      </c>
      <c r="E1097" t="s">
        <v>29</v>
      </c>
      <c r="F1097" t="s">
        <v>53</v>
      </c>
      <c r="G1097" t="str">
        <f>"2025-12-24 02:08:00.190"</f>
        <v>2025-12-24 02:08:00.190</v>
      </c>
      <c r="H1097" t="s">
        <v>21</v>
      </c>
      <c r="I1097">
        <v>0</v>
      </c>
      <c r="J1097" t="s">
        <v>31</v>
      </c>
    </row>
    <row r="1098" spans="1:10" x14ac:dyDescent="0.25">
      <c r="A1098" s="1">
        <v>157</v>
      </c>
      <c r="B1098" t="s">
        <v>19</v>
      </c>
      <c r="C1098">
        <v>706</v>
      </c>
      <c r="D1098">
        <v>4</v>
      </c>
      <c r="E1098" t="s">
        <v>29</v>
      </c>
      <c r="F1098" t="s">
        <v>53</v>
      </c>
      <c r="G1098" t="str">
        <f>"2025-12-24 00:37:07.600"</f>
        <v>2025-12-24 00:37:07.600</v>
      </c>
      <c r="H1098" t="s">
        <v>21</v>
      </c>
      <c r="I1098">
        <v>0</v>
      </c>
      <c r="J1098" t="s">
        <v>31</v>
      </c>
    </row>
    <row r="1099" spans="1:10" x14ac:dyDescent="0.25">
      <c r="A1099" s="1">
        <v>158</v>
      </c>
      <c r="B1099" t="s">
        <v>19</v>
      </c>
      <c r="C1099">
        <v>706</v>
      </c>
      <c r="D1099">
        <v>4</v>
      </c>
      <c r="E1099" t="s">
        <v>29</v>
      </c>
      <c r="F1099" t="s">
        <v>53</v>
      </c>
      <c r="G1099" t="str">
        <f>"2025-12-24 00:31:54.220"</f>
        <v>2025-12-24 00:31:54.220</v>
      </c>
      <c r="H1099" t="s">
        <v>21</v>
      </c>
      <c r="I1099">
        <v>0</v>
      </c>
      <c r="J1099" t="s">
        <v>31</v>
      </c>
    </row>
    <row r="1100" spans="1:10" x14ac:dyDescent="0.25">
      <c r="A1100" s="1">
        <v>159</v>
      </c>
      <c r="B1100" t="s">
        <v>19</v>
      </c>
      <c r="C1100">
        <v>706</v>
      </c>
      <c r="D1100">
        <v>3</v>
      </c>
      <c r="E1100" t="s">
        <v>29</v>
      </c>
      <c r="F1100" t="s">
        <v>32</v>
      </c>
      <c r="G1100" t="str">
        <f>"2025-12-24 00:23:18.610"</f>
        <v>2025-12-24 00:23:18.610</v>
      </c>
      <c r="H1100" t="s">
        <v>21</v>
      </c>
      <c r="I1100">
        <v>0</v>
      </c>
      <c r="J1100" t="s">
        <v>31</v>
      </c>
    </row>
    <row r="1101" spans="1:10" x14ac:dyDescent="0.25">
      <c r="A1101" s="1">
        <v>160</v>
      </c>
      <c r="B1101" t="s">
        <v>19</v>
      </c>
      <c r="C1101">
        <v>706</v>
      </c>
      <c r="D1101">
        <v>4</v>
      </c>
      <c r="E1101" t="s">
        <v>29</v>
      </c>
      <c r="F1101" t="s">
        <v>53</v>
      </c>
      <c r="G1101" t="str">
        <f>"2025-12-24 00:22:43.730"</f>
        <v>2025-12-24 00:22:43.730</v>
      </c>
      <c r="H1101" t="s">
        <v>21</v>
      </c>
      <c r="I1101">
        <v>0</v>
      </c>
      <c r="J1101" t="s">
        <v>31</v>
      </c>
    </row>
    <row r="1102" spans="1:10" x14ac:dyDescent="0.25">
      <c r="A1102" s="1">
        <v>161</v>
      </c>
      <c r="B1102" t="s">
        <v>19</v>
      </c>
      <c r="C1102">
        <v>706</v>
      </c>
      <c r="D1102">
        <v>3</v>
      </c>
      <c r="E1102" t="s">
        <v>29</v>
      </c>
      <c r="F1102" t="s">
        <v>32</v>
      </c>
      <c r="G1102" t="str">
        <f>"2025-12-24 00:13:02.440"</f>
        <v>2025-12-24 00:13:02.440</v>
      </c>
      <c r="H1102" t="s">
        <v>21</v>
      </c>
      <c r="I1102">
        <v>0</v>
      </c>
      <c r="J1102" t="s">
        <v>31</v>
      </c>
    </row>
    <row r="1103" spans="1:10" x14ac:dyDescent="0.25">
      <c r="A1103" s="1">
        <v>162</v>
      </c>
      <c r="B1103" t="s">
        <v>19</v>
      </c>
      <c r="C1103">
        <v>700</v>
      </c>
      <c r="D1103">
        <v>0</v>
      </c>
      <c r="E1103" t="s">
        <v>20</v>
      </c>
      <c r="F1103" t="s">
        <v>20</v>
      </c>
      <c r="G1103" t="str">
        <f>"2025-12-24 00:12:38.440"</f>
        <v>2025-12-24 00:12:38.440</v>
      </c>
      <c r="H1103" t="s">
        <v>21</v>
      </c>
    </row>
    <row r="1104" spans="1:10" x14ac:dyDescent="0.25">
      <c r="A1104" s="1">
        <v>163</v>
      </c>
      <c r="B1104" t="s">
        <v>19</v>
      </c>
      <c r="C1104">
        <v>706</v>
      </c>
      <c r="D1104">
        <v>2</v>
      </c>
      <c r="E1104" t="s">
        <v>29</v>
      </c>
      <c r="F1104" t="s">
        <v>30</v>
      </c>
      <c r="G1104" t="str">
        <f>"2025-12-24 00:10:40.978"</f>
        <v>2025-12-24 00:10:40.978</v>
      </c>
      <c r="H1104" t="s">
        <v>21</v>
      </c>
      <c r="I1104">
        <v>0</v>
      </c>
      <c r="J1104" t="s">
        <v>31</v>
      </c>
    </row>
    <row r="1105" spans="1:10" x14ac:dyDescent="0.25">
      <c r="A1105" s="1">
        <v>164</v>
      </c>
      <c r="B1105" t="s">
        <v>19</v>
      </c>
      <c r="C1105">
        <v>706</v>
      </c>
      <c r="D1105">
        <v>2</v>
      </c>
      <c r="E1105" t="s">
        <v>29</v>
      </c>
      <c r="F1105" t="s">
        <v>30</v>
      </c>
      <c r="G1105" t="str">
        <f>"2025-12-24 00:10:20.178"</f>
        <v>2025-12-24 00:10:20.178</v>
      </c>
      <c r="H1105" t="s">
        <v>21</v>
      </c>
      <c r="I1105">
        <v>0</v>
      </c>
      <c r="J1105" t="s">
        <v>31</v>
      </c>
    </row>
    <row r="1106" spans="1:10" x14ac:dyDescent="0.25">
      <c r="A1106" s="1">
        <v>165</v>
      </c>
      <c r="B1106" t="s">
        <v>19</v>
      </c>
      <c r="C1106">
        <v>706</v>
      </c>
      <c r="D1106">
        <v>2</v>
      </c>
      <c r="E1106" t="s">
        <v>29</v>
      </c>
      <c r="F1106" t="s">
        <v>30</v>
      </c>
      <c r="G1106" t="str">
        <f>"2025-12-23 23:47:40.778"</f>
        <v>2025-12-23 23:47:40.778</v>
      </c>
      <c r="H1106" t="s">
        <v>21</v>
      </c>
      <c r="I1106">
        <v>0</v>
      </c>
      <c r="J1106" t="s">
        <v>31</v>
      </c>
    </row>
    <row r="1107" spans="1:10" x14ac:dyDescent="0.25">
      <c r="A1107" s="1">
        <v>166</v>
      </c>
      <c r="B1107" t="s">
        <v>19</v>
      </c>
      <c r="C1107">
        <v>706</v>
      </c>
      <c r="D1107">
        <v>4</v>
      </c>
      <c r="E1107" t="s">
        <v>29</v>
      </c>
      <c r="F1107" t="s">
        <v>53</v>
      </c>
      <c r="G1107" t="str">
        <f>"2025-12-23 23:46:48.328"</f>
        <v>2025-12-23 23:46:48.328</v>
      </c>
      <c r="H1107" t="s">
        <v>21</v>
      </c>
      <c r="I1107">
        <v>0</v>
      </c>
      <c r="J1107" t="s">
        <v>31</v>
      </c>
    </row>
    <row r="1108" spans="1:10" x14ac:dyDescent="0.25">
      <c r="A1108" s="1">
        <v>167</v>
      </c>
      <c r="B1108" t="s">
        <v>19</v>
      </c>
      <c r="C1108">
        <v>706</v>
      </c>
      <c r="D1108">
        <v>2</v>
      </c>
      <c r="E1108" t="s">
        <v>29</v>
      </c>
      <c r="F1108" t="s">
        <v>30</v>
      </c>
      <c r="G1108" t="str">
        <f>"2025-12-23 23:42:28.378"</f>
        <v>2025-12-23 23:42:28.378</v>
      </c>
      <c r="H1108" t="s">
        <v>21</v>
      </c>
      <c r="I1108">
        <v>0</v>
      </c>
      <c r="J1108" t="s">
        <v>31</v>
      </c>
    </row>
    <row r="1109" spans="1:10" x14ac:dyDescent="0.25">
      <c r="A1109" s="1">
        <v>168</v>
      </c>
      <c r="B1109" t="s">
        <v>19</v>
      </c>
      <c r="C1109">
        <v>700</v>
      </c>
      <c r="D1109">
        <v>0</v>
      </c>
      <c r="E1109" t="s">
        <v>20</v>
      </c>
      <c r="F1109" t="s">
        <v>20</v>
      </c>
      <c r="G1109" t="str">
        <f>"2025-12-23 23:41:56.448"</f>
        <v>2025-12-23 23:41:56.448</v>
      </c>
      <c r="H1109" t="s">
        <v>21</v>
      </c>
    </row>
    <row r="1110" spans="1:10" x14ac:dyDescent="0.25">
      <c r="A1110" s="1">
        <v>169</v>
      </c>
      <c r="B1110" t="s">
        <v>19</v>
      </c>
      <c r="C1110">
        <v>706</v>
      </c>
      <c r="D1110">
        <v>2</v>
      </c>
      <c r="E1110" t="s">
        <v>29</v>
      </c>
      <c r="F1110" t="s">
        <v>30</v>
      </c>
      <c r="G1110" t="str">
        <f>"2025-12-23 23:40:22.362"</f>
        <v>2025-12-23 23:40:22.362</v>
      </c>
      <c r="H1110" t="s">
        <v>21</v>
      </c>
      <c r="I1110">
        <v>0</v>
      </c>
      <c r="J1110" t="s">
        <v>31</v>
      </c>
    </row>
    <row r="1111" spans="1:10" x14ac:dyDescent="0.25">
      <c r="A1111" s="1">
        <v>170</v>
      </c>
      <c r="B1111" t="s">
        <v>19</v>
      </c>
      <c r="C1111">
        <v>706</v>
      </c>
      <c r="D1111">
        <v>2</v>
      </c>
      <c r="E1111" t="s">
        <v>29</v>
      </c>
      <c r="F1111" t="s">
        <v>30</v>
      </c>
      <c r="G1111" t="str">
        <f>"2025-12-23 22:29:20.962"</f>
        <v>2025-12-23 22:29:20.962</v>
      </c>
      <c r="H1111" t="s">
        <v>21</v>
      </c>
      <c r="I1111">
        <v>0</v>
      </c>
      <c r="J1111" t="s">
        <v>31</v>
      </c>
    </row>
    <row r="1112" spans="1:10" x14ac:dyDescent="0.25">
      <c r="A1112" s="1">
        <v>171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"2025-12-23 22:28:37.452"</f>
        <v>2025-12-23 22:28:37.452</v>
      </c>
      <c r="H1112" t="s">
        <v>21</v>
      </c>
      <c r="I1112">
        <v>0</v>
      </c>
      <c r="J1112" t="s">
        <v>33</v>
      </c>
    </row>
    <row r="1113" spans="1:10" x14ac:dyDescent="0.25">
      <c r="A1113" s="1">
        <v>172</v>
      </c>
      <c r="B1113" t="s">
        <v>19</v>
      </c>
      <c r="C1113">
        <v>706</v>
      </c>
      <c r="D1113">
        <v>4</v>
      </c>
      <c r="E1113" t="s">
        <v>29</v>
      </c>
      <c r="F1113" t="s">
        <v>53</v>
      </c>
      <c r="G1113" t="str">
        <f>"2025-12-23 22:21:34.161"</f>
        <v>2025-12-23 22:21:34.161</v>
      </c>
      <c r="H1113" t="s">
        <v>21</v>
      </c>
      <c r="I1113">
        <v>0</v>
      </c>
      <c r="J1113" t="s">
        <v>31</v>
      </c>
    </row>
    <row r="1114" spans="1:10" x14ac:dyDescent="0.25">
      <c r="A1114" s="1">
        <v>173</v>
      </c>
      <c r="B1114" t="s">
        <v>19</v>
      </c>
      <c r="C1114">
        <v>706</v>
      </c>
      <c r="D1114">
        <v>2</v>
      </c>
      <c r="E1114" t="s">
        <v>29</v>
      </c>
      <c r="F1114" t="s">
        <v>30</v>
      </c>
      <c r="G1114" t="str">
        <f>"2025-12-23 22:18:34.061"</f>
        <v>2025-12-23 22:18:34.061</v>
      </c>
      <c r="H1114" t="s">
        <v>21</v>
      </c>
      <c r="I1114">
        <v>0</v>
      </c>
      <c r="J1114" t="s">
        <v>31</v>
      </c>
    </row>
    <row r="1115" spans="1:10" x14ac:dyDescent="0.25">
      <c r="A1115" s="1">
        <v>174</v>
      </c>
      <c r="B1115" t="s">
        <v>19</v>
      </c>
      <c r="C1115">
        <v>706</v>
      </c>
      <c r="D1115">
        <v>3</v>
      </c>
      <c r="E1115" t="s">
        <v>29</v>
      </c>
      <c r="F1115" t="s">
        <v>32</v>
      </c>
      <c r="G1115" t="str">
        <f>"2025-12-23 22:17:56.851"</f>
        <v>2025-12-23 22:17:56.851</v>
      </c>
      <c r="H1115" t="s">
        <v>21</v>
      </c>
      <c r="I1115">
        <v>0</v>
      </c>
      <c r="J1115" t="s">
        <v>31</v>
      </c>
    </row>
    <row r="1116" spans="1:10" x14ac:dyDescent="0.25">
      <c r="A1116" s="1">
        <v>175</v>
      </c>
      <c r="B1116" t="s">
        <v>19</v>
      </c>
      <c r="C1116">
        <v>706</v>
      </c>
      <c r="D1116">
        <v>2</v>
      </c>
      <c r="E1116" t="s">
        <v>29</v>
      </c>
      <c r="F1116" t="s">
        <v>30</v>
      </c>
      <c r="G1116" t="str">
        <f>"2025-12-23 22:17:18.761"</f>
        <v>2025-12-23 22:17:18.761</v>
      </c>
      <c r="H1116" t="s">
        <v>21</v>
      </c>
      <c r="I1116">
        <v>0</v>
      </c>
      <c r="J1116" t="s">
        <v>31</v>
      </c>
    </row>
    <row r="1117" spans="1:10" x14ac:dyDescent="0.25">
      <c r="A1117" s="1">
        <v>176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"2025-12-23 22:15:55.441"</f>
        <v>2025-12-23 22:15:55.441</v>
      </c>
      <c r="H1117" t="s">
        <v>21</v>
      </c>
    </row>
    <row r="1118" spans="1:10" x14ac:dyDescent="0.25">
      <c r="A1118" s="1">
        <v>177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"2025-12-23 10:02:15.516"</f>
        <v>2025-12-23 10:02:15.516</v>
      </c>
      <c r="H1118" t="s">
        <v>21</v>
      </c>
      <c r="I1118">
        <v>0</v>
      </c>
      <c r="J1118" t="s">
        <v>33</v>
      </c>
    </row>
    <row r="1119" spans="1:10" x14ac:dyDescent="0.25">
      <c r="A1119" s="1">
        <v>178</v>
      </c>
      <c r="B1119" t="s">
        <v>22</v>
      </c>
      <c r="C1119">
        <v>635</v>
      </c>
      <c r="D1119">
        <v>1</v>
      </c>
      <c r="E1119" t="s">
        <v>34</v>
      </c>
      <c r="F1119" t="s">
        <v>35</v>
      </c>
      <c r="G1119" t="str">
        <f>"2025-12-23 05:04:07.602"</f>
        <v>2025-12-23 05:04:07.602</v>
      </c>
      <c r="H1119" t="s">
        <v>21</v>
      </c>
    </row>
    <row r="1120" spans="1:10" x14ac:dyDescent="0.25">
      <c r="A1120" s="1">
        <v>179</v>
      </c>
      <c r="B1120" t="s">
        <v>36</v>
      </c>
      <c r="C1120">
        <v>635</v>
      </c>
      <c r="D1120">
        <v>1</v>
      </c>
      <c r="E1120" t="s">
        <v>34</v>
      </c>
      <c r="F1120" t="s">
        <v>35</v>
      </c>
      <c r="G1120" t="str">
        <f>"2025-12-23 05:01:25.102"</f>
        <v>2025-12-23 05:01:25.102</v>
      </c>
      <c r="H1120" t="s">
        <v>21</v>
      </c>
      <c r="I1120">
        <v>3.3</v>
      </c>
      <c r="J1120" t="s">
        <v>37</v>
      </c>
    </row>
    <row r="1121" spans="1:10" x14ac:dyDescent="0.25">
      <c r="A1121" s="1">
        <v>180</v>
      </c>
      <c r="B1121" t="s">
        <v>40</v>
      </c>
      <c r="C1121">
        <v>215</v>
      </c>
      <c r="D1121">
        <v>5</v>
      </c>
      <c r="E1121" t="s">
        <v>41</v>
      </c>
      <c r="F1121" t="s">
        <v>103</v>
      </c>
      <c r="G1121" t="str">
        <f>"2025-12-22 03:07:28.215"</f>
        <v>2025-12-22 03:07:28.215</v>
      </c>
      <c r="H1121" t="s">
        <v>21</v>
      </c>
    </row>
    <row r="1122" spans="1:10" x14ac:dyDescent="0.25">
      <c r="A1122" s="1">
        <v>181</v>
      </c>
      <c r="B1122" t="s">
        <v>22</v>
      </c>
      <c r="C1122">
        <v>14</v>
      </c>
      <c r="D1122">
        <v>13</v>
      </c>
      <c r="E1122" t="s">
        <v>85</v>
      </c>
      <c r="F1122" t="s">
        <v>86</v>
      </c>
      <c r="G1122" t="str">
        <f>"2025-12-22 03:07:26.260"</f>
        <v>2025-12-22 03:07:26.260</v>
      </c>
      <c r="H1122" t="s">
        <v>25</v>
      </c>
    </row>
    <row r="1123" spans="1:10" x14ac:dyDescent="0.25">
      <c r="A1123" s="1">
        <v>182</v>
      </c>
      <c r="B1123" t="s">
        <v>22</v>
      </c>
      <c r="C1123">
        <v>14</v>
      </c>
      <c r="D1123">
        <v>10</v>
      </c>
      <c r="E1123" t="s">
        <v>85</v>
      </c>
      <c r="F1123" t="s">
        <v>87</v>
      </c>
      <c r="G1123" t="str">
        <f>"2025-12-22 03:07:26.256"</f>
        <v>2025-12-22 03:07:26.256</v>
      </c>
      <c r="H1123" t="s">
        <v>25</v>
      </c>
    </row>
    <row r="1124" spans="1:10" x14ac:dyDescent="0.25">
      <c r="A1124" s="1">
        <v>183</v>
      </c>
      <c r="B1124" t="s">
        <v>26</v>
      </c>
      <c r="C1124">
        <v>215</v>
      </c>
      <c r="D1124">
        <v>5</v>
      </c>
      <c r="E1124" t="s">
        <v>41</v>
      </c>
      <c r="F1124" t="s">
        <v>103</v>
      </c>
      <c r="G1124" t="str">
        <f>"2025-12-22 03:07:23.178"</f>
        <v>2025-12-22 03:07:23.178</v>
      </c>
      <c r="H1124" t="s">
        <v>21</v>
      </c>
      <c r="I1124">
        <v>0.28999999999999998</v>
      </c>
      <c r="J1124" t="s">
        <v>28</v>
      </c>
    </row>
    <row r="1125" spans="1:10" s="3" customFormat="1" x14ac:dyDescent="0.25">
      <c r="A1125" s="2">
        <v>184</v>
      </c>
      <c r="B1125" s="3" t="s">
        <v>22</v>
      </c>
      <c r="C1125" s="3">
        <v>647</v>
      </c>
      <c r="D1125" s="3">
        <v>1</v>
      </c>
      <c r="E1125" s="3" t="s">
        <v>54</v>
      </c>
      <c r="F1125" s="3" t="s">
        <v>55</v>
      </c>
      <c r="G1125" s="3" t="str">
        <f>"2025-12-22 03:07:22.256"</f>
        <v>2025-12-22 03:07:22.256</v>
      </c>
      <c r="H1125" s="3" t="s">
        <v>21</v>
      </c>
    </row>
    <row r="1126" spans="1:10" x14ac:dyDescent="0.25">
      <c r="A1126" s="1">
        <v>185</v>
      </c>
      <c r="B1126" t="s">
        <v>56</v>
      </c>
      <c r="C1126">
        <v>23</v>
      </c>
      <c r="D1126">
        <v>1</v>
      </c>
      <c r="E1126" t="s">
        <v>88</v>
      </c>
      <c r="F1126" t="s">
        <v>89</v>
      </c>
      <c r="G1126" t="str">
        <f>"2025-12-22 03:07:20.902"</f>
        <v>2025-12-22 03:07:20.902</v>
      </c>
      <c r="H1126" t="s">
        <v>46</v>
      </c>
    </row>
    <row r="1127" spans="1:10" s="3" customFormat="1" x14ac:dyDescent="0.25">
      <c r="A1127" s="2">
        <v>186</v>
      </c>
      <c r="B1127" s="3" t="s">
        <v>36</v>
      </c>
      <c r="C1127" s="3">
        <v>647</v>
      </c>
      <c r="D1127" s="3">
        <v>1</v>
      </c>
      <c r="E1127" s="3" t="s">
        <v>54</v>
      </c>
      <c r="F1127" s="3" t="s">
        <v>55</v>
      </c>
      <c r="G1127" s="3" t="str">
        <f>"2025-12-22 03:07:19.356"</f>
        <v>2025-12-22 03:07:19.356</v>
      </c>
      <c r="H1127" s="3" t="s">
        <v>21</v>
      </c>
      <c r="I1127" s="3">
        <v>21.09</v>
      </c>
      <c r="J1127" s="3" t="s">
        <v>28</v>
      </c>
    </row>
    <row r="1128" spans="1:10" s="3" customFormat="1" x14ac:dyDescent="0.25">
      <c r="A1128" s="2">
        <v>187</v>
      </c>
      <c r="B1128" s="3" t="s">
        <v>22</v>
      </c>
      <c r="C1128" s="3">
        <v>647</v>
      </c>
      <c r="D1128" s="3">
        <v>1</v>
      </c>
      <c r="E1128" s="3" t="s">
        <v>54</v>
      </c>
      <c r="F1128" s="3" t="s">
        <v>55</v>
      </c>
      <c r="G1128" s="3" t="str">
        <f>"2025-12-22 03:07:12.556"</f>
        <v>2025-12-22 03:07:12.556</v>
      </c>
      <c r="H1128" s="3" t="s">
        <v>21</v>
      </c>
    </row>
    <row r="1129" spans="1:10" x14ac:dyDescent="0.25">
      <c r="A1129" s="1">
        <v>188</v>
      </c>
      <c r="B1129" t="s">
        <v>40</v>
      </c>
      <c r="C1129">
        <v>205</v>
      </c>
      <c r="D1129">
        <v>3</v>
      </c>
      <c r="E1129" t="s">
        <v>90</v>
      </c>
      <c r="F1129" t="s">
        <v>91</v>
      </c>
      <c r="G1129" t="str">
        <f>"2025-12-22 03:07:10.014"</f>
        <v>2025-12-22 03:07:10.014</v>
      </c>
      <c r="H1129" t="s">
        <v>49</v>
      </c>
    </row>
    <row r="1130" spans="1:10" x14ac:dyDescent="0.25">
      <c r="A1130" s="1">
        <v>189</v>
      </c>
      <c r="B1130" t="s">
        <v>40</v>
      </c>
      <c r="C1130">
        <v>105</v>
      </c>
      <c r="D1130">
        <v>3</v>
      </c>
      <c r="E1130" t="s">
        <v>92</v>
      </c>
      <c r="F1130" t="s">
        <v>91</v>
      </c>
      <c r="G1130" t="str">
        <f>"2025-12-22 03:07:09.914"</f>
        <v>2025-12-22 03:07:09.914</v>
      </c>
      <c r="H1130" t="s">
        <v>52</v>
      </c>
    </row>
    <row r="1131" spans="1:10" x14ac:dyDescent="0.25">
      <c r="A1131" s="1">
        <v>190</v>
      </c>
      <c r="B1131" t="s">
        <v>40</v>
      </c>
      <c r="C1131">
        <v>204</v>
      </c>
      <c r="D1131">
        <v>8</v>
      </c>
      <c r="E1131" t="s">
        <v>93</v>
      </c>
      <c r="F1131" t="s">
        <v>94</v>
      </c>
      <c r="G1131" t="str">
        <f>"2025-12-22 03:07:09.745"</f>
        <v>2025-12-22 03:07:09.745</v>
      </c>
      <c r="H1131" t="s">
        <v>49</v>
      </c>
    </row>
    <row r="1132" spans="1:10" x14ac:dyDescent="0.25">
      <c r="A1132" s="1">
        <v>191</v>
      </c>
      <c r="B1132" t="s">
        <v>40</v>
      </c>
      <c r="C1132">
        <v>204</v>
      </c>
      <c r="D1132">
        <v>6</v>
      </c>
      <c r="E1132" t="s">
        <v>93</v>
      </c>
      <c r="F1132" t="s">
        <v>95</v>
      </c>
      <c r="G1132" t="str">
        <f>"2025-12-22 03:07:09.742"</f>
        <v>2025-12-22 03:07:09.742</v>
      </c>
      <c r="H1132" t="s">
        <v>49</v>
      </c>
    </row>
    <row r="1133" spans="1:10" x14ac:dyDescent="0.25">
      <c r="A1133" s="1">
        <v>192</v>
      </c>
      <c r="B1133" t="s">
        <v>40</v>
      </c>
      <c r="C1133">
        <v>204</v>
      </c>
      <c r="D1133">
        <v>5</v>
      </c>
      <c r="E1133" t="s">
        <v>93</v>
      </c>
      <c r="F1133" t="s">
        <v>96</v>
      </c>
      <c r="G1133" t="str">
        <f>"2025-12-22 03:07:09.736"</f>
        <v>2025-12-22 03:07:09.736</v>
      </c>
      <c r="H1133" t="s">
        <v>49</v>
      </c>
    </row>
    <row r="1134" spans="1:10" x14ac:dyDescent="0.25">
      <c r="A1134" s="1">
        <v>193</v>
      </c>
      <c r="B1134" t="s">
        <v>40</v>
      </c>
      <c r="C1134">
        <v>204</v>
      </c>
      <c r="D1134">
        <v>1</v>
      </c>
      <c r="E1134" t="s">
        <v>93</v>
      </c>
      <c r="F1134" t="s">
        <v>97</v>
      </c>
      <c r="G1134" t="str">
        <f>"2025-12-22 03:07:09.730"</f>
        <v>2025-12-22 03:07:09.730</v>
      </c>
      <c r="H1134" t="s">
        <v>49</v>
      </c>
    </row>
    <row r="1135" spans="1:10" x14ac:dyDescent="0.25">
      <c r="A1135" s="1">
        <v>194</v>
      </c>
      <c r="B1135" t="s">
        <v>40</v>
      </c>
      <c r="C1135">
        <v>104</v>
      </c>
      <c r="D1135">
        <v>8</v>
      </c>
      <c r="E1135" t="s">
        <v>98</v>
      </c>
      <c r="F1135" t="s">
        <v>94</v>
      </c>
      <c r="G1135" t="str">
        <f>"2025-12-22 03:07:09.726"</f>
        <v>2025-12-22 03:07:09.726</v>
      </c>
      <c r="H1135" t="s">
        <v>52</v>
      </c>
    </row>
    <row r="1136" spans="1:10" x14ac:dyDescent="0.25">
      <c r="A1136" s="1">
        <v>195</v>
      </c>
      <c r="B1136" t="s">
        <v>40</v>
      </c>
      <c r="C1136">
        <v>104</v>
      </c>
      <c r="D1136">
        <v>6</v>
      </c>
      <c r="E1136" t="s">
        <v>98</v>
      </c>
      <c r="F1136" t="s">
        <v>95</v>
      </c>
      <c r="G1136" t="str">
        <f>"2025-12-22 03:07:09.723"</f>
        <v>2025-12-22 03:07:09.723</v>
      </c>
      <c r="H1136" t="s">
        <v>52</v>
      </c>
    </row>
    <row r="1137" spans="1:10" x14ac:dyDescent="0.25">
      <c r="A1137" s="1">
        <v>196</v>
      </c>
      <c r="B1137" t="s">
        <v>40</v>
      </c>
      <c r="C1137">
        <v>104</v>
      </c>
      <c r="D1137">
        <v>5</v>
      </c>
      <c r="E1137" t="s">
        <v>98</v>
      </c>
      <c r="F1137" t="s">
        <v>96</v>
      </c>
      <c r="G1137" t="str">
        <f>"2025-12-22 03:07:09.719"</f>
        <v>2025-12-22 03:07:09.719</v>
      </c>
      <c r="H1137" t="s">
        <v>52</v>
      </c>
    </row>
    <row r="1138" spans="1:10" x14ac:dyDescent="0.25">
      <c r="A1138" s="1">
        <v>197</v>
      </c>
      <c r="B1138" t="s">
        <v>40</v>
      </c>
      <c r="C1138">
        <v>104</v>
      </c>
      <c r="D1138">
        <v>1</v>
      </c>
      <c r="E1138" t="s">
        <v>98</v>
      </c>
      <c r="F1138" t="s">
        <v>97</v>
      </c>
      <c r="G1138" t="str">
        <f>"2025-12-22 03:07:09.715"</f>
        <v>2025-12-22 03:07:09.715</v>
      </c>
      <c r="H1138" t="s">
        <v>52</v>
      </c>
    </row>
    <row r="1139" spans="1:10" s="3" customFormat="1" x14ac:dyDescent="0.25">
      <c r="A1139" s="2">
        <v>198</v>
      </c>
      <c r="B1139" s="3" t="s">
        <v>36</v>
      </c>
      <c r="C1139" s="3">
        <v>647</v>
      </c>
      <c r="D1139" s="3">
        <v>1</v>
      </c>
      <c r="E1139" s="3" t="s">
        <v>54</v>
      </c>
      <c r="F1139" s="3" t="s">
        <v>55</v>
      </c>
      <c r="G1139" s="3" t="str">
        <f>"2025-12-22 03:07:07.756"</f>
        <v>2025-12-22 03:07:07.756</v>
      </c>
      <c r="H1139" s="3" t="s">
        <v>21</v>
      </c>
      <c r="I1139" s="3">
        <v>31.99</v>
      </c>
      <c r="J1139" s="3" t="s">
        <v>27</v>
      </c>
    </row>
    <row r="1140" spans="1:10" x14ac:dyDescent="0.25">
      <c r="A1140" s="1">
        <v>199</v>
      </c>
      <c r="B1140" t="s">
        <v>36</v>
      </c>
      <c r="C1140">
        <v>14</v>
      </c>
      <c r="D1140">
        <v>13</v>
      </c>
      <c r="E1140" t="s">
        <v>85</v>
      </c>
      <c r="F1140" t="s">
        <v>86</v>
      </c>
      <c r="G1140" t="str">
        <f>"2025-12-22 03:07:06.256"</f>
        <v>2025-12-22 03:07:06.256</v>
      </c>
      <c r="H1140" t="s">
        <v>25</v>
      </c>
      <c r="I1140">
        <v>33.659999999999997</v>
      </c>
      <c r="J1140" t="s">
        <v>27</v>
      </c>
    </row>
    <row r="1141" spans="1:10" x14ac:dyDescent="0.25">
      <c r="A1141" s="1">
        <v>200</v>
      </c>
      <c r="B1141" t="s">
        <v>36</v>
      </c>
      <c r="C1141">
        <v>14</v>
      </c>
      <c r="D1141">
        <v>10</v>
      </c>
      <c r="E1141" t="s">
        <v>85</v>
      </c>
      <c r="F1141" t="s">
        <v>87</v>
      </c>
      <c r="G1141" t="str">
        <f>"2025-12-22 03:07:05.202"</f>
        <v>2025-12-22 03:07:05.202</v>
      </c>
      <c r="H1141" t="s">
        <v>25</v>
      </c>
      <c r="I1141">
        <v>33.9</v>
      </c>
      <c r="J1141" t="s">
        <v>27</v>
      </c>
    </row>
    <row r="1142" spans="1:10" x14ac:dyDescent="0.25">
      <c r="A1142" s="1">
        <v>201</v>
      </c>
      <c r="B1142" t="s">
        <v>26</v>
      </c>
      <c r="C1142">
        <v>105</v>
      </c>
      <c r="D1142">
        <v>3</v>
      </c>
      <c r="E1142" t="s">
        <v>92</v>
      </c>
      <c r="F1142" t="s">
        <v>91</v>
      </c>
      <c r="G1142" t="str">
        <f>"2025-12-22 03:07:04.838"</f>
        <v>2025-12-22 03:07:04.838</v>
      </c>
      <c r="H1142" t="s">
        <v>52</v>
      </c>
      <c r="I1142">
        <v>33.89</v>
      </c>
      <c r="J1142" t="s">
        <v>27</v>
      </c>
    </row>
    <row r="1143" spans="1:10" x14ac:dyDescent="0.25">
      <c r="A1143" s="1">
        <v>202</v>
      </c>
      <c r="B1143" t="s">
        <v>26</v>
      </c>
      <c r="C1143">
        <v>205</v>
      </c>
      <c r="D1143">
        <v>3</v>
      </c>
      <c r="E1143" t="s">
        <v>90</v>
      </c>
      <c r="F1143" t="s">
        <v>91</v>
      </c>
      <c r="G1143" t="str">
        <f>"2025-12-22 03:07:04.818"</f>
        <v>2025-12-22 03:07:04.818</v>
      </c>
      <c r="H1143" t="s">
        <v>49</v>
      </c>
      <c r="I1143">
        <v>33.89</v>
      </c>
      <c r="J1143" t="s">
        <v>27</v>
      </c>
    </row>
    <row r="1144" spans="1:10" x14ac:dyDescent="0.25">
      <c r="A1144" s="1">
        <v>203</v>
      </c>
      <c r="B1144" t="s">
        <v>26</v>
      </c>
      <c r="C1144">
        <v>204</v>
      </c>
      <c r="D1144">
        <v>8</v>
      </c>
      <c r="E1144" t="s">
        <v>93</v>
      </c>
      <c r="F1144" t="s">
        <v>94</v>
      </c>
      <c r="G1144" t="str">
        <f>"2025-12-22 03:07:04.667"</f>
        <v>2025-12-22 03:07:04.667</v>
      </c>
      <c r="H1144" t="s">
        <v>49</v>
      </c>
      <c r="I1144">
        <v>33.880000000000003</v>
      </c>
      <c r="J1144" t="s">
        <v>27</v>
      </c>
    </row>
    <row r="1145" spans="1:10" x14ac:dyDescent="0.25">
      <c r="A1145" s="1">
        <v>204</v>
      </c>
      <c r="B1145" t="s">
        <v>26</v>
      </c>
      <c r="C1145">
        <v>204</v>
      </c>
      <c r="D1145">
        <v>6</v>
      </c>
      <c r="E1145" t="s">
        <v>93</v>
      </c>
      <c r="F1145" t="s">
        <v>95</v>
      </c>
      <c r="G1145" t="str">
        <f>"2025-12-22 03:07:04.663"</f>
        <v>2025-12-22 03:07:04.663</v>
      </c>
      <c r="H1145" t="s">
        <v>49</v>
      </c>
      <c r="I1145">
        <v>33.880000000000003</v>
      </c>
      <c r="J1145" t="s">
        <v>27</v>
      </c>
    </row>
    <row r="1146" spans="1:10" x14ac:dyDescent="0.25">
      <c r="A1146" s="1">
        <v>205</v>
      </c>
      <c r="B1146" t="s">
        <v>26</v>
      </c>
      <c r="C1146">
        <v>204</v>
      </c>
      <c r="D1146">
        <v>5</v>
      </c>
      <c r="E1146" t="s">
        <v>93</v>
      </c>
      <c r="F1146" t="s">
        <v>96</v>
      </c>
      <c r="G1146" t="str">
        <f>"2025-12-22 03:07:04.658"</f>
        <v>2025-12-22 03:07:04.658</v>
      </c>
      <c r="H1146" t="s">
        <v>49</v>
      </c>
      <c r="I1146">
        <v>33.880000000000003</v>
      </c>
      <c r="J1146" t="s">
        <v>27</v>
      </c>
    </row>
    <row r="1147" spans="1:10" x14ac:dyDescent="0.25">
      <c r="A1147" s="1">
        <v>206</v>
      </c>
      <c r="B1147" t="s">
        <v>26</v>
      </c>
      <c r="C1147">
        <v>104</v>
      </c>
      <c r="D1147">
        <v>8</v>
      </c>
      <c r="E1147" t="s">
        <v>98</v>
      </c>
      <c r="F1147" t="s">
        <v>94</v>
      </c>
      <c r="G1147" t="str">
        <f>"2025-12-22 03:07:04.627"</f>
        <v>2025-12-22 03:07:04.627</v>
      </c>
      <c r="H1147" t="s">
        <v>52</v>
      </c>
      <c r="I1147">
        <v>33.880000000000003</v>
      </c>
      <c r="J1147" t="s">
        <v>27</v>
      </c>
    </row>
    <row r="1148" spans="1:10" x14ac:dyDescent="0.25">
      <c r="A1148" s="1">
        <v>207</v>
      </c>
      <c r="B1148" t="s">
        <v>26</v>
      </c>
      <c r="C1148">
        <v>104</v>
      </c>
      <c r="D1148">
        <v>6</v>
      </c>
      <c r="E1148" t="s">
        <v>98</v>
      </c>
      <c r="F1148" t="s">
        <v>95</v>
      </c>
      <c r="G1148" t="str">
        <f>"2025-12-22 03:07:04.623"</f>
        <v>2025-12-22 03:07:04.623</v>
      </c>
      <c r="H1148" t="s">
        <v>52</v>
      </c>
      <c r="I1148">
        <v>33.880000000000003</v>
      </c>
      <c r="J1148" t="s">
        <v>27</v>
      </c>
    </row>
    <row r="1149" spans="1:10" x14ac:dyDescent="0.25">
      <c r="A1149" s="1">
        <v>208</v>
      </c>
      <c r="B1149" t="s">
        <v>26</v>
      </c>
      <c r="C1149">
        <v>104</v>
      </c>
      <c r="D1149">
        <v>5</v>
      </c>
      <c r="E1149" t="s">
        <v>98</v>
      </c>
      <c r="F1149" t="s">
        <v>96</v>
      </c>
      <c r="G1149" t="str">
        <f>"2025-12-22 03:07:04.618"</f>
        <v>2025-12-22 03:07:04.618</v>
      </c>
      <c r="H1149" t="s">
        <v>52</v>
      </c>
      <c r="I1149">
        <v>33.880000000000003</v>
      </c>
      <c r="J1149" t="s">
        <v>27</v>
      </c>
    </row>
    <row r="1150" spans="1:10" x14ac:dyDescent="0.25">
      <c r="A1150" s="1">
        <v>209</v>
      </c>
      <c r="B1150" t="s">
        <v>26</v>
      </c>
      <c r="C1150">
        <v>204</v>
      </c>
      <c r="D1150">
        <v>1</v>
      </c>
      <c r="E1150" t="s">
        <v>93</v>
      </c>
      <c r="F1150" t="s">
        <v>97</v>
      </c>
      <c r="G1150" t="str">
        <f>"2025-12-22 03:07:04.538"</f>
        <v>2025-12-22 03:07:04.538</v>
      </c>
      <c r="H1150" t="s">
        <v>49</v>
      </c>
      <c r="I1150">
        <v>33.869999999999997</v>
      </c>
      <c r="J1150" t="s">
        <v>27</v>
      </c>
    </row>
    <row r="1151" spans="1:10" x14ac:dyDescent="0.25">
      <c r="A1151" s="1">
        <v>210</v>
      </c>
      <c r="B1151" t="s">
        <v>26</v>
      </c>
      <c r="C1151">
        <v>23</v>
      </c>
      <c r="D1151">
        <v>1</v>
      </c>
      <c r="E1151" t="s">
        <v>88</v>
      </c>
      <c r="F1151" t="s">
        <v>89</v>
      </c>
      <c r="G1151" t="str">
        <f>"2025-12-22 03:07:04.382"</f>
        <v>2025-12-22 03:07:04.382</v>
      </c>
      <c r="H1151" t="s">
        <v>46</v>
      </c>
      <c r="I1151">
        <v>33.85</v>
      </c>
      <c r="J1151" t="s">
        <v>27</v>
      </c>
    </row>
    <row r="1152" spans="1:10" x14ac:dyDescent="0.25">
      <c r="A1152" s="1">
        <v>211</v>
      </c>
      <c r="B1152" t="s">
        <v>26</v>
      </c>
      <c r="C1152">
        <v>104</v>
      </c>
      <c r="D1152">
        <v>1</v>
      </c>
      <c r="E1152" t="s">
        <v>98</v>
      </c>
      <c r="F1152" t="s">
        <v>97</v>
      </c>
      <c r="G1152" t="str">
        <f>"2025-12-22 03:07:04.318"</f>
        <v>2025-12-22 03:07:04.318</v>
      </c>
      <c r="H1152" t="s">
        <v>52</v>
      </c>
      <c r="I1152">
        <v>33.840000000000003</v>
      </c>
      <c r="J1152" t="s">
        <v>27</v>
      </c>
    </row>
    <row r="1153" spans="1:10" x14ac:dyDescent="0.25">
      <c r="A1153" s="1">
        <v>212</v>
      </c>
      <c r="B1153" t="s">
        <v>19</v>
      </c>
      <c r="C1153">
        <v>706</v>
      </c>
      <c r="D1153">
        <v>4</v>
      </c>
      <c r="E1153" t="s">
        <v>29</v>
      </c>
      <c r="F1153" t="s">
        <v>53</v>
      </c>
      <c r="G1153" t="str">
        <f>"2025-12-22 03:07:04.204"</f>
        <v>2025-12-22 03:07:04.204</v>
      </c>
      <c r="H1153" t="s">
        <v>21</v>
      </c>
      <c r="I1153">
        <v>33.81</v>
      </c>
      <c r="J1153" t="s">
        <v>27</v>
      </c>
    </row>
    <row r="1154" spans="1:10" x14ac:dyDescent="0.25">
      <c r="A1154" s="1">
        <v>213</v>
      </c>
      <c r="B1154" t="s">
        <v>22</v>
      </c>
      <c r="C1154">
        <v>635</v>
      </c>
      <c r="D1154">
        <v>1</v>
      </c>
      <c r="E1154" t="s">
        <v>34</v>
      </c>
      <c r="F1154" t="s">
        <v>35</v>
      </c>
      <c r="G1154" t="str">
        <f>"2025-12-21 01:59:26.782"</f>
        <v>2025-12-21 01:59:26.782</v>
      </c>
      <c r="H1154" t="s">
        <v>21</v>
      </c>
    </row>
    <row r="1155" spans="1:10" x14ac:dyDescent="0.25">
      <c r="A1155" s="1">
        <v>214</v>
      </c>
      <c r="B1155" t="s">
        <v>36</v>
      </c>
      <c r="C1155">
        <v>635</v>
      </c>
      <c r="D1155">
        <v>1</v>
      </c>
      <c r="E1155" t="s">
        <v>34</v>
      </c>
      <c r="F1155" t="s">
        <v>35</v>
      </c>
      <c r="G1155" t="str">
        <f>"2025-12-21 01:55:43.282"</f>
        <v>2025-12-21 01:55:43.282</v>
      </c>
      <c r="H1155" t="s">
        <v>21</v>
      </c>
      <c r="I1155">
        <v>3.67</v>
      </c>
      <c r="J1155" t="s">
        <v>37</v>
      </c>
    </row>
    <row r="1156" spans="1:10" x14ac:dyDescent="0.25">
      <c r="A1156" s="1">
        <v>215</v>
      </c>
      <c r="B1156" t="s">
        <v>22</v>
      </c>
      <c r="C1156">
        <v>635</v>
      </c>
      <c r="D1156">
        <v>1</v>
      </c>
      <c r="E1156" t="s">
        <v>34</v>
      </c>
      <c r="F1156" t="s">
        <v>35</v>
      </c>
      <c r="G1156" t="str">
        <f>"2025-12-20 17:52:53.982"</f>
        <v>2025-12-20 17:52:53.982</v>
      </c>
      <c r="H1156" t="s">
        <v>21</v>
      </c>
    </row>
    <row r="1157" spans="1:10" x14ac:dyDescent="0.25">
      <c r="A1157" s="1">
        <v>216</v>
      </c>
      <c r="B1157" t="s">
        <v>36</v>
      </c>
      <c r="C1157">
        <v>635</v>
      </c>
      <c r="D1157">
        <v>1</v>
      </c>
      <c r="E1157" t="s">
        <v>34</v>
      </c>
      <c r="F1157" t="s">
        <v>35</v>
      </c>
      <c r="G1157" t="str">
        <f>"2025-12-20 17:49:50.483"</f>
        <v>2025-12-20 17:49:50.483</v>
      </c>
      <c r="H1157" t="s">
        <v>21</v>
      </c>
      <c r="I1157">
        <v>7.99</v>
      </c>
      <c r="J1157" t="s">
        <v>27</v>
      </c>
    </row>
    <row r="1158" spans="1:10" x14ac:dyDescent="0.25">
      <c r="A1158" s="1">
        <v>217</v>
      </c>
      <c r="B1158" t="s">
        <v>19</v>
      </c>
      <c r="C1158">
        <v>700</v>
      </c>
      <c r="D1158">
        <v>0</v>
      </c>
      <c r="E1158" t="s">
        <v>20</v>
      </c>
      <c r="F1158" t="s">
        <v>20</v>
      </c>
      <c r="G1158" t="str">
        <f>"2025-12-20 13:13:44.454"</f>
        <v>2025-12-20 13:13:44.454</v>
      </c>
      <c r="H1158" t="s">
        <v>21</v>
      </c>
      <c r="I1158">
        <v>0</v>
      </c>
      <c r="J1158" t="s">
        <v>33</v>
      </c>
    </row>
    <row r="1159" spans="1:10" x14ac:dyDescent="0.25">
      <c r="A1159" s="1">
        <v>218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"2025-12-19 15:44:36.412"</f>
        <v>2025-12-19 15:44:36.412</v>
      </c>
      <c r="H1159" t="s">
        <v>21</v>
      </c>
    </row>
    <row r="1160" spans="1:10" x14ac:dyDescent="0.25">
      <c r="A1160" s="1">
        <v>219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"2025-12-19 15:37:28.433"</f>
        <v>2025-12-19 15:37:28.433</v>
      </c>
      <c r="H1160" t="s">
        <v>21</v>
      </c>
      <c r="I1160">
        <v>0</v>
      </c>
      <c r="J1160" t="s">
        <v>33</v>
      </c>
    </row>
    <row r="1161" spans="1:10" x14ac:dyDescent="0.25">
      <c r="A1161" s="1">
        <v>220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"2025-12-19 12:43:15.417"</f>
        <v>2025-12-19 12:43:15.417</v>
      </c>
      <c r="H1161" t="s">
        <v>21</v>
      </c>
      <c r="I1161">
        <v>0</v>
      </c>
      <c r="J1161" t="s">
        <v>33</v>
      </c>
    </row>
    <row r="1162" spans="1:10" x14ac:dyDescent="0.25">
      <c r="A1162" s="1">
        <v>221</v>
      </c>
      <c r="B1162" t="s">
        <v>22</v>
      </c>
      <c r="C1162">
        <v>635</v>
      </c>
      <c r="D1162">
        <v>1</v>
      </c>
      <c r="E1162" t="s">
        <v>34</v>
      </c>
      <c r="F1162" t="s">
        <v>35</v>
      </c>
      <c r="G1162" t="str">
        <f>"2025-12-18 17:23:18.310"</f>
        <v>2025-12-18 17:23:18.310</v>
      </c>
      <c r="H1162" t="s">
        <v>21</v>
      </c>
    </row>
    <row r="1163" spans="1:10" x14ac:dyDescent="0.25">
      <c r="A1163" s="1">
        <v>222</v>
      </c>
      <c r="B1163" t="s">
        <v>36</v>
      </c>
      <c r="C1163">
        <v>635</v>
      </c>
      <c r="D1163">
        <v>1</v>
      </c>
      <c r="E1163" t="s">
        <v>34</v>
      </c>
      <c r="F1163" t="s">
        <v>35</v>
      </c>
      <c r="G1163" t="str">
        <f>"2025-12-18 17:21:02.810"</f>
        <v>2025-12-18 17:21:02.810</v>
      </c>
      <c r="H1163" t="s">
        <v>21</v>
      </c>
      <c r="I1163">
        <v>2.19</v>
      </c>
      <c r="J1163" t="s">
        <v>37</v>
      </c>
    </row>
    <row r="1164" spans="1:10" x14ac:dyDescent="0.25">
      <c r="A1164" s="1">
        <v>223</v>
      </c>
      <c r="B1164" t="s">
        <v>22</v>
      </c>
      <c r="C1164">
        <v>635</v>
      </c>
      <c r="D1164">
        <v>1</v>
      </c>
      <c r="E1164" t="s">
        <v>34</v>
      </c>
      <c r="F1164" t="s">
        <v>35</v>
      </c>
      <c r="G1164" t="str">
        <f>"2025-12-18 12:22:49.810"</f>
        <v>2025-12-18 12:22:49.810</v>
      </c>
      <c r="H1164" t="s">
        <v>21</v>
      </c>
    </row>
    <row r="1165" spans="1:10" x14ac:dyDescent="0.25">
      <c r="A1165" s="1">
        <v>224</v>
      </c>
      <c r="B1165" t="s">
        <v>36</v>
      </c>
      <c r="C1165">
        <v>635</v>
      </c>
      <c r="D1165">
        <v>1</v>
      </c>
      <c r="E1165" t="s">
        <v>34</v>
      </c>
      <c r="F1165" t="s">
        <v>35</v>
      </c>
      <c r="G1165" t="str">
        <f>"2025-12-18 12:19:58.810"</f>
        <v>2025-12-18 12:19:58.810</v>
      </c>
      <c r="H1165" t="s">
        <v>21</v>
      </c>
      <c r="I1165">
        <v>5.26</v>
      </c>
      <c r="J1165" t="s">
        <v>37</v>
      </c>
    </row>
    <row r="1166" spans="1:10" x14ac:dyDescent="0.25">
      <c r="A1166" s="1">
        <v>225</v>
      </c>
      <c r="B1166" t="s">
        <v>19</v>
      </c>
      <c r="C1166">
        <v>706</v>
      </c>
      <c r="D1166">
        <v>4</v>
      </c>
      <c r="E1166" t="s">
        <v>29</v>
      </c>
      <c r="F1166" t="s">
        <v>53</v>
      </c>
      <c r="G1166" t="str">
        <f>"2025-12-18 05:40:47.790"</f>
        <v>2025-12-18 05:40:47.790</v>
      </c>
      <c r="H1166" t="s">
        <v>21</v>
      </c>
      <c r="I1166">
        <v>0</v>
      </c>
      <c r="J1166" t="s">
        <v>31</v>
      </c>
    </row>
    <row r="1167" spans="1:10" x14ac:dyDescent="0.25">
      <c r="A1167" s="1">
        <v>226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"2025-12-18 05:00:38.420"</f>
        <v>2025-12-18 05:00:38.420</v>
      </c>
      <c r="H1167" t="s">
        <v>21</v>
      </c>
    </row>
    <row r="1168" spans="1:10" x14ac:dyDescent="0.25">
      <c r="A1168" s="1">
        <v>227</v>
      </c>
      <c r="B1168" t="s">
        <v>22</v>
      </c>
      <c r="C1168">
        <v>635</v>
      </c>
      <c r="D1168">
        <v>1</v>
      </c>
      <c r="E1168" t="s">
        <v>34</v>
      </c>
      <c r="F1168" t="s">
        <v>35</v>
      </c>
      <c r="G1168" t="str">
        <f>"2025-12-17 15:44:29.345"</f>
        <v>2025-12-17 15:44:29.345</v>
      </c>
      <c r="H1168" t="s">
        <v>21</v>
      </c>
    </row>
    <row r="1169" spans="1:10" x14ac:dyDescent="0.25">
      <c r="A1169" s="1">
        <v>228</v>
      </c>
      <c r="B1169" t="s">
        <v>36</v>
      </c>
      <c r="C1169">
        <v>635</v>
      </c>
      <c r="D1169">
        <v>1</v>
      </c>
      <c r="E1169" t="s">
        <v>34</v>
      </c>
      <c r="F1169" t="s">
        <v>35</v>
      </c>
      <c r="G1169" t="str">
        <f>"2025-12-17 15:39:15.846"</f>
        <v>2025-12-17 15:39:15.846</v>
      </c>
      <c r="H1169" t="s">
        <v>21</v>
      </c>
      <c r="I1169">
        <v>4.75</v>
      </c>
      <c r="J1169" t="s">
        <v>28</v>
      </c>
    </row>
    <row r="1170" spans="1:10" x14ac:dyDescent="0.25">
      <c r="A1170" s="1">
        <v>229</v>
      </c>
      <c r="B1170" t="s">
        <v>40</v>
      </c>
      <c r="C1170">
        <v>215</v>
      </c>
      <c r="D1170">
        <v>6</v>
      </c>
      <c r="E1170" t="s">
        <v>41</v>
      </c>
      <c r="F1170" t="s">
        <v>42</v>
      </c>
      <c r="G1170" t="str">
        <f>"2025-12-16 18:13:18.577"</f>
        <v>2025-12-16 18:13:18.577</v>
      </c>
      <c r="H1170" t="s">
        <v>21</v>
      </c>
    </row>
    <row r="1171" spans="1:10" x14ac:dyDescent="0.25">
      <c r="A1171" s="1">
        <v>230</v>
      </c>
      <c r="B1171" t="s">
        <v>40</v>
      </c>
      <c r="C1171">
        <v>115</v>
      </c>
      <c r="D1171">
        <v>6</v>
      </c>
      <c r="E1171" t="s">
        <v>43</v>
      </c>
      <c r="F1171" t="s">
        <v>42</v>
      </c>
      <c r="G1171" t="str">
        <f>"2025-12-16 18:13:18.477"</f>
        <v>2025-12-16 18:13:18.477</v>
      </c>
      <c r="H1171" t="s">
        <v>21</v>
      </c>
    </row>
    <row r="1172" spans="1:10" x14ac:dyDescent="0.25">
      <c r="A1172" s="1">
        <v>231</v>
      </c>
      <c r="B1172" t="s">
        <v>26</v>
      </c>
      <c r="C1172">
        <v>215</v>
      </c>
      <c r="D1172">
        <v>6</v>
      </c>
      <c r="E1172" t="s">
        <v>41</v>
      </c>
      <c r="F1172" t="s">
        <v>42</v>
      </c>
      <c r="G1172" t="str">
        <f>"2025-12-16 18:13:13.451"</f>
        <v>2025-12-16 18:13:13.451</v>
      </c>
      <c r="H1172" t="s">
        <v>21</v>
      </c>
      <c r="I1172">
        <v>0</v>
      </c>
      <c r="J1172" t="s">
        <v>31</v>
      </c>
    </row>
    <row r="1173" spans="1:10" x14ac:dyDescent="0.25">
      <c r="A1173" s="1">
        <v>232</v>
      </c>
      <c r="B1173" t="s">
        <v>26</v>
      </c>
      <c r="C1173">
        <v>115</v>
      </c>
      <c r="D1173">
        <v>6</v>
      </c>
      <c r="E1173" t="s">
        <v>43</v>
      </c>
      <c r="F1173" t="s">
        <v>42</v>
      </c>
      <c r="G1173" t="str">
        <f>"2025-12-16 18:13:13.431"</f>
        <v>2025-12-16 18:13:13.431</v>
      </c>
      <c r="H1173" t="s">
        <v>21</v>
      </c>
      <c r="I1173">
        <v>0</v>
      </c>
      <c r="J1173" t="s">
        <v>31</v>
      </c>
    </row>
    <row r="1174" spans="1:10" x14ac:dyDescent="0.25">
      <c r="A1174" s="1">
        <v>233</v>
      </c>
      <c r="B1174" t="s">
        <v>22</v>
      </c>
      <c r="C1174">
        <v>6</v>
      </c>
      <c r="D1174">
        <v>1</v>
      </c>
      <c r="E1174" t="s">
        <v>44</v>
      </c>
      <c r="F1174" t="s">
        <v>45</v>
      </c>
      <c r="G1174" t="str">
        <f>"2025-12-16 18:13:13.303"</f>
        <v>2025-12-16 18:13:13.303</v>
      </c>
      <c r="H1174" t="s">
        <v>46</v>
      </c>
    </row>
    <row r="1175" spans="1:10" x14ac:dyDescent="0.25">
      <c r="A1175" s="1">
        <v>234</v>
      </c>
      <c r="B1175" t="s">
        <v>22</v>
      </c>
      <c r="C1175">
        <v>75</v>
      </c>
      <c r="D1175">
        <v>1</v>
      </c>
      <c r="E1175" t="s">
        <v>47</v>
      </c>
      <c r="F1175" t="s">
        <v>48</v>
      </c>
      <c r="G1175" t="str">
        <f>"2025-12-16 18:13:13.300"</f>
        <v>2025-12-16 18:13:13.300</v>
      </c>
      <c r="H1175" t="s">
        <v>49</v>
      </c>
    </row>
    <row r="1176" spans="1:10" x14ac:dyDescent="0.25">
      <c r="A1176" s="1">
        <v>235</v>
      </c>
      <c r="B1176" t="s">
        <v>22</v>
      </c>
      <c r="C1176">
        <v>74</v>
      </c>
      <c r="D1176">
        <v>1</v>
      </c>
      <c r="E1176" t="s">
        <v>50</v>
      </c>
      <c r="F1176" t="s">
        <v>51</v>
      </c>
      <c r="G1176" t="str">
        <f>"2025-12-16 18:13:13.297"</f>
        <v>2025-12-16 18:13:13.297</v>
      </c>
      <c r="H1176" t="s">
        <v>52</v>
      </c>
    </row>
    <row r="1177" spans="1:10" x14ac:dyDescent="0.25">
      <c r="A1177" s="1">
        <v>236</v>
      </c>
      <c r="B1177" t="s">
        <v>36</v>
      </c>
      <c r="C1177">
        <v>75</v>
      </c>
      <c r="D1177">
        <v>1</v>
      </c>
      <c r="E1177" t="s">
        <v>47</v>
      </c>
      <c r="F1177" t="s">
        <v>48</v>
      </c>
      <c r="G1177" t="str">
        <f>"2025-12-16 18:13:01.856"</f>
        <v>2025-12-16 18:13:01.856</v>
      </c>
      <c r="H1177" t="s">
        <v>49</v>
      </c>
      <c r="I1177">
        <v>0</v>
      </c>
      <c r="J1177" t="s">
        <v>31</v>
      </c>
    </row>
    <row r="1178" spans="1:10" x14ac:dyDescent="0.25">
      <c r="A1178" s="1">
        <v>237</v>
      </c>
      <c r="B1178" t="s">
        <v>36</v>
      </c>
      <c r="C1178">
        <v>74</v>
      </c>
      <c r="D1178">
        <v>1</v>
      </c>
      <c r="E1178" t="s">
        <v>50</v>
      </c>
      <c r="F1178" t="s">
        <v>51</v>
      </c>
      <c r="G1178" t="str">
        <f>"2025-12-16 18:13:01.850"</f>
        <v>2025-12-16 18:13:01.850</v>
      </c>
      <c r="H1178" t="s">
        <v>52</v>
      </c>
      <c r="I1178">
        <v>0</v>
      </c>
      <c r="J1178" t="s">
        <v>31</v>
      </c>
    </row>
    <row r="1179" spans="1:10" x14ac:dyDescent="0.25">
      <c r="A1179" s="1">
        <v>238</v>
      </c>
      <c r="B1179" t="s">
        <v>26</v>
      </c>
      <c r="C1179">
        <v>6</v>
      </c>
      <c r="D1179">
        <v>1</v>
      </c>
      <c r="E1179" t="s">
        <v>44</v>
      </c>
      <c r="F1179" t="s">
        <v>45</v>
      </c>
      <c r="G1179" t="str">
        <f>"2025-12-16 18:13:01.846"</f>
        <v>2025-12-16 18:13:01.846</v>
      </c>
      <c r="H1179" t="s">
        <v>46</v>
      </c>
      <c r="I1179">
        <v>0</v>
      </c>
      <c r="J1179" t="s">
        <v>31</v>
      </c>
    </row>
    <row r="1180" spans="1:10" s="3" customFormat="1" x14ac:dyDescent="0.25">
      <c r="A1180" s="2">
        <v>243</v>
      </c>
      <c r="B1180" s="3" t="s">
        <v>22</v>
      </c>
      <c r="C1180" s="3">
        <v>647</v>
      </c>
      <c r="D1180" s="3">
        <v>1</v>
      </c>
      <c r="E1180" s="3" t="s">
        <v>54</v>
      </c>
      <c r="F1180" s="3" t="s">
        <v>55</v>
      </c>
      <c r="G1180" s="3" t="str">
        <f>"2025-12-13 12:01:04.199"</f>
        <v>2025-12-13 12:01:04.199</v>
      </c>
      <c r="H1180" s="3" t="s">
        <v>21</v>
      </c>
    </row>
    <row r="1181" spans="1:10" s="3" customFormat="1" x14ac:dyDescent="0.25">
      <c r="A1181" s="2">
        <v>244</v>
      </c>
      <c r="B1181" s="3" t="s">
        <v>36</v>
      </c>
      <c r="C1181" s="3">
        <v>647</v>
      </c>
      <c r="D1181" s="3">
        <v>1</v>
      </c>
      <c r="E1181" s="3" t="s">
        <v>54</v>
      </c>
      <c r="F1181" s="3" t="s">
        <v>55</v>
      </c>
      <c r="G1181" s="3" t="str">
        <f>"2025-12-13 12:01:02.199"</f>
        <v>2025-12-13 12:01:02.199</v>
      </c>
      <c r="H1181" s="3" t="s">
        <v>21</v>
      </c>
      <c r="I1181" s="3">
        <v>12.75</v>
      </c>
      <c r="J1181" s="3" t="s">
        <v>27</v>
      </c>
    </row>
    <row r="1182" spans="1:10" x14ac:dyDescent="0.25">
      <c r="A1182" s="1">
        <v>245</v>
      </c>
      <c r="B1182" t="s">
        <v>19</v>
      </c>
      <c r="C1182">
        <v>700</v>
      </c>
      <c r="D1182">
        <v>0</v>
      </c>
      <c r="E1182" t="s">
        <v>20</v>
      </c>
      <c r="F1182" t="s">
        <v>20</v>
      </c>
      <c r="G1182" t="str">
        <f>"2025-12-13 03:55:39.407"</f>
        <v>2025-12-13 03:55:39.407</v>
      </c>
      <c r="H1182" t="s">
        <v>21</v>
      </c>
      <c r="I1182">
        <v>0</v>
      </c>
      <c r="J1182" t="s">
        <v>33</v>
      </c>
    </row>
    <row r="1183" spans="1:10" x14ac:dyDescent="0.25">
      <c r="A1183" s="1">
        <v>246</v>
      </c>
      <c r="B1183" t="s">
        <v>19</v>
      </c>
      <c r="C1183">
        <v>706</v>
      </c>
      <c r="D1183">
        <v>4</v>
      </c>
      <c r="E1183" t="s">
        <v>29</v>
      </c>
      <c r="F1183" t="s">
        <v>53</v>
      </c>
      <c r="G1183" t="str">
        <f>"2025-12-12 08:52:15.254"</f>
        <v>2025-12-12 08:52:15.254</v>
      </c>
      <c r="H1183" t="s">
        <v>21</v>
      </c>
      <c r="I1183">
        <v>0</v>
      </c>
      <c r="J1183" t="s">
        <v>31</v>
      </c>
    </row>
    <row r="1184" spans="1:10" x14ac:dyDescent="0.25">
      <c r="A1184" s="1">
        <v>247</v>
      </c>
      <c r="B1184" t="s">
        <v>19</v>
      </c>
      <c r="C1184">
        <v>700</v>
      </c>
      <c r="D1184">
        <v>0</v>
      </c>
      <c r="E1184" t="s">
        <v>20</v>
      </c>
      <c r="F1184" t="s">
        <v>20</v>
      </c>
      <c r="G1184" t="str">
        <f>"2025-12-12 08:51:23.404"</f>
        <v>2025-12-12 08:51:23.404</v>
      </c>
      <c r="H1184" t="s">
        <v>21</v>
      </c>
      <c r="I1184">
        <v>0</v>
      </c>
      <c r="J1184" t="s">
        <v>33</v>
      </c>
    </row>
    <row r="1185" spans="1:10" x14ac:dyDescent="0.25">
      <c r="A1185" s="1">
        <v>248</v>
      </c>
      <c r="B1185" t="s">
        <v>19</v>
      </c>
      <c r="C1185">
        <v>706</v>
      </c>
      <c r="D1185">
        <v>2</v>
      </c>
      <c r="E1185" t="s">
        <v>29</v>
      </c>
      <c r="F1185" t="s">
        <v>30</v>
      </c>
      <c r="G1185" t="str">
        <f>"2025-12-12 07:59:53.739"</f>
        <v>2025-12-12 07:59:53.739</v>
      </c>
      <c r="H1185" t="s">
        <v>21</v>
      </c>
      <c r="I1185">
        <v>0</v>
      </c>
      <c r="J1185" t="s">
        <v>31</v>
      </c>
    </row>
    <row r="1186" spans="1:10" x14ac:dyDescent="0.25">
      <c r="A1186" s="1">
        <v>249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"2025-12-12 07:56:46.389"</f>
        <v>2025-12-12 07:56:46.389</v>
      </c>
      <c r="H1186" t="s">
        <v>21</v>
      </c>
    </row>
    <row r="1187" spans="1:10" x14ac:dyDescent="0.25">
      <c r="A1187" s="1">
        <v>250</v>
      </c>
      <c r="B1187" t="s">
        <v>19</v>
      </c>
      <c r="C1187">
        <v>706</v>
      </c>
      <c r="D1187">
        <v>2</v>
      </c>
      <c r="E1187" t="s">
        <v>29</v>
      </c>
      <c r="F1187" t="s">
        <v>30</v>
      </c>
      <c r="G1187" t="str">
        <f>"2025-12-12 07:54:30.344"</f>
        <v>2025-12-12 07:54:30.344</v>
      </c>
      <c r="H1187" t="s">
        <v>21</v>
      </c>
      <c r="I1187">
        <v>0</v>
      </c>
      <c r="J1187" t="s">
        <v>31</v>
      </c>
    </row>
    <row r="1188" spans="1:10" x14ac:dyDescent="0.25">
      <c r="A1188" s="1">
        <v>251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"2025-12-12 07:50:22.394"</f>
        <v>2025-12-12 07:50:22.394</v>
      </c>
      <c r="H1188" t="s">
        <v>21</v>
      </c>
    </row>
    <row r="1189" spans="1:10" x14ac:dyDescent="0.25">
      <c r="A1189" s="1">
        <v>252</v>
      </c>
      <c r="B1189" t="s">
        <v>19</v>
      </c>
      <c r="C1189">
        <v>706</v>
      </c>
      <c r="D1189">
        <v>4</v>
      </c>
      <c r="E1189" t="s">
        <v>29</v>
      </c>
      <c r="F1189" t="s">
        <v>53</v>
      </c>
      <c r="G1189" t="str">
        <f>"2025-12-12 07:48:40.065"</f>
        <v>2025-12-12 07:48:40.065</v>
      </c>
      <c r="H1189" t="s">
        <v>21</v>
      </c>
      <c r="I1189">
        <v>0</v>
      </c>
      <c r="J1189" t="s">
        <v>31</v>
      </c>
    </row>
    <row r="1190" spans="1:10" x14ac:dyDescent="0.25">
      <c r="A1190" s="1">
        <v>253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"2025-12-12 07:48:12.405"</f>
        <v>2025-12-12 07:48:12.405</v>
      </c>
      <c r="H1190" t="s">
        <v>21</v>
      </c>
      <c r="I1190">
        <v>0</v>
      </c>
      <c r="J1190" t="s">
        <v>33</v>
      </c>
    </row>
    <row r="1191" spans="1:10" x14ac:dyDescent="0.25">
      <c r="A1191" s="1">
        <v>254</v>
      </c>
      <c r="B1191" t="s">
        <v>19</v>
      </c>
      <c r="C1191">
        <v>706</v>
      </c>
      <c r="D1191">
        <v>2</v>
      </c>
      <c r="E1191" t="s">
        <v>29</v>
      </c>
      <c r="F1191" t="s">
        <v>30</v>
      </c>
      <c r="G1191" t="str">
        <f>"2025-12-12 07:46:16.334"</f>
        <v>2025-12-12 07:46:16.334</v>
      </c>
      <c r="H1191" t="s">
        <v>21</v>
      </c>
      <c r="I1191">
        <v>0</v>
      </c>
      <c r="J1191" t="s">
        <v>31</v>
      </c>
    </row>
    <row r="1192" spans="1:10" x14ac:dyDescent="0.25">
      <c r="A1192" s="1">
        <v>255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"2025-12-12 07:45:28.394"</f>
        <v>2025-12-12 07:45:28.394</v>
      </c>
      <c r="H1192" t="s">
        <v>21</v>
      </c>
    </row>
    <row r="1193" spans="1:10" x14ac:dyDescent="0.25">
      <c r="A1193" s="1">
        <v>256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"2025-12-12 06:45:40.407"</f>
        <v>2025-12-12 06:45:40.407</v>
      </c>
      <c r="H1193" t="s">
        <v>21</v>
      </c>
      <c r="I1193">
        <v>0</v>
      </c>
      <c r="J1193" t="s">
        <v>33</v>
      </c>
    </row>
    <row r="1194" spans="1:10" x14ac:dyDescent="0.25">
      <c r="A1194" s="1">
        <v>257</v>
      </c>
      <c r="B1194" t="s">
        <v>19</v>
      </c>
      <c r="C1194">
        <v>706</v>
      </c>
      <c r="D1194">
        <v>4</v>
      </c>
      <c r="E1194" t="s">
        <v>29</v>
      </c>
      <c r="F1194" t="s">
        <v>53</v>
      </c>
      <c r="G1194" t="str">
        <f>"2025-12-12 06:40:47.522"</f>
        <v>2025-12-12 06:40:47.522</v>
      </c>
      <c r="H1194" t="s">
        <v>21</v>
      </c>
      <c r="I1194">
        <v>0</v>
      </c>
      <c r="J1194" t="s">
        <v>31</v>
      </c>
    </row>
    <row r="1195" spans="1:10" x14ac:dyDescent="0.25">
      <c r="A1195" s="1">
        <v>258</v>
      </c>
      <c r="B1195" t="s">
        <v>19</v>
      </c>
      <c r="C1195">
        <v>706</v>
      </c>
      <c r="D1195">
        <v>4</v>
      </c>
      <c r="E1195" t="s">
        <v>29</v>
      </c>
      <c r="F1195" t="s">
        <v>53</v>
      </c>
      <c r="G1195" t="str">
        <f>"2025-12-12 06:36:19.622"</f>
        <v>2025-12-12 06:36:19.622</v>
      </c>
      <c r="H1195" t="s">
        <v>21</v>
      </c>
      <c r="I1195">
        <v>0</v>
      </c>
      <c r="J1195" t="s">
        <v>31</v>
      </c>
    </row>
    <row r="1196" spans="1:10" x14ac:dyDescent="0.25">
      <c r="A1196" s="1">
        <v>259</v>
      </c>
      <c r="B1196" t="s">
        <v>19</v>
      </c>
      <c r="C1196">
        <v>706</v>
      </c>
      <c r="D1196">
        <v>4</v>
      </c>
      <c r="E1196" t="s">
        <v>29</v>
      </c>
      <c r="F1196" t="s">
        <v>53</v>
      </c>
      <c r="G1196" t="str">
        <f>"2025-12-12 06:35:20.322"</f>
        <v>2025-12-12 06:35:20.322</v>
      </c>
      <c r="H1196" t="s">
        <v>21</v>
      </c>
      <c r="I1196">
        <v>0</v>
      </c>
      <c r="J1196" t="s">
        <v>31</v>
      </c>
    </row>
    <row r="1197" spans="1:10" x14ac:dyDescent="0.25">
      <c r="A1197" s="1">
        <v>260</v>
      </c>
      <c r="B1197" t="s">
        <v>19</v>
      </c>
      <c r="C1197">
        <v>706</v>
      </c>
      <c r="D1197">
        <v>4</v>
      </c>
      <c r="E1197" t="s">
        <v>29</v>
      </c>
      <c r="F1197" t="s">
        <v>53</v>
      </c>
      <c r="G1197" t="str">
        <f>"2025-12-12 06:13:34.962"</f>
        <v>2025-12-12 06:13:34.962</v>
      </c>
      <c r="H1197" t="s">
        <v>21</v>
      </c>
      <c r="I1197">
        <v>0</v>
      </c>
      <c r="J1197" t="s">
        <v>31</v>
      </c>
    </row>
    <row r="1198" spans="1:10" x14ac:dyDescent="0.25">
      <c r="A1198" s="1">
        <v>261</v>
      </c>
      <c r="B1198" t="s">
        <v>19</v>
      </c>
      <c r="C1198">
        <v>706</v>
      </c>
      <c r="D1198">
        <v>4</v>
      </c>
      <c r="E1198" t="s">
        <v>29</v>
      </c>
      <c r="F1198" t="s">
        <v>53</v>
      </c>
      <c r="G1198" t="str">
        <f>"2025-12-12 06:10:00.762"</f>
        <v>2025-12-12 06:10:00.762</v>
      </c>
      <c r="H1198" t="s">
        <v>21</v>
      </c>
      <c r="I1198">
        <v>0</v>
      </c>
      <c r="J1198" t="s">
        <v>31</v>
      </c>
    </row>
    <row r="1199" spans="1:10" x14ac:dyDescent="0.25">
      <c r="A1199" s="1">
        <v>262</v>
      </c>
      <c r="B1199" t="s">
        <v>19</v>
      </c>
      <c r="C1199">
        <v>706</v>
      </c>
      <c r="D1199">
        <v>4</v>
      </c>
      <c r="E1199" t="s">
        <v>29</v>
      </c>
      <c r="F1199" t="s">
        <v>53</v>
      </c>
      <c r="G1199" t="str">
        <f>"2025-12-12 05:49:02.002"</f>
        <v>2025-12-12 05:49:02.002</v>
      </c>
      <c r="H1199" t="s">
        <v>21</v>
      </c>
      <c r="I1199">
        <v>0</v>
      </c>
      <c r="J1199" t="s">
        <v>31</v>
      </c>
    </row>
    <row r="1200" spans="1:10" x14ac:dyDescent="0.25">
      <c r="A1200" s="1">
        <v>263</v>
      </c>
      <c r="B1200" t="s">
        <v>19</v>
      </c>
      <c r="C1200">
        <v>706</v>
      </c>
      <c r="D1200">
        <v>4</v>
      </c>
      <c r="E1200" t="s">
        <v>29</v>
      </c>
      <c r="F1200" t="s">
        <v>53</v>
      </c>
      <c r="G1200" t="str">
        <f>"2025-12-12 05:48:28.402"</f>
        <v>2025-12-12 05:48:28.402</v>
      </c>
      <c r="H1200" t="s">
        <v>21</v>
      </c>
      <c r="I1200">
        <v>0</v>
      </c>
      <c r="J1200" t="s">
        <v>31</v>
      </c>
    </row>
    <row r="1201" spans="1:10" x14ac:dyDescent="0.25">
      <c r="A1201" s="1">
        <v>264</v>
      </c>
      <c r="B1201" t="s">
        <v>19</v>
      </c>
      <c r="C1201">
        <v>706</v>
      </c>
      <c r="D1201">
        <v>2</v>
      </c>
      <c r="E1201" t="s">
        <v>29</v>
      </c>
      <c r="F1201" t="s">
        <v>30</v>
      </c>
      <c r="G1201" t="str">
        <f>"2025-12-12 05:44:45.242"</f>
        <v>2025-12-12 05:44:45.242</v>
      </c>
      <c r="H1201" t="s">
        <v>21</v>
      </c>
      <c r="I1201">
        <v>0</v>
      </c>
      <c r="J1201" t="s">
        <v>31</v>
      </c>
    </row>
    <row r="1202" spans="1:10" x14ac:dyDescent="0.25">
      <c r="A1202" s="1">
        <v>265</v>
      </c>
      <c r="B1202" t="s">
        <v>19</v>
      </c>
      <c r="C1202">
        <v>700</v>
      </c>
      <c r="D1202">
        <v>0</v>
      </c>
      <c r="E1202" t="s">
        <v>20</v>
      </c>
      <c r="F1202" t="s">
        <v>20</v>
      </c>
      <c r="G1202" t="str">
        <f>"2025-12-12 05:25:33.392"</f>
        <v>2025-12-12 05:25:33.392</v>
      </c>
      <c r="H1202" t="s">
        <v>21</v>
      </c>
      <c r="I1202">
        <v>0</v>
      </c>
      <c r="J1202" t="s">
        <v>33</v>
      </c>
    </row>
    <row r="1203" spans="1:10" x14ac:dyDescent="0.25">
      <c r="A1203" s="1">
        <v>266</v>
      </c>
      <c r="B1203" t="s">
        <v>19</v>
      </c>
      <c r="C1203">
        <v>706</v>
      </c>
      <c r="D1203">
        <v>4</v>
      </c>
      <c r="E1203" t="s">
        <v>29</v>
      </c>
      <c r="F1203" t="s">
        <v>53</v>
      </c>
      <c r="G1203" t="str">
        <f>"2025-12-12 05:23:44.008"</f>
        <v>2025-12-12 05:23:44.008</v>
      </c>
      <c r="H1203" t="s">
        <v>21</v>
      </c>
      <c r="I1203">
        <v>0</v>
      </c>
      <c r="J1203" t="s">
        <v>31</v>
      </c>
    </row>
    <row r="1204" spans="1:10" x14ac:dyDescent="0.25">
      <c r="A1204" s="1">
        <v>267</v>
      </c>
      <c r="B1204" t="s">
        <v>19</v>
      </c>
      <c r="C1204">
        <v>706</v>
      </c>
      <c r="D1204">
        <v>2</v>
      </c>
      <c r="E1204" t="s">
        <v>29</v>
      </c>
      <c r="F1204" t="s">
        <v>30</v>
      </c>
      <c r="G1204" t="str">
        <f>"2025-12-12 05:23:23.868"</f>
        <v>2025-12-12 05:23:23.868</v>
      </c>
      <c r="H1204" t="s">
        <v>21</v>
      </c>
      <c r="I1204">
        <v>0</v>
      </c>
      <c r="J1204" t="s">
        <v>31</v>
      </c>
    </row>
    <row r="1205" spans="1:10" x14ac:dyDescent="0.25">
      <c r="A1205" s="1">
        <v>268</v>
      </c>
      <c r="B1205" t="s">
        <v>19</v>
      </c>
      <c r="C1205">
        <v>700</v>
      </c>
      <c r="D1205">
        <v>0</v>
      </c>
      <c r="E1205" t="s">
        <v>20</v>
      </c>
      <c r="F1205" t="s">
        <v>20</v>
      </c>
      <c r="G1205" t="str">
        <f>"2025-12-12 04:56:39.528"</f>
        <v>2025-12-12 04:56:39.528</v>
      </c>
      <c r="H1205" t="s">
        <v>21</v>
      </c>
      <c r="I1205">
        <v>0</v>
      </c>
      <c r="J1205" t="s">
        <v>33</v>
      </c>
    </row>
    <row r="1206" spans="1:10" x14ac:dyDescent="0.25">
      <c r="A1206" s="1">
        <v>269</v>
      </c>
      <c r="B1206" t="s">
        <v>22</v>
      </c>
      <c r="C1206">
        <v>635</v>
      </c>
      <c r="D1206">
        <v>1</v>
      </c>
      <c r="E1206" t="s">
        <v>34</v>
      </c>
      <c r="F1206" t="s">
        <v>35</v>
      </c>
      <c r="G1206" t="str">
        <f>"2025-12-11 17:42:04.748"</f>
        <v>2025-12-11 17:42:04.748</v>
      </c>
      <c r="H1206" t="s">
        <v>21</v>
      </c>
    </row>
    <row r="1207" spans="1:10" x14ac:dyDescent="0.25">
      <c r="A1207" s="1">
        <v>270</v>
      </c>
      <c r="B1207" t="s">
        <v>36</v>
      </c>
      <c r="C1207">
        <v>635</v>
      </c>
      <c r="D1207">
        <v>1</v>
      </c>
      <c r="E1207" t="s">
        <v>34</v>
      </c>
      <c r="F1207" t="s">
        <v>35</v>
      </c>
      <c r="G1207" t="str">
        <f>"2025-12-11 17:39:07.848"</f>
        <v>2025-12-11 17:39:07.848</v>
      </c>
      <c r="H1207" t="s">
        <v>21</v>
      </c>
      <c r="I1207">
        <v>0.1</v>
      </c>
      <c r="J1207" t="s">
        <v>37</v>
      </c>
    </row>
    <row r="1208" spans="1:10" x14ac:dyDescent="0.25">
      <c r="A1208" s="1">
        <v>271</v>
      </c>
      <c r="B1208" t="s">
        <v>19</v>
      </c>
      <c r="C1208">
        <v>706</v>
      </c>
      <c r="D1208">
        <v>4</v>
      </c>
      <c r="E1208" t="s">
        <v>29</v>
      </c>
      <c r="F1208" t="s">
        <v>53</v>
      </c>
      <c r="G1208" t="str">
        <f>"2025-12-10 23:52:17.048"</f>
        <v>2025-12-10 23:52:17.048</v>
      </c>
      <c r="H1208" t="s">
        <v>21</v>
      </c>
      <c r="I1208">
        <v>0</v>
      </c>
      <c r="J1208" t="s">
        <v>31</v>
      </c>
    </row>
    <row r="1209" spans="1:10" x14ac:dyDescent="0.25">
      <c r="A1209" s="1">
        <v>272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"2025-12-10 23:51:55.398"</f>
        <v>2025-12-10 23:51:55.398</v>
      </c>
      <c r="H1209" t="s">
        <v>21</v>
      </c>
      <c r="I1209">
        <v>0</v>
      </c>
      <c r="J1209" t="s">
        <v>33</v>
      </c>
    </row>
    <row r="1210" spans="1:10" x14ac:dyDescent="0.25">
      <c r="A1210" s="1">
        <v>273</v>
      </c>
      <c r="B1210" t="s">
        <v>22</v>
      </c>
      <c r="C1210">
        <v>635</v>
      </c>
      <c r="D1210">
        <v>1</v>
      </c>
      <c r="E1210" t="s">
        <v>34</v>
      </c>
      <c r="F1210" t="s">
        <v>35</v>
      </c>
      <c r="G1210" t="str">
        <f>"2025-12-10 20:46:22.909"</f>
        <v>2025-12-10 20:46:22.909</v>
      </c>
      <c r="H1210" t="s">
        <v>21</v>
      </c>
    </row>
    <row r="1211" spans="1:10" x14ac:dyDescent="0.25">
      <c r="A1211" s="1">
        <v>274</v>
      </c>
      <c r="B1211" t="s">
        <v>36</v>
      </c>
      <c r="C1211">
        <v>635</v>
      </c>
      <c r="D1211">
        <v>1</v>
      </c>
      <c r="E1211" t="s">
        <v>34</v>
      </c>
      <c r="F1211" t="s">
        <v>35</v>
      </c>
      <c r="G1211" t="str">
        <f>"2025-12-10 20:41:55.409"</f>
        <v>2025-12-10 20:41:55.409</v>
      </c>
      <c r="H1211" t="s">
        <v>21</v>
      </c>
      <c r="I1211">
        <v>0.45</v>
      </c>
      <c r="J1211" t="s">
        <v>37</v>
      </c>
    </row>
    <row r="1212" spans="1:10" x14ac:dyDescent="0.25">
      <c r="A1212" s="1">
        <v>275</v>
      </c>
      <c r="B1212" t="s">
        <v>19</v>
      </c>
      <c r="C1212">
        <v>706</v>
      </c>
      <c r="D1212">
        <v>4</v>
      </c>
      <c r="E1212" t="s">
        <v>29</v>
      </c>
      <c r="F1212" t="s">
        <v>53</v>
      </c>
      <c r="G1212" t="str">
        <f>"2025-12-09 14:00:40.561"</f>
        <v>2025-12-09 14:00:40.561</v>
      </c>
      <c r="H1212" t="s">
        <v>21</v>
      </c>
      <c r="I1212">
        <v>0</v>
      </c>
      <c r="J1212" t="s">
        <v>31</v>
      </c>
    </row>
    <row r="1213" spans="1:10" x14ac:dyDescent="0.25">
      <c r="A1213" s="1">
        <v>276</v>
      </c>
      <c r="B1213" t="s">
        <v>22</v>
      </c>
      <c r="C1213">
        <v>635</v>
      </c>
      <c r="D1213">
        <v>1</v>
      </c>
      <c r="E1213" t="s">
        <v>34</v>
      </c>
      <c r="F1213" t="s">
        <v>35</v>
      </c>
      <c r="G1213" t="str">
        <f>"2025-12-09 02:59:23.309"</f>
        <v>2025-12-09 02:59:23.309</v>
      </c>
      <c r="H1213" t="s">
        <v>21</v>
      </c>
    </row>
    <row r="1214" spans="1:10" x14ac:dyDescent="0.25">
      <c r="A1214" s="1">
        <v>277</v>
      </c>
      <c r="B1214" t="s">
        <v>36</v>
      </c>
      <c r="C1214">
        <v>635</v>
      </c>
      <c r="D1214">
        <v>1</v>
      </c>
      <c r="E1214" t="s">
        <v>34</v>
      </c>
      <c r="F1214" t="s">
        <v>35</v>
      </c>
      <c r="G1214" t="str">
        <f>"2025-12-09 02:53:59.309"</f>
        <v>2025-12-09 02:53:59.309</v>
      </c>
      <c r="H1214" t="s">
        <v>21</v>
      </c>
      <c r="I1214">
        <v>2.99</v>
      </c>
      <c r="J1214" t="s">
        <v>37</v>
      </c>
    </row>
    <row r="1215" spans="1:10" x14ac:dyDescent="0.25">
      <c r="A1215" s="1">
        <v>278</v>
      </c>
      <c r="B1215" t="s">
        <v>19</v>
      </c>
      <c r="C1215">
        <v>700</v>
      </c>
      <c r="D1215">
        <v>0</v>
      </c>
      <c r="E1215" t="s">
        <v>20</v>
      </c>
      <c r="F1215" t="s">
        <v>20</v>
      </c>
      <c r="G1215" t="str">
        <f>"2025-12-08 20:01:57.561"</f>
        <v>2025-12-08 20:01:57.561</v>
      </c>
      <c r="H1215" t="s">
        <v>21</v>
      </c>
      <c r="I1215">
        <v>0</v>
      </c>
      <c r="J1215" t="s">
        <v>33</v>
      </c>
    </row>
    <row r="1216" spans="1:10" x14ac:dyDescent="0.25">
      <c r="A1216" s="1">
        <v>279</v>
      </c>
      <c r="B1216" t="s">
        <v>22</v>
      </c>
      <c r="C1216">
        <v>635</v>
      </c>
      <c r="D1216">
        <v>1</v>
      </c>
      <c r="E1216" t="s">
        <v>34</v>
      </c>
      <c r="F1216" t="s">
        <v>35</v>
      </c>
      <c r="G1216" t="str">
        <f>"2025-12-08 18:13:56.738"</f>
        <v>2025-12-08 18:13:56.738</v>
      </c>
      <c r="H1216" t="s">
        <v>21</v>
      </c>
    </row>
    <row r="1217" spans="1:10" x14ac:dyDescent="0.25">
      <c r="A1217" s="1">
        <v>280</v>
      </c>
      <c r="B1217" t="s">
        <v>36</v>
      </c>
      <c r="C1217">
        <v>635</v>
      </c>
      <c r="D1217">
        <v>1</v>
      </c>
      <c r="E1217" t="s">
        <v>34</v>
      </c>
      <c r="F1217" t="s">
        <v>35</v>
      </c>
      <c r="G1217" t="str">
        <f>"2025-12-08 18:11:15.738"</f>
        <v>2025-12-08 18:11:15.738</v>
      </c>
      <c r="H1217" t="s">
        <v>21</v>
      </c>
      <c r="I1217">
        <v>2.36</v>
      </c>
      <c r="J1217" t="s">
        <v>27</v>
      </c>
    </row>
    <row r="1218" spans="1:10" x14ac:dyDescent="0.25">
      <c r="A1218" s="1">
        <v>281</v>
      </c>
      <c r="B1218" t="s">
        <v>22</v>
      </c>
      <c r="C1218">
        <v>635</v>
      </c>
      <c r="D1218">
        <v>1</v>
      </c>
      <c r="E1218" t="s">
        <v>34</v>
      </c>
      <c r="F1218" t="s">
        <v>35</v>
      </c>
      <c r="G1218" t="str">
        <f>"2025-12-07 15:27:14.738"</f>
        <v>2025-12-07 15:27:14.738</v>
      </c>
      <c r="H1218" t="s">
        <v>21</v>
      </c>
    </row>
    <row r="1219" spans="1:10" x14ac:dyDescent="0.25">
      <c r="A1219" s="1">
        <v>282</v>
      </c>
      <c r="B1219" t="s">
        <v>36</v>
      </c>
      <c r="C1219">
        <v>635</v>
      </c>
      <c r="D1219">
        <v>1</v>
      </c>
      <c r="E1219" t="s">
        <v>34</v>
      </c>
      <c r="F1219" t="s">
        <v>35</v>
      </c>
      <c r="G1219" t="str">
        <f>"2025-12-07 15:25:06.238"</f>
        <v>2025-12-07 15:25:06.238</v>
      </c>
      <c r="H1219" t="s">
        <v>21</v>
      </c>
      <c r="I1219">
        <v>0.21</v>
      </c>
      <c r="J1219" t="s">
        <v>37</v>
      </c>
    </row>
    <row r="1220" spans="1:10" x14ac:dyDescent="0.25">
      <c r="A1220" s="1">
        <v>283</v>
      </c>
      <c r="B1220" t="s">
        <v>22</v>
      </c>
      <c r="C1220">
        <v>635</v>
      </c>
      <c r="D1220">
        <v>1</v>
      </c>
      <c r="E1220" t="s">
        <v>34</v>
      </c>
      <c r="F1220" t="s">
        <v>35</v>
      </c>
      <c r="G1220" t="str">
        <f>"2025-12-07 15:16:24.738"</f>
        <v>2025-12-07 15:16:24.738</v>
      </c>
      <c r="H1220" t="s">
        <v>21</v>
      </c>
    </row>
    <row r="1221" spans="1:10" x14ac:dyDescent="0.25">
      <c r="A1221" s="1">
        <v>284</v>
      </c>
      <c r="B1221" t="s">
        <v>36</v>
      </c>
      <c r="C1221">
        <v>635</v>
      </c>
      <c r="D1221">
        <v>1</v>
      </c>
      <c r="E1221" t="s">
        <v>34</v>
      </c>
      <c r="F1221" t="s">
        <v>35</v>
      </c>
      <c r="G1221" t="str">
        <f>"2025-12-07 15:14:09.738"</f>
        <v>2025-12-07 15:14:09.738</v>
      </c>
      <c r="H1221" t="s">
        <v>21</v>
      </c>
      <c r="I1221">
        <v>-0.98</v>
      </c>
      <c r="J1221" t="s">
        <v>37</v>
      </c>
    </row>
    <row r="1222" spans="1:10" x14ac:dyDescent="0.25">
      <c r="A1222" s="1">
        <v>285</v>
      </c>
      <c r="B1222" t="s">
        <v>56</v>
      </c>
      <c r="C1222">
        <v>33</v>
      </c>
      <c r="D1222">
        <v>1</v>
      </c>
      <c r="E1222" t="s">
        <v>76</v>
      </c>
      <c r="F1222" t="s">
        <v>77</v>
      </c>
      <c r="G1222" t="str">
        <f>"2025-12-07 10:32:20.592"</f>
        <v>2025-12-07 10:32:20.592</v>
      </c>
      <c r="H1222" t="s">
        <v>78</v>
      </c>
    </row>
    <row r="1223" spans="1:10" x14ac:dyDescent="0.25">
      <c r="A1223" s="1">
        <v>286</v>
      </c>
      <c r="B1223" t="s">
        <v>26</v>
      </c>
      <c r="C1223">
        <v>33</v>
      </c>
      <c r="D1223">
        <v>1</v>
      </c>
      <c r="E1223" t="s">
        <v>76</v>
      </c>
      <c r="F1223" t="s">
        <v>77</v>
      </c>
      <c r="G1223" t="str">
        <f>"2025-12-07 10:31:18.090"</f>
        <v>2025-12-07 10:31:18.090</v>
      </c>
      <c r="H1223" t="s">
        <v>78</v>
      </c>
      <c r="I1223">
        <v>10.17</v>
      </c>
      <c r="J1223" t="s">
        <v>37</v>
      </c>
    </row>
    <row r="1224" spans="1:10" s="3" customFormat="1" x14ac:dyDescent="0.25">
      <c r="A1224" s="2">
        <v>288</v>
      </c>
      <c r="B1224" s="3" t="s">
        <v>22</v>
      </c>
      <c r="C1224" s="3">
        <v>647</v>
      </c>
      <c r="D1224" s="3">
        <v>1</v>
      </c>
      <c r="E1224" s="3" t="s">
        <v>54</v>
      </c>
      <c r="F1224" s="3" t="s">
        <v>55</v>
      </c>
      <c r="G1224" s="3" t="str">
        <f>"2025-12-06 14:14:51.092"</f>
        <v>2025-12-06 14:14:51.092</v>
      </c>
      <c r="H1224" s="3" t="s">
        <v>21</v>
      </c>
    </row>
    <row r="1225" spans="1:10" s="3" customFormat="1" x14ac:dyDescent="0.25">
      <c r="A1225" s="2">
        <v>289</v>
      </c>
      <c r="B1225" s="3" t="s">
        <v>36</v>
      </c>
      <c r="C1225" s="3">
        <v>647</v>
      </c>
      <c r="D1225" s="3">
        <v>1</v>
      </c>
      <c r="E1225" s="3" t="s">
        <v>54</v>
      </c>
      <c r="F1225" s="3" t="s">
        <v>55</v>
      </c>
      <c r="G1225" s="3" t="str">
        <f>"2025-12-06 14:14:47.792"</f>
        <v>2025-12-06 14:14:47.792</v>
      </c>
      <c r="H1225" s="3" t="s">
        <v>21</v>
      </c>
      <c r="I1225" s="3">
        <v>19.54</v>
      </c>
      <c r="J1225" s="3" t="s">
        <v>27</v>
      </c>
    </row>
    <row r="1226" spans="1:10" x14ac:dyDescent="0.25">
      <c r="A1226" s="1">
        <v>290</v>
      </c>
      <c r="B1226" t="s">
        <v>22</v>
      </c>
      <c r="C1226">
        <v>635</v>
      </c>
      <c r="D1226">
        <v>1</v>
      </c>
      <c r="E1226" t="s">
        <v>34</v>
      </c>
      <c r="F1226" t="s">
        <v>35</v>
      </c>
      <c r="G1226" t="str">
        <f>"2025-12-06 06:50:22.338"</f>
        <v>2025-12-06 06:50:22.338</v>
      </c>
      <c r="H1226" t="s">
        <v>21</v>
      </c>
    </row>
    <row r="1227" spans="1:10" x14ac:dyDescent="0.25">
      <c r="A1227" s="1">
        <v>291</v>
      </c>
      <c r="B1227" t="s">
        <v>36</v>
      </c>
      <c r="C1227">
        <v>635</v>
      </c>
      <c r="D1227">
        <v>1</v>
      </c>
      <c r="E1227" t="s">
        <v>34</v>
      </c>
      <c r="F1227" t="s">
        <v>35</v>
      </c>
      <c r="G1227" t="str">
        <f>"2025-12-06 06:47:12.338"</f>
        <v>2025-12-06 06:47:12.338</v>
      </c>
      <c r="H1227" t="s">
        <v>21</v>
      </c>
      <c r="I1227">
        <v>5.77</v>
      </c>
      <c r="J1227" t="s">
        <v>37</v>
      </c>
    </row>
    <row r="1228" spans="1:10" x14ac:dyDescent="0.25">
      <c r="A1228" s="1">
        <v>292</v>
      </c>
      <c r="B1228" t="s">
        <v>19</v>
      </c>
      <c r="C1228">
        <v>706</v>
      </c>
      <c r="D1228">
        <v>2</v>
      </c>
      <c r="E1228" t="s">
        <v>29</v>
      </c>
      <c r="F1228" t="s">
        <v>30</v>
      </c>
      <c r="G1228" t="str">
        <f>"2025-12-04 21:23:19.501"</f>
        <v>2025-12-04 21:23:19.501</v>
      </c>
      <c r="H1228" t="s">
        <v>21</v>
      </c>
      <c r="I1228">
        <v>0</v>
      </c>
      <c r="J1228" t="s">
        <v>31</v>
      </c>
    </row>
    <row r="1229" spans="1:10" x14ac:dyDescent="0.25">
      <c r="A1229" s="1">
        <v>293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"2025-12-04 21:22:09.381"</f>
        <v>2025-12-04 21:22:09.381</v>
      </c>
      <c r="H1229" t="s">
        <v>21</v>
      </c>
      <c r="I1229">
        <v>0</v>
      </c>
      <c r="J1229" t="s">
        <v>33</v>
      </c>
    </row>
    <row r="1230" spans="1:10" x14ac:dyDescent="0.25">
      <c r="A1230" s="1">
        <v>294</v>
      </c>
      <c r="B1230" t="s">
        <v>22</v>
      </c>
      <c r="C1230">
        <v>635</v>
      </c>
      <c r="D1230">
        <v>1</v>
      </c>
      <c r="E1230" t="s">
        <v>34</v>
      </c>
      <c r="F1230" t="s">
        <v>35</v>
      </c>
      <c r="G1230" t="str">
        <f>"2025-12-04 09:54:31.955"</f>
        <v>2025-12-04 09:54:31.955</v>
      </c>
      <c r="H1230" t="s">
        <v>21</v>
      </c>
    </row>
    <row r="1231" spans="1:10" x14ac:dyDescent="0.25">
      <c r="A1231" s="1">
        <v>295</v>
      </c>
      <c r="B1231" t="s">
        <v>36</v>
      </c>
      <c r="C1231">
        <v>635</v>
      </c>
      <c r="D1231">
        <v>1</v>
      </c>
      <c r="E1231" t="s">
        <v>34</v>
      </c>
      <c r="F1231" t="s">
        <v>35</v>
      </c>
      <c r="G1231" t="str">
        <f>"2025-12-04 09:52:06.955"</f>
        <v>2025-12-04 09:52:06.955</v>
      </c>
      <c r="H1231" t="s">
        <v>21</v>
      </c>
      <c r="I1231">
        <v>3.28</v>
      </c>
      <c r="J1231" t="s">
        <v>27</v>
      </c>
    </row>
    <row r="1232" spans="1:10" x14ac:dyDescent="0.25">
      <c r="A1232" s="1">
        <v>297</v>
      </c>
      <c r="B1232" t="s">
        <v>19</v>
      </c>
      <c r="C1232">
        <v>706</v>
      </c>
      <c r="D1232">
        <v>2</v>
      </c>
      <c r="E1232" t="s">
        <v>29</v>
      </c>
      <c r="F1232" t="s">
        <v>30</v>
      </c>
      <c r="G1232" t="str">
        <f>"2025-12-01 12:06:29.121"</f>
        <v>2025-12-01 12:06:29.121</v>
      </c>
      <c r="H1232" t="s">
        <v>21</v>
      </c>
      <c r="I1232">
        <v>0</v>
      </c>
      <c r="J1232" t="s">
        <v>31</v>
      </c>
    </row>
    <row r="1233" spans="1:10" x14ac:dyDescent="0.25">
      <c r="A1233" s="1">
        <v>298</v>
      </c>
      <c r="B1233" t="s">
        <v>19</v>
      </c>
      <c r="C1233">
        <v>700</v>
      </c>
      <c r="D1233">
        <v>0</v>
      </c>
      <c r="E1233" t="s">
        <v>20</v>
      </c>
      <c r="F1233" t="s">
        <v>20</v>
      </c>
      <c r="G1233" t="str">
        <f>"2025-12-01 12:05:08.971"</f>
        <v>2025-12-01 12:05:08.971</v>
      </c>
      <c r="H1233" t="s">
        <v>21</v>
      </c>
      <c r="I1233">
        <v>0</v>
      </c>
      <c r="J1233" t="s">
        <v>33</v>
      </c>
    </row>
    <row r="1234" spans="1:10" x14ac:dyDescent="0.25">
      <c r="A1234" s="1">
        <v>299</v>
      </c>
      <c r="B1234" t="s">
        <v>19</v>
      </c>
      <c r="C1234">
        <v>700</v>
      </c>
      <c r="D1234">
        <v>0</v>
      </c>
      <c r="E1234" t="s">
        <v>20</v>
      </c>
      <c r="F1234" t="s">
        <v>20</v>
      </c>
      <c r="G1234" t="str">
        <f>"2025-12-01 12:00:53.390"</f>
        <v>2025-12-01 12:00:53.390</v>
      </c>
      <c r="H1234" t="s">
        <v>21</v>
      </c>
      <c r="I1234">
        <v>0</v>
      </c>
      <c r="J1234" t="s">
        <v>33</v>
      </c>
    </row>
    <row r="1235" spans="1:10" x14ac:dyDescent="0.25">
      <c r="A1235" s="1">
        <v>300</v>
      </c>
      <c r="B1235" t="s">
        <v>19</v>
      </c>
      <c r="C1235">
        <v>706</v>
      </c>
      <c r="D1235">
        <v>2</v>
      </c>
      <c r="E1235" t="s">
        <v>29</v>
      </c>
      <c r="F1235" t="s">
        <v>30</v>
      </c>
      <c r="G1235" t="str">
        <f>"2025-12-01 11:36:50.946"</f>
        <v>2025-12-01 11:36:50.946</v>
      </c>
      <c r="H1235" t="s">
        <v>21</v>
      </c>
      <c r="I1235">
        <v>0</v>
      </c>
      <c r="J1235" t="s">
        <v>31</v>
      </c>
    </row>
    <row r="1236" spans="1:10" x14ac:dyDescent="0.25">
      <c r="A1236" s="1">
        <v>301</v>
      </c>
      <c r="B1236" t="s">
        <v>19</v>
      </c>
      <c r="C1236">
        <v>706</v>
      </c>
      <c r="D1236">
        <v>2</v>
      </c>
      <c r="E1236" t="s">
        <v>29</v>
      </c>
      <c r="F1236" t="s">
        <v>30</v>
      </c>
      <c r="G1236" t="str">
        <f>"2025-12-01 11:35:16.746"</f>
        <v>2025-12-01 11:35:16.746</v>
      </c>
      <c r="H1236" t="s">
        <v>21</v>
      </c>
      <c r="I1236">
        <v>0</v>
      </c>
      <c r="J1236" t="s">
        <v>31</v>
      </c>
    </row>
    <row r="1237" spans="1:10" x14ac:dyDescent="0.25">
      <c r="A1237" s="1">
        <v>302</v>
      </c>
      <c r="B1237" t="s">
        <v>19</v>
      </c>
      <c r="C1237">
        <v>706</v>
      </c>
      <c r="D1237">
        <v>4</v>
      </c>
      <c r="E1237" t="s">
        <v>29</v>
      </c>
      <c r="F1237" t="s">
        <v>53</v>
      </c>
      <c r="G1237" t="str">
        <f>"2025-12-01 11:31:00.066"</f>
        <v>2025-12-01 11:31:00.066</v>
      </c>
      <c r="H1237" t="s">
        <v>21</v>
      </c>
      <c r="I1237">
        <v>0</v>
      </c>
      <c r="J1237" t="s">
        <v>31</v>
      </c>
    </row>
    <row r="1238" spans="1:10" x14ac:dyDescent="0.25">
      <c r="A1238" s="1">
        <v>303</v>
      </c>
      <c r="B1238" t="s">
        <v>19</v>
      </c>
      <c r="C1238">
        <v>706</v>
      </c>
      <c r="D1238">
        <v>2</v>
      </c>
      <c r="E1238" t="s">
        <v>29</v>
      </c>
      <c r="F1238" t="s">
        <v>30</v>
      </c>
      <c r="G1238" t="str">
        <f>"2025-12-01 11:29:56.146"</f>
        <v>2025-12-01 11:29:56.146</v>
      </c>
      <c r="H1238" t="s">
        <v>21</v>
      </c>
      <c r="I1238">
        <v>0</v>
      </c>
      <c r="J1238" t="s">
        <v>31</v>
      </c>
    </row>
    <row r="1239" spans="1:10" x14ac:dyDescent="0.25">
      <c r="A1239" s="1">
        <v>304</v>
      </c>
      <c r="B1239" t="s">
        <v>19</v>
      </c>
      <c r="C1239">
        <v>706</v>
      </c>
      <c r="D1239">
        <v>4</v>
      </c>
      <c r="E1239" t="s">
        <v>29</v>
      </c>
      <c r="F1239" t="s">
        <v>53</v>
      </c>
      <c r="G1239" t="str">
        <f>"2025-12-01 11:28:33.056"</f>
        <v>2025-12-01 11:28:33.056</v>
      </c>
      <c r="H1239" t="s">
        <v>21</v>
      </c>
      <c r="I1239">
        <v>0</v>
      </c>
      <c r="J1239" t="s">
        <v>31</v>
      </c>
    </row>
    <row r="1240" spans="1:10" x14ac:dyDescent="0.25">
      <c r="A1240" s="1">
        <v>305</v>
      </c>
      <c r="B1240" t="s">
        <v>19</v>
      </c>
      <c r="C1240">
        <v>706</v>
      </c>
      <c r="D1240">
        <v>4</v>
      </c>
      <c r="E1240" t="s">
        <v>29</v>
      </c>
      <c r="F1240" t="s">
        <v>53</v>
      </c>
      <c r="G1240" t="str">
        <f>"2025-12-01 11:28:19.256"</f>
        <v>2025-12-01 11:28:19.256</v>
      </c>
      <c r="H1240" t="s">
        <v>21</v>
      </c>
      <c r="I1240">
        <v>0</v>
      </c>
      <c r="J1240" t="s">
        <v>31</v>
      </c>
    </row>
    <row r="1241" spans="1:10" x14ac:dyDescent="0.25">
      <c r="A1241" s="1">
        <v>306</v>
      </c>
      <c r="B1241" t="s">
        <v>19</v>
      </c>
      <c r="C1241">
        <v>700</v>
      </c>
      <c r="D1241">
        <v>0</v>
      </c>
      <c r="E1241" t="s">
        <v>20</v>
      </c>
      <c r="F1241" t="s">
        <v>20</v>
      </c>
      <c r="G1241" t="str">
        <f>"2025-12-01 11:22:13.386"</f>
        <v>2025-12-01 11:22:13.386</v>
      </c>
      <c r="H1241" t="s">
        <v>21</v>
      </c>
      <c r="I1241">
        <v>0</v>
      </c>
      <c r="J1241" t="s">
        <v>33</v>
      </c>
    </row>
    <row r="1242" spans="1:10" x14ac:dyDescent="0.25">
      <c r="A1242" s="1">
        <v>307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"2025-12-01 09:38:58.390"</f>
        <v>2025-12-01 09:38:58.390</v>
      </c>
      <c r="H1242" t="s">
        <v>21</v>
      </c>
      <c r="I1242">
        <v>0</v>
      </c>
      <c r="J1242" t="s">
        <v>33</v>
      </c>
    </row>
    <row r="1243" spans="1:10" x14ac:dyDescent="0.25">
      <c r="A1243" s="1">
        <v>308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"2025-12-01 09:24:46.382"</f>
        <v>2025-12-01 09:24:46.382</v>
      </c>
      <c r="H1243" t="s">
        <v>21</v>
      </c>
    </row>
    <row r="1244" spans="1:10" x14ac:dyDescent="0.25">
      <c r="A1244" s="1">
        <v>309</v>
      </c>
      <c r="B1244" t="s">
        <v>22</v>
      </c>
      <c r="C1244">
        <v>635</v>
      </c>
      <c r="D1244">
        <v>1</v>
      </c>
      <c r="E1244" t="s">
        <v>34</v>
      </c>
      <c r="F1244" t="s">
        <v>35</v>
      </c>
      <c r="G1244" t="str">
        <f>"2025-11-30 08:09:09.349"</f>
        <v>2025-11-30 08:09:09.349</v>
      </c>
      <c r="H1244" t="s">
        <v>21</v>
      </c>
    </row>
    <row r="1245" spans="1:10" x14ac:dyDescent="0.25">
      <c r="A1245" s="1">
        <v>310</v>
      </c>
      <c r="B1245" t="s">
        <v>36</v>
      </c>
      <c r="C1245">
        <v>635</v>
      </c>
      <c r="D1245">
        <v>1</v>
      </c>
      <c r="E1245" t="s">
        <v>34</v>
      </c>
      <c r="F1245" t="s">
        <v>35</v>
      </c>
      <c r="G1245" t="str">
        <f>"2025-11-30 08:05:08.349"</f>
        <v>2025-11-30 08:05:08.349</v>
      </c>
      <c r="H1245" t="s">
        <v>21</v>
      </c>
      <c r="I1245">
        <v>7.17</v>
      </c>
      <c r="J1245" t="s">
        <v>37</v>
      </c>
    </row>
    <row r="1246" spans="1:10" x14ac:dyDescent="0.25">
      <c r="A1246" s="1">
        <v>311</v>
      </c>
      <c r="B1246" t="s">
        <v>22</v>
      </c>
      <c r="C1246">
        <v>635</v>
      </c>
      <c r="D1246">
        <v>1</v>
      </c>
      <c r="E1246" t="s">
        <v>34</v>
      </c>
      <c r="F1246" t="s">
        <v>35</v>
      </c>
      <c r="G1246" t="str">
        <f>"2025-11-29 14:46:37.949"</f>
        <v>2025-11-29 14:46:37.949</v>
      </c>
      <c r="H1246" t="s">
        <v>21</v>
      </c>
    </row>
    <row r="1247" spans="1:10" x14ac:dyDescent="0.25">
      <c r="A1247" s="1">
        <v>312</v>
      </c>
      <c r="B1247" t="s">
        <v>36</v>
      </c>
      <c r="C1247">
        <v>635</v>
      </c>
      <c r="D1247">
        <v>1</v>
      </c>
      <c r="E1247" t="s">
        <v>34</v>
      </c>
      <c r="F1247" t="s">
        <v>35</v>
      </c>
      <c r="G1247" t="str">
        <f>"2025-11-29 14:43:04.449"</f>
        <v>2025-11-29 14:43:04.449</v>
      </c>
      <c r="H1247" t="s">
        <v>21</v>
      </c>
      <c r="I1247">
        <v>4.0599999999999996</v>
      </c>
      <c r="J1247" t="s">
        <v>37</v>
      </c>
    </row>
    <row r="1248" spans="1:10" x14ac:dyDescent="0.25">
      <c r="A1248" s="1">
        <v>313</v>
      </c>
      <c r="B1248" t="s">
        <v>22</v>
      </c>
      <c r="C1248">
        <v>635</v>
      </c>
      <c r="D1248">
        <v>1</v>
      </c>
      <c r="E1248" t="s">
        <v>34</v>
      </c>
      <c r="F1248" t="s">
        <v>35</v>
      </c>
      <c r="G1248" t="str">
        <f>"2025-11-29 08:46:12.949"</f>
        <v>2025-11-29 08:46:12.949</v>
      </c>
      <c r="H1248" t="s">
        <v>21</v>
      </c>
    </row>
    <row r="1249" spans="1:10" x14ac:dyDescent="0.25">
      <c r="A1249" s="1">
        <v>314</v>
      </c>
      <c r="B1249" t="s">
        <v>36</v>
      </c>
      <c r="C1249">
        <v>635</v>
      </c>
      <c r="D1249">
        <v>1</v>
      </c>
      <c r="E1249" t="s">
        <v>34</v>
      </c>
      <c r="F1249" t="s">
        <v>35</v>
      </c>
      <c r="G1249" t="str">
        <f>"2025-11-29 08:44:25.949"</f>
        <v>2025-11-29 08:44:25.949</v>
      </c>
      <c r="H1249" t="s">
        <v>21</v>
      </c>
      <c r="I1249">
        <v>-4.5</v>
      </c>
      <c r="J1249" t="s">
        <v>27</v>
      </c>
    </row>
    <row r="1250" spans="1:10" x14ac:dyDescent="0.25">
      <c r="A1250" s="1">
        <v>315</v>
      </c>
      <c r="B1250" t="s">
        <v>22</v>
      </c>
      <c r="C1250">
        <v>635</v>
      </c>
      <c r="D1250">
        <v>1</v>
      </c>
      <c r="E1250" t="s">
        <v>34</v>
      </c>
      <c r="F1250" t="s">
        <v>35</v>
      </c>
      <c r="G1250" t="str">
        <f>"2025-11-29 05:08:33.349"</f>
        <v>2025-11-29 05:08:33.349</v>
      </c>
      <c r="H1250" t="s">
        <v>21</v>
      </c>
    </row>
    <row r="1251" spans="1:10" x14ac:dyDescent="0.25">
      <c r="A1251" s="1">
        <v>316</v>
      </c>
      <c r="B1251" t="s">
        <v>36</v>
      </c>
      <c r="C1251">
        <v>635</v>
      </c>
      <c r="D1251">
        <v>1</v>
      </c>
      <c r="E1251" t="s">
        <v>34</v>
      </c>
      <c r="F1251" t="s">
        <v>35</v>
      </c>
      <c r="G1251" t="str">
        <f>"2025-11-29 05:02:30.849"</f>
        <v>2025-11-29 05:02:30.849</v>
      </c>
      <c r="H1251" t="s">
        <v>21</v>
      </c>
      <c r="I1251">
        <v>4.97</v>
      </c>
      <c r="J1251" t="s">
        <v>37</v>
      </c>
    </row>
    <row r="1252" spans="1:10" x14ac:dyDescent="0.25">
      <c r="A1252" s="1">
        <v>317</v>
      </c>
      <c r="B1252" t="s">
        <v>22</v>
      </c>
      <c r="C1252">
        <v>635</v>
      </c>
      <c r="D1252">
        <v>1</v>
      </c>
      <c r="E1252" t="s">
        <v>34</v>
      </c>
      <c r="F1252" t="s">
        <v>35</v>
      </c>
      <c r="G1252" t="str">
        <f>"2025-11-29 04:52:55.849"</f>
        <v>2025-11-29 04:52:55.849</v>
      </c>
      <c r="H1252" t="s">
        <v>21</v>
      </c>
    </row>
    <row r="1253" spans="1:10" x14ac:dyDescent="0.25">
      <c r="A1253" s="1">
        <v>318</v>
      </c>
      <c r="B1253" t="s">
        <v>36</v>
      </c>
      <c r="C1253">
        <v>635</v>
      </c>
      <c r="D1253">
        <v>1</v>
      </c>
      <c r="E1253" t="s">
        <v>34</v>
      </c>
      <c r="F1253" t="s">
        <v>35</v>
      </c>
      <c r="G1253" t="str">
        <f>"2025-11-29 04:47:21.849"</f>
        <v>2025-11-29 04:47:21.849</v>
      </c>
      <c r="H1253" t="s">
        <v>21</v>
      </c>
      <c r="I1253">
        <v>5.65</v>
      </c>
      <c r="J1253" t="s">
        <v>27</v>
      </c>
    </row>
    <row r="1254" spans="1:10" x14ac:dyDescent="0.25">
      <c r="A1254" s="1">
        <v>319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"2025-11-28 22:16:52.391"</f>
        <v>2025-11-28 22:16:52.391</v>
      </c>
      <c r="H1254" t="s">
        <v>21</v>
      </c>
      <c r="I1254">
        <v>0</v>
      </c>
      <c r="J1254" t="s">
        <v>33</v>
      </c>
    </row>
    <row r="1255" spans="1:10" x14ac:dyDescent="0.25">
      <c r="A1255" s="1">
        <v>320</v>
      </c>
      <c r="B1255" t="s">
        <v>19</v>
      </c>
      <c r="C1255">
        <v>700</v>
      </c>
      <c r="D1255">
        <v>0</v>
      </c>
      <c r="E1255" t="s">
        <v>20</v>
      </c>
      <c r="F1255" t="s">
        <v>20</v>
      </c>
      <c r="G1255" t="str">
        <f>"2025-11-28 21:24:17.513"</f>
        <v>2025-11-28 21:24:17.513</v>
      </c>
      <c r="H1255" t="s">
        <v>21</v>
      </c>
      <c r="I1255">
        <v>0</v>
      </c>
      <c r="J1255" t="s">
        <v>33</v>
      </c>
    </row>
    <row r="1256" spans="1:10" x14ac:dyDescent="0.25">
      <c r="A1256" s="1">
        <v>321</v>
      </c>
      <c r="B1256" t="s">
        <v>22</v>
      </c>
      <c r="C1256">
        <v>635</v>
      </c>
      <c r="D1256">
        <v>1</v>
      </c>
      <c r="E1256" t="s">
        <v>34</v>
      </c>
      <c r="F1256" t="s">
        <v>35</v>
      </c>
      <c r="G1256" t="str">
        <f>"2025-11-28 12:43:43.208"</f>
        <v>2025-11-28 12:43:43.208</v>
      </c>
      <c r="H1256" t="s">
        <v>21</v>
      </c>
    </row>
    <row r="1257" spans="1:10" x14ac:dyDescent="0.25">
      <c r="A1257" s="1">
        <v>322</v>
      </c>
      <c r="B1257" t="s">
        <v>36</v>
      </c>
      <c r="C1257">
        <v>635</v>
      </c>
      <c r="D1257">
        <v>1</v>
      </c>
      <c r="E1257" t="s">
        <v>34</v>
      </c>
      <c r="F1257" t="s">
        <v>35</v>
      </c>
      <c r="G1257" t="str">
        <f>"2025-11-28 12:40:05.708"</f>
        <v>2025-11-28 12:40:05.708</v>
      </c>
      <c r="H1257" t="s">
        <v>21</v>
      </c>
      <c r="I1257">
        <v>0.92</v>
      </c>
      <c r="J1257" t="s">
        <v>37</v>
      </c>
    </row>
    <row r="1258" spans="1:10" s="3" customFormat="1" x14ac:dyDescent="0.25">
      <c r="A1258" s="2">
        <v>323</v>
      </c>
      <c r="B1258" s="3" t="s">
        <v>22</v>
      </c>
      <c r="C1258" s="3">
        <v>647</v>
      </c>
      <c r="D1258" s="3">
        <v>1</v>
      </c>
      <c r="E1258" s="3" t="s">
        <v>54</v>
      </c>
      <c r="F1258" s="3" t="s">
        <v>55</v>
      </c>
      <c r="G1258" s="3" t="str">
        <f>"2025-11-27 07:54:13.409"</f>
        <v>2025-11-27 07:54:13.409</v>
      </c>
      <c r="H1258" s="3" t="s">
        <v>21</v>
      </c>
    </row>
    <row r="1259" spans="1:10" s="3" customFormat="1" x14ac:dyDescent="0.25">
      <c r="A1259" s="2">
        <v>324</v>
      </c>
      <c r="B1259" s="3" t="s">
        <v>36</v>
      </c>
      <c r="C1259" s="3">
        <v>647</v>
      </c>
      <c r="D1259" s="3">
        <v>1</v>
      </c>
      <c r="E1259" s="3" t="s">
        <v>54</v>
      </c>
      <c r="F1259" s="3" t="s">
        <v>55</v>
      </c>
      <c r="G1259" s="3" t="str">
        <f>"2025-11-27 07:54:11.109"</f>
        <v>2025-11-27 07:54:11.109</v>
      </c>
      <c r="H1259" s="3" t="s">
        <v>21</v>
      </c>
      <c r="I1259" s="3">
        <v>8.98</v>
      </c>
      <c r="J1259" s="3" t="s">
        <v>27</v>
      </c>
    </row>
    <row r="1260" spans="1:10" x14ac:dyDescent="0.25">
      <c r="A1260" s="1">
        <v>325</v>
      </c>
      <c r="B1260" t="s">
        <v>22</v>
      </c>
      <c r="C1260">
        <v>98</v>
      </c>
      <c r="D1260">
        <v>1</v>
      </c>
      <c r="E1260" t="s">
        <v>99</v>
      </c>
      <c r="F1260" t="s">
        <v>100</v>
      </c>
      <c r="G1260" t="str">
        <f>"2025-11-26 03:12:59.520"</f>
        <v>2025-11-26 03:12:59.520</v>
      </c>
      <c r="H1260" t="s">
        <v>21</v>
      </c>
    </row>
    <row r="1261" spans="1:10" x14ac:dyDescent="0.25">
      <c r="A1261" s="1">
        <v>326</v>
      </c>
      <c r="B1261" t="s">
        <v>36</v>
      </c>
      <c r="C1261">
        <v>98</v>
      </c>
      <c r="D1261">
        <v>1</v>
      </c>
      <c r="E1261" t="s">
        <v>99</v>
      </c>
      <c r="F1261" t="s">
        <v>100</v>
      </c>
      <c r="G1261" t="str">
        <f>"2025-11-26 03:12:58.520"</f>
        <v>2025-11-26 03:12:58.520</v>
      </c>
      <c r="H1261" t="s">
        <v>21</v>
      </c>
      <c r="I1261">
        <v>0</v>
      </c>
      <c r="J1261" t="s">
        <v>28</v>
      </c>
    </row>
    <row r="1262" spans="1:10" x14ac:dyDescent="0.25">
      <c r="A1262" s="1">
        <v>328</v>
      </c>
      <c r="B1262" t="s">
        <v>22</v>
      </c>
      <c r="C1262">
        <v>61</v>
      </c>
      <c r="D1262">
        <v>2</v>
      </c>
      <c r="E1262" t="s">
        <v>66</v>
      </c>
      <c r="F1262" t="s">
        <v>67</v>
      </c>
      <c r="G1262" t="str">
        <f>"2025-11-25 07:09:01.421"</f>
        <v>2025-11-25 07:09:01.421</v>
      </c>
      <c r="H1262" t="s">
        <v>21</v>
      </c>
    </row>
    <row r="1263" spans="1:10" x14ac:dyDescent="0.25">
      <c r="A1263" s="1">
        <v>329</v>
      </c>
      <c r="B1263" t="s">
        <v>26</v>
      </c>
      <c r="C1263">
        <v>61</v>
      </c>
      <c r="D1263">
        <v>2</v>
      </c>
      <c r="E1263" t="s">
        <v>66</v>
      </c>
      <c r="F1263" t="s">
        <v>67</v>
      </c>
      <c r="G1263" t="str">
        <f>"2025-11-25 07:08:50.320"</f>
        <v>2025-11-25 07:08:50.320</v>
      </c>
      <c r="H1263" t="s">
        <v>21</v>
      </c>
      <c r="I1263">
        <v>36.89</v>
      </c>
      <c r="J1263" t="s">
        <v>27</v>
      </c>
    </row>
    <row r="1264" spans="1:10" x14ac:dyDescent="0.25">
      <c r="A1264" s="1">
        <v>331</v>
      </c>
      <c r="B1264" t="s">
        <v>22</v>
      </c>
      <c r="C1264">
        <v>635</v>
      </c>
      <c r="D1264">
        <v>1</v>
      </c>
      <c r="E1264" t="s">
        <v>34</v>
      </c>
      <c r="F1264" t="s">
        <v>35</v>
      </c>
      <c r="G1264" t="str">
        <f>"2025-11-24 09:34:37.908"</f>
        <v>2025-11-24 09:34:37.908</v>
      </c>
      <c r="H1264" t="s">
        <v>21</v>
      </c>
    </row>
    <row r="1265" spans="1:10" x14ac:dyDescent="0.25">
      <c r="A1265" s="1">
        <v>332</v>
      </c>
      <c r="B1265" t="s">
        <v>36</v>
      </c>
      <c r="C1265">
        <v>635</v>
      </c>
      <c r="D1265">
        <v>1</v>
      </c>
      <c r="E1265" t="s">
        <v>34</v>
      </c>
      <c r="F1265" t="s">
        <v>35</v>
      </c>
      <c r="G1265" t="str">
        <f>"2025-11-24 09:31:45.409"</f>
        <v>2025-11-24 09:31:45.409</v>
      </c>
      <c r="H1265" t="s">
        <v>21</v>
      </c>
      <c r="I1265">
        <v>0.27</v>
      </c>
      <c r="J1265" t="s">
        <v>28</v>
      </c>
    </row>
    <row r="1266" spans="1:10" x14ac:dyDescent="0.25">
      <c r="A1266" s="1">
        <v>333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"2025-11-23 16:32:13.377"</f>
        <v>2025-11-23 16:32:13.377</v>
      </c>
      <c r="H1266" t="s">
        <v>21</v>
      </c>
    </row>
    <row r="1267" spans="1:10" x14ac:dyDescent="0.25">
      <c r="A1267" s="1">
        <v>334</v>
      </c>
      <c r="B1267" t="s">
        <v>19</v>
      </c>
      <c r="C1267">
        <v>706</v>
      </c>
      <c r="D1267">
        <v>4</v>
      </c>
      <c r="E1267" t="s">
        <v>29</v>
      </c>
      <c r="F1267" t="s">
        <v>53</v>
      </c>
      <c r="G1267" t="str">
        <f>"2025-11-23 16:30:14.337"</f>
        <v>2025-11-23 16:30:14.337</v>
      </c>
      <c r="H1267" t="s">
        <v>21</v>
      </c>
      <c r="I1267">
        <v>0</v>
      </c>
      <c r="J1267" t="s">
        <v>31</v>
      </c>
    </row>
    <row r="1268" spans="1:10" x14ac:dyDescent="0.25">
      <c r="A1268" s="1">
        <v>335</v>
      </c>
      <c r="B1268" t="s">
        <v>19</v>
      </c>
      <c r="C1268">
        <v>706</v>
      </c>
      <c r="D1268">
        <v>4</v>
      </c>
      <c r="E1268" t="s">
        <v>29</v>
      </c>
      <c r="F1268" t="s">
        <v>53</v>
      </c>
      <c r="G1268" t="str">
        <f>"2025-11-23 16:29:17.237"</f>
        <v>2025-11-23 16:29:17.237</v>
      </c>
      <c r="H1268" t="s">
        <v>21</v>
      </c>
      <c r="I1268">
        <v>0</v>
      </c>
      <c r="J1268" t="s">
        <v>31</v>
      </c>
    </row>
    <row r="1269" spans="1:10" x14ac:dyDescent="0.25">
      <c r="A1269" s="1">
        <v>336</v>
      </c>
      <c r="B1269" t="s">
        <v>19</v>
      </c>
      <c r="C1269">
        <v>700</v>
      </c>
      <c r="D1269">
        <v>0</v>
      </c>
      <c r="E1269" t="s">
        <v>20</v>
      </c>
      <c r="F1269" t="s">
        <v>20</v>
      </c>
      <c r="G1269" t="str">
        <f>"2025-11-23 16:18:41.387"</f>
        <v>2025-11-23 16:18:41.387</v>
      </c>
      <c r="H1269" t="s">
        <v>21</v>
      </c>
      <c r="I1269">
        <v>0</v>
      </c>
      <c r="J1269" t="s">
        <v>33</v>
      </c>
    </row>
    <row r="1270" spans="1:10" x14ac:dyDescent="0.25">
      <c r="A1270" s="1">
        <v>337</v>
      </c>
      <c r="B1270" t="s">
        <v>19</v>
      </c>
      <c r="C1270">
        <v>706</v>
      </c>
      <c r="D1270">
        <v>4</v>
      </c>
      <c r="E1270" t="s">
        <v>29</v>
      </c>
      <c r="F1270" t="s">
        <v>53</v>
      </c>
      <c r="G1270" t="str">
        <f>"2025-11-23 15:28:36.268"</f>
        <v>2025-11-23 15:28:36.268</v>
      </c>
      <c r="H1270" t="s">
        <v>21</v>
      </c>
      <c r="I1270">
        <v>0</v>
      </c>
      <c r="J1270" t="s">
        <v>31</v>
      </c>
    </row>
    <row r="1271" spans="1:10" x14ac:dyDescent="0.25">
      <c r="A1271" s="1">
        <v>338</v>
      </c>
      <c r="B1271" t="s">
        <v>19</v>
      </c>
      <c r="C1271">
        <v>700</v>
      </c>
      <c r="D1271">
        <v>0</v>
      </c>
      <c r="E1271" t="s">
        <v>20</v>
      </c>
      <c r="F1271" t="s">
        <v>20</v>
      </c>
      <c r="G1271" t="str">
        <f>"2025-11-23 15:28:17.408"</f>
        <v>2025-11-23 15:28:17.408</v>
      </c>
      <c r="H1271" t="s">
        <v>21</v>
      </c>
    </row>
    <row r="1272" spans="1:10" x14ac:dyDescent="0.25">
      <c r="A1272" s="1">
        <v>339</v>
      </c>
      <c r="B1272" t="s">
        <v>19</v>
      </c>
      <c r="C1272">
        <v>706</v>
      </c>
      <c r="D1272">
        <v>4</v>
      </c>
      <c r="E1272" t="s">
        <v>29</v>
      </c>
      <c r="F1272" t="s">
        <v>53</v>
      </c>
      <c r="G1272" t="str">
        <f>"2025-11-23 02:30:34.260"</f>
        <v>2025-11-23 02:30:34.260</v>
      </c>
      <c r="H1272" t="s">
        <v>21</v>
      </c>
      <c r="I1272">
        <v>0</v>
      </c>
      <c r="J1272" t="s">
        <v>31</v>
      </c>
    </row>
    <row r="1273" spans="1:10" x14ac:dyDescent="0.25">
      <c r="A1273" s="1">
        <v>340</v>
      </c>
      <c r="B1273" t="s">
        <v>19</v>
      </c>
      <c r="C1273">
        <v>700</v>
      </c>
      <c r="D1273">
        <v>0</v>
      </c>
      <c r="E1273" t="s">
        <v>20</v>
      </c>
      <c r="F1273" t="s">
        <v>20</v>
      </c>
      <c r="G1273" t="str">
        <f>"2025-11-23 02:29:43.380"</f>
        <v>2025-11-23 02:29:43.380</v>
      </c>
      <c r="H1273" t="s">
        <v>21</v>
      </c>
      <c r="I1273">
        <v>0</v>
      </c>
      <c r="J1273" t="s">
        <v>33</v>
      </c>
    </row>
    <row r="1274" spans="1:10" x14ac:dyDescent="0.25">
      <c r="A1274" s="1">
        <v>341</v>
      </c>
      <c r="B1274" t="s">
        <v>19</v>
      </c>
      <c r="C1274">
        <v>700</v>
      </c>
      <c r="D1274">
        <v>0</v>
      </c>
      <c r="E1274" t="s">
        <v>20</v>
      </c>
      <c r="F1274" t="s">
        <v>20</v>
      </c>
      <c r="G1274" t="str">
        <f>"2025-11-23 01:48:35.468"</f>
        <v>2025-11-23 01:48:35.468</v>
      </c>
      <c r="H1274" t="s">
        <v>21</v>
      </c>
      <c r="I1274">
        <v>0</v>
      </c>
      <c r="J1274" t="s">
        <v>33</v>
      </c>
    </row>
    <row r="1275" spans="1:10" x14ac:dyDescent="0.25">
      <c r="A1275" s="1">
        <v>342</v>
      </c>
      <c r="B1275" t="s">
        <v>19</v>
      </c>
      <c r="C1275">
        <v>700</v>
      </c>
      <c r="D1275">
        <v>0</v>
      </c>
      <c r="E1275" t="s">
        <v>20</v>
      </c>
      <c r="F1275" t="s">
        <v>20</v>
      </c>
      <c r="G1275" t="str">
        <f>"2025-11-22 23:33:32.390"</f>
        <v>2025-11-22 23:33:32.390</v>
      </c>
      <c r="H1275" t="s">
        <v>21</v>
      </c>
      <c r="I1275">
        <v>0</v>
      </c>
      <c r="J1275" t="s">
        <v>33</v>
      </c>
    </row>
    <row r="1276" spans="1:10" x14ac:dyDescent="0.25">
      <c r="A1276" s="1">
        <v>343</v>
      </c>
      <c r="B1276" t="s">
        <v>19</v>
      </c>
      <c r="C1276">
        <v>700</v>
      </c>
      <c r="D1276">
        <v>0</v>
      </c>
      <c r="E1276" t="s">
        <v>20</v>
      </c>
      <c r="F1276" t="s">
        <v>20</v>
      </c>
      <c r="G1276" t="str">
        <f>"2025-11-22 23:04:56.384"</f>
        <v>2025-11-22 23:04:56.384</v>
      </c>
      <c r="H1276" t="s">
        <v>21</v>
      </c>
      <c r="I1276">
        <v>0</v>
      </c>
      <c r="J1276" t="s">
        <v>33</v>
      </c>
    </row>
    <row r="1277" spans="1:10" x14ac:dyDescent="0.25">
      <c r="A1277" s="1">
        <v>344</v>
      </c>
      <c r="B1277" t="s">
        <v>22</v>
      </c>
      <c r="C1277">
        <v>635</v>
      </c>
      <c r="D1277">
        <v>1</v>
      </c>
      <c r="E1277" t="s">
        <v>34</v>
      </c>
      <c r="F1277" t="s">
        <v>35</v>
      </c>
      <c r="G1277" t="str">
        <f>"2025-11-22 10:12:17.615"</f>
        <v>2025-11-22 10:12:17.615</v>
      </c>
      <c r="H1277" t="s">
        <v>21</v>
      </c>
    </row>
    <row r="1278" spans="1:10" x14ac:dyDescent="0.25">
      <c r="A1278" s="1">
        <v>345</v>
      </c>
      <c r="B1278" t="s">
        <v>36</v>
      </c>
      <c r="C1278">
        <v>635</v>
      </c>
      <c r="D1278">
        <v>1</v>
      </c>
      <c r="E1278" t="s">
        <v>34</v>
      </c>
      <c r="F1278" t="s">
        <v>35</v>
      </c>
      <c r="G1278" t="str">
        <f>"2025-11-22 10:05:01.616"</f>
        <v>2025-11-22 10:05:01.616</v>
      </c>
      <c r="H1278" t="s">
        <v>21</v>
      </c>
      <c r="I1278">
        <v>-0.09</v>
      </c>
      <c r="J1278" t="s">
        <v>28</v>
      </c>
    </row>
    <row r="1279" spans="1:10" x14ac:dyDescent="0.25">
      <c r="A1279" s="1">
        <v>347</v>
      </c>
      <c r="B1279" t="s">
        <v>19</v>
      </c>
      <c r="C1279">
        <v>706</v>
      </c>
      <c r="D1279">
        <v>2</v>
      </c>
      <c r="E1279" t="s">
        <v>29</v>
      </c>
      <c r="F1279" t="s">
        <v>30</v>
      </c>
      <c r="G1279" t="str">
        <f>"2025-11-21 17:19:01.566"</f>
        <v>2025-11-21 17:19:01.566</v>
      </c>
      <c r="H1279" t="s">
        <v>21</v>
      </c>
      <c r="I1279">
        <v>0</v>
      </c>
      <c r="J1279" t="s">
        <v>31</v>
      </c>
    </row>
    <row r="1280" spans="1:10" x14ac:dyDescent="0.25">
      <c r="A1280" s="1">
        <v>348</v>
      </c>
      <c r="B1280" t="s">
        <v>19</v>
      </c>
      <c r="C1280">
        <v>700</v>
      </c>
      <c r="D1280">
        <v>0</v>
      </c>
      <c r="E1280" t="s">
        <v>20</v>
      </c>
      <c r="F1280" t="s">
        <v>20</v>
      </c>
      <c r="G1280" t="str">
        <f>"2025-11-21 02:57:54.386"</f>
        <v>2025-11-21 02:57:54.386</v>
      </c>
      <c r="H1280" t="s">
        <v>21</v>
      </c>
    </row>
    <row r="1281" spans="1:10" x14ac:dyDescent="0.25">
      <c r="A1281" s="1">
        <v>349</v>
      </c>
      <c r="B1281" t="s">
        <v>19</v>
      </c>
      <c r="C1281">
        <v>706</v>
      </c>
      <c r="D1281">
        <v>4</v>
      </c>
      <c r="E1281" t="s">
        <v>29</v>
      </c>
      <c r="F1281" t="s">
        <v>53</v>
      </c>
      <c r="G1281" t="str">
        <f>"2025-11-21 02:27:54.261"</f>
        <v>2025-11-21 02:27:54.261</v>
      </c>
      <c r="H1281" t="s">
        <v>21</v>
      </c>
      <c r="I1281">
        <v>0</v>
      </c>
      <c r="J1281" t="s">
        <v>31</v>
      </c>
    </row>
    <row r="1282" spans="1:10" x14ac:dyDescent="0.25">
      <c r="A1282" s="1">
        <v>350</v>
      </c>
      <c r="B1282" t="s">
        <v>19</v>
      </c>
      <c r="C1282">
        <v>700</v>
      </c>
      <c r="D1282">
        <v>0</v>
      </c>
      <c r="E1282" t="s">
        <v>20</v>
      </c>
      <c r="F1282" t="s">
        <v>20</v>
      </c>
      <c r="G1282" t="str">
        <f>"2025-11-21 02:27:06.391"</f>
        <v>2025-11-21 02:27:06.391</v>
      </c>
      <c r="H1282" t="s">
        <v>21</v>
      </c>
      <c r="I1282">
        <v>0</v>
      </c>
      <c r="J1282" t="s">
        <v>33</v>
      </c>
    </row>
    <row r="1283" spans="1:10" x14ac:dyDescent="0.25">
      <c r="A1283" s="1">
        <v>351</v>
      </c>
      <c r="B1283" t="s">
        <v>19</v>
      </c>
      <c r="C1283">
        <v>700</v>
      </c>
      <c r="D1283">
        <v>0</v>
      </c>
      <c r="E1283" t="s">
        <v>20</v>
      </c>
      <c r="F1283" t="s">
        <v>20</v>
      </c>
      <c r="G1283" t="str">
        <f>"2025-11-21 01:12:05.384"</f>
        <v>2025-11-21 01:12:05.384</v>
      </c>
      <c r="H1283" t="s">
        <v>21</v>
      </c>
    </row>
    <row r="1284" spans="1:10" x14ac:dyDescent="0.25">
      <c r="A1284" s="1">
        <v>352</v>
      </c>
      <c r="B1284" t="s">
        <v>19</v>
      </c>
      <c r="C1284">
        <v>706</v>
      </c>
      <c r="D1284">
        <v>2</v>
      </c>
      <c r="E1284" t="s">
        <v>29</v>
      </c>
      <c r="F1284" t="s">
        <v>30</v>
      </c>
      <c r="G1284" t="str">
        <f>"2025-11-21 01:00:41.325"</f>
        <v>2025-11-21 01:00:41.325</v>
      </c>
      <c r="H1284" t="s">
        <v>21</v>
      </c>
      <c r="I1284">
        <v>0</v>
      </c>
      <c r="J1284" t="s">
        <v>31</v>
      </c>
    </row>
    <row r="1285" spans="1:10" x14ac:dyDescent="0.25">
      <c r="A1285" s="1">
        <v>353</v>
      </c>
      <c r="B1285" t="s">
        <v>19</v>
      </c>
      <c r="C1285">
        <v>700</v>
      </c>
      <c r="D1285">
        <v>0</v>
      </c>
      <c r="E1285" t="s">
        <v>20</v>
      </c>
      <c r="F1285" t="s">
        <v>20</v>
      </c>
      <c r="G1285" t="str">
        <f>"2025-11-21 00:57:13.375"</f>
        <v>2025-11-21 00:57:13.375</v>
      </c>
      <c r="H1285" t="s">
        <v>21</v>
      </c>
    </row>
    <row r="1286" spans="1:10" x14ac:dyDescent="0.25">
      <c r="A1286" s="1">
        <v>354</v>
      </c>
      <c r="B1286" t="s">
        <v>19</v>
      </c>
      <c r="C1286">
        <v>706</v>
      </c>
      <c r="D1286">
        <v>4</v>
      </c>
      <c r="E1286" t="s">
        <v>29</v>
      </c>
      <c r="F1286" t="s">
        <v>53</v>
      </c>
      <c r="G1286" t="str">
        <f>"2025-11-21 00:34:28.040"</f>
        <v>2025-11-21 00:34:28.040</v>
      </c>
      <c r="H1286" t="s">
        <v>21</v>
      </c>
      <c r="I1286">
        <v>0</v>
      </c>
      <c r="J1286" t="s">
        <v>31</v>
      </c>
    </row>
    <row r="1287" spans="1:10" x14ac:dyDescent="0.25">
      <c r="A1287" s="1">
        <v>355</v>
      </c>
      <c r="B1287" t="s">
        <v>19</v>
      </c>
      <c r="C1287">
        <v>706</v>
      </c>
      <c r="D1287">
        <v>2</v>
      </c>
      <c r="E1287" t="s">
        <v>29</v>
      </c>
      <c r="F1287" t="s">
        <v>30</v>
      </c>
      <c r="G1287" t="str">
        <f>"2025-11-21 00:32:35.520"</f>
        <v>2025-11-21 00:32:35.520</v>
      </c>
      <c r="H1287" t="s">
        <v>21</v>
      </c>
      <c r="I1287">
        <v>0</v>
      </c>
      <c r="J1287" t="s">
        <v>31</v>
      </c>
    </row>
    <row r="1288" spans="1:10" x14ac:dyDescent="0.25">
      <c r="A1288" s="1">
        <v>356</v>
      </c>
      <c r="B1288" t="s">
        <v>19</v>
      </c>
      <c r="C1288">
        <v>706</v>
      </c>
      <c r="D1288">
        <v>4</v>
      </c>
      <c r="E1288" t="s">
        <v>29</v>
      </c>
      <c r="F1288" t="s">
        <v>53</v>
      </c>
      <c r="G1288" t="str">
        <f>"2025-11-21 00:29:54.660"</f>
        <v>2025-11-21 00:29:54.660</v>
      </c>
      <c r="H1288" t="s">
        <v>21</v>
      </c>
      <c r="I1288">
        <v>0</v>
      </c>
      <c r="J1288" t="s">
        <v>31</v>
      </c>
    </row>
    <row r="1289" spans="1:10" x14ac:dyDescent="0.25">
      <c r="A1289" s="1">
        <v>357</v>
      </c>
      <c r="B1289" t="s">
        <v>19</v>
      </c>
      <c r="C1289">
        <v>706</v>
      </c>
      <c r="D1289">
        <v>4</v>
      </c>
      <c r="E1289" t="s">
        <v>29</v>
      </c>
      <c r="F1289" t="s">
        <v>53</v>
      </c>
      <c r="G1289" t="str">
        <f>"2025-11-21 00:25:12.070"</f>
        <v>2025-11-21 00:25:12.070</v>
      </c>
      <c r="H1289" t="s">
        <v>21</v>
      </c>
      <c r="I1289">
        <v>0</v>
      </c>
      <c r="J1289" t="s">
        <v>31</v>
      </c>
    </row>
    <row r="1290" spans="1:10" x14ac:dyDescent="0.25">
      <c r="A1290" s="1">
        <v>358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"2025-11-21 00:24:57.370"</f>
        <v>2025-11-21 00:24:57.370</v>
      </c>
      <c r="H1290" t="s">
        <v>21</v>
      </c>
      <c r="I1290">
        <v>0</v>
      </c>
      <c r="J1290" t="s">
        <v>33</v>
      </c>
    </row>
    <row r="1291" spans="1:10" x14ac:dyDescent="0.25">
      <c r="A1291" s="1">
        <v>359</v>
      </c>
      <c r="B1291" t="s">
        <v>19</v>
      </c>
      <c r="C1291">
        <v>706</v>
      </c>
      <c r="D1291">
        <v>4</v>
      </c>
      <c r="E1291" t="s">
        <v>29</v>
      </c>
      <c r="F1291" t="s">
        <v>53</v>
      </c>
      <c r="G1291" t="str">
        <f>"2025-11-21 00:23:04.410"</f>
        <v>2025-11-21 00:23:04.410</v>
      </c>
      <c r="H1291" t="s">
        <v>21</v>
      </c>
      <c r="I1291">
        <v>0</v>
      </c>
      <c r="J1291" t="s">
        <v>31</v>
      </c>
    </row>
    <row r="1292" spans="1:10" x14ac:dyDescent="0.25">
      <c r="A1292" s="1">
        <v>360</v>
      </c>
      <c r="B1292" t="s">
        <v>19</v>
      </c>
      <c r="C1292">
        <v>706</v>
      </c>
      <c r="D1292">
        <v>4</v>
      </c>
      <c r="E1292" t="s">
        <v>29</v>
      </c>
      <c r="F1292" t="s">
        <v>53</v>
      </c>
      <c r="G1292" t="str">
        <f>"2025-11-21 00:11:24.630"</f>
        <v>2025-11-21 00:11:24.630</v>
      </c>
      <c r="H1292" t="s">
        <v>21</v>
      </c>
      <c r="I1292">
        <v>0</v>
      </c>
      <c r="J1292" t="s">
        <v>31</v>
      </c>
    </row>
    <row r="1293" spans="1:10" x14ac:dyDescent="0.25">
      <c r="A1293" s="1">
        <v>361</v>
      </c>
      <c r="B1293" t="s">
        <v>19</v>
      </c>
      <c r="C1293">
        <v>706</v>
      </c>
      <c r="D1293">
        <v>4</v>
      </c>
      <c r="E1293" t="s">
        <v>29</v>
      </c>
      <c r="F1293" t="s">
        <v>53</v>
      </c>
      <c r="G1293" t="str">
        <f>"2025-11-21 00:04:52.250"</f>
        <v>2025-11-21 00:04:52.250</v>
      </c>
      <c r="H1293" t="s">
        <v>21</v>
      </c>
      <c r="I1293">
        <v>0</v>
      </c>
      <c r="J1293" t="s">
        <v>31</v>
      </c>
    </row>
    <row r="1294" spans="1:10" x14ac:dyDescent="0.25">
      <c r="A1294" s="1">
        <v>362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"2025-11-20 23:55:44.390"</f>
        <v>2025-11-20 23:55:44.390</v>
      </c>
      <c r="H1294" t="s">
        <v>21</v>
      </c>
      <c r="I1294">
        <v>0</v>
      </c>
      <c r="J1294" t="s">
        <v>33</v>
      </c>
    </row>
    <row r="1295" spans="1:10" x14ac:dyDescent="0.25">
      <c r="A1295" s="1">
        <v>363</v>
      </c>
      <c r="B1295" t="s">
        <v>19</v>
      </c>
      <c r="C1295">
        <v>706</v>
      </c>
      <c r="D1295">
        <v>4</v>
      </c>
      <c r="E1295" t="s">
        <v>29</v>
      </c>
      <c r="F1295" t="s">
        <v>53</v>
      </c>
      <c r="G1295" t="str">
        <f>"2025-11-20 23:53:04.620"</f>
        <v>2025-11-20 23:53:04.620</v>
      </c>
      <c r="H1295" t="s">
        <v>21</v>
      </c>
      <c r="I1295">
        <v>0</v>
      </c>
      <c r="J1295" t="s">
        <v>31</v>
      </c>
    </row>
    <row r="1296" spans="1:10" x14ac:dyDescent="0.25">
      <c r="A1296" s="1">
        <v>364</v>
      </c>
      <c r="B1296" t="s">
        <v>19</v>
      </c>
      <c r="C1296">
        <v>706</v>
      </c>
      <c r="D1296">
        <v>4</v>
      </c>
      <c r="E1296" t="s">
        <v>29</v>
      </c>
      <c r="F1296" t="s">
        <v>53</v>
      </c>
      <c r="G1296" t="str">
        <f>"2025-11-20 23:44:01.940"</f>
        <v>2025-11-20 23:44:01.940</v>
      </c>
      <c r="H1296" t="s">
        <v>21</v>
      </c>
      <c r="I1296">
        <v>0</v>
      </c>
      <c r="J1296" t="s">
        <v>31</v>
      </c>
    </row>
    <row r="1297" spans="1:10" x14ac:dyDescent="0.25">
      <c r="A1297" s="1">
        <v>365</v>
      </c>
      <c r="B1297" t="s">
        <v>19</v>
      </c>
      <c r="C1297">
        <v>706</v>
      </c>
      <c r="D1297">
        <v>4</v>
      </c>
      <c r="E1297" t="s">
        <v>29</v>
      </c>
      <c r="F1297" t="s">
        <v>53</v>
      </c>
      <c r="G1297" t="str">
        <f>"2025-11-20 23:42:59.140"</f>
        <v>2025-11-20 23:42:59.140</v>
      </c>
      <c r="H1297" t="s">
        <v>21</v>
      </c>
      <c r="I1297">
        <v>0</v>
      </c>
      <c r="J1297" t="s">
        <v>31</v>
      </c>
    </row>
    <row r="1298" spans="1:10" x14ac:dyDescent="0.25">
      <c r="A1298" s="1">
        <v>366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"2025-11-20 23:40:00.370"</f>
        <v>2025-11-20 23:40:00.370</v>
      </c>
      <c r="H1298" t="s">
        <v>21</v>
      </c>
    </row>
    <row r="1299" spans="1:10" x14ac:dyDescent="0.25">
      <c r="A1299" s="1">
        <v>367</v>
      </c>
      <c r="B1299" t="s">
        <v>19</v>
      </c>
      <c r="C1299">
        <v>706</v>
      </c>
      <c r="D1299">
        <v>4</v>
      </c>
      <c r="E1299" t="s">
        <v>29</v>
      </c>
      <c r="F1299" t="s">
        <v>53</v>
      </c>
      <c r="G1299" t="str">
        <f>"2025-11-20 23:37:34.231"</f>
        <v>2025-11-20 23:37:34.231</v>
      </c>
      <c r="H1299" t="s">
        <v>21</v>
      </c>
      <c r="I1299">
        <v>0</v>
      </c>
      <c r="J1299" t="s">
        <v>31</v>
      </c>
    </row>
    <row r="1300" spans="1:10" x14ac:dyDescent="0.25">
      <c r="A1300" s="1">
        <v>368</v>
      </c>
      <c r="B1300" t="s">
        <v>19</v>
      </c>
      <c r="C1300">
        <v>706</v>
      </c>
      <c r="D1300">
        <v>4</v>
      </c>
      <c r="E1300" t="s">
        <v>29</v>
      </c>
      <c r="F1300" t="s">
        <v>53</v>
      </c>
      <c r="G1300" t="str">
        <f>"2025-11-20 23:35:56.041"</f>
        <v>2025-11-20 23:35:56.041</v>
      </c>
      <c r="H1300" t="s">
        <v>21</v>
      </c>
      <c r="I1300">
        <v>0</v>
      </c>
      <c r="J1300" t="s">
        <v>31</v>
      </c>
    </row>
    <row r="1301" spans="1:10" x14ac:dyDescent="0.25">
      <c r="A1301" s="1">
        <v>369</v>
      </c>
      <c r="B1301" t="s">
        <v>19</v>
      </c>
      <c r="C1301">
        <v>706</v>
      </c>
      <c r="D1301">
        <v>4</v>
      </c>
      <c r="E1301" t="s">
        <v>29</v>
      </c>
      <c r="F1301" t="s">
        <v>53</v>
      </c>
      <c r="G1301" t="str">
        <f>"2025-11-20 23:34:14.841"</f>
        <v>2025-11-20 23:34:14.841</v>
      </c>
      <c r="H1301" t="s">
        <v>21</v>
      </c>
      <c r="I1301">
        <v>0</v>
      </c>
      <c r="J1301" t="s">
        <v>31</v>
      </c>
    </row>
    <row r="1302" spans="1:10" x14ac:dyDescent="0.25">
      <c r="A1302" s="1">
        <v>370</v>
      </c>
      <c r="B1302" t="s">
        <v>19</v>
      </c>
      <c r="C1302">
        <v>706</v>
      </c>
      <c r="D1302">
        <v>2</v>
      </c>
      <c r="E1302" t="s">
        <v>29</v>
      </c>
      <c r="F1302" t="s">
        <v>30</v>
      </c>
      <c r="G1302" t="str">
        <f>"2025-11-20 23:33:36.521"</f>
        <v>2025-11-20 23:33:36.521</v>
      </c>
      <c r="H1302" t="s">
        <v>21</v>
      </c>
      <c r="I1302">
        <v>0</v>
      </c>
      <c r="J1302" t="s">
        <v>31</v>
      </c>
    </row>
    <row r="1303" spans="1:10" x14ac:dyDescent="0.25">
      <c r="A1303" s="1">
        <v>371</v>
      </c>
      <c r="B1303" t="s">
        <v>19</v>
      </c>
      <c r="C1303">
        <v>706</v>
      </c>
      <c r="D1303">
        <v>2</v>
      </c>
      <c r="E1303" t="s">
        <v>29</v>
      </c>
      <c r="F1303" t="s">
        <v>30</v>
      </c>
      <c r="G1303" t="str">
        <f>"2025-11-20 23:33:25.121"</f>
        <v>2025-11-20 23:33:25.121</v>
      </c>
      <c r="H1303" t="s">
        <v>21</v>
      </c>
      <c r="I1303">
        <v>0</v>
      </c>
      <c r="J1303" t="s">
        <v>31</v>
      </c>
    </row>
    <row r="1304" spans="1:10" x14ac:dyDescent="0.25">
      <c r="A1304" s="1">
        <v>372</v>
      </c>
      <c r="B1304" t="s">
        <v>19</v>
      </c>
      <c r="C1304">
        <v>700</v>
      </c>
      <c r="D1304">
        <v>0</v>
      </c>
      <c r="E1304" t="s">
        <v>20</v>
      </c>
      <c r="F1304" t="s">
        <v>20</v>
      </c>
      <c r="G1304" t="str">
        <f>"2025-11-20 23:24:50.371"</f>
        <v>2025-11-20 23:24:50.371</v>
      </c>
      <c r="H1304" t="s">
        <v>21</v>
      </c>
    </row>
    <row r="1305" spans="1:10" x14ac:dyDescent="0.25">
      <c r="A1305" s="1">
        <v>373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"2025-11-20 21:44:41.381"</f>
        <v>2025-11-20 21:44:41.381</v>
      </c>
      <c r="H1305" t="s">
        <v>21</v>
      </c>
      <c r="I1305">
        <v>0</v>
      </c>
      <c r="J1305" t="s">
        <v>33</v>
      </c>
    </row>
    <row r="1306" spans="1:10" x14ac:dyDescent="0.25">
      <c r="A1306" s="1">
        <v>374</v>
      </c>
      <c r="B1306" t="s">
        <v>19</v>
      </c>
      <c r="C1306">
        <v>700</v>
      </c>
      <c r="D1306">
        <v>0</v>
      </c>
      <c r="E1306" t="s">
        <v>20</v>
      </c>
      <c r="F1306" t="s">
        <v>20</v>
      </c>
      <c r="G1306" t="str">
        <f>"2025-11-20 21:09:15.369"</f>
        <v>2025-11-20 21:09:15.369</v>
      </c>
      <c r="H1306" t="s">
        <v>21</v>
      </c>
    </row>
    <row r="1307" spans="1:10" x14ac:dyDescent="0.25">
      <c r="A1307" s="1">
        <v>375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"2025-11-20 20:25:50.624"</f>
        <v>2025-11-20 20:25:50.624</v>
      </c>
      <c r="H1307" t="s">
        <v>21</v>
      </c>
    </row>
    <row r="1308" spans="1:10" x14ac:dyDescent="0.25">
      <c r="A1308" s="1">
        <v>376</v>
      </c>
      <c r="B1308" t="s">
        <v>22</v>
      </c>
      <c r="C1308">
        <v>635</v>
      </c>
      <c r="D1308">
        <v>1</v>
      </c>
      <c r="E1308" t="s">
        <v>34</v>
      </c>
      <c r="F1308" t="s">
        <v>35</v>
      </c>
      <c r="G1308" t="str">
        <f>"2025-11-19 19:54:25.704"</f>
        <v>2025-11-19 19:54:25.704</v>
      </c>
      <c r="H1308" t="s">
        <v>21</v>
      </c>
    </row>
    <row r="1309" spans="1:10" x14ac:dyDescent="0.25">
      <c r="A1309" s="1">
        <v>377</v>
      </c>
      <c r="B1309" t="s">
        <v>36</v>
      </c>
      <c r="C1309">
        <v>635</v>
      </c>
      <c r="D1309">
        <v>1</v>
      </c>
      <c r="E1309" t="s">
        <v>34</v>
      </c>
      <c r="F1309" t="s">
        <v>35</v>
      </c>
      <c r="G1309" t="str">
        <f>"2025-11-19 19:52:00.704"</f>
        <v>2025-11-19 19:52:00.704</v>
      </c>
      <c r="H1309" t="s">
        <v>21</v>
      </c>
      <c r="I1309">
        <v>-0.54</v>
      </c>
      <c r="J1309" t="s">
        <v>37</v>
      </c>
    </row>
    <row r="1310" spans="1:10" x14ac:dyDescent="0.25">
      <c r="A1310" s="1">
        <v>378</v>
      </c>
      <c r="B1310" t="s">
        <v>22</v>
      </c>
      <c r="C1310">
        <v>98</v>
      </c>
      <c r="D1310">
        <v>1</v>
      </c>
      <c r="E1310" t="s">
        <v>99</v>
      </c>
      <c r="F1310" t="s">
        <v>100</v>
      </c>
      <c r="G1310" t="str">
        <f>"2025-11-19 17:34:54.797"</f>
        <v>2025-11-19 17:34:54.797</v>
      </c>
      <c r="H1310" t="s">
        <v>21</v>
      </c>
    </row>
    <row r="1311" spans="1:10" x14ac:dyDescent="0.25">
      <c r="A1311" s="1">
        <v>379</v>
      </c>
      <c r="B1311" t="s">
        <v>36</v>
      </c>
      <c r="C1311">
        <v>98</v>
      </c>
      <c r="D1311">
        <v>1</v>
      </c>
      <c r="E1311" t="s">
        <v>99</v>
      </c>
      <c r="F1311" t="s">
        <v>100</v>
      </c>
      <c r="G1311" t="str">
        <f>"2025-11-19 17:34:53.697"</f>
        <v>2025-11-19 17:34:53.697</v>
      </c>
      <c r="H1311" t="s">
        <v>21</v>
      </c>
      <c r="I1311">
        <v>16.22</v>
      </c>
      <c r="J1311" t="s">
        <v>37</v>
      </c>
    </row>
    <row r="1312" spans="1:10" x14ac:dyDescent="0.25">
      <c r="A1312" s="1">
        <v>380</v>
      </c>
      <c r="B1312" t="s">
        <v>22</v>
      </c>
      <c r="C1312">
        <v>635</v>
      </c>
      <c r="D1312">
        <v>1</v>
      </c>
      <c r="E1312" t="s">
        <v>34</v>
      </c>
      <c r="F1312" t="s">
        <v>35</v>
      </c>
      <c r="G1312" t="str">
        <f>"2025-11-19 07:02:09.404"</f>
        <v>2025-11-19 07:02:09.404</v>
      </c>
      <c r="H1312" t="s">
        <v>21</v>
      </c>
    </row>
    <row r="1313" spans="1:10" x14ac:dyDescent="0.25">
      <c r="A1313" s="1">
        <v>381</v>
      </c>
      <c r="B1313" t="s">
        <v>36</v>
      </c>
      <c r="C1313">
        <v>635</v>
      </c>
      <c r="D1313">
        <v>1</v>
      </c>
      <c r="E1313" t="s">
        <v>34</v>
      </c>
      <c r="F1313" t="s">
        <v>35</v>
      </c>
      <c r="G1313" t="str">
        <f>"2025-11-19 06:58:00.904"</f>
        <v>2025-11-19 06:58:00.904</v>
      </c>
      <c r="H1313" t="s">
        <v>21</v>
      </c>
      <c r="I1313">
        <v>0</v>
      </c>
      <c r="J1313" t="s">
        <v>28</v>
      </c>
    </row>
    <row r="1314" spans="1:10" x14ac:dyDescent="0.25">
      <c r="A1314" s="1">
        <v>382</v>
      </c>
      <c r="B1314" t="s">
        <v>22</v>
      </c>
      <c r="C1314">
        <v>635</v>
      </c>
      <c r="D1314">
        <v>1</v>
      </c>
      <c r="E1314" t="s">
        <v>34</v>
      </c>
      <c r="F1314" t="s">
        <v>35</v>
      </c>
      <c r="G1314" t="str">
        <f>"2025-11-18 22:16:48.704"</f>
        <v>2025-11-18 22:16:48.704</v>
      </c>
      <c r="H1314" t="s">
        <v>21</v>
      </c>
    </row>
    <row r="1315" spans="1:10" x14ac:dyDescent="0.25">
      <c r="A1315" s="1">
        <v>383</v>
      </c>
      <c r="B1315" t="s">
        <v>36</v>
      </c>
      <c r="C1315">
        <v>635</v>
      </c>
      <c r="D1315">
        <v>1</v>
      </c>
      <c r="E1315" t="s">
        <v>34</v>
      </c>
      <c r="F1315" t="s">
        <v>35</v>
      </c>
      <c r="G1315" t="str">
        <f>"2025-11-18 22:12:50.704"</f>
        <v>2025-11-18 22:12:50.704</v>
      </c>
      <c r="H1315" t="s">
        <v>21</v>
      </c>
      <c r="I1315">
        <v>0.62</v>
      </c>
      <c r="J1315" t="s">
        <v>27</v>
      </c>
    </row>
    <row r="1316" spans="1:10" x14ac:dyDescent="0.25">
      <c r="A1316" s="1">
        <v>384</v>
      </c>
      <c r="B1316" t="s">
        <v>22</v>
      </c>
      <c r="C1316">
        <v>635</v>
      </c>
      <c r="D1316">
        <v>1</v>
      </c>
      <c r="E1316" t="s">
        <v>34</v>
      </c>
      <c r="F1316" t="s">
        <v>35</v>
      </c>
      <c r="G1316" t="str">
        <f>"2025-11-18 07:45:16.604"</f>
        <v>2025-11-18 07:45:16.604</v>
      </c>
      <c r="H1316" t="s">
        <v>21</v>
      </c>
    </row>
    <row r="1317" spans="1:10" x14ac:dyDescent="0.25">
      <c r="A1317" s="1">
        <v>385</v>
      </c>
      <c r="B1317" t="s">
        <v>36</v>
      </c>
      <c r="C1317">
        <v>635</v>
      </c>
      <c r="D1317">
        <v>1</v>
      </c>
      <c r="E1317" t="s">
        <v>34</v>
      </c>
      <c r="F1317" t="s">
        <v>35</v>
      </c>
      <c r="G1317" t="str">
        <f>"2025-11-18 07:34:05.104"</f>
        <v>2025-11-18 07:34:05.104</v>
      </c>
      <c r="H1317" t="s">
        <v>21</v>
      </c>
      <c r="I1317">
        <v>2.5099999999999998</v>
      </c>
      <c r="J1317" t="s">
        <v>37</v>
      </c>
    </row>
    <row r="1318" spans="1:10" x14ac:dyDescent="0.25">
      <c r="A1318" s="1">
        <v>386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"2025-11-17 12:17:28.406"</f>
        <v>2025-11-17 12:17:28.406</v>
      </c>
      <c r="H1318" t="s">
        <v>21</v>
      </c>
    </row>
    <row r="1319" spans="1:10" s="3" customFormat="1" x14ac:dyDescent="0.25">
      <c r="A1319" s="2">
        <v>387</v>
      </c>
      <c r="B1319" s="3" t="s">
        <v>22</v>
      </c>
      <c r="C1319" s="3">
        <v>647</v>
      </c>
      <c r="D1319" s="3">
        <v>1</v>
      </c>
      <c r="E1319" s="3" t="s">
        <v>54</v>
      </c>
      <c r="F1319" s="3" t="s">
        <v>55</v>
      </c>
      <c r="G1319" s="3" t="str">
        <f>"2025-11-17 06:46:12.213"</f>
        <v>2025-11-17 06:46:12.213</v>
      </c>
      <c r="H1319" s="3" t="s">
        <v>21</v>
      </c>
    </row>
    <row r="1320" spans="1:10" s="3" customFormat="1" x14ac:dyDescent="0.25">
      <c r="A1320" s="2">
        <v>388</v>
      </c>
      <c r="B1320" s="3" t="s">
        <v>36</v>
      </c>
      <c r="C1320" s="3">
        <v>647</v>
      </c>
      <c r="D1320" s="3">
        <v>1</v>
      </c>
      <c r="E1320" s="3" t="s">
        <v>54</v>
      </c>
      <c r="F1320" s="3" t="s">
        <v>55</v>
      </c>
      <c r="G1320" s="3" t="str">
        <f>"2025-11-17 06:46:08.513"</f>
        <v>2025-11-17 06:46:08.513</v>
      </c>
      <c r="H1320" s="3" t="s">
        <v>21</v>
      </c>
      <c r="I1320" s="3">
        <v>8.5500000000000007</v>
      </c>
      <c r="J1320" s="3" t="s">
        <v>27</v>
      </c>
    </row>
    <row r="1321" spans="1:10" x14ac:dyDescent="0.25">
      <c r="A1321" s="1">
        <v>389</v>
      </c>
      <c r="B1321" t="s">
        <v>22</v>
      </c>
      <c r="C1321">
        <v>635</v>
      </c>
      <c r="D1321">
        <v>1</v>
      </c>
      <c r="E1321" t="s">
        <v>34</v>
      </c>
      <c r="F1321" t="s">
        <v>35</v>
      </c>
      <c r="G1321" t="str">
        <f>"2025-11-15 17:24:27.313"</f>
        <v>2025-11-15 17:24:27.313</v>
      </c>
      <c r="H1321" t="s">
        <v>21</v>
      </c>
    </row>
    <row r="1322" spans="1:10" x14ac:dyDescent="0.25">
      <c r="A1322" s="1">
        <v>390</v>
      </c>
      <c r="B1322" t="s">
        <v>36</v>
      </c>
      <c r="C1322">
        <v>635</v>
      </c>
      <c r="D1322">
        <v>1</v>
      </c>
      <c r="E1322" t="s">
        <v>34</v>
      </c>
      <c r="F1322" t="s">
        <v>35</v>
      </c>
      <c r="G1322" t="str">
        <f>"2025-11-15 17:19:33.813"</f>
        <v>2025-11-15 17:19:33.813</v>
      </c>
      <c r="H1322" t="s">
        <v>21</v>
      </c>
      <c r="I1322">
        <v>3.73</v>
      </c>
      <c r="J1322" t="s">
        <v>37</v>
      </c>
    </row>
    <row r="1323" spans="1:10" x14ac:dyDescent="0.25">
      <c r="A1323" s="1">
        <v>391</v>
      </c>
      <c r="B1323" t="s">
        <v>22</v>
      </c>
      <c r="C1323">
        <v>635</v>
      </c>
      <c r="D1323">
        <v>1</v>
      </c>
      <c r="E1323" t="s">
        <v>34</v>
      </c>
      <c r="F1323" t="s">
        <v>35</v>
      </c>
      <c r="G1323" t="str">
        <f>"2025-11-14 00:23:27.113"</f>
        <v>2025-11-14 00:23:27.113</v>
      </c>
      <c r="H1323" t="s">
        <v>21</v>
      </c>
    </row>
    <row r="1324" spans="1:10" x14ac:dyDescent="0.25">
      <c r="A1324" s="1">
        <v>392</v>
      </c>
      <c r="B1324" t="s">
        <v>36</v>
      </c>
      <c r="C1324">
        <v>635</v>
      </c>
      <c r="D1324">
        <v>1</v>
      </c>
      <c r="E1324" t="s">
        <v>34</v>
      </c>
      <c r="F1324" t="s">
        <v>35</v>
      </c>
      <c r="G1324" t="str">
        <f>"2025-11-14 00:17:34.113"</f>
        <v>2025-11-14 00:17:34.113</v>
      </c>
      <c r="H1324" t="s">
        <v>21</v>
      </c>
      <c r="I1324">
        <v>-0.83</v>
      </c>
      <c r="J1324" t="s">
        <v>37</v>
      </c>
    </row>
    <row r="1325" spans="1:10" x14ac:dyDescent="0.25">
      <c r="A1325" s="1">
        <v>393</v>
      </c>
      <c r="B1325" t="s">
        <v>22</v>
      </c>
      <c r="C1325">
        <v>635</v>
      </c>
      <c r="D1325">
        <v>1</v>
      </c>
      <c r="E1325" t="s">
        <v>34</v>
      </c>
      <c r="F1325" t="s">
        <v>35</v>
      </c>
      <c r="G1325" t="str">
        <f>"2025-11-14 00:07:28.613"</f>
        <v>2025-11-14 00:07:28.613</v>
      </c>
      <c r="H1325" t="s">
        <v>21</v>
      </c>
    </row>
    <row r="1326" spans="1:10" x14ac:dyDescent="0.25">
      <c r="A1326" s="1">
        <v>394</v>
      </c>
      <c r="B1326" t="s">
        <v>36</v>
      </c>
      <c r="C1326">
        <v>635</v>
      </c>
      <c r="D1326">
        <v>1</v>
      </c>
      <c r="E1326" t="s">
        <v>34</v>
      </c>
      <c r="F1326" t="s">
        <v>35</v>
      </c>
      <c r="G1326" t="str">
        <f>"2025-11-14 00:04:49.713"</f>
        <v>2025-11-14 00:04:49.713</v>
      </c>
      <c r="H1326" t="s">
        <v>21</v>
      </c>
      <c r="I1326">
        <v>0.39</v>
      </c>
      <c r="J1326" t="s">
        <v>28</v>
      </c>
    </row>
    <row r="1327" spans="1:10" x14ac:dyDescent="0.25">
      <c r="A1327" s="1">
        <v>395</v>
      </c>
      <c r="B1327" t="s">
        <v>22</v>
      </c>
      <c r="C1327">
        <v>635</v>
      </c>
      <c r="D1327">
        <v>1</v>
      </c>
      <c r="E1327" t="s">
        <v>34</v>
      </c>
      <c r="F1327" t="s">
        <v>35</v>
      </c>
      <c r="G1327" t="str">
        <f>"2025-11-12 20:31:21.813"</f>
        <v>2025-11-12 20:31:21.813</v>
      </c>
      <c r="H1327" t="s">
        <v>21</v>
      </c>
    </row>
    <row r="1328" spans="1:10" x14ac:dyDescent="0.25">
      <c r="A1328" s="1">
        <v>396</v>
      </c>
      <c r="B1328" t="s">
        <v>36</v>
      </c>
      <c r="C1328">
        <v>635</v>
      </c>
      <c r="D1328">
        <v>1</v>
      </c>
      <c r="E1328" t="s">
        <v>34</v>
      </c>
      <c r="F1328" t="s">
        <v>35</v>
      </c>
      <c r="G1328" t="str">
        <f>"2025-11-12 20:28:19.313"</f>
        <v>2025-11-12 20:28:19.313</v>
      </c>
      <c r="H1328" t="s">
        <v>21</v>
      </c>
      <c r="I1328">
        <v>6.96</v>
      </c>
      <c r="J1328" t="s">
        <v>37</v>
      </c>
    </row>
    <row r="1329" spans="1:10" x14ac:dyDescent="0.25">
      <c r="A1329" s="1">
        <v>397</v>
      </c>
      <c r="B1329" t="s">
        <v>22</v>
      </c>
      <c r="C1329">
        <v>635</v>
      </c>
      <c r="D1329">
        <v>1</v>
      </c>
      <c r="E1329" t="s">
        <v>34</v>
      </c>
      <c r="F1329" t="s">
        <v>35</v>
      </c>
      <c r="G1329" t="str">
        <f>"2025-11-12 19:45:52.313"</f>
        <v>2025-11-12 19:45:52.313</v>
      </c>
      <c r="H1329" t="s">
        <v>21</v>
      </c>
    </row>
    <row r="1330" spans="1:10" x14ac:dyDescent="0.25">
      <c r="A1330" s="1">
        <v>398</v>
      </c>
      <c r="B1330" t="s">
        <v>36</v>
      </c>
      <c r="C1330">
        <v>635</v>
      </c>
      <c r="D1330">
        <v>1</v>
      </c>
      <c r="E1330" t="s">
        <v>34</v>
      </c>
      <c r="F1330" t="s">
        <v>35</v>
      </c>
      <c r="G1330" t="str">
        <f>"2025-11-12 19:41:26.313"</f>
        <v>2025-11-12 19:41:26.313</v>
      </c>
      <c r="H1330" t="s">
        <v>21</v>
      </c>
      <c r="I1330">
        <v>3.66</v>
      </c>
      <c r="J1330" t="s">
        <v>27</v>
      </c>
    </row>
    <row r="1331" spans="1:10" x14ac:dyDescent="0.25">
      <c r="A1331" s="1">
        <v>399</v>
      </c>
      <c r="B1331" t="s">
        <v>22</v>
      </c>
      <c r="C1331">
        <v>635</v>
      </c>
      <c r="D1331">
        <v>1</v>
      </c>
      <c r="E1331" t="s">
        <v>34</v>
      </c>
      <c r="F1331" t="s">
        <v>35</v>
      </c>
      <c r="G1331" t="str">
        <f>"2025-11-12 18:31:50.413"</f>
        <v>2025-11-12 18:31:50.413</v>
      </c>
      <c r="H1331" t="s">
        <v>21</v>
      </c>
    </row>
    <row r="1332" spans="1:10" x14ac:dyDescent="0.25">
      <c r="A1332" s="1">
        <v>400</v>
      </c>
      <c r="B1332" t="s">
        <v>36</v>
      </c>
      <c r="C1332">
        <v>635</v>
      </c>
      <c r="D1332">
        <v>1</v>
      </c>
      <c r="E1332" t="s">
        <v>34</v>
      </c>
      <c r="F1332" t="s">
        <v>35</v>
      </c>
      <c r="G1332" t="str">
        <f>"2025-11-12 18:28:05.513"</f>
        <v>2025-11-12 18:28:05.513</v>
      </c>
      <c r="H1332" t="s">
        <v>21</v>
      </c>
      <c r="I1332">
        <v>7.6</v>
      </c>
      <c r="J1332" t="s">
        <v>37</v>
      </c>
    </row>
    <row r="1333" spans="1:10" x14ac:dyDescent="0.25">
      <c r="A1333" s="1">
        <v>401</v>
      </c>
      <c r="B1333" t="s">
        <v>22</v>
      </c>
      <c r="C1333">
        <v>635</v>
      </c>
      <c r="D1333">
        <v>1</v>
      </c>
      <c r="E1333" t="s">
        <v>34</v>
      </c>
      <c r="F1333" t="s">
        <v>35</v>
      </c>
      <c r="G1333" t="str">
        <f>"2025-11-11 21:35:18.913"</f>
        <v>2025-11-11 21:35:18.913</v>
      </c>
      <c r="H1333" t="s">
        <v>21</v>
      </c>
    </row>
    <row r="1334" spans="1:10" x14ac:dyDescent="0.25">
      <c r="A1334" s="1">
        <v>402</v>
      </c>
      <c r="B1334" t="s">
        <v>36</v>
      </c>
      <c r="C1334">
        <v>635</v>
      </c>
      <c r="D1334">
        <v>1</v>
      </c>
      <c r="E1334" t="s">
        <v>34</v>
      </c>
      <c r="F1334" t="s">
        <v>35</v>
      </c>
      <c r="G1334" t="str">
        <f>"2025-11-11 21:34:09.913"</f>
        <v>2025-11-11 21:34:09.913</v>
      </c>
      <c r="H1334" t="s">
        <v>21</v>
      </c>
      <c r="I1334">
        <v>0.01</v>
      </c>
      <c r="J1334" t="s">
        <v>28</v>
      </c>
    </row>
    <row r="1335" spans="1:10" x14ac:dyDescent="0.25">
      <c r="A1335" s="1">
        <v>403</v>
      </c>
      <c r="B1335" t="s">
        <v>22</v>
      </c>
      <c r="C1335">
        <v>635</v>
      </c>
      <c r="D1335">
        <v>1</v>
      </c>
      <c r="E1335" t="s">
        <v>34</v>
      </c>
      <c r="F1335" t="s">
        <v>35</v>
      </c>
      <c r="G1335" t="str">
        <f>"2025-11-11 18:45:55.713"</f>
        <v>2025-11-11 18:45:55.713</v>
      </c>
      <c r="H1335" t="s">
        <v>21</v>
      </c>
    </row>
    <row r="1336" spans="1:10" x14ac:dyDescent="0.25">
      <c r="A1336" s="1">
        <v>404</v>
      </c>
      <c r="B1336" t="s">
        <v>36</v>
      </c>
      <c r="C1336">
        <v>635</v>
      </c>
      <c r="D1336">
        <v>1</v>
      </c>
      <c r="E1336" t="s">
        <v>34</v>
      </c>
      <c r="F1336" t="s">
        <v>35</v>
      </c>
      <c r="G1336" t="str">
        <f>"2025-11-11 18:38:03.213"</f>
        <v>2025-11-11 18:38:03.213</v>
      </c>
      <c r="H1336" t="s">
        <v>21</v>
      </c>
      <c r="I1336">
        <v>0.38</v>
      </c>
      <c r="J1336" t="s">
        <v>28</v>
      </c>
    </row>
    <row r="1337" spans="1:10" x14ac:dyDescent="0.25">
      <c r="A1337" s="1">
        <v>405</v>
      </c>
      <c r="B1337" t="s">
        <v>19</v>
      </c>
      <c r="C1337">
        <v>706</v>
      </c>
      <c r="D1337">
        <v>2</v>
      </c>
      <c r="E1337" t="s">
        <v>29</v>
      </c>
      <c r="F1337" t="s">
        <v>30</v>
      </c>
      <c r="G1337" t="str">
        <f>"2025-11-09 21:52:21.105"</f>
        <v>2025-11-09 21:52:21.105</v>
      </c>
      <c r="H1337" t="s">
        <v>21</v>
      </c>
      <c r="I1337">
        <v>0</v>
      </c>
      <c r="J1337" t="s">
        <v>31</v>
      </c>
    </row>
    <row r="1338" spans="1:10" x14ac:dyDescent="0.25">
      <c r="A1338" s="1">
        <v>406</v>
      </c>
      <c r="B1338" t="s">
        <v>19</v>
      </c>
      <c r="C1338">
        <v>700</v>
      </c>
      <c r="D1338">
        <v>0</v>
      </c>
      <c r="E1338" t="s">
        <v>20</v>
      </c>
      <c r="F1338" t="s">
        <v>20</v>
      </c>
      <c r="G1338" t="str">
        <f>"2025-11-09 21:43:20.365"</f>
        <v>2025-11-09 21:43:20.365</v>
      </c>
      <c r="H1338" t="s">
        <v>21</v>
      </c>
    </row>
    <row r="1339" spans="1:10" x14ac:dyDescent="0.25">
      <c r="A1339" s="1">
        <v>407</v>
      </c>
      <c r="B1339" t="s">
        <v>19</v>
      </c>
      <c r="C1339">
        <v>706</v>
      </c>
      <c r="D1339">
        <v>2</v>
      </c>
      <c r="E1339" t="s">
        <v>29</v>
      </c>
      <c r="F1339" t="s">
        <v>30</v>
      </c>
      <c r="G1339" t="str">
        <f>"2025-11-09 18:53:26.539"</f>
        <v>2025-11-09 18:53:26.539</v>
      </c>
      <c r="H1339" t="s">
        <v>21</v>
      </c>
      <c r="I1339">
        <v>0</v>
      </c>
      <c r="J1339" t="s">
        <v>31</v>
      </c>
    </row>
    <row r="1340" spans="1:10" x14ac:dyDescent="0.25">
      <c r="A1340" s="1">
        <v>408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"2025-11-09 18:45:49.369"</f>
        <v>2025-11-09 18:45:49.369</v>
      </c>
      <c r="H1340" t="s">
        <v>21</v>
      </c>
      <c r="I1340">
        <v>0</v>
      </c>
      <c r="J1340" t="s">
        <v>33</v>
      </c>
    </row>
    <row r="1341" spans="1:10" x14ac:dyDescent="0.25">
      <c r="A1341" s="1">
        <v>409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"2025-11-09 15:03:20.362"</f>
        <v>2025-11-09 15:03:20.362</v>
      </c>
      <c r="H1341" t="s">
        <v>21</v>
      </c>
    </row>
    <row r="1342" spans="1:10" x14ac:dyDescent="0.25">
      <c r="A1342" s="1">
        <v>410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"2025-11-09 08:33:38.404"</f>
        <v>2025-11-09 08:33:38.404</v>
      </c>
      <c r="H1342" t="s">
        <v>21</v>
      </c>
      <c r="I1342">
        <v>0</v>
      </c>
      <c r="J1342" t="s">
        <v>33</v>
      </c>
    </row>
    <row r="1343" spans="1:10" x14ac:dyDescent="0.25">
      <c r="A1343" s="1">
        <v>411</v>
      </c>
      <c r="B1343" t="s">
        <v>19</v>
      </c>
      <c r="C1343">
        <v>700</v>
      </c>
      <c r="D1343">
        <v>0</v>
      </c>
      <c r="E1343" t="s">
        <v>20</v>
      </c>
      <c r="F1343" t="s">
        <v>20</v>
      </c>
      <c r="G1343" t="str">
        <f>"2025-11-08 13:02:51.549"</f>
        <v>2025-11-08 13:02:51.549</v>
      </c>
      <c r="H1343" t="s">
        <v>21</v>
      </c>
      <c r="I1343">
        <v>0</v>
      </c>
      <c r="J1343" t="s">
        <v>33</v>
      </c>
    </row>
    <row r="1344" spans="1:10" x14ac:dyDescent="0.25">
      <c r="A1344" s="1">
        <v>412</v>
      </c>
      <c r="B1344" t="s">
        <v>22</v>
      </c>
      <c r="C1344">
        <v>42</v>
      </c>
      <c r="D1344">
        <v>1</v>
      </c>
      <c r="E1344" t="s">
        <v>68</v>
      </c>
      <c r="F1344" t="s">
        <v>69</v>
      </c>
      <c r="G1344" t="str">
        <f>"2025-11-07 18:08:19.211"</f>
        <v>2025-11-07 18:08:19.211</v>
      </c>
      <c r="H1344" t="s">
        <v>70</v>
      </c>
    </row>
    <row r="1345" spans="1:10" x14ac:dyDescent="0.25">
      <c r="A1345" s="1">
        <v>413</v>
      </c>
      <c r="B1345" t="s">
        <v>36</v>
      </c>
      <c r="C1345">
        <v>42</v>
      </c>
      <c r="D1345">
        <v>1</v>
      </c>
      <c r="E1345" t="s">
        <v>68</v>
      </c>
      <c r="F1345" t="s">
        <v>69</v>
      </c>
      <c r="G1345" t="str">
        <f>"2025-11-07 18:08:09.012"</f>
        <v>2025-11-07 18:08:09.012</v>
      </c>
      <c r="H1345" t="s">
        <v>70</v>
      </c>
      <c r="I1345">
        <v>0</v>
      </c>
      <c r="J1345" t="s">
        <v>31</v>
      </c>
    </row>
    <row r="1346" spans="1:10" x14ac:dyDescent="0.25">
      <c r="A1346" s="1">
        <v>414</v>
      </c>
      <c r="B1346" t="s">
        <v>22</v>
      </c>
      <c r="C1346">
        <v>635</v>
      </c>
      <c r="D1346">
        <v>1</v>
      </c>
      <c r="E1346" t="s">
        <v>34</v>
      </c>
      <c r="F1346" t="s">
        <v>35</v>
      </c>
      <c r="G1346" t="str">
        <f>"2025-11-06 18:19:23.881"</f>
        <v>2025-11-06 18:19:23.881</v>
      </c>
      <c r="H1346" t="s">
        <v>21</v>
      </c>
    </row>
    <row r="1347" spans="1:10" x14ac:dyDescent="0.25">
      <c r="A1347" s="1">
        <v>415</v>
      </c>
      <c r="B1347" t="s">
        <v>36</v>
      </c>
      <c r="C1347">
        <v>635</v>
      </c>
      <c r="D1347">
        <v>1</v>
      </c>
      <c r="E1347" t="s">
        <v>34</v>
      </c>
      <c r="F1347" t="s">
        <v>35</v>
      </c>
      <c r="G1347" t="str">
        <f>"2025-11-06 18:15:21.881"</f>
        <v>2025-11-06 18:15:21.881</v>
      </c>
      <c r="H1347" t="s">
        <v>21</v>
      </c>
      <c r="I1347">
        <v>2.86</v>
      </c>
      <c r="J1347" t="s">
        <v>37</v>
      </c>
    </row>
    <row r="1348" spans="1:10" x14ac:dyDescent="0.25">
      <c r="A1348" s="1">
        <v>416</v>
      </c>
      <c r="B1348" t="s">
        <v>22</v>
      </c>
      <c r="C1348">
        <v>635</v>
      </c>
      <c r="D1348">
        <v>1</v>
      </c>
      <c r="E1348" t="s">
        <v>34</v>
      </c>
      <c r="F1348" t="s">
        <v>35</v>
      </c>
      <c r="G1348" t="str">
        <f>"2025-11-04 21:33:12.081"</f>
        <v>2025-11-04 21:33:12.081</v>
      </c>
      <c r="H1348" t="s">
        <v>21</v>
      </c>
    </row>
    <row r="1349" spans="1:10" x14ac:dyDescent="0.25">
      <c r="A1349" s="1">
        <v>417</v>
      </c>
      <c r="B1349" t="s">
        <v>36</v>
      </c>
      <c r="C1349">
        <v>635</v>
      </c>
      <c r="D1349">
        <v>1</v>
      </c>
      <c r="E1349" t="s">
        <v>34</v>
      </c>
      <c r="F1349" t="s">
        <v>35</v>
      </c>
      <c r="G1349" t="str">
        <f>"2025-11-04 21:29:51.081"</f>
        <v>2025-11-04 21:29:51.081</v>
      </c>
      <c r="H1349" t="s">
        <v>21</v>
      </c>
      <c r="I1349">
        <v>0.25</v>
      </c>
      <c r="J1349" t="s">
        <v>28</v>
      </c>
    </row>
    <row r="1350" spans="1:10" x14ac:dyDescent="0.25">
      <c r="A1350" s="1">
        <v>418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"2025-11-03 03:56:20.583"</f>
        <v>2025-11-03 03:56:20.583</v>
      </c>
      <c r="H1350" t="s">
        <v>21</v>
      </c>
      <c r="I1350">
        <v>0</v>
      </c>
      <c r="J1350" t="s">
        <v>33</v>
      </c>
    </row>
    <row r="1351" spans="1:10" x14ac:dyDescent="0.25">
      <c r="A1351" s="1">
        <v>419</v>
      </c>
      <c r="B1351" t="s">
        <v>22</v>
      </c>
      <c r="C1351">
        <v>635</v>
      </c>
      <c r="D1351">
        <v>1</v>
      </c>
      <c r="E1351" t="s">
        <v>34</v>
      </c>
      <c r="F1351" t="s">
        <v>35</v>
      </c>
      <c r="G1351" t="str">
        <f>"2025-11-02 22:07:35.143"</f>
        <v>2025-11-02 22:07:35.143</v>
      </c>
      <c r="H1351" t="s">
        <v>21</v>
      </c>
    </row>
    <row r="1352" spans="1:10" x14ac:dyDescent="0.25">
      <c r="A1352" s="1">
        <v>420</v>
      </c>
      <c r="B1352" t="s">
        <v>36</v>
      </c>
      <c r="C1352">
        <v>635</v>
      </c>
      <c r="D1352">
        <v>1</v>
      </c>
      <c r="E1352" t="s">
        <v>34</v>
      </c>
      <c r="F1352" t="s">
        <v>35</v>
      </c>
      <c r="G1352" t="str">
        <f>"2025-11-02 22:04:45.143"</f>
        <v>2025-11-02 22:04:45.143</v>
      </c>
      <c r="H1352" t="s">
        <v>21</v>
      </c>
      <c r="I1352">
        <v>2.97</v>
      </c>
      <c r="J1352" t="s">
        <v>27</v>
      </c>
    </row>
    <row r="1353" spans="1:10" x14ac:dyDescent="0.25">
      <c r="A1353" s="1">
        <v>421</v>
      </c>
      <c r="B1353" t="s">
        <v>22</v>
      </c>
      <c r="C1353">
        <v>635</v>
      </c>
      <c r="D1353">
        <v>1</v>
      </c>
      <c r="E1353" t="s">
        <v>34</v>
      </c>
      <c r="F1353" t="s">
        <v>35</v>
      </c>
      <c r="G1353" t="str">
        <f>"2025-11-01 16:54:06.443"</f>
        <v>2025-11-01 16:54:06.443</v>
      </c>
      <c r="H1353" t="s">
        <v>21</v>
      </c>
    </row>
    <row r="1354" spans="1:10" x14ac:dyDescent="0.25">
      <c r="A1354" s="1">
        <v>422</v>
      </c>
      <c r="B1354" t="s">
        <v>36</v>
      </c>
      <c r="C1354">
        <v>635</v>
      </c>
      <c r="D1354">
        <v>1</v>
      </c>
      <c r="E1354" t="s">
        <v>34</v>
      </c>
      <c r="F1354" t="s">
        <v>35</v>
      </c>
      <c r="G1354" t="str">
        <f>"2025-11-01 16:50:48.443"</f>
        <v>2025-11-01 16:50:48.443</v>
      </c>
      <c r="H1354" t="s">
        <v>21</v>
      </c>
      <c r="I1354">
        <v>5.18</v>
      </c>
      <c r="J1354" t="s">
        <v>37</v>
      </c>
    </row>
    <row r="1355" spans="1:10" x14ac:dyDescent="0.25">
      <c r="A1355" s="1">
        <v>423</v>
      </c>
      <c r="B1355" t="s">
        <v>22</v>
      </c>
      <c r="C1355">
        <v>635</v>
      </c>
      <c r="D1355">
        <v>1</v>
      </c>
      <c r="E1355" t="s">
        <v>34</v>
      </c>
      <c r="F1355" t="s">
        <v>35</v>
      </c>
      <c r="G1355" t="str">
        <f>"2025-11-01 14:59:33.543"</f>
        <v>2025-11-01 14:59:33.543</v>
      </c>
      <c r="H1355" t="s">
        <v>21</v>
      </c>
    </row>
    <row r="1356" spans="1:10" x14ac:dyDescent="0.25">
      <c r="A1356" s="1">
        <v>424</v>
      </c>
      <c r="B1356" t="s">
        <v>36</v>
      </c>
      <c r="C1356">
        <v>635</v>
      </c>
      <c r="D1356">
        <v>1</v>
      </c>
      <c r="E1356" t="s">
        <v>34</v>
      </c>
      <c r="F1356" t="s">
        <v>35</v>
      </c>
      <c r="G1356" t="str">
        <f>"2025-11-01 14:54:45.643"</f>
        <v>2025-11-01 14:54:45.643</v>
      </c>
      <c r="H1356" t="s">
        <v>21</v>
      </c>
      <c r="I1356">
        <v>1.92</v>
      </c>
      <c r="J1356" t="s">
        <v>37</v>
      </c>
    </row>
    <row r="1357" spans="1:10" x14ac:dyDescent="0.25">
      <c r="A1357" s="1">
        <v>427</v>
      </c>
      <c r="B1357" t="s">
        <v>22</v>
      </c>
      <c r="C1357">
        <v>635</v>
      </c>
      <c r="D1357">
        <v>1</v>
      </c>
      <c r="E1357" t="s">
        <v>34</v>
      </c>
      <c r="F1357" t="s">
        <v>35</v>
      </c>
      <c r="G1357" t="str">
        <f>"2025-10-31 08:41:53.443"</f>
        <v>2025-10-31 08:41:53.443</v>
      </c>
      <c r="H1357" t="s">
        <v>21</v>
      </c>
    </row>
    <row r="1358" spans="1:10" x14ac:dyDescent="0.25">
      <c r="A1358" s="1">
        <v>428</v>
      </c>
      <c r="B1358" t="s">
        <v>36</v>
      </c>
      <c r="C1358">
        <v>635</v>
      </c>
      <c r="D1358">
        <v>1</v>
      </c>
      <c r="E1358" t="s">
        <v>34</v>
      </c>
      <c r="F1358" t="s">
        <v>35</v>
      </c>
      <c r="G1358" t="str">
        <f>"2025-10-31 08:32:19.443"</f>
        <v>2025-10-31 08:32:19.443</v>
      </c>
      <c r="H1358" t="s">
        <v>21</v>
      </c>
      <c r="I1358">
        <v>4.21</v>
      </c>
      <c r="J1358" t="s">
        <v>28</v>
      </c>
    </row>
    <row r="1359" spans="1:10" x14ac:dyDescent="0.25">
      <c r="A1359" s="1">
        <v>430</v>
      </c>
      <c r="B1359" t="s">
        <v>22</v>
      </c>
      <c r="C1359">
        <v>635</v>
      </c>
      <c r="D1359">
        <v>1</v>
      </c>
      <c r="E1359" t="s">
        <v>34</v>
      </c>
      <c r="F1359" t="s">
        <v>35</v>
      </c>
      <c r="G1359" t="str">
        <f>"2025-10-30 16:35:21.443"</f>
        <v>2025-10-30 16:35:21.443</v>
      </c>
      <c r="H1359" t="s">
        <v>21</v>
      </c>
    </row>
    <row r="1360" spans="1:10" x14ac:dyDescent="0.25">
      <c r="A1360" s="1">
        <v>431</v>
      </c>
      <c r="B1360" t="s">
        <v>36</v>
      </c>
      <c r="C1360">
        <v>635</v>
      </c>
      <c r="D1360">
        <v>1</v>
      </c>
      <c r="E1360" t="s">
        <v>34</v>
      </c>
      <c r="F1360" t="s">
        <v>35</v>
      </c>
      <c r="G1360" t="str">
        <f>"2025-10-30 16:30:49.943"</f>
        <v>2025-10-30 16:30:49.943</v>
      </c>
      <c r="H1360" t="s">
        <v>21</v>
      </c>
      <c r="I1360">
        <v>2.81</v>
      </c>
      <c r="J1360" t="s">
        <v>37</v>
      </c>
    </row>
    <row r="1361" spans="1:10" x14ac:dyDescent="0.25">
      <c r="A1361" s="1">
        <v>432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"2025-10-30 11:29:25.490"</f>
        <v>2025-10-30 11:29:25.490</v>
      </c>
      <c r="H1361" t="s">
        <v>21</v>
      </c>
      <c r="I1361">
        <v>0</v>
      </c>
      <c r="J1361" t="s">
        <v>33</v>
      </c>
    </row>
    <row r="1362" spans="1:10" x14ac:dyDescent="0.25">
      <c r="A1362" s="1">
        <v>433</v>
      </c>
      <c r="B1362" t="s">
        <v>19</v>
      </c>
      <c r="C1362">
        <v>706</v>
      </c>
      <c r="D1362">
        <v>4</v>
      </c>
      <c r="E1362" t="s">
        <v>29</v>
      </c>
      <c r="F1362" t="s">
        <v>53</v>
      </c>
      <c r="G1362" t="str">
        <f>"2025-10-30 10:47:46.026"</f>
        <v>2025-10-30 10:47:46.026</v>
      </c>
      <c r="H1362" t="s">
        <v>21</v>
      </c>
      <c r="I1362">
        <v>0</v>
      </c>
      <c r="J1362" t="s">
        <v>31</v>
      </c>
    </row>
    <row r="1363" spans="1:10" x14ac:dyDescent="0.25">
      <c r="A1363" s="1">
        <v>434</v>
      </c>
      <c r="B1363" t="s">
        <v>19</v>
      </c>
      <c r="C1363">
        <v>706</v>
      </c>
      <c r="D1363">
        <v>2</v>
      </c>
      <c r="E1363" t="s">
        <v>29</v>
      </c>
      <c r="F1363" t="s">
        <v>30</v>
      </c>
      <c r="G1363" t="str">
        <f>"2025-10-30 10:47:32.656"</f>
        <v>2025-10-30 10:47:32.656</v>
      </c>
      <c r="H1363" t="s">
        <v>21</v>
      </c>
      <c r="I1363">
        <v>0</v>
      </c>
      <c r="J1363" t="s">
        <v>31</v>
      </c>
    </row>
    <row r="1364" spans="1:10" x14ac:dyDescent="0.25">
      <c r="A1364" s="1">
        <v>435</v>
      </c>
      <c r="B1364" t="s">
        <v>19</v>
      </c>
      <c r="C1364">
        <v>700</v>
      </c>
      <c r="D1364">
        <v>0</v>
      </c>
      <c r="E1364" t="s">
        <v>20</v>
      </c>
      <c r="F1364" t="s">
        <v>20</v>
      </c>
      <c r="G1364" t="str">
        <f>"2025-10-30 10:34:09.376"</f>
        <v>2025-10-30 10:34:09.376</v>
      </c>
      <c r="H1364" t="s">
        <v>21</v>
      </c>
      <c r="I1364">
        <v>0</v>
      </c>
      <c r="J1364" t="s">
        <v>33</v>
      </c>
    </row>
    <row r="1365" spans="1:10" x14ac:dyDescent="0.25">
      <c r="A1365" s="1">
        <v>436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"2025-10-30 08:30:52.488"</f>
        <v>2025-10-30 08:30:52.488</v>
      </c>
      <c r="H1365" t="s">
        <v>21</v>
      </c>
    </row>
    <row r="1366" spans="1:10" x14ac:dyDescent="0.25">
      <c r="A1366" s="1">
        <v>437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"2025-10-27 13:11:38.413"</f>
        <v>2025-10-27 13:11:38.413</v>
      </c>
      <c r="H1366" t="s">
        <v>21</v>
      </c>
      <c r="I1366">
        <v>0</v>
      </c>
      <c r="J1366" t="s">
        <v>33</v>
      </c>
    </row>
    <row r="1367" spans="1:10" x14ac:dyDescent="0.25">
      <c r="A1367" s="1">
        <v>438</v>
      </c>
      <c r="B1367" t="s">
        <v>22</v>
      </c>
      <c r="C1367">
        <v>635</v>
      </c>
      <c r="D1367">
        <v>1</v>
      </c>
      <c r="E1367" t="s">
        <v>34</v>
      </c>
      <c r="F1367" t="s">
        <v>35</v>
      </c>
      <c r="G1367" t="str">
        <f>"2025-10-27 04:58:19.417"</f>
        <v>2025-10-27 04:58:19.417</v>
      </c>
      <c r="H1367" t="s">
        <v>21</v>
      </c>
    </row>
    <row r="1368" spans="1:10" x14ac:dyDescent="0.25">
      <c r="A1368" s="1">
        <v>439</v>
      </c>
      <c r="B1368" t="s">
        <v>36</v>
      </c>
      <c r="C1368">
        <v>635</v>
      </c>
      <c r="D1368">
        <v>1</v>
      </c>
      <c r="E1368" t="s">
        <v>34</v>
      </c>
      <c r="F1368" t="s">
        <v>35</v>
      </c>
      <c r="G1368" t="str">
        <f>"2025-10-27 04:55:11.417"</f>
        <v>2025-10-27 04:55:11.417</v>
      </c>
      <c r="H1368" t="s">
        <v>21</v>
      </c>
      <c r="I1368">
        <v>1.2</v>
      </c>
      <c r="J1368" t="s">
        <v>27</v>
      </c>
    </row>
    <row r="1369" spans="1:10" s="3" customFormat="1" x14ac:dyDescent="0.25">
      <c r="A1369" s="2">
        <v>440</v>
      </c>
      <c r="B1369" s="3" t="s">
        <v>22</v>
      </c>
      <c r="C1369" s="3">
        <v>647</v>
      </c>
      <c r="D1369" s="3">
        <v>1</v>
      </c>
      <c r="E1369" s="3" t="s">
        <v>54</v>
      </c>
      <c r="F1369" s="3" t="s">
        <v>55</v>
      </c>
      <c r="G1369" s="3" t="str">
        <f>"2025-10-26 19:34:52.217"</f>
        <v>2025-10-26 19:34:52.217</v>
      </c>
      <c r="H1369" s="3" t="s">
        <v>21</v>
      </c>
    </row>
    <row r="1370" spans="1:10" s="3" customFormat="1" x14ac:dyDescent="0.25">
      <c r="A1370" s="2">
        <v>441</v>
      </c>
      <c r="B1370" s="3" t="s">
        <v>36</v>
      </c>
      <c r="C1370" s="3">
        <v>647</v>
      </c>
      <c r="D1370" s="3">
        <v>1</v>
      </c>
      <c r="E1370" s="3" t="s">
        <v>54</v>
      </c>
      <c r="F1370" s="3" t="s">
        <v>55</v>
      </c>
      <c r="G1370" s="3" t="str">
        <f>"2025-10-26 19:34:47.717"</f>
        <v>2025-10-26 19:34:47.717</v>
      </c>
      <c r="H1370" s="3" t="s">
        <v>21</v>
      </c>
      <c r="I1370" s="3">
        <v>11.56</v>
      </c>
      <c r="J1370" s="3" t="s">
        <v>27</v>
      </c>
    </row>
    <row r="1371" spans="1:10" x14ac:dyDescent="0.25">
      <c r="A1371" s="1">
        <v>442</v>
      </c>
      <c r="B1371" t="s">
        <v>22</v>
      </c>
      <c r="C1371">
        <v>635</v>
      </c>
      <c r="D1371">
        <v>1</v>
      </c>
      <c r="E1371" t="s">
        <v>34</v>
      </c>
      <c r="F1371" t="s">
        <v>35</v>
      </c>
      <c r="G1371" t="str">
        <f>"2025-10-26 10:42:30.117"</f>
        <v>2025-10-26 10:42:30.117</v>
      </c>
      <c r="H1371" t="s">
        <v>21</v>
      </c>
    </row>
    <row r="1372" spans="1:10" x14ac:dyDescent="0.25">
      <c r="A1372" s="1">
        <v>443</v>
      </c>
      <c r="B1372" t="s">
        <v>36</v>
      </c>
      <c r="C1372">
        <v>635</v>
      </c>
      <c r="D1372">
        <v>1</v>
      </c>
      <c r="E1372" t="s">
        <v>34</v>
      </c>
      <c r="F1372" t="s">
        <v>35</v>
      </c>
      <c r="G1372" t="str">
        <f>"2025-10-26 10:35:27.617"</f>
        <v>2025-10-26 10:35:27.617</v>
      </c>
      <c r="H1372" t="s">
        <v>21</v>
      </c>
      <c r="I1372">
        <v>0.54</v>
      </c>
      <c r="J1372" t="s">
        <v>27</v>
      </c>
    </row>
    <row r="1373" spans="1:10" x14ac:dyDescent="0.25">
      <c r="A1373" s="1">
        <v>444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"2025-10-22 03:33:10.381"</f>
        <v>2025-10-22 03:33:10.381</v>
      </c>
      <c r="H1373" t="s">
        <v>21</v>
      </c>
      <c r="I1373">
        <v>0</v>
      </c>
      <c r="J1373" t="s">
        <v>33</v>
      </c>
    </row>
    <row r="1374" spans="1:10" x14ac:dyDescent="0.25">
      <c r="A1374" s="1">
        <v>446</v>
      </c>
      <c r="B1374" t="s">
        <v>19</v>
      </c>
      <c r="C1374">
        <v>706</v>
      </c>
      <c r="D1374">
        <v>4</v>
      </c>
      <c r="E1374" t="s">
        <v>29</v>
      </c>
      <c r="F1374" t="s">
        <v>53</v>
      </c>
      <c r="G1374" t="str">
        <f>"2025-10-19 23:52:39.069"</f>
        <v>2025-10-19 23:52:39.069</v>
      </c>
      <c r="H1374" t="s">
        <v>21</v>
      </c>
      <c r="I1374">
        <v>0</v>
      </c>
      <c r="J1374" t="s">
        <v>31</v>
      </c>
    </row>
    <row r="1375" spans="1:10" x14ac:dyDescent="0.25">
      <c r="A1375" s="1">
        <v>447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"2025-10-19 23:49:20.359"</f>
        <v>2025-10-19 23:49:20.359</v>
      </c>
      <c r="H1375" t="s">
        <v>21</v>
      </c>
    </row>
    <row r="1376" spans="1:10" x14ac:dyDescent="0.25">
      <c r="A1376" s="1">
        <v>448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"2025-10-19 22:56:05.367"</f>
        <v>2025-10-19 22:56:05.367</v>
      </c>
      <c r="H1376" t="s">
        <v>21</v>
      </c>
    </row>
    <row r="1377" spans="1:10" x14ac:dyDescent="0.25">
      <c r="A1377" s="1">
        <v>449</v>
      </c>
      <c r="B1377" t="s">
        <v>19</v>
      </c>
      <c r="C1377">
        <v>700</v>
      </c>
      <c r="D1377">
        <v>0</v>
      </c>
      <c r="E1377" t="s">
        <v>20</v>
      </c>
      <c r="F1377" t="s">
        <v>20</v>
      </c>
      <c r="G1377" t="str">
        <f>"2025-10-19 22:42:22.355"</f>
        <v>2025-10-19 22:42:22.355</v>
      </c>
      <c r="H1377" t="s">
        <v>21</v>
      </c>
    </row>
    <row r="1378" spans="1:10" x14ac:dyDescent="0.25">
      <c r="A1378" s="1">
        <v>450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"2025-10-19 22:40:58.348"</f>
        <v>2025-10-19 22:40:58.348</v>
      </c>
      <c r="H1378" t="s">
        <v>21</v>
      </c>
    </row>
    <row r="1379" spans="1:10" x14ac:dyDescent="0.25">
      <c r="A1379" s="1">
        <v>451</v>
      </c>
      <c r="B1379" t="s">
        <v>19</v>
      </c>
      <c r="C1379">
        <v>700</v>
      </c>
      <c r="D1379">
        <v>0</v>
      </c>
      <c r="E1379" t="s">
        <v>20</v>
      </c>
      <c r="F1379" t="s">
        <v>20</v>
      </c>
      <c r="G1379" t="str">
        <f>"2025-10-19 22:38:49.361"</f>
        <v>2025-10-19 22:38:49.361</v>
      </c>
      <c r="H1379" t="s">
        <v>21</v>
      </c>
    </row>
    <row r="1380" spans="1:10" x14ac:dyDescent="0.25">
      <c r="A1380" s="1">
        <v>452</v>
      </c>
      <c r="B1380" t="s">
        <v>19</v>
      </c>
      <c r="C1380">
        <v>700</v>
      </c>
      <c r="D1380">
        <v>0</v>
      </c>
      <c r="E1380" t="s">
        <v>20</v>
      </c>
      <c r="F1380" t="s">
        <v>20</v>
      </c>
      <c r="G1380" t="str">
        <f>"2025-10-19 22:35:20.371"</f>
        <v>2025-10-19 22:35:20.371</v>
      </c>
      <c r="H1380" t="s">
        <v>21</v>
      </c>
      <c r="I1380">
        <v>0</v>
      </c>
      <c r="J1380" t="s">
        <v>33</v>
      </c>
    </row>
    <row r="1381" spans="1:10" x14ac:dyDescent="0.25">
      <c r="A1381" s="1">
        <v>453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"2025-10-19 22:02:40.376"</f>
        <v>2025-10-19 22:02:40.376</v>
      </c>
      <c r="H1381" t="s">
        <v>21</v>
      </c>
      <c r="I1381">
        <v>0</v>
      </c>
      <c r="J1381" t="s">
        <v>33</v>
      </c>
    </row>
    <row r="1382" spans="1:10" x14ac:dyDescent="0.25">
      <c r="A1382" s="1">
        <v>454</v>
      </c>
      <c r="B1382" t="s">
        <v>19</v>
      </c>
      <c r="C1382">
        <v>700</v>
      </c>
      <c r="D1382">
        <v>0</v>
      </c>
      <c r="E1382" t="s">
        <v>20</v>
      </c>
      <c r="F1382" t="s">
        <v>20</v>
      </c>
      <c r="G1382" t="str">
        <f>"2025-10-19 21:18:33.662"</f>
        <v>2025-10-19 21:18:33.662</v>
      </c>
      <c r="H1382" t="s">
        <v>21</v>
      </c>
    </row>
    <row r="1383" spans="1:10" x14ac:dyDescent="0.25">
      <c r="A1383" s="1">
        <v>455</v>
      </c>
      <c r="B1383" t="s">
        <v>22</v>
      </c>
      <c r="C1383">
        <v>635</v>
      </c>
      <c r="D1383">
        <v>1</v>
      </c>
      <c r="E1383" t="s">
        <v>34</v>
      </c>
      <c r="F1383" t="s">
        <v>35</v>
      </c>
      <c r="G1383" t="str">
        <f>"2025-10-19 20:21:09.326"</f>
        <v>2025-10-19 20:21:09.326</v>
      </c>
      <c r="H1383" t="s">
        <v>21</v>
      </c>
    </row>
    <row r="1384" spans="1:10" x14ac:dyDescent="0.25">
      <c r="A1384" s="1">
        <v>456</v>
      </c>
      <c r="B1384" t="s">
        <v>36</v>
      </c>
      <c r="C1384">
        <v>635</v>
      </c>
      <c r="D1384">
        <v>1</v>
      </c>
      <c r="E1384" t="s">
        <v>34</v>
      </c>
      <c r="F1384" t="s">
        <v>35</v>
      </c>
      <c r="G1384" t="str">
        <f>"2025-10-19 20:17:38.826"</f>
        <v>2025-10-19 20:17:38.826</v>
      </c>
      <c r="H1384" t="s">
        <v>21</v>
      </c>
      <c r="I1384">
        <v>0.37</v>
      </c>
      <c r="J1384" t="s">
        <v>27</v>
      </c>
    </row>
    <row r="1385" spans="1:10" x14ac:dyDescent="0.25">
      <c r="A1385" s="1">
        <v>457</v>
      </c>
      <c r="B1385" t="s">
        <v>22</v>
      </c>
      <c r="C1385">
        <v>635</v>
      </c>
      <c r="D1385">
        <v>1</v>
      </c>
      <c r="E1385" t="s">
        <v>34</v>
      </c>
      <c r="F1385" t="s">
        <v>35</v>
      </c>
      <c r="G1385" t="str">
        <f>"2025-10-19 11:53:49.626"</f>
        <v>2025-10-19 11:53:49.626</v>
      </c>
      <c r="H1385" t="s">
        <v>21</v>
      </c>
    </row>
    <row r="1386" spans="1:10" x14ac:dyDescent="0.25">
      <c r="A1386" s="1">
        <v>458</v>
      </c>
      <c r="B1386" t="s">
        <v>36</v>
      </c>
      <c r="C1386">
        <v>635</v>
      </c>
      <c r="D1386">
        <v>1</v>
      </c>
      <c r="E1386" t="s">
        <v>34</v>
      </c>
      <c r="F1386" t="s">
        <v>35</v>
      </c>
      <c r="G1386" t="str">
        <f>"2025-10-19 11:51:29.126"</f>
        <v>2025-10-19 11:51:29.126</v>
      </c>
      <c r="H1386" t="s">
        <v>21</v>
      </c>
      <c r="I1386">
        <v>6.08</v>
      </c>
      <c r="J1386" t="s">
        <v>37</v>
      </c>
    </row>
    <row r="1387" spans="1:10" x14ac:dyDescent="0.25">
      <c r="A1387" s="1">
        <v>459</v>
      </c>
      <c r="B1387" t="s">
        <v>19</v>
      </c>
      <c r="C1387">
        <v>706</v>
      </c>
      <c r="D1387">
        <v>2</v>
      </c>
      <c r="E1387" t="s">
        <v>29</v>
      </c>
      <c r="F1387" t="s">
        <v>30</v>
      </c>
      <c r="G1387" t="str">
        <f>"2025-10-19 02:56:35.098"</f>
        <v>2025-10-19 02:56:35.098</v>
      </c>
      <c r="H1387" t="s">
        <v>21</v>
      </c>
      <c r="I1387">
        <v>0</v>
      </c>
      <c r="J1387" t="s">
        <v>31</v>
      </c>
    </row>
    <row r="1388" spans="1:10" x14ac:dyDescent="0.25">
      <c r="A1388" s="1">
        <v>460</v>
      </c>
      <c r="B1388" t="s">
        <v>19</v>
      </c>
      <c r="C1388">
        <v>700</v>
      </c>
      <c r="D1388">
        <v>0</v>
      </c>
      <c r="E1388" t="s">
        <v>20</v>
      </c>
      <c r="F1388" t="s">
        <v>20</v>
      </c>
      <c r="G1388" t="str">
        <f>"2025-10-19 02:55:42.358"</f>
        <v>2025-10-19 02:55:42.358</v>
      </c>
      <c r="H1388" t="s">
        <v>21</v>
      </c>
    </row>
    <row r="1389" spans="1:10" x14ac:dyDescent="0.25">
      <c r="A1389" s="1">
        <v>461</v>
      </c>
      <c r="B1389" t="s">
        <v>19</v>
      </c>
      <c r="C1389">
        <v>706</v>
      </c>
      <c r="D1389">
        <v>4</v>
      </c>
      <c r="E1389" t="s">
        <v>29</v>
      </c>
      <c r="F1389" t="s">
        <v>53</v>
      </c>
      <c r="G1389" t="str">
        <f>"2025-10-19 01:31:27.859"</f>
        <v>2025-10-19 01:31:27.859</v>
      </c>
      <c r="H1389" t="s">
        <v>21</v>
      </c>
      <c r="I1389">
        <v>0</v>
      </c>
      <c r="J1389" t="s">
        <v>31</v>
      </c>
    </row>
    <row r="1390" spans="1:10" x14ac:dyDescent="0.25">
      <c r="A1390" s="1">
        <v>462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"2025-10-19 01:30:48.539"</f>
        <v>2025-10-19 01:30:48.539</v>
      </c>
      <c r="H1390" t="s">
        <v>21</v>
      </c>
      <c r="I1390">
        <v>0</v>
      </c>
      <c r="J1390" t="s">
        <v>33</v>
      </c>
    </row>
    <row r="1391" spans="1:10" x14ac:dyDescent="0.25">
      <c r="A1391" s="1">
        <v>463</v>
      </c>
      <c r="B1391" t="s">
        <v>22</v>
      </c>
      <c r="C1391">
        <v>635</v>
      </c>
      <c r="D1391">
        <v>1</v>
      </c>
      <c r="E1391" t="s">
        <v>34</v>
      </c>
      <c r="F1391" t="s">
        <v>35</v>
      </c>
      <c r="G1391" t="str">
        <f>"2025-10-18 08:32:27.078"</f>
        <v>2025-10-18 08:32:27.078</v>
      </c>
      <c r="H1391" t="s">
        <v>21</v>
      </c>
    </row>
    <row r="1392" spans="1:10" x14ac:dyDescent="0.25">
      <c r="A1392" s="1">
        <v>464</v>
      </c>
      <c r="B1392" t="s">
        <v>36</v>
      </c>
      <c r="C1392">
        <v>635</v>
      </c>
      <c r="D1392">
        <v>1</v>
      </c>
      <c r="E1392" t="s">
        <v>34</v>
      </c>
      <c r="F1392" t="s">
        <v>35</v>
      </c>
      <c r="G1392" t="str">
        <f>"2025-10-18 08:29:28.078"</f>
        <v>2025-10-18 08:29:28.078</v>
      </c>
      <c r="H1392" t="s">
        <v>21</v>
      </c>
      <c r="I1392">
        <v>4.6500000000000004</v>
      </c>
      <c r="J1392" t="s">
        <v>27</v>
      </c>
    </row>
    <row r="1393" spans="1:10" x14ac:dyDescent="0.25">
      <c r="A1393" s="1">
        <v>465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"2025-10-16 21:40:01.369"</f>
        <v>2025-10-16 21:40:01.369</v>
      </c>
      <c r="H1393" t="s">
        <v>21</v>
      </c>
    </row>
    <row r="1394" spans="1:10" x14ac:dyDescent="0.25">
      <c r="A1394" s="1">
        <v>466</v>
      </c>
      <c r="B1394" t="s">
        <v>19</v>
      </c>
      <c r="C1394">
        <v>706</v>
      </c>
      <c r="D1394">
        <v>2</v>
      </c>
      <c r="E1394" t="s">
        <v>29</v>
      </c>
      <c r="F1394" t="s">
        <v>30</v>
      </c>
      <c r="G1394" t="str">
        <f>"2025-10-16 08:00:03.138"</f>
        <v>2025-10-16 08:00:03.138</v>
      </c>
      <c r="H1394" t="s">
        <v>21</v>
      </c>
      <c r="I1394">
        <v>0</v>
      </c>
      <c r="J1394" t="s">
        <v>31</v>
      </c>
    </row>
    <row r="1395" spans="1:10" x14ac:dyDescent="0.25">
      <c r="A1395" s="1">
        <v>467</v>
      </c>
      <c r="B1395" t="s">
        <v>22</v>
      </c>
      <c r="C1395">
        <v>635</v>
      </c>
      <c r="D1395">
        <v>1</v>
      </c>
      <c r="E1395" t="s">
        <v>34</v>
      </c>
      <c r="F1395" t="s">
        <v>35</v>
      </c>
      <c r="G1395" t="str">
        <f>"2025-10-16 01:04:05.767"</f>
        <v>2025-10-16 01:04:05.767</v>
      </c>
      <c r="H1395" t="s">
        <v>21</v>
      </c>
    </row>
    <row r="1396" spans="1:10" x14ac:dyDescent="0.25">
      <c r="A1396" s="1">
        <v>468</v>
      </c>
      <c r="B1396" t="s">
        <v>36</v>
      </c>
      <c r="C1396">
        <v>635</v>
      </c>
      <c r="D1396">
        <v>1</v>
      </c>
      <c r="E1396" t="s">
        <v>34</v>
      </c>
      <c r="F1396" t="s">
        <v>35</v>
      </c>
      <c r="G1396" t="str">
        <f>"2025-10-16 01:00:41.267"</f>
        <v>2025-10-16 01:00:41.267</v>
      </c>
      <c r="H1396" t="s">
        <v>21</v>
      </c>
      <c r="I1396">
        <v>4.13</v>
      </c>
      <c r="J1396" t="s">
        <v>37</v>
      </c>
    </row>
    <row r="1397" spans="1:10" s="3" customFormat="1" x14ac:dyDescent="0.25">
      <c r="A1397" s="2">
        <v>469</v>
      </c>
      <c r="B1397" s="3" t="s">
        <v>22</v>
      </c>
      <c r="C1397" s="3">
        <v>647</v>
      </c>
      <c r="D1397" s="3">
        <v>1</v>
      </c>
      <c r="E1397" s="3" t="s">
        <v>54</v>
      </c>
      <c r="F1397" s="3" t="s">
        <v>55</v>
      </c>
      <c r="G1397" s="3" t="str">
        <f>"2025-10-15 10:30:53.415"</f>
        <v>2025-10-15 10:30:53.415</v>
      </c>
      <c r="H1397" s="3" t="s">
        <v>21</v>
      </c>
    </row>
    <row r="1398" spans="1:10" s="3" customFormat="1" x14ac:dyDescent="0.25">
      <c r="A1398" s="2">
        <v>470</v>
      </c>
      <c r="B1398" s="3" t="s">
        <v>36</v>
      </c>
      <c r="C1398" s="3">
        <v>647</v>
      </c>
      <c r="D1398" s="3">
        <v>1</v>
      </c>
      <c r="E1398" s="3" t="s">
        <v>54</v>
      </c>
      <c r="F1398" s="3" t="s">
        <v>55</v>
      </c>
      <c r="G1398" s="3" t="str">
        <f>"2025-10-15 10:30:49.515"</f>
        <v>2025-10-15 10:30:49.515</v>
      </c>
      <c r="H1398" s="3" t="s">
        <v>21</v>
      </c>
      <c r="I1398" s="3">
        <v>15.14</v>
      </c>
      <c r="J1398" s="3" t="s">
        <v>28</v>
      </c>
    </row>
    <row r="1399" spans="1:10" x14ac:dyDescent="0.25">
      <c r="A1399" s="1">
        <v>471</v>
      </c>
      <c r="B1399" t="s">
        <v>22</v>
      </c>
      <c r="C1399">
        <v>635</v>
      </c>
      <c r="D1399">
        <v>1</v>
      </c>
      <c r="E1399" t="s">
        <v>34</v>
      </c>
      <c r="F1399" t="s">
        <v>35</v>
      </c>
      <c r="G1399" t="str">
        <f>"2025-10-13 17:45:40.067"</f>
        <v>2025-10-13 17:45:40.067</v>
      </c>
      <c r="H1399" t="s">
        <v>21</v>
      </c>
    </row>
    <row r="1400" spans="1:10" x14ac:dyDescent="0.25">
      <c r="A1400" s="1">
        <v>472</v>
      </c>
      <c r="B1400" t="s">
        <v>36</v>
      </c>
      <c r="C1400">
        <v>635</v>
      </c>
      <c r="D1400">
        <v>1</v>
      </c>
      <c r="E1400" t="s">
        <v>34</v>
      </c>
      <c r="F1400" t="s">
        <v>35</v>
      </c>
      <c r="G1400" t="str">
        <f>"2025-10-13 17:43:19.567"</f>
        <v>2025-10-13 17:43:19.567</v>
      </c>
      <c r="H1400" t="s">
        <v>21</v>
      </c>
      <c r="I1400">
        <v>2.44</v>
      </c>
      <c r="J1400" t="s">
        <v>37</v>
      </c>
    </row>
    <row r="1401" spans="1:10" s="3" customFormat="1" x14ac:dyDescent="0.25">
      <c r="A1401" s="2">
        <v>473</v>
      </c>
      <c r="B1401" s="3" t="s">
        <v>22</v>
      </c>
      <c r="C1401" s="3">
        <v>647</v>
      </c>
      <c r="D1401" s="3">
        <v>1</v>
      </c>
      <c r="E1401" s="3" t="s">
        <v>54</v>
      </c>
      <c r="F1401" s="3" t="s">
        <v>55</v>
      </c>
      <c r="G1401" s="3" t="str">
        <f>"2025-10-13 10:28:41.215"</f>
        <v>2025-10-13 10:28:41.215</v>
      </c>
      <c r="H1401" s="3" t="s">
        <v>21</v>
      </c>
    </row>
    <row r="1402" spans="1:10" s="3" customFormat="1" x14ac:dyDescent="0.25">
      <c r="A1402" s="2">
        <v>474</v>
      </c>
      <c r="B1402" s="3" t="s">
        <v>36</v>
      </c>
      <c r="C1402" s="3">
        <v>647</v>
      </c>
      <c r="D1402" s="3">
        <v>1</v>
      </c>
      <c r="E1402" s="3" t="s">
        <v>54</v>
      </c>
      <c r="F1402" s="3" t="s">
        <v>55</v>
      </c>
      <c r="G1402" s="3" t="str">
        <f>"2025-10-13 10:28:37.715"</f>
        <v>2025-10-13 10:28:37.715</v>
      </c>
      <c r="H1402" s="3" t="s">
        <v>21</v>
      </c>
      <c r="I1402" s="3">
        <v>16.98</v>
      </c>
      <c r="J1402" s="3" t="s">
        <v>27</v>
      </c>
    </row>
    <row r="1403" spans="1:10" x14ac:dyDescent="0.25">
      <c r="A1403" s="1">
        <v>475</v>
      </c>
      <c r="B1403" t="s">
        <v>22</v>
      </c>
      <c r="C1403">
        <v>635</v>
      </c>
      <c r="D1403">
        <v>1</v>
      </c>
      <c r="E1403" t="s">
        <v>34</v>
      </c>
      <c r="F1403" t="s">
        <v>35</v>
      </c>
      <c r="G1403" t="str">
        <f>"2025-10-12 16:20:24.067"</f>
        <v>2025-10-12 16:20:24.067</v>
      </c>
      <c r="H1403" t="s">
        <v>21</v>
      </c>
    </row>
    <row r="1404" spans="1:10" x14ac:dyDescent="0.25">
      <c r="A1404" s="1">
        <v>476</v>
      </c>
      <c r="B1404" t="s">
        <v>36</v>
      </c>
      <c r="C1404">
        <v>635</v>
      </c>
      <c r="D1404">
        <v>1</v>
      </c>
      <c r="E1404" t="s">
        <v>34</v>
      </c>
      <c r="F1404" t="s">
        <v>35</v>
      </c>
      <c r="G1404" t="str">
        <f>"2025-10-12 16:15:50.567"</f>
        <v>2025-10-12 16:15:50.567</v>
      </c>
      <c r="H1404" t="s">
        <v>21</v>
      </c>
      <c r="I1404">
        <v>4.2</v>
      </c>
      <c r="J1404" t="s">
        <v>28</v>
      </c>
    </row>
    <row r="1405" spans="1:10" x14ac:dyDescent="0.25">
      <c r="A1405" s="1">
        <v>477</v>
      </c>
      <c r="B1405" t="s">
        <v>22</v>
      </c>
      <c r="C1405">
        <v>635</v>
      </c>
      <c r="D1405">
        <v>1</v>
      </c>
      <c r="E1405" t="s">
        <v>34</v>
      </c>
      <c r="F1405" t="s">
        <v>35</v>
      </c>
      <c r="G1405" t="str">
        <f>"2025-10-12 11:18:24.066"</f>
        <v>2025-10-12 11:18:24.066</v>
      </c>
      <c r="H1405" t="s">
        <v>21</v>
      </c>
    </row>
    <row r="1406" spans="1:10" x14ac:dyDescent="0.25">
      <c r="A1406" s="1">
        <v>478</v>
      </c>
      <c r="B1406" t="s">
        <v>36</v>
      </c>
      <c r="C1406">
        <v>635</v>
      </c>
      <c r="D1406">
        <v>1</v>
      </c>
      <c r="E1406" t="s">
        <v>34</v>
      </c>
      <c r="F1406" t="s">
        <v>35</v>
      </c>
      <c r="G1406" t="str">
        <f>"2025-10-12 10:51:26.667"</f>
        <v>2025-10-12 10:51:26.667</v>
      </c>
      <c r="H1406" t="s">
        <v>21</v>
      </c>
      <c r="I1406">
        <v>5.88</v>
      </c>
      <c r="J1406" t="s">
        <v>37</v>
      </c>
    </row>
    <row r="1407" spans="1:10" x14ac:dyDescent="0.25">
      <c r="A1407" s="1">
        <v>479</v>
      </c>
      <c r="B1407" t="s">
        <v>22</v>
      </c>
      <c r="C1407">
        <v>635</v>
      </c>
      <c r="D1407">
        <v>1</v>
      </c>
      <c r="E1407" t="s">
        <v>34</v>
      </c>
      <c r="F1407" t="s">
        <v>35</v>
      </c>
      <c r="G1407" t="str">
        <f>"2025-10-11 11:47:24.867"</f>
        <v>2025-10-11 11:47:24.867</v>
      </c>
      <c r="H1407" t="s">
        <v>21</v>
      </c>
    </row>
    <row r="1408" spans="1:10" x14ac:dyDescent="0.25">
      <c r="A1408" s="1">
        <v>480</v>
      </c>
      <c r="B1408" t="s">
        <v>36</v>
      </c>
      <c r="C1408">
        <v>635</v>
      </c>
      <c r="D1408">
        <v>1</v>
      </c>
      <c r="E1408" t="s">
        <v>34</v>
      </c>
      <c r="F1408" t="s">
        <v>35</v>
      </c>
      <c r="G1408" t="str">
        <f>"2025-10-11 11:28:37.867"</f>
        <v>2025-10-11 11:28:37.867</v>
      </c>
      <c r="H1408" t="s">
        <v>21</v>
      </c>
      <c r="I1408">
        <v>6.49</v>
      </c>
      <c r="J1408" t="s">
        <v>37</v>
      </c>
    </row>
    <row r="1409" spans="1:10" x14ac:dyDescent="0.25">
      <c r="A1409" s="1">
        <v>481</v>
      </c>
      <c r="B1409" t="s">
        <v>19</v>
      </c>
      <c r="C1409">
        <v>706</v>
      </c>
      <c r="D1409">
        <v>4</v>
      </c>
      <c r="E1409" t="s">
        <v>29</v>
      </c>
      <c r="F1409" t="s">
        <v>53</v>
      </c>
      <c r="G1409" t="str">
        <f>"2025-10-11 07:59:37.538"</f>
        <v>2025-10-11 07:59:37.538</v>
      </c>
      <c r="H1409" t="s">
        <v>21</v>
      </c>
      <c r="I1409">
        <v>0</v>
      </c>
      <c r="J1409" t="s">
        <v>31</v>
      </c>
    </row>
    <row r="1410" spans="1:10" x14ac:dyDescent="0.25">
      <c r="A1410" s="1">
        <v>482</v>
      </c>
      <c r="B1410" t="s">
        <v>22</v>
      </c>
      <c r="C1410">
        <v>635</v>
      </c>
      <c r="D1410">
        <v>1</v>
      </c>
      <c r="E1410" t="s">
        <v>34</v>
      </c>
      <c r="F1410" t="s">
        <v>35</v>
      </c>
      <c r="G1410" t="str">
        <f>"2025-10-11 01:51:34.367"</f>
        <v>2025-10-11 01:51:34.367</v>
      </c>
      <c r="H1410" t="s">
        <v>21</v>
      </c>
    </row>
    <row r="1411" spans="1:10" x14ac:dyDescent="0.25">
      <c r="A1411" s="1">
        <v>483</v>
      </c>
      <c r="B1411" t="s">
        <v>36</v>
      </c>
      <c r="C1411">
        <v>635</v>
      </c>
      <c r="D1411">
        <v>1</v>
      </c>
      <c r="E1411" t="s">
        <v>34</v>
      </c>
      <c r="F1411" t="s">
        <v>35</v>
      </c>
      <c r="G1411" t="str">
        <f>"2025-10-11 01:48:27.367"</f>
        <v>2025-10-11 01:48:27.367</v>
      </c>
      <c r="H1411" t="s">
        <v>21</v>
      </c>
      <c r="I1411">
        <v>4.12</v>
      </c>
      <c r="J1411" t="s">
        <v>27</v>
      </c>
    </row>
    <row r="1412" spans="1:10" x14ac:dyDescent="0.25">
      <c r="A1412" s="1">
        <v>484</v>
      </c>
      <c r="B1412" t="s">
        <v>22</v>
      </c>
      <c r="C1412">
        <v>635</v>
      </c>
      <c r="D1412">
        <v>1</v>
      </c>
      <c r="E1412" t="s">
        <v>34</v>
      </c>
      <c r="F1412" t="s">
        <v>35</v>
      </c>
      <c r="G1412" t="str">
        <f>"2025-10-11 00:04:06.467"</f>
        <v>2025-10-11 00:04:06.467</v>
      </c>
      <c r="H1412" t="s">
        <v>21</v>
      </c>
    </row>
    <row r="1413" spans="1:10" x14ac:dyDescent="0.25">
      <c r="A1413" s="1">
        <v>485</v>
      </c>
      <c r="B1413" t="s">
        <v>36</v>
      </c>
      <c r="C1413">
        <v>635</v>
      </c>
      <c r="D1413">
        <v>1</v>
      </c>
      <c r="E1413" t="s">
        <v>34</v>
      </c>
      <c r="F1413" t="s">
        <v>35</v>
      </c>
      <c r="G1413" t="str">
        <f>"2025-10-10 23:50:54.067"</f>
        <v>2025-10-10 23:50:54.067</v>
      </c>
      <c r="H1413" t="s">
        <v>21</v>
      </c>
      <c r="I1413">
        <v>4.13</v>
      </c>
      <c r="J1413" t="s">
        <v>37</v>
      </c>
    </row>
    <row r="1414" spans="1:10" x14ac:dyDescent="0.25">
      <c r="A1414" s="1">
        <v>486</v>
      </c>
      <c r="B1414" t="s">
        <v>22</v>
      </c>
      <c r="C1414">
        <v>635</v>
      </c>
      <c r="D1414">
        <v>1</v>
      </c>
      <c r="E1414" t="s">
        <v>34</v>
      </c>
      <c r="F1414" t="s">
        <v>35</v>
      </c>
      <c r="G1414" t="str">
        <f>"2025-10-10 18:09:42.567"</f>
        <v>2025-10-10 18:09:42.567</v>
      </c>
      <c r="H1414" t="s">
        <v>21</v>
      </c>
    </row>
    <row r="1415" spans="1:10" x14ac:dyDescent="0.25">
      <c r="A1415" s="1">
        <v>487</v>
      </c>
      <c r="B1415" t="s">
        <v>36</v>
      </c>
      <c r="C1415">
        <v>635</v>
      </c>
      <c r="D1415">
        <v>1</v>
      </c>
      <c r="E1415" t="s">
        <v>34</v>
      </c>
      <c r="F1415" t="s">
        <v>35</v>
      </c>
      <c r="G1415" t="str">
        <f>"2025-10-10 17:42:44.167"</f>
        <v>2025-10-10 17:42:44.167</v>
      </c>
      <c r="H1415" t="s">
        <v>21</v>
      </c>
      <c r="I1415">
        <v>4.3600000000000003</v>
      </c>
      <c r="J1415" t="s">
        <v>37</v>
      </c>
    </row>
    <row r="1416" spans="1:10" x14ac:dyDescent="0.25">
      <c r="A1416" s="1">
        <v>488</v>
      </c>
      <c r="B1416" t="s">
        <v>22</v>
      </c>
      <c r="C1416">
        <v>635</v>
      </c>
      <c r="D1416">
        <v>1</v>
      </c>
      <c r="E1416" t="s">
        <v>34</v>
      </c>
      <c r="F1416" t="s">
        <v>35</v>
      </c>
      <c r="G1416" t="str">
        <f>"2025-10-10 17:25:25.167"</f>
        <v>2025-10-10 17:25:25.167</v>
      </c>
      <c r="H1416" t="s">
        <v>21</v>
      </c>
    </row>
    <row r="1417" spans="1:10" x14ac:dyDescent="0.25">
      <c r="A1417" s="1">
        <v>489</v>
      </c>
      <c r="B1417" t="s">
        <v>36</v>
      </c>
      <c r="C1417">
        <v>635</v>
      </c>
      <c r="D1417">
        <v>1</v>
      </c>
      <c r="E1417" t="s">
        <v>34</v>
      </c>
      <c r="F1417" t="s">
        <v>35</v>
      </c>
      <c r="G1417" t="str">
        <f>"2025-10-10 16:58:28.667"</f>
        <v>2025-10-10 16:58:28.667</v>
      </c>
      <c r="H1417" t="s">
        <v>21</v>
      </c>
      <c r="I1417">
        <v>6.26</v>
      </c>
      <c r="J1417" t="s">
        <v>27</v>
      </c>
    </row>
    <row r="1418" spans="1:10" x14ac:dyDescent="0.25">
      <c r="A1418" s="1">
        <v>490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"2025-10-10 11:15:12.348"</f>
        <v>2025-10-10 11:15:12.348</v>
      </c>
      <c r="H1418" t="s">
        <v>21</v>
      </c>
    </row>
    <row r="1419" spans="1:10" x14ac:dyDescent="0.25">
      <c r="A1419" s="1">
        <v>491</v>
      </c>
      <c r="B1419" t="s">
        <v>40</v>
      </c>
      <c r="C1419">
        <v>77</v>
      </c>
      <c r="D1419">
        <v>1</v>
      </c>
      <c r="E1419" t="s">
        <v>59</v>
      </c>
      <c r="F1419" t="s">
        <v>60</v>
      </c>
      <c r="G1419" t="str">
        <f>"2025-10-10 11:09:38.403"</f>
        <v>2025-10-10 11:09:38.403</v>
      </c>
      <c r="H1419" t="s">
        <v>46</v>
      </c>
    </row>
    <row r="1420" spans="1:10" x14ac:dyDescent="0.25">
      <c r="A1420" s="1">
        <v>492</v>
      </c>
      <c r="B1420" t="s">
        <v>26</v>
      </c>
      <c r="C1420">
        <v>77</v>
      </c>
      <c r="D1420">
        <v>1</v>
      </c>
      <c r="E1420" t="s">
        <v>59</v>
      </c>
      <c r="F1420" t="s">
        <v>60</v>
      </c>
      <c r="G1420" t="str">
        <f>"2025-10-10 11:09:33.328"</f>
        <v>2025-10-10 11:09:33.328</v>
      </c>
      <c r="H1420" t="s">
        <v>46</v>
      </c>
      <c r="I1420">
        <v>0</v>
      </c>
      <c r="J1420" t="s">
        <v>31</v>
      </c>
    </row>
    <row r="1421" spans="1:10" x14ac:dyDescent="0.25">
      <c r="A1421" s="1">
        <v>493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"2025-10-10 11:09:00.359"</f>
        <v>2025-10-10 11:09:00.359</v>
      </c>
      <c r="H1421" t="s">
        <v>21</v>
      </c>
      <c r="I1421">
        <v>0</v>
      </c>
      <c r="J1421" t="s">
        <v>33</v>
      </c>
    </row>
    <row r="1422" spans="1:10" x14ac:dyDescent="0.25">
      <c r="A1422" s="1">
        <v>494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"2025-10-09 03:29:19.350"</f>
        <v>2025-10-09 03:29:19.350</v>
      </c>
      <c r="H1422" t="s">
        <v>21</v>
      </c>
      <c r="I1422">
        <v>0</v>
      </c>
      <c r="J1422" t="s">
        <v>33</v>
      </c>
    </row>
    <row r="1423" spans="1:10" x14ac:dyDescent="0.25">
      <c r="A1423" s="1">
        <v>495</v>
      </c>
      <c r="B1423" t="s">
        <v>19</v>
      </c>
      <c r="C1423">
        <v>706</v>
      </c>
      <c r="D1423">
        <v>4</v>
      </c>
      <c r="E1423" t="s">
        <v>29</v>
      </c>
      <c r="F1423" t="s">
        <v>53</v>
      </c>
      <c r="G1423" t="str">
        <f>"2025-10-09 02:44:34.543"</f>
        <v>2025-10-09 02:44:34.543</v>
      </c>
      <c r="H1423" t="s">
        <v>21</v>
      </c>
      <c r="I1423">
        <v>0</v>
      </c>
      <c r="J1423" t="s">
        <v>31</v>
      </c>
    </row>
    <row r="1424" spans="1:10" x14ac:dyDescent="0.25">
      <c r="A1424" s="1">
        <v>496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"2025-10-09 01:28:36.343"</f>
        <v>2025-10-09 01:28:36.343</v>
      </c>
      <c r="H1424" t="s">
        <v>21</v>
      </c>
    </row>
    <row r="1425" spans="1:10" x14ac:dyDescent="0.25">
      <c r="A1425" s="1">
        <v>497</v>
      </c>
      <c r="B1425" t="s">
        <v>22</v>
      </c>
      <c r="C1425">
        <v>635</v>
      </c>
      <c r="D1425">
        <v>1</v>
      </c>
      <c r="E1425" t="s">
        <v>34</v>
      </c>
      <c r="F1425" t="s">
        <v>35</v>
      </c>
      <c r="G1425" t="str">
        <f>"2025-10-08 18:54:01.818"</f>
        <v>2025-10-08 18:54:01.818</v>
      </c>
      <c r="H1425" t="s">
        <v>21</v>
      </c>
    </row>
    <row r="1426" spans="1:10" x14ac:dyDescent="0.25">
      <c r="A1426" s="1">
        <v>498</v>
      </c>
      <c r="B1426" t="s">
        <v>36</v>
      </c>
      <c r="C1426">
        <v>635</v>
      </c>
      <c r="D1426">
        <v>1</v>
      </c>
      <c r="E1426" t="s">
        <v>34</v>
      </c>
      <c r="F1426" t="s">
        <v>35</v>
      </c>
      <c r="G1426" t="str">
        <f>"2025-10-08 18:23:29.918"</f>
        <v>2025-10-08 18:23:29.918</v>
      </c>
      <c r="H1426" t="s">
        <v>21</v>
      </c>
      <c r="I1426">
        <v>7.48</v>
      </c>
      <c r="J1426" t="s">
        <v>37</v>
      </c>
    </row>
    <row r="1427" spans="1:10" x14ac:dyDescent="0.25">
      <c r="A1427" s="1">
        <v>499</v>
      </c>
      <c r="B1427" t="s">
        <v>19</v>
      </c>
      <c r="C1427">
        <v>706</v>
      </c>
      <c r="D1427">
        <v>4</v>
      </c>
      <c r="E1427" t="s">
        <v>29</v>
      </c>
      <c r="F1427" t="s">
        <v>53</v>
      </c>
      <c r="G1427" t="str">
        <f>"2025-10-07 16:43:05.898"</f>
        <v>2025-10-07 16:43:05.898</v>
      </c>
      <c r="H1427" t="s">
        <v>21</v>
      </c>
      <c r="I1427">
        <v>0</v>
      </c>
      <c r="J1427" t="s">
        <v>31</v>
      </c>
    </row>
    <row r="1428" spans="1:10" x14ac:dyDescent="0.25">
      <c r="A1428" s="1">
        <v>500</v>
      </c>
      <c r="B1428" t="s">
        <v>19</v>
      </c>
      <c r="C1428">
        <v>700</v>
      </c>
      <c r="D1428">
        <v>0</v>
      </c>
      <c r="E1428" t="s">
        <v>20</v>
      </c>
      <c r="F1428" t="s">
        <v>20</v>
      </c>
      <c r="G1428" t="str">
        <f>"2025-10-07 15:16:28.338"</f>
        <v>2025-10-07 15:16:28.338</v>
      </c>
      <c r="H1428" t="s">
        <v>21</v>
      </c>
    </row>
    <row r="1429" spans="1:10" x14ac:dyDescent="0.25">
      <c r="A1429" s="1">
        <v>501</v>
      </c>
      <c r="B1429" t="s">
        <v>22</v>
      </c>
      <c r="C1429">
        <v>635</v>
      </c>
      <c r="D1429">
        <v>1</v>
      </c>
      <c r="E1429" t="s">
        <v>34</v>
      </c>
      <c r="F1429" t="s">
        <v>35</v>
      </c>
      <c r="G1429" t="str">
        <f>"2025-10-05 16:41:48.549"</f>
        <v>2025-10-05 16:41:48.549</v>
      </c>
      <c r="H1429" t="s">
        <v>21</v>
      </c>
    </row>
    <row r="1430" spans="1:10" x14ac:dyDescent="0.25">
      <c r="A1430" s="1">
        <v>502</v>
      </c>
      <c r="B1430" t="s">
        <v>36</v>
      </c>
      <c r="C1430">
        <v>635</v>
      </c>
      <c r="D1430">
        <v>1</v>
      </c>
      <c r="E1430" t="s">
        <v>34</v>
      </c>
      <c r="F1430" t="s">
        <v>35</v>
      </c>
      <c r="G1430" t="str">
        <f>"2025-10-05 16:37:49.049"</f>
        <v>2025-10-05 16:37:49.049</v>
      </c>
      <c r="H1430" t="s">
        <v>21</v>
      </c>
      <c r="I1430">
        <v>2.69</v>
      </c>
      <c r="J1430" t="s">
        <v>37</v>
      </c>
    </row>
    <row r="1431" spans="1:10" x14ac:dyDescent="0.25">
      <c r="A1431" s="1">
        <v>503</v>
      </c>
      <c r="B1431" t="s">
        <v>22</v>
      </c>
      <c r="C1431">
        <v>635</v>
      </c>
      <c r="D1431">
        <v>1</v>
      </c>
      <c r="E1431" t="s">
        <v>34</v>
      </c>
      <c r="F1431" t="s">
        <v>35</v>
      </c>
      <c r="G1431" t="str">
        <f>"2025-10-04 18:50:33.149"</f>
        <v>2025-10-04 18:50:33.149</v>
      </c>
      <c r="H1431" t="s">
        <v>21</v>
      </c>
    </row>
    <row r="1432" spans="1:10" x14ac:dyDescent="0.25">
      <c r="A1432" s="1">
        <v>504</v>
      </c>
      <c r="B1432" t="s">
        <v>36</v>
      </c>
      <c r="C1432">
        <v>635</v>
      </c>
      <c r="D1432">
        <v>1</v>
      </c>
      <c r="E1432" t="s">
        <v>34</v>
      </c>
      <c r="F1432" t="s">
        <v>35</v>
      </c>
      <c r="G1432" t="str">
        <f>"2025-10-04 18:48:03.149"</f>
        <v>2025-10-04 18:48:03.149</v>
      </c>
      <c r="H1432" t="s">
        <v>21</v>
      </c>
      <c r="I1432">
        <v>1.51</v>
      </c>
      <c r="J1432" t="s">
        <v>27</v>
      </c>
    </row>
    <row r="1433" spans="1:10" x14ac:dyDescent="0.25">
      <c r="A1433" s="1">
        <v>505</v>
      </c>
      <c r="B1433" t="s">
        <v>22</v>
      </c>
      <c r="C1433">
        <v>635</v>
      </c>
      <c r="D1433">
        <v>1</v>
      </c>
      <c r="E1433" t="s">
        <v>34</v>
      </c>
      <c r="F1433" t="s">
        <v>35</v>
      </c>
      <c r="G1433" t="str">
        <f>"2025-10-04 10:29:29.949"</f>
        <v>2025-10-04 10:29:29.949</v>
      </c>
      <c r="H1433" t="s">
        <v>21</v>
      </c>
    </row>
    <row r="1434" spans="1:10" x14ac:dyDescent="0.25">
      <c r="A1434" s="1">
        <v>506</v>
      </c>
      <c r="B1434" t="s">
        <v>36</v>
      </c>
      <c r="C1434">
        <v>635</v>
      </c>
      <c r="D1434">
        <v>1</v>
      </c>
      <c r="E1434" t="s">
        <v>34</v>
      </c>
      <c r="F1434" t="s">
        <v>35</v>
      </c>
      <c r="G1434" t="str">
        <f>"2025-10-04 10:26:55.449"</f>
        <v>2025-10-04 10:26:55.449</v>
      </c>
      <c r="H1434" t="s">
        <v>21</v>
      </c>
      <c r="I1434">
        <v>4.08</v>
      </c>
      <c r="J1434" t="s">
        <v>37</v>
      </c>
    </row>
    <row r="1435" spans="1:10" x14ac:dyDescent="0.25">
      <c r="A1435" s="1">
        <v>507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"2025-10-04 09:55:33.372"</f>
        <v>2025-10-04 09:55:33.372</v>
      </c>
      <c r="H1435" t="s">
        <v>21</v>
      </c>
    </row>
    <row r="1436" spans="1:10" x14ac:dyDescent="0.25">
      <c r="A1436" s="1">
        <v>508</v>
      </c>
      <c r="B1436" t="s">
        <v>22</v>
      </c>
      <c r="C1436">
        <v>61</v>
      </c>
      <c r="D1436">
        <v>2</v>
      </c>
      <c r="E1436" t="s">
        <v>66</v>
      </c>
      <c r="F1436" t="s">
        <v>67</v>
      </c>
      <c r="G1436" t="str">
        <f>"2025-10-04 09:42:07.408"</f>
        <v>2025-10-04 09:42:07.408</v>
      </c>
      <c r="H1436" t="s">
        <v>21</v>
      </c>
    </row>
    <row r="1437" spans="1:10" x14ac:dyDescent="0.25">
      <c r="A1437" s="1">
        <v>509</v>
      </c>
      <c r="B1437" t="s">
        <v>26</v>
      </c>
      <c r="C1437">
        <v>61</v>
      </c>
      <c r="D1437">
        <v>2</v>
      </c>
      <c r="E1437" t="s">
        <v>66</v>
      </c>
      <c r="F1437" t="s">
        <v>67</v>
      </c>
      <c r="G1437" t="str">
        <f>"2025-10-04 09:41:55.008"</f>
        <v>2025-10-04 09:41:55.008</v>
      </c>
      <c r="H1437" t="s">
        <v>21</v>
      </c>
      <c r="I1437">
        <v>35.130000000000003</v>
      </c>
      <c r="J1437" t="s">
        <v>27</v>
      </c>
    </row>
    <row r="1438" spans="1:10" x14ac:dyDescent="0.25">
      <c r="A1438" s="1">
        <v>510</v>
      </c>
      <c r="B1438" t="s">
        <v>22</v>
      </c>
      <c r="C1438">
        <v>635</v>
      </c>
      <c r="D1438">
        <v>1</v>
      </c>
      <c r="E1438" t="s">
        <v>34</v>
      </c>
      <c r="F1438" t="s">
        <v>35</v>
      </c>
      <c r="G1438" t="str">
        <f>"2025-10-04 05:16:07.168"</f>
        <v>2025-10-04 05:16:07.168</v>
      </c>
      <c r="H1438" t="s">
        <v>21</v>
      </c>
    </row>
    <row r="1439" spans="1:10" x14ac:dyDescent="0.25">
      <c r="A1439" s="1">
        <v>511</v>
      </c>
      <c r="B1439" t="s">
        <v>36</v>
      </c>
      <c r="C1439">
        <v>635</v>
      </c>
      <c r="D1439">
        <v>1</v>
      </c>
      <c r="E1439" t="s">
        <v>34</v>
      </c>
      <c r="F1439" t="s">
        <v>35</v>
      </c>
      <c r="G1439" t="str">
        <f>"2025-10-04 05:03:22.268"</f>
        <v>2025-10-04 05:03:22.268</v>
      </c>
      <c r="H1439" t="s">
        <v>21</v>
      </c>
      <c r="I1439">
        <v>6.7</v>
      </c>
      <c r="J1439" t="s">
        <v>37</v>
      </c>
    </row>
    <row r="1440" spans="1:10" x14ac:dyDescent="0.25">
      <c r="A1440" s="1">
        <v>512</v>
      </c>
      <c r="B1440" t="s">
        <v>22</v>
      </c>
      <c r="C1440">
        <v>635</v>
      </c>
      <c r="D1440">
        <v>1</v>
      </c>
      <c r="E1440" t="s">
        <v>34</v>
      </c>
      <c r="F1440" t="s">
        <v>35</v>
      </c>
      <c r="G1440" t="str">
        <f>"2025-10-04 04:32:22.768"</f>
        <v>2025-10-04 04:32:22.768</v>
      </c>
      <c r="H1440" t="s">
        <v>21</v>
      </c>
    </row>
    <row r="1441" spans="1:10" x14ac:dyDescent="0.25">
      <c r="A1441" s="1">
        <v>513</v>
      </c>
      <c r="B1441" t="s">
        <v>36</v>
      </c>
      <c r="C1441">
        <v>635</v>
      </c>
      <c r="D1441">
        <v>1</v>
      </c>
      <c r="E1441" t="s">
        <v>34</v>
      </c>
      <c r="F1441" t="s">
        <v>35</v>
      </c>
      <c r="G1441" t="str">
        <f>"2025-10-04 04:17:44.268"</f>
        <v>2025-10-04 04:17:44.268</v>
      </c>
      <c r="H1441" t="s">
        <v>21</v>
      </c>
      <c r="I1441">
        <v>4.09</v>
      </c>
      <c r="J1441" t="s">
        <v>37</v>
      </c>
    </row>
    <row r="1442" spans="1:10" x14ac:dyDescent="0.25">
      <c r="A1442" s="1">
        <v>514</v>
      </c>
      <c r="B1442" t="s">
        <v>22</v>
      </c>
      <c r="C1442">
        <v>635</v>
      </c>
      <c r="D1442">
        <v>1</v>
      </c>
      <c r="E1442" t="s">
        <v>34</v>
      </c>
      <c r="F1442" t="s">
        <v>35</v>
      </c>
      <c r="G1442" t="str">
        <f>"2025-10-03 18:23:09.268"</f>
        <v>2025-10-03 18:23:09.268</v>
      </c>
      <c r="H1442" t="s">
        <v>21</v>
      </c>
    </row>
    <row r="1443" spans="1:10" x14ac:dyDescent="0.25">
      <c r="A1443" s="1">
        <v>515</v>
      </c>
      <c r="B1443" t="s">
        <v>36</v>
      </c>
      <c r="C1443">
        <v>635</v>
      </c>
      <c r="D1443">
        <v>1</v>
      </c>
      <c r="E1443" t="s">
        <v>34</v>
      </c>
      <c r="F1443" t="s">
        <v>35</v>
      </c>
      <c r="G1443" t="str">
        <f>"2025-10-03 18:19:51.768"</f>
        <v>2025-10-03 18:19:51.768</v>
      </c>
      <c r="H1443" t="s">
        <v>21</v>
      </c>
      <c r="I1443">
        <v>2.06</v>
      </c>
      <c r="J1443" t="s">
        <v>37</v>
      </c>
    </row>
    <row r="1444" spans="1:10" x14ac:dyDescent="0.25">
      <c r="A1444" s="1">
        <v>516</v>
      </c>
      <c r="B1444" t="s">
        <v>22</v>
      </c>
      <c r="C1444">
        <v>635</v>
      </c>
      <c r="D1444">
        <v>1</v>
      </c>
      <c r="E1444" t="s">
        <v>34</v>
      </c>
      <c r="F1444" t="s">
        <v>35</v>
      </c>
      <c r="G1444" t="str">
        <f>"2025-10-03 17:19:00.868"</f>
        <v>2025-10-03 17:19:00.868</v>
      </c>
      <c r="H1444" t="s">
        <v>21</v>
      </c>
    </row>
    <row r="1445" spans="1:10" x14ac:dyDescent="0.25">
      <c r="A1445" s="1">
        <v>517</v>
      </c>
      <c r="B1445" t="s">
        <v>36</v>
      </c>
      <c r="C1445">
        <v>635</v>
      </c>
      <c r="D1445">
        <v>1</v>
      </c>
      <c r="E1445" t="s">
        <v>34</v>
      </c>
      <c r="F1445" t="s">
        <v>35</v>
      </c>
      <c r="G1445" t="str">
        <f>"2025-10-03 17:15:01.868"</f>
        <v>2025-10-03 17:15:01.868</v>
      </c>
      <c r="H1445" t="s">
        <v>21</v>
      </c>
      <c r="I1445">
        <v>3.74</v>
      </c>
      <c r="J1445" t="s">
        <v>28</v>
      </c>
    </row>
    <row r="1446" spans="1:10" x14ac:dyDescent="0.25">
      <c r="A1446" s="1">
        <v>518</v>
      </c>
      <c r="B1446" t="s">
        <v>22</v>
      </c>
      <c r="C1446">
        <v>635</v>
      </c>
      <c r="D1446">
        <v>1</v>
      </c>
      <c r="E1446" t="s">
        <v>34</v>
      </c>
      <c r="F1446" t="s">
        <v>35</v>
      </c>
      <c r="G1446" t="str">
        <f>"2025-10-02 03:42:44.968"</f>
        <v>2025-10-02 03:42:44.968</v>
      </c>
      <c r="H1446" t="s">
        <v>21</v>
      </c>
    </row>
    <row r="1447" spans="1:10" x14ac:dyDescent="0.25">
      <c r="A1447" s="1">
        <v>519</v>
      </c>
      <c r="B1447" t="s">
        <v>36</v>
      </c>
      <c r="C1447">
        <v>635</v>
      </c>
      <c r="D1447">
        <v>1</v>
      </c>
      <c r="E1447" t="s">
        <v>34</v>
      </c>
      <c r="F1447" t="s">
        <v>35</v>
      </c>
      <c r="G1447" t="str">
        <f>"2025-10-02 03:38:45.468"</f>
        <v>2025-10-02 03:38:45.468</v>
      </c>
      <c r="H1447" t="s">
        <v>21</v>
      </c>
      <c r="I1447">
        <v>1.4</v>
      </c>
      <c r="J1447" t="s">
        <v>37</v>
      </c>
    </row>
    <row r="1448" spans="1:10" x14ac:dyDescent="0.25">
      <c r="A1448" s="1">
        <v>520</v>
      </c>
      <c r="B1448" t="s">
        <v>22</v>
      </c>
      <c r="C1448">
        <v>635</v>
      </c>
      <c r="D1448">
        <v>1</v>
      </c>
      <c r="E1448" t="s">
        <v>34</v>
      </c>
      <c r="F1448" t="s">
        <v>35</v>
      </c>
      <c r="G1448" t="str">
        <f>"2025-09-30 09:05:54.668"</f>
        <v>2025-09-30 09:05:54.668</v>
      </c>
      <c r="H1448" t="s">
        <v>21</v>
      </c>
    </row>
    <row r="1449" spans="1:10" x14ac:dyDescent="0.25">
      <c r="A1449" s="1">
        <v>521</v>
      </c>
      <c r="B1449" t="s">
        <v>36</v>
      </c>
      <c r="C1449">
        <v>635</v>
      </c>
      <c r="D1449">
        <v>1</v>
      </c>
      <c r="E1449" t="s">
        <v>34</v>
      </c>
      <c r="F1449" t="s">
        <v>35</v>
      </c>
      <c r="G1449" t="str">
        <f>"2025-09-30 08:53:42.168"</f>
        <v>2025-09-30 08:53:42.168</v>
      </c>
      <c r="H1449" t="s">
        <v>21</v>
      </c>
      <c r="I1449">
        <v>1.42</v>
      </c>
      <c r="J1449" t="s">
        <v>37</v>
      </c>
    </row>
    <row r="1450" spans="1:10" x14ac:dyDescent="0.25">
      <c r="A1450" s="1">
        <v>522</v>
      </c>
      <c r="B1450" t="s">
        <v>22</v>
      </c>
      <c r="C1450">
        <v>98</v>
      </c>
      <c r="D1450">
        <v>1</v>
      </c>
      <c r="E1450" t="s">
        <v>99</v>
      </c>
      <c r="F1450" t="s">
        <v>100</v>
      </c>
      <c r="G1450" t="str">
        <f>"2025-09-29 10:57:45.708"</f>
        <v>2025-09-29 10:57:45.708</v>
      </c>
      <c r="H1450" t="s">
        <v>21</v>
      </c>
    </row>
    <row r="1451" spans="1:10" x14ac:dyDescent="0.25">
      <c r="A1451" s="1">
        <v>523</v>
      </c>
      <c r="B1451" t="s">
        <v>36</v>
      </c>
      <c r="C1451">
        <v>98</v>
      </c>
      <c r="D1451">
        <v>1</v>
      </c>
      <c r="E1451" t="s">
        <v>99</v>
      </c>
      <c r="F1451" t="s">
        <v>100</v>
      </c>
      <c r="G1451" t="str">
        <f>"2025-09-29 10:57:44.709"</f>
        <v>2025-09-29 10:57:44.709</v>
      </c>
      <c r="H1451" t="s">
        <v>21</v>
      </c>
      <c r="I1451">
        <v>0</v>
      </c>
      <c r="J1451" t="s">
        <v>28</v>
      </c>
    </row>
    <row r="1452" spans="1:10" x14ac:dyDescent="0.25">
      <c r="A1452" s="1">
        <v>524</v>
      </c>
      <c r="B1452" t="s">
        <v>19</v>
      </c>
      <c r="C1452">
        <v>706</v>
      </c>
      <c r="D1452">
        <v>4</v>
      </c>
      <c r="E1452" t="s">
        <v>29</v>
      </c>
      <c r="F1452" t="s">
        <v>53</v>
      </c>
      <c r="G1452" t="str">
        <f>"2025-09-29 10:55:48.009"</f>
        <v>2025-09-29 10:55:48.009</v>
      </c>
      <c r="H1452" t="s">
        <v>21</v>
      </c>
      <c r="I1452">
        <v>0</v>
      </c>
      <c r="J1452" t="s">
        <v>31</v>
      </c>
    </row>
    <row r="1453" spans="1:10" x14ac:dyDescent="0.25">
      <c r="A1453" s="1">
        <v>525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"2025-09-29 10:24:44.339"</f>
        <v>2025-09-29 10:24:44.339</v>
      </c>
      <c r="H1453" t="s">
        <v>21</v>
      </c>
    </row>
    <row r="1454" spans="1:10" x14ac:dyDescent="0.25">
      <c r="A1454" s="1">
        <v>527</v>
      </c>
      <c r="B1454" t="s">
        <v>19</v>
      </c>
      <c r="C1454">
        <v>706</v>
      </c>
      <c r="D1454">
        <v>2</v>
      </c>
      <c r="E1454" t="s">
        <v>29</v>
      </c>
      <c r="F1454" t="s">
        <v>30</v>
      </c>
      <c r="G1454" t="str">
        <f>"2025-09-28 11:52:30.752"</f>
        <v>2025-09-28 11:52:30.752</v>
      </c>
      <c r="H1454" t="s">
        <v>21</v>
      </c>
      <c r="I1454">
        <v>0</v>
      </c>
      <c r="J1454" t="s">
        <v>31</v>
      </c>
    </row>
    <row r="1455" spans="1:10" x14ac:dyDescent="0.25">
      <c r="A1455" s="1">
        <v>528</v>
      </c>
      <c r="B1455" t="s">
        <v>19</v>
      </c>
      <c r="C1455">
        <v>700</v>
      </c>
      <c r="D1455">
        <v>0</v>
      </c>
      <c r="E1455" t="s">
        <v>20</v>
      </c>
      <c r="F1455" t="s">
        <v>20</v>
      </c>
      <c r="G1455" t="str">
        <f>"2025-09-28 11:51:53.422"</f>
        <v>2025-09-28 11:51:53.422</v>
      </c>
      <c r="H1455" t="s">
        <v>21</v>
      </c>
    </row>
    <row r="1456" spans="1:10" x14ac:dyDescent="0.25">
      <c r="A1456" s="1">
        <v>531</v>
      </c>
      <c r="B1456" t="s">
        <v>19</v>
      </c>
      <c r="C1456">
        <v>782</v>
      </c>
      <c r="D1456">
        <v>7</v>
      </c>
      <c r="E1456" t="s">
        <v>62</v>
      </c>
      <c r="F1456" t="s">
        <v>63</v>
      </c>
      <c r="G1456" t="str">
        <f>"2025-09-28 10:46:38.691"</f>
        <v>2025-09-28 10:46:38.691</v>
      </c>
      <c r="H1456" t="s">
        <v>21</v>
      </c>
      <c r="I1456">
        <v>0</v>
      </c>
      <c r="J1456" t="s">
        <v>31</v>
      </c>
    </row>
    <row r="1457" spans="1:10" x14ac:dyDescent="0.25">
      <c r="A1457" s="1">
        <v>534</v>
      </c>
      <c r="B1457" t="s">
        <v>22</v>
      </c>
      <c r="C1457">
        <v>250</v>
      </c>
      <c r="D1457">
        <v>7</v>
      </c>
      <c r="E1457" t="s">
        <v>104</v>
      </c>
      <c r="F1457" t="s">
        <v>105</v>
      </c>
      <c r="G1457" t="str">
        <f>"2025-09-28 10:46:38.682"</f>
        <v>2025-09-28 10:46:38.682</v>
      </c>
      <c r="H1457" t="s">
        <v>21</v>
      </c>
    </row>
    <row r="1458" spans="1:10" x14ac:dyDescent="0.25">
      <c r="A1458" s="1">
        <v>535</v>
      </c>
      <c r="B1458" t="s">
        <v>22</v>
      </c>
      <c r="C1458">
        <v>248</v>
      </c>
      <c r="D1458">
        <v>7</v>
      </c>
      <c r="E1458" t="s">
        <v>106</v>
      </c>
      <c r="F1458" t="s">
        <v>107</v>
      </c>
      <c r="G1458" t="str">
        <f>"2025-09-28 10:46:38.679"</f>
        <v>2025-09-28 10:46:38.679</v>
      </c>
      <c r="H1458" t="s">
        <v>21</v>
      </c>
    </row>
    <row r="1459" spans="1:10" x14ac:dyDescent="0.25">
      <c r="A1459" s="1">
        <v>536</v>
      </c>
      <c r="B1459" t="s">
        <v>22</v>
      </c>
      <c r="C1459">
        <v>207</v>
      </c>
      <c r="D1459">
        <v>2</v>
      </c>
      <c r="E1459" t="s">
        <v>108</v>
      </c>
      <c r="F1459" t="s">
        <v>109</v>
      </c>
      <c r="G1459" t="str">
        <f>"2025-09-28 10:46:38.676"</f>
        <v>2025-09-28 10:46:38.676</v>
      </c>
      <c r="H1459" t="s">
        <v>49</v>
      </c>
    </row>
    <row r="1460" spans="1:10" x14ac:dyDescent="0.25">
      <c r="A1460" s="1">
        <v>537</v>
      </c>
      <c r="B1460" t="s">
        <v>22</v>
      </c>
      <c r="C1460">
        <v>150</v>
      </c>
      <c r="D1460">
        <v>7</v>
      </c>
      <c r="E1460" t="s">
        <v>110</v>
      </c>
      <c r="F1460" t="s">
        <v>105</v>
      </c>
      <c r="G1460" t="str">
        <f>"2025-09-28 10:46:38.671"</f>
        <v>2025-09-28 10:46:38.671</v>
      </c>
      <c r="H1460" t="s">
        <v>21</v>
      </c>
    </row>
    <row r="1461" spans="1:10" x14ac:dyDescent="0.25">
      <c r="A1461" s="1">
        <v>538</v>
      </c>
      <c r="B1461" t="s">
        <v>22</v>
      </c>
      <c r="C1461">
        <v>107</v>
      </c>
      <c r="D1461">
        <v>2</v>
      </c>
      <c r="E1461" t="s">
        <v>111</v>
      </c>
      <c r="F1461" t="s">
        <v>109</v>
      </c>
      <c r="G1461" t="str">
        <f>"2025-09-28 10:46:38.668"</f>
        <v>2025-09-28 10:46:38.668</v>
      </c>
      <c r="H1461" t="s">
        <v>52</v>
      </c>
    </row>
    <row r="1462" spans="1:10" x14ac:dyDescent="0.25">
      <c r="A1462" s="1">
        <v>539</v>
      </c>
      <c r="B1462" t="s">
        <v>19</v>
      </c>
      <c r="C1462">
        <v>782</v>
      </c>
      <c r="D1462">
        <v>7</v>
      </c>
      <c r="E1462" t="s">
        <v>62</v>
      </c>
      <c r="F1462" t="s">
        <v>63</v>
      </c>
      <c r="G1462" t="str">
        <f>"2025-09-28 10:46:38.666"</f>
        <v>2025-09-28 10:46:38.666</v>
      </c>
      <c r="H1462" t="s">
        <v>21</v>
      </c>
      <c r="I1462">
        <v>0</v>
      </c>
      <c r="J1462" t="s">
        <v>31</v>
      </c>
    </row>
    <row r="1463" spans="1:10" x14ac:dyDescent="0.25">
      <c r="A1463" s="1">
        <v>540</v>
      </c>
      <c r="B1463" t="s">
        <v>36</v>
      </c>
      <c r="C1463">
        <v>248</v>
      </c>
      <c r="D1463">
        <v>7</v>
      </c>
      <c r="E1463" t="s">
        <v>106</v>
      </c>
      <c r="F1463" t="s">
        <v>107</v>
      </c>
      <c r="G1463" t="str">
        <f>"2025-09-28 10:46:16.873"</f>
        <v>2025-09-28 10:46:16.873</v>
      </c>
      <c r="H1463" t="s">
        <v>21</v>
      </c>
      <c r="I1463">
        <v>0</v>
      </c>
      <c r="J1463" t="s">
        <v>31</v>
      </c>
    </row>
    <row r="1464" spans="1:10" x14ac:dyDescent="0.25">
      <c r="A1464" s="1">
        <v>541</v>
      </c>
      <c r="B1464" t="s">
        <v>36</v>
      </c>
      <c r="C1464">
        <v>250</v>
      </c>
      <c r="D1464">
        <v>7</v>
      </c>
      <c r="E1464" t="s">
        <v>104</v>
      </c>
      <c r="F1464" t="s">
        <v>105</v>
      </c>
      <c r="G1464" t="str">
        <f>"2025-09-28 10:46:16.173"</f>
        <v>2025-09-28 10:46:16.173</v>
      </c>
      <c r="H1464" t="s">
        <v>21</v>
      </c>
      <c r="I1464">
        <v>0</v>
      </c>
      <c r="J1464" t="s">
        <v>31</v>
      </c>
    </row>
    <row r="1465" spans="1:10" x14ac:dyDescent="0.25">
      <c r="A1465" s="1">
        <v>542</v>
      </c>
      <c r="B1465" t="s">
        <v>40</v>
      </c>
      <c r="C1465">
        <v>250</v>
      </c>
      <c r="D1465">
        <v>7</v>
      </c>
      <c r="E1465" t="s">
        <v>104</v>
      </c>
      <c r="F1465" t="s">
        <v>105</v>
      </c>
      <c r="G1465" t="str">
        <f>"2025-09-28 10:46:16.094"</f>
        <v>2025-09-28 10:46:16.094</v>
      </c>
      <c r="H1465" t="s">
        <v>21</v>
      </c>
    </row>
    <row r="1466" spans="1:10" x14ac:dyDescent="0.25">
      <c r="A1466" s="1">
        <v>543</v>
      </c>
      <c r="B1466" t="s">
        <v>40</v>
      </c>
      <c r="C1466">
        <v>248</v>
      </c>
      <c r="D1466">
        <v>7</v>
      </c>
      <c r="E1466" t="s">
        <v>106</v>
      </c>
      <c r="F1466" t="s">
        <v>107</v>
      </c>
      <c r="G1466" t="str">
        <f>"2025-09-28 10:46:15.994"</f>
        <v>2025-09-28 10:46:15.994</v>
      </c>
      <c r="H1466" t="s">
        <v>21</v>
      </c>
    </row>
    <row r="1467" spans="1:10" x14ac:dyDescent="0.25">
      <c r="A1467" s="1">
        <v>544</v>
      </c>
      <c r="B1467" t="s">
        <v>36</v>
      </c>
      <c r="C1467">
        <v>150</v>
      </c>
      <c r="D1467">
        <v>7</v>
      </c>
      <c r="E1467" t="s">
        <v>110</v>
      </c>
      <c r="F1467" t="s">
        <v>105</v>
      </c>
      <c r="G1467" t="str">
        <f>"2025-09-28 10:46:14.473"</f>
        <v>2025-09-28 10:46:14.473</v>
      </c>
      <c r="H1467" t="s">
        <v>21</v>
      </c>
      <c r="I1467">
        <v>0</v>
      </c>
      <c r="J1467" t="s">
        <v>31</v>
      </c>
    </row>
    <row r="1468" spans="1:10" x14ac:dyDescent="0.25">
      <c r="A1468" s="1">
        <v>545</v>
      </c>
      <c r="B1468" t="s">
        <v>40</v>
      </c>
      <c r="C1468">
        <v>150</v>
      </c>
      <c r="D1468">
        <v>7</v>
      </c>
      <c r="E1468" t="s">
        <v>110</v>
      </c>
      <c r="F1468" t="s">
        <v>105</v>
      </c>
      <c r="G1468" t="str">
        <f>"2025-09-28 10:46:14.394"</f>
        <v>2025-09-28 10:46:14.394</v>
      </c>
      <c r="H1468" t="s">
        <v>21</v>
      </c>
    </row>
    <row r="1469" spans="1:10" x14ac:dyDescent="0.25">
      <c r="A1469" s="1">
        <v>546</v>
      </c>
      <c r="B1469" t="s">
        <v>40</v>
      </c>
      <c r="C1469">
        <v>148</v>
      </c>
      <c r="D1469">
        <v>7</v>
      </c>
      <c r="E1469" t="s">
        <v>112</v>
      </c>
      <c r="F1469" t="s">
        <v>107</v>
      </c>
      <c r="G1469" t="str">
        <f>"2025-09-28 10:46:14.294"</f>
        <v>2025-09-28 10:46:14.294</v>
      </c>
      <c r="H1469" t="s">
        <v>21</v>
      </c>
    </row>
    <row r="1470" spans="1:10" x14ac:dyDescent="0.25">
      <c r="A1470" s="1">
        <v>547</v>
      </c>
      <c r="B1470" t="s">
        <v>26</v>
      </c>
      <c r="C1470">
        <v>250</v>
      </c>
      <c r="D1470">
        <v>7</v>
      </c>
      <c r="E1470" t="s">
        <v>104</v>
      </c>
      <c r="F1470" t="s">
        <v>105</v>
      </c>
      <c r="G1470" t="str">
        <f>"2025-09-28 10:46:10.518"</f>
        <v>2025-09-28 10:46:10.518</v>
      </c>
      <c r="H1470" t="s">
        <v>21</v>
      </c>
      <c r="I1470">
        <v>0</v>
      </c>
      <c r="J1470" t="s">
        <v>31</v>
      </c>
    </row>
    <row r="1471" spans="1:10" x14ac:dyDescent="0.25">
      <c r="A1471" s="1">
        <v>548</v>
      </c>
      <c r="B1471" t="s">
        <v>26</v>
      </c>
      <c r="C1471">
        <v>248</v>
      </c>
      <c r="D1471">
        <v>7</v>
      </c>
      <c r="E1471" t="s">
        <v>106</v>
      </c>
      <c r="F1471" t="s">
        <v>107</v>
      </c>
      <c r="G1471" t="str">
        <f>"2025-09-28 10:46:10.513"</f>
        <v>2025-09-28 10:46:10.513</v>
      </c>
      <c r="H1471" t="s">
        <v>21</v>
      </c>
      <c r="I1471">
        <v>0</v>
      </c>
      <c r="J1471" t="s">
        <v>31</v>
      </c>
    </row>
    <row r="1472" spans="1:10" x14ac:dyDescent="0.25">
      <c r="A1472" s="1">
        <v>549</v>
      </c>
      <c r="B1472" t="s">
        <v>26</v>
      </c>
      <c r="C1472">
        <v>150</v>
      </c>
      <c r="D1472">
        <v>7</v>
      </c>
      <c r="E1472" t="s">
        <v>110</v>
      </c>
      <c r="F1472" t="s">
        <v>105</v>
      </c>
      <c r="G1472" t="str">
        <f>"2025-09-28 10:46:09.202"</f>
        <v>2025-09-28 10:46:09.202</v>
      </c>
      <c r="H1472" t="s">
        <v>21</v>
      </c>
      <c r="I1472">
        <v>0</v>
      </c>
      <c r="J1472" t="s">
        <v>31</v>
      </c>
    </row>
    <row r="1473" spans="1:10" x14ac:dyDescent="0.25">
      <c r="A1473" s="1">
        <v>550</v>
      </c>
      <c r="B1473" t="s">
        <v>26</v>
      </c>
      <c r="C1473">
        <v>148</v>
      </c>
      <c r="D1473">
        <v>7</v>
      </c>
      <c r="E1473" t="s">
        <v>112</v>
      </c>
      <c r="F1473" t="s">
        <v>107</v>
      </c>
      <c r="G1473" t="str">
        <f>"2025-09-28 10:46:09.198"</f>
        <v>2025-09-28 10:46:09.198</v>
      </c>
      <c r="H1473" t="s">
        <v>21</v>
      </c>
      <c r="I1473">
        <v>0</v>
      </c>
      <c r="J1473" t="s">
        <v>31</v>
      </c>
    </row>
    <row r="1474" spans="1:10" x14ac:dyDescent="0.25">
      <c r="A1474" s="1">
        <v>551</v>
      </c>
      <c r="B1474" t="s">
        <v>36</v>
      </c>
      <c r="C1474">
        <v>107</v>
      </c>
      <c r="D1474">
        <v>2</v>
      </c>
      <c r="E1474" t="s">
        <v>111</v>
      </c>
      <c r="F1474" t="s">
        <v>109</v>
      </c>
      <c r="G1474" t="str">
        <f>"2025-09-28 10:46:09.193"</f>
        <v>2025-09-28 10:46:09.193</v>
      </c>
      <c r="H1474" t="s">
        <v>52</v>
      </c>
      <c r="I1474">
        <v>0</v>
      </c>
      <c r="J1474" t="s">
        <v>31</v>
      </c>
    </row>
    <row r="1475" spans="1:10" x14ac:dyDescent="0.25">
      <c r="A1475" s="1">
        <v>552</v>
      </c>
      <c r="B1475" t="s">
        <v>36</v>
      </c>
      <c r="C1475">
        <v>207</v>
      </c>
      <c r="D1475">
        <v>2</v>
      </c>
      <c r="E1475" t="s">
        <v>108</v>
      </c>
      <c r="F1475" t="s">
        <v>109</v>
      </c>
      <c r="G1475" t="str">
        <f>"2025-09-28 10:46:09.134"</f>
        <v>2025-09-28 10:46:09.134</v>
      </c>
      <c r="H1475" t="s">
        <v>49</v>
      </c>
      <c r="I1475">
        <v>0</v>
      </c>
      <c r="J1475" t="s">
        <v>31</v>
      </c>
    </row>
    <row r="1476" spans="1:10" x14ac:dyDescent="0.25">
      <c r="A1476" s="1">
        <v>553</v>
      </c>
      <c r="B1476" t="s">
        <v>19</v>
      </c>
      <c r="C1476">
        <v>700</v>
      </c>
      <c r="D1476">
        <v>0</v>
      </c>
      <c r="E1476" t="s">
        <v>20</v>
      </c>
      <c r="F1476" t="s">
        <v>20</v>
      </c>
      <c r="G1476" t="str">
        <f>"2025-09-28 10:46:00.377"</f>
        <v>2025-09-28 10:46:00.377</v>
      </c>
      <c r="H1476" t="s">
        <v>21</v>
      </c>
    </row>
    <row r="1477" spans="1:10" x14ac:dyDescent="0.25">
      <c r="A1477" s="1">
        <v>554</v>
      </c>
      <c r="B1477" t="s">
        <v>22</v>
      </c>
      <c r="C1477">
        <v>635</v>
      </c>
      <c r="D1477">
        <v>1</v>
      </c>
      <c r="E1477" t="s">
        <v>34</v>
      </c>
      <c r="F1477" t="s">
        <v>35</v>
      </c>
      <c r="G1477" t="str">
        <f>"2025-09-28 03:16:30.387"</f>
        <v>2025-09-28 03:16:30.387</v>
      </c>
      <c r="H1477" t="s">
        <v>21</v>
      </c>
    </row>
    <row r="1478" spans="1:10" x14ac:dyDescent="0.25">
      <c r="A1478" s="1">
        <v>555</v>
      </c>
      <c r="B1478" t="s">
        <v>36</v>
      </c>
      <c r="C1478">
        <v>635</v>
      </c>
      <c r="D1478">
        <v>1</v>
      </c>
      <c r="E1478" t="s">
        <v>34</v>
      </c>
      <c r="F1478" t="s">
        <v>35</v>
      </c>
      <c r="G1478" t="str">
        <f>"2025-09-28 03:14:39.387"</f>
        <v>2025-09-28 03:14:39.387</v>
      </c>
      <c r="H1478" t="s">
        <v>21</v>
      </c>
      <c r="I1478">
        <v>6.02</v>
      </c>
      <c r="J1478" t="s">
        <v>28</v>
      </c>
    </row>
    <row r="1479" spans="1:10" x14ac:dyDescent="0.25">
      <c r="A1479" s="1">
        <v>557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"2025-09-26 01:43:45.359"</f>
        <v>2025-09-26 01:43:45.359</v>
      </c>
      <c r="H1479" t="s">
        <v>21</v>
      </c>
      <c r="I1479">
        <v>0</v>
      </c>
      <c r="J1479" t="s">
        <v>33</v>
      </c>
    </row>
    <row r="1480" spans="1:10" x14ac:dyDescent="0.25">
      <c r="A1480" s="1">
        <v>558</v>
      </c>
      <c r="B1480" t="s">
        <v>22</v>
      </c>
      <c r="C1480">
        <v>635</v>
      </c>
      <c r="D1480">
        <v>1</v>
      </c>
      <c r="E1480" t="s">
        <v>34</v>
      </c>
      <c r="F1480" t="s">
        <v>35</v>
      </c>
      <c r="G1480" t="str">
        <f>"2025-09-25 18:51:41.894"</f>
        <v>2025-09-25 18:51:41.894</v>
      </c>
      <c r="H1480" t="s">
        <v>21</v>
      </c>
    </row>
    <row r="1481" spans="1:10" x14ac:dyDescent="0.25">
      <c r="A1481" s="1">
        <v>559</v>
      </c>
      <c r="B1481" t="s">
        <v>36</v>
      </c>
      <c r="C1481">
        <v>635</v>
      </c>
      <c r="D1481">
        <v>1</v>
      </c>
      <c r="E1481" t="s">
        <v>34</v>
      </c>
      <c r="F1481" t="s">
        <v>35</v>
      </c>
      <c r="G1481" t="str">
        <f>"2025-09-25 18:47:01.894"</f>
        <v>2025-09-25 18:47:01.894</v>
      </c>
      <c r="H1481" t="s">
        <v>21</v>
      </c>
      <c r="I1481">
        <v>1.6</v>
      </c>
      <c r="J1481" t="s">
        <v>28</v>
      </c>
    </row>
    <row r="1482" spans="1:10" x14ac:dyDescent="0.25">
      <c r="A1482" s="1">
        <v>560</v>
      </c>
      <c r="B1482" t="s">
        <v>19</v>
      </c>
      <c r="C1482">
        <v>706</v>
      </c>
      <c r="D1482">
        <v>4</v>
      </c>
      <c r="E1482" t="s">
        <v>29</v>
      </c>
      <c r="F1482" t="s">
        <v>53</v>
      </c>
      <c r="G1482" t="str">
        <f>"2025-09-25 08:06:33.623"</f>
        <v>2025-09-25 08:06:33.623</v>
      </c>
      <c r="H1482" t="s">
        <v>21</v>
      </c>
      <c r="I1482">
        <v>0</v>
      </c>
      <c r="J1482" t="s">
        <v>31</v>
      </c>
    </row>
    <row r="1483" spans="1:10" x14ac:dyDescent="0.25">
      <c r="A1483" s="1">
        <v>561</v>
      </c>
      <c r="B1483" t="s">
        <v>22</v>
      </c>
      <c r="C1483">
        <v>635</v>
      </c>
      <c r="D1483">
        <v>1</v>
      </c>
      <c r="E1483" t="s">
        <v>34</v>
      </c>
      <c r="F1483" t="s">
        <v>35</v>
      </c>
      <c r="G1483" t="str">
        <f>"2025-09-23 19:00:23.694"</f>
        <v>2025-09-23 19:00:23.694</v>
      </c>
      <c r="H1483" t="s">
        <v>21</v>
      </c>
    </row>
    <row r="1484" spans="1:10" x14ac:dyDescent="0.25">
      <c r="A1484" s="1">
        <v>562</v>
      </c>
      <c r="B1484" t="s">
        <v>36</v>
      </c>
      <c r="C1484">
        <v>635</v>
      </c>
      <c r="D1484">
        <v>1</v>
      </c>
      <c r="E1484" t="s">
        <v>34</v>
      </c>
      <c r="F1484" t="s">
        <v>35</v>
      </c>
      <c r="G1484" t="str">
        <f>"2025-09-23 18:56:00.194"</f>
        <v>2025-09-23 18:56:00.194</v>
      </c>
      <c r="H1484" t="s">
        <v>21</v>
      </c>
      <c r="I1484">
        <v>1.45</v>
      </c>
      <c r="J1484" t="s">
        <v>37</v>
      </c>
    </row>
    <row r="1485" spans="1:10" x14ac:dyDescent="0.25">
      <c r="A1485" s="1">
        <v>563</v>
      </c>
      <c r="B1485" t="s">
        <v>22</v>
      </c>
      <c r="C1485">
        <v>635</v>
      </c>
      <c r="D1485">
        <v>1</v>
      </c>
      <c r="E1485" t="s">
        <v>34</v>
      </c>
      <c r="F1485" t="s">
        <v>35</v>
      </c>
      <c r="G1485" t="str">
        <f>"2025-09-23 18:26:45.294"</f>
        <v>2025-09-23 18:26:45.294</v>
      </c>
      <c r="H1485" t="s">
        <v>21</v>
      </c>
    </row>
    <row r="1486" spans="1:10" x14ac:dyDescent="0.25">
      <c r="A1486" s="1">
        <v>564</v>
      </c>
      <c r="B1486" t="s">
        <v>36</v>
      </c>
      <c r="C1486">
        <v>635</v>
      </c>
      <c r="D1486">
        <v>1</v>
      </c>
      <c r="E1486" t="s">
        <v>34</v>
      </c>
      <c r="F1486" t="s">
        <v>35</v>
      </c>
      <c r="G1486" t="str">
        <f>"2025-09-23 18:01:24.794"</f>
        <v>2025-09-23 18:01:24.794</v>
      </c>
      <c r="H1486" t="s">
        <v>21</v>
      </c>
      <c r="I1486">
        <v>4.2699999999999996</v>
      </c>
      <c r="J1486" t="s">
        <v>37</v>
      </c>
    </row>
    <row r="1487" spans="1:10" x14ac:dyDescent="0.25">
      <c r="A1487" s="1">
        <v>565</v>
      </c>
      <c r="B1487" t="s">
        <v>40</v>
      </c>
      <c r="C1487">
        <v>215</v>
      </c>
      <c r="D1487">
        <v>6</v>
      </c>
      <c r="E1487" t="s">
        <v>41</v>
      </c>
      <c r="F1487" t="s">
        <v>42</v>
      </c>
      <c r="G1487" t="str">
        <f>"2025-09-21 20:08:17.628"</f>
        <v>2025-09-21 20:08:17.628</v>
      </c>
      <c r="H1487" t="s">
        <v>21</v>
      </c>
    </row>
    <row r="1488" spans="1:10" x14ac:dyDescent="0.25">
      <c r="A1488" s="1">
        <v>566</v>
      </c>
      <c r="B1488" t="s">
        <v>40</v>
      </c>
      <c r="C1488">
        <v>115</v>
      </c>
      <c r="D1488">
        <v>6</v>
      </c>
      <c r="E1488" t="s">
        <v>43</v>
      </c>
      <c r="F1488" t="s">
        <v>42</v>
      </c>
      <c r="G1488" t="str">
        <f>"2025-09-21 20:08:17.527"</f>
        <v>2025-09-21 20:08:17.527</v>
      </c>
      <c r="H1488" t="s">
        <v>21</v>
      </c>
    </row>
    <row r="1489" spans="1:10" x14ac:dyDescent="0.25">
      <c r="A1489" s="1">
        <v>567</v>
      </c>
      <c r="B1489" t="s">
        <v>26</v>
      </c>
      <c r="C1489">
        <v>215</v>
      </c>
      <c r="D1489">
        <v>6</v>
      </c>
      <c r="E1489" t="s">
        <v>41</v>
      </c>
      <c r="F1489" t="s">
        <v>42</v>
      </c>
      <c r="G1489" t="str">
        <f>"2025-09-21 20:08:12.521"</f>
        <v>2025-09-21 20:08:12.521</v>
      </c>
      <c r="H1489" t="s">
        <v>21</v>
      </c>
      <c r="I1489">
        <v>0</v>
      </c>
      <c r="J1489" t="s">
        <v>31</v>
      </c>
    </row>
    <row r="1490" spans="1:10" x14ac:dyDescent="0.25">
      <c r="A1490" s="1">
        <v>568</v>
      </c>
      <c r="B1490" t="s">
        <v>26</v>
      </c>
      <c r="C1490">
        <v>115</v>
      </c>
      <c r="D1490">
        <v>6</v>
      </c>
      <c r="E1490" t="s">
        <v>43</v>
      </c>
      <c r="F1490" t="s">
        <v>42</v>
      </c>
      <c r="G1490" t="str">
        <f>"2025-09-21 20:08:12.517"</f>
        <v>2025-09-21 20:08:12.517</v>
      </c>
      <c r="H1490" t="s">
        <v>21</v>
      </c>
      <c r="I1490">
        <v>0</v>
      </c>
      <c r="J1490" t="s">
        <v>31</v>
      </c>
    </row>
    <row r="1491" spans="1:10" x14ac:dyDescent="0.25">
      <c r="A1491" s="1">
        <v>569</v>
      </c>
      <c r="B1491" t="s">
        <v>22</v>
      </c>
      <c r="C1491">
        <v>6</v>
      </c>
      <c r="D1491">
        <v>1</v>
      </c>
      <c r="E1491" t="s">
        <v>44</v>
      </c>
      <c r="F1491" t="s">
        <v>45</v>
      </c>
      <c r="G1491" t="str">
        <f>"2025-09-21 20:08:12.380"</f>
        <v>2025-09-21 20:08:12.380</v>
      </c>
      <c r="H1491" t="s">
        <v>46</v>
      </c>
    </row>
    <row r="1492" spans="1:10" x14ac:dyDescent="0.25">
      <c r="A1492" s="1">
        <v>570</v>
      </c>
      <c r="B1492" t="s">
        <v>22</v>
      </c>
      <c r="C1492">
        <v>75</v>
      </c>
      <c r="D1492">
        <v>1</v>
      </c>
      <c r="E1492" t="s">
        <v>47</v>
      </c>
      <c r="F1492" t="s">
        <v>48</v>
      </c>
      <c r="G1492" t="str">
        <f>"2025-09-21 20:08:12.376"</f>
        <v>2025-09-21 20:08:12.376</v>
      </c>
      <c r="H1492" t="s">
        <v>49</v>
      </c>
    </row>
    <row r="1493" spans="1:10" x14ac:dyDescent="0.25">
      <c r="A1493" s="1">
        <v>571</v>
      </c>
      <c r="B1493" t="s">
        <v>22</v>
      </c>
      <c r="C1493">
        <v>74</v>
      </c>
      <c r="D1493">
        <v>1</v>
      </c>
      <c r="E1493" t="s">
        <v>50</v>
      </c>
      <c r="F1493" t="s">
        <v>51</v>
      </c>
      <c r="G1493" t="str">
        <f>"2025-09-21 20:08:12.374"</f>
        <v>2025-09-21 20:08:12.374</v>
      </c>
      <c r="H1493" t="s">
        <v>52</v>
      </c>
    </row>
    <row r="1494" spans="1:10" x14ac:dyDescent="0.25">
      <c r="A1494" s="1">
        <v>572</v>
      </c>
      <c r="B1494" t="s">
        <v>36</v>
      </c>
      <c r="C1494">
        <v>75</v>
      </c>
      <c r="D1494">
        <v>1</v>
      </c>
      <c r="E1494" t="s">
        <v>47</v>
      </c>
      <c r="F1494" t="s">
        <v>48</v>
      </c>
      <c r="G1494" t="str">
        <f>"2025-09-21 20:08:00.885"</f>
        <v>2025-09-21 20:08:00.885</v>
      </c>
      <c r="H1494" t="s">
        <v>49</v>
      </c>
      <c r="I1494">
        <v>0</v>
      </c>
      <c r="J1494" t="s">
        <v>31</v>
      </c>
    </row>
    <row r="1495" spans="1:10" x14ac:dyDescent="0.25">
      <c r="A1495" s="1">
        <v>573</v>
      </c>
      <c r="B1495" t="s">
        <v>36</v>
      </c>
      <c r="C1495">
        <v>74</v>
      </c>
      <c r="D1495">
        <v>1</v>
      </c>
      <c r="E1495" t="s">
        <v>50</v>
      </c>
      <c r="F1495" t="s">
        <v>51</v>
      </c>
      <c r="G1495" t="str">
        <f>"2025-09-21 20:08:00.880"</f>
        <v>2025-09-21 20:08:00.880</v>
      </c>
      <c r="H1495" t="s">
        <v>52</v>
      </c>
      <c r="I1495">
        <v>0</v>
      </c>
      <c r="J1495" t="s">
        <v>31</v>
      </c>
    </row>
    <row r="1496" spans="1:10" x14ac:dyDescent="0.25">
      <c r="A1496" s="1">
        <v>574</v>
      </c>
      <c r="B1496" t="s">
        <v>26</v>
      </c>
      <c r="C1496">
        <v>6</v>
      </c>
      <c r="D1496">
        <v>1</v>
      </c>
      <c r="E1496" t="s">
        <v>44</v>
      </c>
      <c r="F1496" t="s">
        <v>45</v>
      </c>
      <c r="G1496" t="str">
        <f>"2025-09-21 20:08:00.875"</f>
        <v>2025-09-21 20:08:00.875</v>
      </c>
      <c r="H1496" t="s">
        <v>46</v>
      </c>
      <c r="I1496">
        <v>0</v>
      </c>
      <c r="J1496" t="s">
        <v>31</v>
      </c>
    </row>
    <row r="1497" spans="1:10" x14ac:dyDescent="0.25">
      <c r="A1497" s="1">
        <v>579</v>
      </c>
      <c r="B1497" t="s">
        <v>40</v>
      </c>
      <c r="C1497">
        <v>215</v>
      </c>
      <c r="D1497">
        <v>6</v>
      </c>
      <c r="E1497" t="s">
        <v>41</v>
      </c>
      <c r="F1497" t="s">
        <v>42</v>
      </c>
      <c r="G1497" t="str">
        <f>"2025-09-21 00:22:09.324"</f>
        <v>2025-09-21 00:22:09.324</v>
      </c>
      <c r="H1497" t="s">
        <v>21</v>
      </c>
    </row>
    <row r="1498" spans="1:10" x14ac:dyDescent="0.25">
      <c r="A1498" s="1">
        <v>580</v>
      </c>
      <c r="B1498" t="s">
        <v>40</v>
      </c>
      <c r="C1498">
        <v>115</v>
      </c>
      <c r="D1498">
        <v>6</v>
      </c>
      <c r="E1498" t="s">
        <v>43</v>
      </c>
      <c r="F1498" t="s">
        <v>42</v>
      </c>
      <c r="G1498" t="str">
        <f>"2025-09-21 00:22:09.224"</f>
        <v>2025-09-21 00:22:09.224</v>
      </c>
      <c r="H1498" t="s">
        <v>21</v>
      </c>
    </row>
    <row r="1499" spans="1:10" x14ac:dyDescent="0.25">
      <c r="A1499" s="1">
        <v>581</v>
      </c>
      <c r="B1499" t="s">
        <v>26</v>
      </c>
      <c r="C1499">
        <v>215</v>
      </c>
      <c r="D1499">
        <v>6</v>
      </c>
      <c r="E1499" t="s">
        <v>41</v>
      </c>
      <c r="F1499" t="s">
        <v>42</v>
      </c>
      <c r="G1499" t="str">
        <f>"2025-09-21 00:22:04.195"</f>
        <v>2025-09-21 00:22:04.195</v>
      </c>
      <c r="H1499" t="s">
        <v>21</v>
      </c>
      <c r="I1499">
        <v>0</v>
      </c>
      <c r="J1499" t="s">
        <v>31</v>
      </c>
    </row>
    <row r="1500" spans="1:10" x14ac:dyDescent="0.25">
      <c r="A1500" s="1">
        <v>582</v>
      </c>
      <c r="B1500" t="s">
        <v>26</v>
      </c>
      <c r="C1500">
        <v>115</v>
      </c>
      <c r="D1500">
        <v>6</v>
      </c>
      <c r="E1500" t="s">
        <v>43</v>
      </c>
      <c r="F1500" t="s">
        <v>42</v>
      </c>
      <c r="G1500" t="str">
        <f>"2025-09-21 00:22:04.190"</f>
        <v>2025-09-21 00:22:04.190</v>
      </c>
      <c r="H1500" t="s">
        <v>21</v>
      </c>
      <c r="I1500">
        <v>0</v>
      </c>
      <c r="J1500" t="s">
        <v>31</v>
      </c>
    </row>
    <row r="1501" spans="1:10" x14ac:dyDescent="0.25">
      <c r="A1501" s="1">
        <v>583</v>
      </c>
      <c r="B1501" t="s">
        <v>22</v>
      </c>
      <c r="C1501">
        <v>6</v>
      </c>
      <c r="D1501">
        <v>1</v>
      </c>
      <c r="E1501" t="s">
        <v>44</v>
      </c>
      <c r="F1501" t="s">
        <v>45</v>
      </c>
      <c r="G1501" t="str">
        <f>"2025-09-21 00:22:04.069"</f>
        <v>2025-09-21 00:22:04.069</v>
      </c>
      <c r="H1501" t="s">
        <v>46</v>
      </c>
    </row>
    <row r="1502" spans="1:10" x14ac:dyDescent="0.25">
      <c r="A1502" s="1">
        <v>584</v>
      </c>
      <c r="B1502" t="s">
        <v>22</v>
      </c>
      <c r="C1502">
        <v>75</v>
      </c>
      <c r="D1502">
        <v>1</v>
      </c>
      <c r="E1502" t="s">
        <v>47</v>
      </c>
      <c r="F1502" t="s">
        <v>48</v>
      </c>
      <c r="G1502" t="str">
        <f>"2025-09-21 00:22:04.067"</f>
        <v>2025-09-21 00:22:04.067</v>
      </c>
      <c r="H1502" t="s">
        <v>49</v>
      </c>
    </row>
    <row r="1503" spans="1:10" x14ac:dyDescent="0.25">
      <c r="A1503" s="1">
        <v>585</v>
      </c>
      <c r="B1503" t="s">
        <v>22</v>
      </c>
      <c r="C1503">
        <v>74</v>
      </c>
      <c r="D1503">
        <v>1</v>
      </c>
      <c r="E1503" t="s">
        <v>50</v>
      </c>
      <c r="F1503" t="s">
        <v>51</v>
      </c>
      <c r="G1503" t="str">
        <f>"2025-09-21 00:22:04.064"</f>
        <v>2025-09-21 00:22:04.064</v>
      </c>
      <c r="H1503" t="s">
        <v>52</v>
      </c>
    </row>
    <row r="1504" spans="1:10" x14ac:dyDescent="0.25">
      <c r="A1504" s="1">
        <v>586</v>
      </c>
      <c r="B1504" t="s">
        <v>36</v>
      </c>
      <c r="C1504">
        <v>75</v>
      </c>
      <c r="D1504">
        <v>1</v>
      </c>
      <c r="E1504" t="s">
        <v>47</v>
      </c>
      <c r="F1504" t="s">
        <v>48</v>
      </c>
      <c r="G1504" t="str">
        <f>"2025-09-21 00:21:52.576"</f>
        <v>2025-09-21 00:21:52.576</v>
      </c>
      <c r="H1504" t="s">
        <v>49</v>
      </c>
      <c r="I1504">
        <v>0</v>
      </c>
      <c r="J1504" t="s">
        <v>31</v>
      </c>
    </row>
    <row r="1505" spans="1:10" x14ac:dyDescent="0.25">
      <c r="A1505" s="1">
        <v>587</v>
      </c>
      <c r="B1505" t="s">
        <v>36</v>
      </c>
      <c r="C1505">
        <v>74</v>
      </c>
      <c r="D1505">
        <v>1</v>
      </c>
      <c r="E1505" t="s">
        <v>50</v>
      </c>
      <c r="F1505" t="s">
        <v>51</v>
      </c>
      <c r="G1505" t="str">
        <f>"2025-09-21 00:21:52.571"</f>
        <v>2025-09-21 00:21:52.571</v>
      </c>
      <c r="H1505" t="s">
        <v>52</v>
      </c>
      <c r="I1505">
        <v>0</v>
      </c>
      <c r="J1505" t="s">
        <v>31</v>
      </c>
    </row>
    <row r="1506" spans="1:10" x14ac:dyDescent="0.25">
      <c r="A1506" s="1">
        <v>588</v>
      </c>
      <c r="B1506" t="s">
        <v>26</v>
      </c>
      <c r="C1506">
        <v>6</v>
      </c>
      <c r="D1506">
        <v>1</v>
      </c>
      <c r="E1506" t="s">
        <v>44</v>
      </c>
      <c r="F1506" t="s">
        <v>45</v>
      </c>
      <c r="G1506" t="str">
        <f>"2025-09-21 00:21:52.565"</f>
        <v>2025-09-21 00:21:52.565</v>
      </c>
      <c r="H1506" t="s">
        <v>46</v>
      </c>
      <c r="I1506">
        <v>0</v>
      </c>
      <c r="J1506" t="s">
        <v>31</v>
      </c>
    </row>
    <row r="1507" spans="1:10" x14ac:dyDescent="0.25">
      <c r="A1507" s="1">
        <v>592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"2025-09-20 12:50:48.343"</f>
        <v>2025-09-20 12:50:48.343</v>
      </c>
      <c r="H1507" t="s">
        <v>21</v>
      </c>
    </row>
    <row r="1508" spans="1:10" x14ac:dyDescent="0.25">
      <c r="A1508" s="1">
        <v>593</v>
      </c>
      <c r="B1508" t="s">
        <v>22</v>
      </c>
      <c r="C1508">
        <v>635</v>
      </c>
      <c r="D1508">
        <v>1</v>
      </c>
      <c r="E1508" t="s">
        <v>34</v>
      </c>
      <c r="F1508" t="s">
        <v>35</v>
      </c>
      <c r="G1508" t="str">
        <f>"2025-09-20 07:00:15.054"</f>
        <v>2025-09-20 07:00:15.054</v>
      </c>
      <c r="H1508" t="s">
        <v>21</v>
      </c>
    </row>
    <row r="1509" spans="1:10" x14ac:dyDescent="0.25">
      <c r="A1509" s="1">
        <v>594</v>
      </c>
      <c r="B1509" t="s">
        <v>36</v>
      </c>
      <c r="C1509">
        <v>635</v>
      </c>
      <c r="D1509">
        <v>1</v>
      </c>
      <c r="E1509" t="s">
        <v>34</v>
      </c>
      <c r="F1509" t="s">
        <v>35</v>
      </c>
      <c r="G1509" t="str">
        <f>"2025-09-20 06:55:39.054"</f>
        <v>2025-09-20 06:55:39.054</v>
      </c>
      <c r="H1509" t="s">
        <v>21</v>
      </c>
      <c r="I1509">
        <v>4.79</v>
      </c>
      <c r="J1509" t="s">
        <v>28</v>
      </c>
    </row>
    <row r="1510" spans="1:10" x14ac:dyDescent="0.25">
      <c r="A1510" s="1">
        <v>595</v>
      </c>
      <c r="B1510" t="s">
        <v>22</v>
      </c>
      <c r="C1510">
        <v>635</v>
      </c>
      <c r="D1510">
        <v>1</v>
      </c>
      <c r="E1510" t="s">
        <v>34</v>
      </c>
      <c r="F1510" t="s">
        <v>35</v>
      </c>
      <c r="G1510" t="str">
        <f>"2025-09-19 21:15:53.554"</f>
        <v>2025-09-19 21:15:53.554</v>
      </c>
      <c r="H1510" t="s">
        <v>21</v>
      </c>
    </row>
    <row r="1511" spans="1:10" x14ac:dyDescent="0.25">
      <c r="A1511" s="1">
        <v>596</v>
      </c>
      <c r="B1511" t="s">
        <v>36</v>
      </c>
      <c r="C1511">
        <v>635</v>
      </c>
      <c r="D1511">
        <v>1</v>
      </c>
      <c r="E1511" t="s">
        <v>34</v>
      </c>
      <c r="F1511" t="s">
        <v>35</v>
      </c>
      <c r="G1511" t="str">
        <f>"2025-09-19 21:12:14.554"</f>
        <v>2025-09-19 21:12:14.554</v>
      </c>
      <c r="H1511" t="s">
        <v>21</v>
      </c>
      <c r="I1511">
        <v>1.73</v>
      </c>
      <c r="J1511" t="s">
        <v>37</v>
      </c>
    </row>
    <row r="1512" spans="1:10" x14ac:dyDescent="0.25">
      <c r="A1512" s="1">
        <v>597</v>
      </c>
      <c r="B1512" t="s">
        <v>22</v>
      </c>
      <c r="C1512">
        <v>635</v>
      </c>
      <c r="D1512">
        <v>1</v>
      </c>
      <c r="E1512" t="s">
        <v>34</v>
      </c>
      <c r="F1512" t="s">
        <v>35</v>
      </c>
      <c r="G1512" t="str">
        <f>"2025-09-18 07:10:11.354"</f>
        <v>2025-09-18 07:10:11.354</v>
      </c>
      <c r="H1512" t="s">
        <v>21</v>
      </c>
    </row>
    <row r="1513" spans="1:10" x14ac:dyDescent="0.25">
      <c r="A1513" s="1">
        <v>598</v>
      </c>
      <c r="B1513" t="s">
        <v>36</v>
      </c>
      <c r="C1513">
        <v>635</v>
      </c>
      <c r="D1513">
        <v>1</v>
      </c>
      <c r="E1513" t="s">
        <v>34</v>
      </c>
      <c r="F1513" t="s">
        <v>35</v>
      </c>
      <c r="G1513" t="str">
        <f>"2025-09-18 07:00:58.354"</f>
        <v>2025-09-18 07:00:58.354</v>
      </c>
      <c r="H1513" t="s">
        <v>21</v>
      </c>
      <c r="I1513">
        <v>9.2899999999999991</v>
      </c>
      <c r="J1513" t="s">
        <v>37</v>
      </c>
    </row>
    <row r="1514" spans="1:10" x14ac:dyDescent="0.25">
      <c r="A1514" s="1">
        <v>599</v>
      </c>
      <c r="B1514" t="s">
        <v>22</v>
      </c>
      <c r="C1514">
        <v>635</v>
      </c>
      <c r="D1514">
        <v>1</v>
      </c>
      <c r="E1514" t="s">
        <v>34</v>
      </c>
      <c r="F1514" t="s">
        <v>35</v>
      </c>
      <c r="G1514" t="str">
        <f>"2025-09-17 22:49:53.154"</f>
        <v>2025-09-17 22:49:53.154</v>
      </c>
      <c r="H1514" t="s">
        <v>21</v>
      </c>
    </row>
    <row r="1515" spans="1:10" x14ac:dyDescent="0.25">
      <c r="A1515" s="1">
        <v>600</v>
      </c>
      <c r="B1515" t="s">
        <v>36</v>
      </c>
      <c r="C1515">
        <v>635</v>
      </c>
      <c r="D1515">
        <v>1</v>
      </c>
      <c r="E1515" t="s">
        <v>34</v>
      </c>
      <c r="F1515" t="s">
        <v>35</v>
      </c>
      <c r="G1515" t="str">
        <f>"2025-09-17 22:46:30.654"</f>
        <v>2025-09-17 22:46:30.654</v>
      </c>
      <c r="H1515" t="s">
        <v>21</v>
      </c>
      <c r="I1515">
        <v>1.72</v>
      </c>
      <c r="J1515" t="s">
        <v>37</v>
      </c>
    </row>
    <row r="1516" spans="1:10" x14ac:dyDescent="0.25">
      <c r="A1516" s="1">
        <v>601</v>
      </c>
      <c r="B1516" t="s">
        <v>22</v>
      </c>
      <c r="C1516">
        <v>635</v>
      </c>
      <c r="D1516">
        <v>1</v>
      </c>
      <c r="E1516" t="s">
        <v>34</v>
      </c>
      <c r="F1516" t="s">
        <v>35</v>
      </c>
      <c r="G1516" t="str">
        <f>"2025-09-17 22:23:38.254"</f>
        <v>2025-09-17 22:23:38.254</v>
      </c>
      <c r="H1516" t="s">
        <v>21</v>
      </c>
    </row>
    <row r="1517" spans="1:10" x14ac:dyDescent="0.25">
      <c r="A1517" s="1">
        <v>602</v>
      </c>
      <c r="B1517" t="s">
        <v>36</v>
      </c>
      <c r="C1517">
        <v>635</v>
      </c>
      <c r="D1517">
        <v>1</v>
      </c>
      <c r="E1517" t="s">
        <v>34</v>
      </c>
      <c r="F1517" t="s">
        <v>35</v>
      </c>
      <c r="G1517" t="str">
        <f>"2025-09-17 22:02:02.754"</f>
        <v>2025-09-17 22:02:02.754</v>
      </c>
      <c r="H1517" t="s">
        <v>21</v>
      </c>
      <c r="I1517">
        <v>4.96</v>
      </c>
      <c r="J1517" t="s">
        <v>37</v>
      </c>
    </row>
    <row r="1518" spans="1:10" x14ac:dyDescent="0.25">
      <c r="A1518" s="1">
        <v>603</v>
      </c>
      <c r="B1518" t="s">
        <v>22</v>
      </c>
      <c r="C1518">
        <v>61</v>
      </c>
      <c r="D1518">
        <v>2</v>
      </c>
      <c r="E1518" t="s">
        <v>66</v>
      </c>
      <c r="F1518" t="s">
        <v>67</v>
      </c>
      <c r="G1518" t="str">
        <f>"2025-09-17 21:40:51.307"</f>
        <v>2025-09-17 21:40:51.307</v>
      </c>
      <c r="H1518" t="s">
        <v>21</v>
      </c>
    </row>
    <row r="1519" spans="1:10" x14ac:dyDescent="0.25">
      <c r="A1519" s="1">
        <v>604</v>
      </c>
      <c r="B1519" t="s">
        <v>26</v>
      </c>
      <c r="C1519">
        <v>61</v>
      </c>
      <c r="D1519">
        <v>2</v>
      </c>
      <c r="E1519" t="s">
        <v>66</v>
      </c>
      <c r="F1519" t="s">
        <v>67</v>
      </c>
      <c r="G1519" t="str">
        <f>"2025-09-17 21:40:36.608"</f>
        <v>2025-09-17 21:40:36.608</v>
      </c>
      <c r="H1519" t="s">
        <v>21</v>
      </c>
      <c r="I1519">
        <v>35.51</v>
      </c>
      <c r="J1519" t="s">
        <v>27</v>
      </c>
    </row>
    <row r="1520" spans="1:10" x14ac:dyDescent="0.25">
      <c r="A1520" s="1">
        <v>605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"2025-09-17 20:05:17.302"</f>
        <v>2025-09-17 20:05:17.302</v>
      </c>
      <c r="H1520" t="s">
        <v>21</v>
      </c>
      <c r="I1520">
        <v>0</v>
      </c>
      <c r="J1520" t="s">
        <v>33</v>
      </c>
    </row>
    <row r="1521" spans="1:10" x14ac:dyDescent="0.25">
      <c r="A1521" s="1">
        <v>606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"2025-09-17 09:52:38.353"</f>
        <v>2025-09-17 09:52:38.353</v>
      </c>
      <c r="H1521" t="s">
        <v>21</v>
      </c>
      <c r="I1521">
        <v>0</v>
      </c>
      <c r="J1521" t="s">
        <v>33</v>
      </c>
    </row>
    <row r="1522" spans="1:10" x14ac:dyDescent="0.25">
      <c r="A1522" s="1">
        <v>607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"2025-09-17 09:13:47.316"</f>
        <v>2025-09-17 09:13:47.316</v>
      </c>
      <c r="H1522" t="s">
        <v>21</v>
      </c>
    </row>
    <row r="1523" spans="1:10" x14ac:dyDescent="0.25">
      <c r="A1523" s="1">
        <v>608</v>
      </c>
      <c r="B1523" t="s">
        <v>19</v>
      </c>
      <c r="C1523">
        <v>700</v>
      </c>
      <c r="D1523">
        <v>0</v>
      </c>
      <c r="E1523" t="s">
        <v>20</v>
      </c>
      <c r="F1523" t="s">
        <v>20</v>
      </c>
      <c r="G1523" t="str">
        <f>"2025-09-17 05:47:32.311"</f>
        <v>2025-09-17 05:47:32.311</v>
      </c>
      <c r="H1523" t="s">
        <v>21</v>
      </c>
      <c r="I1523">
        <v>0</v>
      </c>
      <c r="J1523" t="s">
        <v>33</v>
      </c>
    </row>
    <row r="1524" spans="1:10" x14ac:dyDescent="0.25">
      <c r="A1524" s="1">
        <v>609</v>
      </c>
      <c r="B1524" t="s">
        <v>19</v>
      </c>
      <c r="C1524">
        <v>706</v>
      </c>
      <c r="D1524">
        <v>4</v>
      </c>
      <c r="E1524" t="s">
        <v>29</v>
      </c>
      <c r="F1524" t="s">
        <v>53</v>
      </c>
      <c r="G1524" t="str">
        <f>"2025-09-17 05:41:19.254"</f>
        <v>2025-09-17 05:41:19.254</v>
      </c>
      <c r="H1524" t="s">
        <v>21</v>
      </c>
      <c r="I1524">
        <v>0</v>
      </c>
      <c r="J1524" t="s">
        <v>31</v>
      </c>
    </row>
    <row r="1525" spans="1:10" x14ac:dyDescent="0.25">
      <c r="A1525" s="1">
        <v>610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"2025-09-17 05:37:18.314"</f>
        <v>2025-09-17 05:37:18.314</v>
      </c>
      <c r="H1525" t="s">
        <v>21</v>
      </c>
      <c r="I1525">
        <v>0</v>
      </c>
      <c r="J1525" t="s">
        <v>33</v>
      </c>
    </row>
    <row r="1526" spans="1:10" x14ac:dyDescent="0.25">
      <c r="A1526" s="1">
        <v>611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"2025-09-17 03:06:42.301"</f>
        <v>2025-09-17 03:06:42.301</v>
      </c>
      <c r="H1526" t="s">
        <v>21</v>
      </c>
    </row>
    <row r="1527" spans="1:10" x14ac:dyDescent="0.25">
      <c r="A1527" s="1">
        <v>612</v>
      </c>
      <c r="B1527" t="s">
        <v>22</v>
      </c>
      <c r="C1527">
        <v>61</v>
      </c>
      <c r="D1527">
        <v>2</v>
      </c>
      <c r="E1527" t="s">
        <v>66</v>
      </c>
      <c r="F1527" t="s">
        <v>67</v>
      </c>
      <c r="G1527" t="str">
        <f>"2025-09-16 22:28:20.529"</f>
        <v>2025-09-16 22:28:20.529</v>
      </c>
      <c r="H1527" t="s">
        <v>21</v>
      </c>
    </row>
    <row r="1528" spans="1:10" x14ac:dyDescent="0.25">
      <c r="A1528" s="1">
        <v>613</v>
      </c>
      <c r="B1528" t="s">
        <v>26</v>
      </c>
      <c r="C1528">
        <v>61</v>
      </c>
      <c r="D1528">
        <v>2</v>
      </c>
      <c r="E1528" t="s">
        <v>66</v>
      </c>
      <c r="F1528" t="s">
        <v>67</v>
      </c>
      <c r="G1528" t="str">
        <f>"2025-09-16 22:28:13.129"</f>
        <v>2025-09-16 22:28:13.129</v>
      </c>
      <c r="H1528" t="s">
        <v>21</v>
      </c>
      <c r="I1528">
        <v>35.03</v>
      </c>
      <c r="J1528" t="s">
        <v>27</v>
      </c>
    </row>
    <row r="1529" spans="1:10" x14ac:dyDescent="0.25">
      <c r="A1529" s="1">
        <v>614</v>
      </c>
      <c r="B1529" t="s">
        <v>22</v>
      </c>
      <c r="C1529">
        <v>61</v>
      </c>
      <c r="D1529">
        <v>2</v>
      </c>
      <c r="E1529" t="s">
        <v>66</v>
      </c>
      <c r="F1529" t="s">
        <v>67</v>
      </c>
      <c r="G1529" t="str">
        <f>"2025-09-16 21:52:23.229"</f>
        <v>2025-09-16 21:52:23.229</v>
      </c>
      <c r="H1529" t="s">
        <v>21</v>
      </c>
    </row>
    <row r="1530" spans="1:10" x14ac:dyDescent="0.25">
      <c r="A1530" s="1">
        <v>615</v>
      </c>
      <c r="B1530" t="s">
        <v>26</v>
      </c>
      <c r="C1530">
        <v>61</v>
      </c>
      <c r="D1530">
        <v>2</v>
      </c>
      <c r="E1530" t="s">
        <v>66</v>
      </c>
      <c r="F1530" t="s">
        <v>67</v>
      </c>
      <c r="G1530" t="str">
        <f>"2025-09-16 21:52:07.629"</f>
        <v>2025-09-16 21:52:07.629</v>
      </c>
      <c r="H1530" t="s">
        <v>21</v>
      </c>
      <c r="I1530">
        <v>35.590000000000003</v>
      </c>
      <c r="J1530" t="s">
        <v>27</v>
      </c>
    </row>
    <row r="1531" spans="1:10" x14ac:dyDescent="0.25">
      <c r="A1531" s="1">
        <v>616</v>
      </c>
      <c r="B1531" t="s">
        <v>22</v>
      </c>
      <c r="C1531">
        <v>635</v>
      </c>
      <c r="D1531">
        <v>1</v>
      </c>
      <c r="E1531" t="s">
        <v>34</v>
      </c>
      <c r="F1531" t="s">
        <v>35</v>
      </c>
      <c r="G1531" t="str">
        <f>"2025-09-16 16:08:54.948"</f>
        <v>2025-09-16 16:08:54.948</v>
      </c>
      <c r="H1531" t="s">
        <v>21</v>
      </c>
    </row>
    <row r="1532" spans="1:10" x14ac:dyDescent="0.25">
      <c r="A1532" s="1">
        <v>617</v>
      </c>
      <c r="B1532" t="s">
        <v>36</v>
      </c>
      <c r="C1532">
        <v>635</v>
      </c>
      <c r="D1532">
        <v>1</v>
      </c>
      <c r="E1532" t="s">
        <v>34</v>
      </c>
      <c r="F1532" t="s">
        <v>35</v>
      </c>
      <c r="G1532" t="str">
        <f>"2025-09-16 15:59:12.049"</f>
        <v>2025-09-16 15:59:12.049</v>
      </c>
      <c r="H1532" t="s">
        <v>21</v>
      </c>
      <c r="I1532">
        <v>0</v>
      </c>
      <c r="J1532" t="s">
        <v>28</v>
      </c>
    </row>
    <row r="1533" spans="1:10" x14ac:dyDescent="0.25">
      <c r="A1533" s="1">
        <v>618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"2025-09-16 11:30:22.308"</f>
        <v>2025-09-16 11:30:22.308</v>
      </c>
      <c r="H1533" t="s">
        <v>21</v>
      </c>
      <c r="I1533">
        <v>0</v>
      </c>
      <c r="J1533" t="s">
        <v>33</v>
      </c>
    </row>
    <row r="1534" spans="1:10" x14ac:dyDescent="0.25">
      <c r="A1534" s="1">
        <v>619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"2025-09-16 10:18:48.321"</f>
        <v>2025-09-16 10:18:48.321</v>
      </c>
      <c r="H1534" t="s">
        <v>21</v>
      </c>
    </row>
    <row r="1535" spans="1:10" x14ac:dyDescent="0.25">
      <c r="A1535" s="1">
        <v>620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"2025-09-15 13:36:17.344"</f>
        <v>2025-09-15 13:36:17.344</v>
      </c>
      <c r="H1535" t="s">
        <v>21</v>
      </c>
      <c r="I1535">
        <v>0</v>
      </c>
      <c r="J1535" t="s">
        <v>33</v>
      </c>
    </row>
    <row r="1536" spans="1:10" x14ac:dyDescent="0.25">
      <c r="A1536" s="1">
        <v>621</v>
      </c>
      <c r="B1536" t="s">
        <v>19</v>
      </c>
      <c r="C1536">
        <v>700</v>
      </c>
      <c r="D1536">
        <v>0</v>
      </c>
      <c r="E1536" t="s">
        <v>20</v>
      </c>
      <c r="F1536" t="s">
        <v>20</v>
      </c>
      <c r="G1536" t="str">
        <f>"2025-09-15 09:49:21.324"</f>
        <v>2025-09-15 09:49:21.324</v>
      </c>
      <c r="H1536" t="s">
        <v>21</v>
      </c>
    </row>
    <row r="1537" spans="1:10" x14ac:dyDescent="0.25">
      <c r="A1537" s="1">
        <v>622</v>
      </c>
      <c r="B1537" t="s">
        <v>19</v>
      </c>
      <c r="C1537">
        <v>700</v>
      </c>
      <c r="D1537">
        <v>0</v>
      </c>
      <c r="E1537" t="s">
        <v>20</v>
      </c>
      <c r="F1537" t="s">
        <v>20</v>
      </c>
      <c r="G1537" t="str">
        <f>"2025-09-14 07:57:38.347"</f>
        <v>2025-09-14 07:57:38.347</v>
      </c>
      <c r="H1537" t="s">
        <v>21</v>
      </c>
      <c r="I1537">
        <v>0</v>
      </c>
      <c r="J1537" t="s">
        <v>33</v>
      </c>
    </row>
    <row r="1538" spans="1:10" x14ac:dyDescent="0.25">
      <c r="A1538" s="1">
        <v>623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"2025-09-13 14:27:27.318"</f>
        <v>2025-09-13 14:27:27.318</v>
      </c>
      <c r="H1538" t="s">
        <v>21</v>
      </c>
      <c r="I1538">
        <v>0</v>
      </c>
      <c r="J1538" t="s">
        <v>33</v>
      </c>
    </row>
    <row r="1539" spans="1:10" x14ac:dyDescent="0.25">
      <c r="A1539" s="1">
        <v>624</v>
      </c>
      <c r="B1539" t="s">
        <v>19</v>
      </c>
      <c r="C1539">
        <v>700</v>
      </c>
      <c r="D1539">
        <v>0</v>
      </c>
      <c r="E1539" t="s">
        <v>20</v>
      </c>
      <c r="F1539" t="s">
        <v>20</v>
      </c>
      <c r="G1539" t="str">
        <f>"2025-09-13 13:05:17.301"</f>
        <v>2025-09-13 13:05:17.301</v>
      </c>
      <c r="H1539" t="s">
        <v>21</v>
      </c>
    </row>
    <row r="1540" spans="1:10" x14ac:dyDescent="0.25">
      <c r="A1540" s="1">
        <v>625</v>
      </c>
      <c r="B1540" t="s">
        <v>19</v>
      </c>
      <c r="C1540">
        <v>700</v>
      </c>
      <c r="D1540">
        <v>0</v>
      </c>
      <c r="E1540" t="s">
        <v>20</v>
      </c>
      <c r="F1540" t="s">
        <v>20</v>
      </c>
      <c r="G1540" t="str">
        <f>"2025-09-13 12:51:41.348"</f>
        <v>2025-09-13 12:51:41.348</v>
      </c>
      <c r="H1540" t="s">
        <v>21</v>
      </c>
      <c r="I1540">
        <v>0</v>
      </c>
      <c r="J1540" t="s">
        <v>33</v>
      </c>
    </row>
    <row r="1541" spans="1:10" x14ac:dyDescent="0.25">
      <c r="A1541" s="1">
        <v>626</v>
      </c>
      <c r="B1541" t="s">
        <v>22</v>
      </c>
      <c r="C1541">
        <v>61</v>
      </c>
      <c r="D1541">
        <v>2</v>
      </c>
      <c r="E1541" t="s">
        <v>66</v>
      </c>
      <c r="F1541" t="s">
        <v>67</v>
      </c>
      <c r="G1541" t="str">
        <f>"2025-09-12 20:43:36.982"</f>
        <v>2025-09-12 20:43:36.982</v>
      </c>
      <c r="H1541" t="s">
        <v>21</v>
      </c>
    </row>
    <row r="1542" spans="1:10" x14ac:dyDescent="0.25">
      <c r="A1542" s="1">
        <v>627</v>
      </c>
      <c r="B1542" t="s">
        <v>26</v>
      </c>
      <c r="C1542">
        <v>61</v>
      </c>
      <c r="D1542">
        <v>2</v>
      </c>
      <c r="E1542" t="s">
        <v>66</v>
      </c>
      <c r="F1542" t="s">
        <v>67</v>
      </c>
      <c r="G1542" t="str">
        <f>"2025-09-12 20:43:30.282"</f>
        <v>2025-09-12 20:43:30.282</v>
      </c>
      <c r="H1542" t="s">
        <v>21</v>
      </c>
      <c r="I1542">
        <v>35.020000000000003</v>
      </c>
      <c r="J1542" t="s">
        <v>27</v>
      </c>
    </row>
    <row r="1543" spans="1:10" x14ac:dyDescent="0.25">
      <c r="A1543" s="1">
        <v>628</v>
      </c>
      <c r="B1543" t="s">
        <v>22</v>
      </c>
      <c r="C1543">
        <v>635</v>
      </c>
      <c r="D1543">
        <v>1</v>
      </c>
      <c r="E1543" t="s">
        <v>34</v>
      </c>
      <c r="F1543" t="s">
        <v>35</v>
      </c>
      <c r="G1543" t="str">
        <f>"2025-09-12 15:54:47.869"</f>
        <v>2025-09-12 15:54:47.869</v>
      </c>
      <c r="H1543" t="s">
        <v>21</v>
      </c>
    </row>
    <row r="1544" spans="1:10" x14ac:dyDescent="0.25">
      <c r="A1544" s="1">
        <v>629</v>
      </c>
      <c r="B1544" t="s">
        <v>36</v>
      </c>
      <c r="C1544">
        <v>635</v>
      </c>
      <c r="D1544">
        <v>1</v>
      </c>
      <c r="E1544" t="s">
        <v>34</v>
      </c>
      <c r="F1544" t="s">
        <v>35</v>
      </c>
      <c r="G1544" t="str">
        <f>"2025-09-12 15:46:44.369"</f>
        <v>2025-09-12 15:46:44.369</v>
      </c>
      <c r="H1544" t="s">
        <v>21</v>
      </c>
      <c r="I1544">
        <v>1.33</v>
      </c>
      <c r="J1544" t="s">
        <v>28</v>
      </c>
    </row>
    <row r="1545" spans="1:10" x14ac:dyDescent="0.25">
      <c r="A1545" s="1">
        <v>630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"2025-09-12 15:04:14.359"</f>
        <v>2025-09-12 15:04:14.359</v>
      </c>
      <c r="H1545" t="s">
        <v>21</v>
      </c>
    </row>
    <row r="1546" spans="1:10" x14ac:dyDescent="0.25">
      <c r="A1546" s="1">
        <v>631</v>
      </c>
      <c r="B1546" t="s">
        <v>19</v>
      </c>
      <c r="C1546">
        <v>700</v>
      </c>
      <c r="D1546">
        <v>0</v>
      </c>
      <c r="E1546" t="s">
        <v>20</v>
      </c>
      <c r="F1546" t="s">
        <v>20</v>
      </c>
      <c r="G1546" t="str">
        <f>"2025-09-12 13:36:36.474"</f>
        <v>2025-09-12 13:36:36.474</v>
      </c>
      <c r="H1546" t="s">
        <v>21</v>
      </c>
    </row>
    <row r="1547" spans="1:10" x14ac:dyDescent="0.25">
      <c r="A1547" s="1">
        <v>632</v>
      </c>
      <c r="B1547" t="s">
        <v>22</v>
      </c>
      <c r="C1547">
        <v>61</v>
      </c>
      <c r="D1547">
        <v>2</v>
      </c>
      <c r="E1547" t="s">
        <v>66</v>
      </c>
      <c r="F1547" t="s">
        <v>67</v>
      </c>
      <c r="G1547" t="str">
        <f>"2025-09-12 06:55:11.322"</f>
        <v>2025-09-12 06:55:11.322</v>
      </c>
      <c r="H1547" t="s">
        <v>21</v>
      </c>
    </row>
    <row r="1548" spans="1:10" x14ac:dyDescent="0.25">
      <c r="A1548" s="1">
        <v>633</v>
      </c>
      <c r="B1548" t="s">
        <v>26</v>
      </c>
      <c r="C1548">
        <v>61</v>
      </c>
      <c r="D1548">
        <v>2</v>
      </c>
      <c r="E1548" t="s">
        <v>66</v>
      </c>
      <c r="F1548" t="s">
        <v>67</v>
      </c>
      <c r="G1548" t="str">
        <f>"2025-09-12 06:55:04.222"</f>
        <v>2025-09-12 06:55:04.222</v>
      </c>
      <c r="H1548" t="s">
        <v>21</v>
      </c>
      <c r="I1548">
        <v>35.119999999999997</v>
      </c>
      <c r="J1548" t="s">
        <v>27</v>
      </c>
    </row>
    <row r="1549" spans="1:10" x14ac:dyDescent="0.25">
      <c r="A1549" s="1">
        <v>634</v>
      </c>
      <c r="B1549" t="s">
        <v>22</v>
      </c>
      <c r="C1549">
        <v>635</v>
      </c>
      <c r="D1549">
        <v>1</v>
      </c>
      <c r="E1549" t="s">
        <v>34</v>
      </c>
      <c r="F1549" t="s">
        <v>35</v>
      </c>
      <c r="G1549" t="str">
        <f>"2025-09-11 21:37:02.661"</f>
        <v>2025-09-11 21:37:02.661</v>
      </c>
      <c r="H1549" t="s">
        <v>21</v>
      </c>
    </row>
    <row r="1550" spans="1:10" x14ac:dyDescent="0.25">
      <c r="A1550" s="1">
        <v>635</v>
      </c>
      <c r="B1550" t="s">
        <v>36</v>
      </c>
      <c r="C1550">
        <v>635</v>
      </c>
      <c r="D1550">
        <v>1</v>
      </c>
      <c r="E1550" t="s">
        <v>34</v>
      </c>
      <c r="F1550" t="s">
        <v>35</v>
      </c>
      <c r="G1550" t="str">
        <f>"2025-09-11 21:33:30.762"</f>
        <v>2025-09-11 21:33:30.762</v>
      </c>
      <c r="H1550" t="s">
        <v>21</v>
      </c>
      <c r="I1550">
        <v>2.56</v>
      </c>
      <c r="J1550" t="s">
        <v>27</v>
      </c>
    </row>
    <row r="1551" spans="1:10" x14ac:dyDescent="0.25">
      <c r="A1551" s="1">
        <v>636</v>
      </c>
      <c r="B1551" t="s">
        <v>19</v>
      </c>
      <c r="C1551">
        <v>700</v>
      </c>
      <c r="D1551">
        <v>0</v>
      </c>
      <c r="E1551" t="s">
        <v>20</v>
      </c>
      <c r="F1551" t="s">
        <v>20</v>
      </c>
      <c r="G1551" t="str">
        <f>"2025-09-11 14:12:49.306"</f>
        <v>2025-09-11 14:12:49.306</v>
      </c>
      <c r="H1551" t="s">
        <v>21</v>
      </c>
    </row>
    <row r="1552" spans="1:10" x14ac:dyDescent="0.25">
      <c r="A1552" s="1">
        <v>637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"2025-09-11 13:25:47.307"</f>
        <v>2025-09-11 13:25:47.307</v>
      </c>
      <c r="H1552" t="s">
        <v>21</v>
      </c>
      <c r="I1552">
        <v>0</v>
      </c>
      <c r="J1552" t="s">
        <v>33</v>
      </c>
    </row>
    <row r="1553" spans="1:10" x14ac:dyDescent="0.25">
      <c r="A1553" s="1">
        <v>638</v>
      </c>
      <c r="B1553" t="s">
        <v>19</v>
      </c>
      <c r="C1553">
        <v>700</v>
      </c>
      <c r="D1553">
        <v>0</v>
      </c>
      <c r="E1553" t="s">
        <v>20</v>
      </c>
      <c r="F1553" t="s">
        <v>20</v>
      </c>
      <c r="G1553" t="str">
        <f>"2025-09-11 12:30:10.321"</f>
        <v>2025-09-11 12:30:10.321</v>
      </c>
      <c r="H1553" t="s">
        <v>21</v>
      </c>
    </row>
    <row r="1554" spans="1:10" x14ac:dyDescent="0.25">
      <c r="A1554" s="1">
        <v>639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"2025-09-11 07:46:06.343"</f>
        <v>2025-09-11 07:46:06.343</v>
      </c>
      <c r="H1554" t="s">
        <v>21</v>
      </c>
      <c r="I1554">
        <v>0</v>
      </c>
      <c r="J1554" t="s">
        <v>33</v>
      </c>
    </row>
    <row r="1555" spans="1:10" x14ac:dyDescent="0.25">
      <c r="A1555" s="1">
        <v>640</v>
      </c>
      <c r="B1555" t="s">
        <v>19</v>
      </c>
      <c r="C1555">
        <v>700</v>
      </c>
      <c r="D1555">
        <v>0</v>
      </c>
      <c r="E1555" t="s">
        <v>20</v>
      </c>
      <c r="F1555" t="s">
        <v>20</v>
      </c>
      <c r="G1555" t="str">
        <f>"2025-09-10 12:48:46.303"</f>
        <v>2025-09-10 12:48:46.303</v>
      </c>
      <c r="H1555" t="s">
        <v>21</v>
      </c>
      <c r="I1555">
        <v>0</v>
      </c>
      <c r="J1555" t="s">
        <v>33</v>
      </c>
    </row>
    <row r="1556" spans="1:10" x14ac:dyDescent="0.25">
      <c r="A1556" s="1">
        <v>641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"2025-09-10 11:39:19.323"</f>
        <v>2025-09-10 11:39:19.323</v>
      </c>
      <c r="H1556" t="s">
        <v>21</v>
      </c>
    </row>
    <row r="1557" spans="1:10" x14ac:dyDescent="0.25">
      <c r="A1557" s="1">
        <v>642</v>
      </c>
      <c r="B1557" t="s">
        <v>22</v>
      </c>
      <c r="C1557">
        <v>635</v>
      </c>
      <c r="D1557">
        <v>1</v>
      </c>
      <c r="E1557" t="s">
        <v>34</v>
      </c>
      <c r="F1557" t="s">
        <v>35</v>
      </c>
      <c r="G1557" t="str">
        <f>"2025-09-10 06:59:43.763"</f>
        <v>2025-09-10 06:59:43.763</v>
      </c>
      <c r="H1557" t="s">
        <v>21</v>
      </c>
    </row>
    <row r="1558" spans="1:10" x14ac:dyDescent="0.25">
      <c r="A1558" s="1">
        <v>643</v>
      </c>
      <c r="B1558" t="s">
        <v>36</v>
      </c>
      <c r="C1558">
        <v>635</v>
      </c>
      <c r="D1558">
        <v>1</v>
      </c>
      <c r="E1558" t="s">
        <v>34</v>
      </c>
      <c r="F1558" t="s">
        <v>35</v>
      </c>
      <c r="G1558" t="str">
        <f>"2025-09-10 06:53:54.763"</f>
        <v>2025-09-10 06:53:54.763</v>
      </c>
      <c r="H1558" t="s">
        <v>21</v>
      </c>
      <c r="I1558">
        <v>1.78</v>
      </c>
      <c r="J1558" t="s">
        <v>37</v>
      </c>
    </row>
    <row r="1559" spans="1:10" x14ac:dyDescent="0.25">
      <c r="A1559" s="1">
        <v>644</v>
      </c>
      <c r="B1559" t="s">
        <v>22</v>
      </c>
      <c r="C1559">
        <v>635</v>
      </c>
      <c r="D1559">
        <v>1</v>
      </c>
      <c r="E1559" t="s">
        <v>34</v>
      </c>
      <c r="F1559" t="s">
        <v>35</v>
      </c>
      <c r="G1559" t="str">
        <f>"2025-09-10 03:08:43.163"</f>
        <v>2025-09-10 03:08:43.163</v>
      </c>
      <c r="H1559" t="s">
        <v>21</v>
      </c>
    </row>
    <row r="1560" spans="1:10" x14ac:dyDescent="0.25">
      <c r="A1560" s="1">
        <v>645</v>
      </c>
      <c r="B1560" t="s">
        <v>36</v>
      </c>
      <c r="C1560">
        <v>635</v>
      </c>
      <c r="D1560">
        <v>1</v>
      </c>
      <c r="E1560" t="s">
        <v>34</v>
      </c>
      <c r="F1560" t="s">
        <v>35</v>
      </c>
      <c r="G1560" t="str">
        <f>"2025-09-10 02:42:30.163"</f>
        <v>2025-09-10 02:42:30.163</v>
      </c>
      <c r="H1560" t="s">
        <v>21</v>
      </c>
      <c r="I1560">
        <v>4.18</v>
      </c>
      <c r="J1560" t="s">
        <v>37</v>
      </c>
    </row>
    <row r="1561" spans="1:10" x14ac:dyDescent="0.25">
      <c r="A1561" s="1">
        <v>646</v>
      </c>
      <c r="B1561" t="s">
        <v>22</v>
      </c>
      <c r="C1561">
        <v>61</v>
      </c>
      <c r="D1561">
        <v>2</v>
      </c>
      <c r="E1561" t="s">
        <v>66</v>
      </c>
      <c r="F1561" t="s">
        <v>67</v>
      </c>
      <c r="G1561" t="str">
        <f>"2025-09-09 23:47:29.024"</f>
        <v>2025-09-09 23:47:29.024</v>
      </c>
      <c r="H1561" t="s">
        <v>21</v>
      </c>
    </row>
    <row r="1562" spans="1:10" x14ac:dyDescent="0.25">
      <c r="A1562" s="1">
        <v>647</v>
      </c>
      <c r="B1562" t="s">
        <v>26</v>
      </c>
      <c r="C1562">
        <v>61</v>
      </c>
      <c r="D1562">
        <v>2</v>
      </c>
      <c r="E1562" t="s">
        <v>66</v>
      </c>
      <c r="F1562" t="s">
        <v>67</v>
      </c>
      <c r="G1562" t="str">
        <f>"2025-09-09 23:47:22.124"</f>
        <v>2025-09-09 23:47:22.124</v>
      </c>
      <c r="H1562" t="s">
        <v>21</v>
      </c>
      <c r="I1562">
        <v>35.39</v>
      </c>
      <c r="J1562" t="s">
        <v>27</v>
      </c>
    </row>
    <row r="1563" spans="1:10" x14ac:dyDescent="0.25">
      <c r="A1563" s="1">
        <v>648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"2025-09-09 13:59:38.289"</f>
        <v>2025-09-09 13:59:38.289</v>
      </c>
      <c r="H1563" t="s">
        <v>21</v>
      </c>
      <c r="I1563">
        <v>0</v>
      </c>
      <c r="J1563" t="s">
        <v>33</v>
      </c>
    </row>
    <row r="1564" spans="1:10" x14ac:dyDescent="0.25">
      <c r="A1564" s="1">
        <v>649</v>
      </c>
      <c r="B1564" t="s">
        <v>19</v>
      </c>
      <c r="C1564">
        <v>700</v>
      </c>
      <c r="D1564">
        <v>0</v>
      </c>
      <c r="E1564" t="s">
        <v>20</v>
      </c>
      <c r="F1564" t="s">
        <v>20</v>
      </c>
      <c r="G1564" t="str">
        <f>"2025-09-09 12:34:16.304"</f>
        <v>2025-09-09 12:34:16.304</v>
      </c>
      <c r="H1564" t="s">
        <v>21</v>
      </c>
      <c r="I1564">
        <v>0</v>
      </c>
      <c r="J1564" t="s">
        <v>33</v>
      </c>
    </row>
    <row r="1565" spans="1:10" x14ac:dyDescent="0.25">
      <c r="A1565" s="1">
        <v>650</v>
      </c>
      <c r="B1565" t="s">
        <v>22</v>
      </c>
      <c r="C1565">
        <v>61</v>
      </c>
      <c r="D1565">
        <v>2</v>
      </c>
      <c r="E1565" t="s">
        <v>66</v>
      </c>
      <c r="F1565" t="s">
        <v>67</v>
      </c>
      <c r="G1565" t="str">
        <f>"2025-09-09 06:55:14.844"</f>
        <v>2025-09-09 06:55:14.844</v>
      </c>
      <c r="H1565" t="s">
        <v>21</v>
      </c>
    </row>
    <row r="1566" spans="1:10" x14ac:dyDescent="0.25">
      <c r="A1566" s="1">
        <v>651</v>
      </c>
      <c r="B1566" t="s">
        <v>26</v>
      </c>
      <c r="C1566">
        <v>61</v>
      </c>
      <c r="D1566">
        <v>2</v>
      </c>
      <c r="E1566" t="s">
        <v>66</v>
      </c>
      <c r="F1566" t="s">
        <v>67</v>
      </c>
      <c r="G1566" t="str">
        <f>"2025-09-09 06:54:55.044"</f>
        <v>2025-09-09 06:54:55.044</v>
      </c>
      <c r="H1566" t="s">
        <v>21</v>
      </c>
      <c r="I1566">
        <v>35.14</v>
      </c>
      <c r="J1566" t="s">
        <v>27</v>
      </c>
    </row>
    <row r="1567" spans="1:10" x14ac:dyDescent="0.25">
      <c r="A1567" s="1">
        <v>652</v>
      </c>
      <c r="B1567" t="s">
        <v>22</v>
      </c>
      <c r="C1567">
        <v>61</v>
      </c>
      <c r="D1567">
        <v>2</v>
      </c>
      <c r="E1567" t="s">
        <v>66</v>
      </c>
      <c r="F1567" t="s">
        <v>67</v>
      </c>
      <c r="G1567" t="str">
        <f>"2025-09-09 05:40:30.344"</f>
        <v>2025-09-09 05:40:30.344</v>
      </c>
      <c r="H1567" t="s">
        <v>21</v>
      </c>
    </row>
    <row r="1568" spans="1:10" x14ac:dyDescent="0.25">
      <c r="A1568" s="1">
        <v>653</v>
      </c>
      <c r="B1568" t="s">
        <v>26</v>
      </c>
      <c r="C1568">
        <v>61</v>
      </c>
      <c r="D1568">
        <v>2</v>
      </c>
      <c r="E1568" t="s">
        <v>66</v>
      </c>
      <c r="F1568" t="s">
        <v>67</v>
      </c>
      <c r="G1568" t="str">
        <f>"2025-09-09 05:40:21.845"</f>
        <v>2025-09-09 05:40:21.845</v>
      </c>
      <c r="H1568" t="s">
        <v>21</v>
      </c>
      <c r="I1568">
        <v>35.36</v>
      </c>
      <c r="J1568" t="s">
        <v>27</v>
      </c>
    </row>
    <row r="1569" spans="1:10" x14ac:dyDescent="0.25">
      <c r="A1569" s="1">
        <v>654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"2025-09-08 15:38:05.314"</f>
        <v>2025-09-08 15:38:05.314</v>
      </c>
      <c r="H1569" t="s">
        <v>21</v>
      </c>
    </row>
    <row r="1570" spans="1:10" x14ac:dyDescent="0.25">
      <c r="A1570" s="1">
        <v>655</v>
      </c>
      <c r="B1570" t="s">
        <v>22</v>
      </c>
      <c r="C1570">
        <v>61</v>
      </c>
      <c r="D1570">
        <v>2</v>
      </c>
      <c r="E1570" t="s">
        <v>66</v>
      </c>
      <c r="F1570" t="s">
        <v>67</v>
      </c>
      <c r="G1570" t="str">
        <f>"2025-09-08 03:38:56.821"</f>
        <v>2025-09-08 03:38:56.821</v>
      </c>
      <c r="H1570" t="s">
        <v>21</v>
      </c>
    </row>
    <row r="1571" spans="1:10" x14ac:dyDescent="0.25">
      <c r="A1571" s="1">
        <v>656</v>
      </c>
      <c r="B1571" t="s">
        <v>26</v>
      </c>
      <c r="C1571">
        <v>61</v>
      </c>
      <c r="D1571">
        <v>2</v>
      </c>
      <c r="E1571" t="s">
        <v>66</v>
      </c>
      <c r="F1571" t="s">
        <v>67</v>
      </c>
      <c r="G1571" t="str">
        <f>"2025-09-08 03:38:50.221"</f>
        <v>2025-09-08 03:38:50.221</v>
      </c>
      <c r="H1571" t="s">
        <v>21</v>
      </c>
      <c r="I1571">
        <v>35.07</v>
      </c>
      <c r="J1571" t="s">
        <v>27</v>
      </c>
    </row>
    <row r="1572" spans="1:10" x14ac:dyDescent="0.25">
      <c r="A1572" s="1">
        <v>657</v>
      </c>
      <c r="B1572" t="s">
        <v>19</v>
      </c>
      <c r="C1572">
        <v>706</v>
      </c>
      <c r="D1572">
        <v>4</v>
      </c>
      <c r="E1572" t="s">
        <v>29</v>
      </c>
      <c r="F1572" t="s">
        <v>53</v>
      </c>
      <c r="G1572" t="str">
        <f>"2025-09-07 13:31:12.066"</f>
        <v>2025-09-07 13:31:12.066</v>
      </c>
      <c r="H1572" t="s">
        <v>21</v>
      </c>
      <c r="I1572">
        <v>0</v>
      </c>
      <c r="J1572" t="s">
        <v>31</v>
      </c>
    </row>
    <row r="1573" spans="1:10" x14ac:dyDescent="0.25">
      <c r="A1573" s="1">
        <v>658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"2025-09-07 13:28:20.306"</f>
        <v>2025-09-07 13:28:20.306</v>
      </c>
      <c r="H1573" t="s">
        <v>21</v>
      </c>
      <c r="I1573">
        <v>0</v>
      </c>
      <c r="J1573" t="s">
        <v>33</v>
      </c>
    </row>
    <row r="1574" spans="1:10" s="3" customFormat="1" x14ac:dyDescent="0.25">
      <c r="A1574" s="2">
        <v>659</v>
      </c>
      <c r="B1574" s="3" t="s">
        <v>22</v>
      </c>
      <c r="C1574" s="3">
        <v>647</v>
      </c>
      <c r="D1574" s="3">
        <v>1</v>
      </c>
      <c r="E1574" s="3" t="s">
        <v>54</v>
      </c>
      <c r="F1574" s="3" t="s">
        <v>55</v>
      </c>
      <c r="G1574" s="3" t="str">
        <f>"2025-09-07 01:15:32.912"</f>
        <v>2025-09-07 01:15:32.912</v>
      </c>
      <c r="H1574" s="3" t="s">
        <v>21</v>
      </c>
    </row>
    <row r="1575" spans="1:10" s="3" customFormat="1" x14ac:dyDescent="0.25">
      <c r="A1575" s="2">
        <v>660</v>
      </c>
      <c r="B1575" s="3" t="s">
        <v>36</v>
      </c>
      <c r="C1575" s="3">
        <v>647</v>
      </c>
      <c r="D1575" s="3">
        <v>1</v>
      </c>
      <c r="E1575" s="3" t="s">
        <v>54</v>
      </c>
      <c r="F1575" s="3" t="s">
        <v>55</v>
      </c>
      <c r="G1575" s="3" t="str">
        <f>"2025-09-07 01:15:28.412"</f>
        <v>2025-09-07 01:15:28.412</v>
      </c>
      <c r="H1575" s="3" t="s">
        <v>21</v>
      </c>
      <c r="I1575" s="3">
        <v>9.33</v>
      </c>
      <c r="J1575" s="3" t="s">
        <v>28</v>
      </c>
    </row>
    <row r="1576" spans="1:10" x14ac:dyDescent="0.25">
      <c r="A1576" s="1">
        <v>661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"2025-09-06 19:36:42.291"</f>
        <v>2025-09-06 19:36:42.291</v>
      </c>
      <c r="H1576" t="s">
        <v>21</v>
      </c>
    </row>
    <row r="1577" spans="1:10" x14ac:dyDescent="0.25">
      <c r="A1577" s="1">
        <v>662</v>
      </c>
      <c r="B1577" t="s">
        <v>19</v>
      </c>
      <c r="C1577">
        <v>700</v>
      </c>
      <c r="D1577">
        <v>0</v>
      </c>
      <c r="E1577" t="s">
        <v>20</v>
      </c>
      <c r="F1577" t="s">
        <v>20</v>
      </c>
      <c r="G1577" t="str">
        <f>"2025-09-06 18:34:50.281"</f>
        <v>2025-09-06 18:34:50.281</v>
      </c>
      <c r="H1577" t="s">
        <v>21</v>
      </c>
      <c r="I1577">
        <v>0</v>
      </c>
      <c r="J1577" t="s">
        <v>33</v>
      </c>
    </row>
    <row r="1578" spans="1:10" x14ac:dyDescent="0.25">
      <c r="A1578" s="1">
        <v>663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"2025-09-06 17:39:00.352"</f>
        <v>2025-09-06 17:39:00.352</v>
      </c>
      <c r="H1578" t="s">
        <v>21</v>
      </c>
    </row>
    <row r="1579" spans="1:10" x14ac:dyDescent="0.25">
      <c r="A1579" s="1">
        <v>664</v>
      </c>
      <c r="B1579" t="s">
        <v>19</v>
      </c>
      <c r="C1579">
        <v>706</v>
      </c>
      <c r="D1579">
        <v>3</v>
      </c>
      <c r="E1579" t="s">
        <v>29</v>
      </c>
      <c r="F1579" t="s">
        <v>32</v>
      </c>
      <c r="G1579" t="str">
        <f>"2025-09-06 15:40:18.790"</f>
        <v>2025-09-06 15:40:18.790</v>
      </c>
      <c r="H1579" t="s">
        <v>21</v>
      </c>
      <c r="I1579">
        <v>0</v>
      </c>
      <c r="J1579" t="s">
        <v>31</v>
      </c>
    </row>
    <row r="1580" spans="1:10" x14ac:dyDescent="0.25">
      <c r="A1580" s="1">
        <v>665</v>
      </c>
      <c r="B1580" t="s">
        <v>19</v>
      </c>
      <c r="C1580">
        <v>706</v>
      </c>
      <c r="D1580">
        <v>4</v>
      </c>
      <c r="E1580" t="s">
        <v>29</v>
      </c>
      <c r="F1580" t="s">
        <v>53</v>
      </c>
      <c r="G1580" t="str">
        <f>"2025-09-06 15:37:25.320"</f>
        <v>2025-09-06 15:37:25.320</v>
      </c>
      <c r="H1580" t="s">
        <v>21</v>
      </c>
      <c r="I1580">
        <v>0</v>
      </c>
      <c r="J1580" t="s">
        <v>31</v>
      </c>
    </row>
    <row r="1581" spans="1:10" x14ac:dyDescent="0.25">
      <c r="A1581" s="1">
        <v>666</v>
      </c>
      <c r="B1581" t="s">
        <v>19</v>
      </c>
      <c r="C1581">
        <v>700</v>
      </c>
      <c r="D1581">
        <v>0</v>
      </c>
      <c r="E1581" t="s">
        <v>20</v>
      </c>
      <c r="F1581" t="s">
        <v>20</v>
      </c>
      <c r="G1581" t="str">
        <f>"2025-09-06 14:24:02.370"</f>
        <v>2025-09-06 14:24:02.370</v>
      </c>
      <c r="H1581" t="s">
        <v>21</v>
      </c>
      <c r="I1581">
        <v>0</v>
      </c>
      <c r="J1581" t="s">
        <v>33</v>
      </c>
    </row>
    <row r="1582" spans="1:10" x14ac:dyDescent="0.25">
      <c r="A1582" s="1">
        <v>667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"2025-09-06 14:16:43.354"</f>
        <v>2025-09-06 14:16:43.354</v>
      </c>
      <c r="H1582" t="s">
        <v>21</v>
      </c>
      <c r="I1582">
        <v>0</v>
      </c>
      <c r="J1582" t="s">
        <v>33</v>
      </c>
    </row>
    <row r="1583" spans="1:10" x14ac:dyDescent="0.25">
      <c r="A1583" s="1">
        <v>668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"2025-09-06 11:46:33.287"</f>
        <v>2025-09-06 11:46:33.287</v>
      </c>
      <c r="H1583" t="s">
        <v>21</v>
      </c>
      <c r="I1583">
        <v>0</v>
      </c>
      <c r="J1583" t="s">
        <v>33</v>
      </c>
    </row>
    <row r="1584" spans="1:10" x14ac:dyDescent="0.25">
      <c r="A1584" s="1">
        <v>669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"2025-09-06 11:29:12.314"</f>
        <v>2025-09-06 11:29:12.314</v>
      </c>
      <c r="H1584" t="s">
        <v>21</v>
      </c>
    </row>
    <row r="1585" spans="1:10" x14ac:dyDescent="0.25">
      <c r="A1585" s="1">
        <v>671</v>
      </c>
      <c r="B1585" t="s">
        <v>19</v>
      </c>
      <c r="C1585">
        <v>700</v>
      </c>
      <c r="D1585">
        <v>0</v>
      </c>
      <c r="E1585" t="s">
        <v>20</v>
      </c>
      <c r="F1585" t="s">
        <v>20</v>
      </c>
      <c r="G1585" t="str">
        <f>"2025-09-06 09:35:36.285"</f>
        <v>2025-09-06 09:35:36.285</v>
      </c>
      <c r="H1585" t="s">
        <v>21</v>
      </c>
      <c r="I1585">
        <v>0</v>
      </c>
      <c r="J1585" t="s">
        <v>33</v>
      </c>
    </row>
    <row r="1586" spans="1:10" x14ac:dyDescent="0.25">
      <c r="A1586" s="1">
        <v>672</v>
      </c>
      <c r="B1586" t="s">
        <v>22</v>
      </c>
      <c r="C1586">
        <v>635</v>
      </c>
      <c r="D1586">
        <v>1</v>
      </c>
      <c r="E1586" t="s">
        <v>34</v>
      </c>
      <c r="F1586" t="s">
        <v>35</v>
      </c>
      <c r="G1586" t="str">
        <f>"2025-09-06 06:11:36.143"</f>
        <v>2025-09-06 06:11:36.143</v>
      </c>
      <c r="H1586" t="s">
        <v>21</v>
      </c>
    </row>
    <row r="1587" spans="1:10" x14ac:dyDescent="0.25">
      <c r="A1587" s="1">
        <v>673</v>
      </c>
      <c r="B1587" t="s">
        <v>36</v>
      </c>
      <c r="C1587">
        <v>635</v>
      </c>
      <c r="D1587">
        <v>1</v>
      </c>
      <c r="E1587" t="s">
        <v>34</v>
      </c>
      <c r="F1587" t="s">
        <v>35</v>
      </c>
      <c r="G1587" t="str">
        <f>"2025-09-06 06:07:50.643"</f>
        <v>2025-09-06 06:07:50.643</v>
      </c>
      <c r="H1587" t="s">
        <v>21</v>
      </c>
      <c r="I1587">
        <v>4.71</v>
      </c>
      <c r="J1587" t="s">
        <v>27</v>
      </c>
    </row>
    <row r="1588" spans="1:10" x14ac:dyDescent="0.25">
      <c r="A1588" s="1">
        <v>674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"2025-09-05 22:22:13.273"</f>
        <v>2025-09-05 22:22:13.273</v>
      </c>
      <c r="H1588" t="s">
        <v>21</v>
      </c>
    </row>
    <row r="1589" spans="1:10" x14ac:dyDescent="0.25">
      <c r="A1589" s="1">
        <v>675</v>
      </c>
      <c r="B1589" t="s">
        <v>22</v>
      </c>
      <c r="C1589">
        <v>635</v>
      </c>
      <c r="D1589">
        <v>1</v>
      </c>
      <c r="E1589" t="s">
        <v>34</v>
      </c>
      <c r="F1589" t="s">
        <v>35</v>
      </c>
      <c r="G1589" t="str">
        <f>"2025-09-05 21:30:21.885"</f>
        <v>2025-09-05 21:30:21.885</v>
      </c>
      <c r="H1589" t="s">
        <v>21</v>
      </c>
    </row>
    <row r="1590" spans="1:10" x14ac:dyDescent="0.25">
      <c r="A1590" s="1">
        <v>676</v>
      </c>
      <c r="B1590" t="s">
        <v>36</v>
      </c>
      <c r="C1590">
        <v>635</v>
      </c>
      <c r="D1590">
        <v>1</v>
      </c>
      <c r="E1590" t="s">
        <v>34</v>
      </c>
      <c r="F1590" t="s">
        <v>35</v>
      </c>
      <c r="G1590" t="str">
        <f>"2025-09-05 21:12:02.386"</f>
        <v>2025-09-05 21:12:02.386</v>
      </c>
      <c r="H1590" t="s">
        <v>21</v>
      </c>
      <c r="I1590">
        <v>5.41</v>
      </c>
      <c r="J1590" t="s">
        <v>37</v>
      </c>
    </row>
    <row r="1591" spans="1:10" x14ac:dyDescent="0.25">
      <c r="A1591" s="1">
        <v>677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"2025-09-05 10:49:30.470"</f>
        <v>2025-09-05 10:49:30.470</v>
      </c>
      <c r="H1591" t="s">
        <v>21</v>
      </c>
    </row>
    <row r="1592" spans="1:10" x14ac:dyDescent="0.25">
      <c r="A1592" s="1">
        <v>678</v>
      </c>
      <c r="B1592" t="s">
        <v>19</v>
      </c>
      <c r="C1592">
        <v>700</v>
      </c>
      <c r="D1592">
        <v>0</v>
      </c>
      <c r="E1592" t="s">
        <v>20</v>
      </c>
      <c r="F1592" t="s">
        <v>20</v>
      </c>
      <c r="G1592" t="str">
        <f>"2025-09-05 07:19:50.308"</f>
        <v>2025-09-05 07:19:50.308</v>
      </c>
      <c r="H1592" t="s">
        <v>21</v>
      </c>
      <c r="I1592">
        <v>0</v>
      </c>
      <c r="J1592" t="s">
        <v>33</v>
      </c>
    </row>
    <row r="1593" spans="1:10" x14ac:dyDescent="0.25">
      <c r="A1593" s="1">
        <v>679</v>
      </c>
      <c r="B1593" t="s">
        <v>22</v>
      </c>
      <c r="C1593">
        <v>61</v>
      </c>
      <c r="D1593">
        <v>2</v>
      </c>
      <c r="E1593" t="s">
        <v>66</v>
      </c>
      <c r="F1593" t="s">
        <v>67</v>
      </c>
      <c r="G1593" t="str">
        <f>"2025-09-05 07:07:02.140"</f>
        <v>2025-09-05 07:07:02.140</v>
      </c>
      <c r="H1593" t="s">
        <v>21</v>
      </c>
    </row>
    <row r="1594" spans="1:10" x14ac:dyDescent="0.25">
      <c r="A1594" s="1">
        <v>680</v>
      </c>
      <c r="B1594" t="s">
        <v>26</v>
      </c>
      <c r="C1594">
        <v>61</v>
      </c>
      <c r="D1594">
        <v>2</v>
      </c>
      <c r="E1594" t="s">
        <v>66</v>
      </c>
      <c r="F1594" t="s">
        <v>67</v>
      </c>
      <c r="G1594" t="str">
        <f>"2025-09-05 07:06:47.540"</f>
        <v>2025-09-05 07:06:47.540</v>
      </c>
      <c r="H1594" t="s">
        <v>21</v>
      </c>
      <c r="I1594">
        <v>35.590000000000003</v>
      </c>
      <c r="J1594" t="s">
        <v>27</v>
      </c>
    </row>
    <row r="1595" spans="1:10" x14ac:dyDescent="0.25">
      <c r="A1595" s="1">
        <v>681</v>
      </c>
      <c r="B1595" t="s">
        <v>22</v>
      </c>
      <c r="C1595">
        <v>635</v>
      </c>
      <c r="D1595">
        <v>1</v>
      </c>
      <c r="E1595" t="s">
        <v>34</v>
      </c>
      <c r="F1595" t="s">
        <v>35</v>
      </c>
      <c r="G1595" t="str">
        <f>"2025-09-05 03:49:06.286"</f>
        <v>2025-09-05 03:49:06.286</v>
      </c>
      <c r="H1595" t="s">
        <v>21</v>
      </c>
    </row>
    <row r="1596" spans="1:10" x14ac:dyDescent="0.25">
      <c r="A1596" s="1">
        <v>682</v>
      </c>
      <c r="B1596" t="s">
        <v>36</v>
      </c>
      <c r="C1596">
        <v>635</v>
      </c>
      <c r="D1596">
        <v>1</v>
      </c>
      <c r="E1596" t="s">
        <v>34</v>
      </c>
      <c r="F1596" t="s">
        <v>35</v>
      </c>
      <c r="G1596" t="str">
        <f>"2025-09-05 03:42:12.286"</f>
        <v>2025-09-05 03:42:12.286</v>
      </c>
      <c r="H1596" t="s">
        <v>21</v>
      </c>
      <c r="I1596">
        <v>2.71</v>
      </c>
      <c r="J1596" t="s">
        <v>37</v>
      </c>
    </row>
    <row r="1597" spans="1:10" x14ac:dyDescent="0.25">
      <c r="A1597" s="1">
        <v>683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"2025-09-04 21:13:15.315"</f>
        <v>2025-09-04 21:13:15.315</v>
      </c>
      <c r="H1597" t="s">
        <v>21</v>
      </c>
      <c r="I1597">
        <v>0</v>
      </c>
      <c r="J1597" t="s">
        <v>33</v>
      </c>
    </row>
    <row r="1598" spans="1:10" x14ac:dyDescent="0.25">
      <c r="A1598" s="1">
        <v>684</v>
      </c>
      <c r="B1598" t="s">
        <v>19</v>
      </c>
      <c r="C1598">
        <v>706</v>
      </c>
      <c r="D1598">
        <v>4</v>
      </c>
      <c r="E1598" t="s">
        <v>29</v>
      </c>
      <c r="F1598" t="s">
        <v>53</v>
      </c>
      <c r="G1598" t="str">
        <f>"2025-09-04 13:49:16.848"</f>
        <v>2025-09-04 13:49:16.848</v>
      </c>
      <c r="H1598" t="s">
        <v>21</v>
      </c>
      <c r="I1598">
        <v>0</v>
      </c>
      <c r="J1598" t="s">
        <v>31</v>
      </c>
    </row>
    <row r="1599" spans="1:10" x14ac:dyDescent="0.25">
      <c r="A1599" s="1">
        <v>685</v>
      </c>
      <c r="B1599" t="s">
        <v>19</v>
      </c>
      <c r="C1599">
        <v>700</v>
      </c>
      <c r="D1599">
        <v>0</v>
      </c>
      <c r="E1599" t="s">
        <v>20</v>
      </c>
      <c r="F1599" t="s">
        <v>20</v>
      </c>
      <c r="G1599" t="str">
        <f>"2025-09-04 13:30:15.278"</f>
        <v>2025-09-04 13:30:15.278</v>
      </c>
      <c r="H1599" t="s">
        <v>21</v>
      </c>
    </row>
    <row r="1600" spans="1:10" x14ac:dyDescent="0.25">
      <c r="A1600" s="1">
        <v>686</v>
      </c>
      <c r="B1600" t="s">
        <v>22</v>
      </c>
      <c r="C1600">
        <v>635</v>
      </c>
      <c r="D1600">
        <v>1</v>
      </c>
      <c r="E1600" t="s">
        <v>34</v>
      </c>
      <c r="F1600" t="s">
        <v>35</v>
      </c>
      <c r="G1600" t="str">
        <f>"2025-09-04 12:29:59.421"</f>
        <v>2025-09-04 12:29:59.421</v>
      </c>
      <c r="H1600" t="s">
        <v>21</v>
      </c>
    </row>
    <row r="1601" spans="1:10" x14ac:dyDescent="0.25">
      <c r="A1601" s="1">
        <v>687</v>
      </c>
      <c r="B1601" t="s">
        <v>36</v>
      </c>
      <c r="C1601">
        <v>635</v>
      </c>
      <c r="D1601">
        <v>1</v>
      </c>
      <c r="E1601" t="s">
        <v>34</v>
      </c>
      <c r="F1601" t="s">
        <v>35</v>
      </c>
      <c r="G1601" t="str">
        <f>"2025-09-04 12:25:28.421"</f>
        <v>2025-09-04 12:25:28.421</v>
      </c>
      <c r="H1601" t="s">
        <v>21</v>
      </c>
      <c r="I1601">
        <v>5.83</v>
      </c>
      <c r="J1601" t="s">
        <v>28</v>
      </c>
    </row>
    <row r="1602" spans="1:10" x14ac:dyDescent="0.25">
      <c r="A1602" s="1">
        <v>688</v>
      </c>
      <c r="B1602" t="s">
        <v>22</v>
      </c>
      <c r="C1602">
        <v>635</v>
      </c>
      <c r="D1602">
        <v>1</v>
      </c>
      <c r="E1602" t="s">
        <v>34</v>
      </c>
      <c r="F1602" t="s">
        <v>35</v>
      </c>
      <c r="G1602" t="str">
        <f>"2025-09-03 16:39:26.421"</f>
        <v>2025-09-03 16:39:26.421</v>
      </c>
      <c r="H1602" t="s">
        <v>21</v>
      </c>
    </row>
    <row r="1603" spans="1:10" x14ac:dyDescent="0.25">
      <c r="A1603" s="1">
        <v>689</v>
      </c>
      <c r="B1603" t="s">
        <v>36</v>
      </c>
      <c r="C1603">
        <v>635</v>
      </c>
      <c r="D1603">
        <v>1</v>
      </c>
      <c r="E1603" t="s">
        <v>34</v>
      </c>
      <c r="F1603" t="s">
        <v>35</v>
      </c>
      <c r="G1603" t="str">
        <f>"2025-09-03 16:34:42.921"</f>
        <v>2025-09-03 16:34:42.921</v>
      </c>
      <c r="H1603" t="s">
        <v>21</v>
      </c>
      <c r="I1603">
        <v>7.51</v>
      </c>
      <c r="J1603" t="s">
        <v>37</v>
      </c>
    </row>
    <row r="1604" spans="1:10" x14ac:dyDescent="0.25">
      <c r="A1604" s="1">
        <v>690</v>
      </c>
      <c r="B1604" t="s">
        <v>19</v>
      </c>
      <c r="C1604">
        <v>700</v>
      </c>
      <c r="D1604">
        <v>0</v>
      </c>
      <c r="E1604" t="s">
        <v>20</v>
      </c>
      <c r="F1604" t="s">
        <v>20</v>
      </c>
      <c r="G1604" t="str">
        <f>"2025-09-03 10:47:56.293"</f>
        <v>2025-09-03 10:47:56.293</v>
      </c>
      <c r="H1604" t="s">
        <v>21</v>
      </c>
      <c r="I1604">
        <v>0</v>
      </c>
      <c r="J1604" t="s">
        <v>33</v>
      </c>
    </row>
    <row r="1605" spans="1:10" x14ac:dyDescent="0.25">
      <c r="A1605" s="1">
        <v>691</v>
      </c>
      <c r="B1605" t="s">
        <v>19</v>
      </c>
      <c r="C1605">
        <v>700</v>
      </c>
      <c r="D1605">
        <v>0</v>
      </c>
      <c r="E1605" t="s">
        <v>20</v>
      </c>
      <c r="F1605" t="s">
        <v>20</v>
      </c>
      <c r="G1605" t="str">
        <f>"2025-09-02 19:19:44.296"</f>
        <v>2025-09-02 19:19:44.296</v>
      </c>
      <c r="H1605" t="s">
        <v>21</v>
      </c>
    </row>
    <row r="1606" spans="1:10" x14ac:dyDescent="0.25">
      <c r="A1606" s="1">
        <v>692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"2025-09-02 12:57:18.284"</f>
        <v>2025-09-02 12:57:18.284</v>
      </c>
      <c r="H1606" t="s">
        <v>21</v>
      </c>
      <c r="I1606">
        <v>0</v>
      </c>
      <c r="J1606" t="s">
        <v>33</v>
      </c>
    </row>
    <row r="1607" spans="1:10" x14ac:dyDescent="0.25">
      <c r="A1607" s="1">
        <v>693</v>
      </c>
      <c r="B1607" t="s">
        <v>19</v>
      </c>
      <c r="C1607">
        <v>700</v>
      </c>
      <c r="D1607">
        <v>0</v>
      </c>
      <c r="E1607" t="s">
        <v>20</v>
      </c>
      <c r="F1607" t="s">
        <v>20</v>
      </c>
      <c r="G1607" t="str">
        <f>"2025-09-02 10:51:05.307"</f>
        <v>2025-09-02 10:51:05.307</v>
      </c>
      <c r="H1607" t="s">
        <v>21</v>
      </c>
      <c r="I1607">
        <v>0</v>
      </c>
      <c r="J1607" t="s">
        <v>33</v>
      </c>
    </row>
    <row r="1608" spans="1:10" x14ac:dyDescent="0.25">
      <c r="A1608" s="1">
        <v>694</v>
      </c>
      <c r="B1608" t="s">
        <v>22</v>
      </c>
      <c r="C1608">
        <v>61</v>
      </c>
      <c r="D1608">
        <v>2</v>
      </c>
      <c r="E1608" t="s">
        <v>66</v>
      </c>
      <c r="F1608" t="s">
        <v>67</v>
      </c>
      <c r="G1608" t="str">
        <f>"2025-09-02 09:13:00.124"</f>
        <v>2025-09-02 09:13:00.124</v>
      </c>
      <c r="H1608" t="s">
        <v>21</v>
      </c>
    </row>
    <row r="1609" spans="1:10" x14ac:dyDescent="0.25">
      <c r="A1609" s="1">
        <v>695</v>
      </c>
      <c r="B1609" t="s">
        <v>26</v>
      </c>
      <c r="C1609">
        <v>61</v>
      </c>
      <c r="D1609">
        <v>2</v>
      </c>
      <c r="E1609" t="s">
        <v>66</v>
      </c>
      <c r="F1609" t="s">
        <v>67</v>
      </c>
      <c r="G1609" t="str">
        <f>"2025-09-02 09:12:47.025"</f>
        <v>2025-09-02 09:12:47.025</v>
      </c>
      <c r="H1609" t="s">
        <v>21</v>
      </c>
      <c r="I1609">
        <v>35.369999999999997</v>
      </c>
      <c r="J1609" t="s">
        <v>27</v>
      </c>
    </row>
    <row r="1610" spans="1:10" x14ac:dyDescent="0.25">
      <c r="A1610" s="1">
        <v>696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"2025-09-02 07:17:32.289"</f>
        <v>2025-09-02 07:17:32.289</v>
      </c>
      <c r="H1610" t="s">
        <v>21</v>
      </c>
    </row>
    <row r="1611" spans="1:10" x14ac:dyDescent="0.25">
      <c r="A1611" s="1">
        <v>697</v>
      </c>
      <c r="B1611" t="s">
        <v>22</v>
      </c>
      <c r="C1611">
        <v>61</v>
      </c>
      <c r="D1611">
        <v>2</v>
      </c>
      <c r="E1611" t="s">
        <v>66</v>
      </c>
      <c r="F1611" t="s">
        <v>67</v>
      </c>
      <c r="G1611" t="str">
        <f>"2025-09-02 06:35:17.525"</f>
        <v>2025-09-02 06:35:17.525</v>
      </c>
      <c r="H1611" t="s">
        <v>21</v>
      </c>
    </row>
    <row r="1612" spans="1:10" x14ac:dyDescent="0.25">
      <c r="A1612" s="1">
        <v>698</v>
      </c>
      <c r="B1612" t="s">
        <v>26</v>
      </c>
      <c r="C1612">
        <v>61</v>
      </c>
      <c r="D1612">
        <v>2</v>
      </c>
      <c r="E1612" t="s">
        <v>66</v>
      </c>
      <c r="F1612" t="s">
        <v>67</v>
      </c>
      <c r="G1612" t="str">
        <f>"2025-09-02 06:35:06.426"</f>
        <v>2025-09-02 06:35:06.426</v>
      </c>
      <c r="H1612" t="s">
        <v>21</v>
      </c>
      <c r="I1612">
        <v>35.1</v>
      </c>
      <c r="J1612" t="s">
        <v>27</v>
      </c>
    </row>
    <row r="1613" spans="1:10" x14ac:dyDescent="0.25">
      <c r="A1613" s="1">
        <v>699</v>
      </c>
      <c r="B1613" t="s">
        <v>22</v>
      </c>
      <c r="C1613">
        <v>635</v>
      </c>
      <c r="D1613">
        <v>1</v>
      </c>
      <c r="E1613" t="s">
        <v>34</v>
      </c>
      <c r="F1613" t="s">
        <v>35</v>
      </c>
      <c r="G1613" t="str">
        <f>"2025-09-01 23:58:46.425"</f>
        <v>2025-09-01 23:58:46.425</v>
      </c>
      <c r="H1613" t="s">
        <v>21</v>
      </c>
    </row>
    <row r="1614" spans="1:10" x14ac:dyDescent="0.25">
      <c r="A1614" s="1">
        <v>700</v>
      </c>
      <c r="B1614" t="s">
        <v>36</v>
      </c>
      <c r="C1614">
        <v>635</v>
      </c>
      <c r="D1614">
        <v>1</v>
      </c>
      <c r="E1614" t="s">
        <v>34</v>
      </c>
      <c r="F1614" t="s">
        <v>35</v>
      </c>
      <c r="G1614" t="str">
        <f>"2025-09-01 23:55:34.925"</f>
        <v>2025-09-01 23:55:34.925</v>
      </c>
      <c r="H1614" t="s">
        <v>21</v>
      </c>
      <c r="I1614">
        <v>2.25</v>
      </c>
      <c r="J1614" t="s">
        <v>37</v>
      </c>
    </row>
    <row r="1615" spans="1:10" x14ac:dyDescent="0.25">
      <c r="A1615" s="1">
        <v>701</v>
      </c>
      <c r="B1615" t="s">
        <v>22</v>
      </c>
      <c r="C1615">
        <v>635</v>
      </c>
      <c r="D1615">
        <v>1</v>
      </c>
      <c r="E1615" t="s">
        <v>34</v>
      </c>
      <c r="F1615" t="s">
        <v>35</v>
      </c>
      <c r="G1615" t="str">
        <f>"2025-09-01 23:06:12.425"</f>
        <v>2025-09-01 23:06:12.425</v>
      </c>
      <c r="H1615" t="s">
        <v>21</v>
      </c>
    </row>
    <row r="1616" spans="1:10" x14ac:dyDescent="0.25">
      <c r="A1616" s="1">
        <v>702</v>
      </c>
      <c r="B1616" t="s">
        <v>36</v>
      </c>
      <c r="C1616">
        <v>635</v>
      </c>
      <c r="D1616">
        <v>1</v>
      </c>
      <c r="E1616" t="s">
        <v>34</v>
      </c>
      <c r="F1616" t="s">
        <v>35</v>
      </c>
      <c r="G1616" t="str">
        <f>"2025-09-01 23:01:05.025"</f>
        <v>2025-09-01 23:01:05.025</v>
      </c>
      <c r="H1616" t="s">
        <v>21</v>
      </c>
      <c r="I1616">
        <v>1.43</v>
      </c>
      <c r="J1616" t="s">
        <v>37</v>
      </c>
    </row>
    <row r="1617" spans="1:10" x14ac:dyDescent="0.25">
      <c r="A1617" s="1">
        <v>703</v>
      </c>
      <c r="B1617" t="s">
        <v>19</v>
      </c>
      <c r="C1617">
        <v>706</v>
      </c>
      <c r="D1617">
        <v>4</v>
      </c>
      <c r="E1617" t="s">
        <v>29</v>
      </c>
      <c r="F1617" t="s">
        <v>53</v>
      </c>
      <c r="G1617" t="str">
        <f>"2025-09-01 16:06:40.205"</f>
        <v>2025-09-01 16:06:40.205</v>
      </c>
      <c r="H1617" t="s">
        <v>21</v>
      </c>
      <c r="I1617">
        <v>0</v>
      </c>
      <c r="J1617" t="s">
        <v>31</v>
      </c>
    </row>
    <row r="1618" spans="1:10" x14ac:dyDescent="0.25">
      <c r="A1618" s="1">
        <v>704</v>
      </c>
      <c r="B1618" t="s">
        <v>19</v>
      </c>
      <c r="C1618">
        <v>700</v>
      </c>
      <c r="D1618">
        <v>0</v>
      </c>
      <c r="E1618" t="s">
        <v>20</v>
      </c>
      <c r="F1618" t="s">
        <v>20</v>
      </c>
      <c r="G1618" t="str">
        <f>"2025-09-01 13:31:11.295"</f>
        <v>2025-09-01 13:31:11.295</v>
      </c>
      <c r="H1618" t="s">
        <v>21</v>
      </c>
    </row>
    <row r="1619" spans="1:10" x14ac:dyDescent="0.25">
      <c r="A1619" s="1">
        <v>705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"2025-09-01 07:20:03.304"</f>
        <v>2025-09-01 07:20:03.304</v>
      </c>
      <c r="H1619" t="s">
        <v>21</v>
      </c>
      <c r="I1619">
        <v>0</v>
      </c>
      <c r="J1619" t="s">
        <v>33</v>
      </c>
    </row>
    <row r="1620" spans="1:10" x14ac:dyDescent="0.25">
      <c r="A1620" s="1">
        <v>706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"2025-08-31 23:07:47.273"</f>
        <v>2025-08-31 23:07:47.273</v>
      </c>
      <c r="H1620" t="s">
        <v>21</v>
      </c>
      <c r="I1620">
        <v>0</v>
      </c>
      <c r="J1620" t="s">
        <v>33</v>
      </c>
    </row>
    <row r="1621" spans="1:10" x14ac:dyDescent="0.25">
      <c r="A1621" s="1">
        <v>707</v>
      </c>
      <c r="B1621" t="s">
        <v>19</v>
      </c>
      <c r="C1621">
        <v>700</v>
      </c>
      <c r="D1621">
        <v>0</v>
      </c>
      <c r="E1621" t="s">
        <v>20</v>
      </c>
      <c r="F1621" t="s">
        <v>20</v>
      </c>
      <c r="G1621" t="str">
        <f>"2025-08-31 22:49:37.265"</f>
        <v>2025-08-31 22:49:37.265</v>
      </c>
      <c r="H1621" t="s">
        <v>21</v>
      </c>
      <c r="I1621">
        <v>0</v>
      </c>
      <c r="J1621" t="s">
        <v>33</v>
      </c>
    </row>
    <row r="1622" spans="1:10" x14ac:dyDescent="0.25">
      <c r="A1622" s="1">
        <v>708</v>
      </c>
      <c r="B1622" t="s">
        <v>19</v>
      </c>
      <c r="C1622">
        <v>700</v>
      </c>
      <c r="D1622">
        <v>0</v>
      </c>
      <c r="E1622" t="s">
        <v>20</v>
      </c>
      <c r="F1622" t="s">
        <v>20</v>
      </c>
      <c r="G1622" t="str">
        <f>"2025-08-31 21:48:32.274"</f>
        <v>2025-08-31 21:48:32.274</v>
      </c>
      <c r="H1622" t="s">
        <v>21</v>
      </c>
    </row>
    <row r="1623" spans="1:10" x14ac:dyDescent="0.25">
      <c r="A1623" s="1">
        <v>709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"2025-08-31 19:17:28.297"</f>
        <v>2025-08-31 19:17:28.297</v>
      </c>
      <c r="H1623" t="s">
        <v>21</v>
      </c>
      <c r="I1623">
        <v>0</v>
      </c>
      <c r="J1623" t="s">
        <v>33</v>
      </c>
    </row>
    <row r="1624" spans="1:10" x14ac:dyDescent="0.25">
      <c r="A1624" s="1">
        <v>710</v>
      </c>
      <c r="B1624" t="s">
        <v>19</v>
      </c>
      <c r="C1624">
        <v>706</v>
      </c>
      <c r="D1624">
        <v>4</v>
      </c>
      <c r="E1624" t="s">
        <v>29</v>
      </c>
      <c r="F1624" t="s">
        <v>53</v>
      </c>
      <c r="G1624" t="str">
        <f>"2025-08-31 16:05:00.601"</f>
        <v>2025-08-31 16:05:00.601</v>
      </c>
      <c r="H1624" t="s">
        <v>21</v>
      </c>
      <c r="I1624">
        <v>0</v>
      </c>
      <c r="J1624" t="s">
        <v>31</v>
      </c>
    </row>
    <row r="1625" spans="1:10" x14ac:dyDescent="0.25">
      <c r="A1625" s="1">
        <v>711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"2025-08-31 14:36:38.271"</f>
        <v>2025-08-31 14:36:38.271</v>
      </c>
      <c r="H1625" t="s">
        <v>21</v>
      </c>
    </row>
    <row r="1626" spans="1:10" x14ac:dyDescent="0.25">
      <c r="A1626" s="1">
        <v>712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"2025-08-31 14:04:43.304"</f>
        <v>2025-08-31 14:04:43.304</v>
      </c>
      <c r="H1626" t="s">
        <v>21</v>
      </c>
    </row>
    <row r="1627" spans="1:10" x14ac:dyDescent="0.25">
      <c r="A1627" s="1">
        <v>713</v>
      </c>
      <c r="B1627" t="s">
        <v>19</v>
      </c>
      <c r="C1627">
        <v>700</v>
      </c>
      <c r="D1627">
        <v>0</v>
      </c>
      <c r="E1627" t="s">
        <v>20</v>
      </c>
      <c r="F1627" t="s">
        <v>20</v>
      </c>
      <c r="G1627" t="str">
        <f>"2025-08-31 10:23:30.403"</f>
        <v>2025-08-31 10:23:30.403</v>
      </c>
      <c r="H1627" t="s">
        <v>21</v>
      </c>
      <c r="I1627">
        <v>0</v>
      </c>
      <c r="J1627" t="s">
        <v>33</v>
      </c>
    </row>
    <row r="1628" spans="1:10" x14ac:dyDescent="0.25">
      <c r="A1628" s="1">
        <v>714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"2025-08-30 08:01:13.291"</f>
        <v>2025-08-30 08:01:13.291</v>
      </c>
      <c r="H1628" t="s">
        <v>21</v>
      </c>
      <c r="I1628">
        <v>0</v>
      </c>
      <c r="J1628" t="s">
        <v>33</v>
      </c>
    </row>
    <row r="1629" spans="1:10" x14ac:dyDescent="0.25">
      <c r="A1629" s="1">
        <v>715</v>
      </c>
      <c r="B1629" t="s">
        <v>22</v>
      </c>
      <c r="C1629">
        <v>6</v>
      </c>
      <c r="D1629">
        <v>1</v>
      </c>
      <c r="E1629" t="s">
        <v>44</v>
      </c>
      <c r="F1629" t="s">
        <v>45</v>
      </c>
      <c r="G1629" t="str">
        <f>"2025-08-29 14:47:54.341"</f>
        <v>2025-08-29 14:47:54.341</v>
      </c>
      <c r="H1629" t="s">
        <v>46</v>
      </c>
    </row>
    <row r="1630" spans="1:10" x14ac:dyDescent="0.25">
      <c r="A1630" s="1">
        <v>716</v>
      </c>
      <c r="B1630" t="s">
        <v>22</v>
      </c>
      <c r="C1630">
        <v>75</v>
      </c>
      <c r="D1630">
        <v>1</v>
      </c>
      <c r="E1630" t="s">
        <v>47</v>
      </c>
      <c r="F1630" t="s">
        <v>48</v>
      </c>
      <c r="G1630" t="str">
        <f>"2025-08-29 14:47:54.339"</f>
        <v>2025-08-29 14:47:54.339</v>
      </c>
      <c r="H1630" t="s">
        <v>49</v>
      </c>
    </row>
    <row r="1631" spans="1:10" x14ac:dyDescent="0.25">
      <c r="A1631" s="1">
        <v>717</v>
      </c>
      <c r="B1631" t="s">
        <v>22</v>
      </c>
      <c r="C1631">
        <v>74</v>
      </c>
      <c r="D1631">
        <v>1</v>
      </c>
      <c r="E1631" t="s">
        <v>50</v>
      </c>
      <c r="F1631" t="s">
        <v>51</v>
      </c>
      <c r="G1631" t="str">
        <f>"2025-08-29 14:47:54.337"</f>
        <v>2025-08-29 14:47:54.337</v>
      </c>
      <c r="H1631" t="s">
        <v>52</v>
      </c>
    </row>
    <row r="1632" spans="1:10" x14ac:dyDescent="0.25">
      <c r="A1632" s="1">
        <v>718</v>
      </c>
      <c r="B1632" t="s">
        <v>36</v>
      </c>
      <c r="C1632">
        <v>75</v>
      </c>
      <c r="D1632">
        <v>1</v>
      </c>
      <c r="E1632" t="s">
        <v>47</v>
      </c>
      <c r="F1632" t="s">
        <v>48</v>
      </c>
      <c r="G1632" t="str">
        <f>"2025-08-29 14:47:42.248"</f>
        <v>2025-08-29 14:47:42.248</v>
      </c>
      <c r="H1632" t="s">
        <v>49</v>
      </c>
      <c r="I1632">
        <v>0</v>
      </c>
      <c r="J1632" t="s">
        <v>28</v>
      </c>
    </row>
    <row r="1633" spans="1:10" x14ac:dyDescent="0.25">
      <c r="A1633" s="1">
        <v>719</v>
      </c>
      <c r="B1633" t="s">
        <v>36</v>
      </c>
      <c r="C1633">
        <v>74</v>
      </c>
      <c r="D1633">
        <v>1</v>
      </c>
      <c r="E1633" t="s">
        <v>50</v>
      </c>
      <c r="F1633" t="s">
        <v>51</v>
      </c>
      <c r="G1633" t="str">
        <f>"2025-08-29 14:47:42.241"</f>
        <v>2025-08-29 14:47:42.241</v>
      </c>
      <c r="H1633" t="s">
        <v>52</v>
      </c>
      <c r="I1633">
        <v>0</v>
      </c>
      <c r="J1633" t="s">
        <v>28</v>
      </c>
    </row>
    <row r="1634" spans="1:10" x14ac:dyDescent="0.25">
      <c r="A1634" s="1">
        <v>720</v>
      </c>
      <c r="B1634" t="s">
        <v>26</v>
      </c>
      <c r="C1634">
        <v>6</v>
      </c>
      <c r="D1634">
        <v>1</v>
      </c>
      <c r="E1634" t="s">
        <v>44</v>
      </c>
      <c r="F1634" t="s">
        <v>45</v>
      </c>
      <c r="G1634" t="str">
        <f>"2025-08-29 14:47:42.237"</f>
        <v>2025-08-29 14:47:42.237</v>
      </c>
      <c r="H1634" t="s">
        <v>46</v>
      </c>
      <c r="I1634">
        <v>0</v>
      </c>
      <c r="J1634" t="s">
        <v>28</v>
      </c>
    </row>
    <row r="1635" spans="1:10" x14ac:dyDescent="0.25">
      <c r="A1635" s="1">
        <v>722</v>
      </c>
      <c r="B1635" t="s">
        <v>19</v>
      </c>
      <c r="C1635">
        <v>700</v>
      </c>
      <c r="D1635">
        <v>0</v>
      </c>
      <c r="E1635" t="s">
        <v>20</v>
      </c>
      <c r="F1635" t="s">
        <v>20</v>
      </c>
      <c r="G1635" t="str">
        <f>"2025-08-29 13:58:14.393"</f>
        <v>2025-08-29 13:58:14.393</v>
      </c>
      <c r="H1635" t="s">
        <v>21</v>
      </c>
      <c r="I1635">
        <v>0</v>
      </c>
      <c r="J1635" t="s">
        <v>33</v>
      </c>
    </row>
    <row r="1636" spans="1:10" x14ac:dyDescent="0.25">
      <c r="A1636" s="1">
        <v>723</v>
      </c>
      <c r="B1636" t="s">
        <v>19</v>
      </c>
      <c r="C1636">
        <v>700</v>
      </c>
      <c r="D1636">
        <v>0</v>
      </c>
      <c r="E1636" t="s">
        <v>20</v>
      </c>
      <c r="F1636" t="s">
        <v>20</v>
      </c>
      <c r="G1636" t="str">
        <f>"2025-08-29 09:18:57.310"</f>
        <v>2025-08-29 09:18:57.310</v>
      </c>
      <c r="H1636" t="s">
        <v>21</v>
      </c>
    </row>
    <row r="1637" spans="1:10" x14ac:dyDescent="0.25">
      <c r="A1637" s="1">
        <v>724</v>
      </c>
      <c r="B1637" t="s">
        <v>22</v>
      </c>
      <c r="C1637">
        <v>635</v>
      </c>
      <c r="D1637">
        <v>1</v>
      </c>
      <c r="E1637" t="s">
        <v>34</v>
      </c>
      <c r="F1637" t="s">
        <v>35</v>
      </c>
      <c r="G1637" t="str">
        <f>"2025-08-29 06:44:41.988"</f>
        <v>2025-08-29 06:44:41.988</v>
      </c>
      <c r="H1637" t="s">
        <v>21</v>
      </c>
    </row>
    <row r="1638" spans="1:10" x14ac:dyDescent="0.25">
      <c r="A1638" s="1">
        <v>725</v>
      </c>
      <c r="B1638" t="s">
        <v>36</v>
      </c>
      <c r="C1638">
        <v>635</v>
      </c>
      <c r="D1638">
        <v>1</v>
      </c>
      <c r="E1638" t="s">
        <v>34</v>
      </c>
      <c r="F1638" t="s">
        <v>35</v>
      </c>
      <c r="G1638" t="str">
        <f>"2025-08-29 06:42:29.488"</f>
        <v>2025-08-29 06:42:29.488</v>
      </c>
      <c r="H1638" t="s">
        <v>21</v>
      </c>
      <c r="I1638">
        <v>2.14</v>
      </c>
      <c r="J1638" t="s">
        <v>28</v>
      </c>
    </row>
    <row r="1639" spans="1:10" x14ac:dyDescent="0.25">
      <c r="A1639" s="1">
        <v>726</v>
      </c>
      <c r="B1639" t="s">
        <v>22</v>
      </c>
      <c r="C1639">
        <v>635</v>
      </c>
      <c r="D1639">
        <v>1</v>
      </c>
      <c r="E1639" t="s">
        <v>34</v>
      </c>
      <c r="F1639" t="s">
        <v>35</v>
      </c>
      <c r="G1639" t="str">
        <f>"2025-08-29 06:14:39.588"</f>
        <v>2025-08-29 06:14:39.588</v>
      </c>
      <c r="H1639" t="s">
        <v>21</v>
      </c>
    </row>
    <row r="1640" spans="1:10" x14ac:dyDescent="0.25">
      <c r="A1640" s="1">
        <v>727</v>
      </c>
      <c r="B1640" t="s">
        <v>36</v>
      </c>
      <c r="C1640">
        <v>635</v>
      </c>
      <c r="D1640">
        <v>1</v>
      </c>
      <c r="E1640" t="s">
        <v>34</v>
      </c>
      <c r="F1640" t="s">
        <v>35</v>
      </c>
      <c r="G1640" t="str">
        <f>"2025-08-29 06:11:54.588"</f>
        <v>2025-08-29 06:11:54.588</v>
      </c>
      <c r="H1640" t="s">
        <v>21</v>
      </c>
      <c r="I1640">
        <v>2.69</v>
      </c>
      <c r="J1640" t="s">
        <v>27</v>
      </c>
    </row>
    <row r="1641" spans="1:10" x14ac:dyDescent="0.25">
      <c r="A1641" s="1">
        <v>728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"2025-08-29 02:10:41.260"</f>
        <v>2025-08-29 02:10:41.260</v>
      </c>
      <c r="H1641" t="s">
        <v>21</v>
      </c>
    </row>
    <row r="1642" spans="1:10" x14ac:dyDescent="0.25">
      <c r="A1642" s="1">
        <v>729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"2025-08-28 13:51:02.272"</f>
        <v>2025-08-28 13:51:02.272</v>
      </c>
      <c r="H1642" t="s">
        <v>21</v>
      </c>
      <c r="I1642">
        <v>0</v>
      </c>
      <c r="J1642" t="s">
        <v>33</v>
      </c>
    </row>
    <row r="1643" spans="1:10" x14ac:dyDescent="0.25">
      <c r="A1643" s="1">
        <v>730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"2025-08-28 09:16:23.298"</f>
        <v>2025-08-28 09:16:23.298</v>
      </c>
      <c r="H1643" t="s">
        <v>21</v>
      </c>
    </row>
    <row r="1644" spans="1:10" x14ac:dyDescent="0.25">
      <c r="A1644" s="1">
        <v>731</v>
      </c>
      <c r="B1644" t="s">
        <v>19</v>
      </c>
      <c r="C1644">
        <v>700</v>
      </c>
      <c r="D1644">
        <v>0</v>
      </c>
      <c r="E1644" t="s">
        <v>20</v>
      </c>
      <c r="F1644" t="s">
        <v>20</v>
      </c>
      <c r="G1644" t="str">
        <f>"2025-08-27 13:21:19.273"</f>
        <v>2025-08-27 13:21:19.273</v>
      </c>
      <c r="H1644" t="s">
        <v>21</v>
      </c>
    </row>
    <row r="1645" spans="1:10" x14ac:dyDescent="0.25">
      <c r="A1645" s="1">
        <v>732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"2025-08-27 10:20:23.255"</f>
        <v>2025-08-27 10:20:23.255</v>
      </c>
      <c r="H1645" t="s">
        <v>21</v>
      </c>
      <c r="I1645">
        <v>0</v>
      </c>
      <c r="J1645" t="s">
        <v>33</v>
      </c>
    </row>
    <row r="1646" spans="1:10" x14ac:dyDescent="0.25">
      <c r="A1646" s="1">
        <v>734</v>
      </c>
      <c r="B1646" t="s">
        <v>19</v>
      </c>
      <c r="C1646">
        <v>700</v>
      </c>
      <c r="D1646">
        <v>0</v>
      </c>
      <c r="E1646" t="s">
        <v>20</v>
      </c>
      <c r="F1646" t="s">
        <v>20</v>
      </c>
      <c r="G1646" t="str">
        <f>"2025-08-26 13:41:08.278"</f>
        <v>2025-08-26 13:41:08.278</v>
      </c>
      <c r="H1646" t="s">
        <v>21</v>
      </c>
    </row>
    <row r="1647" spans="1:10" x14ac:dyDescent="0.25">
      <c r="A1647" s="1">
        <v>735</v>
      </c>
      <c r="B1647" t="s">
        <v>19</v>
      </c>
      <c r="C1647">
        <v>700</v>
      </c>
      <c r="D1647">
        <v>0</v>
      </c>
      <c r="E1647" t="s">
        <v>20</v>
      </c>
      <c r="F1647" t="s">
        <v>20</v>
      </c>
      <c r="G1647" t="str">
        <f>"2025-08-26 08:28:21.261"</f>
        <v>2025-08-26 08:28:21.261</v>
      </c>
      <c r="H1647" t="s">
        <v>21</v>
      </c>
    </row>
    <row r="1648" spans="1:10" x14ac:dyDescent="0.25">
      <c r="A1648" s="1">
        <v>736</v>
      </c>
      <c r="B1648" t="s">
        <v>19</v>
      </c>
      <c r="C1648">
        <v>700</v>
      </c>
      <c r="D1648">
        <v>0</v>
      </c>
      <c r="E1648" t="s">
        <v>20</v>
      </c>
      <c r="F1648" t="s">
        <v>20</v>
      </c>
      <c r="G1648" t="str">
        <f>"2025-08-26 08:02:51.249"</f>
        <v>2025-08-26 08:02:51.249</v>
      </c>
      <c r="H1648" t="s">
        <v>21</v>
      </c>
    </row>
    <row r="1649" spans="1:10" x14ac:dyDescent="0.25">
      <c r="A1649" s="1">
        <v>737</v>
      </c>
      <c r="B1649" t="s">
        <v>19</v>
      </c>
      <c r="C1649">
        <v>700</v>
      </c>
      <c r="D1649">
        <v>0</v>
      </c>
      <c r="E1649" t="s">
        <v>20</v>
      </c>
      <c r="F1649" t="s">
        <v>20</v>
      </c>
      <c r="G1649" t="str">
        <f>"2025-08-26 07:47:57.255"</f>
        <v>2025-08-26 07:47:57.255</v>
      </c>
      <c r="H1649" t="s">
        <v>21</v>
      </c>
    </row>
    <row r="1650" spans="1:10" x14ac:dyDescent="0.25">
      <c r="A1650" s="1">
        <v>738</v>
      </c>
      <c r="B1650" t="s">
        <v>19</v>
      </c>
      <c r="C1650">
        <v>700</v>
      </c>
      <c r="D1650">
        <v>0</v>
      </c>
      <c r="E1650" t="s">
        <v>20</v>
      </c>
      <c r="F1650" t="s">
        <v>20</v>
      </c>
      <c r="G1650" t="str">
        <f>"2025-08-26 07:39:55.246"</f>
        <v>2025-08-26 07:39:55.246</v>
      </c>
      <c r="H1650" t="s">
        <v>21</v>
      </c>
      <c r="I1650">
        <v>0</v>
      </c>
      <c r="J1650" t="s">
        <v>33</v>
      </c>
    </row>
    <row r="1651" spans="1:10" x14ac:dyDescent="0.25">
      <c r="A1651" s="1">
        <v>739</v>
      </c>
      <c r="B1651" t="s">
        <v>19</v>
      </c>
      <c r="C1651">
        <v>706</v>
      </c>
      <c r="D1651">
        <v>4</v>
      </c>
      <c r="E1651" t="s">
        <v>29</v>
      </c>
      <c r="F1651" t="s">
        <v>53</v>
      </c>
      <c r="G1651" t="str">
        <f>"2025-08-26 03:38:15.834"</f>
        <v>2025-08-26 03:38:15.834</v>
      </c>
      <c r="H1651" t="s">
        <v>21</v>
      </c>
      <c r="I1651">
        <v>0</v>
      </c>
      <c r="J1651" t="s">
        <v>31</v>
      </c>
    </row>
    <row r="1652" spans="1:10" x14ac:dyDescent="0.25">
      <c r="A1652" s="1">
        <v>740</v>
      </c>
      <c r="B1652" t="s">
        <v>19</v>
      </c>
      <c r="C1652">
        <v>706</v>
      </c>
      <c r="D1652">
        <v>2</v>
      </c>
      <c r="E1652" t="s">
        <v>29</v>
      </c>
      <c r="F1652" t="s">
        <v>30</v>
      </c>
      <c r="G1652" t="str">
        <f>"2025-08-26 03:34:31.534"</f>
        <v>2025-08-26 03:34:31.534</v>
      </c>
      <c r="H1652" t="s">
        <v>21</v>
      </c>
      <c r="I1652">
        <v>0</v>
      </c>
      <c r="J1652" t="s">
        <v>31</v>
      </c>
    </row>
    <row r="1653" spans="1:10" x14ac:dyDescent="0.25">
      <c r="A1653" s="1">
        <v>741</v>
      </c>
      <c r="B1653" t="s">
        <v>19</v>
      </c>
      <c r="C1653">
        <v>706</v>
      </c>
      <c r="D1653">
        <v>4</v>
      </c>
      <c r="E1653" t="s">
        <v>29</v>
      </c>
      <c r="F1653" t="s">
        <v>53</v>
      </c>
      <c r="G1653" t="str">
        <f>"2025-08-26 03:34:20.054"</f>
        <v>2025-08-26 03:34:20.054</v>
      </c>
      <c r="H1653" t="s">
        <v>21</v>
      </c>
      <c r="I1653">
        <v>0</v>
      </c>
      <c r="J1653" t="s">
        <v>31</v>
      </c>
    </row>
    <row r="1654" spans="1:10" x14ac:dyDescent="0.25">
      <c r="A1654" s="1">
        <v>742</v>
      </c>
      <c r="B1654" t="s">
        <v>19</v>
      </c>
      <c r="C1654">
        <v>776</v>
      </c>
      <c r="D1654">
        <v>1</v>
      </c>
      <c r="E1654" t="s">
        <v>113</v>
      </c>
      <c r="F1654" t="s">
        <v>114</v>
      </c>
      <c r="G1654" t="str">
        <f>"2025-08-26 03:28:29.401"</f>
        <v>2025-08-26 03:28:29.401</v>
      </c>
      <c r="H1654" t="s">
        <v>21</v>
      </c>
      <c r="I1654">
        <v>0</v>
      </c>
      <c r="J1654" t="s">
        <v>31</v>
      </c>
    </row>
    <row r="1655" spans="1:10" x14ac:dyDescent="0.25">
      <c r="A1655" s="1">
        <v>743</v>
      </c>
      <c r="B1655" t="s">
        <v>19</v>
      </c>
      <c r="C1655">
        <v>776</v>
      </c>
      <c r="D1655">
        <v>2</v>
      </c>
      <c r="E1655" t="s">
        <v>113</v>
      </c>
      <c r="F1655" t="s">
        <v>115</v>
      </c>
      <c r="G1655" t="str">
        <f>"2025-08-26 03:28:28.141"</f>
        <v>2025-08-26 03:28:28.141</v>
      </c>
      <c r="H1655" t="s">
        <v>21</v>
      </c>
      <c r="I1655">
        <v>0</v>
      </c>
      <c r="J1655" t="s">
        <v>31</v>
      </c>
    </row>
    <row r="1656" spans="1:10" x14ac:dyDescent="0.25">
      <c r="A1656" s="1">
        <v>744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"2025-08-26 03:28:19.254"</f>
        <v>2025-08-26 03:28:19.254</v>
      </c>
      <c r="H1656" t="s">
        <v>21</v>
      </c>
    </row>
    <row r="1657" spans="1:10" x14ac:dyDescent="0.25">
      <c r="A1657" s="1">
        <v>745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"2025-08-26 02:09:59.256"</f>
        <v>2025-08-26 02:09:59.256</v>
      </c>
      <c r="H1657" t="s">
        <v>21</v>
      </c>
      <c r="I1657">
        <v>0</v>
      </c>
      <c r="J1657" t="s">
        <v>33</v>
      </c>
    </row>
    <row r="1658" spans="1:10" x14ac:dyDescent="0.25">
      <c r="A1658" s="1">
        <v>746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"2025-08-25 09:14:54.292"</f>
        <v>2025-08-25 09:14:54.292</v>
      </c>
      <c r="H1658" t="s">
        <v>21</v>
      </c>
    </row>
    <row r="1659" spans="1:10" x14ac:dyDescent="0.25">
      <c r="A1659" s="1">
        <v>747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"2025-08-25 03:06:00.259"</f>
        <v>2025-08-25 03:06:00.259</v>
      </c>
      <c r="H1659" t="s">
        <v>21</v>
      </c>
      <c r="I1659">
        <v>0</v>
      </c>
      <c r="J1659" t="s">
        <v>33</v>
      </c>
    </row>
    <row r="1660" spans="1:10" x14ac:dyDescent="0.25">
      <c r="A1660" s="1">
        <v>748</v>
      </c>
      <c r="B1660" t="s">
        <v>19</v>
      </c>
      <c r="C1660">
        <v>700</v>
      </c>
      <c r="D1660">
        <v>0</v>
      </c>
      <c r="E1660" t="s">
        <v>20</v>
      </c>
      <c r="F1660" t="s">
        <v>20</v>
      </c>
      <c r="G1660" t="str">
        <f>"2025-08-24 14:06:58.295"</f>
        <v>2025-08-24 14:06:58.295</v>
      </c>
      <c r="H1660" t="s">
        <v>21</v>
      </c>
    </row>
    <row r="1661" spans="1:10" x14ac:dyDescent="0.25">
      <c r="A1661" s="1">
        <v>749</v>
      </c>
      <c r="B1661" t="s">
        <v>40</v>
      </c>
      <c r="C1661">
        <v>115</v>
      </c>
      <c r="D1661">
        <v>6</v>
      </c>
      <c r="E1661" t="s">
        <v>43</v>
      </c>
      <c r="F1661" t="s">
        <v>42</v>
      </c>
      <c r="G1661" t="str">
        <f>"2025-08-24 01:34:55.175"</f>
        <v>2025-08-24 01:34:55.175</v>
      </c>
      <c r="H1661" t="s">
        <v>21</v>
      </c>
    </row>
    <row r="1662" spans="1:10" x14ac:dyDescent="0.25">
      <c r="A1662" s="1">
        <v>750</v>
      </c>
      <c r="B1662" t="s">
        <v>40</v>
      </c>
      <c r="C1662">
        <v>215</v>
      </c>
      <c r="D1662">
        <v>6</v>
      </c>
      <c r="E1662" t="s">
        <v>41</v>
      </c>
      <c r="F1662" t="s">
        <v>42</v>
      </c>
      <c r="G1662" t="str">
        <f>"2025-08-24 01:34:54.076"</f>
        <v>2025-08-24 01:34:54.076</v>
      </c>
      <c r="H1662" t="s">
        <v>21</v>
      </c>
    </row>
    <row r="1663" spans="1:10" x14ac:dyDescent="0.25">
      <c r="A1663" s="1">
        <v>751</v>
      </c>
      <c r="B1663" t="s">
        <v>26</v>
      </c>
      <c r="C1663">
        <v>115</v>
      </c>
      <c r="D1663">
        <v>6</v>
      </c>
      <c r="E1663" t="s">
        <v>43</v>
      </c>
      <c r="F1663" t="s">
        <v>42</v>
      </c>
      <c r="G1663" t="str">
        <f>"2025-08-24 01:34:49.409"</f>
        <v>2025-08-24 01:34:49.409</v>
      </c>
      <c r="H1663" t="s">
        <v>21</v>
      </c>
      <c r="I1663">
        <v>0</v>
      </c>
      <c r="J1663" t="s">
        <v>31</v>
      </c>
    </row>
    <row r="1664" spans="1:10" x14ac:dyDescent="0.25">
      <c r="A1664" s="1">
        <v>752</v>
      </c>
      <c r="B1664" t="s">
        <v>26</v>
      </c>
      <c r="C1664">
        <v>215</v>
      </c>
      <c r="D1664">
        <v>6</v>
      </c>
      <c r="E1664" t="s">
        <v>41</v>
      </c>
      <c r="F1664" t="s">
        <v>42</v>
      </c>
      <c r="G1664" t="str">
        <f>"2025-08-24 01:34:49.049"</f>
        <v>2025-08-24 01:34:49.049</v>
      </c>
      <c r="H1664" t="s">
        <v>21</v>
      </c>
      <c r="I1664">
        <v>0</v>
      </c>
      <c r="J1664" t="s">
        <v>31</v>
      </c>
    </row>
    <row r="1665" spans="1:10" x14ac:dyDescent="0.25">
      <c r="A1665" s="1">
        <v>753</v>
      </c>
      <c r="B1665" t="s">
        <v>22</v>
      </c>
      <c r="C1665">
        <v>6</v>
      </c>
      <c r="D1665">
        <v>1</v>
      </c>
      <c r="E1665" t="s">
        <v>44</v>
      </c>
      <c r="F1665" t="s">
        <v>45</v>
      </c>
      <c r="G1665" t="str">
        <f>"2025-08-24 01:34:48.908"</f>
        <v>2025-08-24 01:34:48.908</v>
      </c>
      <c r="H1665" t="s">
        <v>46</v>
      </c>
    </row>
    <row r="1666" spans="1:10" x14ac:dyDescent="0.25">
      <c r="A1666" s="1">
        <v>754</v>
      </c>
      <c r="B1666" t="s">
        <v>22</v>
      </c>
      <c r="C1666">
        <v>75</v>
      </c>
      <c r="D1666">
        <v>1</v>
      </c>
      <c r="E1666" t="s">
        <v>47</v>
      </c>
      <c r="F1666" t="s">
        <v>48</v>
      </c>
      <c r="G1666" t="str">
        <f>"2025-08-24 01:34:48.906"</f>
        <v>2025-08-24 01:34:48.906</v>
      </c>
      <c r="H1666" t="s">
        <v>49</v>
      </c>
    </row>
    <row r="1667" spans="1:10" x14ac:dyDescent="0.25">
      <c r="A1667" s="1">
        <v>755</v>
      </c>
      <c r="B1667" t="s">
        <v>22</v>
      </c>
      <c r="C1667">
        <v>74</v>
      </c>
      <c r="D1667">
        <v>1</v>
      </c>
      <c r="E1667" t="s">
        <v>50</v>
      </c>
      <c r="F1667" t="s">
        <v>51</v>
      </c>
      <c r="G1667" t="str">
        <f>"2025-08-24 01:34:48.903"</f>
        <v>2025-08-24 01:34:48.903</v>
      </c>
      <c r="H1667" t="s">
        <v>52</v>
      </c>
    </row>
    <row r="1668" spans="1:10" x14ac:dyDescent="0.25">
      <c r="A1668" s="1">
        <v>756</v>
      </c>
      <c r="B1668" t="s">
        <v>36</v>
      </c>
      <c r="C1668">
        <v>75</v>
      </c>
      <c r="D1668">
        <v>1</v>
      </c>
      <c r="E1668" t="s">
        <v>47</v>
      </c>
      <c r="F1668" t="s">
        <v>48</v>
      </c>
      <c r="G1668" t="str">
        <f>"2025-08-24 01:34:37.414"</f>
        <v>2025-08-24 01:34:37.414</v>
      </c>
      <c r="H1668" t="s">
        <v>49</v>
      </c>
      <c r="I1668">
        <v>0</v>
      </c>
      <c r="J1668" t="s">
        <v>31</v>
      </c>
    </row>
    <row r="1669" spans="1:10" x14ac:dyDescent="0.25">
      <c r="A1669" s="1">
        <v>757</v>
      </c>
      <c r="B1669" t="s">
        <v>36</v>
      </c>
      <c r="C1669">
        <v>74</v>
      </c>
      <c r="D1669">
        <v>1</v>
      </c>
      <c r="E1669" t="s">
        <v>50</v>
      </c>
      <c r="F1669" t="s">
        <v>51</v>
      </c>
      <c r="G1669" t="str">
        <f>"2025-08-24 01:34:37.409"</f>
        <v>2025-08-24 01:34:37.409</v>
      </c>
      <c r="H1669" t="s">
        <v>52</v>
      </c>
      <c r="I1669">
        <v>0</v>
      </c>
      <c r="J1669" t="s">
        <v>31</v>
      </c>
    </row>
    <row r="1670" spans="1:10" x14ac:dyDescent="0.25">
      <c r="A1670" s="1">
        <v>758</v>
      </c>
      <c r="B1670" t="s">
        <v>26</v>
      </c>
      <c r="C1670">
        <v>6</v>
      </c>
      <c r="D1670">
        <v>1</v>
      </c>
      <c r="E1670" t="s">
        <v>44</v>
      </c>
      <c r="F1670" t="s">
        <v>45</v>
      </c>
      <c r="G1670" t="str">
        <f>"2025-08-24 01:34:37.404"</f>
        <v>2025-08-24 01:34:37.404</v>
      </c>
      <c r="H1670" t="s">
        <v>46</v>
      </c>
      <c r="I1670">
        <v>0</v>
      </c>
      <c r="J1670" t="s">
        <v>31</v>
      </c>
    </row>
    <row r="1671" spans="1:10" x14ac:dyDescent="0.25">
      <c r="A1671" s="1">
        <v>763</v>
      </c>
      <c r="B1671" t="s">
        <v>19</v>
      </c>
      <c r="C1671">
        <v>706</v>
      </c>
      <c r="D1671">
        <v>2</v>
      </c>
      <c r="E1671" t="s">
        <v>29</v>
      </c>
      <c r="F1671" t="s">
        <v>30</v>
      </c>
      <c r="G1671" t="str">
        <f>"2025-08-23 13:14:45.905"</f>
        <v>2025-08-23 13:14:45.905</v>
      </c>
      <c r="H1671" t="s">
        <v>21</v>
      </c>
      <c r="I1671">
        <v>0</v>
      </c>
      <c r="J1671" t="s">
        <v>31</v>
      </c>
    </row>
    <row r="1672" spans="1:10" x14ac:dyDescent="0.25">
      <c r="A1672" s="1">
        <v>764</v>
      </c>
      <c r="B1672" t="s">
        <v>19</v>
      </c>
      <c r="C1672">
        <v>706</v>
      </c>
      <c r="D1672">
        <v>2</v>
      </c>
      <c r="E1672" t="s">
        <v>29</v>
      </c>
      <c r="F1672" t="s">
        <v>30</v>
      </c>
      <c r="G1672" t="str">
        <f>"2025-08-23 13:14:22.305"</f>
        <v>2025-08-23 13:14:22.305</v>
      </c>
      <c r="H1672" t="s">
        <v>21</v>
      </c>
      <c r="I1672">
        <v>0</v>
      </c>
      <c r="J1672" t="s">
        <v>31</v>
      </c>
    </row>
    <row r="1673" spans="1:10" x14ac:dyDescent="0.25">
      <c r="A1673" s="1">
        <v>765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"2025-08-23 13:12:55.245"</f>
        <v>2025-08-23 13:12:55.245</v>
      </c>
      <c r="H1673" t="s">
        <v>21</v>
      </c>
    </row>
    <row r="1674" spans="1:10" x14ac:dyDescent="0.25">
      <c r="A1674" s="1">
        <v>766</v>
      </c>
      <c r="B1674" t="s">
        <v>19</v>
      </c>
      <c r="C1674">
        <v>706</v>
      </c>
      <c r="D1674">
        <v>4</v>
      </c>
      <c r="E1674" t="s">
        <v>29</v>
      </c>
      <c r="F1674" t="s">
        <v>53</v>
      </c>
      <c r="G1674" t="str">
        <f>"2025-08-23 13:07:34.898"</f>
        <v>2025-08-23 13:07:34.898</v>
      </c>
      <c r="H1674" t="s">
        <v>21</v>
      </c>
      <c r="I1674">
        <v>0</v>
      </c>
      <c r="J1674" t="s">
        <v>31</v>
      </c>
    </row>
    <row r="1675" spans="1:10" x14ac:dyDescent="0.25">
      <c r="A1675" s="1">
        <v>767</v>
      </c>
      <c r="B1675" t="s">
        <v>19</v>
      </c>
      <c r="C1675">
        <v>706</v>
      </c>
      <c r="D1675">
        <v>3</v>
      </c>
      <c r="E1675" t="s">
        <v>29</v>
      </c>
      <c r="F1675" t="s">
        <v>32</v>
      </c>
      <c r="G1675" t="str">
        <f>"2025-08-23 12:38:11.438"</f>
        <v>2025-08-23 12:38:11.438</v>
      </c>
      <c r="H1675" t="s">
        <v>21</v>
      </c>
      <c r="I1675">
        <v>0</v>
      </c>
      <c r="J1675" t="s">
        <v>31</v>
      </c>
    </row>
    <row r="1676" spans="1:10" x14ac:dyDescent="0.25">
      <c r="A1676" s="1">
        <v>768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"2025-08-23 12:37:20.248"</f>
        <v>2025-08-23 12:37:20.248</v>
      </c>
      <c r="H1676" t="s">
        <v>21</v>
      </c>
    </row>
    <row r="1677" spans="1:10" x14ac:dyDescent="0.25">
      <c r="A1677" s="1">
        <v>769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"2025-08-23 12:35:25.274"</f>
        <v>2025-08-23 12:35:25.274</v>
      </c>
      <c r="H1677" t="s">
        <v>21</v>
      </c>
      <c r="I1677">
        <v>0</v>
      </c>
      <c r="J1677" t="s">
        <v>33</v>
      </c>
    </row>
    <row r="1678" spans="1:10" x14ac:dyDescent="0.25">
      <c r="A1678" s="1">
        <v>770</v>
      </c>
      <c r="B1678" t="s">
        <v>22</v>
      </c>
      <c r="C1678">
        <v>61</v>
      </c>
      <c r="D1678">
        <v>2</v>
      </c>
      <c r="E1678" t="s">
        <v>66</v>
      </c>
      <c r="F1678" t="s">
        <v>67</v>
      </c>
      <c r="G1678" t="str">
        <f>"2025-08-23 06:43:35.779"</f>
        <v>2025-08-23 06:43:35.779</v>
      </c>
      <c r="H1678" t="s">
        <v>21</v>
      </c>
    </row>
    <row r="1679" spans="1:10" x14ac:dyDescent="0.25">
      <c r="A1679" s="1">
        <v>771</v>
      </c>
      <c r="B1679" t="s">
        <v>26</v>
      </c>
      <c r="C1679">
        <v>61</v>
      </c>
      <c r="D1679">
        <v>2</v>
      </c>
      <c r="E1679" t="s">
        <v>66</v>
      </c>
      <c r="F1679" t="s">
        <v>67</v>
      </c>
      <c r="G1679" t="str">
        <f>"2025-08-23 06:43:20.980"</f>
        <v>2025-08-23 06:43:20.980</v>
      </c>
      <c r="H1679" t="s">
        <v>21</v>
      </c>
      <c r="I1679">
        <v>35.1</v>
      </c>
      <c r="J1679" t="s">
        <v>27</v>
      </c>
    </row>
    <row r="1680" spans="1:10" x14ac:dyDescent="0.25">
      <c r="A1680" s="1">
        <v>772</v>
      </c>
      <c r="B1680" t="s">
        <v>19</v>
      </c>
      <c r="C1680">
        <v>706</v>
      </c>
      <c r="D1680">
        <v>4</v>
      </c>
      <c r="E1680" t="s">
        <v>29</v>
      </c>
      <c r="F1680" t="s">
        <v>53</v>
      </c>
      <c r="G1680" t="str">
        <f>"2025-08-22 13:55:48.178"</f>
        <v>2025-08-22 13:55:48.178</v>
      </c>
      <c r="H1680" t="s">
        <v>21</v>
      </c>
      <c r="I1680">
        <v>0</v>
      </c>
      <c r="J1680" t="s">
        <v>31</v>
      </c>
    </row>
    <row r="1681" spans="1:10" x14ac:dyDescent="0.25">
      <c r="A1681" s="1">
        <v>773</v>
      </c>
      <c r="B1681" t="s">
        <v>19</v>
      </c>
      <c r="C1681">
        <v>700</v>
      </c>
      <c r="D1681">
        <v>0</v>
      </c>
      <c r="E1681" t="s">
        <v>20</v>
      </c>
      <c r="F1681" t="s">
        <v>20</v>
      </c>
      <c r="G1681" t="str">
        <f>"2025-08-22 08:05:33.328"</f>
        <v>2025-08-22 08:05:33.328</v>
      </c>
      <c r="H1681" t="s">
        <v>21</v>
      </c>
    </row>
    <row r="1682" spans="1:10" x14ac:dyDescent="0.25">
      <c r="A1682" s="1">
        <v>774</v>
      </c>
      <c r="B1682" t="s">
        <v>22</v>
      </c>
      <c r="C1682">
        <v>635</v>
      </c>
      <c r="D1682">
        <v>1</v>
      </c>
      <c r="E1682" t="s">
        <v>34</v>
      </c>
      <c r="F1682" t="s">
        <v>35</v>
      </c>
      <c r="G1682" t="str">
        <f>"2025-08-21 17:13:01.883"</f>
        <v>2025-08-21 17:13:01.883</v>
      </c>
      <c r="H1682" t="s">
        <v>21</v>
      </c>
    </row>
    <row r="1683" spans="1:10" x14ac:dyDescent="0.25">
      <c r="A1683" s="1">
        <v>775</v>
      </c>
      <c r="B1683" t="s">
        <v>36</v>
      </c>
      <c r="C1683">
        <v>635</v>
      </c>
      <c r="D1683">
        <v>1</v>
      </c>
      <c r="E1683" t="s">
        <v>34</v>
      </c>
      <c r="F1683" t="s">
        <v>35</v>
      </c>
      <c r="G1683" t="str">
        <f>"2025-08-21 17:00:09.884"</f>
        <v>2025-08-21 17:00:09.884</v>
      </c>
      <c r="H1683" t="s">
        <v>21</v>
      </c>
      <c r="I1683">
        <v>2.33</v>
      </c>
      <c r="J1683" t="s">
        <v>37</v>
      </c>
    </row>
    <row r="1684" spans="1:10" x14ac:dyDescent="0.25">
      <c r="A1684" s="1">
        <v>776</v>
      </c>
      <c r="B1684" t="s">
        <v>19</v>
      </c>
      <c r="C1684">
        <v>700</v>
      </c>
      <c r="D1684">
        <v>0</v>
      </c>
      <c r="E1684" t="s">
        <v>20</v>
      </c>
      <c r="F1684" t="s">
        <v>20</v>
      </c>
      <c r="G1684" t="str">
        <f>"2025-08-21 11:18:51.292"</f>
        <v>2025-08-21 11:18:51.292</v>
      </c>
      <c r="H1684" t="s">
        <v>21</v>
      </c>
      <c r="I1684">
        <v>0</v>
      </c>
      <c r="J1684" t="s">
        <v>33</v>
      </c>
    </row>
    <row r="1685" spans="1:10" x14ac:dyDescent="0.25">
      <c r="A1685" s="1">
        <v>777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"2025-08-21 07:53:54.272"</f>
        <v>2025-08-21 07:53:54.272</v>
      </c>
      <c r="H1685" t="s">
        <v>21</v>
      </c>
    </row>
    <row r="1686" spans="1:10" x14ac:dyDescent="0.25">
      <c r="A1686" s="1">
        <v>778</v>
      </c>
      <c r="B1686" t="s">
        <v>22</v>
      </c>
      <c r="C1686">
        <v>635</v>
      </c>
      <c r="D1686">
        <v>1</v>
      </c>
      <c r="E1686" t="s">
        <v>34</v>
      </c>
      <c r="F1686" t="s">
        <v>35</v>
      </c>
      <c r="G1686" t="str">
        <f>"2025-08-20 23:55:15.443"</f>
        <v>2025-08-20 23:55:15.443</v>
      </c>
      <c r="H1686" t="s">
        <v>21</v>
      </c>
    </row>
    <row r="1687" spans="1:10" x14ac:dyDescent="0.25">
      <c r="A1687" s="1">
        <v>779</v>
      </c>
      <c r="B1687" t="s">
        <v>36</v>
      </c>
      <c r="C1687">
        <v>635</v>
      </c>
      <c r="D1687">
        <v>1</v>
      </c>
      <c r="E1687" t="s">
        <v>34</v>
      </c>
      <c r="F1687" t="s">
        <v>35</v>
      </c>
      <c r="G1687" t="str">
        <f>"2025-08-20 23:36:38.943"</f>
        <v>2025-08-20 23:36:38.943</v>
      </c>
      <c r="H1687" t="s">
        <v>21</v>
      </c>
      <c r="I1687">
        <v>4.71</v>
      </c>
      <c r="J1687" t="s">
        <v>37</v>
      </c>
    </row>
    <row r="1688" spans="1:10" x14ac:dyDescent="0.25">
      <c r="A1688" s="1">
        <v>780</v>
      </c>
      <c r="B1688" t="s">
        <v>19</v>
      </c>
      <c r="C1688">
        <v>700</v>
      </c>
      <c r="D1688">
        <v>0</v>
      </c>
      <c r="E1688" t="s">
        <v>20</v>
      </c>
      <c r="F1688" t="s">
        <v>20</v>
      </c>
      <c r="G1688" t="str">
        <f>"2025-08-20 08:39:23.235"</f>
        <v>2025-08-20 08:39:23.235</v>
      </c>
      <c r="H1688" t="s">
        <v>21</v>
      </c>
      <c r="I1688">
        <v>0</v>
      </c>
      <c r="J1688" t="s">
        <v>33</v>
      </c>
    </row>
    <row r="1689" spans="1:10" x14ac:dyDescent="0.25">
      <c r="A1689" s="1">
        <v>781</v>
      </c>
      <c r="B1689" t="s">
        <v>22</v>
      </c>
      <c r="C1689">
        <v>635</v>
      </c>
      <c r="D1689">
        <v>1</v>
      </c>
      <c r="E1689" t="s">
        <v>34</v>
      </c>
      <c r="F1689" t="s">
        <v>35</v>
      </c>
      <c r="G1689" t="str">
        <f>"2025-08-19 22:58:21.944"</f>
        <v>2025-08-19 22:58:21.944</v>
      </c>
      <c r="H1689" t="s">
        <v>21</v>
      </c>
    </row>
    <row r="1690" spans="1:10" x14ac:dyDescent="0.25">
      <c r="A1690" s="1">
        <v>782</v>
      </c>
      <c r="B1690" t="s">
        <v>36</v>
      </c>
      <c r="C1690">
        <v>635</v>
      </c>
      <c r="D1690">
        <v>1</v>
      </c>
      <c r="E1690" t="s">
        <v>34</v>
      </c>
      <c r="F1690" t="s">
        <v>35</v>
      </c>
      <c r="G1690" t="str">
        <f>"2025-08-19 22:40:28.944"</f>
        <v>2025-08-19 22:40:28.944</v>
      </c>
      <c r="H1690" t="s">
        <v>21</v>
      </c>
      <c r="I1690">
        <v>6.51</v>
      </c>
      <c r="J1690" t="s">
        <v>37</v>
      </c>
    </row>
    <row r="1691" spans="1:10" x14ac:dyDescent="0.25">
      <c r="A1691" s="1">
        <v>783</v>
      </c>
      <c r="B1691" t="s">
        <v>22</v>
      </c>
      <c r="C1691">
        <v>635</v>
      </c>
      <c r="D1691">
        <v>1</v>
      </c>
      <c r="E1691" t="s">
        <v>34</v>
      </c>
      <c r="F1691" t="s">
        <v>35</v>
      </c>
      <c r="G1691" t="str">
        <f>"2025-08-19 21:15:40.544"</f>
        <v>2025-08-19 21:15:40.544</v>
      </c>
      <c r="H1691" t="s">
        <v>21</v>
      </c>
    </row>
    <row r="1692" spans="1:10" x14ac:dyDescent="0.25">
      <c r="A1692" s="1">
        <v>784</v>
      </c>
      <c r="B1692" t="s">
        <v>36</v>
      </c>
      <c r="C1692">
        <v>635</v>
      </c>
      <c r="D1692">
        <v>1</v>
      </c>
      <c r="E1692" t="s">
        <v>34</v>
      </c>
      <c r="F1692" t="s">
        <v>35</v>
      </c>
      <c r="G1692" t="str">
        <f>"2025-08-19 21:03:42.144"</f>
        <v>2025-08-19 21:03:42.144</v>
      </c>
      <c r="H1692" t="s">
        <v>21</v>
      </c>
      <c r="I1692">
        <v>6.49</v>
      </c>
      <c r="J1692" t="s">
        <v>37</v>
      </c>
    </row>
    <row r="1693" spans="1:10" x14ac:dyDescent="0.25">
      <c r="A1693" s="1">
        <v>785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"2025-08-19 17:30:41.246"</f>
        <v>2025-08-19 17:30:41.246</v>
      </c>
      <c r="H1693" t="s">
        <v>21</v>
      </c>
      <c r="I1693">
        <v>0</v>
      </c>
      <c r="J1693" t="s">
        <v>33</v>
      </c>
    </row>
    <row r="1694" spans="1:10" x14ac:dyDescent="0.25">
      <c r="A1694" s="1">
        <v>786</v>
      </c>
      <c r="B1694" t="s">
        <v>22</v>
      </c>
      <c r="C1694">
        <v>635</v>
      </c>
      <c r="D1694">
        <v>1</v>
      </c>
      <c r="E1694" t="s">
        <v>34</v>
      </c>
      <c r="F1694" t="s">
        <v>35</v>
      </c>
      <c r="G1694" t="str">
        <f>"2025-08-19 01:06:41.774"</f>
        <v>2025-08-19 01:06:41.774</v>
      </c>
      <c r="H1694" t="s">
        <v>21</v>
      </c>
    </row>
    <row r="1695" spans="1:10" x14ac:dyDescent="0.25">
      <c r="A1695" s="1">
        <v>787</v>
      </c>
      <c r="B1695" t="s">
        <v>36</v>
      </c>
      <c r="C1695">
        <v>635</v>
      </c>
      <c r="D1695">
        <v>1</v>
      </c>
      <c r="E1695" t="s">
        <v>34</v>
      </c>
      <c r="F1695" t="s">
        <v>35</v>
      </c>
      <c r="G1695" t="str">
        <f>"2025-08-19 00:50:28.874"</f>
        <v>2025-08-19 00:50:28.874</v>
      </c>
      <c r="H1695" t="s">
        <v>21</v>
      </c>
      <c r="I1695">
        <v>4.8899999999999997</v>
      </c>
      <c r="J1695" t="s">
        <v>37</v>
      </c>
    </row>
    <row r="1696" spans="1:10" x14ac:dyDescent="0.25">
      <c r="A1696" s="1">
        <v>788</v>
      </c>
      <c r="B1696" t="s">
        <v>22</v>
      </c>
      <c r="C1696">
        <v>635</v>
      </c>
      <c r="D1696">
        <v>1</v>
      </c>
      <c r="E1696" t="s">
        <v>34</v>
      </c>
      <c r="F1696" t="s">
        <v>35</v>
      </c>
      <c r="G1696" t="str">
        <f>"2025-08-18 12:20:35.574"</f>
        <v>2025-08-18 12:20:35.574</v>
      </c>
      <c r="H1696" t="s">
        <v>21</v>
      </c>
    </row>
    <row r="1697" spans="1:10" x14ac:dyDescent="0.25">
      <c r="A1697" s="1">
        <v>789</v>
      </c>
      <c r="B1697" t="s">
        <v>36</v>
      </c>
      <c r="C1697">
        <v>635</v>
      </c>
      <c r="D1697">
        <v>1</v>
      </c>
      <c r="E1697" t="s">
        <v>34</v>
      </c>
      <c r="F1697" t="s">
        <v>35</v>
      </c>
      <c r="G1697" t="str">
        <f>"2025-08-18 12:18:12.575"</f>
        <v>2025-08-18 12:18:12.575</v>
      </c>
      <c r="H1697" t="s">
        <v>21</v>
      </c>
      <c r="I1697">
        <v>1.26</v>
      </c>
      <c r="J1697" t="s">
        <v>27</v>
      </c>
    </row>
    <row r="1698" spans="1:10" x14ac:dyDescent="0.25">
      <c r="A1698" s="1">
        <v>791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"2025-08-16 22:01:35.394"</f>
        <v>2025-08-16 22:01:35.394</v>
      </c>
      <c r="H1698" t="s">
        <v>21</v>
      </c>
    </row>
    <row r="1699" spans="1:10" x14ac:dyDescent="0.25">
      <c r="A1699" s="1">
        <v>792</v>
      </c>
      <c r="B1699" t="s">
        <v>19</v>
      </c>
      <c r="C1699">
        <v>706</v>
      </c>
      <c r="D1699">
        <v>4</v>
      </c>
      <c r="E1699" t="s">
        <v>29</v>
      </c>
      <c r="F1699" t="s">
        <v>53</v>
      </c>
      <c r="G1699" t="str">
        <f>"2025-08-16 02:45:57.832"</f>
        <v>2025-08-16 02:45:57.832</v>
      </c>
      <c r="H1699" t="s">
        <v>21</v>
      </c>
      <c r="I1699">
        <v>0</v>
      </c>
      <c r="J1699" t="s">
        <v>31</v>
      </c>
    </row>
    <row r="1700" spans="1:10" x14ac:dyDescent="0.25">
      <c r="A1700" s="1">
        <v>793</v>
      </c>
      <c r="B1700" t="s">
        <v>19</v>
      </c>
      <c r="C1700">
        <v>700</v>
      </c>
      <c r="D1700">
        <v>0</v>
      </c>
      <c r="E1700" t="s">
        <v>20</v>
      </c>
      <c r="F1700" t="s">
        <v>20</v>
      </c>
      <c r="G1700" t="str">
        <f>"2025-08-16 02:34:30.252"</f>
        <v>2025-08-16 02:34:30.252</v>
      </c>
      <c r="H1700" t="s">
        <v>21</v>
      </c>
    </row>
    <row r="1701" spans="1:10" x14ac:dyDescent="0.25">
      <c r="A1701" s="1">
        <v>794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"2025-08-15 22:01:28.219"</f>
        <v>2025-08-15 22:01:28.219</v>
      </c>
      <c r="H1701" t="s">
        <v>21</v>
      </c>
      <c r="I1701">
        <v>0</v>
      </c>
      <c r="J1701" t="s">
        <v>33</v>
      </c>
    </row>
    <row r="1702" spans="1:10" x14ac:dyDescent="0.25">
      <c r="A1702" s="1">
        <v>795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"2025-08-15 08:10:08.233"</f>
        <v>2025-08-15 08:10:08.233</v>
      </c>
      <c r="H1702" t="s">
        <v>21</v>
      </c>
    </row>
    <row r="1703" spans="1:10" x14ac:dyDescent="0.25">
      <c r="A1703" s="1">
        <v>796</v>
      </c>
      <c r="B1703" t="s">
        <v>40</v>
      </c>
      <c r="C1703">
        <v>77</v>
      </c>
      <c r="D1703">
        <v>1</v>
      </c>
      <c r="E1703" t="s">
        <v>59</v>
      </c>
      <c r="F1703" t="s">
        <v>60</v>
      </c>
      <c r="G1703" t="str">
        <f>"2025-08-15 07:49:15.182"</f>
        <v>2025-08-15 07:49:15.182</v>
      </c>
      <c r="H1703" t="s">
        <v>46</v>
      </c>
    </row>
    <row r="1704" spans="1:10" x14ac:dyDescent="0.25">
      <c r="A1704" s="1">
        <v>797</v>
      </c>
      <c r="B1704" t="s">
        <v>26</v>
      </c>
      <c r="C1704">
        <v>77</v>
      </c>
      <c r="D1704">
        <v>1</v>
      </c>
      <c r="E1704" t="s">
        <v>59</v>
      </c>
      <c r="F1704" t="s">
        <v>60</v>
      </c>
      <c r="G1704" t="str">
        <f>"2025-08-15 07:49:10.160"</f>
        <v>2025-08-15 07:49:10.160</v>
      </c>
      <c r="H1704" t="s">
        <v>46</v>
      </c>
      <c r="I1704">
        <v>0</v>
      </c>
      <c r="J1704" t="s">
        <v>31</v>
      </c>
    </row>
    <row r="1705" spans="1:10" x14ac:dyDescent="0.25">
      <c r="A1705" s="1">
        <v>798</v>
      </c>
      <c r="B1705" t="s">
        <v>19</v>
      </c>
      <c r="C1705">
        <v>700</v>
      </c>
      <c r="D1705">
        <v>0</v>
      </c>
      <c r="E1705" t="s">
        <v>20</v>
      </c>
      <c r="F1705" t="s">
        <v>20</v>
      </c>
      <c r="G1705" t="str">
        <f>"2025-08-15 07:48:38.241"</f>
        <v>2025-08-15 07:48:38.241</v>
      </c>
      <c r="H1705" t="s">
        <v>21</v>
      </c>
    </row>
    <row r="1706" spans="1:10" x14ac:dyDescent="0.25">
      <c r="A1706" s="1">
        <v>799</v>
      </c>
      <c r="B1706" t="s">
        <v>19</v>
      </c>
      <c r="C1706">
        <v>706</v>
      </c>
      <c r="D1706">
        <v>4</v>
      </c>
      <c r="E1706" t="s">
        <v>29</v>
      </c>
      <c r="F1706" t="s">
        <v>53</v>
      </c>
      <c r="G1706" t="str">
        <f>"2025-08-15 06:35:26.666"</f>
        <v>2025-08-15 06:35:26.666</v>
      </c>
      <c r="H1706" t="s">
        <v>21</v>
      </c>
      <c r="I1706">
        <v>0</v>
      </c>
      <c r="J1706" t="s">
        <v>31</v>
      </c>
    </row>
    <row r="1707" spans="1:10" x14ac:dyDescent="0.25">
      <c r="A1707" s="1">
        <v>800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"2025-08-15 06:35:12.236"</f>
        <v>2025-08-15 06:35:12.236</v>
      </c>
      <c r="H1707" t="s">
        <v>21</v>
      </c>
      <c r="I1707">
        <v>0</v>
      </c>
      <c r="J1707" t="s">
        <v>33</v>
      </c>
    </row>
    <row r="1708" spans="1:10" x14ac:dyDescent="0.25">
      <c r="A1708" s="1">
        <v>801</v>
      </c>
      <c r="B1708" t="s">
        <v>19</v>
      </c>
      <c r="C1708">
        <v>706</v>
      </c>
      <c r="D1708">
        <v>2</v>
      </c>
      <c r="E1708" t="s">
        <v>29</v>
      </c>
      <c r="F1708" t="s">
        <v>30</v>
      </c>
      <c r="G1708" t="str">
        <f>"2025-08-15 06:23:18.291"</f>
        <v>2025-08-15 06:23:18.291</v>
      </c>
      <c r="H1708" t="s">
        <v>21</v>
      </c>
      <c r="I1708">
        <v>0</v>
      </c>
      <c r="J1708" t="s">
        <v>31</v>
      </c>
    </row>
    <row r="1709" spans="1:10" x14ac:dyDescent="0.25">
      <c r="A1709" s="1">
        <v>802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"2025-08-15 06:13:09.241"</f>
        <v>2025-08-15 06:13:09.241</v>
      </c>
      <c r="H1709" t="s">
        <v>21</v>
      </c>
      <c r="I1709">
        <v>0</v>
      </c>
      <c r="J1709" t="s">
        <v>33</v>
      </c>
    </row>
    <row r="1710" spans="1:10" x14ac:dyDescent="0.25">
      <c r="A1710" s="1">
        <v>803</v>
      </c>
      <c r="B1710" t="s">
        <v>19</v>
      </c>
      <c r="C1710">
        <v>706</v>
      </c>
      <c r="D1710">
        <v>2</v>
      </c>
      <c r="E1710" t="s">
        <v>29</v>
      </c>
      <c r="F1710" t="s">
        <v>30</v>
      </c>
      <c r="G1710" t="str">
        <f>"2025-08-15 06:09:20.715"</f>
        <v>2025-08-15 06:09:20.715</v>
      </c>
      <c r="H1710" t="s">
        <v>21</v>
      </c>
      <c r="I1710">
        <v>0</v>
      </c>
      <c r="J1710" t="s">
        <v>31</v>
      </c>
    </row>
    <row r="1711" spans="1:10" x14ac:dyDescent="0.25">
      <c r="A1711" s="1">
        <v>804</v>
      </c>
      <c r="B1711" t="s">
        <v>19</v>
      </c>
      <c r="C1711">
        <v>706</v>
      </c>
      <c r="D1711">
        <v>2</v>
      </c>
      <c r="E1711" t="s">
        <v>29</v>
      </c>
      <c r="F1711" t="s">
        <v>30</v>
      </c>
      <c r="G1711" t="str">
        <f>"2025-08-15 06:08:46.915"</f>
        <v>2025-08-15 06:08:46.915</v>
      </c>
      <c r="H1711" t="s">
        <v>21</v>
      </c>
      <c r="I1711">
        <v>0</v>
      </c>
      <c r="J1711" t="s">
        <v>31</v>
      </c>
    </row>
    <row r="1712" spans="1:10" x14ac:dyDescent="0.25">
      <c r="A1712" s="1">
        <v>805</v>
      </c>
      <c r="B1712" t="s">
        <v>19</v>
      </c>
      <c r="C1712">
        <v>700</v>
      </c>
      <c r="D1712">
        <v>0</v>
      </c>
      <c r="E1712" t="s">
        <v>20</v>
      </c>
      <c r="F1712" t="s">
        <v>20</v>
      </c>
      <c r="G1712" t="str">
        <f>"2025-08-15 06:02:38.245"</f>
        <v>2025-08-15 06:02:38.245</v>
      </c>
      <c r="H1712" t="s">
        <v>21</v>
      </c>
    </row>
    <row r="1713" spans="1:10" x14ac:dyDescent="0.25">
      <c r="A1713" s="1">
        <v>807</v>
      </c>
      <c r="B1713" t="s">
        <v>56</v>
      </c>
      <c r="C1713">
        <v>33</v>
      </c>
      <c r="D1713">
        <v>1</v>
      </c>
      <c r="E1713" t="s">
        <v>76</v>
      </c>
      <c r="F1713" t="s">
        <v>77</v>
      </c>
      <c r="G1713" t="str">
        <f>"2025-08-15 01:22:16.346"</f>
        <v>2025-08-15 01:22:16.346</v>
      </c>
      <c r="H1713" t="s">
        <v>78</v>
      </c>
    </row>
    <row r="1714" spans="1:10" x14ac:dyDescent="0.25">
      <c r="A1714" s="1">
        <v>808</v>
      </c>
      <c r="B1714" t="s">
        <v>26</v>
      </c>
      <c r="C1714">
        <v>33</v>
      </c>
      <c r="D1714">
        <v>1</v>
      </c>
      <c r="E1714" t="s">
        <v>76</v>
      </c>
      <c r="F1714" t="s">
        <v>77</v>
      </c>
      <c r="G1714" t="str">
        <f>"2025-08-15 01:20:56.985"</f>
        <v>2025-08-15 01:20:56.985</v>
      </c>
      <c r="H1714" t="s">
        <v>78</v>
      </c>
      <c r="I1714">
        <v>8.51</v>
      </c>
      <c r="J1714" t="s">
        <v>37</v>
      </c>
    </row>
    <row r="1715" spans="1:10" x14ac:dyDescent="0.25">
      <c r="A1715" s="1">
        <v>809</v>
      </c>
      <c r="B1715" t="s">
        <v>19</v>
      </c>
      <c r="C1715">
        <v>700</v>
      </c>
      <c r="D1715">
        <v>0</v>
      </c>
      <c r="E1715" t="s">
        <v>20</v>
      </c>
      <c r="F1715" t="s">
        <v>20</v>
      </c>
      <c r="G1715" t="str">
        <f>"2025-08-14 21:38:35.245"</f>
        <v>2025-08-14 21:38:35.245</v>
      </c>
      <c r="H1715" t="s">
        <v>21</v>
      </c>
    </row>
    <row r="1716" spans="1:10" x14ac:dyDescent="0.25">
      <c r="A1716" s="1">
        <v>811</v>
      </c>
      <c r="B1716" t="s">
        <v>22</v>
      </c>
      <c r="C1716">
        <v>635</v>
      </c>
      <c r="D1716">
        <v>1</v>
      </c>
      <c r="E1716" t="s">
        <v>34</v>
      </c>
      <c r="F1716" t="s">
        <v>35</v>
      </c>
      <c r="G1716" t="str">
        <f>"2025-08-14 08:53:56.212"</f>
        <v>2025-08-14 08:53:56.212</v>
      </c>
      <c r="H1716" t="s">
        <v>21</v>
      </c>
    </row>
    <row r="1717" spans="1:10" x14ac:dyDescent="0.25">
      <c r="A1717" s="1">
        <v>812</v>
      </c>
      <c r="B1717" t="s">
        <v>36</v>
      </c>
      <c r="C1717">
        <v>635</v>
      </c>
      <c r="D1717">
        <v>1</v>
      </c>
      <c r="E1717" t="s">
        <v>34</v>
      </c>
      <c r="F1717" t="s">
        <v>35</v>
      </c>
      <c r="G1717" t="str">
        <f>"2025-08-14 08:51:19.212"</f>
        <v>2025-08-14 08:51:19.212</v>
      </c>
      <c r="H1717" t="s">
        <v>21</v>
      </c>
      <c r="I1717">
        <v>2.04</v>
      </c>
      <c r="J1717" t="s">
        <v>27</v>
      </c>
    </row>
    <row r="1718" spans="1:10" x14ac:dyDescent="0.25">
      <c r="A1718" s="1">
        <v>813</v>
      </c>
      <c r="B1718" t="s">
        <v>19</v>
      </c>
      <c r="C1718">
        <v>700</v>
      </c>
      <c r="D1718">
        <v>0</v>
      </c>
      <c r="E1718" t="s">
        <v>20</v>
      </c>
      <c r="F1718" t="s">
        <v>20</v>
      </c>
      <c r="G1718" t="str">
        <f>"2025-08-13 20:01:33.252"</f>
        <v>2025-08-13 20:01:33.252</v>
      </c>
      <c r="H1718" t="s">
        <v>21</v>
      </c>
      <c r="I1718">
        <v>0</v>
      </c>
      <c r="J1718" t="s">
        <v>33</v>
      </c>
    </row>
    <row r="1719" spans="1:10" x14ac:dyDescent="0.25">
      <c r="A1719" s="1">
        <v>814</v>
      </c>
      <c r="B1719" t="s">
        <v>22</v>
      </c>
      <c r="C1719">
        <v>6</v>
      </c>
      <c r="D1719">
        <v>1</v>
      </c>
      <c r="E1719" t="s">
        <v>44</v>
      </c>
      <c r="F1719" t="s">
        <v>45</v>
      </c>
      <c r="G1719" t="str">
        <f>"2025-08-13 13:38:15.407"</f>
        <v>2025-08-13 13:38:15.407</v>
      </c>
      <c r="H1719" t="s">
        <v>46</v>
      </c>
    </row>
    <row r="1720" spans="1:10" x14ac:dyDescent="0.25">
      <c r="A1720" s="1">
        <v>815</v>
      </c>
      <c r="B1720" t="s">
        <v>22</v>
      </c>
      <c r="C1720">
        <v>75</v>
      </c>
      <c r="D1720">
        <v>1</v>
      </c>
      <c r="E1720" t="s">
        <v>47</v>
      </c>
      <c r="F1720" t="s">
        <v>48</v>
      </c>
      <c r="G1720" t="str">
        <f>"2025-08-13 13:38:15.404"</f>
        <v>2025-08-13 13:38:15.404</v>
      </c>
      <c r="H1720" t="s">
        <v>49</v>
      </c>
    </row>
    <row r="1721" spans="1:10" x14ac:dyDescent="0.25">
      <c r="A1721" s="1">
        <v>816</v>
      </c>
      <c r="B1721" t="s">
        <v>22</v>
      </c>
      <c r="C1721">
        <v>74</v>
      </c>
      <c r="D1721">
        <v>1</v>
      </c>
      <c r="E1721" t="s">
        <v>50</v>
      </c>
      <c r="F1721" t="s">
        <v>51</v>
      </c>
      <c r="G1721" t="str">
        <f>"2025-08-13 13:38:15.402"</f>
        <v>2025-08-13 13:38:15.402</v>
      </c>
      <c r="H1721" t="s">
        <v>52</v>
      </c>
    </row>
    <row r="1722" spans="1:10" x14ac:dyDescent="0.25">
      <c r="A1722" s="1">
        <v>817</v>
      </c>
      <c r="B1722" t="s">
        <v>36</v>
      </c>
      <c r="C1722">
        <v>75</v>
      </c>
      <c r="D1722">
        <v>1</v>
      </c>
      <c r="E1722" t="s">
        <v>47</v>
      </c>
      <c r="F1722" t="s">
        <v>48</v>
      </c>
      <c r="G1722" t="str">
        <f>"2025-08-13 13:38:03.914"</f>
        <v>2025-08-13 13:38:03.914</v>
      </c>
      <c r="H1722" t="s">
        <v>49</v>
      </c>
      <c r="I1722">
        <v>0</v>
      </c>
      <c r="J1722" t="s">
        <v>31</v>
      </c>
    </row>
    <row r="1723" spans="1:10" x14ac:dyDescent="0.25">
      <c r="A1723" s="1">
        <v>818</v>
      </c>
      <c r="B1723" t="s">
        <v>36</v>
      </c>
      <c r="C1723">
        <v>74</v>
      </c>
      <c r="D1723">
        <v>1</v>
      </c>
      <c r="E1723" t="s">
        <v>50</v>
      </c>
      <c r="F1723" t="s">
        <v>51</v>
      </c>
      <c r="G1723" t="str">
        <f>"2025-08-13 13:38:03.908"</f>
        <v>2025-08-13 13:38:03.908</v>
      </c>
      <c r="H1723" t="s">
        <v>52</v>
      </c>
      <c r="I1723">
        <v>0</v>
      </c>
      <c r="J1723" t="s">
        <v>31</v>
      </c>
    </row>
    <row r="1724" spans="1:10" x14ac:dyDescent="0.25">
      <c r="A1724" s="1">
        <v>819</v>
      </c>
      <c r="B1724" t="s">
        <v>26</v>
      </c>
      <c r="C1724">
        <v>6</v>
      </c>
      <c r="D1724">
        <v>1</v>
      </c>
      <c r="E1724" t="s">
        <v>44</v>
      </c>
      <c r="F1724" t="s">
        <v>45</v>
      </c>
      <c r="G1724" t="str">
        <f>"2025-08-13 13:38:03.903"</f>
        <v>2025-08-13 13:38:03.903</v>
      </c>
      <c r="H1724" t="s">
        <v>46</v>
      </c>
      <c r="I1724">
        <v>0</v>
      </c>
      <c r="J1724" t="s">
        <v>31</v>
      </c>
    </row>
    <row r="1725" spans="1:10" x14ac:dyDescent="0.25">
      <c r="A1725" s="1">
        <v>824</v>
      </c>
      <c r="B1725" t="s">
        <v>19</v>
      </c>
      <c r="C1725">
        <v>700</v>
      </c>
      <c r="D1725">
        <v>0</v>
      </c>
      <c r="E1725" t="s">
        <v>20</v>
      </c>
      <c r="F1725" t="s">
        <v>20</v>
      </c>
      <c r="G1725" t="str">
        <f>"2025-08-12 20:09:09.424"</f>
        <v>2025-08-12 20:09:09.424</v>
      </c>
      <c r="H1725" t="s">
        <v>21</v>
      </c>
      <c r="I1725">
        <v>0</v>
      </c>
      <c r="J1725" t="s">
        <v>33</v>
      </c>
    </row>
    <row r="1726" spans="1:10" x14ac:dyDescent="0.25">
      <c r="A1726" s="1">
        <v>825</v>
      </c>
      <c r="B1726" t="s">
        <v>22</v>
      </c>
      <c r="C1726">
        <v>635</v>
      </c>
      <c r="D1726">
        <v>1</v>
      </c>
      <c r="E1726" t="s">
        <v>34</v>
      </c>
      <c r="F1726" t="s">
        <v>35</v>
      </c>
      <c r="G1726" t="str">
        <f>"2025-08-12 18:51:59.060"</f>
        <v>2025-08-12 18:51:59.060</v>
      </c>
      <c r="H1726" t="s">
        <v>21</v>
      </c>
    </row>
    <row r="1727" spans="1:10" x14ac:dyDescent="0.25">
      <c r="A1727" s="1">
        <v>826</v>
      </c>
      <c r="B1727" t="s">
        <v>36</v>
      </c>
      <c r="C1727">
        <v>635</v>
      </c>
      <c r="D1727">
        <v>1</v>
      </c>
      <c r="E1727" t="s">
        <v>34</v>
      </c>
      <c r="F1727" t="s">
        <v>35</v>
      </c>
      <c r="G1727" t="str">
        <f>"2025-08-12 18:49:40.060"</f>
        <v>2025-08-12 18:49:40.060</v>
      </c>
      <c r="H1727" t="s">
        <v>21</v>
      </c>
      <c r="I1727">
        <v>2.76</v>
      </c>
      <c r="J1727" t="s">
        <v>37</v>
      </c>
    </row>
    <row r="1728" spans="1:10" x14ac:dyDescent="0.25">
      <c r="A1728" s="1">
        <v>827</v>
      </c>
      <c r="B1728" t="s">
        <v>19</v>
      </c>
      <c r="C1728">
        <v>700</v>
      </c>
      <c r="D1728">
        <v>0</v>
      </c>
      <c r="E1728" t="s">
        <v>20</v>
      </c>
      <c r="F1728" t="s">
        <v>20</v>
      </c>
      <c r="G1728" t="str">
        <f>"2025-08-11 20:05:59.253"</f>
        <v>2025-08-11 20:05:59.253</v>
      </c>
      <c r="H1728" t="s">
        <v>21</v>
      </c>
      <c r="I1728">
        <v>0</v>
      </c>
      <c r="J1728" t="s">
        <v>33</v>
      </c>
    </row>
    <row r="1729" spans="1:10" s="3" customFormat="1" x14ac:dyDescent="0.25">
      <c r="A1729" s="2">
        <v>828</v>
      </c>
      <c r="B1729" s="3" t="s">
        <v>22</v>
      </c>
      <c r="C1729" s="3">
        <v>647</v>
      </c>
      <c r="D1729" s="3">
        <v>1</v>
      </c>
      <c r="E1729" s="3" t="s">
        <v>54</v>
      </c>
      <c r="F1729" s="3" t="s">
        <v>55</v>
      </c>
      <c r="G1729" s="3" t="str">
        <f>"2025-08-11 18:54:42.789"</f>
        <v>2025-08-11 18:54:42.789</v>
      </c>
      <c r="H1729" s="3" t="s">
        <v>21</v>
      </c>
    </row>
    <row r="1730" spans="1:10" s="3" customFormat="1" x14ac:dyDescent="0.25">
      <c r="A1730" s="2">
        <v>829</v>
      </c>
      <c r="B1730" s="3" t="s">
        <v>36</v>
      </c>
      <c r="C1730" s="3">
        <v>647</v>
      </c>
      <c r="D1730" s="3">
        <v>1</v>
      </c>
      <c r="E1730" s="3" t="s">
        <v>54</v>
      </c>
      <c r="F1730" s="3" t="s">
        <v>55</v>
      </c>
      <c r="G1730" s="3" t="str">
        <f>"2025-08-11 18:54:38.689"</f>
        <v>2025-08-11 18:54:38.689</v>
      </c>
      <c r="H1730" s="3" t="s">
        <v>21</v>
      </c>
      <c r="I1730" s="3">
        <v>8.5</v>
      </c>
      <c r="J1730" s="3" t="s">
        <v>27</v>
      </c>
    </row>
    <row r="1731" spans="1:10" x14ac:dyDescent="0.25">
      <c r="A1731" s="1">
        <v>830</v>
      </c>
      <c r="B1731" t="s">
        <v>19</v>
      </c>
      <c r="C1731">
        <v>706</v>
      </c>
      <c r="D1731">
        <v>4</v>
      </c>
      <c r="E1731" t="s">
        <v>29</v>
      </c>
      <c r="F1731" t="s">
        <v>53</v>
      </c>
      <c r="G1731" t="str">
        <f>"2025-08-10 17:08:42.678"</f>
        <v>2025-08-10 17:08:42.678</v>
      </c>
      <c r="H1731" t="s">
        <v>21</v>
      </c>
      <c r="I1731">
        <v>0</v>
      </c>
      <c r="J1731" t="s">
        <v>31</v>
      </c>
    </row>
    <row r="1732" spans="1:10" x14ac:dyDescent="0.25">
      <c r="A1732" s="1">
        <v>831</v>
      </c>
      <c r="B1732" t="s">
        <v>19</v>
      </c>
      <c r="C1732">
        <v>700</v>
      </c>
      <c r="D1732">
        <v>0</v>
      </c>
      <c r="E1732" t="s">
        <v>20</v>
      </c>
      <c r="F1732" t="s">
        <v>20</v>
      </c>
      <c r="G1732" t="str">
        <f>"2025-08-10 17:07:52.238"</f>
        <v>2025-08-10 17:07:52.238</v>
      </c>
      <c r="H1732" t="s">
        <v>21</v>
      </c>
      <c r="I1732">
        <v>0</v>
      </c>
      <c r="J1732" t="s">
        <v>33</v>
      </c>
    </row>
    <row r="1733" spans="1:10" x14ac:dyDescent="0.25">
      <c r="A1733" s="1">
        <v>832</v>
      </c>
      <c r="B1733" t="s">
        <v>19</v>
      </c>
      <c r="C1733">
        <v>700</v>
      </c>
      <c r="D1733">
        <v>0</v>
      </c>
      <c r="E1733" t="s">
        <v>20</v>
      </c>
      <c r="F1733" t="s">
        <v>20</v>
      </c>
      <c r="G1733" t="str">
        <f>"2025-08-10 16:12:16.229"</f>
        <v>2025-08-10 16:12:16.229</v>
      </c>
      <c r="H1733" t="s">
        <v>21</v>
      </c>
    </row>
    <row r="1734" spans="1:10" x14ac:dyDescent="0.25">
      <c r="A1734" s="1">
        <v>833</v>
      </c>
      <c r="B1734" t="s">
        <v>19</v>
      </c>
      <c r="C1734">
        <v>700</v>
      </c>
      <c r="D1734">
        <v>0</v>
      </c>
      <c r="E1734" t="s">
        <v>20</v>
      </c>
      <c r="F1734" t="s">
        <v>20</v>
      </c>
      <c r="G1734" t="str">
        <f>"2025-08-10 16:11:09.228"</f>
        <v>2025-08-10 16:11:09.228</v>
      </c>
      <c r="H1734" t="s">
        <v>21</v>
      </c>
    </row>
    <row r="1735" spans="1:10" x14ac:dyDescent="0.25">
      <c r="A1735" s="1">
        <v>834</v>
      </c>
      <c r="B1735" t="s">
        <v>19</v>
      </c>
      <c r="C1735">
        <v>706</v>
      </c>
      <c r="D1735">
        <v>3</v>
      </c>
      <c r="E1735" t="s">
        <v>29</v>
      </c>
      <c r="F1735" t="s">
        <v>32</v>
      </c>
      <c r="G1735" t="str">
        <f>"2025-08-10 16:09:36.736"</f>
        <v>2025-08-10 16:09:36.736</v>
      </c>
      <c r="H1735" t="s">
        <v>21</v>
      </c>
      <c r="I1735">
        <v>0</v>
      </c>
      <c r="J1735" t="s">
        <v>31</v>
      </c>
    </row>
    <row r="1736" spans="1:10" x14ac:dyDescent="0.25">
      <c r="A1736" s="1">
        <v>835</v>
      </c>
      <c r="B1736" t="s">
        <v>19</v>
      </c>
      <c r="C1736">
        <v>706</v>
      </c>
      <c r="D1736">
        <v>2</v>
      </c>
      <c r="E1736" t="s">
        <v>29</v>
      </c>
      <c r="F1736" t="s">
        <v>30</v>
      </c>
      <c r="G1736" t="str">
        <f>"2025-08-10 16:04:43.136"</f>
        <v>2025-08-10 16:04:43.136</v>
      </c>
      <c r="H1736" t="s">
        <v>21</v>
      </c>
      <c r="I1736">
        <v>0</v>
      </c>
      <c r="J1736" t="s">
        <v>31</v>
      </c>
    </row>
    <row r="1737" spans="1:10" x14ac:dyDescent="0.25">
      <c r="A1737" s="1">
        <v>836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"2025-08-10 16:04:13.226"</f>
        <v>2025-08-10 16:04:13.226</v>
      </c>
      <c r="H1737" t="s">
        <v>21</v>
      </c>
    </row>
    <row r="1738" spans="1:10" x14ac:dyDescent="0.25">
      <c r="A1738" s="1">
        <v>837</v>
      </c>
      <c r="B1738" t="s">
        <v>19</v>
      </c>
      <c r="C1738">
        <v>706</v>
      </c>
      <c r="D1738">
        <v>4</v>
      </c>
      <c r="E1738" t="s">
        <v>29</v>
      </c>
      <c r="F1738" t="s">
        <v>53</v>
      </c>
      <c r="G1738" t="str">
        <f>"2025-08-10 15:13:45.076"</f>
        <v>2025-08-10 15:13:45.076</v>
      </c>
      <c r="H1738" t="s">
        <v>21</v>
      </c>
      <c r="I1738">
        <v>0</v>
      </c>
      <c r="J1738" t="s">
        <v>31</v>
      </c>
    </row>
    <row r="1739" spans="1:10" x14ac:dyDescent="0.25">
      <c r="A1739" s="1">
        <v>838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"2025-08-09 19:56:04.256"</f>
        <v>2025-08-09 19:56:04.256</v>
      </c>
      <c r="H1739" t="s">
        <v>21</v>
      </c>
    </row>
    <row r="1740" spans="1:10" x14ac:dyDescent="0.25">
      <c r="A1740" s="1">
        <v>839</v>
      </c>
      <c r="B1740" t="s">
        <v>19</v>
      </c>
      <c r="C1740">
        <v>706</v>
      </c>
      <c r="D1740">
        <v>4</v>
      </c>
      <c r="E1740" t="s">
        <v>29</v>
      </c>
      <c r="F1740" t="s">
        <v>53</v>
      </c>
      <c r="G1740" t="str">
        <f>"2025-08-09 14:00:34.180"</f>
        <v>2025-08-09 14:00:34.180</v>
      </c>
      <c r="H1740" t="s">
        <v>21</v>
      </c>
      <c r="I1740">
        <v>0</v>
      </c>
      <c r="J1740" t="s">
        <v>31</v>
      </c>
    </row>
    <row r="1741" spans="1:10" s="3" customFormat="1" x14ac:dyDescent="0.25">
      <c r="A1741" s="2">
        <v>840</v>
      </c>
      <c r="B1741" s="3" t="s">
        <v>22</v>
      </c>
      <c r="C1741" s="3">
        <v>647</v>
      </c>
      <c r="D1741" s="3">
        <v>1</v>
      </c>
      <c r="E1741" s="3" t="s">
        <v>54</v>
      </c>
      <c r="F1741" s="3" t="s">
        <v>55</v>
      </c>
      <c r="G1741" s="3" t="str">
        <f>"2025-08-09 07:37:51.222"</f>
        <v>2025-08-09 07:37:51.222</v>
      </c>
      <c r="H1741" s="3" t="s">
        <v>21</v>
      </c>
    </row>
    <row r="1742" spans="1:10" s="3" customFormat="1" x14ac:dyDescent="0.25">
      <c r="A1742" s="2">
        <v>841</v>
      </c>
      <c r="B1742" s="3" t="s">
        <v>36</v>
      </c>
      <c r="C1742" s="3">
        <v>647</v>
      </c>
      <c r="D1742" s="3">
        <v>1</v>
      </c>
      <c r="E1742" s="3" t="s">
        <v>54</v>
      </c>
      <c r="F1742" s="3" t="s">
        <v>55</v>
      </c>
      <c r="G1742" s="3" t="str">
        <f>"2025-08-09 07:37:49.022"</f>
        <v>2025-08-09 07:37:49.022</v>
      </c>
      <c r="H1742" s="3" t="s">
        <v>21</v>
      </c>
      <c r="I1742" s="3">
        <v>8.39</v>
      </c>
      <c r="J1742" s="3" t="s">
        <v>27</v>
      </c>
    </row>
    <row r="1743" spans="1:10" x14ac:dyDescent="0.25">
      <c r="A1743" s="1">
        <v>842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"2025-08-07 20:03:31.350"</f>
        <v>2025-08-07 20:03:31.350</v>
      </c>
      <c r="H1743" t="s">
        <v>21</v>
      </c>
      <c r="I1743">
        <v>0</v>
      </c>
      <c r="J1743" t="s">
        <v>33</v>
      </c>
    </row>
    <row r="1744" spans="1:10" x14ac:dyDescent="0.25">
      <c r="A1744" s="1">
        <v>843</v>
      </c>
      <c r="B1744" t="s">
        <v>19</v>
      </c>
      <c r="C1744">
        <v>706</v>
      </c>
      <c r="D1744">
        <v>4</v>
      </c>
      <c r="E1744" t="s">
        <v>29</v>
      </c>
      <c r="F1744" t="s">
        <v>53</v>
      </c>
      <c r="G1744" t="str">
        <f>"2025-08-07 18:32:35.071"</f>
        <v>2025-08-07 18:32:35.071</v>
      </c>
      <c r="H1744" t="s">
        <v>21</v>
      </c>
      <c r="I1744">
        <v>0</v>
      </c>
      <c r="J1744" t="s">
        <v>31</v>
      </c>
    </row>
    <row r="1745" spans="1:10" x14ac:dyDescent="0.25">
      <c r="A1745" s="1">
        <v>844</v>
      </c>
      <c r="B1745" t="s">
        <v>19</v>
      </c>
      <c r="C1745">
        <v>700</v>
      </c>
      <c r="D1745">
        <v>0</v>
      </c>
      <c r="E1745" t="s">
        <v>20</v>
      </c>
      <c r="F1745" t="s">
        <v>20</v>
      </c>
      <c r="G1745" t="str">
        <f>"2025-08-07 18:32:05.231"</f>
        <v>2025-08-07 18:32:05.231</v>
      </c>
      <c r="H1745" t="s">
        <v>21</v>
      </c>
      <c r="I1745">
        <v>0</v>
      </c>
      <c r="J1745" t="s">
        <v>33</v>
      </c>
    </row>
    <row r="1746" spans="1:10" x14ac:dyDescent="0.25">
      <c r="A1746" s="1">
        <v>845</v>
      </c>
      <c r="B1746" t="s">
        <v>19</v>
      </c>
      <c r="C1746">
        <v>700</v>
      </c>
      <c r="D1746">
        <v>0</v>
      </c>
      <c r="E1746" t="s">
        <v>20</v>
      </c>
      <c r="F1746" t="s">
        <v>20</v>
      </c>
      <c r="G1746" t="str">
        <f>"2025-08-07 16:17:21.221"</f>
        <v>2025-08-07 16:17:21.221</v>
      </c>
      <c r="H1746" t="s">
        <v>21</v>
      </c>
    </row>
    <row r="1747" spans="1:10" x14ac:dyDescent="0.25">
      <c r="A1747" s="1">
        <v>846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"2025-08-07 11:57:28.224"</f>
        <v>2025-08-07 11:57:28.224</v>
      </c>
      <c r="H1747" t="s">
        <v>21</v>
      </c>
      <c r="I1747">
        <v>0</v>
      </c>
      <c r="J1747" t="s">
        <v>33</v>
      </c>
    </row>
    <row r="1748" spans="1:10" x14ac:dyDescent="0.25">
      <c r="A1748" s="1">
        <v>847</v>
      </c>
      <c r="B1748" t="s">
        <v>22</v>
      </c>
      <c r="C1748">
        <v>98</v>
      </c>
      <c r="D1748">
        <v>1</v>
      </c>
      <c r="E1748" t="s">
        <v>99</v>
      </c>
      <c r="F1748" t="s">
        <v>100</v>
      </c>
      <c r="G1748" t="str">
        <f>"2025-08-07 11:10:19.604"</f>
        <v>2025-08-07 11:10:19.604</v>
      </c>
      <c r="H1748" t="s">
        <v>21</v>
      </c>
    </row>
    <row r="1749" spans="1:10" x14ac:dyDescent="0.25">
      <c r="A1749" s="1">
        <v>848</v>
      </c>
      <c r="B1749" t="s">
        <v>36</v>
      </c>
      <c r="C1749">
        <v>98</v>
      </c>
      <c r="D1749">
        <v>1</v>
      </c>
      <c r="E1749" t="s">
        <v>99</v>
      </c>
      <c r="F1749" t="s">
        <v>100</v>
      </c>
      <c r="G1749" t="str">
        <f>"2025-08-07 11:10:18.105"</f>
        <v>2025-08-07 11:10:18.105</v>
      </c>
      <c r="H1749" t="s">
        <v>21</v>
      </c>
      <c r="I1749">
        <v>0</v>
      </c>
      <c r="J1749" t="s">
        <v>28</v>
      </c>
    </row>
    <row r="1750" spans="1:10" x14ac:dyDescent="0.25">
      <c r="A1750" s="1">
        <v>849</v>
      </c>
      <c r="B1750" t="s">
        <v>56</v>
      </c>
      <c r="C1750">
        <v>620</v>
      </c>
      <c r="D1750">
        <v>1</v>
      </c>
      <c r="E1750" t="s">
        <v>79</v>
      </c>
      <c r="F1750" t="s">
        <v>35</v>
      </c>
      <c r="G1750" t="str">
        <f>"2025-08-07 06:41:46.013"</f>
        <v>2025-08-07 06:41:46.013</v>
      </c>
      <c r="H1750" t="s">
        <v>75</v>
      </c>
    </row>
    <row r="1751" spans="1:10" x14ac:dyDescent="0.25">
      <c r="A1751" s="1">
        <v>850</v>
      </c>
      <c r="B1751" t="s">
        <v>26</v>
      </c>
      <c r="C1751">
        <v>620</v>
      </c>
      <c r="D1751">
        <v>1</v>
      </c>
      <c r="E1751" t="s">
        <v>79</v>
      </c>
      <c r="F1751" t="s">
        <v>35</v>
      </c>
      <c r="G1751" t="str">
        <f>"2025-08-07 06:41:16.132"</f>
        <v>2025-08-07 06:41:16.132</v>
      </c>
      <c r="H1751" t="s">
        <v>75</v>
      </c>
      <c r="I1751">
        <v>7.06</v>
      </c>
      <c r="J1751" t="s">
        <v>37</v>
      </c>
    </row>
    <row r="1752" spans="1:10" x14ac:dyDescent="0.25">
      <c r="A1752" s="1">
        <v>851</v>
      </c>
      <c r="B1752" t="s">
        <v>19</v>
      </c>
      <c r="C1752">
        <v>706</v>
      </c>
      <c r="D1752">
        <v>4</v>
      </c>
      <c r="E1752" t="s">
        <v>29</v>
      </c>
      <c r="F1752" t="s">
        <v>53</v>
      </c>
      <c r="G1752" t="str">
        <f>"2025-08-05 12:17:15.185"</f>
        <v>2025-08-05 12:17:15.185</v>
      </c>
      <c r="H1752" t="s">
        <v>21</v>
      </c>
      <c r="I1752">
        <v>0</v>
      </c>
      <c r="J1752" t="s">
        <v>31</v>
      </c>
    </row>
    <row r="1753" spans="1:10" x14ac:dyDescent="0.25">
      <c r="A1753" s="1">
        <v>852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"2025-08-05 12:16:52.235"</f>
        <v>2025-08-05 12:16:52.235</v>
      </c>
      <c r="H1753" t="s">
        <v>21</v>
      </c>
      <c r="I1753">
        <v>0</v>
      </c>
      <c r="J1753" t="s">
        <v>33</v>
      </c>
    </row>
    <row r="1754" spans="1:10" x14ac:dyDescent="0.25">
      <c r="A1754" s="1">
        <v>853</v>
      </c>
      <c r="B1754" t="s">
        <v>19</v>
      </c>
      <c r="C1754">
        <v>700</v>
      </c>
      <c r="D1754">
        <v>0</v>
      </c>
      <c r="E1754" t="s">
        <v>20</v>
      </c>
      <c r="F1754" t="s">
        <v>20</v>
      </c>
      <c r="G1754" t="str">
        <f>"2025-08-05 12:14:44.220"</f>
        <v>2025-08-05 12:14:44.220</v>
      </c>
      <c r="H1754" t="s">
        <v>21</v>
      </c>
    </row>
    <row r="1755" spans="1:10" x14ac:dyDescent="0.25">
      <c r="A1755" s="1">
        <v>854</v>
      </c>
      <c r="B1755" t="s">
        <v>19</v>
      </c>
      <c r="C1755">
        <v>700</v>
      </c>
      <c r="D1755">
        <v>0</v>
      </c>
      <c r="E1755" t="s">
        <v>20</v>
      </c>
      <c r="F1755" t="s">
        <v>20</v>
      </c>
      <c r="G1755" t="str">
        <f>"2025-08-05 10:20:26.263"</f>
        <v>2025-08-05 10:20:26.263</v>
      </c>
      <c r="H1755" t="s">
        <v>21</v>
      </c>
      <c r="I1755">
        <v>0</v>
      </c>
      <c r="J1755" t="s">
        <v>33</v>
      </c>
    </row>
    <row r="1756" spans="1:10" x14ac:dyDescent="0.25">
      <c r="A1756" s="1">
        <v>855</v>
      </c>
      <c r="B1756" t="s">
        <v>22</v>
      </c>
      <c r="C1756">
        <v>635</v>
      </c>
      <c r="D1756">
        <v>1</v>
      </c>
      <c r="E1756" t="s">
        <v>34</v>
      </c>
      <c r="F1756" t="s">
        <v>35</v>
      </c>
      <c r="G1756" t="str">
        <f>"2025-08-05 02:57:56.607"</f>
        <v>2025-08-05 02:57:56.607</v>
      </c>
      <c r="H1756" t="s">
        <v>21</v>
      </c>
    </row>
    <row r="1757" spans="1:10" x14ac:dyDescent="0.25">
      <c r="A1757" s="1">
        <v>856</v>
      </c>
      <c r="B1757" t="s">
        <v>36</v>
      </c>
      <c r="C1757">
        <v>635</v>
      </c>
      <c r="D1757">
        <v>1</v>
      </c>
      <c r="E1757" t="s">
        <v>34</v>
      </c>
      <c r="F1757" t="s">
        <v>35</v>
      </c>
      <c r="G1757" t="str">
        <f>"2025-08-05 02:53:17.608"</f>
        <v>2025-08-05 02:53:17.608</v>
      </c>
      <c r="H1757" t="s">
        <v>21</v>
      </c>
      <c r="I1757">
        <v>-0.23</v>
      </c>
      <c r="J1757" t="s">
        <v>28</v>
      </c>
    </row>
    <row r="1758" spans="1:10" x14ac:dyDescent="0.25">
      <c r="A1758" s="1">
        <v>857</v>
      </c>
      <c r="B1758" t="s">
        <v>19</v>
      </c>
      <c r="C1758">
        <v>706</v>
      </c>
      <c r="D1758">
        <v>4</v>
      </c>
      <c r="E1758" t="s">
        <v>29</v>
      </c>
      <c r="F1758" t="s">
        <v>53</v>
      </c>
      <c r="G1758" t="str">
        <f>"2025-08-04 17:19:39.770"</f>
        <v>2025-08-04 17:19:39.770</v>
      </c>
      <c r="H1758" t="s">
        <v>21</v>
      </c>
      <c r="I1758">
        <v>0</v>
      </c>
      <c r="J1758" t="s">
        <v>31</v>
      </c>
    </row>
    <row r="1759" spans="1:10" x14ac:dyDescent="0.25">
      <c r="A1759" s="1">
        <v>858</v>
      </c>
      <c r="B1759" t="s">
        <v>19</v>
      </c>
      <c r="C1759">
        <v>700</v>
      </c>
      <c r="D1759">
        <v>0</v>
      </c>
      <c r="E1759" t="s">
        <v>20</v>
      </c>
      <c r="F1759" t="s">
        <v>20</v>
      </c>
      <c r="G1759" t="str">
        <f>"2025-08-04 17:19:22.220"</f>
        <v>2025-08-04 17:19:22.220</v>
      </c>
      <c r="H1759" t="s">
        <v>21</v>
      </c>
    </row>
    <row r="1760" spans="1:10" x14ac:dyDescent="0.25">
      <c r="A1760" s="1">
        <v>859</v>
      </c>
      <c r="B1760" t="s">
        <v>19</v>
      </c>
      <c r="C1760">
        <v>700</v>
      </c>
      <c r="D1760">
        <v>0</v>
      </c>
      <c r="E1760" t="s">
        <v>20</v>
      </c>
      <c r="F1760" t="s">
        <v>20</v>
      </c>
      <c r="G1760" t="str">
        <f>"2025-08-04 17:09:16.229"</f>
        <v>2025-08-04 17:09:16.229</v>
      </c>
      <c r="H1760" t="s">
        <v>21</v>
      </c>
      <c r="I1760">
        <v>0</v>
      </c>
      <c r="J1760" t="s">
        <v>33</v>
      </c>
    </row>
    <row r="1761" spans="1:10" x14ac:dyDescent="0.25">
      <c r="A1761" s="1">
        <v>860</v>
      </c>
      <c r="B1761" t="s">
        <v>19</v>
      </c>
      <c r="C1761">
        <v>700</v>
      </c>
      <c r="D1761">
        <v>0</v>
      </c>
      <c r="E1761" t="s">
        <v>20</v>
      </c>
      <c r="F1761" t="s">
        <v>20</v>
      </c>
      <c r="G1761" t="str">
        <f>"2025-08-04 12:34:05.220"</f>
        <v>2025-08-04 12:34:05.220</v>
      </c>
      <c r="H1761" t="s">
        <v>21</v>
      </c>
    </row>
    <row r="1762" spans="1:10" x14ac:dyDescent="0.25">
      <c r="A1762" s="1">
        <v>861</v>
      </c>
      <c r="B1762" t="s">
        <v>19</v>
      </c>
      <c r="C1762">
        <v>700</v>
      </c>
      <c r="D1762">
        <v>0</v>
      </c>
      <c r="E1762" t="s">
        <v>20</v>
      </c>
      <c r="F1762" t="s">
        <v>20</v>
      </c>
      <c r="G1762" t="str">
        <f>"2025-08-04 11:46:30.229"</f>
        <v>2025-08-04 11:46:30.229</v>
      </c>
      <c r="H1762" t="s">
        <v>21</v>
      </c>
      <c r="I1762">
        <v>0</v>
      </c>
      <c r="J1762" t="s">
        <v>33</v>
      </c>
    </row>
    <row r="1763" spans="1:10" x14ac:dyDescent="0.25">
      <c r="A1763" s="1">
        <v>862</v>
      </c>
      <c r="B1763" t="s">
        <v>19</v>
      </c>
      <c r="C1763">
        <v>700</v>
      </c>
      <c r="D1763">
        <v>0</v>
      </c>
      <c r="E1763" t="s">
        <v>20</v>
      </c>
      <c r="F1763" t="s">
        <v>20</v>
      </c>
      <c r="G1763" t="str">
        <f>"2025-08-04 11:09:22.218"</f>
        <v>2025-08-04 11:09:22.218</v>
      </c>
      <c r="H1763" t="s">
        <v>21</v>
      </c>
    </row>
    <row r="1764" spans="1:10" x14ac:dyDescent="0.25">
      <c r="A1764" s="1">
        <v>863</v>
      </c>
      <c r="B1764" t="s">
        <v>19</v>
      </c>
      <c r="C1764">
        <v>706</v>
      </c>
      <c r="D1764">
        <v>2</v>
      </c>
      <c r="E1764" t="s">
        <v>29</v>
      </c>
      <c r="F1764" t="s">
        <v>30</v>
      </c>
      <c r="G1764" t="str">
        <f>"2025-08-04 07:57:36.297"</f>
        <v>2025-08-04 07:57:36.297</v>
      </c>
      <c r="H1764" t="s">
        <v>21</v>
      </c>
      <c r="I1764">
        <v>0</v>
      </c>
      <c r="J1764" t="s">
        <v>31</v>
      </c>
    </row>
    <row r="1765" spans="1:10" x14ac:dyDescent="0.25">
      <c r="A1765" s="1">
        <v>864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"2025-08-04 07:57:22.237"</f>
        <v>2025-08-04 07:57:22.237</v>
      </c>
      <c r="H1765" t="s">
        <v>21</v>
      </c>
      <c r="I1765">
        <v>0</v>
      </c>
      <c r="J1765" t="s">
        <v>33</v>
      </c>
    </row>
    <row r="1766" spans="1:10" x14ac:dyDescent="0.25">
      <c r="A1766" s="1">
        <v>865</v>
      </c>
      <c r="B1766" t="s">
        <v>19</v>
      </c>
      <c r="C1766">
        <v>706</v>
      </c>
      <c r="D1766">
        <v>4</v>
      </c>
      <c r="E1766" t="s">
        <v>29</v>
      </c>
      <c r="F1766" t="s">
        <v>53</v>
      </c>
      <c r="G1766" t="str">
        <f>"2025-08-04 05:39:31.664"</f>
        <v>2025-08-04 05:39:31.664</v>
      </c>
      <c r="H1766" t="s">
        <v>21</v>
      </c>
      <c r="I1766">
        <v>0</v>
      </c>
      <c r="J1766" t="s">
        <v>31</v>
      </c>
    </row>
    <row r="1767" spans="1:10" x14ac:dyDescent="0.25">
      <c r="A1767" s="1">
        <v>866</v>
      </c>
      <c r="B1767" t="s">
        <v>19</v>
      </c>
      <c r="C1767">
        <v>700</v>
      </c>
      <c r="D1767">
        <v>0</v>
      </c>
      <c r="E1767" t="s">
        <v>20</v>
      </c>
      <c r="F1767" t="s">
        <v>20</v>
      </c>
      <c r="G1767" t="str">
        <f>"2025-08-04 05:39:01.224"</f>
        <v>2025-08-04 05:39:01.224</v>
      </c>
      <c r="H1767" t="s">
        <v>21</v>
      </c>
      <c r="I1767">
        <v>0</v>
      </c>
      <c r="J1767" t="s">
        <v>33</v>
      </c>
    </row>
    <row r="1768" spans="1:10" x14ac:dyDescent="0.25">
      <c r="A1768" s="1">
        <v>867</v>
      </c>
      <c r="B1768" t="s">
        <v>19</v>
      </c>
      <c r="C1768">
        <v>706</v>
      </c>
      <c r="D1768">
        <v>4</v>
      </c>
      <c r="E1768" t="s">
        <v>29</v>
      </c>
      <c r="F1768" t="s">
        <v>53</v>
      </c>
      <c r="G1768" t="str">
        <f>"2025-08-04 05:29:46.047"</f>
        <v>2025-08-04 05:29:46.047</v>
      </c>
      <c r="H1768" t="s">
        <v>21</v>
      </c>
      <c r="I1768">
        <v>0</v>
      </c>
      <c r="J1768" t="s">
        <v>31</v>
      </c>
    </row>
    <row r="1769" spans="1:10" x14ac:dyDescent="0.25">
      <c r="A1769" s="1">
        <v>868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"2025-08-04 05:29:23.227"</f>
        <v>2025-08-04 05:29:23.227</v>
      </c>
      <c r="H1769" t="s">
        <v>21</v>
      </c>
      <c r="I1769">
        <v>0</v>
      </c>
      <c r="J1769" t="s">
        <v>33</v>
      </c>
    </row>
    <row r="1770" spans="1:10" x14ac:dyDescent="0.25">
      <c r="A1770" s="1">
        <v>869</v>
      </c>
      <c r="B1770" t="s">
        <v>19</v>
      </c>
      <c r="C1770">
        <v>706</v>
      </c>
      <c r="D1770">
        <v>2</v>
      </c>
      <c r="E1770" t="s">
        <v>29</v>
      </c>
      <c r="F1770" t="s">
        <v>30</v>
      </c>
      <c r="G1770" t="str">
        <f>"2025-08-04 05:20:26.645"</f>
        <v>2025-08-04 05:20:26.645</v>
      </c>
      <c r="H1770" t="s">
        <v>21</v>
      </c>
      <c r="I1770">
        <v>0</v>
      </c>
      <c r="J1770" t="s">
        <v>31</v>
      </c>
    </row>
    <row r="1771" spans="1:10" x14ac:dyDescent="0.25">
      <c r="A1771" s="1">
        <v>870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"2025-08-04 04:55:41.475"</f>
        <v>2025-08-04 04:55:41.475</v>
      </c>
      <c r="H1771" t="s">
        <v>21</v>
      </c>
      <c r="I1771">
        <v>0</v>
      </c>
      <c r="J1771" t="s">
        <v>33</v>
      </c>
    </row>
    <row r="1772" spans="1:10" x14ac:dyDescent="0.25">
      <c r="A1772" s="1">
        <v>871</v>
      </c>
      <c r="B1772" t="s">
        <v>19</v>
      </c>
      <c r="C1772">
        <v>700</v>
      </c>
      <c r="D1772">
        <v>0</v>
      </c>
      <c r="E1772" t="s">
        <v>20</v>
      </c>
      <c r="F1772" t="s">
        <v>20</v>
      </c>
      <c r="G1772" t="str">
        <f>"2025-08-04 04:50:30.469"</f>
        <v>2025-08-04 04:50:30.469</v>
      </c>
      <c r="H1772" t="s">
        <v>21</v>
      </c>
      <c r="I1772">
        <v>0</v>
      </c>
      <c r="J1772" t="s">
        <v>33</v>
      </c>
    </row>
    <row r="1773" spans="1:10" x14ac:dyDescent="0.25">
      <c r="A1773" s="1">
        <v>872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"2025-08-04 04:34:56.462"</f>
        <v>2025-08-04 04:34:56.462</v>
      </c>
      <c r="H1773" t="s">
        <v>21</v>
      </c>
    </row>
    <row r="1774" spans="1:10" s="3" customFormat="1" x14ac:dyDescent="0.25">
      <c r="A1774" s="2">
        <v>875</v>
      </c>
      <c r="B1774" s="3" t="s">
        <v>22</v>
      </c>
      <c r="C1774" s="3">
        <v>647</v>
      </c>
      <c r="D1774" s="3">
        <v>1</v>
      </c>
      <c r="E1774" s="3" t="s">
        <v>54</v>
      </c>
      <c r="F1774" s="3" t="s">
        <v>55</v>
      </c>
      <c r="G1774" s="3" t="str">
        <f>"2025-08-02 12:24:06.411"</f>
        <v>2025-08-02 12:24:06.411</v>
      </c>
      <c r="H1774" s="3" t="s">
        <v>21</v>
      </c>
    </row>
    <row r="1775" spans="1:10" s="3" customFormat="1" x14ac:dyDescent="0.25">
      <c r="A1775" s="2">
        <v>876</v>
      </c>
      <c r="B1775" s="3" t="s">
        <v>36</v>
      </c>
      <c r="C1775" s="3">
        <v>647</v>
      </c>
      <c r="D1775" s="3">
        <v>1</v>
      </c>
      <c r="E1775" s="3" t="s">
        <v>54</v>
      </c>
      <c r="F1775" s="3" t="s">
        <v>55</v>
      </c>
      <c r="G1775" s="3" t="str">
        <f>"2025-08-02 12:23:59.411"</f>
        <v>2025-08-02 12:23:59.411</v>
      </c>
      <c r="H1775" s="3" t="s">
        <v>21</v>
      </c>
      <c r="I1775" s="3">
        <v>10.72</v>
      </c>
      <c r="J1775" s="3" t="s">
        <v>27</v>
      </c>
    </row>
    <row r="1776" spans="1:10" s="3" customFormat="1" x14ac:dyDescent="0.25">
      <c r="A1776" s="2">
        <v>877</v>
      </c>
      <c r="B1776" s="3" t="s">
        <v>22</v>
      </c>
      <c r="C1776" s="3">
        <v>647</v>
      </c>
      <c r="D1776" s="3">
        <v>1</v>
      </c>
      <c r="E1776" s="3" t="s">
        <v>54</v>
      </c>
      <c r="F1776" s="3" t="s">
        <v>55</v>
      </c>
      <c r="G1776" s="3" t="str">
        <f>"2025-08-02 11:12:36.611"</f>
        <v>2025-08-02 11:12:36.611</v>
      </c>
      <c r="H1776" s="3" t="s">
        <v>21</v>
      </c>
    </row>
    <row r="1777" spans="1:10" s="3" customFormat="1" x14ac:dyDescent="0.25">
      <c r="A1777" s="2">
        <v>878</v>
      </c>
      <c r="B1777" s="3" t="s">
        <v>36</v>
      </c>
      <c r="C1777" s="3">
        <v>647</v>
      </c>
      <c r="D1777" s="3">
        <v>1</v>
      </c>
      <c r="E1777" s="3" t="s">
        <v>54</v>
      </c>
      <c r="F1777" s="3" t="s">
        <v>55</v>
      </c>
      <c r="G1777" s="3" t="str">
        <f>"2025-08-02 11:12:33.911"</f>
        <v>2025-08-02 11:12:33.911</v>
      </c>
      <c r="H1777" s="3" t="s">
        <v>21</v>
      </c>
      <c r="I1777" s="3">
        <v>12.27</v>
      </c>
      <c r="J1777" s="3" t="s">
        <v>27</v>
      </c>
    </row>
    <row r="1778" spans="1:10" x14ac:dyDescent="0.25">
      <c r="A1778" s="1">
        <v>879</v>
      </c>
      <c r="B1778" t="s">
        <v>19</v>
      </c>
      <c r="C1778">
        <v>706</v>
      </c>
      <c r="D1778">
        <v>4</v>
      </c>
      <c r="E1778" t="s">
        <v>29</v>
      </c>
      <c r="F1778" t="s">
        <v>53</v>
      </c>
      <c r="G1778" t="str">
        <f>"2025-08-02 04:58:02.104"</f>
        <v>2025-08-02 04:58:02.104</v>
      </c>
      <c r="H1778" t="s">
        <v>21</v>
      </c>
      <c r="I1778">
        <v>0</v>
      </c>
      <c r="J1778" t="s">
        <v>31</v>
      </c>
    </row>
    <row r="1779" spans="1:10" x14ac:dyDescent="0.25">
      <c r="A1779" s="1">
        <v>880</v>
      </c>
      <c r="B1779" t="s">
        <v>19</v>
      </c>
      <c r="C1779">
        <v>706</v>
      </c>
      <c r="D1779">
        <v>2</v>
      </c>
      <c r="E1779" t="s">
        <v>29</v>
      </c>
      <c r="F1779" t="s">
        <v>30</v>
      </c>
      <c r="G1779" t="str">
        <f>"2025-08-01 22:58:28.594"</f>
        <v>2025-08-01 22:58:28.594</v>
      </c>
      <c r="H1779" t="s">
        <v>21</v>
      </c>
      <c r="I1779">
        <v>0</v>
      </c>
      <c r="J1779" t="s">
        <v>31</v>
      </c>
    </row>
    <row r="1780" spans="1:10" s="3" customFormat="1" x14ac:dyDescent="0.25">
      <c r="A1780" s="2">
        <v>881</v>
      </c>
      <c r="B1780" s="3" t="s">
        <v>22</v>
      </c>
      <c r="C1780" s="3">
        <v>647</v>
      </c>
      <c r="D1780" s="3">
        <v>1</v>
      </c>
      <c r="E1780" s="3" t="s">
        <v>54</v>
      </c>
      <c r="F1780" s="3" t="s">
        <v>55</v>
      </c>
      <c r="G1780" s="3" t="str">
        <f>"2025-08-01 13:11:48.911"</f>
        <v>2025-08-01 13:11:48.911</v>
      </c>
      <c r="H1780" s="3" t="s">
        <v>21</v>
      </c>
    </row>
    <row r="1781" spans="1:10" s="3" customFormat="1" x14ac:dyDescent="0.25">
      <c r="A1781" s="2">
        <v>882</v>
      </c>
      <c r="B1781" s="3" t="s">
        <v>36</v>
      </c>
      <c r="C1781" s="3">
        <v>647</v>
      </c>
      <c r="D1781" s="3">
        <v>1</v>
      </c>
      <c r="E1781" s="3" t="s">
        <v>54</v>
      </c>
      <c r="F1781" s="3" t="s">
        <v>55</v>
      </c>
      <c r="G1781" s="3" t="str">
        <f>"2025-08-01 13:11:45.811"</f>
        <v>2025-08-01 13:11:45.811</v>
      </c>
      <c r="H1781" s="3" t="s">
        <v>21</v>
      </c>
      <c r="I1781" s="3">
        <v>9.44</v>
      </c>
      <c r="J1781" s="3" t="s">
        <v>27</v>
      </c>
    </row>
    <row r="1782" spans="1:10" x14ac:dyDescent="0.25">
      <c r="A1782" s="1">
        <v>884</v>
      </c>
      <c r="B1782" t="s">
        <v>22</v>
      </c>
      <c r="C1782">
        <v>635</v>
      </c>
      <c r="D1782">
        <v>1</v>
      </c>
      <c r="E1782" t="s">
        <v>34</v>
      </c>
      <c r="F1782" t="s">
        <v>35</v>
      </c>
      <c r="G1782" t="str">
        <f>"2025-07-31 13:48:27.411"</f>
        <v>2025-07-31 13:48:27.411</v>
      </c>
      <c r="H1782" t="s">
        <v>21</v>
      </c>
    </row>
    <row r="1783" spans="1:10" x14ac:dyDescent="0.25">
      <c r="A1783" s="1">
        <v>885</v>
      </c>
      <c r="B1783" t="s">
        <v>36</v>
      </c>
      <c r="C1783">
        <v>635</v>
      </c>
      <c r="D1783">
        <v>1</v>
      </c>
      <c r="E1783" t="s">
        <v>34</v>
      </c>
      <c r="F1783" t="s">
        <v>35</v>
      </c>
      <c r="G1783" t="str">
        <f>"2025-07-31 13:46:30.911"</f>
        <v>2025-07-31 13:46:30.911</v>
      </c>
      <c r="H1783" t="s">
        <v>21</v>
      </c>
      <c r="I1783">
        <v>0.92</v>
      </c>
      <c r="J1783" t="s">
        <v>37</v>
      </c>
    </row>
    <row r="1784" spans="1:10" x14ac:dyDescent="0.25">
      <c r="A1784" s="1">
        <v>886</v>
      </c>
      <c r="B1784" t="s">
        <v>19</v>
      </c>
      <c r="C1784">
        <v>706</v>
      </c>
      <c r="D1784">
        <v>4</v>
      </c>
      <c r="E1784" t="s">
        <v>29</v>
      </c>
      <c r="F1784" t="s">
        <v>53</v>
      </c>
      <c r="G1784" t="str">
        <f>"2025-07-31 05:50:47.144"</f>
        <v>2025-07-31 05:50:47.144</v>
      </c>
      <c r="H1784" t="s">
        <v>21</v>
      </c>
      <c r="I1784">
        <v>0</v>
      </c>
      <c r="J1784" t="s">
        <v>31</v>
      </c>
    </row>
    <row r="1785" spans="1:10" s="3" customFormat="1" x14ac:dyDescent="0.25">
      <c r="A1785" s="2">
        <v>887</v>
      </c>
      <c r="B1785" s="3" t="s">
        <v>22</v>
      </c>
      <c r="C1785" s="3">
        <v>647</v>
      </c>
      <c r="D1785" s="3">
        <v>1</v>
      </c>
      <c r="E1785" s="3" t="s">
        <v>54</v>
      </c>
      <c r="F1785" s="3" t="s">
        <v>55</v>
      </c>
      <c r="G1785" s="3" t="str">
        <f>"2025-07-30 08:33:28.511"</f>
        <v>2025-07-30 08:33:28.511</v>
      </c>
      <c r="H1785" s="3" t="s">
        <v>21</v>
      </c>
    </row>
    <row r="1786" spans="1:10" s="3" customFormat="1" x14ac:dyDescent="0.25">
      <c r="A1786" s="2">
        <v>888</v>
      </c>
      <c r="B1786" s="3" t="s">
        <v>36</v>
      </c>
      <c r="C1786" s="3">
        <v>647</v>
      </c>
      <c r="D1786" s="3">
        <v>1</v>
      </c>
      <c r="E1786" s="3" t="s">
        <v>54</v>
      </c>
      <c r="F1786" s="3" t="s">
        <v>55</v>
      </c>
      <c r="G1786" s="3" t="str">
        <f>"2025-07-30 08:33:19.011"</f>
        <v>2025-07-30 08:33:19.011</v>
      </c>
      <c r="H1786" s="3" t="s">
        <v>21</v>
      </c>
      <c r="I1786" s="3">
        <v>10.31</v>
      </c>
      <c r="J1786" s="3" t="s">
        <v>27</v>
      </c>
    </row>
    <row r="1787" spans="1:10" x14ac:dyDescent="0.25">
      <c r="A1787" s="1">
        <v>889</v>
      </c>
      <c r="B1787" t="s">
        <v>19</v>
      </c>
      <c r="C1787">
        <v>706</v>
      </c>
      <c r="D1787">
        <v>2</v>
      </c>
      <c r="E1787" t="s">
        <v>29</v>
      </c>
      <c r="F1787" t="s">
        <v>30</v>
      </c>
      <c r="G1787" t="str">
        <f>"2025-07-29 21:09:58.394"</f>
        <v>2025-07-29 21:09:58.394</v>
      </c>
      <c r="H1787" t="s">
        <v>21</v>
      </c>
      <c r="I1787">
        <v>0</v>
      </c>
      <c r="J1787" t="s">
        <v>31</v>
      </c>
    </row>
    <row r="1788" spans="1:10" s="3" customFormat="1" x14ac:dyDescent="0.25">
      <c r="A1788" s="2">
        <v>890</v>
      </c>
      <c r="B1788" s="3" t="s">
        <v>22</v>
      </c>
      <c r="C1788" s="3">
        <v>647</v>
      </c>
      <c r="D1788" s="3">
        <v>1</v>
      </c>
      <c r="E1788" s="3" t="s">
        <v>54</v>
      </c>
      <c r="F1788" s="3" t="s">
        <v>55</v>
      </c>
      <c r="G1788" s="3" t="str">
        <f>"2025-07-29 09:45:04.111"</f>
        <v>2025-07-29 09:45:04.111</v>
      </c>
      <c r="H1788" s="3" t="s">
        <v>21</v>
      </c>
    </row>
    <row r="1789" spans="1:10" s="3" customFormat="1" x14ac:dyDescent="0.25">
      <c r="A1789" s="2">
        <v>891</v>
      </c>
      <c r="B1789" s="3" t="s">
        <v>36</v>
      </c>
      <c r="C1789" s="3">
        <v>647</v>
      </c>
      <c r="D1789" s="3">
        <v>1</v>
      </c>
      <c r="E1789" s="3" t="s">
        <v>54</v>
      </c>
      <c r="F1789" s="3" t="s">
        <v>55</v>
      </c>
      <c r="G1789" s="3" t="str">
        <f>"2025-07-29 09:44:59.812"</f>
        <v>2025-07-29 09:44:59.812</v>
      </c>
      <c r="H1789" s="3" t="s">
        <v>21</v>
      </c>
      <c r="I1789" s="3">
        <v>11.58</v>
      </c>
      <c r="J1789" s="3" t="s">
        <v>27</v>
      </c>
    </row>
    <row r="1790" spans="1:10" x14ac:dyDescent="0.25">
      <c r="A1790" s="1">
        <v>892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"2025-07-28 22:08:29.414"</f>
        <v>2025-07-28 22:08:29.414</v>
      </c>
      <c r="H1790" t="s">
        <v>21</v>
      </c>
    </row>
    <row r="1791" spans="1:10" s="3" customFormat="1" x14ac:dyDescent="0.25">
      <c r="A1791" s="2">
        <v>893</v>
      </c>
      <c r="B1791" s="3" t="s">
        <v>22</v>
      </c>
      <c r="C1791" s="3">
        <v>647</v>
      </c>
      <c r="D1791" s="3">
        <v>1</v>
      </c>
      <c r="E1791" s="3" t="s">
        <v>54</v>
      </c>
      <c r="F1791" s="3" t="s">
        <v>55</v>
      </c>
      <c r="G1791" s="3" t="str">
        <f>"2025-07-28 15:24:32.940"</f>
        <v>2025-07-28 15:24:32.940</v>
      </c>
      <c r="H1791" s="3" t="s">
        <v>21</v>
      </c>
    </row>
    <row r="1792" spans="1:10" s="3" customFormat="1" x14ac:dyDescent="0.25">
      <c r="A1792" s="2">
        <v>894</v>
      </c>
      <c r="B1792" s="3" t="s">
        <v>36</v>
      </c>
      <c r="C1792" s="3">
        <v>647</v>
      </c>
      <c r="D1792" s="3">
        <v>1</v>
      </c>
      <c r="E1792" s="3" t="s">
        <v>54</v>
      </c>
      <c r="F1792" s="3" t="s">
        <v>55</v>
      </c>
      <c r="G1792" s="3" t="str">
        <f>"2025-07-28 15:24:30.641"</f>
        <v>2025-07-28 15:24:30.641</v>
      </c>
      <c r="H1792" s="3" t="s">
        <v>21</v>
      </c>
      <c r="I1792" s="3">
        <v>12.85</v>
      </c>
      <c r="J1792" s="3" t="s">
        <v>27</v>
      </c>
    </row>
    <row r="1793" spans="1:10" x14ac:dyDescent="0.25">
      <c r="A1793" s="1">
        <v>895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"2025-07-28 06:22:30.243"</f>
        <v>2025-07-28 06:22:30.243</v>
      </c>
      <c r="H1793" t="s">
        <v>21</v>
      </c>
      <c r="I1793">
        <v>0</v>
      </c>
      <c r="J1793" t="s">
        <v>33</v>
      </c>
    </row>
    <row r="1794" spans="1:10" x14ac:dyDescent="0.25">
      <c r="A1794" s="1">
        <v>896</v>
      </c>
      <c r="B1794" t="s">
        <v>19</v>
      </c>
      <c r="C1794">
        <v>700</v>
      </c>
      <c r="D1794">
        <v>0</v>
      </c>
      <c r="E1794" t="s">
        <v>20</v>
      </c>
      <c r="F1794" t="s">
        <v>20</v>
      </c>
      <c r="G1794" t="str">
        <f>"2025-07-27 00:53:22.258"</f>
        <v>2025-07-27 00:53:22.258</v>
      </c>
      <c r="H1794" t="s">
        <v>21</v>
      </c>
      <c r="I1794">
        <v>0</v>
      </c>
      <c r="J1794" t="s">
        <v>33</v>
      </c>
    </row>
    <row r="1795" spans="1:10" x14ac:dyDescent="0.25">
      <c r="A1795" s="1">
        <v>897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"2025-07-25 19:58:12.231"</f>
        <v>2025-07-25 19:58:12.231</v>
      </c>
      <c r="H1795" t="s">
        <v>21</v>
      </c>
      <c r="I1795">
        <v>0</v>
      </c>
      <c r="J1795" t="s">
        <v>33</v>
      </c>
    </row>
    <row r="1796" spans="1:10" x14ac:dyDescent="0.25">
      <c r="A1796" s="1">
        <v>898</v>
      </c>
      <c r="B1796" t="s">
        <v>19</v>
      </c>
      <c r="C1796">
        <v>706</v>
      </c>
      <c r="D1796">
        <v>4</v>
      </c>
      <c r="E1796" t="s">
        <v>29</v>
      </c>
      <c r="F1796" t="s">
        <v>53</v>
      </c>
      <c r="G1796" t="str">
        <f>"2025-07-25 15:52:35.662"</f>
        <v>2025-07-25 15:52:35.662</v>
      </c>
      <c r="H1796" t="s">
        <v>21</v>
      </c>
      <c r="I1796">
        <v>0</v>
      </c>
      <c r="J1796" t="s">
        <v>31</v>
      </c>
    </row>
    <row r="1797" spans="1:10" x14ac:dyDescent="0.25">
      <c r="A1797" s="1">
        <v>899</v>
      </c>
      <c r="B1797" t="s">
        <v>19</v>
      </c>
      <c r="C1797">
        <v>706</v>
      </c>
      <c r="D1797">
        <v>4</v>
      </c>
      <c r="E1797" t="s">
        <v>29</v>
      </c>
      <c r="F1797" t="s">
        <v>53</v>
      </c>
      <c r="G1797" t="str">
        <f>"2025-07-25 15:44:58.482"</f>
        <v>2025-07-25 15:44:58.482</v>
      </c>
      <c r="H1797" t="s">
        <v>21</v>
      </c>
      <c r="I1797">
        <v>0</v>
      </c>
      <c r="J1797" t="s">
        <v>31</v>
      </c>
    </row>
    <row r="1798" spans="1:10" x14ac:dyDescent="0.25">
      <c r="A1798" s="1">
        <v>900</v>
      </c>
      <c r="B1798" t="s">
        <v>19</v>
      </c>
      <c r="C1798">
        <v>706</v>
      </c>
      <c r="D1798">
        <v>2</v>
      </c>
      <c r="E1798" t="s">
        <v>29</v>
      </c>
      <c r="F1798" t="s">
        <v>30</v>
      </c>
      <c r="G1798" t="str">
        <f>"2025-07-25 15:40:53.792"</f>
        <v>2025-07-25 15:40:53.792</v>
      </c>
      <c r="H1798" t="s">
        <v>21</v>
      </c>
      <c r="I1798">
        <v>0</v>
      </c>
      <c r="J1798" t="s">
        <v>31</v>
      </c>
    </row>
    <row r="1799" spans="1:10" x14ac:dyDescent="0.25">
      <c r="A1799" s="1">
        <v>901</v>
      </c>
      <c r="B1799" t="s">
        <v>19</v>
      </c>
      <c r="C1799">
        <v>706</v>
      </c>
      <c r="D1799">
        <v>4</v>
      </c>
      <c r="E1799" t="s">
        <v>29</v>
      </c>
      <c r="F1799" t="s">
        <v>53</v>
      </c>
      <c r="G1799" t="str">
        <f>"2025-07-25 15:40:42.882"</f>
        <v>2025-07-25 15:40:42.882</v>
      </c>
      <c r="H1799" t="s">
        <v>21</v>
      </c>
      <c r="I1799">
        <v>0</v>
      </c>
      <c r="J1799" t="s">
        <v>31</v>
      </c>
    </row>
    <row r="1800" spans="1:10" x14ac:dyDescent="0.25">
      <c r="A1800" s="1">
        <v>902</v>
      </c>
      <c r="B1800" t="s">
        <v>19</v>
      </c>
      <c r="C1800">
        <v>706</v>
      </c>
      <c r="D1800">
        <v>4</v>
      </c>
      <c r="E1800" t="s">
        <v>29</v>
      </c>
      <c r="F1800" t="s">
        <v>53</v>
      </c>
      <c r="G1800" t="str">
        <f>"2025-07-25 15:40:05.782"</f>
        <v>2025-07-25 15:40:05.782</v>
      </c>
      <c r="H1800" t="s">
        <v>21</v>
      </c>
      <c r="I1800">
        <v>0</v>
      </c>
      <c r="J1800" t="s">
        <v>31</v>
      </c>
    </row>
    <row r="1801" spans="1:10" x14ac:dyDescent="0.25">
      <c r="A1801" s="1">
        <v>903</v>
      </c>
      <c r="B1801" t="s">
        <v>19</v>
      </c>
      <c r="C1801">
        <v>706</v>
      </c>
      <c r="D1801">
        <v>4</v>
      </c>
      <c r="E1801" t="s">
        <v>29</v>
      </c>
      <c r="F1801" t="s">
        <v>53</v>
      </c>
      <c r="G1801" t="str">
        <f>"2025-07-25 15:37:10.502"</f>
        <v>2025-07-25 15:37:10.502</v>
      </c>
      <c r="H1801" t="s">
        <v>21</v>
      </c>
      <c r="I1801">
        <v>0</v>
      </c>
      <c r="J1801" t="s">
        <v>31</v>
      </c>
    </row>
    <row r="1802" spans="1:10" x14ac:dyDescent="0.25">
      <c r="A1802" s="1">
        <v>904</v>
      </c>
      <c r="B1802" t="s">
        <v>19</v>
      </c>
      <c r="C1802">
        <v>706</v>
      </c>
      <c r="D1802">
        <v>2</v>
      </c>
      <c r="E1802" t="s">
        <v>29</v>
      </c>
      <c r="F1802" t="s">
        <v>30</v>
      </c>
      <c r="G1802" t="str">
        <f>"2025-07-25 15:36:25.792"</f>
        <v>2025-07-25 15:36:25.792</v>
      </c>
      <c r="H1802" t="s">
        <v>21</v>
      </c>
      <c r="I1802">
        <v>0</v>
      </c>
      <c r="J1802" t="s">
        <v>31</v>
      </c>
    </row>
    <row r="1803" spans="1:10" x14ac:dyDescent="0.25">
      <c r="A1803" s="1">
        <v>905</v>
      </c>
      <c r="B1803" t="s">
        <v>22</v>
      </c>
      <c r="C1803">
        <v>635</v>
      </c>
      <c r="D1803">
        <v>1</v>
      </c>
      <c r="E1803" t="s">
        <v>34</v>
      </c>
      <c r="F1803" t="s">
        <v>35</v>
      </c>
      <c r="G1803" t="str">
        <f>"2025-07-25 07:35:12.312"</f>
        <v>2025-07-25 07:35:12.312</v>
      </c>
      <c r="H1803" t="s">
        <v>21</v>
      </c>
    </row>
    <row r="1804" spans="1:10" x14ac:dyDescent="0.25">
      <c r="A1804" s="1">
        <v>906</v>
      </c>
      <c r="B1804" t="s">
        <v>36</v>
      </c>
      <c r="C1804">
        <v>635</v>
      </c>
      <c r="D1804">
        <v>1</v>
      </c>
      <c r="E1804" t="s">
        <v>34</v>
      </c>
      <c r="F1804" t="s">
        <v>35</v>
      </c>
      <c r="G1804" t="str">
        <f>"2025-07-25 07:32:52.812"</f>
        <v>2025-07-25 07:32:52.812</v>
      </c>
      <c r="H1804" t="s">
        <v>21</v>
      </c>
      <c r="I1804">
        <v>-0.22</v>
      </c>
      <c r="J1804" t="s">
        <v>28</v>
      </c>
    </row>
    <row r="1805" spans="1:10" x14ac:dyDescent="0.25">
      <c r="A1805" s="1">
        <v>907</v>
      </c>
      <c r="B1805" t="s">
        <v>19</v>
      </c>
      <c r="C1805">
        <v>700</v>
      </c>
      <c r="D1805">
        <v>0</v>
      </c>
      <c r="E1805" t="s">
        <v>20</v>
      </c>
      <c r="F1805" t="s">
        <v>20</v>
      </c>
      <c r="G1805" t="str">
        <f>"2025-07-25 06:04:08.222"</f>
        <v>2025-07-25 06:04:08.222</v>
      </c>
      <c r="H1805" t="s">
        <v>21</v>
      </c>
    </row>
    <row r="1806" spans="1:10" x14ac:dyDescent="0.25">
      <c r="A1806" s="1">
        <v>908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"2025-07-25 06:01:43.245"</f>
        <v>2025-07-25 06:01:43.245</v>
      </c>
      <c r="H1806" t="s">
        <v>21</v>
      </c>
    </row>
    <row r="1807" spans="1:10" x14ac:dyDescent="0.25">
      <c r="A1807" s="1">
        <v>909</v>
      </c>
      <c r="B1807" t="s">
        <v>19</v>
      </c>
      <c r="C1807">
        <v>706</v>
      </c>
      <c r="D1807">
        <v>2</v>
      </c>
      <c r="E1807" t="s">
        <v>29</v>
      </c>
      <c r="F1807" t="s">
        <v>30</v>
      </c>
      <c r="G1807" t="str">
        <f>"2025-07-24 14:21:47.704"</f>
        <v>2025-07-24 14:21:47.704</v>
      </c>
      <c r="H1807" t="s">
        <v>21</v>
      </c>
      <c r="I1807">
        <v>0</v>
      </c>
      <c r="J1807" t="s">
        <v>31</v>
      </c>
    </row>
    <row r="1808" spans="1:10" x14ac:dyDescent="0.25">
      <c r="A1808" s="1">
        <v>910</v>
      </c>
      <c r="B1808" t="s">
        <v>19</v>
      </c>
      <c r="C1808">
        <v>706</v>
      </c>
      <c r="D1808">
        <v>2</v>
      </c>
      <c r="E1808" t="s">
        <v>29</v>
      </c>
      <c r="F1808" t="s">
        <v>30</v>
      </c>
      <c r="G1808" t="str">
        <f>"2025-07-24 14:18:05.504"</f>
        <v>2025-07-24 14:18:05.504</v>
      </c>
      <c r="H1808" t="s">
        <v>21</v>
      </c>
      <c r="I1808">
        <v>0</v>
      </c>
      <c r="J1808" t="s">
        <v>31</v>
      </c>
    </row>
    <row r="1809" spans="1:10" x14ac:dyDescent="0.25">
      <c r="A1809" s="1">
        <v>912</v>
      </c>
      <c r="B1809" t="s">
        <v>19</v>
      </c>
      <c r="C1809">
        <v>700</v>
      </c>
      <c r="D1809">
        <v>0</v>
      </c>
      <c r="E1809" t="s">
        <v>20</v>
      </c>
      <c r="F1809" t="s">
        <v>20</v>
      </c>
      <c r="G1809" t="str">
        <f>"2025-07-24 12:18:04.214"</f>
        <v>2025-07-24 12:18:04.214</v>
      </c>
      <c r="H1809" t="s">
        <v>21</v>
      </c>
      <c r="I1809">
        <v>0</v>
      </c>
      <c r="J1809" t="s">
        <v>33</v>
      </c>
    </row>
    <row r="1810" spans="1:10" x14ac:dyDescent="0.25">
      <c r="A1810" s="1">
        <v>913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"2025-07-24 11:50:59.214"</f>
        <v>2025-07-24 11:50:59.214</v>
      </c>
      <c r="H1810" t="s">
        <v>21</v>
      </c>
      <c r="I1810">
        <v>0</v>
      </c>
      <c r="J1810" t="s">
        <v>33</v>
      </c>
    </row>
    <row r="1811" spans="1:10" x14ac:dyDescent="0.25">
      <c r="A1811" s="1">
        <v>914</v>
      </c>
      <c r="B1811" t="s">
        <v>19</v>
      </c>
      <c r="C1811">
        <v>700</v>
      </c>
      <c r="D1811">
        <v>0</v>
      </c>
      <c r="E1811" t="s">
        <v>20</v>
      </c>
      <c r="F1811" t="s">
        <v>20</v>
      </c>
      <c r="G1811" t="str">
        <f>"2025-07-24 11:35:56.225"</f>
        <v>2025-07-24 11:35:56.225</v>
      </c>
      <c r="H1811" t="s">
        <v>21</v>
      </c>
    </row>
    <row r="1812" spans="1:10" x14ac:dyDescent="0.25">
      <c r="A1812" s="1">
        <v>915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"2025-07-24 11:31:50.230"</f>
        <v>2025-07-24 11:31:50.230</v>
      </c>
      <c r="H1812" t="s">
        <v>21</v>
      </c>
    </row>
    <row r="1813" spans="1:10" x14ac:dyDescent="0.25">
      <c r="A1813" s="1">
        <v>916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"2025-07-24 11:23:39.249"</f>
        <v>2025-07-24 11:23:39.249</v>
      </c>
      <c r="H1813" t="s">
        <v>21</v>
      </c>
    </row>
    <row r="1814" spans="1:10" x14ac:dyDescent="0.25">
      <c r="A1814" s="1">
        <v>917</v>
      </c>
      <c r="B1814" t="s">
        <v>19</v>
      </c>
      <c r="C1814">
        <v>700</v>
      </c>
      <c r="D1814">
        <v>0</v>
      </c>
      <c r="E1814" t="s">
        <v>20</v>
      </c>
      <c r="F1814" t="s">
        <v>20</v>
      </c>
      <c r="G1814" t="str">
        <f>"2025-07-24 08:22:06.542"</f>
        <v>2025-07-24 08:22:06.542</v>
      </c>
      <c r="H1814" t="s">
        <v>21</v>
      </c>
      <c r="I1814">
        <v>0</v>
      </c>
      <c r="J1814" t="s">
        <v>33</v>
      </c>
    </row>
    <row r="1815" spans="1:10" x14ac:dyDescent="0.25">
      <c r="A1815" s="1">
        <v>918</v>
      </c>
      <c r="B1815" t="s">
        <v>19</v>
      </c>
      <c r="C1815">
        <v>706</v>
      </c>
      <c r="D1815">
        <v>4</v>
      </c>
      <c r="E1815" t="s">
        <v>29</v>
      </c>
      <c r="F1815" t="s">
        <v>53</v>
      </c>
      <c r="G1815" t="str">
        <f>"2025-07-23 21:47:52.643"</f>
        <v>2025-07-23 21:47:52.643</v>
      </c>
      <c r="H1815" t="s">
        <v>21</v>
      </c>
      <c r="I1815">
        <v>0</v>
      </c>
      <c r="J1815" t="s">
        <v>31</v>
      </c>
    </row>
    <row r="1816" spans="1:10" x14ac:dyDescent="0.25">
      <c r="A1816" s="1">
        <v>919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"2025-07-23 21:41:31.223"</f>
        <v>2025-07-23 21:41:31.223</v>
      </c>
      <c r="H1816" t="s">
        <v>21</v>
      </c>
    </row>
    <row r="1817" spans="1:10" x14ac:dyDescent="0.25">
      <c r="A1817" s="1">
        <v>920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"2025-07-23 19:47:51.413"</f>
        <v>2025-07-23 19:47:51.413</v>
      </c>
      <c r="H1817" t="s">
        <v>21</v>
      </c>
      <c r="I1817">
        <v>0</v>
      </c>
      <c r="J1817" t="s">
        <v>33</v>
      </c>
    </row>
    <row r="1818" spans="1:10" x14ac:dyDescent="0.25">
      <c r="A1818" s="1">
        <v>921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"2025-07-23 16:44:10.241"</f>
        <v>2025-07-23 16:44:10.241</v>
      </c>
      <c r="H1818" t="s">
        <v>21</v>
      </c>
    </row>
    <row r="1819" spans="1:10" x14ac:dyDescent="0.25">
      <c r="A1819" s="1">
        <v>922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"2025-07-22 00:27:10.217"</f>
        <v>2025-07-22 00:27:10.217</v>
      </c>
      <c r="H1819" t="s">
        <v>21</v>
      </c>
      <c r="I1819">
        <v>0</v>
      </c>
      <c r="J1819" t="s">
        <v>33</v>
      </c>
    </row>
    <row r="1820" spans="1:10" x14ac:dyDescent="0.25">
      <c r="A1820" s="1">
        <v>923</v>
      </c>
      <c r="B1820" t="s">
        <v>19</v>
      </c>
      <c r="C1820">
        <v>706</v>
      </c>
      <c r="D1820">
        <v>4</v>
      </c>
      <c r="E1820" t="s">
        <v>29</v>
      </c>
      <c r="F1820" t="s">
        <v>53</v>
      </c>
      <c r="G1820" t="str">
        <f>"2025-07-21 21:51:06.449"</f>
        <v>2025-07-21 21:51:06.449</v>
      </c>
      <c r="H1820" t="s">
        <v>21</v>
      </c>
      <c r="I1820">
        <v>0</v>
      </c>
      <c r="J1820" t="s">
        <v>31</v>
      </c>
    </row>
    <row r="1821" spans="1:10" x14ac:dyDescent="0.25">
      <c r="A1821" s="1">
        <v>924</v>
      </c>
      <c r="B1821" t="s">
        <v>19</v>
      </c>
      <c r="C1821">
        <v>700</v>
      </c>
      <c r="D1821">
        <v>0</v>
      </c>
      <c r="E1821" t="s">
        <v>20</v>
      </c>
      <c r="F1821" t="s">
        <v>20</v>
      </c>
      <c r="G1821" t="str">
        <f>"2025-07-21 21:50:52.209"</f>
        <v>2025-07-21 21:50:52.209</v>
      </c>
      <c r="H1821" t="s">
        <v>21</v>
      </c>
      <c r="I1821">
        <v>0</v>
      </c>
      <c r="J1821" t="s">
        <v>33</v>
      </c>
    </row>
    <row r="1822" spans="1:10" x14ac:dyDescent="0.25">
      <c r="A1822" s="1">
        <v>925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"2025-07-21 21:05:45.209"</f>
        <v>2025-07-21 21:05:45.209</v>
      </c>
      <c r="H1822" t="s">
        <v>21</v>
      </c>
    </row>
    <row r="1823" spans="1:10" x14ac:dyDescent="0.25">
      <c r="A1823" s="1">
        <v>926</v>
      </c>
      <c r="B1823" t="s">
        <v>19</v>
      </c>
      <c r="C1823">
        <v>700</v>
      </c>
      <c r="D1823">
        <v>0</v>
      </c>
      <c r="E1823" t="s">
        <v>20</v>
      </c>
      <c r="F1823" t="s">
        <v>20</v>
      </c>
      <c r="G1823" t="str">
        <f>"2025-07-21 19:42:42.216"</f>
        <v>2025-07-21 19:42:42.216</v>
      </c>
      <c r="H1823" t="s">
        <v>21</v>
      </c>
      <c r="I1823">
        <v>0</v>
      </c>
      <c r="J1823" t="s">
        <v>33</v>
      </c>
    </row>
    <row r="1824" spans="1:10" x14ac:dyDescent="0.25">
      <c r="A1824" s="1">
        <v>927</v>
      </c>
      <c r="B1824" t="s">
        <v>19</v>
      </c>
      <c r="C1824">
        <v>700</v>
      </c>
      <c r="D1824">
        <v>0</v>
      </c>
      <c r="E1824" t="s">
        <v>20</v>
      </c>
      <c r="F1824" t="s">
        <v>20</v>
      </c>
      <c r="G1824" t="str">
        <f>"2025-07-21 18:54:55.216"</f>
        <v>2025-07-21 18:54:55.216</v>
      </c>
      <c r="H1824" t="s">
        <v>21</v>
      </c>
    </row>
    <row r="1825" spans="1:10" x14ac:dyDescent="0.25">
      <c r="A1825" s="1">
        <v>928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"2025-07-21 18:53:07.209"</f>
        <v>2025-07-21 18:53:07.209</v>
      </c>
      <c r="H1825" t="s">
        <v>21</v>
      </c>
      <c r="I1825">
        <v>0</v>
      </c>
      <c r="J1825" t="s">
        <v>33</v>
      </c>
    </row>
    <row r="1826" spans="1:10" x14ac:dyDescent="0.25">
      <c r="A1826" s="1">
        <v>929</v>
      </c>
      <c r="B1826" t="s">
        <v>19</v>
      </c>
      <c r="C1826">
        <v>706</v>
      </c>
      <c r="D1826">
        <v>4</v>
      </c>
      <c r="E1826" t="s">
        <v>29</v>
      </c>
      <c r="F1826" t="s">
        <v>53</v>
      </c>
      <c r="G1826" t="str">
        <f>"2025-07-21 18:42:31.600"</f>
        <v>2025-07-21 18:42:31.600</v>
      </c>
      <c r="H1826" t="s">
        <v>21</v>
      </c>
      <c r="I1826">
        <v>0</v>
      </c>
      <c r="J1826" t="s">
        <v>31</v>
      </c>
    </row>
    <row r="1827" spans="1:10" x14ac:dyDescent="0.25">
      <c r="A1827" s="1">
        <v>930</v>
      </c>
      <c r="B1827" t="s">
        <v>19</v>
      </c>
      <c r="C1827">
        <v>706</v>
      </c>
      <c r="D1827">
        <v>2</v>
      </c>
      <c r="E1827" t="s">
        <v>29</v>
      </c>
      <c r="F1827" t="s">
        <v>30</v>
      </c>
      <c r="G1827" t="str">
        <f>"2025-07-21 18:42:16.080"</f>
        <v>2025-07-21 18:42:16.080</v>
      </c>
      <c r="H1827" t="s">
        <v>21</v>
      </c>
      <c r="I1827">
        <v>0</v>
      </c>
      <c r="J1827" t="s">
        <v>31</v>
      </c>
    </row>
    <row r="1828" spans="1:10" x14ac:dyDescent="0.25">
      <c r="A1828" s="1">
        <v>931</v>
      </c>
      <c r="B1828" t="s">
        <v>19</v>
      </c>
      <c r="C1828">
        <v>706</v>
      </c>
      <c r="D1828">
        <v>4</v>
      </c>
      <c r="E1828" t="s">
        <v>29</v>
      </c>
      <c r="F1828" t="s">
        <v>53</v>
      </c>
      <c r="G1828" t="str">
        <f>"2025-07-21 18:37:26.020"</f>
        <v>2025-07-21 18:37:26.020</v>
      </c>
      <c r="H1828" t="s">
        <v>21</v>
      </c>
      <c r="I1828">
        <v>0</v>
      </c>
      <c r="J1828" t="s">
        <v>31</v>
      </c>
    </row>
    <row r="1829" spans="1:10" x14ac:dyDescent="0.25">
      <c r="A1829" s="1">
        <v>932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"2025-07-21 18:07:26.220"</f>
        <v>2025-07-21 18:07:26.220</v>
      </c>
      <c r="H1829" t="s">
        <v>21</v>
      </c>
    </row>
    <row r="1830" spans="1:10" x14ac:dyDescent="0.25">
      <c r="A1830" s="1">
        <v>933</v>
      </c>
      <c r="B1830" t="s">
        <v>19</v>
      </c>
      <c r="C1830">
        <v>706</v>
      </c>
      <c r="D1830">
        <v>4</v>
      </c>
      <c r="E1830" t="s">
        <v>29</v>
      </c>
      <c r="F1830" t="s">
        <v>53</v>
      </c>
      <c r="G1830" t="str">
        <f>"2025-07-21 17:15:33.878"</f>
        <v>2025-07-21 17:15:33.878</v>
      </c>
      <c r="H1830" t="s">
        <v>21</v>
      </c>
      <c r="I1830">
        <v>0</v>
      </c>
      <c r="J1830" t="s">
        <v>31</v>
      </c>
    </row>
    <row r="1831" spans="1:10" x14ac:dyDescent="0.25">
      <c r="A1831" s="1">
        <v>934</v>
      </c>
      <c r="B1831" t="s">
        <v>19</v>
      </c>
      <c r="C1831">
        <v>706</v>
      </c>
      <c r="D1831">
        <v>2</v>
      </c>
      <c r="E1831" t="s">
        <v>29</v>
      </c>
      <c r="F1831" t="s">
        <v>30</v>
      </c>
      <c r="G1831" t="str">
        <f>"2025-07-21 17:00:47.298"</f>
        <v>2025-07-21 17:00:47.298</v>
      </c>
      <c r="H1831" t="s">
        <v>21</v>
      </c>
      <c r="I1831">
        <v>0</v>
      </c>
      <c r="J1831" t="s">
        <v>31</v>
      </c>
    </row>
    <row r="1832" spans="1:10" x14ac:dyDescent="0.25">
      <c r="A1832" s="1">
        <v>935</v>
      </c>
      <c r="B1832" t="s">
        <v>19</v>
      </c>
      <c r="C1832">
        <v>706</v>
      </c>
      <c r="D1832">
        <v>2</v>
      </c>
      <c r="E1832" t="s">
        <v>29</v>
      </c>
      <c r="F1832" t="s">
        <v>30</v>
      </c>
      <c r="G1832" t="str">
        <f>"2025-07-21 16:52:08.298"</f>
        <v>2025-07-21 16:52:08.298</v>
      </c>
      <c r="H1832" t="s">
        <v>21</v>
      </c>
      <c r="I1832">
        <v>0</v>
      </c>
      <c r="J1832" t="s">
        <v>31</v>
      </c>
    </row>
    <row r="1833" spans="1:10" x14ac:dyDescent="0.25">
      <c r="A1833" s="1">
        <v>936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"2025-07-21 16:27:54.228"</f>
        <v>2025-07-21 16:27:54.228</v>
      </c>
      <c r="H1833" t="s">
        <v>21</v>
      </c>
      <c r="I1833">
        <v>0</v>
      </c>
      <c r="J1833" t="s">
        <v>33</v>
      </c>
    </row>
    <row r="1834" spans="1:10" x14ac:dyDescent="0.25">
      <c r="A1834" s="1">
        <v>937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"2025-07-21 16:05:36.225"</f>
        <v>2025-07-21 16:05:36.225</v>
      </c>
      <c r="H1834" t="s">
        <v>21</v>
      </c>
      <c r="I1834">
        <v>0</v>
      </c>
      <c r="J1834" t="s">
        <v>33</v>
      </c>
    </row>
    <row r="1835" spans="1:10" x14ac:dyDescent="0.25">
      <c r="A1835" s="1">
        <v>938</v>
      </c>
      <c r="B1835" t="s">
        <v>19</v>
      </c>
      <c r="C1835">
        <v>706</v>
      </c>
      <c r="D1835">
        <v>2</v>
      </c>
      <c r="E1835" t="s">
        <v>29</v>
      </c>
      <c r="F1835" t="s">
        <v>30</v>
      </c>
      <c r="G1835" t="str">
        <f>"2025-07-21 15:59:55.922"</f>
        <v>2025-07-21 15:59:55.922</v>
      </c>
      <c r="H1835" t="s">
        <v>21</v>
      </c>
      <c r="I1835">
        <v>0</v>
      </c>
      <c r="J1835" t="s">
        <v>31</v>
      </c>
    </row>
    <row r="1836" spans="1:10" x14ac:dyDescent="0.25">
      <c r="A1836" s="1">
        <v>939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"2025-07-21 15:37:01.222"</f>
        <v>2025-07-21 15:37:01.222</v>
      </c>
      <c r="H1836" t="s">
        <v>21</v>
      </c>
      <c r="I1836">
        <v>0</v>
      </c>
      <c r="J1836" t="s">
        <v>33</v>
      </c>
    </row>
    <row r="1837" spans="1:10" x14ac:dyDescent="0.25">
      <c r="A1837" s="1">
        <v>940</v>
      </c>
      <c r="B1837" t="s">
        <v>19</v>
      </c>
      <c r="C1837">
        <v>706</v>
      </c>
      <c r="D1837">
        <v>4</v>
      </c>
      <c r="E1837" t="s">
        <v>29</v>
      </c>
      <c r="F1837" t="s">
        <v>53</v>
      </c>
      <c r="G1837" t="str">
        <f>"2025-07-21 15:33:24.562"</f>
        <v>2025-07-21 15:33:24.562</v>
      </c>
      <c r="H1837" t="s">
        <v>21</v>
      </c>
      <c r="I1837">
        <v>0</v>
      </c>
      <c r="J1837" t="s">
        <v>31</v>
      </c>
    </row>
    <row r="1838" spans="1:10" x14ac:dyDescent="0.25">
      <c r="A1838" s="1">
        <v>941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"2025-07-21 15:29:07.222"</f>
        <v>2025-07-21 15:29:07.222</v>
      </c>
      <c r="H1838" t="s">
        <v>21</v>
      </c>
      <c r="I1838">
        <v>0</v>
      </c>
      <c r="J1838" t="s">
        <v>33</v>
      </c>
    </row>
    <row r="1839" spans="1:10" x14ac:dyDescent="0.25">
      <c r="A1839" s="1">
        <v>942</v>
      </c>
      <c r="B1839" t="s">
        <v>19</v>
      </c>
      <c r="C1839">
        <v>700</v>
      </c>
      <c r="D1839">
        <v>0</v>
      </c>
      <c r="E1839" t="s">
        <v>20</v>
      </c>
      <c r="F1839" t="s">
        <v>20</v>
      </c>
      <c r="G1839" t="str">
        <f>"2025-07-21 15:16:45.317"</f>
        <v>2025-07-21 15:16:45.317</v>
      </c>
      <c r="H1839" t="s">
        <v>21</v>
      </c>
      <c r="I1839">
        <v>0</v>
      </c>
      <c r="J1839" t="s">
        <v>33</v>
      </c>
    </row>
    <row r="1840" spans="1:10" x14ac:dyDescent="0.25">
      <c r="A1840" s="1">
        <v>943</v>
      </c>
      <c r="B1840" t="s">
        <v>19</v>
      </c>
      <c r="C1840">
        <v>700</v>
      </c>
      <c r="D1840">
        <v>0</v>
      </c>
      <c r="E1840" t="s">
        <v>20</v>
      </c>
      <c r="F1840" t="s">
        <v>20</v>
      </c>
      <c r="G1840" t="str">
        <f>"2025-07-21 15:12:45.343"</f>
        <v>2025-07-21 15:12:45.343</v>
      </c>
      <c r="H1840" t="s">
        <v>21</v>
      </c>
      <c r="I1840">
        <v>0</v>
      </c>
      <c r="J1840" t="s">
        <v>33</v>
      </c>
    </row>
    <row r="1841" spans="1:10" x14ac:dyDescent="0.25">
      <c r="A1841" s="1">
        <v>944</v>
      </c>
      <c r="B1841" t="s">
        <v>22</v>
      </c>
      <c r="C1841">
        <v>635</v>
      </c>
      <c r="D1841">
        <v>1</v>
      </c>
      <c r="E1841" t="s">
        <v>34</v>
      </c>
      <c r="F1841" t="s">
        <v>35</v>
      </c>
      <c r="G1841" t="str">
        <f>"2025-07-20 21:40:42.318"</f>
        <v>2025-07-20 21:40:42.318</v>
      </c>
      <c r="H1841" t="s">
        <v>21</v>
      </c>
    </row>
    <row r="1842" spans="1:10" x14ac:dyDescent="0.25">
      <c r="A1842" s="1">
        <v>945</v>
      </c>
      <c r="B1842" t="s">
        <v>36</v>
      </c>
      <c r="C1842">
        <v>635</v>
      </c>
      <c r="D1842">
        <v>1</v>
      </c>
      <c r="E1842" t="s">
        <v>34</v>
      </c>
      <c r="F1842" t="s">
        <v>35</v>
      </c>
      <c r="G1842" t="str">
        <f>"2025-07-20 21:36:30.318"</f>
        <v>2025-07-20 21:36:30.318</v>
      </c>
      <c r="H1842" t="s">
        <v>21</v>
      </c>
      <c r="I1842">
        <v>6.03</v>
      </c>
      <c r="J1842" t="s">
        <v>37</v>
      </c>
    </row>
    <row r="1843" spans="1:10" x14ac:dyDescent="0.25">
      <c r="A1843" s="1">
        <v>946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"2025-07-20 20:17:44.260"</f>
        <v>2025-07-20 20:17:44.260</v>
      </c>
      <c r="H1843" t="s">
        <v>21</v>
      </c>
    </row>
    <row r="1844" spans="1:10" x14ac:dyDescent="0.25">
      <c r="A1844" s="1">
        <v>947</v>
      </c>
      <c r="B1844" t="s">
        <v>19</v>
      </c>
      <c r="C1844">
        <v>706</v>
      </c>
      <c r="D1844">
        <v>2</v>
      </c>
      <c r="E1844" t="s">
        <v>29</v>
      </c>
      <c r="F1844" t="s">
        <v>30</v>
      </c>
      <c r="G1844" t="str">
        <f>"2025-07-20 16:35:45.480"</f>
        <v>2025-07-20 16:35:45.480</v>
      </c>
      <c r="H1844" t="s">
        <v>21</v>
      </c>
      <c r="I1844">
        <v>0</v>
      </c>
      <c r="J1844" t="s">
        <v>31</v>
      </c>
    </row>
    <row r="1845" spans="1:10" x14ac:dyDescent="0.25">
      <c r="A1845" s="1">
        <v>948</v>
      </c>
      <c r="B1845" t="s">
        <v>19</v>
      </c>
      <c r="C1845">
        <v>706</v>
      </c>
      <c r="D1845">
        <v>2</v>
      </c>
      <c r="E1845" t="s">
        <v>29</v>
      </c>
      <c r="F1845" t="s">
        <v>30</v>
      </c>
      <c r="G1845" t="str">
        <f>"2025-07-20 16:31:10.280"</f>
        <v>2025-07-20 16:31:10.280</v>
      </c>
      <c r="H1845" t="s">
        <v>21</v>
      </c>
      <c r="I1845">
        <v>0</v>
      </c>
      <c r="J1845" t="s">
        <v>31</v>
      </c>
    </row>
    <row r="1846" spans="1:10" x14ac:dyDescent="0.25">
      <c r="A1846" s="1">
        <v>949</v>
      </c>
      <c r="B1846" t="s">
        <v>19</v>
      </c>
      <c r="C1846">
        <v>700</v>
      </c>
      <c r="D1846">
        <v>0</v>
      </c>
      <c r="E1846" t="s">
        <v>20</v>
      </c>
      <c r="F1846" t="s">
        <v>20</v>
      </c>
      <c r="G1846" t="str">
        <f>"2025-07-20 16:30:20.290"</f>
        <v>2025-07-20 16:30:20.290</v>
      </c>
      <c r="H1846" t="s">
        <v>21</v>
      </c>
    </row>
    <row r="1847" spans="1:10" x14ac:dyDescent="0.25">
      <c r="A1847" s="1">
        <v>950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"2025-07-20 16:27:11.245"</f>
        <v>2025-07-20 16:27:11.245</v>
      </c>
      <c r="H1847" t="s">
        <v>21</v>
      </c>
      <c r="I1847">
        <v>0</v>
      </c>
      <c r="J1847" t="s">
        <v>33</v>
      </c>
    </row>
    <row r="1848" spans="1:10" x14ac:dyDescent="0.25">
      <c r="A1848" s="1">
        <v>951</v>
      </c>
      <c r="B1848" t="s">
        <v>19</v>
      </c>
      <c r="C1848">
        <v>706</v>
      </c>
      <c r="D1848">
        <v>2</v>
      </c>
      <c r="E1848" t="s">
        <v>29</v>
      </c>
      <c r="F1848" t="s">
        <v>30</v>
      </c>
      <c r="G1848" t="str">
        <f>"2025-07-20 14:36:38.287"</f>
        <v>2025-07-20 14:36:38.287</v>
      </c>
      <c r="H1848" t="s">
        <v>21</v>
      </c>
      <c r="I1848">
        <v>0</v>
      </c>
      <c r="J1848" t="s">
        <v>31</v>
      </c>
    </row>
    <row r="1849" spans="1:10" x14ac:dyDescent="0.25">
      <c r="A1849" s="1">
        <v>952</v>
      </c>
      <c r="B1849" t="s">
        <v>19</v>
      </c>
      <c r="C1849">
        <v>700</v>
      </c>
      <c r="D1849">
        <v>0</v>
      </c>
      <c r="E1849" t="s">
        <v>20</v>
      </c>
      <c r="F1849" t="s">
        <v>20</v>
      </c>
      <c r="G1849" t="str">
        <f>"2025-07-20 14:23:52.297"</f>
        <v>2025-07-20 14:23:52.297</v>
      </c>
      <c r="H1849" t="s">
        <v>21</v>
      </c>
      <c r="I1849">
        <v>0</v>
      </c>
      <c r="J1849" t="s">
        <v>33</v>
      </c>
    </row>
    <row r="1850" spans="1:10" x14ac:dyDescent="0.25">
      <c r="A1850" s="1">
        <v>953</v>
      </c>
      <c r="B1850" t="s">
        <v>19</v>
      </c>
      <c r="C1850">
        <v>706</v>
      </c>
      <c r="D1850">
        <v>4</v>
      </c>
      <c r="E1850" t="s">
        <v>29</v>
      </c>
      <c r="F1850" t="s">
        <v>53</v>
      </c>
      <c r="G1850" t="str">
        <f>"2025-07-20 05:34:42.468"</f>
        <v>2025-07-20 05:34:42.468</v>
      </c>
      <c r="H1850" t="s">
        <v>21</v>
      </c>
      <c r="I1850">
        <v>0</v>
      </c>
      <c r="J1850" t="s">
        <v>31</v>
      </c>
    </row>
    <row r="1851" spans="1:10" x14ac:dyDescent="0.25">
      <c r="A1851" s="1">
        <v>954</v>
      </c>
      <c r="B1851" t="s">
        <v>19</v>
      </c>
      <c r="C1851">
        <v>700</v>
      </c>
      <c r="D1851">
        <v>0</v>
      </c>
      <c r="E1851" t="s">
        <v>20</v>
      </c>
      <c r="F1851" t="s">
        <v>20</v>
      </c>
      <c r="G1851" t="str">
        <f>"2025-07-20 05:33:14.248"</f>
        <v>2025-07-20 05:33:14.248</v>
      </c>
      <c r="H1851" t="s">
        <v>21</v>
      </c>
    </row>
    <row r="1852" spans="1:10" s="3" customFormat="1" x14ac:dyDescent="0.25">
      <c r="A1852" s="2">
        <v>956</v>
      </c>
      <c r="B1852" s="3" t="s">
        <v>22</v>
      </c>
      <c r="C1852" s="3">
        <v>647</v>
      </c>
      <c r="D1852" s="3">
        <v>1</v>
      </c>
      <c r="E1852" s="3" t="s">
        <v>54</v>
      </c>
      <c r="F1852" s="3" t="s">
        <v>55</v>
      </c>
      <c r="G1852" s="3" t="str">
        <f>"2025-07-19 08:37:53.481"</f>
        <v>2025-07-19 08:37:53.481</v>
      </c>
      <c r="H1852" s="3" t="s">
        <v>21</v>
      </c>
    </row>
    <row r="1853" spans="1:10" s="3" customFormat="1" x14ac:dyDescent="0.25">
      <c r="A1853" s="2">
        <v>957</v>
      </c>
      <c r="B1853" s="3" t="s">
        <v>36</v>
      </c>
      <c r="C1853" s="3">
        <v>647</v>
      </c>
      <c r="D1853" s="3">
        <v>1</v>
      </c>
      <c r="E1853" s="3" t="s">
        <v>54</v>
      </c>
      <c r="F1853" s="3" t="s">
        <v>55</v>
      </c>
      <c r="G1853" s="3" t="str">
        <f>"2025-07-19 08:37:52.381"</f>
        <v>2025-07-19 08:37:52.381</v>
      </c>
      <c r="H1853" s="3" t="s">
        <v>21</v>
      </c>
      <c r="I1853" s="3">
        <v>10.46</v>
      </c>
      <c r="J1853" s="3" t="s">
        <v>27</v>
      </c>
    </row>
    <row r="1854" spans="1:10" s="3" customFormat="1" x14ac:dyDescent="0.25">
      <c r="A1854" s="2">
        <v>958</v>
      </c>
      <c r="B1854" s="3" t="s">
        <v>22</v>
      </c>
      <c r="C1854" s="3">
        <v>647</v>
      </c>
      <c r="D1854" s="3">
        <v>1</v>
      </c>
      <c r="E1854" s="3" t="s">
        <v>54</v>
      </c>
      <c r="F1854" s="3" t="s">
        <v>55</v>
      </c>
      <c r="G1854" s="3" t="str">
        <f>"2025-07-18 00:59:45.281"</f>
        <v>2025-07-18 00:59:45.281</v>
      </c>
      <c r="H1854" s="3" t="s">
        <v>21</v>
      </c>
    </row>
    <row r="1855" spans="1:10" s="3" customFormat="1" x14ac:dyDescent="0.25">
      <c r="A1855" s="2">
        <v>959</v>
      </c>
      <c r="B1855" s="3" t="s">
        <v>36</v>
      </c>
      <c r="C1855" s="3">
        <v>647</v>
      </c>
      <c r="D1855" s="3">
        <v>1</v>
      </c>
      <c r="E1855" s="3" t="s">
        <v>54</v>
      </c>
      <c r="F1855" s="3" t="s">
        <v>55</v>
      </c>
      <c r="G1855" s="3" t="str">
        <f>"2025-07-18 00:59:43.481"</f>
        <v>2025-07-18 00:59:43.481</v>
      </c>
      <c r="H1855" s="3" t="s">
        <v>21</v>
      </c>
      <c r="I1855" s="3">
        <v>13.43</v>
      </c>
      <c r="J1855" s="3" t="s">
        <v>27</v>
      </c>
    </row>
    <row r="1856" spans="1:10" x14ac:dyDescent="0.25">
      <c r="A1856" s="1">
        <v>960</v>
      </c>
      <c r="B1856" t="s">
        <v>22</v>
      </c>
      <c r="C1856">
        <v>635</v>
      </c>
      <c r="D1856">
        <v>1</v>
      </c>
      <c r="E1856" t="s">
        <v>34</v>
      </c>
      <c r="F1856" t="s">
        <v>35</v>
      </c>
      <c r="G1856" t="str">
        <f>"2025-07-16 09:35:09.481"</f>
        <v>2025-07-16 09:35:09.481</v>
      </c>
      <c r="H1856" t="s">
        <v>21</v>
      </c>
    </row>
    <row r="1857" spans="1:10" x14ac:dyDescent="0.25">
      <c r="A1857" s="1">
        <v>961</v>
      </c>
      <c r="B1857" t="s">
        <v>36</v>
      </c>
      <c r="C1857">
        <v>635</v>
      </c>
      <c r="D1857">
        <v>1</v>
      </c>
      <c r="E1857" t="s">
        <v>34</v>
      </c>
      <c r="F1857" t="s">
        <v>35</v>
      </c>
      <c r="G1857" t="str">
        <f>"2025-07-16 09:32:06.481"</f>
        <v>2025-07-16 09:32:06.481</v>
      </c>
      <c r="H1857" t="s">
        <v>21</v>
      </c>
      <c r="I1857">
        <v>1.41</v>
      </c>
      <c r="J1857" t="s">
        <v>28</v>
      </c>
    </row>
    <row r="1858" spans="1:10" x14ac:dyDescent="0.25">
      <c r="A1858" s="1">
        <v>965</v>
      </c>
      <c r="B1858" t="s">
        <v>22</v>
      </c>
      <c r="C1858">
        <v>635</v>
      </c>
      <c r="D1858">
        <v>1</v>
      </c>
      <c r="E1858" t="s">
        <v>34</v>
      </c>
      <c r="F1858" t="s">
        <v>35</v>
      </c>
      <c r="G1858" t="str">
        <f>"2025-07-15 07:49:58.681"</f>
        <v>2025-07-15 07:49:58.681</v>
      </c>
      <c r="H1858" t="s">
        <v>21</v>
      </c>
    </row>
    <row r="1859" spans="1:10" x14ac:dyDescent="0.25">
      <c r="A1859" s="1">
        <v>966</v>
      </c>
      <c r="B1859" t="s">
        <v>36</v>
      </c>
      <c r="C1859">
        <v>635</v>
      </c>
      <c r="D1859">
        <v>1</v>
      </c>
      <c r="E1859" t="s">
        <v>34</v>
      </c>
      <c r="F1859" t="s">
        <v>35</v>
      </c>
      <c r="G1859" t="str">
        <f>"2025-07-15 07:38:56.181"</f>
        <v>2025-07-15 07:38:56.181</v>
      </c>
      <c r="H1859" t="s">
        <v>21</v>
      </c>
      <c r="I1859">
        <v>1.84</v>
      </c>
      <c r="J1859" t="s">
        <v>37</v>
      </c>
    </row>
    <row r="1860" spans="1:10" x14ac:dyDescent="0.25">
      <c r="A1860" s="1">
        <v>967</v>
      </c>
      <c r="B1860" t="s">
        <v>22</v>
      </c>
      <c r="C1860">
        <v>635</v>
      </c>
      <c r="D1860">
        <v>1</v>
      </c>
      <c r="E1860" t="s">
        <v>34</v>
      </c>
      <c r="F1860" t="s">
        <v>35</v>
      </c>
      <c r="G1860" t="str">
        <f>"2025-07-14 08:56:09.481"</f>
        <v>2025-07-14 08:56:09.481</v>
      </c>
      <c r="H1860" t="s">
        <v>21</v>
      </c>
    </row>
    <row r="1861" spans="1:10" x14ac:dyDescent="0.25">
      <c r="A1861" s="1">
        <v>968</v>
      </c>
      <c r="B1861" t="s">
        <v>36</v>
      </c>
      <c r="C1861">
        <v>635</v>
      </c>
      <c r="D1861">
        <v>1</v>
      </c>
      <c r="E1861" t="s">
        <v>34</v>
      </c>
      <c r="F1861" t="s">
        <v>35</v>
      </c>
      <c r="G1861" t="str">
        <f>"2025-07-14 08:53:08.481"</f>
        <v>2025-07-14 08:53:08.481</v>
      </c>
      <c r="H1861" t="s">
        <v>21</v>
      </c>
      <c r="I1861">
        <v>1.57</v>
      </c>
      <c r="J1861" t="s">
        <v>37</v>
      </c>
    </row>
    <row r="1862" spans="1:10" x14ac:dyDescent="0.25">
      <c r="A1862" s="1">
        <v>969</v>
      </c>
      <c r="B1862" t="s">
        <v>22</v>
      </c>
      <c r="C1862">
        <v>635</v>
      </c>
      <c r="D1862">
        <v>1</v>
      </c>
      <c r="E1862" t="s">
        <v>34</v>
      </c>
      <c r="F1862" t="s">
        <v>35</v>
      </c>
      <c r="G1862" t="str">
        <f>"2025-07-14 02:38:32.581"</f>
        <v>2025-07-14 02:38:32.581</v>
      </c>
      <c r="H1862" t="s">
        <v>21</v>
      </c>
    </row>
    <row r="1863" spans="1:10" x14ac:dyDescent="0.25">
      <c r="A1863" s="1">
        <v>970</v>
      </c>
      <c r="B1863" t="s">
        <v>36</v>
      </c>
      <c r="C1863">
        <v>635</v>
      </c>
      <c r="D1863">
        <v>1</v>
      </c>
      <c r="E1863" t="s">
        <v>34</v>
      </c>
      <c r="F1863" t="s">
        <v>35</v>
      </c>
      <c r="G1863" t="str">
        <f>"2025-07-14 02:35:42.081"</f>
        <v>2025-07-14 02:35:42.081</v>
      </c>
      <c r="H1863" t="s">
        <v>21</v>
      </c>
      <c r="I1863">
        <v>-0.34</v>
      </c>
      <c r="J1863" t="s">
        <v>37</v>
      </c>
    </row>
    <row r="1864" spans="1:10" x14ac:dyDescent="0.25">
      <c r="A1864" s="1">
        <v>971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"2025-07-13 08:18:53.194"</f>
        <v>2025-07-13 08:18:53.194</v>
      </c>
      <c r="H1864" t="s">
        <v>21</v>
      </c>
    </row>
    <row r="1865" spans="1:10" x14ac:dyDescent="0.25">
      <c r="A1865" s="1">
        <v>972</v>
      </c>
      <c r="B1865" t="s">
        <v>19</v>
      </c>
      <c r="C1865">
        <v>700</v>
      </c>
      <c r="D1865">
        <v>0</v>
      </c>
      <c r="E1865" t="s">
        <v>20</v>
      </c>
      <c r="F1865" t="s">
        <v>20</v>
      </c>
      <c r="G1865" t="str">
        <f>"2025-07-12 18:12:44.197"</f>
        <v>2025-07-12 18:12:44.197</v>
      </c>
      <c r="H1865" t="s">
        <v>21</v>
      </c>
      <c r="I1865">
        <v>0</v>
      </c>
      <c r="J1865" t="s">
        <v>33</v>
      </c>
    </row>
    <row r="1866" spans="1:10" x14ac:dyDescent="0.25">
      <c r="A1866" s="1">
        <v>973</v>
      </c>
      <c r="B1866" t="s">
        <v>19</v>
      </c>
      <c r="C1866">
        <v>700</v>
      </c>
      <c r="D1866">
        <v>0</v>
      </c>
      <c r="E1866" t="s">
        <v>20</v>
      </c>
      <c r="F1866" t="s">
        <v>20</v>
      </c>
      <c r="G1866" t="str">
        <f>"2025-07-12 17:53:33.222"</f>
        <v>2025-07-12 17:53:33.222</v>
      </c>
      <c r="H1866" t="s">
        <v>21</v>
      </c>
      <c r="I1866">
        <v>0</v>
      </c>
      <c r="J1866" t="s">
        <v>33</v>
      </c>
    </row>
    <row r="1867" spans="1:10" x14ac:dyDescent="0.25">
      <c r="A1867" s="1">
        <v>974</v>
      </c>
      <c r="B1867" t="s">
        <v>19</v>
      </c>
      <c r="C1867">
        <v>700</v>
      </c>
      <c r="D1867">
        <v>0</v>
      </c>
      <c r="E1867" t="s">
        <v>20</v>
      </c>
      <c r="F1867" t="s">
        <v>20</v>
      </c>
      <c r="G1867" t="str">
        <f>"2025-07-12 17:41:29.203"</f>
        <v>2025-07-12 17:41:29.203</v>
      </c>
      <c r="H1867" t="s">
        <v>21</v>
      </c>
    </row>
    <row r="1868" spans="1:10" x14ac:dyDescent="0.25">
      <c r="A1868" s="1">
        <v>975</v>
      </c>
      <c r="B1868" t="s">
        <v>19</v>
      </c>
      <c r="C1868">
        <v>706</v>
      </c>
      <c r="D1868">
        <v>4</v>
      </c>
      <c r="E1868" t="s">
        <v>29</v>
      </c>
      <c r="F1868" t="s">
        <v>53</v>
      </c>
      <c r="G1868" t="str">
        <f>"2025-07-12 17:34:00.538"</f>
        <v>2025-07-12 17:34:00.538</v>
      </c>
      <c r="H1868" t="s">
        <v>21</v>
      </c>
      <c r="I1868">
        <v>0</v>
      </c>
      <c r="J1868" t="s">
        <v>31</v>
      </c>
    </row>
    <row r="1869" spans="1:10" x14ac:dyDescent="0.25">
      <c r="A1869" s="1">
        <v>976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"2025-07-12 17:33:42.198"</f>
        <v>2025-07-12 17:33:42.198</v>
      </c>
      <c r="H1869" t="s">
        <v>21</v>
      </c>
      <c r="I1869">
        <v>0</v>
      </c>
      <c r="J1869" t="s">
        <v>33</v>
      </c>
    </row>
    <row r="1870" spans="1:10" x14ac:dyDescent="0.25">
      <c r="A1870" s="1">
        <v>977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"2025-07-12 17:29:19.185"</f>
        <v>2025-07-12 17:29:19.185</v>
      </c>
      <c r="H1870" t="s">
        <v>21</v>
      </c>
      <c r="I1870">
        <v>0</v>
      </c>
      <c r="J1870" t="s">
        <v>33</v>
      </c>
    </row>
    <row r="1871" spans="1:10" x14ac:dyDescent="0.25">
      <c r="A1871" s="1">
        <v>978</v>
      </c>
      <c r="B1871" t="s">
        <v>19</v>
      </c>
      <c r="C1871">
        <v>706</v>
      </c>
      <c r="D1871">
        <v>2</v>
      </c>
      <c r="E1871" t="s">
        <v>29</v>
      </c>
      <c r="F1871" t="s">
        <v>30</v>
      </c>
      <c r="G1871" t="str">
        <f>"2025-07-12 17:22:45.685"</f>
        <v>2025-07-12 17:22:45.685</v>
      </c>
      <c r="H1871" t="s">
        <v>21</v>
      </c>
      <c r="I1871">
        <v>0</v>
      </c>
      <c r="J1871" t="s">
        <v>31</v>
      </c>
    </row>
    <row r="1872" spans="1:10" x14ac:dyDescent="0.25">
      <c r="A1872" s="1">
        <v>979</v>
      </c>
      <c r="B1872" t="s">
        <v>19</v>
      </c>
      <c r="C1872">
        <v>706</v>
      </c>
      <c r="D1872">
        <v>4</v>
      </c>
      <c r="E1872" t="s">
        <v>29</v>
      </c>
      <c r="F1872" t="s">
        <v>53</v>
      </c>
      <c r="G1872" t="str">
        <f>"2025-07-12 17:21:54.825"</f>
        <v>2025-07-12 17:21:54.825</v>
      </c>
      <c r="H1872" t="s">
        <v>21</v>
      </c>
      <c r="I1872">
        <v>0</v>
      </c>
      <c r="J1872" t="s">
        <v>31</v>
      </c>
    </row>
    <row r="1873" spans="1:10" x14ac:dyDescent="0.25">
      <c r="A1873" s="1">
        <v>980</v>
      </c>
      <c r="B1873" t="s">
        <v>19</v>
      </c>
      <c r="C1873">
        <v>706</v>
      </c>
      <c r="D1873">
        <v>4</v>
      </c>
      <c r="E1873" t="s">
        <v>29</v>
      </c>
      <c r="F1873" t="s">
        <v>53</v>
      </c>
      <c r="G1873" t="str">
        <f>"2025-07-12 17:10:29.255"</f>
        <v>2025-07-12 17:10:29.255</v>
      </c>
      <c r="H1873" t="s">
        <v>21</v>
      </c>
      <c r="I1873">
        <v>0</v>
      </c>
      <c r="J1873" t="s">
        <v>31</v>
      </c>
    </row>
    <row r="1874" spans="1:10" x14ac:dyDescent="0.25">
      <c r="A1874" s="1">
        <v>981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"2025-07-12 17:10:09.195"</f>
        <v>2025-07-12 17:10:09.195</v>
      </c>
      <c r="H1874" t="s">
        <v>21</v>
      </c>
    </row>
    <row r="1875" spans="1:10" x14ac:dyDescent="0.25">
      <c r="A1875" s="1">
        <v>982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"2025-07-12 16:59:38.236"</f>
        <v>2025-07-12 16:59:38.236</v>
      </c>
      <c r="H1875" t="s">
        <v>21</v>
      </c>
      <c r="I1875">
        <v>0</v>
      </c>
      <c r="J1875" t="s">
        <v>33</v>
      </c>
    </row>
    <row r="1876" spans="1:10" x14ac:dyDescent="0.25">
      <c r="A1876" s="1">
        <v>983</v>
      </c>
      <c r="B1876" t="s">
        <v>19</v>
      </c>
      <c r="C1876">
        <v>706</v>
      </c>
      <c r="D1876">
        <v>2</v>
      </c>
      <c r="E1876" t="s">
        <v>29</v>
      </c>
      <c r="F1876" t="s">
        <v>30</v>
      </c>
      <c r="G1876" t="str">
        <f>"2025-07-12 09:27:34.274"</f>
        <v>2025-07-12 09:27:34.274</v>
      </c>
      <c r="H1876" t="s">
        <v>21</v>
      </c>
      <c r="I1876">
        <v>0</v>
      </c>
      <c r="J1876" t="s">
        <v>31</v>
      </c>
    </row>
    <row r="1877" spans="1:10" x14ac:dyDescent="0.25">
      <c r="A1877" s="1">
        <v>984</v>
      </c>
      <c r="B1877" t="s">
        <v>22</v>
      </c>
      <c r="C1877">
        <v>635</v>
      </c>
      <c r="D1877">
        <v>1</v>
      </c>
      <c r="E1877" t="s">
        <v>34</v>
      </c>
      <c r="F1877" t="s">
        <v>35</v>
      </c>
      <c r="G1877" t="str">
        <f>"2025-07-11 20:42:35.697"</f>
        <v>2025-07-11 20:42:35.697</v>
      </c>
      <c r="H1877" t="s">
        <v>21</v>
      </c>
    </row>
    <row r="1878" spans="1:10" x14ac:dyDescent="0.25">
      <c r="A1878" s="1">
        <v>985</v>
      </c>
      <c r="B1878" t="s">
        <v>36</v>
      </c>
      <c r="C1878">
        <v>635</v>
      </c>
      <c r="D1878">
        <v>1</v>
      </c>
      <c r="E1878" t="s">
        <v>34</v>
      </c>
      <c r="F1878" t="s">
        <v>35</v>
      </c>
      <c r="G1878" t="str">
        <f>"2025-07-11 20:36:49.297"</f>
        <v>2025-07-11 20:36:49.297</v>
      </c>
      <c r="H1878" t="s">
        <v>21</v>
      </c>
      <c r="I1878">
        <v>1.74</v>
      </c>
      <c r="J1878" t="s">
        <v>37</v>
      </c>
    </row>
    <row r="1879" spans="1:10" x14ac:dyDescent="0.25">
      <c r="A1879" s="1">
        <v>986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"2025-07-11 13:45:43.194"</f>
        <v>2025-07-11 13:45:43.194</v>
      </c>
      <c r="H1879" t="s">
        <v>21</v>
      </c>
      <c r="I1879">
        <v>0</v>
      </c>
      <c r="J1879" t="s">
        <v>33</v>
      </c>
    </row>
    <row r="1880" spans="1:10" x14ac:dyDescent="0.25">
      <c r="A1880" s="1">
        <v>988</v>
      </c>
      <c r="B1880" t="s">
        <v>22</v>
      </c>
      <c r="C1880">
        <v>635</v>
      </c>
      <c r="D1880">
        <v>1</v>
      </c>
      <c r="E1880" t="s">
        <v>34</v>
      </c>
      <c r="F1880" t="s">
        <v>35</v>
      </c>
      <c r="G1880" t="str">
        <f>"2025-07-11 00:34:33.049"</f>
        <v>2025-07-11 00:34:33.049</v>
      </c>
      <c r="H1880" t="s">
        <v>21</v>
      </c>
    </row>
    <row r="1881" spans="1:10" x14ac:dyDescent="0.25">
      <c r="A1881" s="1">
        <v>989</v>
      </c>
      <c r="B1881" t="s">
        <v>36</v>
      </c>
      <c r="C1881">
        <v>635</v>
      </c>
      <c r="D1881">
        <v>1</v>
      </c>
      <c r="E1881" t="s">
        <v>34</v>
      </c>
      <c r="F1881" t="s">
        <v>35</v>
      </c>
      <c r="G1881" t="str">
        <f>"2025-07-11 00:31:41.650"</f>
        <v>2025-07-11 00:31:41.650</v>
      </c>
      <c r="H1881" t="s">
        <v>21</v>
      </c>
      <c r="I1881">
        <v>1.42</v>
      </c>
      <c r="J1881" t="s">
        <v>37</v>
      </c>
    </row>
    <row r="1882" spans="1:10" x14ac:dyDescent="0.25">
      <c r="A1882" s="1">
        <v>990</v>
      </c>
      <c r="B1882" t="s">
        <v>19</v>
      </c>
      <c r="C1882">
        <v>706</v>
      </c>
      <c r="D1882">
        <v>4</v>
      </c>
      <c r="E1882" t="s">
        <v>29</v>
      </c>
      <c r="F1882" t="s">
        <v>53</v>
      </c>
      <c r="G1882" t="str">
        <f>"2025-07-08 23:44:34.809"</f>
        <v>2025-07-08 23:44:34.809</v>
      </c>
      <c r="H1882" t="s">
        <v>21</v>
      </c>
      <c r="I1882">
        <v>0</v>
      </c>
      <c r="J1882" t="s">
        <v>31</v>
      </c>
    </row>
    <row r="1883" spans="1:10" x14ac:dyDescent="0.25">
      <c r="A1883" s="1">
        <v>991</v>
      </c>
      <c r="B1883" t="s">
        <v>19</v>
      </c>
      <c r="C1883">
        <v>700</v>
      </c>
      <c r="D1883">
        <v>0</v>
      </c>
      <c r="E1883" t="s">
        <v>20</v>
      </c>
      <c r="F1883" t="s">
        <v>20</v>
      </c>
      <c r="G1883" t="str">
        <f>"2025-07-08 23:19:03.229"</f>
        <v>2025-07-08 23:19:03.229</v>
      </c>
      <c r="H1883" t="s">
        <v>21</v>
      </c>
      <c r="I1883">
        <v>0</v>
      </c>
      <c r="J1883" t="s">
        <v>33</v>
      </c>
    </row>
    <row r="1884" spans="1:10" x14ac:dyDescent="0.25">
      <c r="A1884" s="1">
        <v>992</v>
      </c>
      <c r="B1884" t="s">
        <v>22</v>
      </c>
      <c r="C1884">
        <v>635</v>
      </c>
      <c r="D1884">
        <v>1</v>
      </c>
      <c r="E1884" t="s">
        <v>34</v>
      </c>
      <c r="F1884" t="s">
        <v>35</v>
      </c>
      <c r="G1884" t="str">
        <f>"2025-07-08 21:10:32.217"</f>
        <v>2025-07-08 21:10:32.217</v>
      </c>
      <c r="H1884" t="s">
        <v>21</v>
      </c>
    </row>
    <row r="1885" spans="1:10" x14ac:dyDescent="0.25">
      <c r="A1885" s="1">
        <v>993</v>
      </c>
      <c r="B1885" t="s">
        <v>36</v>
      </c>
      <c r="C1885">
        <v>635</v>
      </c>
      <c r="D1885">
        <v>1</v>
      </c>
      <c r="E1885" t="s">
        <v>34</v>
      </c>
      <c r="F1885" t="s">
        <v>35</v>
      </c>
      <c r="G1885" t="str">
        <f>"2025-07-08 21:03:42.717"</f>
        <v>2025-07-08 21:03:42.717</v>
      </c>
      <c r="H1885" t="s">
        <v>21</v>
      </c>
      <c r="I1885">
        <v>-0.84</v>
      </c>
      <c r="J1885" t="s">
        <v>28</v>
      </c>
    </row>
    <row r="1886" spans="1:10" x14ac:dyDescent="0.25">
      <c r="A1886" s="1">
        <v>994</v>
      </c>
      <c r="B1886" t="s">
        <v>22</v>
      </c>
      <c r="C1886">
        <v>635</v>
      </c>
      <c r="D1886">
        <v>1</v>
      </c>
      <c r="E1886" t="s">
        <v>34</v>
      </c>
      <c r="F1886" t="s">
        <v>35</v>
      </c>
      <c r="G1886" t="str">
        <f>"2025-07-08 02:56:15.017"</f>
        <v>2025-07-08 02:56:15.017</v>
      </c>
      <c r="H1886" t="s">
        <v>21</v>
      </c>
    </row>
    <row r="1887" spans="1:10" x14ac:dyDescent="0.25">
      <c r="A1887" s="1">
        <v>995</v>
      </c>
      <c r="B1887" t="s">
        <v>36</v>
      </c>
      <c r="C1887">
        <v>635</v>
      </c>
      <c r="D1887">
        <v>1</v>
      </c>
      <c r="E1887" t="s">
        <v>34</v>
      </c>
      <c r="F1887" t="s">
        <v>35</v>
      </c>
      <c r="G1887" t="str">
        <f>"2025-07-08 02:51:05.517"</f>
        <v>2025-07-08 02:51:05.517</v>
      </c>
      <c r="H1887" t="s">
        <v>21</v>
      </c>
      <c r="I1887">
        <v>0</v>
      </c>
      <c r="J1887" t="s">
        <v>28</v>
      </c>
    </row>
    <row r="1888" spans="1:10" x14ac:dyDescent="0.25">
      <c r="A1888" s="1">
        <v>996</v>
      </c>
      <c r="B1888" t="s">
        <v>19</v>
      </c>
      <c r="C1888">
        <v>706</v>
      </c>
      <c r="D1888">
        <v>4</v>
      </c>
      <c r="E1888" t="s">
        <v>29</v>
      </c>
      <c r="F1888" t="s">
        <v>53</v>
      </c>
      <c r="G1888" t="str">
        <f>"2025-07-07 08:02:53.474"</f>
        <v>2025-07-07 08:02:53.474</v>
      </c>
      <c r="H1888" t="s">
        <v>21</v>
      </c>
      <c r="I1888">
        <v>0</v>
      </c>
      <c r="J1888" t="s">
        <v>31</v>
      </c>
    </row>
    <row r="1889" spans="1:10" x14ac:dyDescent="0.25">
      <c r="A1889" s="1">
        <v>997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"2025-07-07 08:02:39.194"</f>
        <v>2025-07-07 08:02:39.194</v>
      </c>
      <c r="H1889" t="s">
        <v>21</v>
      </c>
      <c r="I1889">
        <v>0</v>
      </c>
      <c r="J1889" t="s">
        <v>33</v>
      </c>
    </row>
    <row r="1890" spans="1:10" x14ac:dyDescent="0.25">
      <c r="A1890" s="1">
        <v>998</v>
      </c>
      <c r="B1890" t="s">
        <v>22</v>
      </c>
      <c r="C1890">
        <v>635</v>
      </c>
      <c r="D1890">
        <v>1</v>
      </c>
      <c r="E1890" t="s">
        <v>34</v>
      </c>
      <c r="F1890" t="s">
        <v>35</v>
      </c>
      <c r="G1890" t="str">
        <f>"2025-07-06 20:35:13.774"</f>
        <v>2025-07-06 20:35:13.774</v>
      </c>
      <c r="H1890" t="s">
        <v>21</v>
      </c>
    </row>
    <row r="1891" spans="1:10" x14ac:dyDescent="0.25">
      <c r="A1891" s="1">
        <v>999</v>
      </c>
      <c r="B1891" t="s">
        <v>36</v>
      </c>
      <c r="C1891">
        <v>635</v>
      </c>
      <c r="D1891">
        <v>1</v>
      </c>
      <c r="E1891" t="s">
        <v>34</v>
      </c>
      <c r="F1891" t="s">
        <v>35</v>
      </c>
      <c r="G1891" t="str">
        <f>"2025-07-06 20:33:18.275"</f>
        <v>2025-07-06 20:33:18.275</v>
      </c>
      <c r="H1891" t="s">
        <v>21</v>
      </c>
      <c r="I1891">
        <v>1.27</v>
      </c>
      <c r="J1891" t="s">
        <v>28</v>
      </c>
    </row>
    <row r="1892" spans="1:10" x14ac:dyDescent="0.25">
      <c r="A1892" s="1">
        <v>0</v>
      </c>
      <c r="B1892" t="s">
        <v>19</v>
      </c>
      <c r="C1892">
        <v>706</v>
      </c>
      <c r="D1892">
        <v>2</v>
      </c>
      <c r="E1892" t="s">
        <v>29</v>
      </c>
      <c r="F1892" t="s">
        <v>30</v>
      </c>
      <c r="G1892" t="str">
        <f>"2025-07-02 02:43:33.344"</f>
        <v>2025-07-02 02:43:33.344</v>
      </c>
      <c r="H1892" t="s">
        <v>21</v>
      </c>
      <c r="I1892">
        <v>0</v>
      </c>
      <c r="J1892" t="s">
        <v>31</v>
      </c>
    </row>
    <row r="1893" spans="1:10" x14ac:dyDescent="0.25">
      <c r="A1893" s="1">
        <v>1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"2025-07-02 02:40:16.174"</f>
        <v>2025-07-02 02:40:16.174</v>
      </c>
      <c r="H1893" t="s">
        <v>21</v>
      </c>
      <c r="I1893">
        <v>0</v>
      </c>
      <c r="J1893" t="s">
        <v>33</v>
      </c>
    </row>
    <row r="1894" spans="1:10" x14ac:dyDescent="0.25">
      <c r="A1894" s="1">
        <v>2</v>
      </c>
      <c r="B1894" t="s">
        <v>19</v>
      </c>
      <c r="C1894">
        <v>700</v>
      </c>
      <c r="D1894">
        <v>0</v>
      </c>
      <c r="E1894" t="s">
        <v>20</v>
      </c>
      <c r="F1894" t="s">
        <v>20</v>
      </c>
      <c r="G1894" t="str">
        <f>"2025-07-02 02:24:54.246"</f>
        <v>2025-07-02 02:24:54.246</v>
      </c>
      <c r="H1894" t="s">
        <v>21</v>
      </c>
      <c r="I1894">
        <v>0</v>
      </c>
      <c r="J1894" t="s">
        <v>33</v>
      </c>
    </row>
    <row r="1895" spans="1:10" x14ac:dyDescent="0.25">
      <c r="A1895" s="1">
        <v>3</v>
      </c>
      <c r="B1895" t="s">
        <v>19</v>
      </c>
      <c r="C1895">
        <v>706</v>
      </c>
      <c r="D1895">
        <v>4</v>
      </c>
      <c r="E1895" t="s">
        <v>29</v>
      </c>
      <c r="F1895" t="s">
        <v>53</v>
      </c>
      <c r="G1895" t="str">
        <f>"2025-07-02 01:13:05.504"</f>
        <v>2025-07-02 01:13:05.504</v>
      </c>
      <c r="H1895" t="s">
        <v>21</v>
      </c>
      <c r="I1895">
        <v>0</v>
      </c>
      <c r="J1895" t="s">
        <v>31</v>
      </c>
    </row>
    <row r="1896" spans="1:10" x14ac:dyDescent="0.25">
      <c r="A1896" s="1">
        <v>4</v>
      </c>
      <c r="B1896" t="s">
        <v>19</v>
      </c>
      <c r="C1896">
        <v>706</v>
      </c>
      <c r="D1896">
        <v>3</v>
      </c>
      <c r="E1896" t="s">
        <v>29</v>
      </c>
      <c r="F1896" t="s">
        <v>32</v>
      </c>
      <c r="G1896" t="str">
        <f>"2025-07-02 00:56:07.524"</f>
        <v>2025-07-02 00:56:07.524</v>
      </c>
      <c r="H1896" t="s">
        <v>21</v>
      </c>
      <c r="I1896">
        <v>0</v>
      </c>
      <c r="J1896" t="s">
        <v>31</v>
      </c>
    </row>
    <row r="1897" spans="1:10" x14ac:dyDescent="0.25">
      <c r="A1897" s="1">
        <v>5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"2025-07-02 00:55:10.184"</f>
        <v>2025-07-02 00:55:10.184</v>
      </c>
      <c r="H1897" t="s">
        <v>21</v>
      </c>
      <c r="I1897">
        <v>0</v>
      </c>
      <c r="J1897" t="s">
        <v>33</v>
      </c>
    </row>
    <row r="1898" spans="1:10" x14ac:dyDescent="0.25">
      <c r="A1898" s="1">
        <v>6</v>
      </c>
      <c r="B1898" t="s">
        <v>19</v>
      </c>
      <c r="C1898">
        <v>700</v>
      </c>
      <c r="D1898">
        <v>0</v>
      </c>
      <c r="E1898" t="s">
        <v>20</v>
      </c>
      <c r="F1898" t="s">
        <v>20</v>
      </c>
      <c r="G1898" t="str">
        <f>"2025-07-02 00:12:04.179"</f>
        <v>2025-07-02 00:12:04.179</v>
      </c>
      <c r="H1898" t="s">
        <v>21</v>
      </c>
      <c r="I1898">
        <v>0</v>
      </c>
      <c r="J1898" t="s">
        <v>33</v>
      </c>
    </row>
    <row r="1899" spans="1:10" x14ac:dyDescent="0.25">
      <c r="A1899" s="1">
        <v>7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"2025-07-02 00:00:23.174"</f>
        <v>2025-07-02 00:00:23.174</v>
      </c>
      <c r="H1899" t="s">
        <v>21</v>
      </c>
      <c r="I1899">
        <v>0</v>
      </c>
      <c r="J1899" t="s">
        <v>33</v>
      </c>
    </row>
    <row r="1900" spans="1:10" x14ac:dyDescent="0.25">
      <c r="A1900" s="1">
        <v>8</v>
      </c>
      <c r="B1900" t="s">
        <v>19</v>
      </c>
      <c r="C1900">
        <v>700</v>
      </c>
      <c r="D1900">
        <v>0</v>
      </c>
      <c r="E1900" t="s">
        <v>20</v>
      </c>
      <c r="F1900" t="s">
        <v>20</v>
      </c>
      <c r="G1900" t="str">
        <f>"2025-07-01 22:04:31.618"</f>
        <v>2025-07-01 22:04:31.618</v>
      </c>
      <c r="H1900" t="s">
        <v>21</v>
      </c>
    </row>
    <row r="1901" spans="1:10" x14ac:dyDescent="0.25">
      <c r="A1901" s="1">
        <v>9</v>
      </c>
      <c r="B1901" t="s">
        <v>19</v>
      </c>
      <c r="C1901">
        <v>700</v>
      </c>
      <c r="D1901">
        <v>0</v>
      </c>
      <c r="E1901" t="s">
        <v>20</v>
      </c>
      <c r="F1901" t="s">
        <v>20</v>
      </c>
      <c r="G1901" t="str">
        <f>"2025-07-01 10:53:29.211"</f>
        <v>2025-07-01 10:53:29.211</v>
      </c>
      <c r="H1901" t="s">
        <v>21</v>
      </c>
    </row>
    <row r="1902" spans="1:10" x14ac:dyDescent="0.25">
      <c r="A1902" s="1">
        <v>10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"2025-07-01 08:50:30.174"</f>
        <v>2025-07-01 08:50:30.174</v>
      </c>
      <c r="H1902" t="s">
        <v>21</v>
      </c>
      <c r="I1902">
        <v>0</v>
      </c>
      <c r="J1902" t="s">
        <v>33</v>
      </c>
    </row>
    <row r="1903" spans="1:10" x14ac:dyDescent="0.25">
      <c r="A1903" s="1">
        <v>11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"2025-07-01 03:46:58.181"</f>
        <v>2025-07-01 03:46:58.181</v>
      </c>
      <c r="H1903" t="s">
        <v>21</v>
      </c>
      <c r="I1903">
        <v>0</v>
      </c>
      <c r="J1903" t="s">
        <v>33</v>
      </c>
    </row>
    <row r="1904" spans="1:10" x14ac:dyDescent="0.25">
      <c r="A1904" s="1">
        <v>12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"2025-07-01 01:58:59.186"</f>
        <v>2025-07-01 01:58:59.186</v>
      </c>
      <c r="H1904" t="s">
        <v>21</v>
      </c>
      <c r="I1904">
        <v>0</v>
      </c>
      <c r="J1904" t="s">
        <v>33</v>
      </c>
    </row>
    <row r="1905" spans="1:10" x14ac:dyDescent="0.25">
      <c r="A1905" s="1">
        <v>13</v>
      </c>
      <c r="B1905" t="s">
        <v>19</v>
      </c>
      <c r="C1905">
        <v>700</v>
      </c>
      <c r="D1905">
        <v>0</v>
      </c>
      <c r="E1905" t="s">
        <v>20</v>
      </c>
      <c r="F1905" t="s">
        <v>20</v>
      </c>
      <c r="G1905" t="str">
        <f>"2025-06-30 18:10:17.223"</f>
        <v>2025-06-30 18:10:17.223</v>
      </c>
      <c r="H1905" t="s">
        <v>21</v>
      </c>
    </row>
    <row r="1906" spans="1:10" x14ac:dyDescent="0.25">
      <c r="A1906" s="1">
        <v>14</v>
      </c>
      <c r="B1906" t="s">
        <v>40</v>
      </c>
      <c r="C1906">
        <v>77</v>
      </c>
      <c r="D1906">
        <v>1</v>
      </c>
      <c r="E1906" t="s">
        <v>59</v>
      </c>
      <c r="F1906" t="s">
        <v>60</v>
      </c>
      <c r="G1906" t="str">
        <f>"2025-06-30 14:08:09.295"</f>
        <v>2025-06-30 14:08:09.295</v>
      </c>
      <c r="H1906" t="s">
        <v>46</v>
      </c>
    </row>
    <row r="1907" spans="1:10" x14ac:dyDescent="0.25">
      <c r="A1907" s="1">
        <v>15</v>
      </c>
      <c r="B1907" t="s">
        <v>26</v>
      </c>
      <c r="C1907">
        <v>77</v>
      </c>
      <c r="D1907">
        <v>1</v>
      </c>
      <c r="E1907" t="s">
        <v>59</v>
      </c>
      <c r="F1907" t="s">
        <v>60</v>
      </c>
      <c r="G1907" t="str">
        <f>"2025-06-30 14:08:04.258"</f>
        <v>2025-06-30 14:08:04.258</v>
      </c>
      <c r="H1907" t="s">
        <v>46</v>
      </c>
      <c r="I1907">
        <v>0</v>
      </c>
      <c r="J1907" t="s">
        <v>31</v>
      </c>
    </row>
    <row r="1908" spans="1:10" x14ac:dyDescent="0.25">
      <c r="A1908" s="1">
        <v>16</v>
      </c>
      <c r="B1908" t="s">
        <v>19</v>
      </c>
      <c r="C1908">
        <v>700</v>
      </c>
      <c r="D1908">
        <v>0</v>
      </c>
      <c r="E1908" t="s">
        <v>20</v>
      </c>
      <c r="F1908" t="s">
        <v>20</v>
      </c>
      <c r="G1908" t="str">
        <f>"2025-06-30 14:07:24.194"</f>
        <v>2025-06-30 14:07:24.194</v>
      </c>
      <c r="H1908" t="s">
        <v>21</v>
      </c>
    </row>
    <row r="1909" spans="1:10" x14ac:dyDescent="0.25">
      <c r="A1909" s="1">
        <v>17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"2025-06-30 11:25:15.208"</f>
        <v>2025-06-30 11:25:15.208</v>
      </c>
      <c r="H1909" t="s">
        <v>21</v>
      </c>
      <c r="I1909">
        <v>0</v>
      </c>
      <c r="J1909" t="s">
        <v>33</v>
      </c>
    </row>
    <row r="1910" spans="1:10" x14ac:dyDescent="0.25">
      <c r="A1910" s="1">
        <v>18</v>
      </c>
      <c r="B1910" t="s">
        <v>19</v>
      </c>
      <c r="C1910">
        <v>700</v>
      </c>
      <c r="D1910">
        <v>0</v>
      </c>
      <c r="E1910" t="s">
        <v>20</v>
      </c>
      <c r="F1910" t="s">
        <v>20</v>
      </c>
      <c r="G1910" t="str">
        <f>"2025-06-30 10:16:04.180"</f>
        <v>2025-06-30 10:16:04.180</v>
      </c>
      <c r="H1910" t="s">
        <v>21</v>
      </c>
    </row>
    <row r="1911" spans="1:10" x14ac:dyDescent="0.25">
      <c r="A1911" s="1">
        <v>19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"2025-06-30 08:20:37.184"</f>
        <v>2025-06-30 08:20:37.184</v>
      </c>
      <c r="H1911" t="s">
        <v>21</v>
      </c>
      <c r="I1911">
        <v>0</v>
      </c>
      <c r="J1911" t="s">
        <v>33</v>
      </c>
    </row>
    <row r="1912" spans="1:10" x14ac:dyDescent="0.25">
      <c r="A1912" s="1">
        <v>20</v>
      </c>
      <c r="B1912" t="s">
        <v>19</v>
      </c>
      <c r="C1912">
        <v>700</v>
      </c>
      <c r="D1912">
        <v>0</v>
      </c>
      <c r="E1912" t="s">
        <v>20</v>
      </c>
      <c r="F1912" t="s">
        <v>20</v>
      </c>
      <c r="G1912" t="str">
        <f>"2025-06-30 06:03:58.353"</f>
        <v>2025-06-30 06:03:58.353</v>
      </c>
      <c r="H1912" t="s">
        <v>21</v>
      </c>
      <c r="I1912">
        <v>0</v>
      </c>
      <c r="J1912" t="s">
        <v>33</v>
      </c>
    </row>
    <row r="1913" spans="1:10" x14ac:dyDescent="0.25">
      <c r="A1913" s="1">
        <v>21</v>
      </c>
      <c r="B1913" t="s">
        <v>22</v>
      </c>
      <c r="C1913">
        <v>635</v>
      </c>
      <c r="D1913">
        <v>1</v>
      </c>
      <c r="E1913" t="s">
        <v>34</v>
      </c>
      <c r="F1913" t="s">
        <v>35</v>
      </c>
      <c r="G1913" t="str">
        <f>"2025-06-29 20:25:16.201"</f>
        <v>2025-06-29 20:25:16.201</v>
      </c>
      <c r="H1913" t="s">
        <v>21</v>
      </c>
    </row>
    <row r="1914" spans="1:10" x14ac:dyDescent="0.25">
      <c r="A1914" s="1">
        <v>22</v>
      </c>
      <c r="B1914" t="s">
        <v>36</v>
      </c>
      <c r="C1914">
        <v>635</v>
      </c>
      <c r="D1914">
        <v>1</v>
      </c>
      <c r="E1914" t="s">
        <v>34</v>
      </c>
      <c r="F1914" t="s">
        <v>35</v>
      </c>
      <c r="G1914" t="str">
        <f>"2025-06-29 20:22:40.201"</f>
        <v>2025-06-29 20:22:40.201</v>
      </c>
      <c r="H1914" t="s">
        <v>21</v>
      </c>
      <c r="I1914">
        <v>1.93</v>
      </c>
      <c r="J1914" t="s">
        <v>28</v>
      </c>
    </row>
    <row r="1915" spans="1:10" x14ac:dyDescent="0.25">
      <c r="A1915" s="1">
        <v>23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"2025-06-29 13:36:02.189"</f>
        <v>2025-06-29 13:36:02.189</v>
      </c>
      <c r="H1915" t="s">
        <v>21</v>
      </c>
    </row>
    <row r="1916" spans="1:10" x14ac:dyDescent="0.25">
      <c r="A1916" s="1">
        <v>24</v>
      </c>
      <c r="B1916" t="s">
        <v>22</v>
      </c>
      <c r="C1916">
        <v>635</v>
      </c>
      <c r="D1916">
        <v>1</v>
      </c>
      <c r="E1916" t="s">
        <v>34</v>
      </c>
      <c r="F1916" t="s">
        <v>35</v>
      </c>
      <c r="G1916" t="str">
        <f>"2025-06-29 10:24:53.014"</f>
        <v>2025-06-29 10:24:53.014</v>
      </c>
      <c r="H1916" t="s">
        <v>21</v>
      </c>
    </row>
    <row r="1917" spans="1:10" x14ac:dyDescent="0.25">
      <c r="A1917" s="1">
        <v>25</v>
      </c>
      <c r="B1917" t="s">
        <v>36</v>
      </c>
      <c r="C1917">
        <v>635</v>
      </c>
      <c r="D1917">
        <v>1</v>
      </c>
      <c r="E1917" t="s">
        <v>34</v>
      </c>
      <c r="F1917" t="s">
        <v>35</v>
      </c>
      <c r="G1917" t="str">
        <f>"2025-06-29 10:21:11.514"</f>
        <v>2025-06-29 10:21:11.514</v>
      </c>
      <c r="H1917" t="s">
        <v>21</v>
      </c>
      <c r="I1917">
        <v>0.54</v>
      </c>
      <c r="J1917" t="s">
        <v>37</v>
      </c>
    </row>
    <row r="1918" spans="1:10" x14ac:dyDescent="0.25">
      <c r="A1918" s="1">
        <v>26</v>
      </c>
      <c r="B1918" t="s">
        <v>22</v>
      </c>
      <c r="C1918">
        <v>635</v>
      </c>
      <c r="D1918">
        <v>1</v>
      </c>
      <c r="E1918" t="s">
        <v>34</v>
      </c>
      <c r="F1918" t="s">
        <v>35</v>
      </c>
      <c r="G1918" t="str">
        <f>"2025-06-27 02:25:09.214"</f>
        <v>2025-06-27 02:25:09.214</v>
      </c>
      <c r="H1918" t="s">
        <v>21</v>
      </c>
    </row>
    <row r="1919" spans="1:10" x14ac:dyDescent="0.25">
      <c r="A1919" s="1">
        <v>27</v>
      </c>
      <c r="B1919" t="s">
        <v>36</v>
      </c>
      <c r="C1919">
        <v>635</v>
      </c>
      <c r="D1919">
        <v>1</v>
      </c>
      <c r="E1919" t="s">
        <v>34</v>
      </c>
      <c r="F1919" t="s">
        <v>35</v>
      </c>
      <c r="G1919" t="str">
        <f>"2025-06-27 02:18:43.814"</f>
        <v>2025-06-27 02:18:43.814</v>
      </c>
      <c r="H1919" t="s">
        <v>21</v>
      </c>
      <c r="I1919">
        <v>-0.17</v>
      </c>
      <c r="J1919" t="s">
        <v>28</v>
      </c>
    </row>
    <row r="1920" spans="1:10" x14ac:dyDescent="0.25">
      <c r="A1920" s="1">
        <v>28</v>
      </c>
      <c r="B1920" t="s">
        <v>22</v>
      </c>
      <c r="C1920">
        <v>635</v>
      </c>
      <c r="D1920">
        <v>1</v>
      </c>
      <c r="E1920" t="s">
        <v>34</v>
      </c>
      <c r="F1920" t="s">
        <v>35</v>
      </c>
      <c r="G1920" t="str">
        <f>"2025-06-26 19:52:15.414"</f>
        <v>2025-06-26 19:52:15.414</v>
      </c>
      <c r="H1920" t="s">
        <v>21</v>
      </c>
    </row>
    <row r="1921" spans="1:10" x14ac:dyDescent="0.25">
      <c r="A1921" s="1">
        <v>29</v>
      </c>
      <c r="B1921" t="s">
        <v>36</v>
      </c>
      <c r="C1921">
        <v>635</v>
      </c>
      <c r="D1921">
        <v>1</v>
      </c>
      <c r="E1921" t="s">
        <v>34</v>
      </c>
      <c r="F1921" t="s">
        <v>35</v>
      </c>
      <c r="G1921" t="str">
        <f>"2025-06-26 19:40:54.914"</f>
        <v>2025-06-26 19:40:54.914</v>
      </c>
      <c r="H1921" t="s">
        <v>21</v>
      </c>
      <c r="I1921">
        <v>0.02</v>
      </c>
      <c r="J1921" t="s">
        <v>37</v>
      </c>
    </row>
    <row r="1922" spans="1:10" x14ac:dyDescent="0.25">
      <c r="A1922" s="1">
        <v>30</v>
      </c>
      <c r="B1922" t="s">
        <v>22</v>
      </c>
      <c r="C1922">
        <v>635</v>
      </c>
      <c r="D1922">
        <v>1</v>
      </c>
      <c r="E1922" t="s">
        <v>34</v>
      </c>
      <c r="F1922" t="s">
        <v>35</v>
      </c>
      <c r="G1922" t="str">
        <f>"2025-06-26 08:59:00.514"</f>
        <v>2025-06-26 08:59:00.514</v>
      </c>
      <c r="H1922" t="s">
        <v>21</v>
      </c>
    </row>
    <row r="1923" spans="1:10" x14ac:dyDescent="0.25">
      <c r="A1923" s="1">
        <v>31</v>
      </c>
      <c r="B1923" t="s">
        <v>36</v>
      </c>
      <c r="C1923">
        <v>635</v>
      </c>
      <c r="D1923">
        <v>1</v>
      </c>
      <c r="E1923" t="s">
        <v>34</v>
      </c>
      <c r="F1923" t="s">
        <v>35</v>
      </c>
      <c r="G1923" t="str">
        <f>"2025-06-26 08:50:24.014"</f>
        <v>2025-06-26 08:50:24.014</v>
      </c>
      <c r="H1923" t="s">
        <v>21</v>
      </c>
      <c r="I1923">
        <v>0.28999999999999998</v>
      </c>
      <c r="J1923" t="s">
        <v>37</v>
      </c>
    </row>
    <row r="1924" spans="1:10" x14ac:dyDescent="0.25">
      <c r="A1924" s="1">
        <v>32</v>
      </c>
      <c r="B1924" t="s">
        <v>22</v>
      </c>
      <c r="C1924">
        <v>635</v>
      </c>
      <c r="D1924">
        <v>1</v>
      </c>
      <c r="E1924" t="s">
        <v>34</v>
      </c>
      <c r="F1924" t="s">
        <v>35</v>
      </c>
      <c r="G1924" t="str">
        <f>"2025-06-25 20:49:15.314"</f>
        <v>2025-06-25 20:49:15.314</v>
      </c>
      <c r="H1924" t="s">
        <v>21</v>
      </c>
    </row>
    <row r="1925" spans="1:10" x14ac:dyDescent="0.25">
      <c r="A1925" s="1">
        <v>33</v>
      </c>
      <c r="B1925" t="s">
        <v>36</v>
      </c>
      <c r="C1925">
        <v>635</v>
      </c>
      <c r="D1925">
        <v>1</v>
      </c>
      <c r="E1925" t="s">
        <v>34</v>
      </c>
      <c r="F1925" t="s">
        <v>35</v>
      </c>
      <c r="G1925" t="str">
        <f>"2025-06-25 20:47:22.815"</f>
        <v>2025-06-25 20:47:22.815</v>
      </c>
      <c r="H1925" t="s">
        <v>21</v>
      </c>
      <c r="I1925">
        <v>4.6900000000000004</v>
      </c>
      <c r="J1925" t="s">
        <v>37</v>
      </c>
    </row>
    <row r="1926" spans="1:10" x14ac:dyDescent="0.25">
      <c r="A1926" s="1">
        <v>34</v>
      </c>
      <c r="B1926" t="s">
        <v>19</v>
      </c>
      <c r="C1926">
        <v>700</v>
      </c>
      <c r="D1926">
        <v>0</v>
      </c>
      <c r="E1926" t="s">
        <v>20</v>
      </c>
      <c r="F1926" t="s">
        <v>20</v>
      </c>
      <c r="G1926" t="str">
        <f>"2025-06-25 04:29:40.193"</f>
        <v>2025-06-25 04:29:40.193</v>
      </c>
      <c r="H1926" t="s">
        <v>21</v>
      </c>
    </row>
    <row r="1927" spans="1:10" x14ac:dyDescent="0.25">
      <c r="A1927" s="1">
        <v>35</v>
      </c>
      <c r="B1927" t="s">
        <v>22</v>
      </c>
      <c r="C1927">
        <v>635</v>
      </c>
      <c r="D1927">
        <v>1</v>
      </c>
      <c r="E1927" t="s">
        <v>34</v>
      </c>
      <c r="F1927" t="s">
        <v>35</v>
      </c>
      <c r="G1927" t="str">
        <f>"2025-06-24 03:31:45.163"</f>
        <v>2025-06-24 03:31:45.163</v>
      </c>
      <c r="H1927" t="s">
        <v>21</v>
      </c>
    </row>
    <row r="1928" spans="1:10" x14ac:dyDescent="0.25">
      <c r="A1928" s="1">
        <v>36</v>
      </c>
      <c r="B1928" t="s">
        <v>36</v>
      </c>
      <c r="C1928">
        <v>635</v>
      </c>
      <c r="D1928">
        <v>1</v>
      </c>
      <c r="E1928" t="s">
        <v>34</v>
      </c>
      <c r="F1928" t="s">
        <v>35</v>
      </c>
      <c r="G1928" t="str">
        <f>"2025-06-24 03:28:34.663"</f>
        <v>2025-06-24 03:28:34.663</v>
      </c>
      <c r="H1928" t="s">
        <v>21</v>
      </c>
      <c r="I1928">
        <v>1.45</v>
      </c>
      <c r="J1928" t="s">
        <v>28</v>
      </c>
    </row>
    <row r="1929" spans="1:10" x14ac:dyDescent="0.25">
      <c r="A1929" s="1">
        <v>37</v>
      </c>
      <c r="B1929" t="s">
        <v>22</v>
      </c>
      <c r="C1929">
        <v>635</v>
      </c>
      <c r="D1929">
        <v>1</v>
      </c>
      <c r="E1929" t="s">
        <v>34</v>
      </c>
      <c r="F1929" t="s">
        <v>35</v>
      </c>
      <c r="G1929" t="str">
        <f>"2025-06-23 07:07:17.263"</f>
        <v>2025-06-23 07:07:17.263</v>
      </c>
      <c r="H1929" t="s">
        <v>21</v>
      </c>
    </row>
    <row r="1930" spans="1:10" x14ac:dyDescent="0.25">
      <c r="A1930" s="1">
        <v>38</v>
      </c>
      <c r="B1930" t="s">
        <v>36</v>
      </c>
      <c r="C1930">
        <v>635</v>
      </c>
      <c r="D1930">
        <v>1</v>
      </c>
      <c r="E1930" t="s">
        <v>34</v>
      </c>
      <c r="F1930" t="s">
        <v>35</v>
      </c>
      <c r="G1930" t="str">
        <f>"2025-06-23 07:04:04.763"</f>
        <v>2025-06-23 07:04:04.763</v>
      </c>
      <c r="H1930" t="s">
        <v>21</v>
      </c>
      <c r="I1930">
        <v>1.66</v>
      </c>
      <c r="J1930" t="s">
        <v>27</v>
      </c>
    </row>
    <row r="1931" spans="1:10" x14ac:dyDescent="0.25">
      <c r="A1931" s="1">
        <v>39</v>
      </c>
      <c r="B1931" t="s">
        <v>22</v>
      </c>
      <c r="C1931">
        <v>635</v>
      </c>
      <c r="D1931">
        <v>1</v>
      </c>
      <c r="E1931" t="s">
        <v>34</v>
      </c>
      <c r="F1931" t="s">
        <v>35</v>
      </c>
      <c r="G1931" t="str">
        <f>"2025-06-23 03:43:00.563"</f>
        <v>2025-06-23 03:43:00.563</v>
      </c>
      <c r="H1931" t="s">
        <v>21</v>
      </c>
    </row>
    <row r="1932" spans="1:10" x14ac:dyDescent="0.25">
      <c r="A1932" s="1">
        <v>40</v>
      </c>
      <c r="B1932" t="s">
        <v>36</v>
      </c>
      <c r="C1932">
        <v>635</v>
      </c>
      <c r="D1932">
        <v>1</v>
      </c>
      <c r="E1932" t="s">
        <v>34</v>
      </c>
      <c r="F1932" t="s">
        <v>35</v>
      </c>
      <c r="G1932" t="str">
        <f>"2025-06-23 03:39:44.063"</f>
        <v>2025-06-23 03:39:44.063</v>
      </c>
      <c r="H1932" t="s">
        <v>21</v>
      </c>
      <c r="I1932">
        <v>2.92</v>
      </c>
      <c r="J1932" t="s">
        <v>37</v>
      </c>
    </row>
    <row r="1933" spans="1:10" x14ac:dyDescent="0.25">
      <c r="A1933" s="1">
        <v>41</v>
      </c>
      <c r="B1933" t="s">
        <v>22</v>
      </c>
      <c r="C1933">
        <v>635</v>
      </c>
      <c r="D1933">
        <v>1</v>
      </c>
      <c r="E1933" t="s">
        <v>34</v>
      </c>
      <c r="F1933" t="s">
        <v>35</v>
      </c>
      <c r="G1933" t="str">
        <f>"2025-06-21 11:40:27.163"</f>
        <v>2025-06-21 11:40:27.163</v>
      </c>
      <c r="H1933" t="s">
        <v>21</v>
      </c>
    </row>
    <row r="1934" spans="1:10" x14ac:dyDescent="0.25">
      <c r="A1934" s="1">
        <v>42</v>
      </c>
      <c r="B1934" t="s">
        <v>36</v>
      </c>
      <c r="C1934">
        <v>635</v>
      </c>
      <c r="D1934">
        <v>1</v>
      </c>
      <c r="E1934" t="s">
        <v>34</v>
      </c>
      <c r="F1934" t="s">
        <v>35</v>
      </c>
      <c r="G1934" t="str">
        <f>"2025-06-21 11:34:34.163"</f>
        <v>2025-06-21 11:34:34.163</v>
      </c>
      <c r="H1934" t="s">
        <v>21</v>
      </c>
      <c r="I1934">
        <v>2.91</v>
      </c>
      <c r="J1934" t="s">
        <v>37</v>
      </c>
    </row>
    <row r="1935" spans="1:10" s="3" customFormat="1" x14ac:dyDescent="0.25">
      <c r="A1935" s="2">
        <v>43</v>
      </c>
      <c r="B1935" s="3" t="s">
        <v>22</v>
      </c>
      <c r="C1935" s="3">
        <v>647</v>
      </c>
      <c r="D1935" s="3">
        <v>1</v>
      </c>
      <c r="E1935" s="3" t="s">
        <v>54</v>
      </c>
      <c r="F1935" s="3" t="s">
        <v>55</v>
      </c>
      <c r="G1935" s="3" t="str">
        <f>"2025-06-21 07:01:27.411"</f>
        <v>2025-06-21 07:01:27.411</v>
      </c>
      <c r="H1935" s="3" t="s">
        <v>21</v>
      </c>
    </row>
    <row r="1936" spans="1:10" s="3" customFormat="1" x14ac:dyDescent="0.25">
      <c r="A1936" s="2">
        <v>44</v>
      </c>
      <c r="B1936" s="3" t="s">
        <v>36</v>
      </c>
      <c r="C1936" s="3">
        <v>647</v>
      </c>
      <c r="D1936" s="3">
        <v>1</v>
      </c>
      <c r="E1936" s="3" t="s">
        <v>54</v>
      </c>
      <c r="F1936" s="3" t="s">
        <v>55</v>
      </c>
      <c r="G1936" s="3" t="str">
        <f>"2025-06-21 07:01:25.511"</f>
        <v>2025-06-21 07:01:25.511</v>
      </c>
      <c r="H1936" s="3" t="s">
        <v>21</v>
      </c>
      <c r="I1936" s="3">
        <v>8.1300000000000008</v>
      </c>
      <c r="J1936" s="3" t="s">
        <v>27</v>
      </c>
    </row>
    <row r="1937" spans="1:10" x14ac:dyDescent="0.25">
      <c r="A1937" s="1">
        <v>45</v>
      </c>
      <c r="B1937" t="s">
        <v>22</v>
      </c>
      <c r="C1937">
        <v>635</v>
      </c>
      <c r="D1937">
        <v>1</v>
      </c>
      <c r="E1937" t="s">
        <v>34</v>
      </c>
      <c r="F1937" t="s">
        <v>35</v>
      </c>
      <c r="G1937" t="str">
        <f>"2025-06-21 04:54:01.863"</f>
        <v>2025-06-21 04:54:01.863</v>
      </c>
      <c r="H1937" t="s">
        <v>21</v>
      </c>
    </row>
    <row r="1938" spans="1:10" x14ac:dyDescent="0.25">
      <c r="A1938" s="1">
        <v>46</v>
      </c>
      <c r="B1938" t="s">
        <v>36</v>
      </c>
      <c r="C1938">
        <v>635</v>
      </c>
      <c r="D1938">
        <v>1</v>
      </c>
      <c r="E1938" t="s">
        <v>34</v>
      </c>
      <c r="F1938" t="s">
        <v>35</v>
      </c>
      <c r="G1938" t="str">
        <f>"2025-06-21 04:50:46.363"</f>
        <v>2025-06-21 04:50:46.363</v>
      </c>
      <c r="H1938" t="s">
        <v>21</v>
      </c>
      <c r="I1938">
        <v>6.36</v>
      </c>
      <c r="J1938" t="s">
        <v>37</v>
      </c>
    </row>
    <row r="1939" spans="1:10" x14ac:dyDescent="0.25">
      <c r="A1939" s="1">
        <v>47</v>
      </c>
      <c r="B1939" t="s">
        <v>22</v>
      </c>
      <c r="C1939">
        <v>635</v>
      </c>
      <c r="D1939">
        <v>1</v>
      </c>
      <c r="E1939" t="s">
        <v>34</v>
      </c>
      <c r="F1939" t="s">
        <v>35</v>
      </c>
      <c r="G1939" t="str">
        <f>"2025-06-20 22:59:17.463"</f>
        <v>2025-06-20 22:59:17.463</v>
      </c>
      <c r="H1939" t="s">
        <v>21</v>
      </c>
    </row>
    <row r="1940" spans="1:10" x14ac:dyDescent="0.25">
      <c r="A1940" s="1">
        <v>48</v>
      </c>
      <c r="B1940" t="s">
        <v>36</v>
      </c>
      <c r="C1940">
        <v>635</v>
      </c>
      <c r="D1940">
        <v>1</v>
      </c>
      <c r="E1940" t="s">
        <v>34</v>
      </c>
      <c r="F1940" t="s">
        <v>35</v>
      </c>
      <c r="G1940" t="str">
        <f>"2025-06-20 22:55:33.063"</f>
        <v>2025-06-20 22:55:33.063</v>
      </c>
      <c r="H1940" t="s">
        <v>21</v>
      </c>
      <c r="I1940">
        <v>0.9</v>
      </c>
      <c r="J1940" t="s">
        <v>37</v>
      </c>
    </row>
    <row r="1941" spans="1:10" x14ac:dyDescent="0.25">
      <c r="A1941" s="1">
        <v>50</v>
      </c>
      <c r="B1941" t="s">
        <v>19</v>
      </c>
      <c r="C1941">
        <v>700</v>
      </c>
      <c r="D1941">
        <v>0</v>
      </c>
      <c r="E1941" t="s">
        <v>20</v>
      </c>
      <c r="F1941" t="s">
        <v>20</v>
      </c>
      <c r="G1941" t="str">
        <f>"2025-06-20 18:35:14.173"</f>
        <v>2025-06-20 18:35:14.173</v>
      </c>
      <c r="H1941" t="s">
        <v>21</v>
      </c>
      <c r="I1941">
        <v>0</v>
      </c>
      <c r="J1941" t="s">
        <v>33</v>
      </c>
    </row>
    <row r="1942" spans="1:10" x14ac:dyDescent="0.25">
      <c r="A1942" s="1">
        <v>51</v>
      </c>
      <c r="B1942" t="s">
        <v>19</v>
      </c>
      <c r="C1942">
        <v>706</v>
      </c>
      <c r="D1942">
        <v>3</v>
      </c>
      <c r="E1942" t="s">
        <v>29</v>
      </c>
      <c r="F1942" t="s">
        <v>32</v>
      </c>
      <c r="G1942" t="str">
        <f>"2025-06-20 18:17:03.395"</f>
        <v>2025-06-20 18:17:03.395</v>
      </c>
      <c r="H1942" t="s">
        <v>21</v>
      </c>
      <c r="I1942">
        <v>0</v>
      </c>
      <c r="J1942" t="s">
        <v>31</v>
      </c>
    </row>
    <row r="1943" spans="1:10" x14ac:dyDescent="0.25">
      <c r="A1943" s="1">
        <v>52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"2025-06-20 18:14:54.185"</f>
        <v>2025-06-20 18:14:54.185</v>
      </c>
      <c r="H1943" t="s">
        <v>21</v>
      </c>
    </row>
    <row r="1944" spans="1:10" x14ac:dyDescent="0.25">
      <c r="A1944" s="1">
        <v>53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"2025-06-20 17:44:19.189"</f>
        <v>2025-06-20 17:44:19.189</v>
      </c>
      <c r="H1944" t="s">
        <v>21</v>
      </c>
      <c r="I1944">
        <v>0</v>
      </c>
      <c r="J1944" t="s">
        <v>33</v>
      </c>
    </row>
    <row r="1945" spans="1:10" x14ac:dyDescent="0.25">
      <c r="A1945" s="1">
        <v>54</v>
      </c>
      <c r="B1945" t="s">
        <v>19</v>
      </c>
      <c r="C1945">
        <v>700</v>
      </c>
      <c r="D1945">
        <v>0</v>
      </c>
      <c r="E1945" t="s">
        <v>20</v>
      </c>
      <c r="F1945" t="s">
        <v>20</v>
      </c>
      <c r="G1945" t="str">
        <f>"2025-06-20 17:41:34.170"</f>
        <v>2025-06-20 17:41:34.170</v>
      </c>
      <c r="H1945" t="s">
        <v>21</v>
      </c>
    </row>
    <row r="1946" spans="1:10" x14ac:dyDescent="0.25">
      <c r="A1946" s="1">
        <v>55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"2025-06-20 17:29:45.175"</f>
        <v>2025-06-20 17:29:45.175</v>
      </c>
      <c r="H1946" t="s">
        <v>21</v>
      </c>
      <c r="I1946">
        <v>0</v>
      </c>
      <c r="J1946" t="s">
        <v>33</v>
      </c>
    </row>
    <row r="1947" spans="1:10" x14ac:dyDescent="0.25">
      <c r="A1947" s="1">
        <v>56</v>
      </c>
      <c r="B1947" t="s">
        <v>19</v>
      </c>
      <c r="C1947">
        <v>706</v>
      </c>
      <c r="D1947">
        <v>4</v>
      </c>
      <c r="E1947" t="s">
        <v>29</v>
      </c>
      <c r="F1947" t="s">
        <v>53</v>
      </c>
      <c r="G1947" t="str">
        <f>"2025-06-20 17:05:06.947"</f>
        <v>2025-06-20 17:05:06.947</v>
      </c>
      <c r="H1947" t="s">
        <v>21</v>
      </c>
      <c r="I1947">
        <v>0</v>
      </c>
      <c r="J1947" t="s">
        <v>31</v>
      </c>
    </row>
    <row r="1948" spans="1:10" x14ac:dyDescent="0.25">
      <c r="A1948" s="1">
        <v>57</v>
      </c>
      <c r="B1948" t="s">
        <v>19</v>
      </c>
      <c r="C1948">
        <v>700</v>
      </c>
      <c r="D1948">
        <v>0</v>
      </c>
      <c r="E1948" t="s">
        <v>20</v>
      </c>
      <c r="F1948" t="s">
        <v>20</v>
      </c>
      <c r="G1948" t="str">
        <f>"2025-06-20 17:01:17.177"</f>
        <v>2025-06-20 17:01:17.177</v>
      </c>
      <c r="H1948" t="s">
        <v>21</v>
      </c>
    </row>
    <row r="1949" spans="1:10" x14ac:dyDescent="0.25">
      <c r="A1949" s="1">
        <v>58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"2025-06-20 16:57:08.183"</f>
        <v>2025-06-20 16:57:08.183</v>
      </c>
      <c r="H1949" t="s">
        <v>21</v>
      </c>
    </row>
    <row r="1950" spans="1:10" x14ac:dyDescent="0.25">
      <c r="A1950" s="1">
        <v>59</v>
      </c>
      <c r="B1950" t="s">
        <v>19</v>
      </c>
      <c r="C1950">
        <v>706</v>
      </c>
      <c r="D1950">
        <v>4</v>
      </c>
      <c r="E1950" t="s">
        <v>29</v>
      </c>
      <c r="F1950" t="s">
        <v>53</v>
      </c>
      <c r="G1950" t="str">
        <f>"2025-06-20 16:26:05.664"</f>
        <v>2025-06-20 16:26:05.664</v>
      </c>
      <c r="H1950" t="s">
        <v>21</v>
      </c>
      <c r="I1950">
        <v>0</v>
      </c>
      <c r="J1950" t="s">
        <v>31</v>
      </c>
    </row>
    <row r="1951" spans="1:10" x14ac:dyDescent="0.25">
      <c r="A1951" s="1">
        <v>60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"2025-06-20 16:17:12.194"</f>
        <v>2025-06-20 16:17:12.194</v>
      </c>
      <c r="H1951" t="s">
        <v>21</v>
      </c>
    </row>
    <row r="1952" spans="1:10" x14ac:dyDescent="0.25">
      <c r="A1952" s="1">
        <v>61</v>
      </c>
      <c r="B1952" t="s">
        <v>19</v>
      </c>
      <c r="C1952">
        <v>700</v>
      </c>
      <c r="D1952">
        <v>0</v>
      </c>
      <c r="E1952" t="s">
        <v>20</v>
      </c>
      <c r="F1952" t="s">
        <v>20</v>
      </c>
      <c r="G1952" t="str">
        <f>"2025-06-20 14:51:11.182"</f>
        <v>2025-06-20 14:51:11.182</v>
      </c>
      <c r="H1952" t="s">
        <v>21</v>
      </c>
      <c r="I1952">
        <v>0</v>
      </c>
      <c r="J1952" t="s">
        <v>33</v>
      </c>
    </row>
    <row r="1953" spans="1:10" x14ac:dyDescent="0.25">
      <c r="A1953" s="1">
        <v>62</v>
      </c>
      <c r="B1953" t="s">
        <v>19</v>
      </c>
      <c r="C1953">
        <v>700</v>
      </c>
      <c r="D1953">
        <v>0</v>
      </c>
      <c r="E1953" t="s">
        <v>20</v>
      </c>
      <c r="F1953" t="s">
        <v>20</v>
      </c>
      <c r="G1953" t="str">
        <f>"2025-06-17 09:06:36.186"</f>
        <v>2025-06-17 09:06:36.186</v>
      </c>
      <c r="H1953" t="s">
        <v>21</v>
      </c>
      <c r="I1953">
        <v>0</v>
      </c>
      <c r="J1953" t="s">
        <v>33</v>
      </c>
    </row>
    <row r="1954" spans="1:10" x14ac:dyDescent="0.25">
      <c r="A1954" s="1">
        <v>63</v>
      </c>
      <c r="B1954" t="s">
        <v>19</v>
      </c>
      <c r="C1954">
        <v>700</v>
      </c>
      <c r="D1954">
        <v>0</v>
      </c>
      <c r="E1954" t="s">
        <v>20</v>
      </c>
      <c r="F1954" t="s">
        <v>20</v>
      </c>
      <c r="G1954" t="str">
        <f>"2025-06-17 09:00:36.294"</f>
        <v>2025-06-17 09:00:36.294</v>
      </c>
      <c r="H1954" t="s">
        <v>21</v>
      </c>
      <c r="I1954">
        <v>0</v>
      </c>
      <c r="J1954" t="s">
        <v>33</v>
      </c>
    </row>
    <row r="1955" spans="1:10" x14ac:dyDescent="0.25">
      <c r="A1955" s="1">
        <v>64</v>
      </c>
      <c r="B1955" t="s">
        <v>19</v>
      </c>
      <c r="C1955">
        <v>700</v>
      </c>
      <c r="D1955">
        <v>0</v>
      </c>
      <c r="E1955" t="s">
        <v>20</v>
      </c>
      <c r="F1955" t="s">
        <v>20</v>
      </c>
      <c r="G1955" t="str">
        <f>"2025-06-17 08:51:24.187"</f>
        <v>2025-06-17 08:51:24.187</v>
      </c>
      <c r="H1955" t="s">
        <v>21</v>
      </c>
      <c r="I1955">
        <v>0</v>
      </c>
      <c r="J1955" t="s">
        <v>33</v>
      </c>
    </row>
    <row r="1956" spans="1:10" x14ac:dyDescent="0.25">
      <c r="A1956" s="1">
        <v>65</v>
      </c>
      <c r="B1956" t="s">
        <v>19</v>
      </c>
      <c r="C1956">
        <v>700</v>
      </c>
      <c r="D1956">
        <v>0</v>
      </c>
      <c r="E1956" t="s">
        <v>20</v>
      </c>
      <c r="F1956" t="s">
        <v>20</v>
      </c>
      <c r="G1956" t="str">
        <f>"2025-06-17 08:46:04.193"</f>
        <v>2025-06-17 08:46:04.193</v>
      </c>
      <c r="H1956" t="s">
        <v>21</v>
      </c>
      <c r="I1956">
        <v>0</v>
      </c>
      <c r="J1956" t="s">
        <v>33</v>
      </c>
    </row>
    <row r="1957" spans="1:10" x14ac:dyDescent="0.25">
      <c r="A1957" s="1">
        <v>66</v>
      </c>
      <c r="B1957" t="s">
        <v>22</v>
      </c>
      <c r="C1957">
        <v>635</v>
      </c>
      <c r="D1957">
        <v>1</v>
      </c>
      <c r="E1957" t="s">
        <v>34</v>
      </c>
      <c r="F1957" t="s">
        <v>35</v>
      </c>
      <c r="G1957" t="str">
        <f>"2025-06-16 21:41:33.033"</f>
        <v>2025-06-16 21:41:33.033</v>
      </c>
      <c r="H1957" t="s">
        <v>21</v>
      </c>
    </row>
    <row r="1958" spans="1:10" x14ac:dyDescent="0.25">
      <c r="A1958" s="1">
        <v>67</v>
      </c>
      <c r="B1958" t="s">
        <v>36</v>
      </c>
      <c r="C1958">
        <v>635</v>
      </c>
      <c r="D1958">
        <v>1</v>
      </c>
      <c r="E1958" t="s">
        <v>34</v>
      </c>
      <c r="F1958" t="s">
        <v>35</v>
      </c>
      <c r="G1958" t="str">
        <f>"2025-06-16 21:38:14.033"</f>
        <v>2025-06-16 21:38:14.033</v>
      </c>
      <c r="H1958" t="s">
        <v>21</v>
      </c>
      <c r="I1958">
        <v>1.42</v>
      </c>
      <c r="J1958" t="s">
        <v>27</v>
      </c>
    </row>
    <row r="1959" spans="1:10" x14ac:dyDescent="0.25">
      <c r="A1959" s="1">
        <v>68</v>
      </c>
      <c r="B1959" t="s">
        <v>22</v>
      </c>
      <c r="C1959">
        <v>635</v>
      </c>
      <c r="D1959">
        <v>1</v>
      </c>
      <c r="E1959" t="s">
        <v>34</v>
      </c>
      <c r="F1959" t="s">
        <v>35</v>
      </c>
      <c r="G1959" t="str">
        <f>"2025-06-16 19:00:47.833"</f>
        <v>2025-06-16 19:00:47.833</v>
      </c>
      <c r="H1959" t="s">
        <v>21</v>
      </c>
    </row>
    <row r="1960" spans="1:10" x14ac:dyDescent="0.25">
      <c r="A1960" s="1">
        <v>69</v>
      </c>
      <c r="B1960" t="s">
        <v>36</v>
      </c>
      <c r="C1960">
        <v>635</v>
      </c>
      <c r="D1960">
        <v>1</v>
      </c>
      <c r="E1960" t="s">
        <v>34</v>
      </c>
      <c r="F1960" t="s">
        <v>35</v>
      </c>
      <c r="G1960" t="str">
        <f>"2025-06-16 18:57:59.333"</f>
        <v>2025-06-16 18:57:59.333</v>
      </c>
      <c r="H1960" t="s">
        <v>21</v>
      </c>
      <c r="I1960">
        <v>1.67</v>
      </c>
      <c r="J1960" t="s">
        <v>27</v>
      </c>
    </row>
    <row r="1961" spans="1:10" x14ac:dyDescent="0.25">
      <c r="A1961" s="1">
        <v>70</v>
      </c>
      <c r="B1961" t="s">
        <v>22</v>
      </c>
      <c r="C1961">
        <v>635</v>
      </c>
      <c r="D1961">
        <v>1</v>
      </c>
      <c r="E1961" t="s">
        <v>34</v>
      </c>
      <c r="F1961" t="s">
        <v>35</v>
      </c>
      <c r="G1961" t="str">
        <f>"2025-06-16 16:44:56.033"</f>
        <v>2025-06-16 16:44:56.033</v>
      </c>
      <c r="H1961" t="s">
        <v>21</v>
      </c>
    </row>
    <row r="1962" spans="1:10" x14ac:dyDescent="0.25">
      <c r="A1962" s="1">
        <v>71</v>
      </c>
      <c r="B1962" t="s">
        <v>36</v>
      </c>
      <c r="C1962">
        <v>635</v>
      </c>
      <c r="D1962">
        <v>1</v>
      </c>
      <c r="E1962" t="s">
        <v>34</v>
      </c>
      <c r="F1962" t="s">
        <v>35</v>
      </c>
      <c r="G1962" t="str">
        <f>"2025-06-16 16:38:15.533"</f>
        <v>2025-06-16 16:38:15.533</v>
      </c>
      <c r="H1962" t="s">
        <v>21</v>
      </c>
      <c r="I1962">
        <v>6.1</v>
      </c>
      <c r="J1962" t="s">
        <v>37</v>
      </c>
    </row>
    <row r="1963" spans="1:10" x14ac:dyDescent="0.25">
      <c r="A1963" s="1">
        <v>72</v>
      </c>
      <c r="B1963" t="s">
        <v>22</v>
      </c>
      <c r="C1963">
        <v>635</v>
      </c>
      <c r="D1963">
        <v>1</v>
      </c>
      <c r="E1963" t="s">
        <v>34</v>
      </c>
      <c r="F1963" t="s">
        <v>35</v>
      </c>
      <c r="G1963" t="str">
        <f>"2025-06-16 12:50:40.433"</f>
        <v>2025-06-16 12:50:40.433</v>
      </c>
      <c r="H1963" t="s">
        <v>21</v>
      </c>
    </row>
    <row r="1964" spans="1:10" x14ac:dyDescent="0.25">
      <c r="A1964" s="1">
        <v>73</v>
      </c>
      <c r="B1964" t="s">
        <v>36</v>
      </c>
      <c r="C1964">
        <v>635</v>
      </c>
      <c r="D1964">
        <v>1</v>
      </c>
      <c r="E1964" t="s">
        <v>34</v>
      </c>
      <c r="F1964" t="s">
        <v>35</v>
      </c>
      <c r="G1964" t="str">
        <f>"2025-06-16 12:43:20.433"</f>
        <v>2025-06-16 12:43:20.433</v>
      </c>
      <c r="H1964" t="s">
        <v>21</v>
      </c>
      <c r="I1964">
        <v>2.9</v>
      </c>
      <c r="J1964" t="s">
        <v>37</v>
      </c>
    </row>
    <row r="1965" spans="1:10" x14ac:dyDescent="0.25">
      <c r="A1965" s="1">
        <v>74</v>
      </c>
      <c r="B1965" t="s">
        <v>22</v>
      </c>
      <c r="C1965">
        <v>635</v>
      </c>
      <c r="D1965">
        <v>1</v>
      </c>
      <c r="E1965" t="s">
        <v>34</v>
      </c>
      <c r="F1965" t="s">
        <v>35</v>
      </c>
      <c r="G1965" t="str">
        <f>"2025-06-16 11:15:06.633"</f>
        <v>2025-06-16 11:15:06.633</v>
      </c>
      <c r="H1965" t="s">
        <v>21</v>
      </c>
    </row>
    <row r="1966" spans="1:10" x14ac:dyDescent="0.25">
      <c r="A1966" s="1">
        <v>75</v>
      </c>
      <c r="B1966" t="s">
        <v>36</v>
      </c>
      <c r="C1966">
        <v>635</v>
      </c>
      <c r="D1966">
        <v>1</v>
      </c>
      <c r="E1966" t="s">
        <v>34</v>
      </c>
      <c r="F1966" t="s">
        <v>35</v>
      </c>
      <c r="G1966" t="str">
        <f>"2025-06-16 11:08:15.133"</f>
        <v>2025-06-16 11:08:15.133</v>
      </c>
      <c r="H1966" t="s">
        <v>21</v>
      </c>
      <c r="I1966">
        <v>6.46</v>
      </c>
      <c r="J1966" t="s">
        <v>37</v>
      </c>
    </row>
    <row r="1967" spans="1:10" x14ac:dyDescent="0.25">
      <c r="A1967" s="1">
        <v>76</v>
      </c>
      <c r="B1967" t="s">
        <v>22</v>
      </c>
      <c r="C1967">
        <v>635</v>
      </c>
      <c r="D1967">
        <v>1</v>
      </c>
      <c r="E1967" t="s">
        <v>34</v>
      </c>
      <c r="F1967" t="s">
        <v>35</v>
      </c>
      <c r="G1967" t="str">
        <f>"2025-06-16 00:59:05.133"</f>
        <v>2025-06-16 00:59:05.133</v>
      </c>
      <c r="H1967" t="s">
        <v>21</v>
      </c>
    </row>
    <row r="1968" spans="1:10" x14ac:dyDescent="0.25">
      <c r="A1968" s="1">
        <v>77</v>
      </c>
      <c r="B1968" t="s">
        <v>36</v>
      </c>
      <c r="C1968">
        <v>635</v>
      </c>
      <c r="D1968">
        <v>1</v>
      </c>
      <c r="E1968" t="s">
        <v>34</v>
      </c>
      <c r="F1968" t="s">
        <v>35</v>
      </c>
      <c r="G1968" t="str">
        <f>"2025-06-16 00:51:56.133"</f>
        <v>2025-06-16 00:51:56.133</v>
      </c>
      <c r="H1968" t="s">
        <v>21</v>
      </c>
      <c r="I1968">
        <v>6.94</v>
      </c>
      <c r="J1968" t="s">
        <v>37</v>
      </c>
    </row>
    <row r="1969" spans="1:10" x14ac:dyDescent="0.25">
      <c r="A1969" s="1">
        <v>78</v>
      </c>
      <c r="B1969" t="s">
        <v>22</v>
      </c>
      <c r="C1969">
        <v>635</v>
      </c>
      <c r="D1969">
        <v>1</v>
      </c>
      <c r="E1969" t="s">
        <v>34</v>
      </c>
      <c r="F1969" t="s">
        <v>35</v>
      </c>
      <c r="G1969" t="str">
        <f>"2025-06-15 10:39:48.633"</f>
        <v>2025-06-15 10:39:48.633</v>
      </c>
      <c r="H1969" t="s">
        <v>21</v>
      </c>
    </row>
    <row r="1970" spans="1:10" x14ac:dyDescent="0.25">
      <c r="A1970" s="1">
        <v>79</v>
      </c>
      <c r="B1970" t="s">
        <v>36</v>
      </c>
      <c r="C1970">
        <v>635</v>
      </c>
      <c r="D1970">
        <v>1</v>
      </c>
      <c r="E1970" t="s">
        <v>34</v>
      </c>
      <c r="F1970" t="s">
        <v>35</v>
      </c>
      <c r="G1970" t="str">
        <f>"2025-06-15 10:31:50.133"</f>
        <v>2025-06-15 10:31:50.133</v>
      </c>
      <c r="H1970" t="s">
        <v>21</v>
      </c>
      <c r="I1970">
        <v>3.68</v>
      </c>
      <c r="J1970" t="s">
        <v>27</v>
      </c>
    </row>
    <row r="1971" spans="1:10" x14ac:dyDescent="0.25">
      <c r="A1971" s="1">
        <v>80</v>
      </c>
      <c r="B1971" t="s">
        <v>22</v>
      </c>
      <c r="C1971">
        <v>635</v>
      </c>
      <c r="D1971">
        <v>1</v>
      </c>
      <c r="E1971" t="s">
        <v>34</v>
      </c>
      <c r="F1971" t="s">
        <v>35</v>
      </c>
      <c r="G1971" t="str">
        <f>"2025-06-15 06:17:14.633"</f>
        <v>2025-06-15 06:17:14.633</v>
      </c>
      <c r="H1971" t="s">
        <v>21</v>
      </c>
    </row>
    <row r="1972" spans="1:10" x14ac:dyDescent="0.25">
      <c r="A1972" s="1">
        <v>81</v>
      </c>
      <c r="B1972" t="s">
        <v>36</v>
      </c>
      <c r="C1972">
        <v>635</v>
      </c>
      <c r="D1972">
        <v>1</v>
      </c>
      <c r="E1972" t="s">
        <v>34</v>
      </c>
      <c r="F1972" t="s">
        <v>35</v>
      </c>
      <c r="G1972" t="str">
        <f>"2025-06-15 06:10:08.633"</f>
        <v>2025-06-15 06:10:08.633</v>
      </c>
      <c r="H1972" t="s">
        <v>21</v>
      </c>
      <c r="I1972">
        <v>7.33</v>
      </c>
      <c r="J1972" t="s">
        <v>37</v>
      </c>
    </row>
    <row r="1973" spans="1:10" x14ac:dyDescent="0.25">
      <c r="A1973" s="1">
        <v>82</v>
      </c>
      <c r="B1973" t="s">
        <v>22</v>
      </c>
      <c r="C1973">
        <v>635</v>
      </c>
      <c r="D1973">
        <v>1</v>
      </c>
      <c r="E1973" t="s">
        <v>34</v>
      </c>
      <c r="F1973" t="s">
        <v>35</v>
      </c>
      <c r="G1973" t="str">
        <f>"2025-06-14 11:28:53.033"</f>
        <v>2025-06-14 11:28:53.033</v>
      </c>
      <c r="H1973" t="s">
        <v>21</v>
      </c>
    </row>
    <row r="1974" spans="1:10" x14ac:dyDescent="0.25">
      <c r="A1974" s="1">
        <v>83</v>
      </c>
      <c r="B1974" t="s">
        <v>36</v>
      </c>
      <c r="C1974">
        <v>635</v>
      </c>
      <c r="D1974">
        <v>1</v>
      </c>
      <c r="E1974" t="s">
        <v>34</v>
      </c>
      <c r="F1974" t="s">
        <v>35</v>
      </c>
      <c r="G1974" t="str">
        <f>"2025-06-14 11:24:00.533"</f>
        <v>2025-06-14 11:24:00.533</v>
      </c>
      <c r="H1974" t="s">
        <v>21</v>
      </c>
      <c r="I1974">
        <v>7.71</v>
      </c>
      <c r="J1974" t="s">
        <v>37</v>
      </c>
    </row>
    <row r="1975" spans="1:10" x14ac:dyDescent="0.25">
      <c r="A1975" s="1">
        <v>84</v>
      </c>
      <c r="B1975" t="s">
        <v>22</v>
      </c>
      <c r="C1975">
        <v>635</v>
      </c>
      <c r="D1975">
        <v>1</v>
      </c>
      <c r="E1975" t="s">
        <v>34</v>
      </c>
      <c r="F1975" t="s">
        <v>35</v>
      </c>
      <c r="G1975" t="str">
        <f>"2025-06-14 09:47:34.233"</f>
        <v>2025-06-14 09:47:34.233</v>
      </c>
      <c r="H1975" t="s">
        <v>21</v>
      </c>
    </row>
    <row r="1976" spans="1:10" x14ac:dyDescent="0.25">
      <c r="A1976" s="1">
        <v>85</v>
      </c>
      <c r="B1976" t="s">
        <v>36</v>
      </c>
      <c r="C1976">
        <v>635</v>
      </c>
      <c r="D1976">
        <v>1</v>
      </c>
      <c r="E1976" t="s">
        <v>34</v>
      </c>
      <c r="F1976" t="s">
        <v>35</v>
      </c>
      <c r="G1976" t="str">
        <f>"2025-06-14 09:42:39.733"</f>
        <v>2025-06-14 09:42:39.733</v>
      </c>
      <c r="H1976" t="s">
        <v>21</v>
      </c>
      <c r="I1976">
        <v>6.7</v>
      </c>
      <c r="J1976" t="s">
        <v>27</v>
      </c>
    </row>
    <row r="1977" spans="1:10" x14ac:dyDescent="0.25">
      <c r="A1977" s="1">
        <v>86</v>
      </c>
      <c r="B1977" t="s">
        <v>22</v>
      </c>
      <c r="C1977">
        <v>635</v>
      </c>
      <c r="D1977">
        <v>1</v>
      </c>
      <c r="E1977" t="s">
        <v>34</v>
      </c>
      <c r="F1977" t="s">
        <v>35</v>
      </c>
      <c r="G1977" t="str">
        <f>"2025-06-14 08:44:42.833"</f>
        <v>2025-06-14 08:44:42.833</v>
      </c>
      <c r="H1977" t="s">
        <v>21</v>
      </c>
    </row>
    <row r="1978" spans="1:10" x14ac:dyDescent="0.25">
      <c r="A1978" s="1">
        <v>87</v>
      </c>
      <c r="B1978" t="s">
        <v>36</v>
      </c>
      <c r="C1978">
        <v>635</v>
      </c>
      <c r="D1978">
        <v>1</v>
      </c>
      <c r="E1978" t="s">
        <v>34</v>
      </c>
      <c r="F1978" t="s">
        <v>35</v>
      </c>
      <c r="G1978" t="str">
        <f>"2025-06-14 08:40:02.333"</f>
        <v>2025-06-14 08:40:02.333</v>
      </c>
      <c r="H1978" t="s">
        <v>21</v>
      </c>
      <c r="I1978">
        <v>7.28</v>
      </c>
      <c r="J1978" t="s">
        <v>37</v>
      </c>
    </row>
    <row r="1979" spans="1:10" x14ac:dyDescent="0.25">
      <c r="A1979" s="1">
        <v>88</v>
      </c>
      <c r="B1979" t="s">
        <v>22</v>
      </c>
      <c r="C1979">
        <v>635</v>
      </c>
      <c r="D1979">
        <v>1</v>
      </c>
      <c r="E1979" t="s">
        <v>34</v>
      </c>
      <c r="F1979" t="s">
        <v>35</v>
      </c>
      <c r="G1979" t="str">
        <f>"2025-06-13 14:50:10.633"</f>
        <v>2025-06-13 14:50:10.633</v>
      </c>
      <c r="H1979" t="s">
        <v>21</v>
      </c>
    </row>
    <row r="1980" spans="1:10" x14ac:dyDescent="0.25">
      <c r="A1980" s="1">
        <v>89</v>
      </c>
      <c r="B1980" t="s">
        <v>36</v>
      </c>
      <c r="C1980">
        <v>635</v>
      </c>
      <c r="D1980">
        <v>1</v>
      </c>
      <c r="E1980" t="s">
        <v>34</v>
      </c>
      <c r="F1980" t="s">
        <v>35</v>
      </c>
      <c r="G1980" t="str">
        <f>"2025-06-13 14:27:32.733"</f>
        <v>2025-06-13 14:27:32.733</v>
      </c>
      <c r="H1980" t="s">
        <v>21</v>
      </c>
      <c r="I1980">
        <v>4.7300000000000004</v>
      </c>
      <c r="J1980" t="s">
        <v>37</v>
      </c>
    </row>
    <row r="1981" spans="1:10" x14ac:dyDescent="0.25">
      <c r="A1981" s="1">
        <v>90</v>
      </c>
      <c r="B1981" t="s">
        <v>22</v>
      </c>
      <c r="C1981">
        <v>635</v>
      </c>
      <c r="D1981">
        <v>1</v>
      </c>
      <c r="E1981" t="s">
        <v>34</v>
      </c>
      <c r="F1981" t="s">
        <v>35</v>
      </c>
      <c r="G1981" t="str">
        <f>"2025-06-13 05:17:00.133"</f>
        <v>2025-06-13 05:17:00.133</v>
      </c>
      <c r="H1981" t="s">
        <v>21</v>
      </c>
    </row>
    <row r="1982" spans="1:10" x14ac:dyDescent="0.25">
      <c r="A1982" s="1">
        <v>91</v>
      </c>
      <c r="B1982" t="s">
        <v>36</v>
      </c>
      <c r="C1982">
        <v>635</v>
      </c>
      <c r="D1982">
        <v>1</v>
      </c>
      <c r="E1982" t="s">
        <v>34</v>
      </c>
      <c r="F1982" t="s">
        <v>35</v>
      </c>
      <c r="G1982" t="str">
        <f>"2025-06-13 05:10:32.133"</f>
        <v>2025-06-13 05:10:32.133</v>
      </c>
      <c r="H1982" t="s">
        <v>21</v>
      </c>
      <c r="I1982">
        <v>6.32</v>
      </c>
      <c r="J1982" t="s">
        <v>37</v>
      </c>
    </row>
    <row r="1983" spans="1:10" x14ac:dyDescent="0.25">
      <c r="A1983" s="1">
        <v>92</v>
      </c>
      <c r="B1983" t="s">
        <v>22</v>
      </c>
      <c r="C1983">
        <v>635</v>
      </c>
      <c r="D1983">
        <v>1</v>
      </c>
      <c r="E1983" t="s">
        <v>34</v>
      </c>
      <c r="F1983" t="s">
        <v>35</v>
      </c>
      <c r="G1983" t="str">
        <f>"2025-06-12 17:50:21.333"</f>
        <v>2025-06-12 17:50:21.333</v>
      </c>
      <c r="H1983" t="s">
        <v>21</v>
      </c>
    </row>
    <row r="1984" spans="1:10" x14ac:dyDescent="0.25">
      <c r="A1984" s="1">
        <v>93</v>
      </c>
      <c r="B1984" t="s">
        <v>36</v>
      </c>
      <c r="C1984">
        <v>635</v>
      </c>
      <c r="D1984">
        <v>1</v>
      </c>
      <c r="E1984" t="s">
        <v>34</v>
      </c>
      <c r="F1984" t="s">
        <v>35</v>
      </c>
      <c r="G1984" t="str">
        <f>"2025-06-12 17:48:00.333"</f>
        <v>2025-06-12 17:48:00.333</v>
      </c>
      <c r="H1984" t="s">
        <v>21</v>
      </c>
      <c r="I1984">
        <v>6.68</v>
      </c>
      <c r="J1984" t="s">
        <v>27</v>
      </c>
    </row>
    <row r="1985" spans="1:10" x14ac:dyDescent="0.25">
      <c r="A1985" s="1">
        <v>94</v>
      </c>
      <c r="B1985" t="s">
        <v>19</v>
      </c>
      <c r="C1985">
        <v>706</v>
      </c>
      <c r="D1985">
        <v>4</v>
      </c>
      <c r="E1985" t="s">
        <v>29</v>
      </c>
      <c r="F1985" t="s">
        <v>53</v>
      </c>
      <c r="G1985" t="str">
        <f>"2025-06-11 10:23:58.975"</f>
        <v>2025-06-11 10:23:58.975</v>
      </c>
      <c r="H1985" t="s">
        <v>21</v>
      </c>
      <c r="I1985">
        <v>0</v>
      </c>
      <c r="J1985" t="s">
        <v>31</v>
      </c>
    </row>
    <row r="1986" spans="1:10" x14ac:dyDescent="0.25">
      <c r="A1986" s="1">
        <v>95</v>
      </c>
      <c r="B1986" t="s">
        <v>22</v>
      </c>
      <c r="C1986">
        <v>635</v>
      </c>
      <c r="D1986">
        <v>1</v>
      </c>
      <c r="E1986" t="s">
        <v>34</v>
      </c>
      <c r="F1986" t="s">
        <v>35</v>
      </c>
      <c r="G1986" t="str">
        <f>"2025-06-10 02:08:41.333"</f>
        <v>2025-06-10 02:08:41.333</v>
      </c>
      <c r="H1986" t="s">
        <v>21</v>
      </c>
    </row>
    <row r="1987" spans="1:10" x14ac:dyDescent="0.25">
      <c r="A1987" s="1">
        <v>96</v>
      </c>
      <c r="B1987" t="s">
        <v>36</v>
      </c>
      <c r="C1987">
        <v>635</v>
      </c>
      <c r="D1987">
        <v>1</v>
      </c>
      <c r="E1987" t="s">
        <v>34</v>
      </c>
      <c r="F1987" t="s">
        <v>35</v>
      </c>
      <c r="G1987" t="str">
        <f>"2025-06-10 01:59:54.333"</f>
        <v>2025-06-10 01:59:54.333</v>
      </c>
      <c r="H1987" t="s">
        <v>21</v>
      </c>
      <c r="I1987">
        <v>0.23</v>
      </c>
      <c r="J1987" t="s">
        <v>37</v>
      </c>
    </row>
    <row r="1988" spans="1:10" x14ac:dyDescent="0.25">
      <c r="A1988" s="1">
        <v>97</v>
      </c>
      <c r="B1988" t="s">
        <v>19</v>
      </c>
      <c r="C1988">
        <v>706</v>
      </c>
      <c r="D1988">
        <v>2</v>
      </c>
      <c r="E1988" t="s">
        <v>29</v>
      </c>
      <c r="F1988" t="s">
        <v>30</v>
      </c>
      <c r="G1988" t="str">
        <f>"2025-06-09 20:15:02.915"</f>
        <v>2025-06-09 20:15:02.915</v>
      </c>
      <c r="H1988" t="s">
        <v>21</v>
      </c>
      <c r="I1988">
        <v>0</v>
      </c>
      <c r="J1988" t="s">
        <v>31</v>
      </c>
    </row>
    <row r="1989" spans="1:10" x14ac:dyDescent="0.25">
      <c r="A1989" s="1">
        <v>98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"2025-06-09 20:14:18.165"</f>
        <v>2025-06-09 20:14:18.165</v>
      </c>
      <c r="H1989" t="s">
        <v>21</v>
      </c>
      <c r="I1989">
        <v>0</v>
      </c>
      <c r="J1989" t="s">
        <v>33</v>
      </c>
    </row>
    <row r="1990" spans="1:10" x14ac:dyDescent="0.25">
      <c r="A1990" s="1">
        <v>99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"2025-06-09 19:19:37.237"</f>
        <v>2025-06-09 19:19:37.237</v>
      </c>
      <c r="H1990" t="s">
        <v>21</v>
      </c>
      <c r="I1990">
        <v>0</v>
      </c>
      <c r="J1990" t="s">
        <v>33</v>
      </c>
    </row>
    <row r="1991" spans="1:10" x14ac:dyDescent="0.25">
      <c r="A1991" s="1">
        <v>100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"2025-06-09 19:16:47.162"</f>
        <v>2025-06-09 19:16:47.162</v>
      </c>
      <c r="H1991" t="s">
        <v>21</v>
      </c>
      <c r="I1991">
        <v>0</v>
      </c>
      <c r="J1991" t="s">
        <v>33</v>
      </c>
    </row>
    <row r="1992" spans="1:10" x14ac:dyDescent="0.25">
      <c r="A1992" s="1">
        <v>101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"2025-06-09 19:12:42.161"</f>
        <v>2025-06-09 19:12:42.161</v>
      </c>
      <c r="H1992" t="s">
        <v>21</v>
      </c>
      <c r="I1992">
        <v>0</v>
      </c>
      <c r="J1992" t="s">
        <v>33</v>
      </c>
    </row>
    <row r="1993" spans="1:10" x14ac:dyDescent="0.25">
      <c r="A1993" s="1">
        <v>102</v>
      </c>
      <c r="B1993" t="s">
        <v>19</v>
      </c>
      <c r="C1993">
        <v>700</v>
      </c>
      <c r="D1993">
        <v>0</v>
      </c>
      <c r="E1993" t="s">
        <v>20</v>
      </c>
      <c r="F1993" t="s">
        <v>20</v>
      </c>
      <c r="G1993" t="str">
        <f>"2025-06-09 18:52:37.163"</f>
        <v>2025-06-09 18:52:37.163</v>
      </c>
      <c r="H1993" t="s">
        <v>21</v>
      </c>
    </row>
    <row r="1994" spans="1:10" x14ac:dyDescent="0.25">
      <c r="A1994" s="1">
        <v>103</v>
      </c>
      <c r="B1994" t="s">
        <v>19</v>
      </c>
      <c r="C1994">
        <v>700</v>
      </c>
      <c r="D1994">
        <v>0</v>
      </c>
      <c r="E1994" t="s">
        <v>20</v>
      </c>
      <c r="F1994" t="s">
        <v>20</v>
      </c>
      <c r="G1994" t="str">
        <f>"2025-06-09 18:45:46.167"</f>
        <v>2025-06-09 18:45:46.167</v>
      </c>
      <c r="H1994" t="s">
        <v>21</v>
      </c>
      <c r="I1994">
        <v>0</v>
      </c>
      <c r="J1994" t="s">
        <v>33</v>
      </c>
    </row>
    <row r="1995" spans="1:10" x14ac:dyDescent="0.25">
      <c r="A1995" s="1">
        <v>104</v>
      </c>
      <c r="B1995" t="s">
        <v>19</v>
      </c>
      <c r="C1995">
        <v>700</v>
      </c>
      <c r="D1995">
        <v>0</v>
      </c>
      <c r="E1995" t="s">
        <v>20</v>
      </c>
      <c r="F1995" t="s">
        <v>20</v>
      </c>
      <c r="G1995" t="str">
        <f>"2025-06-09 18:44:00.177"</f>
        <v>2025-06-09 18:44:00.177</v>
      </c>
      <c r="H1995" t="s">
        <v>21</v>
      </c>
      <c r="I1995">
        <v>0</v>
      </c>
      <c r="J1995" t="s">
        <v>33</v>
      </c>
    </row>
    <row r="1996" spans="1:10" x14ac:dyDescent="0.25">
      <c r="A1996" s="1">
        <v>105</v>
      </c>
      <c r="B1996" t="s">
        <v>19</v>
      </c>
      <c r="C1996">
        <v>706</v>
      </c>
      <c r="D1996">
        <v>4</v>
      </c>
      <c r="E1996" t="s">
        <v>29</v>
      </c>
      <c r="F1996" t="s">
        <v>53</v>
      </c>
      <c r="G1996" t="str">
        <f>"2025-06-09 18:35:39.052"</f>
        <v>2025-06-09 18:35:39.052</v>
      </c>
      <c r="H1996" t="s">
        <v>21</v>
      </c>
      <c r="I1996">
        <v>0</v>
      </c>
      <c r="J1996" t="s">
        <v>31</v>
      </c>
    </row>
    <row r="1997" spans="1:10" x14ac:dyDescent="0.25">
      <c r="A1997" s="1">
        <v>106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"2025-06-09 18:32:30.162"</f>
        <v>2025-06-09 18:32:30.162</v>
      </c>
      <c r="H1997" t="s">
        <v>21</v>
      </c>
      <c r="I1997">
        <v>0</v>
      </c>
      <c r="J1997" t="s">
        <v>33</v>
      </c>
    </row>
    <row r="1998" spans="1:10" x14ac:dyDescent="0.25">
      <c r="A1998" s="1">
        <v>107</v>
      </c>
      <c r="B1998" t="s">
        <v>19</v>
      </c>
      <c r="C1998">
        <v>706</v>
      </c>
      <c r="D1998">
        <v>2</v>
      </c>
      <c r="E1998" t="s">
        <v>29</v>
      </c>
      <c r="F1998" t="s">
        <v>30</v>
      </c>
      <c r="G1998" t="str">
        <f>"2025-06-09 18:00:01.311"</f>
        <v>2025-06-09 18:00:01.311</v>
      </c>
      <c r="H1998" t="s">
        <v>21</v>
      </c>
      <c r="I1998">
        <v>0</v>
      </c>
      <c r="J1998" t="s">
        <v>31</v>
      </c>
    </row>
    <row r="1999" spans="1:10" x14ac:dyDescent="0.25">
      <c r="A1999" s="1">
        <v>108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"2025-06-09 17:57:45.161"</f>
        <v>2025-06-09 17:57:45.161</v>
      </c>
      <c r="H1999" t="s">
        <v>21</v>
      </c>
      <c r="I1999">
        <v>0</v>
      </c>
      <c r="J1999" t="s">
        <v>33</v>
      </c>
    </row>
    <row r="2000" spans="1:10" x14ac:dyDescent="0.25">
      <c r="A2000" s="1">
        <v>109</v>
      </c>
      <c r="B2000" t="s">
        <v>19</v>
      </c>
      <c r="C2000">
        <v>700</v>
      </c>
      <c r="D2000">
        <v>0</v>
      </c>
      <c r="E2000" t="s">
        <v>20</v>
      </c>
      <c r="F2000" t="s">
        <v>20</v>
      </c>
      <c r="G2000" t="str">
        <f>"2025-06-09 17:33:12.374"</f>
        <v>2025-06-09 17:33:12.374</v>
      </c>
      <c r="H2000" t="s">
        <v>21</v>
      </c>
    </row>
    <row r="2001" spans="1:10" x14ac:dyDescent="0.25">
      <c r="A2001" s="1">
        <v>110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"2025-06-09 16:16:04.158"</f>
        <v>2025-06-09 16:16:04.158</v>
      </c>
      <c r="H2001" t="s">
        <v>21</v>
      </c>
    </row>
    <row r="2002" spans="1:10" x14ac:dyDescent="0.25">
      <c r="A2002" s="1">
        <v>111</v>
      </c>
      <c r="B2002" t="s">
        <v>19</v>
      </c>
      <c r="C2002">
        <v>706</v>
      </c>
      <c r="D2002">
        <v>2</v>
      </c>
      <c r="E2002" t="s">
        <v>29</v>
      </c>
      <c r="F2002" t="s">
        <v>30</v>
      </c>
      <c r="G2002" t="str">
        <f>"2025-06-09 14:02:13.961"</f>
        <v>2025-06-09 14:02:13.961</v>
      </c>
      <c r="H2002" t="s">
        <v>21</v>
      </c>
      <c r="I2002">
        <v>0</v>
      </c>
      <c r="J2002" t="s">
        <v>31</v>
      </c>
    </row>
    <row r="2003" spans="1:10" x14ac:dyDescent="0.25">
      <c r="A2003" s="1">
        <v>112</v>
      </c>
      <c r="B2003" t="s">
        <v>19</v>
      </c>
      <c r="C2003">
        <v>700</v>
      </c>
      <c r="D2003">
        <v>0</v>
      </c>
      <c r="E2003" t="s">
        <v>20</v>
      </c>
      <c r="F2003" t="s">
        <v>20</v>
      </c>
      <c r="G2003" t="str">
        <f>"2025-06-09 14:01:58.181"</f>
        <v>2025-06-09 14:01:58.181</v>
      </c>
      <c r="H2003" t="s">
        <v>21</v>
      </c>
    </row>
    <row r="2004" spans="1:10" x14ac:dyDescent="0.25">
      <c r="A2004" s="1">
        <v>113</v>
      </c>
      <c r="B2004" t="s">
        <v>22</v>
      </c>
      <c r="C2004">
        <v>635</v>
      </c>
      <c r="D2004">
        <v>1</v>
      </c>
      <c r="E2004" t="s">
        <v>34</v>
      </c>
      <c r="F2004" t="s">
        <v>35</v>
      </c>
      <c r="G2004" t="str">
        <f>"2025-06-09 08:08:58.862"</f>
        <v>2025-06-09 08:08:58.862</v>
      </c>
      <c r="H2004" t="s">
        <v>21</v>
      </c>
    </row>
    <row r="2005" spans="1:10" x14ac:dyDescent="0.25">
      <c r="A2005" s="1">
        <v>114</v>
      </c>
      <c r="B2005" t="s">
        <v>36</v>
      </c>
      <c r="C2005">
        <v>635</v>
      </c>
      <c r="D2005">
        <v>1</v>
      </c>
      <c r="E2005" t="s">
        <v>34</v>
      </c>
      <c r="F2005" t="s">
        <v>35</v>
      </c>
      <c r="G2005" t="str">
        <f>"2025-06-09 08:06:56.862"</f>
        <v>2025-06-09 08:06:56.862</v>
      </c>
      <c r="H2005" t="s">
        <v>21</v>
      </c>
      <c r="I2005">
        <v>3.22</v>
      </c>
      <c r="J2005" t="s">
        <v>37</v>
      </c>
    </row>
    <row r="2006" spans="1:10" x14ac:dyDescent="0.25">
      <c r="A2006" s="1">
        <v>115</v>
      </c>
      <c r="B2006" t="s">
        <v>22</v>
      </c>
      <c r="C2006">
        <v>635</v>
      </c>
      <c r="D2006">
        <v>1</v>
      </c>
      <c r="E2006" t="s">
        <v>34</v>
      </c>
      <c r="F2006" t="s">
        <v>35</v>
      </c>
      <c r="G2006" t="str">
        <f>"2025-06-09 07:57:25.862"</f>
        <v>2025-06-09 07:57:25.862</v>
      </c>
      <c r="H2006" t="s">
        <v>21</v>
      </c>
    </row>
    <row r="2007" spans="1:10" x14ac:dyDescent="0.25">
      <c r="A2007" s="1">
        <v>116</v>
      </c>
      <c r="B2007" t="s">
        <v>36</v>
      </c>
      <c r="C2007">
        <v>635</v>
      </c>
      <c r="D2007">
        <v>1</v>
      </c>
      <c r="E2007" t="s">
        <v>34</v>
      </c>
      <c r="F2007" t="s">
        <v>35</v>
      </c>
      <c r="G2007" t="str">
        <f>"2025-06-09 07:55:11.862"</f>
        <v>2025-06-09 07:55:11.862</v>
      </c>
      <c r="H2007" t="s">
        <v>21</v>
      </c>
      <c r="I2007">
        <v>2.44</v>
      </c>
      <c r="J2007" t="s">
        <v>27</v>
      </c>
    </row>
    <row r="2008" spans="1:10" x14ac:dyDescent="0.25">
      <c r="A2008" s="1">
        <v>117</v>
      </c>
      <c r="B2008" t="s">
        <v>22</v>
      </c>
      <c r="C2008">
        <v>635</v>
      </c>
      <c r="D2008">
        <v>1</v>
      </c>
      <c r="E2008" t="s">
        <v>34</v>
      </c>
      <c r="F2008" t="s">
        <v>35</v>
      </c>
      <c r="G2008" t="str">
        <f>"2025-06-08 11:47:55.862"</f>
        <v>2025-06-08 11:47:55.862</v>
      </c>
      <c r="H2008" t="s">
        <v>21</v>
      </c>
    </row>
    <row r="2009" spans="1:10" x14ac:dyDescent="0.25">
      <c r="A2009" s="1">
        <v>118</v>
      </c>
      <c r="B2009" t="s">
        <v>36</v>
      </c>
      <c r="C2009">
        <v>635</v>
      </c>
      <c r="D2009">
        <v>1</v>
      </c>
      <c r="E2009" t="s">
        <v>34</v>
      </c>
      <c r="F2009" t="s">
        <v>35</v>
      </c>
      <c r="G2009" t="str">
        <f>"2025-06-08 11:42:37.462"</f>
        <v>2025-06-08 11:42:37.462</v>
      </c>
      <c r="H2009" t="s">
        <v>21</v>
      </c>
      <c r="I2009">
        <v>4.3099999999999996</v>
      </c>
      <c r="J2009" t="s">
        <v>37</v>
      </c>
    </row>
    <row r="2010" spans="1:10" x14ac:dyDescent="0.25">
      <c r="A2010" s="1">
        <v>119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"2025-06-06 15:19:30.154"</f>
        <v>2025-06-06 15:19:30.154</v>
      </c>
      <c r="H2010" t="s">
        <v>21</v>
      </c>
    </row>
    <row r="2011" spans="1:10" x14ac:dyDescent="0.25">
      <c r="A2011" s="1">
        <v>120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"2025-06-06 15:03:00.233"</f>
        <v>2025-06-06 15:03:00.233</v>
      </c>
      <c r="H2011" t="s">
        <v>21</v>
      </c>
      <c r="I2011">
        <v>0</v>
      </c>
      <c r="J2011" t="s">
        <v>33</v>
      </c>
    </row>
    <row r="2012" spans="1:10" x14ac:dyDescent="0.25">
      <c r="A2012" s="1">
        <v>121</v>
      </c>
      <c r="B2012" t="s">
        <v>22</v>
      </c>
      <c r="C2012">
        <v>635</v>
      </c>
      <c r="D2012">
        <v>1</v>
      </c>
      <c r="E2012" t="s">
        <v>34</v>
      </c>
      <c r="F2012" t="s">
        <v>35</v>
      </c>
      <c r="G2012" t="str">
        <f>"2025-06-06 04:02:15.947"</f>
        <v>2025-06-06 04:02:15.947</v>
      </c>
      <c r="H2012" t="s">
        <v>21</v>
      </c>
    </row>
    <row r="2013" spans="1:10" x14ac:dyDescent="0.25">
      <c r="A2013" s="1">
        <v>122</v>
      </c>
      <c r="B2013" t="s">
        <v>36</v>
      </c>
      <c r="C2013">
        <v>635</v>
      </c>
      <c r="D2013">
        <v>1</v>
      </c>
      <c r="E2013" t="s">
        <v>34</v>
      </c>
      <c r="F2013" t="s">
        <v>35</v>
      </c>
      <c r="G2013" t="str">
        <f>"2025-06-06 03:57:16.947"</f>
        <v>2025-06-06 03:57:16.947</v>
      </c>
      <c r="H2013" t="s">
        <v>21</v>
      </c>
      <c r="I2013">
        <v>2.87</v>
      </c>
      <c r="J2013" t="s">
        <v>37</v>
      </c>
    </row>
    <row r="2014" spans="1:10" x14ac:dyDescent="0.25">
      <c r="A2014" s="1">
        <v>123</v>
      </c>
      <c r="B2014" t="s">
        <v>22</v>
      </c>
      <c r="C2014">
        <v>635</v>
      </c>
      <c r="D2014">
        <v>1</v>
      </c>
      <c r="E2014" t="s">
        <v>34</v>
      </c>
      <c r="F2014" t="s">
        <v>35</v>
      </c>
      <c r="G2014" t="str">
        <f>"2025-06-04 22:11:09.547"</f>
        <v>2025-06-04 22:11:09.547</v>
      </c>
      <c r="H2014" t="s">
        <v>21</v>
      </c>
    </row>
    <row r="2015" spans="1:10" x14ac:dyDescent="0.25">
      <c r="A2015" s="1">
        <v>124</v>
      </c>
      <c r="B2015" t="s">
        <v>36</v>
      </c>
      <c r="C2015">
        <v>635</v>
      </c>
      <c r="D2015">
        <v>1</v>
      </c>
      <c r="E2015" t="s">
        <v>34</v>
      </c>
      <c r="F2015" t="s">
        <v>35</v>
      </c>
      <c r="G2015" t="str">
        <f>"2025-06-04 22:07:28.547"</f>
        <v>2025-06-04 22:07:28.547</v>
      </c>
      <c r="H2015" t="s">
        <v>21</v>
      </c>
      <c r="I2015">
        <v>2.68</v>
      </c>
      <c r="J2015" t="s">
        <v>27</v>
      </c>
    </row>
    <row r="2016" spans="1:10" x14ac:dyDescent="0.25">
      <c r="A2016" s="1">
        <v>125</v>
      </c>
      <c r="B2016" t="s">
        <v>56</v>
      </c>
      <c r="C2016">
        <v>33</v>
      </c>
      <c r="D2016">
        <v>1</v>
      </c>
      <c r="E2016" t="s">
        <v>76</v>
      </c>
      <c r="F2016" t="s">
        <v>77</v>
      </c>
      <c r="G2016" t="str">
        <f>"2025-06-04 07:48:45.900"</f>
        <v>2025-06-04 07:48:45.900</v>
      </c>
      <c r="H2016" t="s">
        <v>78</v>
      </c>
    </row>
    <row r="2017" spans="1:10" x14ac:dyDescent="0.25">
      <c r="A2017" s="1">
        <v>126</v>
      </c>
      <c r="B2017" t="s">
        <v>26</v>
      </c>
      <c r="C2017">
        <v>33</v>
      </c>
      <c r="D2017">
        <v>1</v>
      </c>
      <c r="E2017" t="s">
        <v>76</v>
      </c>
      <c r="F2017" t="s">
        <v>77</v>
      </c>
      <c r="G2017" t="str">
        <f>"2025-06-04 07:48:21.899"</f>
        <v>2025-06-04 07:48:21.899</v>
      </c>
      <c r="H2017" t="s">
        <v>78</v>
      </c>
      <c r="I2017">
        <v>11.7</v>
      </c>
      <c r="J2017" t="s">
        <v>37</v>
      </c>
    </row>
    <row r="2018" spans="1:10" x14ac:dyDescent="0.25">
      <c r="A2018" s="1">
        <v>127</v>
      </c>
      <c r="B2018" t="s">
        <v>22</v>
      </c>
      <c r="C2018">
        <v>635</v>
      </c>
      <c r="D2018">
        <v>1</v>
      </c>
      <c r="E2018" t="s">
        <v>34</v>
      </c>
      <c r="F2018" t="s">
        <v>35</v>
      </c>
      <c r="G2018" t="str">
        <f>"2025-06-03 11:33:09.147"</f>
        <v>2025-06-03 11:33:09.147</v>
      </c>
      <c r="H2018" t="s">
        <v>21</v>
      </c>
    </row>
    <row r="2019" spans="1:10" x14ac:dyDescent="0.25">
      <c r="A2019" s="1">
        <v>128</v>
      </c>
      <c r="B2019" t="s">
        <v>36</v>
      </c>
      <c r="C2019">
        <v>635</v>
      </c>
      <c r="D2019">
        <v>1</v>
      </c>
      <c r="E2019" t="s">
        <v>34</v>
      </c>
      <c r="F2019" t="s">
        <v>35</v>
      </c>
      <c r="G2019" t="str">
        <f>"2025-06-03 11:23:34.147"</f>
        <v>2025-06-03 11:23:34.147</v>
      </c>
      <c r="H2019" t="s">
        <v>21</v>
      </c>
      <c r="I2019">
        <v>3.17</v>
      </c>
      <c r="J2019" t="s">
        <v>37</v>
      </c>
    </row>
    <row r="2020" spans="1:10" x14ac:dyDescent="0.25">
      <c r="A2020" s="1">
        <v>130</v>
      </c>
      <c r="B2020" t="s">
        <v>22</v>
      </c>
      <c r="C2020">
        <v>635</v>
      </c>
      <c r="D2020">
        <v>1</v>
      </c>
      <c r="E2020" t="s">
        <v>34</v>
      </c>
      <c r="F2020" t="s">
        <v>35</v>
      </c>
      <c r="G2020" t="str">
        <f>"2025-06-02 19:12:56.847"</f>
        <v>2025-06-02 19:12:56.847</v>
      </c>
      <c r="H2020" t="s">
        <v>21</v>
      </c>
    </row>
    <row r="2021" spans="1:10" x14ac:dyDescent="0.25">
      <c r="A2021" s="1">
        <v>131</v>
      </c>
      <c r="B2021" t="s">
        <v>36</v>
      </c>
      <c r="C2021">
        <v>635</v>
      </c>
      <c r="D2021">
        <v>1</v>
      </c>
      <c r="E2021" t="s">
        <v>34</v>
      </c>
      <c r="F2021" t="s">
        <v>35</v>
      </c>
      <c r="G2021" t="str">
        <f>"2025-06-02 19:05:48.847"</f>
        <v>2025-06-02 19:05:48.847</v>
      </c>
      <c r="H2021" t="s">
        <v>21</v>
      </c>
      <c r="I2021">
        <v>6.88</v>
      </c>
      <c r="J2021" t="s">
        <v>37</v>
      </c>
    </row>
    <row r="2022" spans="1:10" x14ac:dyDescent="0.25">
      <c r="A2022" s="1">
        <v>133</v>
      </c>
      <c r="B2022" t="s">
        <v>22</v>
      </c>
      <c r="C2022">
        <v>635</v>
      </c>
      <c r="D2022">
        <v>1</v>
      </c>
      <c r="E2022" t="s">
        <v>34</v>
      </c>
      <c r="F2022" t="s">
        <v>35</v>
      </c>
      <c r="G2022" t="str">
        <f>"2025-06-02 16:01:23.147"</f>
        <v>2025-06-02 16:01:23.147</v>
      </c>
      <c r="H2022" t="s">
        <v>21</v>
      </c>
    </row>
    <row r="2023" spans="1:10" x14ac:dyDescent="0.25">
      <c r="A2023" s="1">
        <v>134</v>
      </c>
      <c r="B2023" t="s">
        <v>36</v>
      </c>
      <c r="C2023">
        <v>635</v>
      </c>
      <c r="D2023">
        <v>1</v>
      </c>
      <c r="E2023" t="s">
        <v>34</v>
      </c>
      <c r="F2023" t="s">
        <v>35</v>
      </c>
      <c r="G2023" t="str">
        <f>"2025-06-02 15:53:49.647"</f>
        <v>2025-06-02 15:53:49.647</v>
      </c>
      <c r="H2023" t="s">
        <v>21</v>
      </c>
      <c r="I2023">
        <v>5.91</v>
      </c>
      <c r="J2023" t="s">
        <v>37</v>
      </c>
    </row>
    <row r="2024" spans="1:10" x14ac:dyDescent="0.25">
      <c r="A2024" s="1">
        <v>135</v>
      </c>
      <c r="B2024" t="s">
        <v>22</v>
      </c>
      <c r="C2024">
        <v>635</v>
      </c>
      <c r="D2024">
        <v>1</v>
      </c>
      <c r="E2024" t="s">
        <v>34</v>
      </c>
      <c r="F2024" t="s">
        <v>35</v>
      </c>
      <c r="G2024" t="str">
        <f>"2025-05-31 21:17:39.547"</f>
        <v>2025-05-31 21:17:39.547</v>
      </c>
      <c r="H2024" t="s">
        <v>21</v>
      </c>
    </row>
    <row r="2025" spans="1:10" x14ac:dyDescent="0.25">
      <c r="A2025" s="1">
        <v>136</v>
      </c>
      <c r="B2025" t="s">
        <v>36</v>
      </c>
      <c r="C2025">
        <v>635</v>
      </c>
      <c r="D2025">
        <v>1</v>
      </c>
      <c r="E2025" t="s">
        <v>34</v>
      </c>
      <c r="F2025" t="s">
        <v>35</v>
      </c>
      <c r="G2025" t="str">
        <f>"2025-05-31 21:12:20.547"</f>
        <v>2025-05-31 21:12:20.547</v>
      </c>
      <c r="H2025" t="s">
        <v>21</v>
      </c>
      <c r="I2025">
        <v>0.16</v>
      </c>
      <c r="J2025" t="s">
        <v>37</v>
      </c>
    </row>
    <row r="2026" spans="1:10" x14ac:dyDescent="0.25">
      <c r="A2026" s="1">
        <v>137</v>
      </c>
      <c r="B2026" t="s">
        <v>19</v>
      </c>
      <c r="C2026">
        <v>700</v>
      </c>
      <c r="D2026">
        <v>0</v>
      </c>
      <c r="E2026" t="s">
        <v>20</v>
      </c>
      <c r="F2026" t="s">
        <v>20</v>
      </c>
      <c r="G2026" t="str">
        <f>"2025-05-31 17:42:49.199"</f>
        <v>2025-05-31 17:42:49.199</v>
      </c>
      <c r="H2026" t="s">
        <v>21</v>
      </c>
      <c r="I2026">
        <v>0</v>
      </c>
      <c r="J2026" t="s">
        <v>33</v>
      </c>
    </row>
    <row r="2027" spans="1:10" x14ac:dyDescent="0.25">
      <c r="A2027" s="1">
        <v>138</v>
      </c>
      <c r="B2027" t="s">
        <v>19</v>
      </c>
      <c r="C2027">
        <v>706</v>
      </c>
      <c r="D2027">
        <v>4</v>
      </c>
      <c r="E2027" t="s">
        <v>29</v>
      </c>
      <c r="F2027" t="s">
        <v>53</v>
      </c>
      <c r="G2027" t="str">
        <f>"2025-05-31 14:18:48.853"</f>
        <v>2025-05-31 14:18:48.853</v>
      </c>
      <c r="H2027" t="s">
        <v>21</v>
      </c>
      <c r="I2027">
        <v>0</v>
      </c>
      <c r="J2027" t="s">
        <v>31</v>
      </c>
    </row>
    <row r="2028" spans="1:10" x14ac:dyDescent="0.25">
      <c r="A2028" s="1">
        <v>139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"2025-05-31 14:17:11.183"</f>
        <v>2025-05-31 14:17:11.183</v>
      </c>
      <c r="H2028" t="s">
        <v>21</v>
      </c>
    </row>
    <row r="2029" spans="1:10" x14ac:dyDescent="0.25">
      <c r="A2029" s="1">
        <v>140</v>
      </c>
      <c r="B2029" t="s">
        <v>22</v>
      </c>
      <c r="C2029">
        <v>635</v>
      </c>
      <c r="D2029">
        <v>1</v>
      </c>
      <c r="E2029" t="s">
        <v>34</v>
      </c>
      <c r="F2029" t="s">
        <v>35</v>
      </c>
      <c r="G2029" t="str">
        <f>"2025-05-31 07:56:54.107"</f>
        <v>2025-05-31 07:56:54.107</v>
      </c>
      <c r="H2029" t="s">
        <v>21</v>
      </c>
    </row>
    <row r="2030" spans="1:10" x14ac:dyDescent="0.25">
      <c r="A2030" s="1">
        <v>141</v>
      </c>
      <c r="B2030" t="s">
        <v>36</v>
      </c>
      <c r="C2030">
        <v>635</v>
      </c>
      <c r="D2030">
        <v>1</v>
      </c>
      <c r="E2030" t="s">
        <v>34</v>
      </c>
      <c r="F2030" t="s">
        <v>35</v>
      </c>
      <c r="G2030" t="str">
        <f>"2025-05-31 07:52:22.607"</f>
        <v>2025-05-31 07:52:22.607</v>
      </c>
      <c r="H2030" t="s">
        <v>21</v>
      </c>
      <c r="I2030">
        <v>2.91</v>
      </c>
      <c r="J2030" t="s">
        <v>37</v>
      </c>
    </row>
    <row r="2031" spans="1:10" x14ac:dyDescent="0.25">
      <c r="A2031" s="1">
        <v>142</v>
      </c>
      <c r="B2031" t="s">
        <v>19</v>
      </c>
      <c r="C2031">
        <v>706</v>
      </c>
      <c r="D2031">
        <v>4</v>
      </c>
      <c r="E2031" t="s">
        <v>29</v>
      </c>
      <c r="F2031" t="s">
        <v>53</v>
      </c>
      <c r="G2031" t="str">
        <f>"2025-05-30 09:51:23.234"</f>
        <v>2025-05-30 09:51:23.234</v>
      </c>
      <c r="H2031" t="s">
        <v>21</v>
      </c>
      <c r="I2031">
        <v>0</v>
      </c>
      <c r="J2031" t="s">
        <v>31</v>
      </c>
    </row>
    <row r="2032" spans="1:10" x14ac:dyDescent="0.25">
      <c r="A2032" s="1">
        <v>143</v>
      </c>
      <c r="B2032" t="s">
        <v>19</v>
      </c>
      <c r="C2032">
        <v>706</v>
      </c>
      <c r="D2032">
        <v>2</v>
      </c>
      <c r="E2032" t="s">
        <v>29</v>
      </c>
      <c r="F2032" t="s">
        <v>30</v>
      </c>
      <c r="G2032" t="str">
        <f>"2025-05-30 09:40:22.504"</f>
        <v>2025-05-30 09:40:22.504</v>
      </c>
      <c r="H2032" t="s">
        <v>21</v>
      </c>
      <c r="I2032">
        <v>0</v>
      </c>
      <c r="J2032" t="s">
        <v>31</v>
      </c>
    </row>
    <row r="2033" spans="1:10" x14ac:dyDescent="0.25">
      <c r="A2033" s="1">
        <v>144</v>
      </c>
      <c r="B2033" t="s">
        <v>19</v>
      </c>
      <c r="C2033">
        <v>700</v>
      </c>
      <c r="D2033">
        <v>0</v>
      </c>
      <c r="E2033" t="s">
        <v>20</v>
      </c>
      <c r="F2033" t="s">
        <v>20</v>
      </c>
      <c r="G2033" t="str">
        <f>"2025-05-30 09:34:23.154"</f>
        <v>2025-05-30 09:34:23.154</v>
      </c>
      <c r="H2033" t="s">
        <v>21</v>
      </c>
      <c r="I2033">
        <v>0</v>
      </c>
      <c r="J2033" t="s">
        <v>33</v>
      </c>
    </row>
    <row r="2034" spans="1:10" x14ac:dyDescent="0.25">
      <c r="A2034" s="1">
        <v>145</v>
      </c>
      <c r="B2034" t="s">
        <v>19</v>
      </c>
      <c r="C2034">
        <v>700</v>
      </c>
      <c r="D2034">
        <v>0</v>
      </c>
      <c r="E2034" t="s">
        <v>20</v>
      </c>
      <c r="F2034" t="s">
        <v>20</v>
      </c>
      <c r="G2034" t="str">
        <f>"2025-05-30 09:31:04.149"</f>
        <v>2025-05-30 09:31:04.149</v>
      </c>
      <c r="H2034" t="s">
        <v>21</v>
      </c>
      <c r="I2034">
        <v>0</v>
      </c>
      <c r="J2034" t="s">
        <v>33</v>
      </c>
    </row>
    <row r="2035" spans="1:10" x14ac:dyDescent="0.25">
      <c r="A2035" s="1">
        <v>147</v>
      </c>
      <c r="B2035" t="s">
        <v>19</v>
      </c>
      <c r="C2035">
        <v>700</v>
      </c>
      <c r="D2035">
        <v>0</v>
      </c>
      <c r="E2035" t="s">
        <v>20</v>
      </c>
      <c r="F2035" t="s">
        <v>20</v>
      </c>
      <c r="G2035" t="str">
        <f>"2025-05-30 05:47:04.420"</f>
        <v>2025-05-30 05:47:04.420</v>
      </c>
      <c r="H2035" t="s">
        <v>21</v>
      </c>
      <c r="I2035">
        <v>0</v>
      </c>
      <c r="J2035" t="s">
        <v>33</v>
      </c>
    </row>
    <row r="2036" spans="1:10" x14ac:dyDescent="0.25">
      <c r="A2036" s="1">
        <v>148</v>
      </c>
      <c r="B2036" t="s">
        <v>40</v>
      </c>
      <c r="C2036">
        <v>77</v>
      </c>
      <c r="D2036">
        <v>1</v>
      </c>
      <c r="E2036" t="s">
        <v>59</v>
      </c>
      <c r="F2036" t="s">
        <v>60</v>
      </c>
      <c r="G2036" t="str">
        <f>"2025-05-29 00:09:20.341"</f>
        <v>2025-05-29 00:09:20.341</v>
      </c>
      <c r="H2036" t="s">
        <v>46</v>
      </c>
    </row>
    <row r="2037" spans="1:10" x14ac:dyDescent="0.25">
      <c r="A2037" s="1">
        <v>149</v>
      </c>
      <c r="B2037" t="s">
        <v>26</v>
      </c>
      <c r="C2037">
        <v>77</v>
      </c>
      <c r="D2037">
        <v>1</v>
      </c>
      <c r="E2037" t="s">
        <v>59</v>
      </c>
      <c r="F2037" t="s">
        <v>60</v>
      </c>
      <c r="G2037" t="str">
        <f>"2025-05-29 00:09:15.264"</f>
        <v>2025-05-29 00:09:15.264</v>
      </c>
      <c r="H2037" t="s">
        <v>46</v>
      </c>
      <c r="I2037">
        <v>0</v>
      </c>
      <c r="J2037" t="s">
        <v>31</v>
      </c>
    </row>
    <row r="2038" spans="1:10" x14ac:dyDescent="0.25">
      <c r="A2038" s="1">
        <v>150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"2025-05-29 00:08:37.295"</f>
        <v>2025-05-29 00:08:37.295</v>
      </c>
      <c r="H2038" t="s">
        <v>21</v>
      </c>
    </row>
    <row r="2039" spans="1:10" x14ac:dyDescent="0.25">
      <c r="A2039" s="1">
        <v>151</v>
      </c>
      <c r="B2039" t="s">
        <v>19</v>
      </c>
      <c r="C2039">
        <v>700</v>
      </c>
      <c r="D2039">
        <v>0</v>
      </c>
      <c r="E2039" t="s">
        <v>20</v>
      </c>
      <c r="F2039" t="s">
        <v>20</v>
      </c>
      <c r="G2039" t="str">
        <f>"2025-05-28 23:22:55.151"</f>
        <v>2025-05-28 23:22:55.151</v>
      </c>
      <c r="H2039" t="s">
        <v>21</v>
      </c>
    </row>
    <row r="2040" spans="1:10" x14ac:dyDescent="0.25">
      <c r="A2040" s="1">
        <v>152</v>
      </c>
      <c r="B2040" t="s">
        <v>19</v>
      </c>
      <c r="C2040">
        <v>706</v>
      </c>
      <c r="D2040">
        <v>2</v>
      </c>
      <c r="E2040" t="s">
        <v>29</v>
      </c>
      <c r="F2040" t="s">
        <v>30</v>
      </c>
      <c r="G2040" t="str">
        <f>"2025-05-28 21:28:17.967"</f>
        <v>2025-05-28 21:28:17.967</v>
      </c>
      <c r="H2040" t="s">
        <v>21</v>
      </c>
      <c r="I2040">
        <v>0</v>
      </c>
      <c r="J2040" t="s">
        <v>31</v>
      </c>
    </row>
    <row r="2041" spans="1:10" x14ac:dyDescent="0.25">
      <c r="A2041" s="1">
        <v>153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"2025-05-28 21:26:51.317"</f>
        <v>2025-05-28 21:26:51.317</v>
      </c>
      <c r="H2041" t="s">
        <v>21</v>
      </c>
      <c r="I2041">
        <v>0</v>
      </c>
      <c r="J2041" t="s">
        <v>33</v>
      </c>
    </row>
    <row r="2042" spans="1:10" x14ac:dyDescent="0.25">
      <c r="A2042" s="1">
        <v>154</v>
      </c>
      <c r="B2042" t="s">
        <v>22</v>
      </c>
      <c r="C2042">
        <v>635</v>
      </c>
      <c r="D2042">
        <v>1</v>
      </c>
      <c r="E2042" t="s">
        <v>34</v>
      </c>
      <c r="F2042" t="s">
        <v>35</v>
      </c>
      <c r="G2042" t="str">
        <f>"2025-05-28 08:59:21.915"</f>
        <v>2025-05-28 08:59:21.915</v>
      </c>
      <c r="H2042" t="s">
        <v>21</v>
      </c>
    </row>
    <row r="2043" spans="1:10" x14ac:dyDescent="0.25">
      <c r="A2043" s="1">
        <v>155</v>
      </c>
      <c r="B2043" t="s">
        <v>36</v>
      </c>
      <c r="C2043">
        <v>635</v>
      </c>
      <c r="D2043">
        <v>1</v>
      </c>
      <c r="E2043" t="s">
        <v>34</v>
      </c>
      <c r="F2043" t="s">
        <v>35</v>
      </c>
      <c r="G2043" t="str">
        <f>"2025-05-28 08:56:38.916"</f>
        <v>2025-05-28 08:56:38.916</v>
      </c>
      <c r="H2043" t="s">
        <v>21</v>
      </c>
      <c r="I2043">
        <v>3.43</v>
      </c>
      <c r="J2043" t="s">
        <v>37</v>
      </c>
    </row>
    <row r="2044" spans="1:10" x14ac:dyDescent="0.25">
      <c r="A2044" s="1">
        <v>156</v>
      </c>
      <c r="B2044" t="s">
        <v>19</v>
      </c>
      <c r="C2044">
        <v>700</v>
      </c>
      <c r="D2044">
        <v>0</v>
      </c>
      <c r="E2044" t="s">
        <v>20</v>
      </c>
      <c r="F2044" t="s">
        <v>20</v>
      </c>
      <c r="G2044" t="str">
        <f>"2025-05-27 13:36:07.154"</f>
        <v>2025-05-27 13:36:07.154</v>
      </c>
      <c r="H2044" t="s">
        <v>21</v>
      </c>
      <c r="I2044">
        <v>0</v>
      </c>
      <c r="J2044" t="s">
        <v>33</v>
      </c>
    </row>
    <row r="2045" spans="1:10" x14ac:dyDescent="0.25">
      <c r="A2045" s="1">
        <v>157</v>
      </c>
      <c r="B2045" t="s">
        <v>22</v>
      </c>
      <c r="C2045">
        <v>635</v>
      </c>
      <c r="D2045">
        <v>1</v>
      </c>
      <c r="E2045" t="s">
        <v>34</v>
      </c>
      <c r="F2045" t="s">
        <v>35</v>
      </c>
      <c r="G2045" t="str">
        <f>"2025-05-26 15:00:28.059"</f>
        <v>2025-05-26 15:00:28.059</v>
      </c>
      <c r="H2045" t="s">
        <v>21</v>
      </c>
    </row>
    <row r="2046" spans="1:10" x14ac:dyDescent="0.25">
      <c r="A2046" s="1">
        <v>158</v>
      </c>
      <c r="B2046" t="s">
        <v>36</v>
      </c>
      <c r="C2046">
        <v>635</v>
      </c>
      <c r="D2046">
        <v>1</v>
      </c>
      <c r="E2046" t="s">
        <v>34</v>
      </c>
      <c r="F2046" t="s">
        <v>35</v>
      </c>
      <c r="G2046" t="str">
        <f>"2025-05-26 14:36:04.059"</f>
        <v>2025-05-26 14:36:04.059</v>
      </c>
      <c r="H2046" t="s">
        <v>21</v>
      </c>
      <c r="I2046">
        <v>2.5</v>
      </c>
      <c r="J2046" t="s">
        <v>27</v>
      </c>
    </row>
    <row r="2047" spans="1:10" x14ac:dyDescent="0.25">
      <c r="A2047" s="1">
        <v>160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"2025-05-25 10:34:07.312"</f>
        <v>2025-05-25 10:34:07.312</v>
      </c>
      <c r="H2047" t="s">
        <v>21</v>
      </c>
      <c r="I2047">
        <v>0</v>
      </c>
      <c r="J2047" t="s">
        <v>33</v>
      </c>
    </row>
    <row r="2048" spans="1:10" x14ac:dyDescent="0.25">
      <c r="A2048" s="1">
        <v>161</v>
      </c>
      <c r="B2048" t="s">
        <v>22</v>
      </c>
      <c r="C2048">
        <v>635</v>
      </c>
      <c r="D2048">
        <v>1</v>
      </c>
      <c r="E2048" t="s">
        <v>34</v>
      </c>
      <c r="F2048" t="s">
        <v>35</v>
      </c>
      <c r="G2048" t="str">
        <f>"2025-05-22 11:36:05.703"</f>
        <v>2025-05-22 11:36:05.703</v>
      </c>
      <c r="H2048" t="s">
        <v>21</v>
      </c>
    </row>
    <row r="2049" spans="1:10" x14ac:dyDescent="0.25">
      <c r="A2049" s="1">
        <v>162</v>
      </c>
      <c r="B2049" t="s">
        <v>36</v>
      </c>
      <c r="C2049">
        <v>635</v>
      </c>
      <c r="D2049">
        <v>1</v>
      </c>
      <c r="E2049" t="s">
        <v>34</v>
      </c>
      <c r="F2049" t="s">
        <v>35</v>
      </c>
      <c r="G2049" t="str">
        <f>"2025-05-22 11:33:37.203"</f>
        <v>2025-05-22 11:33:37.203</v>
      </c>
      <c r="H2049" t="s">
        <v>21</v>
      </c>
      <c r="I2049">
        <v>2.62</v>
      </c>
      <c r="J2049" t="s">
        <v>37</v>
      </c>
    </row>
    <row r="2050" spans="1:10" x14ac:dyDescent="0.25">
      <c r="A2050" s="1">
        <v>163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"2025-05-21 18:26:01.135"</f>
        <v>2025-05-21 18:26:01.135</v>
      </c>
      <c r="H2050" t="s">
        <v>21</v>
      </c>
    </row>
    <row r="2051" spans="1:10" x14ac:dyDescent="0.25">
      <c r="A2051" s="1">
        <v>164</v>
      </c>
      <c r="B2051" t="s">
        <v>19</v>
      </c>
      <c r="C2051">
        <v>700</v>
      </c>
      <c r="D2051">
        <v>0</v>
      </c>
      <c r="E2051" t="s">
        <v>20</v>
      </c>
      <c r="F2051" t="s">
        <v>20</v>
      </c>
      <c r="G2051" t="str">
        <f>"2025-05-21 18:12:48.141"</f>
        <v>2025-05-21 18:12:48.141</v>
      </c>
      <c r="H2051" t="s">
        <v>21</v>
      </c>
      <c r="I2051">
        <v>0</v>
      </c>
      <c r="J2051" t="s">
        <v>33</v>
      </c>
    </row>
    <row r="2052" spans="1:10" x14ac:dyDescent="0.25">
      <c r="A2052" s="1">
        <v>165</v>
      </c>
      <c r="B2052" t="s">
        <v>19</v>
      </c>
      <c r="C2052">
        <v>700</v>
      </c>
      <c r="D2052">
        <v>0</v>
      </c>
      <c r="E2052" t="s">
        <v>20</v>
      </c>
      <c r="F2052" t="s">
        <v>20</v>
      </c>
      <c r="G2052" t="str">
        <f>"2025-05-21 17:55:42.123"</f>
        <v>2025-05-21 17:55:42.123</v>
      </c>
      <c r="H2052" t="s">
        <v>21</v>
      </c>
    </row>
    <row r="2053" spans="1:10" x14ac:dyDescent="0.25">
      <c r="A2053" s="1">
        <v>166</v>
      </c>
      <c r="B2053" t="s">
        <v>19</v>
      </c>
      <c r="C2053">
        <v>700</v>
      </c>
      <c r="D2053">
        <v>0</v>
      </c>
      <c r="E2053" t="s">
        <v>20</v>
      </c>
      <c r="F2053" t="s">
        <v>20</v>
      </c>
      <c r="G2053" t="str">
        <f>"2025-05-21 16:57:04.141"</f>
        <v>2025-05-21 16:57:04.141</v>
      </c>
      <c r="H2053" t="s">
        <v>21</v>
      </c>
      <c r="I2053">
        <v>0</v>
      </c>
      <c r="J2053" t="s">
        <v>33</v>
      </c>
    </row>
    <row r="2054" spans="1:10" x14ac:dyDescent="0.25">
      <c r="A2054" s="1">
        <v>167</v>
      </c>
      <c r="B2054" t="s">
        <v>19</v>
      </c>
      <c r="C2054">
        <v>700</v>
      </c>
      <c r="D2054">
        <v>0</v>
      </c>
      <c r="E2054" t="s">
        <v>20</v>
      </c>
      <c r="F2054" t="s">
        <v>20</v>
      </c>
      <c r="G2054" t="str">
        <f>"2025-05-21 16:44:42.278"</f>
        <v>2025-05-21 16:44:42.278</v>
      </c>
      <c r="H2054" t="s">
        <v>21</v>
      </c>
      <c r="I2054">
        <v>0</v>
      </c>
      <c r="J2054" t="s">
        <v>33</v>
      </c>
    </row>
    <row r="2055" spans="1:10" x14ac:dyDescent="0.25">
      <c r="A2055" s="1">
        <v>168</v>
      </c>
      <c r="B2055" t="s">
        <v>19</v>
      </c>
      <c r="C2055">
        <v>700</v>
      </c>
      <c r="D2055">
        <v>0</v>
      </c>
      <c r="E2055" t="s">
        <v>20</v>
      </c>
      <c r="F2055" t="s">
        <v>20</v>
      </c>
      <c r="G2055" t="str">
        <f>"2025-05-21 16:38:07.128"</f>
        <v>2025-05-21 16:38:07.128</v>
      </c>
      <c r="H2055" t="s">
        <v>21</v>
      </c>
    </row>
    <row r="2056" spans="1:10" x14ac:dyDescent="0.25">
      <c r="A2056" s="1">
        <v>169</v>
      </c>
      <c r="B2056" t="s">
        <v>19</v>
      </c>
      <c r="C2056">
        <v>700</v>
      </c>
      <c r="D2056">
        <v>0</v>
      </c>
      <c r="E2056" t="s">
        <v>20</v>
      </c>
      <c r="F2056" t="s">
        <v>20</v>
      </c>
      <c r="G2056" t="str">
        <f>"2025-05-21 16:31:06.131"</f>
        <v>2025-05-21 16:31:06.131</v>
      </c>
      <c r="H2056" t="s">
        <v>21</v>
      </c>
    </row>
    <row r="2057" spans="1:10" x14ac:dyDescent="0.25">
      <c r="A2057" s="1">
        <v>170</v>
      </c>
      <c r="B2057" t="s">
        <v>19</v>
      </c>
      <c r="C2057">
        <v>706</v>
      </c>
      <c r="D2057">
        <v>4</v>
      </c>
      <c r="E2057" t="s">
        <v>29</v>
      </c>
      <c r="F2057" t="s">
        <v>53</v>
      </c>
      <c r="G2057" t="str">
        <f>"2025-05-21 15:00:54.909"</f>
        <v>2025-05-21 15:00:54.909</v>
      </c>
      <c r="H2057" t="s">
        <v>21</v>
      </c>
      <c r="I2057">
        <v>0</v>
      </c>
      <c r="J2057" t="s">
        <v>31</v>
      </c>
    </row>
    <row r="2058" spans="1:10" x14ac:dyDescent="0.25">
      <c r="A2058" s="1">
        <v>171</v>
      </c>
      <c r="B2058" t="s">
        <v>19</v>
      </c>
      <c r="C2058">
        <v>706</v>
      </c>
      <c r="D2058">
        <v>3</v>
      </c>
      <c r="E2058" t="s">
        <v>29</v>
      </c>
      <c r="F2058" t="s">
        <v>32</v>
      </c>
      <c r="G2058" t="str">
        <f>"2025-05-21 14:40:23.929"</f>
        <v>2025-05-21 14:40:23.929</v>
      </c>
      <c r="H2058" t="s">
        <v>21</v>
      </c>
      <c r="I2058">
        <v>0</v>
      </c>
      <c r="J2058" t="s">
        <v>31</v>
      </c>
    </row>
    <row r="2059" spans="1:10" x14ac:dyDescent="0.25">
      <c r="A2059" s="1">
        <v>172</v>
      </c>
      <c r="B2059" t="s">
        <v>19</v>
      </c>
      <c r="C2059">
        <v>706</v>
      </c>
      <c r="D2059">
        <v>2</v>
      </c>
      <c r="E2059" t="s">
        <v>29</v>
      </c>
      <c r="F2059" t="s">
        <v>30</v>
      </c>
      <c r="G2059" t="str">
        <f>"2025-05-20 09:04:05.519"</f>
        <v>2025-05-20 09:04:05.519</v>
      </c>
      <c r="H2059" t="s">
        <v>21</v>
      </c>
      <c r="I2059">
        <v>0</v>
      </c>
      <c r="J2059" t="s">
        <v>31</v>
      </c>
    </row>
    <row r="2060" spans="1:10" x14ac:dyDescent="0.25">
      <c r="A2060" s="1">
        <v>173</v>
      </c>
      <c r="B2060" t="s">
        <v>19</v>
      </c>
      <c r="C2060">
        <v>700</v>
      </c>
      <c r="D2060">
        <v>0</v>
      </c>
      <c r="E2060" t="s">
        <v>20</v>
      </c>
      <c r="F2060" t="s">
        <v>20</v>
      </c>
      <c r="G2060" t="str">
        <f>"2025-05-20 09:03:15.169"</f>
        <v>2025-05-20 09:03:15.169</v>
      </c>
      <c r="H2060" t="s">
        <v>21</v>
      </c>
      <c r="I2060">
        <v>0</v>
      </c>
      <c r="J2060" t="s">
        <v>33</v>
      </c>
    </row>
    <row r="2061" spans="1:10" x14ac:dyDescent="0.25">
      <c r="A2061" s="1">
        <v>174</v>
      </c>
      <c r="B2061" t="s">
        <v>19</v>
      </c>
      <c r="C2061">
        <v>700</v>
      </c>
      <c r="D2061">
        <v>0</v>
      </c>
      <c r="E2061" t="s">
        <v>20</v>
      </c>
      <c r="F2061" t="s">
        <v>20</v>
      </c>
      <c r="G2061" t="str">
        <f>"2025-05-20 00:36:54.150"</f>
        <v>2025-05-20 00:36:54.150</v>
      </c>
      <c r="H2061" t="s">
        <v>21</v>
      </c>
    </row>
    <row r="2062" spans="1:10" x14ac:dyDescent="0.25">
      <c r="A2062" s="1">
        <v>175</v>
      </c>
      <c r="B2062" t="s">
        <v>19</v>
      </c>
      <c r="C2062">
        <v>700</v>
      </c>
      <c r="D2062">
        <v>0</v>
      </c>
      <c r="E2062" t="s">
        <v>20</v>
      </c>
      <c r="F2062" t="s">
        <v>20</v>
      </c>
      <c r="G2062" t="str">
        <f>"2025-05-19 11:19:24.124"</f>
        <v>2025-05-19 11:19:24.124</v>
      </c>
      <c r="H2062" t="s">
        <v>21</v>
      </c>
    </row>
    <row r="2063" spans="1:10" x14ac:dyDescent="0.25">
      <c r="A2063" s="1">
        <v>176</v>
      </c>
      <c r="B2063" t="s">
        <v>19</v>
      </c>
      <c r="C2063">
        <v>706</v>
      </c>
      <c r="D2063">
        <v>4</v>
      </c>
      <c r="E2063" t="s">
        <v>29</v>
      </c>
      <c r="F2063" t="s">
        <v>53</v>
      </c>
      <c r="G2063" t="str">
        <f>"2025-05-19 11:12:34.858"</f>
        <v>2025-05-19 11:12:34.858</v>
      </c>
      <c r="H2063" t="s">
        <v>21</v>
      </c>
      <c r="I2063">
        <v>0</v>
      </c>
      <c r="J2063" t="s">
        <v>31</v>
      </c>
    </row>
    <row r="2064" spans="1:10" x14ac:dyDescent="0.25">
      <c r="A2064" s="1">
        <v>177</v>
      </c>
      <c r="B2064" t="s">
        <v>19</v>
      </c>
      <c r="C2064">
        <v>706</v>
      </c>
      <c r="D2064">
        <v>2</v>
      </c>
      <c r="E2064" t="s">
        <v>29</v>
      </c>
      <c r="F2064" t="s">
        <v>30</v>
      </c>
      <c r="G2064" t="str">
        <f>"2025-05-19 11:09:55.708"</f>
        <v>2025-05-19 11:09:55.708</v>
      </c>
      <c r="H2064" t="s">
        <v>21</v>
      </c>
      <c r="I2064">
        <v>0</v>
      </c>
      <c r="J2064" t="s">
        <v>31</v>
      </c>
    </row>
    <row r="2065" spans="1:10" x14ac:dyDescent="0.25">
      <c r="A2065" s="1">
        <v>178</v>
      </c>
      <c r="B2065" t="s">
        <v>19</v>
      </c>
      <c r="C2065">
        <v>706</v>
      </c>
      <c r="D2065">
        <v>4</v>
      </c>
      <c r="E2065" t="s">
        <v>29</v>
      </c>
      <c r="F2065" t="s">
        <v>53</v>
      </c>
      <c r="G2065" t="str">
        <f>"2025-05-19 11:09:12.468"</f>
        <v>2025-05-19 11:09:12.468</v>
      </c>
      <c r="H2065" t="s">
        <v>21</v>
      </c>
      <c r="I2065">
        <v>0</v>
      </c>
      <c r="J2065" t="s">
        <v>31</v>
      </c>
    </row>
    <row r="2066" spans="1:10" x14ac:dyDescent="0.25">
      <c r="A2066" s="1">
        <v>179</v>
      </c>
      <c r="B2066" t="s">
        <v>19</v>
      </c>
      <c r="C2066">
        <v>700</v>
      </c>
      <c r="D2066">
        <v>0</v>
      </c>
      <c r="E2066" t="s">
        <v>20</v>
      </c>
      <c r="F2066" t="s">
        <v>20</v>
      </c>
      <c r="G2066" t="str">
        <f>"2025-05-19 11:08:10.118"</f>
        <v>2025-05-19 11:08:10.118</v>
      </c>
      <c r="H2066" t="s">
        <v>21</v>
      </c>
    </row>
    <row r="2067" spans="1:10" x14ac:dyDescent="0.25">
      <c r="A2067" s="1">
        <v>180</v>
      </c>
      <c r="B2067" t="s">
        <v>19</v>
      </c>
      <c r="C2067">
        <v>700</v>
      </c>
      <c r="D2067">
        <v>0</v>
      </c>
      <c r="E2067" t="s">
        <v>20</v>
      </c>
      <c r="F2067" t="s">
        <v>20</v>
      </c>
      <c r="G2067" t="str">
        <f>"2025-05-19 10:32:34.132"</f>
        <v>2025-05-19 10:32:34.132</v>
      </c>
      <c r="H2067" t="s">
        <v>21</v>
      </c>
      <c r="I2067">
        <v>0</v>
      </c>
      <c r="J2067" t="s">
        <v>33</v>
      </c>
    </row>
    <row r="2068" spans="1:10" x14ac:dyDescent="0.25">
      <c r="A2068" s="1">
        <v>181</v>
      </c>
      <c r="B2068" t="s">
        <v>19</v>
      </c>
      <c r="C2068">
        <v>700</v>
      </c>
      <c r="D2068">
        <v>0</v>
      </c>
      <c r="E2068" t="s">
        <v>20</v>
      </c>
      <c r="F2068" t="s">
        <v>20</v>
      </c>
      <c r="G2068" t="str">
        <f>"2025-05-19 10:13:40.174"</f>
        <v>2025-05-19 10:13:40.174</v>
      </c>
      <c r="H2068" t="s">
        <v>21</v>
      </c>
      <c r="I2068">
        <v>0</v>
      </c>
      <c r="J2068" t="s">
        <v>33</v>
      </c>
    </row>
    <row r="2069" spans="1:10" x14ac:dyDescent="0.25">
      <c r="A2069" s="1">
        <v>182</v>
      </c>
      <c r="B2069" t="s">
        <v>19</v>
      </c>
      <c r="C2069">
        <v>700</v>
      </c>
      <c r="D2069">
        <v>0</v>
      </c>
      <c r="E2069" t="s">
        <v>20</v>
      </c>
      <c r="F2069" t="s">
        <v>20</v>
      </c>
      <c r="G2069" t="str">
        <f>"2025-05-18 11:53:32.273"</f>
        <v>2025-05-18 11:53:32.273</v>
      </c>
      <c r="H2069" t="s">
        <v>21</v>
      </c>
    </row>
    <row r="2070" spans="1:10" x14ac:dyDescent="0.25">
      <c r="A2070" s="1">
        <v>183</v>
      </c>
      <c r="B2070" t="s">
        <v>19</v>
      </c>
      <c r="C2070">
        <v>706</v>
      </c>
      <c r="D2070">
        <v>4</v>
      </c>
      <c r="E2070" t="s">
        <v>29</v>
      </c>
      <c r="F2070" t="s">
        <v>53</v>
      </c>
      <c r="G2070" t="str">
        <f>"2025-05-17 13:20:32.066"</f>
        <v>2025-05-17 13:20:32.066</v>
      </c>
      <c r="H2070" t="s">
        <v>21</v>
      </c>
      <c r="I2070">
        <v>0</v>
      </c>
      <c r="J2070" t="s">
        <v>31</v>
      </c>
    </row>
    <row r="2071" spans="1:10" x14ac:dyDescent="0.25">
      <c r="A2071" s="1">
        <v>184</v>
      </c>
      <c r="B2071" t="s">
        <v>19</v>
      </c>
      <c r="C2071">
        <v>700</v>
      </c>
      <c r="D2071">
        <v>0</v>
      </c>
      <c r="E2071" t="s">
        <v>20</v>
      </c>
      <c r="F2071" t="s">
        <v>20</v>
      </c>
      <c r="G2071" t="str">
        <f>"2025-05-17 13:19:41.136"</f>
        <v>2025-05-17 13:19:41.136</v>
      </c>
      <c r="H2071" t="s">
        <v>21</v>
      </c>
      <c r="I2071">
        <v>0</v>
      </c>
      <c r="J2071" t="s">
        <v>33</v>
      </c>
    </row>
    <row r="2072" spans="1:10" x14ac:dyDescent="0.25">
      <c r="A2072" s="1">
        <v>185</v>
      </c>
      <c r="B2072" t="s">
        <v>19</v>
      </c>
      <c r="C2072">
        <v>700</v>
      </c>
      <c r="D2072">
        <v>0</v>
      </c>
      <c r="E2072" t="s">
        <v>20</v>
      </c>
      <c r="F2072" t="s">
        <v>20</v>
      </c>
      <c r="G2072" t="str">
        <f>"2025-05-17 13:10:32.124"</f>
        <v>2025-05-17 13:10:32.124</v>
      </c>
      <c r="H2072" t="s">
        <v>21</v>
      </c>
    </row>
    <row r="2073" spans="1:10" x14ac:dyDescent="0.25">
      <c r="A2073" s="1">
        <v>186</v>
      </c>
      <c r="B2073" t="s">
        <v>22</v>
      </c>
      <c r="C2073">
        <v>635</v>
      </c>
      <c r="D2073">
        <v>1</v>
      </c>
      <c r="E2073" t="s">
        <v>34</v>
      </c>
      <c r="F2073" t="s">
        <v>35</v>
      </c>
      <c r="G2073" t="str">
        <f>"2025-05-16 14:03:23.848"</f>
        <v>2025-05-16 14:03:23.848</v>
      </c>
      <c r="H2073" t="s">
        <v>21</v>
      </c>
    </row>
    <row r="2074" spans="1:10" x14ac:dyDescent="0.25">
      <c r="A2074" s="1">
        <v>187</v>
      </c>
      <c r="B2074" t="s">
        <v>36</v>
      </c>
      <c r="C2074">
        <v>635</v>
      </c>
      <c r="D2074">
        <v>1</v>
      </c>
      <c r="E2074" t="s">
        <v>34</v>
      </c>
      <c r="F2074" t="s">
        <v>35</v>
      </c>
      <c r="G2074" t="str">
        <f>"2025-05-16 14:00:04.848"</f>
        <v>2025-05-16 14:00:04.848</v>
      </c>
      <c r="H2074" t="s">
        <v>21</v>
      </c>
      <c r="I2074">
        <v>2.19</v>
      </c>
      <c r="J2074" t="s">
        <v>37</v>
      </c>
    </row>
    <row r="2075" spans="1:10" x14ac:dyDescent="0.25">
      <c r="A2075" s="1">
        <v>188</v>
      </c>
      <c r="B2075" t="s">
        <v>19</v>
      </c>
      <c r="C2075">
        <v>706</v>
      </c>
      <c r="D2075">
        <v>4</v>
      </c>
      <c r="E2075" t="s">
        <v>29</v>
      </c>
      <c r="F2075" t="s">
        <v>53</v>
      </c>
      <c r="G2075" t="str">
        <f>"2025-05-16 09:19:53.937"</f>
        <v>2025-05-16 09:19:53.937</v>
      </c>
      <c r="H2075" t="s">
        <v>21</v>
      </c>
      <c r="I2075">
        <v>0</v>
      </c>
      <c r="J2075" t="s">
        <v>31</v>
      </c>
    </row>
    <row r="2076" spans="1:10" x14ac:dyDescent="0.25">
      <c r="A2076" s="1">
        <v>189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"2025-05-16 08:07:29.177"</f>
        <v>2025-05-16 08:07:29.177</v>
      </c>
      <c r="H2076" t="s">
        <v>21</v>
      </c>
    </row>
    <row r="2077" spans="1:10" x14ac:dyDescent="0.25">
      <c r="A2077" s="1">
        <v>190</v>
      </c>
      <c r="B2077" t="s">
        <v>22</v>
      </c>
      <c r="C2077">
        <v>635</v>
      </c>
      <c r="D2077">
        <v>1</v>
      </c>
      <c r="E2077" t="s">
        <v>34</v>
      </c>
      <c r="F2077" t="s">
        <v>35</v>
      </c>
      <c r="G2077" t="str">
        <f>"2025-05-15 22:17:38.286"</f>
        <v>2025-05-15 22:17:38.286</v>
      </c>
      <c r="H2077" t="s">
        <v>21</v>
      </c>
    </row>
    <row r="2078" spans="1:10" x14ac:dyDescent="0.25">
      <c r="A2078" s="1">
        <v>191</v>
      </c>
      <c r="B2078" t="s">
        <v>36</v>
      </c>
      <c r="C2078">
        <v>635</v>
      </c>
      <c r="D2078">
        <v>1</v>
      </c>
      <c r="E2078" t="s">
        <v>34</v>
      </c>
      <c r="F2078" t="s">
        <v>35</v>
      </c>
      <c r="G2078" t="str">
        <f>"2025-05-15 21:54:08.786"</f>
        <v>2025-05-15 21:54:08.786</v>
      </c>
      <c r="H2078" t="s">
        <v>21</v>
      </c>
      <c r="I2078">
        <v>6.79</v>
      </c>
      <c r="J2078" t="s">
        <v>37</v>
      </c>
    </row>
    <row r="2079" spans="1:10" x14ac:dyDescent="0.25">
      <c r="A2079" s="1">
        <v>192</v>
      </c>
      <c r="B2079" t="s">
        <v>19</v>
      </c>
      <c r="C2079">
        <v>700</v>
      </c>
      <c r="D2079">
        <v>0</v>
      </c>
      <c r="E2079" t="s">
        <v>20</v>
      </c>
      <c r="F2079" t="s">
        <v>20</v>
      </c>
      <c r="G2079" t="str">
        <f>"2025-05-15 10:23:21.168"</f>
        <v>2025-05-15 10:23:21.168</v>
      </c>
      <c r="H2079" t="s">
        <v>21</v>
      </c>
    </row>
    <row r="2080" spans="1:10" x14ac:dyDescent="0.25">
      <c r="A2080" s="1">
        <v>193</v>
      </c>
      <c r="B2080" t="s">
        <v>22</v>
      </c>
      <c r="C2080">
        <v>635</v>
      </c>
      <c r="D2080">
        <v>1</v>
      </c>
      <c r="E2080" t="s">
        <v>34</v>
      </c>
      <c r="F2080" t="s">
        <v>35</v>
      </c>
      <c r="G2080" t="str">
        <f>"2025-05-14 21:56:49.437"</f>
        <v>2025-05-14 21:56:49.437</v>
      </c>
      <c r="H2080" t="s">
        <v>21</v>
      </c>
    </row>
    <row r="2081" spans="1:10" x14ac:dyDescent="0.25">
      <c r="A2081" s="1">
        <v>194</v>
      </c>
      <c r="B2081" t="s">
        <v>36</v>
      </c>
      <c r="C2081">
        <v>635</v>
      </c>
      <c r="D2081">
        <v>1</v>
      </c>
      <c r="E2081" t="s">
        <v>34</v>
      </c>
      <c r="F2081" t="s">
        <v>35</v>
      </c>
      <c r="G2081" t="str">
        <f>"2025-05-14 21:33:15.937"</f>
        <v>2025-05-14 21:33:15.937</v>
      </c>
      <c r="H2081" t="s">
        <v>21</v>
      </c>
      <c r="I2081">
        <v>2.42</v>
      </c>
      <c r="J2081" t="s">
        <v>37</v>
      </c>
    </row>
    <row r="2082" spans="1:10" x14ac:dyDescent="0.25">
      <c r="A2082" s="1">
        <v>195</v>
      </c>
      <c r="B2082" t="s">
        <v>19</v>
      </c>
      <c r="C2082">
        <v>706</v>
      </c>
      <c r="D2082">
        <v>4</v>
      </c>
      <c r="E2082" t="s">
        <v>29</v>
      </c>
      <c r="F2082" t="s">
        <v>53</v>
      </c>
      <c r="G2082" t="str">
        <f>"2025-05-14 21:22:50.658"</f>
        <v>2025-05-14 21:22:50.658</v>
      </c>
      <c r="H2082" t="s">
        <v>21</v>
      </c>
      <c r="I2082">
        <v>0</v>
      </c>
      <c r="J2082" t="s">
        <v>31</v>
      </c>
    </row>
    <row r="2083" spans="1:10" x14ac:dyDescent="0.25">
      <c r="A2083" s="1">
        <v>196</v>
      </c>
      <c r="B2083" t="s">
        <v>19</v>
      </c>
      <c r="C2083">
        <v>700</v>
      </c>
      <c r="D2083">
        <v>0</v>
      </c>
      <c r="E2083" t="s">
        <v>20</v>
      </c>
      <c r="F2083" t="s">
        <v>20</v>
      </c>
      <c r="G2083" t="str">
        <f>"2025-05-14 21:22:29.138"</f>
        <v>2025-05-14 21:22:29.138</v>
      </c>
      <c r="H2083" t="s">
        <v>21</v>
      </c>
    </row>
    <row r="2084" spans="1:10" x14ac:dyDescent="0.25">
      <c r="A2084" s="1">
        <v>197</v>
      </c>
      <c r="B2084" t="s">
        <v>56</v>
      </c>
      <c r="C2084">
        <v>33</v>
      </c>
      <c r="D2084">
        <v>1</v>
      </c>
      <c r="E2084" t="s">
        <v>76</v>
      </c>
      <c r="F2084" t="s">
        <v>77</v>
      </c>
      <c r="G2084" t="str">
        <f>"2025-05-14 10:13:05.353"</f>
        <v>2025-05-14 10:13:05.353</v>
      </c>
      <c r="H2084" t="s">
        <v>78</v>
      </c>
    </row>
    <row r="2085" spans="1:10" x14ac:dyDescent="0.25">
      <c r="A2085" s="1">
        <v>198</v>
      </c>
      <c r="B2085" t="s">
        <v>26</v>
      </c>
      <c r="C2085">
        <v>33</v>
      </c>
      <c r="D2085">
        <v>1</v>
      </c>
      <c r="E2085" t="s">
        <v>76</v>
      </c>
      <c r="F2085" t="s">
        <v>77</v>
      </c>
      <c r="G2085" t="str">
        <f>"2025-05-14 10:12:47.125"</f>
        <v>2025-05-14 10:12:47.125</v>
      </c>
      <c r="H2085" t="s">
        <v>78</v>
      </c>
      <c r="I2085">
        <v>8.17</v>
      </c>
      <c r="J2085" t="s">
        <v>37</v>
      </c>
    </row>
    <row r="2086" spans="1:10" x14ac:dyDescent="0.25">
      <c r="A2086" s="1">
        <v>199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"2025-05-14 10:08:30.138"</f>
        <v>2025-05-14 10:08:30.138</v>
      </c>
      <c r="H2086" t="s">
        <v>21</v>
      </c>
      <c r="I2086">
        <v>0</v>
      </c>
      <c r="J2086" t="s">
        <v>33</v>
      </c>
    </row>
    <row r="2087" spans="1:10" x14ac:dyDescent="0.25">
      <c r="A2087" s="1">
        <v>200</v>
      </c>
      <c r="B2087" t="s">
        <v>56</v>
      </c>
      <c r="C2087">
        <v>620</v>
      </c>
      <c r="D2087">
        <v>1</v>
      </c>
      <c r="E2087" t="s">
        <v>79</v>
      </c>
      <c r="F2087" t="s">
        <v>35</v>
      </c>
      <c r="G2087" t="str">
        <f>"2025-05-13 18:42:57.387"</f>
        <v>2025-05-13 18:42:57.387</v>
      </c>
      <c r="H2087" t="s">
        <v>75</v>
      </c>
    </row>
    <row r="2088" spans="1:10" x14ac:dyDescent="0.25">
      <c r="A2088" s="1">
        <v>201</v>
      </c>
      <c r="B2088" t="s">
        <v>26</v>
      </c>
      <c r="C2088">
        <v>620</v>
      </c>
      <c r="D2088">
        <v>1</v>
      </c>
      <c r="E2088" t="s">
        <v>79</v>
      </c>
      <c r="F2088" t="s">
        <v>35</v>
      </c>
      <c r="G2088" t="str">
        <f>"2025-05-13 18:42:53.645"</f>
        <v>2025-05-13 18:42:53.645</v>
      </c>
      <c r="H2088" t="s">
        <v>75</v>
      </c>
      <c r="I2088">
        <v>7.2</v>
      </c>
      <c r="J2088" t="s">
        <v>37</v>
      </c>
    </row>
    <row r="2089" spans="1:10" x14ac:dyDescent="0.25">
      <c r="A2089" s="1">
        <v>202</v>
      </c>
      <c r="B2089" t="s">
        <v>19</v>
      </c>
      <c r="C2089">
        <v>706</v>
      </c>
      <c r="D2089">
        <v>2</v>
      </c>
      <c r="E2089" t="s">
        <v>29</v>
      </c>
      <c r="F2089" t="s">
        <v>30</v>
      </c>
      <c r="G2089" t="str">
        <f>"2025-05-13 14:05:01.546"</f>
        <v>2025-05-13 14:05:01.546</v>
      </c>
      <c r="H2089" t="s">
        <v>21</v>
      </c>
      <c r="I2089">
        <v>0</v>
      </c>
      <c r="J2089" t="s">
        <v>31</v>
      </c>
    </row>
    <row r="2090" spans="1:10" x14ac:dyDescent="0.25">
      <c r="A2090" s="1">
        <v>203</v>
      </c>
      <c r="B2090" t="s">
        <v>19</v>
      </c>
      <c r="C2090">
        <v>700</v>
      </c>
      <c r="D2090">
        <v>0</v>
      </c>
      <c r="E2090" t="s">
        <v>20</v>
      </c>
      <c r="F2090" t="s">
        <v>20</v>
      </c>
      <c r="G2090" t="str">
        <f>"2025-05-13 14:01:07.266"</f>
        <v>2025-05-13 14:01:07.266</v>
      </c>
      <c r="H2090" t="s">
        <v>21</v>
      </c>
      <c r="I2090">
        <v>0</v>
      </c>
      <c r="J2090" t="s">
        <v>33</v>
      </c>
    </row>
    <row r="2091" spans="1:10" x14ac:dyDescent="0.25">
      <c r="A2091" s="1">
        <v>204</v>
      </c>
      <c r="B2091" t="s">
        <v>19</v>
      </c>
      <c r="C2091">
        <v>700</v>
      </c>
      <c r="D2091">
        <v>0</v>
      </c>
      <c r="E2091" t="s">
        <v>20</v>
      </c>
      <c r="F2091" t="s">
        <v>20</v>
      </c>
      <c r="G2091" t="str">
        <f>"2025-05-13 11:53:20.129"</f>
        <v>2025-05-13 11:53:20.129</v>
      </c>
      <c r="H2091" t="s">
        <v>21</v>
      </c>
      <c r="I2091">
        <v>0</v>
      </c>
      <c r="J2091" t="s">
        <v>33</v>
      </c>
    </row>
    <row r="2092" spans="1:10" x14ac:dyDescent="0.25">
      <c r="A2092" s="1">
        <v>205</v>
      </c>
      <c r="B2092" t="s">
        <v>19</v>
      </c>
      <c r="C2092">
        <v>700</v>
      </c>
      <c r="D2092">
        <v>0</v>
      </c>
      <c r="E2092" t="s">
        <v>20</v>
      </c>
      <c r="F2092" t="s">
        <v>20</v>
      </c>
      <c r="G2092" t="str">
        <f>"2025-05-13 11:06:18.123"</f>
        <v>2025-05-13 11:06:18.123</v>
      </c>
      <c r="H2092" t="s">
        <v>21</v>
      </c>
    </row>
    <row r="2093" spans="1:10" x14ac:dyDescent="0.25">
      <c r="A2093" s="1">
        <v>206</v>
      </c>
      <c r="B2093" t="s">
        <v>19</v>
      </c>
      <c r="C2093">
        <v>700</v>
      </c>
      <c r="D2093">
        <v>0</v>
      </c>
      <c r="E2093" t="s">
        <v>20</v>
      </c>
      <c r="F2093" t="s">
        <v>20</v>
      </c>
      <c r="G2093" t="str">
        <f>"2025-05-13 09:24:59.127"</f>
        <v>2025-05-13 09:24:59.127</v>
      </c>
      <c r="H2093" t="s">
        <v>21</v>
      </c>
      <c r="I2093">
        <v>0</v>
      </c>
      <c r="J2093" t="s">
        <v>33</v>
      </c>
    </row>
    <row r="2094" spans="1:10" x14ac:dyDescent="0.25">
      <c r="A2094" s="1">
        <v>207</v>
      </c>
      <c r="B2094" t="s">
        <v>19</v>
      </c>
      <c r="C2094">
        <v>700</v>
      </c>
      <c r="D2094">
        <v>0</v>
      </c>
      <c r="E2094" t="s">
        <v>20</v>
      </c>
      <c r="F2094" t="s">
        <v>20</v>
      </c>
      <c r="G2094" t="str">
        <f>"2025-05-13 08:45:00.141"</f>
        <v>2025-05-13 08:45:00.141</v>
      </c>
      <c r="H2094" t="s">
        <v>21</v>
      </c>
    </row>
    <row r="2095" spans="1:10" x14ac:dyDescent="0.25">
      <c r="A2095" s="1">
        <v>208</v>
      </c>
      <c r="B2095" t="s">
        <v>19</v>
      </c>
      <c r="C2095">
        <v>700</v>
      </c>
      <c r="D2095">
        <v>0</v>
      </c>
      <c r="E2095" t="s">
        <v>20</v>
      </c>
      <c r="F2095" t="s">
        <v>20</v>
      </c>
      <c r="G2095" t="str">
        <f>"2025-05-12 08:51:31.134"</f>
        <v>2025-05-12 08:51:31.134</v>
      </c>
      <c r="H2095" t="s">
        <v>21</v>
      </c>
      <c r="I2095">
        <v>0</v>
      </c>
      <c r="J2095" t="s">
        <v>33</v>
      </c>
    </row>
    <row r="2096" spans="1:10" x14ac:dyDescent="0.25">
      <c r="A2096" s="1">
        <v>209</v>
      </c>
      <c r="B2096" t="s">
        <v>19</v>
      </c>
      <c r="C2096">
        <v>700</v>
      </c>
      <c r="D2096">
        <v>0</v>
      </c>
      <c r="E2096" t="s">
        <v>20</v>
      </c>
      <c r="F2096" t="s">
        <v>20</v>
      </c>
      <c r="G2096" t="str">
        <f>"2025-05-11 10:07:18.119"</f>
        <v>2025-05-11 10:07:18.119</v>
      </c>
      <c r="H2096" t="s">
        <v>21</v>
      </c>
    </row>
    <row r="2097" spans="1:10" x14ac:dyDescent="0.25">
      <c r="A2097" s="1">
        <v>210</v>
      </c>
      <c r="B2097" t="s">
        <v>19</v>
      </c>
      <c r="C2097">
        <v>700</v>
      </c>
      <c r="D2097">
        <v>0</v>
      </c>
      <c r="E2097" t="s">
        <v>20</v>
      </c>
      <c r="F2097" t="s">
        <v>20</v>
      </c>
      <c r="G2097" t="str">
        <f>"2025-05-10 09:51:32.137"</f>
        <v>2025-05-10 09:51:32.137</v>
      </c>
      <c r="H2097" t="s">
        <v>21</v>
      </c>
      <c r="I2097">
        <v>0</v>
      </c>
      <c r="J2097" t="s">
        <v>33</v>
      </c>
    </row>
    <row r="2098" spans="1:10" x14ac:dyDescent="0.25">
      <c r="A2098" s="1">
        <v>211</v>
      </c>
      <c r="B2098" t="s">
        <v>22</v>
      </c>
      <c r="C2098">
        <v>61</v>
      </c>
      <c r="D2098">
        <v>2</v>
      </c>
      <c r="E2098" t="s">
        <v>66</v>
      </c>
      <c r="F2098" t="s">
        <v>67</v>
      </c>
      <c r="G2098" t="str">
        <f>"2025-05-10 07:13:46.513"</f>
        <v>2025-05-10 07:13:46.513</v>
      </c>
      <c r="H2098" t="s">
        <v>21</v>
      </c>
    </row>
    <row r="2099" spans="1:10" x14ac:dyDescent="0.25">
      <c r="A2099" s="1">
        <v>212</v>
      </c>
      <c r="B2099" t="s">
        <v>26</v>
      </c>
      <c r="C2099">
        <v>61</v>
      </c>
      <c r="D2099">
        <v>2</v>
      </c>
      <c r="E2099" t="s">
        <v>66</v>
      </c>
      <c r="F2099" t="s">
        <v>67</v>
      </c>
      <c r="G2099" t="str">
        <f>"2025-05-10 07:13:38.913"</f>
        <v>2025-05-10 07:13:38.913</v>
      </c>
      <c r="H2099" t="s">
        <v>21</v>
      </c>
      <c r="I2099">
        <v>35.28</v>
      </c>
      <c r="J2099" t="s">
        <v>27</v>
      </c>
    </row>
    <row r="2100" spans="1:10" x14ac:dyDescent="0.25">
      <c r="A2100" s="1">
        <v>213</v>
      </c>
      <c r="B2100" t="s">
        <v>22</v>
      </c>
      <c r="C2100">
        <v>635</v>
      </c>
      <c r="D2100">
        <v>1</v>
      </c>
      <c r="E2100" t="s">
        <v>34</v>
      </c>
      <c r="F2100" t="s">
        <v>35</v>
      </c>
      <c r="G2100" t="str">
        <f>"2025-05-09 18:12:24.040"</f>
        <v>2025-05-09 18:12:24.040</v>
      </c>
      <c r="H2100" t="s">
        <v>21</v>
      </c>
    </row>
    <row r="2101" spans="1:10" x14ac:dyDescent="0.25">
      <c r="A2101" s="1">
        <v>214</v>
      </c>
      <c r="B2101" t="s">
        <v>36</v>
      </c>
      <c r="C2101">
        <v>635</v>
      </c>
      <c r="D2101">
        <v>1</v>
      </c>
      <c r="E2101" t="s">
        <v>34</v>
      </c>
      <c r="F2101" t="s">
        <v>35</v>
      </c>
      <c r="G2101" t="str">
        <f>"2025-05-09 18:10:01.540"</f>
        <v>2025-05-09 18:10:01.540</v>
      </c>
      <c r="H2101" t="s">
        <v>21</v>
      </c>
      <c r="I2101">
        <v>3.34</v>
      </c>
      <c r="J2101" t="s">
        <v>37</v>
      </c>
    </row>
    <row r="2102" spans="1:10" x14ac:dyDescent="0.25">
      <c r="A2102" s="1">
        <v>215</v>
      </c>
      <c r="B2102" t="s">
        <v>19</v>
      </c>
      <c r="C2102">
        <v>700</v>
      </c>
      <c r="D2102">
        <v>0</v>
      </c>
      <c r="E2102" t="s">
        <v>20</v>
      </c>
      <c r="F2102" t="s">
        <v>20</v>
      </c>
      <c r="G2102" t="str">
        <f>"2025-05-08 17:42:40.143"</f>
        <v>2025-05-08 17:42:40.143</v>
      </c>
      <c r="H2102" t="s">
        <v>21</v>
      </c>
      <c r="I2102">
        <v>0</v>
      </c>
      <c r="J2102" t="s">
        <v>33</v>
      </c>
    </row>
    <row r="2103" spans="1:10" x14ac:dyDescent="0.25">
      <c r="A2103" s="1">
        <v>216</v>
      </c>
      <c r="B2103" t="s">
        <v>19</v>
      </c>
      <c r="C2103">
        <v>706</v>
      </c>
      <c r="D2103">
        <v>2</v>
      </c>
      <c r="E2103" t="s">
        <v>29</v>
      </c>
      <c r="F2103" t="s">
        <v>30</v>
      </c>
      <c r="G2103" t="str">
        <f>"2025-05-08 17:15:50.149"</f>
        <v>2025-05-08 17:15:50.149</v>
      </c>
      <c r="H2103" t="s">
        <v>21</v>
      </c>
      <c r="I2103">
        <v>0</v>
      </c>
      <c r="J2103" t="s">
        <v>31</v>
      </c>
    </row>
    <row r="2104" spans="1:10" x14ac:dyDescent="0.25">
      <c r="A2104" s="1">
        <v>217</v>
      </c>
      <c r="B2104" t="s">
        <v>19</v>
      </c>
      <c r="C2104">
        <v>700</v>
      </c>
      <c r="D2104">
        <v>0</v>
      </c>
      <c r="E2104" t="s">
        <v>20</v>
      </c>
      <c r="F2104" t="s">
        <v>20</v>
      </c>
      <c r="G2104" t="str">
        <f>"2025-05-08 17:09:57.139"</f>
        <v>2025-05-08 17:09:57.139</v>
      </c>
      <c r="H2104" t="s">
        <v>21</v>
      </c>
    </row>
    <row r="2105" spans="1:10" x14ac:dyDescent="0.25">
      <c r="A2105" s="1">
        <v>218</v>
      </c>
      <c r="B2105" t="s">
        <v>19</v>
      </c>
      <c r="C2105">
        <v>700</v>
      </c>
      <c r="D2105">
        <v>0</v>
      </c>
      <c r="E2105" t="s">
        <v>20</v>
      </c>
      <c r="F2105" t="s">
        <v>20</v>
      </c>
      <c r="G2105" t="str">
        <f>"2025-05-08 15:58:16.485"</f>
        <v>2025-05-08 15:58:16.485</v>
      </c>
      <c r="H2105" t="s">
        <v>21</v>
      </c>
      <c r="I2105">
        <v>0</v>
      </c>
      <c r="J2105" t="s">
        <v>33</v>
      </c>
    </row>
    <row r="2106" spans="1:10" x14ac:dyDescent="0.25">
      <c r="A2106" s="1">
        <v>219</v>
      </c>
      <c r="B2106" t="s">
        <v>19</v>
      </c>
      <c r="C2106">
        <v>700</v>
      </c>
      <c r="D2106">
        <v>0</v>
      </c>
      <c r="E2106" t="s">
        <v>20</v>
      </c>
      <c r="F2106" t="s">
        <v>20</v>
      </c>
      <c r="G2106" t="str">
        <f>"2025-05-08 15:43:57.139"</f>
        <v>2025-05-08 15:43:57.139</v>
      </c>
      <c r="H2106" t="s">
        <v>21</v>
      </c>
    </row>
    <row r="2107" spans="1:10" x14ac:dyDescent="0.25">
      <c r="A2107" s="1">
        <v>220</v>
      </c>
      <c r="B2107" t="s">
        <v>19</v>
      </c>
      <c r="C2107">
        <v>706</v>
      </c>
      <c r="D2107">
        <v>4</v>
      </c>
      <c r="E2107" t="s">
        <v>29</v>
      </c>
      <c r="F2107" t="s">
        <v>53</v>
      </c>
      <c r="G2107" t="str">
        <f>"2025-05-08 15:40:23.659"</f>
        <v>2025-05-08 15:40:23.659</v>
      </c>
      <c r="H2107" t="s">
        <v>21</v>
      </c>
      <c r="I2107">
        <v>0</v>
      </c>
      <c r="J2107" t="s">
        <v>31</v>
      </c>
    </row>
    <row r="2108" spans="1:10" x14ac:dyDescent="0.25">
      <c r="A2108" s="1">
        <v>221</v>
      </c>
      <c r="B2108" t="s">
        <v>19</v>
      </c>
      <c r="C2108">
        <v>700</v>
      </c>
      <c r="D2108">
        <v>0</v>
      </c>
      <c r="E2108" t="s">
        <v>20</v>
      </c>
      <c r="F2108" t="s">
        <v>20</v>
      </c>
      <c r="G2108" t="str">
        <f>"2025-05-08 15:37:53.129"</f>
        <v>2025-05-08 15:37:53.129</v>
      </c>
      <c r="H2108" t="s">
        <v>21</v>
      </c>
      <c r="I2108">
        <v>0</v>
      </c>
      <c r="J2108" t="s">
        <v>33</v>
      </c>
    </row>
    <row r="2109" spans="1:10" x14ac:dyDescent="0.25">
      <c r="A2109" s="1">
        <v>222</v>
      </c>
      <c r="B2109" t="s">
        <v>19</v>
      </c>
      <c r="C2109">
        <v>700</v>
      </c>
      <c r="D2109">
        <v>0</v>
      </c>
      <c r="E2109" t="s">
        <v>20</v>
      </c>
      <c r="F2109" t="s">
        <v>20</v>
      </c>
      <c r="G2109" t="str">
        <f>"2025-05-08 15:29:54.138"</f>
        <v>2025-05-08 15:29:54.138</v>
      </c>
      <c r="H2109" t="s">
        <v>21</v>
      </c>
      <c r="I2109">
        <v>0</v>
      </c>
      <c r="J2109" t="s">
        <v>33</v>
      </c>
    </row>
    <row r="2110" spans="1:10" x14ac:dyDescent="0.25">
      <c r="A2110" s="1">
        <v>223</v>
      </c>
      <c r="B2110" t="s">
        <v>19</v>
      </c>
      <c r="C2110">
        <v>700</v>
      </c>
      <c r="D2110">
        <v>0</v>
      </c>
      <c r="E2110" t="s">
        <v>20</v>
      </c>
      <c r="F2110" t="s">
        <v>20</v>
      </c>
      <c r="G2110" t="str">
        <f>"2025-05-06 11:50:37.140"</f>
        <v>2025-05-06 11:50:37.140</v>
      </c>
      <c r="H2110" t="s">
        <v>21</v>
      </c>
    </row>
    <row r="2111" spans="1:10" x14ac:dyDescent="0.25">
      <c r="A2111" s="1">
        <v>224</v>
      </c>
      <c r="B2111" t="s">
        <v>22</v>
      </c>
      <c r="C2111">
        <v>635</v>
      </c>
      <c r="D2111">
        <v>1</v>
      </c>
      <c r="E2111" t="s">
        <v>34</v>
      </c>
      <c r="F2111" t="s">
        <v>35</v>
      </c>
      <c r="G2111" t="str">
        <f>"2025-05-06 11:04:40.149"</f>
        <v>2025-05-06 11:04:40.149</v>
      </c>
      <c r="H2111" t="s">
        <v>21</v>
      </c>
    </row>
    <row r="2112" spans="1:10" x14ac:dyDescent="0.25">
      <c r="A2112" s="1">
        <v>225</v>
      </c>
      <c r="B2112" t="s">
        <v>36</v>
      </c>
      <c r="C2112">
        <v>635</v>
      </c>
      <c r="D2112">
        <v>1</v>
      </c>
      <c r="E2112" t="s">
        <v>34</v>
      </c>
      <c r="F2112" t="s">
        <v>35</v>
      </c>
      <c r="G2112" t="str">
        <f>"2025-05-06 11:02:06.149"</f>
        <v>2025-05-06 11:02:06.149</v>
      </c>
      <c r="H2112" t="s">
        <v>21</v>
      </c>
      <c r="I2112">
        <v>6.75</v>
      </c>
      <c r="J2112" t="s">
        <v>37</v>
      </c>
    </row>
    <row r="2113" spans="1:10" x14ac:dyDescent="0.25">
      <c r="A2113" s="1">
        <v>226</v>
      </c>
      <c r="B2113" t="s">
        <v>19</v>
      </c>
      <c r="C2113">
        <v>700</v>
      </c>
      <c r="D2113">
        <v>0</v>
      </c>
      <c r="E2113" t="s">
        <v>20</v>
      </c>
      <c r="F2113" t="s">
        <v>20</v>
      </c>
      <c r="G2113" t="str">
        <f>"2025-05-04 10:02:32.168"</f>
        <v>2025-05-04 10:02:32.168</v>
      </c>
      <c r="H2113" t="s">
        <v>21</v>
      </c>
      <c r="I2113">
        <v>0</v>
      </c>
      <c r="J2113" t="s">
        <v>33</v>
      </c>
    </row>
    <row r="2114" spans="1:10" x14ac:dyDescent="0.25">
      <c r="A2114" s="1">
        <v>227</v>
      </c>
      <c r="B2114" t="s">
        <v>22</v>
      </c>
      <c r="C2114">
        <v>635</v>
      </c>
      <c r="D2114">
        <v>1</v>
      </c>
      <c r="E2114" t="s">
        <v>34</v>
      </c>
      <c r="F2114" t="s">
        <v>35</v>
      </c>
      <c r="G2114" t="str">
        <f>"2025-05-04 08:24:41.501"</f>
        <v>2025-05-04 08:24:41.501</v>
      </c>
      <c r="H2114" t="s">
        <v>21</v>
      </c>
    </row>
    <row r="2115" spans="1:10" x14ac:dyDescent="0.25">
      <c r="A2115" s="1">
        <v>228</v>
      </c>
      <c r="B2115" t="s">
        <v>36</v>
      </c>
      <c r="C2115">
        <v>635</v>
      </c>
      <c r="D2115">
        <v>1</v>
      </c>
      <c r="E2115" t="s">
        <v>34</v>
      </c>
      <c r="F2115" t="s">
        <v>35</v>
      </c>
      <c r="G2115" t="str">
        <f>"2025-05-04 08:14:56.001"</f>
        <v>2025-05-04 08:14:56.001</v>
      </c>
      <c r="H2115" t="s">
        <v>21</v>
      </c>
      <c r="I2115">
        <v>5.61</v>
      </c>
      <c r="J2115" t="s">
        <v>28</v>
      </c>
    </row>
    <row r="2116" spans="1:10" x14ac:dyDescent="0.25">
      <c r="A2116" s="1">
        <v>235</v>
      </c>
      <c r="B2116" t="s">
        <v>22</v>
      </c>
      <c r="C2116">
        <v>635</v>
      </c>
      <c r="D2116">
        <v>1</v>
      </c>
      <c r="E2116" t="s">
        <v>34</v>
      </c>
      <c r="F2116" t="s">
        <v>35</v>
      </c>
      <c r="G2116" t="str">
        <f>"2025-05-03 21:44:07.601"</f>
        <v>2025-05-03 21:44:07.601</v>
      </c>
      <c r="H2116" t="s">
        <v>21</v>
      </c>
    </row>
    <row r="2117" spans="1:10" x14ac:dyDescent="0.25">
      <c r="A2117" s="1">
        <v>236</v>
      </c>
      <c r="B2117" t="s">
        <v>36</v>
      </c>
      <c r="C2117">
        <v>635</v>
      </c>
      <c r="D2117">
        <v>1</v>
      </c>
      <c r="E2117" t="s">
        <v>34</v>
      </c>
      <c r="F2117" t="s">
        <v>35</v>
      </c>
      <c r="G2117" t="str">
        <f>"2025-05-03 21:18:48.601"</f>
        <v>2025-05-03 21:18:48.601</v>
      </c>
      <c r="H2117" t="s">
        <v>21</v>
      </c>
      <c r="I2117">
        <v>4.47</v>
      </c>
      <c r="J2117" t="s">
        <v>37</v>
      </c>
    </row>
    <row r="2118" spans="1:10" x14ac:dyDescent="0.25">
      <c r="A2118" s="1">
        <v>237</v>
      </c>
      <c r="B2118" t="s">
        <v>22</v>
      </c>
      <c r="C2118">
        <v>42</v>
      </c>
      <c r="D2118">
        <v>1</v>
      </c>
      <c r="E2118" t="s">
        <v>68</v>
      </c>
      <c r="F2118" t="s">
        <v>69</v>
      </c>
      <c r="G2118" t="str">
        <f>"2025-05-03 13:28:36.351"</f>
        <v>2025-05-03 13:28:36.351</v>
      </c>
      <c r="H2118" t="s">
        <v>70</v>
      </c>
    </row>
    <row r="2119" spans="1:10" x14ac:dyDescent="0.25">
      <c r="A2119" s="1">
        <v>238</v>
      </c>
      <c r="B2119" t="s">
        <v>36</v>
      </c>
      <c r="C2119">
        <v>42</v>
      </c>
      <c r="D2119">
        <v>1</v>
      </c>
      <c r="E2119" t="s">
        <v>68</v>
      </c>
      <c r="F2119" t="s">
        <v>69</v>
      </c>
      <c r="G2119" t="str">
        <f>"2025-05-03 13:28:17.632"</f>
        <v>2025-05-03 13:28:17.632</v>
      </c>
      <c r="H2119" t="s">
        <v>70</v>
      </c>
      <c r="I2119">
        <v>0</v>
      </c>
      <c r="J2119" t="s">
        <v>31</v>
      </c>
    </row>
    <row r="2120" spans="1:10" x14ac:dyDescent="0.25">
      <c r="A2120" s="1">
        <v>239</v>
      </c>
      <c r="B2120" t="s">
        <v>22</v>
      </c>
      <c r="C2120">
        <v>635</v>
      </c>
      <c r="D2120">
        <v>1</v>
      </c>
      <c r="E2120" t="s">
        <v>34</v>
      </c>
      <c r="F2120" t="s">
        <v>35</v>
      </c>
      <c r="G2120" t="str">
        <f>"2025-05-03 10:51:39.101"</f>
        <v>2025-05-03 10:51:39.101</v>
      </c>
      <c r="H2120" t="s">
        <v>21</v>
      </c>
    </row>
    <row r="2121" spans="1:10" x14ac:dyDescent="0.25">
      <c r="A2121" s="1">
        <v>240</v>
      </c>
      <c r="B2121" t="s">
        <v>36</v>
      </c>
      <c r="C2121">
        <v>635</v>
      </c>
      <c r="D2121">
        <v>1</v>
      </c>
      <c r="E2121" t="s">
        <v>34</v>
      </c>
      <c r="F2121" t="s">
        <v>35</v>
      </c>
      <c r="G2121" t="str">
        <f>"2025-05-03 10:49:36.101"</f>
        <v>2025-05-03 10:49:36.101</v>
      </c>
      <c r="H2121" t="s">
        <v>21</v>
      </c>
      <c r="I2121">
        <v>4.26</v>
      </c>
      <c r="J2121" t="s">
        <v>37</v>
      </c>
    </row>
    <row r="2122" spans="1:10" x14ac:dyDescent="0.25">
      <c r="A2122" s="1">
        <v>241</v>
      </c>
      <c r="B2122" t="s">
        <v>19</v>
      </c>
      <c r="C2122">
        <v>700</v>
      </c>
      <c r="D2122">
        <v>0</v>
      </c>
      <c r="E2122" t="s">
        <v>20</v>
      </c>
      <c r="F2122" t="s">
        <v>20</v>
      </c>
      <c r="G2122" t="str">
        <f>"2025-05-03 07:28:42.333"</f>
        <v>2025-05-03 07:28:42.333</v>
      </c>
      <c r="H2122" t="s">
        <v>21</v>
      </c>
      <c r="I2122">
        <v>0</v>
      </c>
      <c r="J2122" t="s">
        <v>33</v>
      </c>
    </row>
    <row r="2123" spans="1:10" x14ac:dyDescent="0.25">
      <c r="A2123" s="1">
        <v>242</v>
      </c>
      <c r="B2123" t="s">
        <v>19</v>
      </c>
      <c r="C2123">
        <v>700</v>
      </c>
      <c r="D2123">
        <v>0</v>
      </c>
      <c r="E2123" t="s">
        <v>20</v>
      </c>
      <c r="F2123" t="s">
        <v>20</v>
      </c>
      <c r="G2123" t="str">
        <f>"2025-05-02 11:28:41.157"</f>
        <v>2025-05-02 11:28:41.157</v>
      </c>
      <c r="H2123" t="s">
        <v>21</v>
      </c>
      <c r="I2123">
        <v>0</v>
      </c>
      <c r="J2123" t="s">
        <v>33</v>
      </c>
    </row>
    <row r="2124" spans="1:10" x14ac:dyDescent="0.25">
      <c r="A2124" s="1">
        <v>243</v>
      </c>
      <c r="B2124" t="s">
        <v>19</v>
      </c>
      <c r="C2124">
        <v>700</v>
      </c>
      <c r="D2124">
        <v>0</v>
      </c>
      <c r="E2124" t="s">
        <v>20</v>
      </c>
      <c r="F2124" t="s">
        <v>20</v>
      </c>
      <c r="G2124" t="str">
        <f>"2025-05-01 20:17:41.150"</f>
        <v>2025-05-01 20:17:41.150</v>
      </c>
      <c r="H2124" t="s">
        <v>21</v>
      </c>
      <c r="I2124">
        <v>0</v>
      </c>
      <c r="J2124" t="s">
        <v>33</v>
      </c>
    </row>
    <row r="2125" spans="1:10" x14ac:dyDescent="0.25">
      <c r="A2125" s="1">
        <v>244</v>
      </c>
      <c r="B2125" t="s">
        <v>19</v>
      </c>
      <c r="C2125">
        <v>700</v>
      </c>
      <c r="D2125">
        <v>0</v>
      </c>
      <c r="E2125" t="s">
        <v>20</v>
      </c>
      <c r="F2125" t="s">
        <v>20</v>
      </c>
      <c r="G2125" t="str">
        <f>"2025-05-01 10:31:25.350"</f>
        <v>2025-05-01 10:31:25.350</v>
      </c>
      <c r="H2125" t="s">
        <v>21</v>
      </c>
    </row>
    <row r="2126" spans="1:10" x14ac:dyDescent="0.25">
      <c r="A2126" s="1">
        <v>245</v>
      </c>
      <c r="B2126" t="s">
        <v>22</v>
      </c>
      <c r="C2126">
        <v>635</v>
      </c>
      <c r="D2126">
        <v>1</v>
      </c>
      <c r="E2126" t="s">
        <v>34</v>
      </c>
      <c r="F2126" t="s">
        <v>35</v>
      </c>
      <c r="G2126" t="str">
        <f>"2025-05-01 06:03:55.049"</f>
        <v>2025-05-01 06:03:55.049</v>
      </c>
      <c r="H2126" t="s">
        <v>21</v>
      </c>
    </row>
    <row r="2127" spans="1:10" x14ac:dyDescent="0.25">
      <c r="A2127" s="1">
        <v>246</v>
      </c>
      <c r="B2127" t="s">
        <v>36</v>
      </c>
      <c r="C2127">
        <v>635</v>
      </c>
      <c r="D2127">
        <v>1</v>
      </c>
      <c r="E2127" t="s">
        <v>34</v>
      </c>
      <c r="F2127" t="s">
        <v>35</v>
      </c>
      <c r="G2127" t="str">
        <f>"2025-05-01 05:59:32.549"</f>
        <v>2025-05-01 05:59:32.549</v>
      </c>
      <c r="H2127" t="s">
        <v>21</v>
      </c>
      <c r="I2127">
        <v>1.53</v>
      </c>
      <c r="J2127" t="s">
        <v>27</v>
      </c>
    </row>
    <row r="2128" spans="1:10" x14ac:dyDescent="0.25">
      <c r="A2128" s="1">
        <v>247</v>
      </c>
      <c r="B2128" t="s">
        <v>22</v>
      </c>
      <c r="C2128">
        <v>635</v>
      </c>
      <c r="D2128">
        <v>1</v>
      </c>
      <c r="E2128" t="s">
        <v>34</v>
      </c>
      <c r="F2128" t="s">
        <v>35</v>
      </c>
      <c r="G2128" t="str">
        <f>"2025-05-01 04:50:23.649"</f>
        <v>2025-05-01 04:50:23.649</v>
      </c>
      <c r="H2128" t="s">
        <v>21</v>
      </c>
    </row>
    <row r="2129" spans="1:10" x14ac:dyDescent="0.25">
      <c r="A2129" s="1">
        <v>248</v>
      </c>
      <c r="B2129" t="s">
        <v>36</v>
      </c>
      <c r="C2129">
        <v>635</v>
      </c>
      <c r="D2129">
        <v>1</v>
      </c>
      <c r="E2129" t="s">
        <v>34</v>
      </c>
      <c r="F2129" t="s">
        <v>35</v>
      </c>
      <c r="G2129" t="str">
        <f>"2025-05-01 04:46:22.249"</f>
        <v>2025-05-01 04:46:22.249</v>
      </c>
      <c r="H2129" t="s">
        <v>21</v>
      </c>
      <c r="I2129">
        <v>2.82</v>
      </c>
      <c r="J2129" t="s">
        <v>37</v>
      </c>
    </row>
    <row r="2130" spans="1:10" x14ac:dyDescent="0.25">
      <c r="A2130" s="1">
        <v>249</v>
      </c>
      <c r="B2130" t="s">
        <v>56</v>
      </c>
      <c r="C2130">
        <v>620</v>
      </c>
      <c r="D2130">
        <v>1</v>
      </c>
      <c r="E2130" t="s">
        <v>79</v>
      </c>
      <c r="F2130" t="s">
        <v>35</v>
      </c>
      <c r="G2130" t="str">
        <f>"2025-04-30 18:29:46.601"</f>
        <v>2025-04-30 18:29:46.601</v>
      </c>
      <c r="H2130" t="s">
        <v>75</v>
      </c>
    </row>
    <row r="2131" spans="1:10" x14ac:dyDescent="0.25">
      <c r="A2131" s="1">
        <v>250</v>
      </c>
      <c r="B2131" t="s">
        <v>26</v>
      </c>
      <c r="C2131">
        <v>620</v>
      </c>
      <c r="D2131">
        <v>1</v>
      </c>
      <c r="E2131" t="s">
        <v>79</v>
      </c>
      <c r="F2131" t="s">
        <v>35</v>
      </c>
      <c r="G2131" t="str">
        <f>"2025-04-30 18:29:18.529"</f>
        <v>2025-04-30 18:29:18.529</v>
      </c>
      <c r="H2131" t="s">
        <v>75</v>
      </c>
      <c r="I2131">
        <v>27.6</v>
      </c>
      <c r="J2131" t="s">
        <v>37</v>
      </c>
    </row>
    <row r="2132" spans="1:10" x14ac:dyDescent="0.25">
      <c r="A2132" s="1">
        <v>251</v>
      </c>
      <c r="B2132" t="s">
        <v>19</v>
      </c>
      <c r="C2132">
        <v>706</v>
      </c>
      <c r="D2132">
        <v>4</v>
      </c>
      <c r="E2132" t="s">
        <v>29</v>
      </c>
      <c r="F2132" t="s">
        <v>53</v>
      </c>
      <c r="G2132" t="str">
        <f>"2025-04-30 18:01:45.362"</f>
        <v>2025-04-30 18:01:45.362</v>
      </c>
      <c r="H2132" t="s">
        <v>21</v>
      </c>
      <c r="I2132">
        <v>0.01</v>
      </c>
      <c r="J2132" t="s">
        <v>28</v>
      </c>
    </row>
    <row r="2133" spans="1:10" x14ac:dyDescent="0.25">
      <c r="A2133" s="1">
        <v>252</v>
      </c>
      <c r="B2133" t="s">
        <v>56</v>
      </c>
      <c r="C2133">
        <v>620</v>
      </c>
      <c r="D2133">
        <v>1</v>
      </c>
      <c r="E2133" t="s">
        <v>79</v>
      </c>
      <c r="F2133" t="s">
        <v>35</v>
      </c>
      <c r="G2133" t="str">
        <f>"2025-04-30 18:01:43.401"</f>
        <v>2025-04-30 18:01:43.401</v>
      </c>
      <c r="H2133" t="s">
        <v>75</v>
      </c>
    </row>
    <row r="2134" spans="1:10" x14ac:dyDescent="0.25">
      <c r="A2134" s="1">
        <v>253</v>
      </c>
      <c r="B2134" t="s">
        <v>26</v>
      </c>
      <c r="C2134">
        <v>620</v>
      </c>
      <c r="D2134">
        <v>1</v>
      </c>
      <c r="E2134" t="s">
        <v>79</v>
      </c>
      <c r="F2134" t="s">
        <v>35</v>
      </c>
      <c r="G2134" t="str">
        <f>"2025-04-30 18:01:35.429"</f>
        <v>2025-04-30 18:01:35.429</v>
      </c>
      <c r="H2134" t="s">
        <v>75</v>
      </c>
      <c r="I2134">
        <v>15.91</v>
      </c>
      <c r="J2134" t="s">
        <v>37</v>
      </c>
    </row>
    <row r="2135" spans="1:10" x14ac:dyDescent="0.25">
      <c r="A2135" s="1">
        <v>255</v>
      </c>
      <c r="B2135" t="s">
        <v>19</v>
      </c>
      <c r="C2135">
        <v>700</v>
      </c>
      <c r="D2135">
        <v>0</v>
      </c>
      <c r="E2135" t="s">
        <v>20</v>
      </c>
      <c r="F2135" t="s">
        <v>20</v>
      </c>
      <c r="G2135" t="str">
        <f>"2025-04-30 10:28:03.162"</f>
        <v>2025-04-30 10:28:03.162</v>
      </c>
      <c r="H2135" t="s">
        <v>21</v>
      </c>
    </row>
    <row r="2136" spans="1:10" x14ac:dyDescent="0.25">
      <c r="A2136" s="1">
        <v>256</v>
      </c>
      <c r="B2136" t="s">
        <v>22</v>
      </c>
      <c r="C2136">
        <v>635</v>
      </c>
      <c r="D2136">
        <v>1</v>
      </c>
      <c r="E2136" t="s">
        <v>34</v>
      </c>
      <c r="F2136" t="s">
        <v>35</v>
      </c>
      <c r="G2136" t="str">
        <f>"2025-04-29 14:04:59.715"</f>
        <v>2025-04-29 14:04:59.715</v>
      </c>
      <c r="H2136" t="s">
        <v>21</v>
      </c>
    </row>
    <row r="2137" spans="1:10" x14ac:dyDescent="0.25">
      <c r="A2137" s="1">
        <v>257</v>
      </c>
      <c r="B2137" t="s">
        <v>36</v>
      </c>
      <c r="C2137">
        <v>635</v>
      </c>
      <c r="D2137">
        <v>1</v>
      </c>
      <c r="E2137" t="s">
        <v>34</v>
      </c>
      <c r="F2137" t="s">
        <v>35</v>
      </c>
      <c r="G2137" t="str">
        <f>"2025-04-29 14:01:42.715"</f>
        <v>2025-04-29 14:01:42.715</v>
      </c>
      <c r="H2137" t="s">
        <v>21</v>
      </c>
      <c r="I2137">
        <v>0</v>
      </c>
      <c r="J2137" t="s">
        <v>28</v>
      </c>
    </row>
    <row r="2138" spans="1:10" x14ac:dyDescent="0.25">
      <c r="A2138" s="1">
        <v>258</v>
      </c>
      <c r="B2138" t="s">
        <v>19</v>
      </c>
      <c r="C2138">
        <v>700</v>
      </c>
      <c r="D2138">
        <v>0</v>
      </c>
      <c r="E2138" t="s">
        <v>20</v>
      </c>
      <c r="F2138" t="s">
        <v>20</v>
      </c>
      <c r="G2138" t="str">
        <f>"2025-04-29 11:10:59.134"</f>
        <v>2025-04-29 11:10:59.134</v>
      </c>
      <c r="H2138" t="s">
        <v>21</v>
      </c>
      <c r="I2138">
        <v>0</v>
      </c>
      <c r="J2138" t="s">
        <v>33</v>
      </c>
    </row>
    <row r="2139" spans="1:10" x14ac:dyDescent="0.25">
      <c r="A2139" s="1">
        <v>259</v>
      </c>
      <c r="B2139" t="s">
        <v>19</v>
      </c>
      <c r="C2139">
        <v>700</v>
      </c>
      <c r="D2139">
        <v>0</v>
      </c>
      <c r="E2139" t="s">
        <v>20</v>
      </c>
      <c r="F2139" t="s">
        <v>20</v>
      </c>
      <c r="G2139" t="str">
        <f>"2025-04-28 11:24:06.144"</f>
        <v>2025-04-28 11:24:06.144</v>
      </c>
      <c r="H2139" t="s">
        <v>21</v>
      </c>
    </row>
    <row r="2140" spans="1:10" x14ac:dyDescent="0.25">
      <c r="A2140" s="1">
        <v>260</v>
      </c>
      <c r="B2140" t="s">
        <v>22</v>
      </c>
      <c r="C2140">
        <v>635</v>
      </c>
      <c r="D2140">
        <v>1</v>
      </c>
      <c r="E2140" t="s">
        <v>34</v>
      </c>
      <c r="F2140" t="s">
        <v>35</v>
      </c>
      <c r="G2140" t="str">
        <f>"2025-04-28 05:00:45.614"</f>
        <v>2025-04-28 05:00:45.614</v>
      </c>
      <c r="H2140" t="s">
        <v>21</v>
      </c>
    </row>
    <row r="2141" spans="1:10" x14ac:dyDescent="0.25">
      <c r="A2141" s="1">
        <v>261</v>
      </c>
      <c r="B2141" t="s">
        <v>36</v>
      </c>
      <c r="C2141">
        <v>635</v>
      </c>
      <c r="D2141">
        <v>1</v>
      </c>
      <c r="E2141" t="s">
        <v>34</v>
      </c>
      <c r="F2141" t="s">
        <v>35</v>
      </c>
      <c r="G2141" t="str">
        <f>"2025-04-28 04:31:43.214"</f>
        <v>2025-04-28 04:31:43.214</v>
      </c>
      <c r="H2141" t="s">
        <v>21</v>
      </c>
      <c r="I2141">
        <v>4</v>
      </c>
      <c r="J2141" t="s">
        <v>37</v>
      </c>
    </row>
    <row r="2142" spans="1:10" x14ac:dyDescent="0.25">
      <c r="A2142" s="1">
        <v>262</v>
      </c>
      <c r="B2142" t="s">
        <v>19</v>
      </c>
      <c r="C2142">
        <v>706</v>
      </c>
      <c r="D2142">
        <v>2</v>
      </c>
      <c r="E2142" t="s">
        <v>29</v>
      </c>
      <c r="F2142" t="s">
        <v>30</v>
      </c>
      <c r="G2142" t="str">
        <f>"2025-04-28 02:45:18.178"</f>
        <v>2025-04-28 02:45:18.178</v>
      </c>
      <c r="H2142" t="s">
        <v>21</v>
      </c>
      <c r="I2142">
        <v>0</v>
      </c>
      <c r="J2142" t="s">
        <v>31</v>
      </c>
    </row>
    <row r="2143" spans="1:10" x14ac:dyDescent="0.25">
      <c r="A2143" s="1">
        <v>263</v>
      </c>
      <c r="B2143" t="s">
        <v>19</v>
      </c>
      <c r="C2143">
        <v>706</v>
      </c>
      <c r="D2143">
        <v>4</v>
      </c>
      <c r="E2143" t="s">
        <v>29</v>
      </c>
      <c r="F2143" t="s">
        <v>53</v>
      </c>
      <c r="G2143" t="str">
        <f>"2025-04-28 01:56:42.848"</f>
        <v>2025-04-28 01:56:42.848</v>
      </c>
      <c r="H2143" t="s">
        <v>21</v>
      </c>
      <c r="I2143">
        <v>0</v>
      </c>
      <c r="J2143" t="s">
        <v>31</v>
      </c>
    </row>
    <row r="2144" spans="1:10" x14ac:dyDescent="0.25">
      <c r="A2144" s="1">
        <v>264</v>
      </c>
      <c r="B2144" t="s">
        <v>19</v>
      </c>
      <c r="C2144">
        <v>700</v>
      </c>
      <c r="D2144">
        <v>0</v>
      </c>
      <c r="E2144" t="s">
        <v>20</v>
      </c>
      <c r="F2144" t="s">
        <v>20</v>
      </c>
      <c r="G2144" t="str">
        <f>"2025-04-28 01:45:38.138"</f>
        <v>2025-04-28 01:45:38.138</v>
      </c>
      <c r="H2144" t="s">
        <v>21</v>
      </c>
      <c r="I2144">
        <v>0</v>
      </c>
      <c r="J2144" t="s">
        <v>33</v>
      </c>
    </row>
    <row r="2145" spans="1:10" x14ac:dyDescent="0.25">
      <c r="A2145" s="1">
        <v>265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"2025-04-28 00:40:28.373"</f>
        <v>2025-04-28 00:40:28.373</v>
      </c>
      <c r="H2145" t="s">
        <v>21</v>
      </c>
    </row>
    <row r="2146" spans="1:10" x14ac:dyDescent="0.25">
      <c r="A2146" s="1">
        <v>266</v>
      </c>
      <c r="B2146" t="s">
        <v>19</v>
      </c>
      <c r="C2146">
        <v>700</v>
      </c>
      <c r="D2146">
        <v>0</v>
      </c>
      <c r="E2146" t="s">
        <v>20</v>
      </c>
      <c r="F2146" t="s">
        <v>20</v>
      </c>
      <c r="G2146" t="str">
        <f>"2025-04-28 00:28:36.117"</f>
        <v>2025-04-28 00:28:36.117</v>
      </c>
      <c r="H2146" t="s">
        <v>21</v>
      </c>
    </row>
    <row r="2147" spans="1:10" x14ac:dyDescent="0.25">
      <c r="A2147" s="1">
        <v>267</v>
      </c>
      <c r="B2147" t="s">
        <v>19</v>
      </c>
      <c r="C2147">
        <v>706</v>
      </c>
      <c r="D2147">
        <v>2</v>
      </c>
      <c r="E2147" t="s">
        <v>29</v>
      </c>
      <c r="F2147" t="s">
        <v>30</v>
      </c>
      <c r="G2147" t="str">
        <f>"2025-04-27 14:30:22.517"</f>
        <v>2025-04-27 14:30:22.517</v>
      </c>
      <c r="H2147" t="s">
        <v>21</v>
      </c>
      <c r="I2147">
        <v>0</v>
      </c>
      <c r="J2147" t="s">
        <v>31</v>
      </c>
    </row>
    <row r="2148" spans="1:10" x14ac:dyDescent="0.25">
      <c r="A2148" s="1">
        <v>268</v>
      </c>
      <c r="B2148" t="s">
        <v>19</v>
      </c>
      <c r="C2148">
        <v>706</v>
      </c>
      <c r="D2148">
        <v>2</v>
      </c>
      <c r="E2148" t="s">
        <v>29</v>
      </c>
      <c r="F2148" t="s">
        <v>30</v>
      </c>
      <c r="G2148" t="str">
        <f>"2025-04-27 13:46:30.817"</f>
        <v>2025-04-27 13:46:30.817</v>
      </c>
      <c r="H2148" t="s">
        <v>21</v>
      </c>
      <c r="I2148">
        <v>0</v>
      </c>
      <c r="J2148" t="s">
        <v>31</v>
      </c>
    </row>
    <row r="2149" spans="1:10" x14ac:dyDescent="0.25">
      <c r="A2149" s="1">
        <v>269</v>
      </c>
      <c r="B2149" t="s">
        <v>19</v>
      </c>
      <c r="C2149">
        <v>700</v>
      </c>
      <c r="D2149">
        <v>0</v>
      </c>
      <c r="E2149" t="s">
        <v>20</v>
      </c>
      <c r="F2149" t="s">
        <v>20</v>
      </c>
      <c r="G2149" t="str">
        <f>"2025-04-27 08:28:08.177"</f>
        <v>2025-04-27 08:28:08.177</v>
      </c>
      <c r="H2149" t="s">
        <v>21</v>
      </c>
    </row>
    <row r="2150" spans="1:10" x14ac:dyDescent="0.25">
      <c r="A2150" s="1">
        <v>270</v>
      </c>
      <c r="B2150" t="s">
        <v>22</v>
      </c>
      <c r="C2150">
        <v>635</v>
      </c>
      <c r="D2150">
        <v>1</v>
      </c>
      <c r="E2150" t="s">
        <v>34</v>
      </c>
      <c r="F2150" t="s">
        <v>35</v>
      </c>
      <c r="G2150" t="str">
        <f>"2025-04-26 23:09:09.717"</f>
        <v>2025-04-26 23:09:09.717</v>
      </c>
      <c r="H2150" t="s">
        <v>21</v>
      </c>
    </row>
    <row r="2151" spans="1:10" x14ac:dyDescent="0.25">
      <c r="A2151" s="1">
        <v>271</v>
      </c>
      <c r="B2151" t="s">
        <v>36</v>
      </c>
      <c r="C2151">
        <v>635</v>
      </c>
      <c r="D2151">
        <v>1</v>
      </c>
      <c r="E2151" t="s">
        <v>34</v>
      </c>
      <c r="F2151" t="s">
        <v>35</v>
      </c>
      <c r="G2151" t="str">
        <f>"2025-04-26 22:57:16.217"</f>
        <v>2025-04-26 22:57:16.217</v>
      </c>
      <c r="H2151" t="s">
        <v>21</v>
      </c>
      <c r="I2151">
        <v>7.45</v>
      </c>
      <c r="J2151" t="s">
        <v>37</v>
      </c>
    </row>
    <row r="2152" spans="1:10" x14ac:dyDescent="0.25">
      <c r="A2152" s="1">
        <v>272</v>
      </c>
      <c r="B2152" t="s">
        <v>19</v>
      </c>
      <c r="C2152">
        <v>700</v>
      </c>
      <c r="D2152">
        <v>0</v>
      </c>
      <c r="E2152" t="s">
        <v>20</v>
      </c>
      <c r="F2152" t="s">
        <v>20</v>
      </c>
      <c r="G2152" t="str">
        <f>"2025-04-26 10:40:43.360"</f>
        <v>2025-04-26 10:40:43.360</v>
      </c>
      <c r="H2152" t="s">
        <v>21</v>
      </c>
      <c r="I2152">
        <v>0</v>
      </c>
      <c r="J2152" t="s">
        <v>33</v>
      </c>
    </row>
    <row r="2153" spans="1:10" x14ac:dyDescent="0.25">
      <c r="A2153" s="1">
        <v>273</v>
      </c>
      <c r="B2153" t="s">
        <v>56</v>
      </c>
      <c r="C2153">
        <v>620</v>
      </c>
      <c r="D2153">
        <v>1</v>
      </c>
      <c r="E2153" t="s">
        <v>79</v>
      </c>
      <c r="F2153" t="s">
        <v>35</v>
      </c>
      <c r="G2153" t="str">
        <f>"2025-04-25 19:08:05.439"</f>
        <v>2025-04-25 19:08:05.439</v>
      </c>
      <c r="H2153" t="s">
        <v>75</v>
      </c>
    </row>
    <row r="2154" spans="1:10" x14ac:dyDescent="0.25">
      <c r="A2154" s="1">
        <v>274</v>
      </c>
      <c r="B2154" t="s">
        <v>26</v>
      </c>
      <c r="C2154">
        <v>620</v>
      </c>
      <c r="D2154">
        <v>1</v>
      </c>
      <c r="E2154" t="s">
        <v>79</v>
      </c>
      <c r="F2154" t="s">
        <v>35</v>
      </c>
      <c r="G2154" t="str">
        <f>"2025-04-25 19:08:01.307"</f>
        <v>2025-04-25 19:08:01.307</v>
      </c>
      <c r="H2154" t="s">
        <v>75</v>
      </c>
      <c r="I2154">
        <v>7.31</v>
      </c>
      <c r="J2154" t="s">
        <v>37</v>
      </c>
    </row>
    <row r="2155" spans="1:10" x14ac:dyDescent="0.25">
      <c r="A2155" s="1">
        <v>275</v>
      </c>
      <c r="B2155" t="s">
        <v>19</v>
      </c>
      <c r="C2155">
        <v>700</v>
      </c>
      <c r="D2155">
        <v>0</v>
      </c>
      <c r="E2155" t="s">
        <v>20</v>
      </c>
      <c r="F2155" t="s">
        <v>20</v>
      </c>
      <c r="G2155" t="str">
        <f>"2025-04-25 16:43:02.120"</f>
        <v>2025-04-25 16:43:02.120</v>
      </c>
      <c r="H2155" t="s">
        <v>21</v>
      </c>
      <c r="I2155">
        <v>0</v>
      </c>
      <c r="J2155" t="s">
        <v>33</v>
      </c>
    </row>
    <row r="2156" spans="1:10" x14ac:dyDescent="0.25">
      <c r="A2156" s="1">
        <v>276</v>
      </c>
      <c r="B2156" t="s">
        <v>19</v>
      </c>
      <c r="C2156">
        <v>706</v>
      </c>
      <c r="D2156">
        <v>2</v>
      </c>
      <c r="E2156" t="s">
        <v>29</v>
      </c>
      <c r="F2156" t="s">
        <v>30</v>
      </c>
      <c r="G2156" t="str">
        <f>"2025-04-25 14:56:01.864"</f>
        <v>2025-04-25 14:56:01.864</v>
      </c>
      <c r="H2156" t="s">
        <v>21</v>
      </c>
      <c r="I2156">
        <v>0</v>
      </c>
      <c r="J2156" t="s">
        <v>31</v>
      </c>
    </row>
    <row r="2157" spans="1:10" x14ac:dyDescent="0.25">
      <c r="A2157" s="1">
        <v>277</v>
      </c>
      <c r="B2157" t="s">
        <v>19</v>
      </c>
      <c r="C2157">
        <v>700</v>
      </c>
      <c r="D2157">
        <v>0</v>
      </c>
      <c r="E2157" t="s">
        <v>20</v>
      </c>
      <c r="F2157" t="s">
        <v>20</v>
      </c>
      <c r="G2157" t="str">
        <f>"2025-04-25 13:52:35.134"</f>
        <v>2025-04-25 13:52:35.134</v>
      </c>
      <c r="H2157" t="s">
        <v>21</v>
      </c>
      <c r="I2157">
        <v>0</v>
      </c>
      <c r="J2157" t="s">
        <v>33</v>
      </c>
    </row>
    <row r="2158" spans="1:10" x14ac:dyDescent="0.25">
      <c r="A2158" s="1">
        <v>278</v>
      </c>
      <c r="B2158" t="s">
        <v>19</v>
      </c>
      <c r="C2158">
        <v>700</v>
      </c>
      <c r="D2158">
        <v>0</v>
      </c>
      <c r="E2158" t="s">
        <v>20</v>
      </c>
      <c r="F2158" t="s">
        <v>20</v>
      </c>
      <c r="G2158" t="str">
        <f>"2025-04-25 11:30:54.119"</f>
        <v>2025-04-25 11:30:54.119</v>
      </c>
      <c r="H2158" t="s">
        <v>21</v>
      </c>
      <c r="I2158">
        <v>0</v>
      </c>
      <c r="J2158" t="s">
        <v>33</v>
      </c>
    </row>
    <row r="2159" spans="1:10" x14ac:dyDescent="0.25">
      <c r="A2159" s="1">
        <v>279</v>
      </c>
      <c r="B2159" t="s">
        <v>19</v>
      </c>
      <c r="C2159">
        <v>700</v>
      </c>
      <c r="D2159">
        <v>0</v>
      </c>
      <c r="E2159" t="s">
        <v>20</v>
      </c>
      <c r="F2159" t="s">
        <v>20</v>
      </c>
      <c r="G2159" t="str">
        <f>"2025-04-25 09:33:06.125"</f>
        <v>2025-04-25 09:33:06.125</v>
      </c>
      <c r="H2159" t="s">
        <v>21</v>
      </c>
    </row>
    <row r="2160" spans="1:10" x14ac:dyDescent="0.25">
      <c r="A2160" s="1">
        <v>280</v>
      </c>
      <c r="B2160" t="s">
        <v>19</v>
      </c>
      <c r="C2160">
        <v>700</v>
      </c>
      <c r="D2160">
        <v>0</v>
      </c>
      <c r="E2160" t="s">
        <v>20</v>
      </c>
      <c r="F2160" t="s">
        <v>20</v>
      </c>
      <c r="G2160" t="str">
        <f>"2025-04-25 08:52:40.127"</f>
        <v>2025-04-25 08:52:40.127</v>
      </c>
      <c r="H2160" t="s">
        <v>21</v>
      </c>
      <c r="I2160">
        <v>0</v>
      </c>
      <c r="J2160" t="s">
        <v>33</v>
      </c>
    </row>
    <row r="2161" spans="1:10" x14ac:dyDescent="0.25">
      <c r="A2161" s="1">
        <v>281</v>
      </c>
      <c r="B2161" t="s">
        <v>19</v>
      </c>
      <c r="C2161">
        <v>700</v>
      </c>
      <c r="D2161">
        <v>0</v>
      </c>
      <c r="E2161" t="s">
        <v>20</v>
      </c>
      <c r="F2161" t="s">
        <v>20</v>
      </c>
      <c r="G2161" t="str">
        <f>"2025-04-25 08:50:00.113"</f>
        <v>2025-04-25 08:50:00.113</v>
      </c>
      <c r="H2161" t="s">
        <v>21</v>
      </c>
      <c r="I2161">
        <v>0</v>
      </c>
      <c r="J2161" t="s">
        <v>33</v>
      </c>
    </row>
    <row r="2162" spans="1:10" x14ac:dyDescent="0.25">
      <c r="A2162" s="1">
        <v>282</v>
      </c>
      <c r="B2162" t="s">
        <v>19</v>
      </c>
      <c r="C2162">
        <v>700</v>
      </c>
      <c r="D2162">
        <v>0</v>
      </c>
      <c r="E2162" t="s">
        <v>20</v>
      </c>
      <c r="F2162" t="s">
        <v>20</v>
      </c>
      <c r="G2162" t="str">
        <f>"2025-04-25 08:23:35.127"</f>
        <v>2025-04-25 08:23:35.127</v>
      </c>
      <c r="H2162" t="s">
        <v>21</v>
      </c>
      <c r="I2162">
        <v>0</v>
      </c>
      <c r="J2162" t="s">
        <v>33</v>
      </c>
    </row>
    <row r="2163" spans="1:10" x14ac:dyDescent="0.25">
      <c r="A2163" s="1">
        <v>283</v>
      </c>
      <c r="B2163" t="s">
        <v>19</v>
      </c>
      <c r="C2163">
        <v>700</v>
      </c>
      <c r="D2163">
        <v>0</v>
      </c>
      <c r="E2163" t="s">
        <v>20</v>
      </c>
      <c r="F2163" t="s">
        <v>20</v>
      </c>
      <c r="G2163" t="str">
        <f>"2025-04-25 08:03:37.145"</f>
        <v>2025-04-25 08:03:37.145</v>
      </c>
      <c r="H2163" t="s">
        <v>21</v>
      </c>
      <c r="I2163">
        <v>0</v>
      </c>
      <c r="J2163" t="s">
        <v>33</v>
      </c>
    </row>
    <row r="2164" spans="1:10" x14ac:dyDescent="0.25">
      <c r="A2164" s="1">
        <v>284</v>
      </c>
      <c r="B2164" t="s">
        <v>22</v>
      </c>
      <c r="C2164">
        <v>635</v>
      </c>
      <c r="D2164">
        <v>1</v>
      </c>
      <c r="E2164" t="s">
        <v>34</v>
      </c>
      <c r="F2164" t="s">
        <v>35</v>
      </c>
      <c r="G2164" t="str">
        <f>"2025-04-24 21:11:08.442"</f>
        <v>2025-04-24 21:11:08.442</v>
      </c>
      <c r="H2164" t="s">
        <v>21</v>
      </c>
    </row>
    <row r="2165" spans="1:10" x14ac:dyDescent="0.25">
      <c r="A2165" s="1">
        <v>285</v>
      </c>
      <c r="B2165" t="s">
        <v>36</v>
      </c>
      <c r="C2165">
        <v>635</v>
      </c>
      <c r="D2165">
        <v>1</v>
      </c>
      <c r="E2165" t="s">
        <v>34</v>
      </c>
      <c r="F2165" t="s">
        <v>35</v>
      </c>
      <c r="G2165" t="str">
        <f>"2025-04-24 21:06:34.943"</f>
        <v>2025-04-24 21:06:34.943</v>
      </c>
      <c r="H2165" t="s">
        <v>21</v>
      </c>
      <c r="I2165">
        <v>1.22</v>
      </c>
      <c r="J2165" t="s">
        <v>37</v>
      </c>
    </row>
    <row r="2166" spans="1:10" x14ac:dyDescent="0.25">
      <c r="A2166" s="1">
        <v>286</v>
      </c>
      <c r="B2166" t="s">
        <v>19</v>
      </c>
      <c r="C2166">
        <v>700</v>
      </c>
      <c r="D2166">
        <v>0</v>
      </c>
      <c r="E2166" t="s">
        <v>20</v>
      </c>
      <c r="F2166" t="s">
        <v>20</v>
      </c>
      <c r="G2166" t="str">
        <f>"2025-04-24 20:46:23.152"</f>
        <v>2025-04-24 20:46:23.152</v>
      </c>
      <c r="H2166" t="s">
        <v>21</v>
      </c>
    </row>
    <row r="2167" spans="1:10" x14ac:dyDescent="0.25">
      <c r="A2167" s="1">
        <v>287</v>
      </c>
      <c r="B2167" t="s">
        <v>40</v>
      </c>
      <c r="C2167">
        <v>215</v>
      </c>
      <c r="D2167">
        <v>6</v>
      </c>
      <c r="E2167" t="s">
        <v>41</v>
      </c>
      <c r="F2167" t="s">
        <v>42</v>
      </c>
      <c r="G2167" t="str">
        <f>"2025-04-24 17:21:40.695"</f>
        <v>2025-04-24 17:21:40.695</v>
      </c>
      <c r="H2167" t="s">
        <v>21</v>
      </c>
    </row>
    <row r="2168" spans="1:10" x14ac:dyDescent="0.25">
      <c r="A2168" s="1">
        <v>288</v>
      </c>
      <c r="B2168" t="s">
        <v>40</v>
      </c>
      <c r="C2168">
        <v>115</v>
      </c>
      <c r="D2168">
        <v>6</v>
      </c>
      <c r="E2168" t="s">
        <v>43</v>
      </c>
      <c r="F2168" t="s">
        <v>42</v>
      </c>
      <c r="G2168" t="str">
        <f>"2025-04-24 17:21:40.595"</f>
        <v>2025-04-24 17:21:40.595</v>
      </c>
      <c r="H2168" t="s">
        <v>21</v>
      </c>
    </row>
    <row r="2169" spans="1:10" x14ac:dyDescent="0.25">
      <c r="A2169" s="1">
        <v>289</v>
      </c>
      <c r="B2169" t="s">
        <v>26</v>
      </c>
      <c r="C2169">
        <v>215</v>
      </c>
      <c r="D2169">
        <v>6</v>
      </c>
      <c r="E2169" t="s">
        <v>41</v>
      </c>
      <c r="F2169" t="s">
        <v>42</v>
      </c>
      <c r="G2169" t="str">
        <f>"2025-04-24 17:21:35.559"</f>
        <v>2025-04-24 17:21:35.559</v>
      </c>
      <c r="H2169" t="s">
        <v>21</v>
      </c>
      <c r="I2169">
        <v>0</v>
      </c>
      <c r="J2169" t="s">
        <v>31</v>
      </c>
    </row>
    <row r="2170" spans="1:10" x14ac:dyDescent="0.25">
      <c r="A2170" s="1">
        <v>290</v>
      </c>
      <c r="B2170" t="s">
        <v>26</v>
      </c>
      <c r="C2170">
        <v>115</v>
      </c>
      <c r="D2170">
        <v>6</v>
      </c>
      <c r="E2170" t="s">
        <v>43</v>
      </c>
      <c r="F2170" t="s">
        <v>42</v>
      </c>
      <c r="G2170" t="str">
        <f>"2025-04-24 17:21:35.554"</f>
        <v>2025-04-24 17:21:35.554</v>
      </c>
      <c r="H2170" t="s">
        <v>21</v>
      </c>
      <c r="I2170">
        <v>0</v>
      </c>
      <c r="J2170" t="s">
        <v>31</v>
      </c>
    </row>
    <row r="2171" spans="1:10" x14ac:dyDescent="0.25">
      <c r="A2171" s="1">
        <v>291</v>
      </c>
      <c r="B2171" t="s">
        <v>22</v>
      </c>
      <c r="C2171">
        <v>6</v>
      </c>
      <c r="D2171">
        <v>1</v>
      </c>
      <c r="E2171" t="s">
        <v>44</v>
      </c>
      <c r="F2171" t="s">
        <v>45</v>
      </c>
      <c r="G2171" t="str">
        <f>"2025-04-24 17:21:35.425"</f>
        <v>2025-04-24 17:21:35.425</v>
      </c>
      <c r="H2171" t="s">
        <v>46</v>
      </c>
    </row>
    <row r="2172" spans="1:10" x14ac:dyDescent="0.25">
      <c r="A2172" s="1">
        <v>292</v>
      </c>
      <c r="B2172" t="s">
        <v>22</v>
      </c>
      <c r="C2172">
        <v>75</v>
      </c>
      <c r="D2172">
        <v>1</v>
      </c>
      <c r="E2172" t="s">
        <v>47</v>
      </c>
      <c r="F2172" t="s">
        <v>48</v>
      </c>
      <c r="G2172" t="str">
        <f>"2025-04-24 17:21:35.423"</f>
        <v>2025-04-24 17:21:35.423</v>
      </c>
      <c r="H2172" t="s">
        <v>49</v>
      </c>
    </row>
    <row r="2173" spans="1:10" x14ac:dyDescent="0.25">
      <c r="A2173" s="1">
        <v>293</v>
      </c>
      <c r="B2173" t="s">
        <v>22</v>
      </c>
      <c r="C2173">
        <v>74</v>
      </c>
      <c r="D2173">
        <v>1</v>
      </c>
      <c r="E2173" t="s">
        <v>50</v>
      </c>
      <c r="F2173" t="s">
        <v>51</v>
      </c>
      <c r="G2173" t="str">
        <f>"2025-04-24 17:21:35.421"</f>
        <v>2025-04-24 17:21:35.421</v>
      </c>
      <c r="H2173" t="s">
        <v>52</v>
      </c>
    </row>
    <row r="2174" spans="1:10" x14ac:dyDescent="0.25">
      <c r="A2174" s="1">
        <v>294</v>
      </c>
      <c r="B2174" t="s">
        <v>36</v>
      </c>
      <c r="C2174">
        <v>75</v>
      </c>
      <c r="D2174">
        <v>1</v>
      </c>
      <c r="E2174" t="s">
        <v>47</v>
      </c>
      <c r="F2174" t="s">
        <v>48</v>
      </c>
      <c r="G2174" t="str">
        <f>"2025-04-24 17:21:23.931"</f>
        <v>2025-04-24 17:21:23.931</v>
      </c>
      <c r="H2174" t="s">
        <v>49</v>
      </c>
      <c r="I2174">
        <v>2.42</v>
      </c>
      <c r="J2174" t="s">
        <v>31</v>
      </c>
    </row>
    <row r="2175" spans="1:10" x14ac:dyDescent="0.25">
      <c r="A2175" s="1">
        <v>295</v>
      </c>
      <c r="B2175" t="s">
        <v>36</v>
      </c>
      <c r="C2175">
        <v>74</v>
      </c>
      <c r="D2175">
        <v>1</v>
      </c>
      <c r="E2175" t="s">
        <v>50</v>
      </c>
      <c r="F2175" t="s">
        <v>51</v>
      </c>
      <c r="G2175" t="str">
        <f>"2025-04-24 17:21:23.926"</f>
        <v>2025-04-24 17:21:23.926</v>
      </c>
      <c r="H2175" t="s">
        <v>52</v>
      </c>
      <c r="I2175">
        <v>2.42</v>
      </c>
      <c r="J2175" t="s">
        <v>31</v>
      </c>
    </row>
    <row r="2176" spans="1:10" x14ac:dyDescent="0.25">
      <c r="A2176" s="1">
        <v>296</v>
      </c>
      <c r="B2176" t="s">
        <v>26</v>
      </c>
      <c r="C2176">
        <v>6</v>
      </c>
      <c r="D2176">
        <v>1</v>
      </c>
      <c r="E2176" t="s">
        <v>44</v>
      </c>
      <c r="F2176" t="s">
        <v>45</v>
      </c>
      <c r="G2176" t="str">
        <f>"2025-04-24 17:21:23.922"</f>
        <v>2025-04-24 17:21:23.922</v>
      </c>
      <c r="H2176" t="s">
        <v>46</v>
      </c>
      <c r="I2176">
        <v>2.42</v>
      </c>
      <c r="J2176" t="s">
        <v>31</v>
      </c>
    </row>
    <row r="2177" spans="1:10" x14ac:dyDescent="0.25">
      <c r="A2177" s="1">
        <v>301</v>
      </c>
      <c r="B2177" t="s">
        <v>19</v>
      </c>
      <c r="C2177">
        <v>700</v>
      </c>
      <c r="D2177">
        <v>0</v>
      </c>
      <c r="E2177" t="s">
        <v>20</v>
      </c>
      <c r="F2177" t="s">
        <v>20</v>
      </c>
      <c r="G2177" t="str">
        <f>"2025-04-24 12:57:58.123"</f>
        <v>2025-04-24 12:57:58.123</v>
      </c>
      <c r="H2177" t="s">
        <v>21</v>
      </c>
      <c r="I2177">
        <v>0</v>
      </c>
      <c r="J2177" t="s">
        <v>33</v>
      </c>
    </row>
    <row r="2178" spans="1:10" x14ac:dyDescent="0.25">
      <c r="A2178" s="1">
        <v>302</v>
      </c>
      <c r="B2178" t="s">
        <v>22</v>
      </c>
      <c r="C2178">
        <v>635</v>
      </c>
      <c r="D2178">
        <v>1</v>
      </c>
      <c r="E2178" t="s">
        <v>34</v>
      </c>
      <c r="F2178" t="s">
        <v>35</v>
      </c>
      <c r="G2178" t="str">
        <f>"2025-04-22 09:31:11.946"</f>
        <v>2025-04-22 09:31:11.946</v>
      </c>
      <c r="H2178" t="s">
        <v>21</v>
      </c>
    </row>
    <row r="2179" spans="1:10" x14ac:dyDescent="0.25">
      <c r="A2179" s="1">
        <v>303</v>
      </c>
      <c r="B2179" t="s">
        <v>36</v>
      </c>
      <c r="C2179">
        <v>635</v>
      </c>
      <c r="D2179">
        <v>1</v>
      </c>
      <c r="E2179" t="s">
        <v>34</v>
      </c>
      <c r="F2179" t="s">
        <v>35</v>
      </c>
      <c r="G2179" t="str">
        <f>"2025-04-22 09:28:09.446"</f>
        <v>2025-04-22 09:28:09.446</v>
      </c>
      <c r="H2179" t="s">
        <v>21</v>
      </c>
      <c r="I2179">
        <v>0</v>
      </c>
      <c r="J2179" t="s">
        <v>28</v>
      </c>
    </row>
    <row r="2180" spans="1:10" x14ac:dyDescent="0.25">
      <c r="A2180" s="1">
        <v>304</v>
      </c>
      <c r="B2180" t="s">
        <v>19</v>
      </c>
      <c r="C2180">
        <v>700</v>
      </c>
      <c r="D2180">
        <v>0</v>
      </c>
      <c r="E2180" t="s">
        <v>20</v>
      </c>
      <c r="F2180" t="s">
        <v>20</v>
      </c>
      <c r="G2180" t="str">
        <f>"2025-04-22 08:58:45.138"</f>
        <v>2025-04-22 08:58:45.138</v>
      </c>
      <c r="H2180" t="s">
        <v>21</v>
      </c>
    </row>
    <row r="2181" spans="1:10" x14ac:dyDescent="0.25">
      <c r="A2181" s="1">
        <v>305</v>
      </c>
      <c r="B2181" t="s">
        <v>19</v>
      </c>
      <c r="C2181">
        <v>700</v>
      </c>
      <c r="D2181">
        <v>0</v>
      </c>
      <c r="E2181" t="s">
        <v>20</v>
      </c>
      <c r="F2181" t="s">
        <v>20</v>
      </c>
      <c r="G2181" t="str">
        <f>"2025-04-20 21:26:24.133"</f>
        <v>2025-04-20 21:26:24.133</v>
      </c>
      <c r="H2181" t="s">
        <v>21</v>
      </c>
    </row>
    <row r="2182" spans="1:10" x14ac:dyDescent="0.25">
      <c r="A2182" s="1">
        <v>306</v>
      </c>
      <c r="B2182" t="s">
        <v>22</v>
      </c>
      <c r="C2182">
        <v>635</v>
      </c>
      <c r="D2182">
        <v>1</v>
      </c>
      <c r="E2182" t="s">
        <v>34</v>
      </c>
      <c r="F2182" t="s">
        <v>35</v>
      </c>
      <c r="G2182" t="str">
        <f>"2025-04-20 15:35:42.813"</f>
        <v>2025-04-20 15:35:42.813</v>
      </c>
      <c r="H2182" t="s">
        <v>21</v>
      </c>
    </row>
    <row r="2183" spans="1:10" x14ac:dyDescent="0.25">
      <c r="A2183" s="1">
        <v>307</v>
      </c>
      <c r="B2183" t="s">
        <v>36</v>
      </c>
      <c r="C2183">
        <v>635</v>
      </c>
      <c r="D2183">
        <v>1</v>
      </c>
      <c r="E2183" t="s">
        <v>34</v>
      </c>
      <c r="F2183" t="s">
        <v>35</v>
      </c>
      <c r="G2183" t="str">
        <f>"2025-04-20 15:31:45.813"</f>
        <v>2025-04-20 15:31:45.813</v>
      </c>
      <c r="H2183" t="s">
        <v>21</v>
      </c>
      <c r="I2183">
        <v>4.4800000000000004</v>
      </c>
      <c r="J2183" t="s">
        <v>37</v>
      </c>
    </row>
    <row r="2184" spans="1:10" x14ac:dyDescent="0.25">
      <c r="A2184" s="1">
        <v>308</v>
      </c>
      <c r="B2184" t="s">
        <v>19</v>
      </c>
      <c r="C2184">
        <v>700</v>
      </c>
      <c r="D2184">
        <v>0</v>
      </c>
      <c r="E2184" t="s">
        <v>20</v>
      </c>
      <c r="F2184" t="s">
        <v>20</v>
      </c>
      <c r="G2184" t="str">
        <f>"2025-04-20 14:10:33.146"</f>
        <v>2025-04-20 14:10:33.146</v>
      </c>
      <c r="H2184" t="s">
        <v>21</v>
      </c>
      <c r="I2184">
        <v>0</v>
      </c>
      <c r="J2184" t="s">
        <v>33</v>
      </c>
    </row>
    <row r="2185" spans="1:10" x14ac:dyDescent="0.25">
      <c r="A2185" s="1">
        <v>309</v>
      </c>
      <c r="B2185" t="s">
        <v>19</v>
      </c>
      <c r="C2185">
        <v>700</v>
      </c>
      <c r="D2185">
        <v>0</v>
      </c>
      <c r="E2185" t="s">
        <v>20</v>
      </c>
      <c r="F2185" t="s">
        <v>20</v>
      </c>
      <c r="G2185" t="str">
        <f>"2025-04-20 10:38:16.131"</f>
        <v>2025-04-20 10:38:16.131</v>
      </c>
      <c r="H2185" t="s">
        <v>21</v>
      </c>
    </row>
    <row r="2186" spans="1:10" x14ac:dyDescent="0.25">
      <c r="A2186" s="1">
        <v>310</v>
      </c>
      <c r="B2186" t="s">
        <v>19</v>
      </c>
      <c r="C2186">
        <v>700</v>
      </c>
      <c r="D2186">
        <v>0</v>
      </c>
      <c r="E2186" t="s">
        <v>20</v>
      </c>
      <c r="F2186" t="s">
        <v>20</v>
      </c>
      <c r="G2186" t="str">
        <f>"2025-04-19 13:43:30.105"</f>
        <v>2025-04-19 13:43:30.105</v>
      </c>
      <c r="H2186" t="s">
        <v>21</v>
      </c>
    </row>
    <row r="2187" spans="1:10" x14ac:dyDescent="0.25">
      <c r="A2187" s="1">
        <v>311</v>
      </c>
      <c r="B2187" t="s">
        <v>19</v>
      </c>
      <c r="C2187">
        <v>700</v>
      </c>
      <c r="D2187">
        <v>0</v>
      </c>
      <c r="E2187" t="s">
        <v>20</v>
      </c>
      <c r="F2187" t="s">
        <v>20</v>
      </c>
      <c r="G2187" t="str">
        <f>"2025-04-19 10:52:45.134"</f>
        <v>2025-04-19 10:52:45.134</v>
      </c>
      <c r="H2187" t="s">
        <v>21</v>
      </c>
      <c r="I2187">
        <v>0</v>
      </c>
      <c r="J2187" t="s">
        <v>33</v>
      </c>
    </row>
    <row r="2188" spans="1:10" x14ac:dyDescent="0.25">
      <c r="A2188" s="1">
        <v>312</v>
      </c>
      <c r="B2188" t="s">
        <v>22</v>
      </c>
      <c r="C2188">
        <v>98</v>
      </c>
      <c r="D2188">
        <v>1</v>
      </c>
      <c r="E2188" t="s">
        <v>99</v>
      </c>
      <c r="F2188" t="s">
        <v>100</v>
      </c>
      <c r="G2188" t="str">
        <f>"2025-04-19 07:22:08.312"</f>
        <v>2025-04-19 07:22:08.312</v>
      </c>
      <c r="H2188" t="s">
        <v>21</v>
      </c>
    </row>
    <row r="2189" spans="1:10" x14ac:dyDescent="0.25">
      <c r="A2189" s="1">
        <v>313</v>
      </c>
      <c r="B2189" t="s">
        <v>36</v>
      </c>
      <c r="C2189">
        <v>98</v>
      </c>
      <c r="D2189">
        <v>1</v>
      </c>
      <c r="E2189" t="s">
        <v>99</v>
      </c>
      <c r="F2189" t="s">
        <v>100</v>
      </c>
      <c r="G2189" t="str">
        <f>"2025-04-19 07:22:07.313"</f>
        <v>2025-04-19 07:22:07.313</v>
      </c>
      <c r="H2189" t="s">
        <v>21</v>
      </c>
      <c r="I2189">
        <v>0</v>
      </c>
      <c r="J2189" t="s">
        <v>28</v>
      </c>
    </row>
    <row r="2190" spans="1:10" x14ac:dyDescent="0.25">
      <c r="A2190" s="1">
        <v>314</v>
      </c>
      <c r="B2190" t="s">
        <v>19</v>
      </c>
      <c r="C2190">
        <v>706</v>
      </c>
      <c r="D2190">
        <v>4</v>
      </c>
      <c r="E2190" t="s">
        <v>29</v>
      </c>
      <c r="F2190" t="s">
        <v>53</v>
      </c>
      <c r="G2190" t="str">
        <f>"2025-04-18 17:52:19.470"</f>
        <v>2025-04-18 17:52:19.470</v>
      </c>
      <c r="H2190" t="s">
        <v>21</v>
      </c>
      <c r="I2190">
        <v>0</v>
      </c>
      <c r="J2190" t="s">
        <v>31</v>
      </c>
    </row>
    <row r="2191" spans="1:10" x14ac:dyDescent="0.25">
      <c r="A2191" s="1">
        <v>315</v>
      </c>
      <c r="B2191" t="s">
        <v>19</v>
      </c>
      <c r="C2191">
        <v>700</v>
      </c>
      <c r="D2191">
        <v>0</v>
      </c>
      <c r="E2191" t="s">
        <v>20</v>
      </c>
      <c r="F2191" t="s">
        <v>20</v>
      </c>
      <c r="G2191" t="str">
        <f>"2025-04-18 17:51:59.110"</f>
        <v>2025-04-18 17:51:59.110</v>
      </c>
      <c r="H2191" t="s">
        <v>21</v>
      </c>
      <c r="I2191">
        <v>0</v>
      </c>
      <c r="J2191" t="s">
        <v>33</v>
      </c>
    </row>
    <row r="2192" spans="1:10" x14ac:dyDescent="0.25">
      <c r="A2192" s="1">
        <v>316</v>
      </c>
      <c r="B2192" t="s">
        <v>19</v>
      </c>
      <c r="C2192">
        <v>700</v>
      </c>
      <c r="D2192">
        <v>0</v>
      </c>
      <c r="E2192" t="s">
        <v>20</v>
      </c>
      <c r="F2192" t="s">
        <v>20</v>
      </c>
      <c r="G2192" t="str">
        <f>"2025-04-18 17:38:09.121"</f>
        <v>2025-04-18 17:38:09.121</v>
      </c>
      <c r="H2192" t="s">
        <v>21</v>
      </c>
      <c r="I2192">
        <v>0</v>
      </c>
      <c r="J2192" t="s">
        <v>33</v>
      </c>
    </row>
    <row r="2193" spans="1:10" x14ac:dyDescent="0.25">
      <c r="A2193" s="1">
        <v>317</v>
      </c>
      <c r="B2193" t="s">
        <v>22</v>
      </c>
      <c r="C2193">
        <v>635</v>
      </c>
      <c r="D2193">
        <v>1</v>
      </c>
      <c r="E2193" t="s">
        <v>34</v>
      </c>
      <c r="F2193" t="s">
        <v>35</v>
      </c>
      <c r="G2193" t="str">
        <f>"2025-04-17 19:16:04.254"</f>
        <v>2025-04-17 19:16:04.254</v>
      </c>
      <c r="H2193" t="s">
        <v>21</v>
      </c>
    </row>
    <row r="2194" spans="1:10" x14ac:dyDescent="0.25">
      <c r="A2194" s="1">
        <v>318</v>
      </c>
      <c r="B2194" t="s">
        <v>36</v>
      </c>
      <c r="C2194">
        <v>635</v>
      </c>
      <c r="D2194">
        <v>1</v>
      </c>
      <c r="E2194" t="s">
        <v>34</v>
      </c>
      <c r="F2194" t="s">
        <v>35</v>
      </c>
      <c r="G2194" t="str">
        <f>"2025-04-17 19:13:18.754"</f>
        <v>2025-04-17 19:13:18.754</v>
      </c>
      <c r="H2194" t="s">
        <v>21</v>
      </c>
      <c r="I2194">
        <v>6.46</v>
      </c>
      <c r="J2194" t="s">
        <v>37</v>
      </c>
    </row>
    <row r="2195" spans="1:10" x14ac:dyDescent="0.25">
      <c r="A2195" s="1">
        <v>319</v>
      </c>
      <c r="B2195" t="s">
        <v>19</v>
      </c>
      <c r="C2195">
        <v>706</v>
      </c>
      <c r="D2195">
        <v>4</v>
      </c>
      <c r="E2195" t="s">
        <v>29</v>
      </c>
      <c r="F2195" t="s">
        <v>53</v>
      </c>
      <c r="G2195" t="str">
        <f>"2025-04-17 03:05:36.067"</f>
        <v>2025-04-17 03:05:36.067</v>
      </c>
      <c r="H2195" t="s">
        <v>21</v>
      </c>
      <c r="I2195">
        <v>0</v>
      </c>
      <c r="J2195" t="s">
        <v>31</v>
      </c>
    </row>
    <row r="2196" spans="1:10" x14ac:dyDescent="0.25">
      <c r="A2196" s="1">
        <v>320</v>
      </c>
      <c r="B2196" t="s">
        <v>19</v>
      </c>
      <c r="C2196">
        <v>706</v>
      </c>
      <c r="D2196">
        <v>4</v>
      </c>
      <c r="E2196" t="s">
        <v>29</v>
      </c>
      <c r="F2196" t="s">
        <v>53</v>
      </c>
      <c r="G2196" t="str">
        <f>"2025-04-17 02:32:55.327"</f>
        <v>2025-04-17 02:32:55.327</v>
      </c>
      <c r="H2196" t="s">
        <v>21</v>
      </c>
      <c r="I2196">
        <v>0</v>
      </c>
      <c r="J2196" t="s">
        <v>31</v>
      </c>
    </row>
    <row r="2197" spans="1:10" x14ac:dyDescent="0.25">
      <c r="A2197" s="1">
        <v>321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"2025-04-17 02:25:06.097"</f>
        <v>2025-04-17 02:25:06.097</v>
      </c>
      <c r="H2197" t="s">
        <v>21</v>
      </c>
    </row>
    <row r="2198" spans="1:10" x14ac:dyDescent="0.25">
      <c r="A2198" s="1">
        <v>322</v>
      </c>
      <c r="B2198" t="s">
        <v>19</v>
      </c>
      <c r="C2198">
        <v>700</v>
      </c>
      <c r="D2198">
        <v>0</v>
      </c>
      <c r="E2198" t="s">
        <v>20</v>
      </c>
      <c r="F2198" t="s">
        <v>20</v>
      </c>
      <c r="G2198" t="str">
        <f>"2025-04-17 00:16:37.141"</f>
        <v>2025-04-17 00:16:37.141</v>
      </c>
      <c r="H2198" t="s">
        <v>21</v>
      </c>
    </row>
    <row r="2199" spans="1:10" x14ac:dyDescent="0.25">
      <c r="A2199" s="1">
        <v>323</v>
      </c>
      <c r="B2199" t="s">
        <v>22</v>
      </c>
      <c r="C2199">
        <v>635</v>
      </c>
      <c r="D2199">
        <v>1</v>
      </c>
      <c r="E2199" t="s">
        <v>34</v>
      </c>
      <c r="F2199" t="s">
        <v>35</v>
      </c>
      <c r="G2199" t="str">
        <f>"2025-04-16 22:36:20.612"</f>
        <v>2025-04-16 22:36:20.612</v>
      </c>
      <c r="H2199" t="s">
        <v>21</v>
      </c>
    </row>
    <row r="2200" spans="1:10" x14ac:dyDescent="0.25">
      <c r="A2200" s="1">
        <v>324</v>
      </c>
      <c r="B2200" t="s">
        <v>36</v>
      </c>
      <c r="C2200">
        <v>635</v>
      </c>
      <c r="D2200">
        <v>1</v>
      </c>
      <c r="E2200" t="s">
        <v>34</v>
      </c>
      <c r="F2200" t="s">
        <v>35</v>
      </c>
      <c r="G2200" t="str">
        <f>"2025-04-16 22:31:31.112"</f>
        <v>2025-04-16 22:31:31.112</v>
      </c>
      <c r="H2200" t="s">
        <v>21</v>
      </c>
      <c r="I2200">
        <v>3.72</v>
      </c>
      <c r="J2200" t="s">
        <v>37</v>
      </c>
    </row>
    <row r="2201" spans="1:10" x14ac:dyDescent="0.25">
      <c r="A2201" s="1">
        <v>325</v>
      </c>
      <c r="B2201" t="s">
        <v>22</v>
      </c>
      <c r="C2201">
        <v>635</v>
      </c>
      <c r="D2201">
        <v>1</v>
      </c>
      <c r="E2201" t="s">
        <v>34</v>
      </c>
      <c r="F2201" t="s">
        <v>35</v>
      </c>
      <c r="G2201" t="str">
        <f>"2025-04-16 18:16:48.612"</f>
        <v>2025-04-16 18:16:48.612</v>
      </c>
      <c r="H2201" t="s">
        <v>21</v>
      </c>
    </row>
    <row r="2202" spans="1:10" x14ac:dyDescent="0.25">
      <c r="A2202" s="1">
        <v>326</v>
      </c>
      <c r="B2202" t="s">
        <v>36</v>
      </c>
      <c r="C2202">
        <v>635</v>
      </c>
      <c r="D2202">
        <v>1</v>
      </c>
      <c r="E2202" t="s">
        <v>34</v>
      </c>
      <c r="F2202" t="s">
        <v>35</v>
      </c>
      <c r="G2202" t="str">
        <f>"2025-04-16 18:13:06.112"</f>
        <v>2025-04-16 18:13:06.112</v>
      </c>
      <c r="H2202" t="s">
        <v>21</v>
      </c>
      <c r="I2202">
        <v>-2.91</v>
      </c>
      <c r="J2202" t="s">
        <v>37</v>
      </c>
    </row>
    <row r="2203" spans="1:10" x14ac:dyDescent="0.25">
      <c r="A2203" s="1">
        <v>327</v>
      </c>
      <c r="B2203" t="s">
        <v>22</v>
      </c>
      <c r="C2203">
        <v>635</v>
      </c>
      <c r="D2203">
        <v>1</v>
      </c>
      <c r="E2203" t="s">
        <v>34</v>
      </c>
      <c r="F2203" t="s">
        <v>35</v>
      </c>
      <c r="G2203" t="str">
        <f>"2025-04-16 11:05:54.812"</f>
        <v>2025-04-16 11:05:54.812</v>
      </c>
      <c r="H2203" t="s">
        <v>21</v>
      </c>
    </row>
    <row r="2204" spans="1:10" x14ac:dyDescent="0.25">
      <c r="A2204" s="1">
        <v>328</v>
      </c>
      <c r="B2204" t="s">
        <v>36</v>
      </c>
      <c r="C2204">
        <v>635</v>
      </c>
      <c r="D2204">
        <v>1</v>
      </c>
      <c r="E2204" t="s">
        <v>34</v>
      </c>
      <c r="F2204" t="s">
        <v>35</v>
      </c>
      <c r="G2204" t="str">
        <f>"2025-04-16 10:57:50.812"</f>
        <v>2025-04-16 10:57:50.812</v>
      </c>
      <c r="H2204" t="s">
        <v>21</v>
      </c>
      <c r="I2204">
        <v>0.1</v>
      </c>
      <c r="J2204" t="s">
        <v>28</v>
      </c>
    </row>
    <row r="2205" spans="1:10" x14ac:dyDescent="0.25">
      <c r="A2205" s="1">
        <v>329</v>
      </c>
      <c r="B2205" t="s">
        <v>22</v>
      </c>
      <c r="C2205">
        <v>98</v>
      </c>
      <c r="D2205">
        <v>1</v>
      </c>
      <c r="E2205" t="s">
        <v>99</v>
      </c>
      <c r="F2205" t="s">
        <v>100</v>
      </c>
      <c r="G2205" t="str">
        <f>"2025-04-15 22:54:09.912"</f>
        <v>2025-04-15 22:54:09.912</v>
      </c>
      <c r="H2205" t="s">
        <v>21</v>
      </c>
    </row>
    <row r="2206" spans="1:10" x14ac:dyDescent="0.25">
      <c r="A2206" s="1">
        <v>330</v>
      </c>
      <c r="B2206" t="s">
        <v>36</v>
      </c>
      <c r="C2206">
        <v>98</v>
      </c>
      <c r="D2206">
        <v>1</v>
      </c>
      <c r="E2206" t="s">
        <v>99</v>
      </c>
      <c r="F2206" t="s">
        <v>100</v>
      </c>
      <c r="G2206" t="str">
        <f>"2025-04-15 22:54:08.913"</f>
        <v>2025-04-15 22:54:08.913</v>
      </c>
      <c r="H2206" t="s">
        <v>21</v>
      </c>
      <c r="I2206">
        <v>0</v>
      </c>
      <c r="J2206" t="s">
        <v>31</v>
      </c>
    </row>
    <row r="2207" spans="1:10" x14ac:dyDescent="0.25">
      <c r="A2207" s="1">
        <v>331</v>
      </c>
      <c r="B2207" t="s">
        <v>19</v>
      </c>
      <c r="C2207">
        <v>700</v>
      </c>
      <c r="D2207">
        <v>0</v>
      </c>
      <c r="E2207" t="s">
        <v>20</v>
      </c>
      <c r="F2207" t="s">
        <v>20</v>
      </c>
      <c r="G2207" t="str">
        <f>"2025-04-15 22:53:43.108"</f>
        <v>2025-04-15 22:53:43.108</v>
      </c>
      <c r="H2207" t="s">
        <v>21</v>
      </c>
      <c r="I2207">
        <v>0</v>
      </c>
      <c r="J2207" t="s">
        <v>33</v>
      </c>
    </row>
    <row r="2208" spans="1:10" x14ac:dyDescent="0.25">
      <c r="A2208" s="1">
        <v>333</v>
      </c>
      <c r="B2208" t="s">
        <v>22</v>
      </c>
      <c r="C2208">
        <v>635</v>
      </c>
      <c r="D2208">
        <v>1</v>
      </c>
      <c r="E2208" t="s">
        <v>34</v>
      </c>
      <c r="F2208" t="s">
        <v>35</v>
      </c>
      <c r="G2208" t="str">
        <f>"2025-04-14 17:34:28.602"</f>
        <v>2025-04-14 17:34:28.602</v>
      </c>
      <c r="H2208" t="s">
        <v>21</v>
      </c>
    </row>
    <row r="2209" spans="1:10" x14ac:dyDescent="0.25">
      <c r="A2209" s="1">
        <v>334</v>
      </c>
      <c r="B2209" t="s">
        <v>36</v>
      </c>
      <c r="C2209">
        <v>635</v>
      </c>
      <c r="D2209">
        <v>1</v>
      </c>
      <c r="E2209" t="s">
        <v>34</v>
      </c>
      <c r="F2209" t="s">
        <v>35</v>
      </c>
      <c r="G2209" t="str">
        <f>"2025-04-14 17:29:57.602"</f>
        <v>2025-04-14 17:29:57.602</v>
      </c>
      <c r="H2209" t="s">
        <v>21</v>
      </c>
      <c r="I2209">
        <v>0.53</v>
      </c>
      <c r="J2209" t="s">
        <v>28</v>
      </c>
    </row>
    <row r="2210" spans="1:10" x14ac:dyDescent="0.25">
      <c r="A2210" s="1">
        <v>335</v>
      </c>
      <c r="B2210" t="s">
        <v>19</v>
      </c>
      <c r="C2210">
        <v>700</v>
      </c>
      <c r="D2210">
        <v>0</v>
      </c>
      <c r="E2210" t="s">
        <v>20</v>
      </c>
      <c r="F2210" t="s">
        <v>20</v>
      </c>
      <c r="G2210" t="str">
        <f>"2025-04-14 09:20:13.140"</f>
        <v>2025-04-14 09:20:13.140</v>
      </c>
      <c r="H2210" t="s">
        <v>21</v>
      </c>
    </row>
    <row r="2211" spans="1:10" x14ac:dyDescent="0.25">
      <c r="A2211" s="1">
        <v>337</v>
      </c>
      <c r="B2211" t="s">
        <v>19</v>
      </c>
      <c r="C2211">
        <v>700</v>
      </c>
      <c r="D2211">
        <v>0</v>
      </c>
      <c r="E2211" t="s">
        <v>20</v>
      </c>
      <c r="F2211" t="s">
        <v>20</v>
      </c>
      <c r="G2211" t="str">
        <f>"2025-04-13 19:49:52.105"</f>
        <v>2025-04-13 19:49:52.105</v>
      </c>
      <c r="H2211" t="s">
        <v>21</v>
      </c>
      <c r="I2211">
        <v>0</v>
      </c>
      <c r="J2211" t="s">
        <v>33</v>
      </c>
    </row>
    <row r="2212" spans="1:10" x14ac:dyDescent="0.25">
      <c r="A2212" s="1">
        <v>338</v>
      </c>
      <c r="B2212" t="s">
        <v>19</v>
      </c>
      <c r="C2212">
        <v>700</v>
      </c>
      <c r="D2212">
        <v>0</v>
      </c>
      <c r="E2212" t="s">
        <v>20</v>
      </c>
      <c r="F2212" t="s">
        <v>20</v>
      </c>
      <c r="G2212" t="str">
        <f>"2025-04-13 13:24:05.117"</f>
        <v>2025-04-13 13:24:05.117</v>
      </c>
      <c r="H2212" t="s">
        <v>21</v>
      </c>
      <c r="I2212">
        <v>0</v>
      </c>
      <c r="J2212" t="s">
        <v>33</v>
      </c>
    </row>
    <row r="2213" spans="1:10" x14ac:dyDescent="0.25">
      <c r="A2213" s="1">
        <v>339</v>
      </c>
      <c r="B2213" t="s">
        <v>19</v>
      </c>
      <c r="C2213">
        <v>700</v>
      </c>
      <c r="D2213">
        <v>0</v>
      </c>
      <c r="E2213" t="s">
        <v>20</v>
      </c>
      <c r="F2213" t="s">
        <v>20</v>
      </c>
      <c r="G2213" t="str">
        <f>"2025-04-11 21:13:32.115"</f>
        <v>2025-04-11 21:13:32.115</v>
      </c>
      <c r="H2213" t="s">
        <v>21</v>
      </c>
      <c r="I2213">
        <v>0</v>
      </c>
      <c r="J2213" t="s">
        <v>33</v>
      </c>
    </row>
    <row r="2214" spans="1:10" x14ac:dyDescent="0.25">
      <c r="A2214" s="1">
        <v>340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"2025-04-09 20:37:41.113"</f>
        <v>2025-04-09 20:37:41.113</v>
      </c>
      <c r="H2214" t="s">
        <v>21</v>
      </c>
    </row>
    <row r="2215" spans="1:10" x14ac:dyDescent="0.25">
      <c r="A2215" s="1">
        <v>341</v>
      </c>
      <c r="B2215" t="s">
        <v>40</v>
      </c>
      <c r="C2215">
        <v>215</v>
      </c>
      <c r="D2215">
        <v>6</v>
      </c>
      <c r="E2215" t="s">
        <v>41</v>
      </c>
      <c r="F2215" t="s">
        <v>42</v>
      </c>
      <c r="G2215" t="str">
        <f>"2025-04-09 03:04:14.591"</f>
        <v>2025-04-09 03:04:14.591</v>
      </c>
      <c r="H2215" t="s">
        <v>21</v>
      </c>
    </row>
    <row r="2216" spans="1:10" x14ac:dyDescent="0.25">
      <c r="A2216" s="1">
        <v>342</v>
      </c>
      <c r="B2216" t="s">
        <v>40</v>
      </c>
      <c r="C2216">
        <v>115</v>
      </c>
      <c r="D2216">
        <v>6</v>
      </c>
      <c r="E2216" t="s">
        <v>43</v>
      </c>
      <c r="F2216" t="s">
        <v>42</v>
      </c>
      <c r="G2216" t="str">
        <f>"2025-04-09 03:04:14.492"</f>
        <v>2025-04-09 03:04:14.492</v>
      </c>
      <c r="H2216" t="s">
        <v>21</v>
      </c>
    </row>
    <row r="2217" spans="1:10" x14ac:dyDescent="0.25">
      <c r="A2217" s="1">
        <v>343</v>
      </c>
      <c r="B2217" t="s">
        <v>26</v>
      </c>
      <c r="C2217">
        <v>215</v>
      </c>
      <c r="D2217">
        <v>6</v>
      </c>
      <c r="E2217" t="s">
        <v>41</v>
      </c>
      <c r="F2217" t="s">
        <v>42</v>
      </c>
      <c r="G2217" t="str">
        <f>"2025-04-09 03:04:09.424"</f>
        <v>2025-04-09 03:04:09.424</v>
      </c>
      <c r="H2217" t="s">
        <v>21</v>
      </c>
      <c r="I2217">
        <v>0</v>
      </c>
      <c r="J2217" t="s">
        <v>31</v>
      </c>
    </row>
    <row r="2218" spans="1:10" x14ac:dyDescent="0.25">
      <c r="A2218" s="1">
        <v>344</v>
      </c>
      <c r="B2218" t="s">
        <v>26</v>
      </c>
      <c r="C2218">
        <v>115</v>
      </c>
      <c r="D2218">
        <v>6</v>
      </c>
      <c r="E2218" t="s">
        <v>43</v>
      </c>
      <c r="F2218" t="s">
        <v>42</v>
      </c>
      <c r="G2218" t="str">
        <f>"2025-04-09 03:04:09.420"</f>
        <v>2025-04-09 03:04:09.420</v>
      </c>
      <c r="H2218" t="s">
        <v>21</v>
      </c>
      <c r="I2218">
        <v>0</v>
      </c>
      <c r="J2218" t="s">
        <v>31</v>
      </c>
    </row>
    <row r="2219" spans="1:10" x14ac:dyDescent="0.25">
      <c r="A2219" s="1">
        <v>345</v>
      </c>
      <c r="B2219" t="s">
        <v>22</v>
      </c>
      <c r="C2219">
        <v>6</v>
      </c>
      <c r="D2219">
        <v>1</v>
      </c>
      <c r="E2219" t="s">
        <v>44</v>
      </c>
      <c r="F2219" t="s">
        <v>45</v>
      </c>
      <c r="G2219" t="str">
        <f>"2025-04-09 03:04:09.304"</f>
        <v>2025-04-09 03:04:09.304</v>
      </c>
      <c r="H2219" t="s">
        <v>46</v>
      </c>
    </row>
    <row r="2220" spans="1:10" x14ac:dyDescent="0.25">
      <c r="A2220" s="1">
        <v>346</v>
      </c>
      <c r="B2220" t="s">
        <v>22</v>
      </c>
      <c r="C2220">
        <v>75</v>
      </c>
      <c r="D2220">
        <v>1</v>
      </c>
      <c r="E2220" t="s">
        <v>47</v>
      </c>
      <c r="F2220" t="s">
        <v>48</v>
      </c>
      <c r="G2220" t="str">
        <f>"2025-04-09 03:04:09.302"</f>
        <v>2025-04-09 03:04:09.302</v>
      </c>
      <c r="H2220" t="s">
        <v>49</v>
      </c>
    </row>
    <row r="2221" spans="1:10" x14ac:dyDescent="0.25">
      <c r="A2221" s="1">
        <v>347</v>
      </c>
      <c r="B2221" t="s">
        <v>22</v>
      </c>
      <c r="C2221">
        <v>74</v>
      </c>
      <c r="D2221">
        <v>1</v>
      </c>
      <c r="E2221" t="s">
        <v>50</v>
      </c>
      <c r="F2221" t="s">
        <v>51</v>
      </c>
      <c r="G2221" t="str">
        <f>"2025-04-09 03:04:09.299"</f>
        <v>2025-04-09 03:04:09.299</v>
      </c>
      <c r="H2221" t="s">
        <v>52</v>
      </c>
    </row>
    <row r="2222" spans="1:10" x14ac:dyDescent="0.25">
      <c r="A2222" s="1">
        <v>348</v>
      </c>
      <c r="B2222" t="s">
        <v>36</v>
      </c>
      <c r="C2222">
        <v>75</v>
      </c>
      <c r="D2222">
        <v>1</v>
      </c>
      <c r="E2222" t="s">
        <v>47</v>
      </c>
      <c r="F2222" t="s">
        <v>48</v>
      </c>
      <c r="G2222" t="str">
        <f>"2025-04-09 03:03:57.810"</f>
        <v>2025-04-09 03:03:57.810</v>
      </c>
      <c r="H2222" t="s">
        <v>49</v>
      </c>
      <c r="I2222">
        <v>0</v>
      </c>
      <c r="J2222" t="s">
        <v>31</v>
      </c>
    </row>
    <row r="2223" spans="1:10" x14ac:dyDescent="0.25">
      <c r="A2223" s="1">
        <v>349</v>
      </c>
      <c r="B2223" t="s">
        <v>36</v>
      </c>
      <c r="C2223">
        <v>74</v>
      </c>
      <c r="D2223">
        <v>1</v>
      </c>
      <c r="E2223" t="s">
        <v>50</v>
      </c>
      <c r="F2223" t="s">
        <v>51</v>
      </c>
      <c r="G2223" t="str">
        <f>"2025-04-09 03:03:57.805"</f>
        <v>2025-04-09 03:03:57.805</v>
      </c>
      <c r="H2223" t="s">
        <v>52</v>
      </c>
      <c r="I2223">
        <v>0</v>
      </c>
      <c r="J2223" t="s">
        <v>31</v>
      </c>
    </row>
    <row r="2224" spans="1:10" x14ac:dyDescent="0.25">
      <c r="A2224" s="1">
        <v>350</v>
      </c>
      <c r="B2224" t="s">
        <v>26</v>
      </c>
      <c r="C2224">
        <v>6</v>
      </c>
      <c r="D2224">
        <v>1</v>
      </c>
      <c r="E2224" t="s">
        <v>44</v>
      </c>
      <c r="F2224" t="s">
        <v>45</v>
      </c>
      <c r="G2224" t="str">
        <f>"2025-04-09 03:03:57.800"</f>
        <v>2025-04-09 03:03:57.800</v>
      </c>
      <c r="H2224" t="s">
        <v>46</v>
      </c>
      <c r="I2224">
        <v>0</v>
      </c>
      <c r="J2224" t="s">
        <v>31</v>
      </c>
    </row>
    <row r="2225" spans="1:10" x14ac:dyDescent="0.25">
      <c r="A2225" s="1">
        <v>355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"2025-04-08 22:48:48.099"</f>
        <v>2025-04-08 22:48:48.099</v>
      </c>
      <c r="H2225" t="s">
        <v>21</v>
      </c>
      <c r="I2225">
        <v>0</v>
      </c>
      <c r="J2225" t="s">
        <v>33</v>
      </c>
    </row>
    <row r="2226" spans="1:10" x14ac:dyDescent="0.25">
      <c r="A2226" s="1">
        <v>356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"2025-04-08 22:45:13.142"</f>
        <v>2025-04-08 22:45:13.142</v>
      </c>
      <c r="H2226" t="s">
        <v>21</v>
      </c>
      <c r="I2226">
        <v>0</v>
      </c>
      <c r="J2226" t="s">
        <v>33</v>
      </c>
    </row>
    <row r="2227" spans="1:10" x14ac:dyDescent="0.25">
      <c r="A2227" s="1">
        <v>358</v>
      </c>
      <c r="B2227" t="s">
        <v>22</v>
      </c>
      <c r="C2227">
        <v>635</v>
      </c>
      <c r="D2227">
        <v>1</v>
      </c>
      <c r="E2227" t="s">
        <v>34</v>
      </c>
      <c r="F2227" t="s">
        <v>35</v>
      </c>
      <c r="G2227" t="str">
        <f>"2025-04-07 20:47:26.569"</f>
        <v>2025-04-07 20:47:26.569</v>
      </c>
      <c r="H2227" t="s">
        <v>21</v>
      </c>
    </row>
    <row r="2228" spans="1:10" x14ac:dyDescent="0.25">
      <c r="A2228" s="1">
        <v>359</v>
      </c>
      <c r="B2228" t="s">
        <v>36</v>
      </c>
      <c r="C2228">
        <v>635</v>
      </c>
      <c r="D2228">
        <v>1</v>
      </c>
      <c r="E2228" t="s">
        <v>34</v>
      </c>
      <c r="F2228" t="s">
        <v>35</v>
      </c>
      <c r="G2228" t="str">
        <f>"2025-04-07 20:42:12.569"</f>
        <v>2025-04-07 20:42:12.569</v>
      </c>
      <c r="H2228" t="s">
        <v>21</v>
      </c>
      <c r="I2228">
        <v>3.54</v>
      </c>
      <c r="J2228" t="s">
        <v>37</v>
      </c>
    </row>
    <row r="2229" spans="1:10" x14ac:dyDescent="0.25">
      <c r="A2229" s="1">
        <v>360</v>
      </c>
      <c r="B2229" t="s">
        <v>22</v>
      </c>
      <c r="C2229">
        <v>635</v>
      </c>
      <c r="D2229">
        <v>1</v>
      </c>
      <c r="E2229" t="s">
        <v>34</v>
      </c>
      <c r="F2229" t="s">
        <v>35</v>
      </c>
      <c r="G2229" t="str">
        <f>"2025-04-07 03:43:28.269"</f>
        <v>2025-04-07 03:43:28.269</v>
      </c>
      <c r="H2229" t="s">
        <v>21</v>
      </c>
    </row>
    <row r="2230" spans="1:10" x14ac:dyDescent="0.25">
      <c r="A2230" s="1">
        <v>361</v>
      </c>
      <c r="B2230" t="s">
        <v>36</v>
      </c>
      <c r="C2230">
        <v>635</v>
      </c>
      <c r="D2230">
        <v>1</v>
      </c>
      <c r="E2230" t="s">
        <v>34</v>
      </c>
      <c r="F2230" t="s">
        <v>35</v>
      </c>
      <c r="G2230" t="str">
        <f>"2025-04-07 03:41:00.769"</f>
        <v>2025-04-07 03:41:00.769</v>
      </c>
      <c r="H2230" t="s">
        <v>21</v>
      </c>
      <c r="I2230">
        <v>6.45</v>
      </c>
      <c r="J2230" t="s">
        <v>27</v>
      </c>
    </row>
    <row r="2231" spans="1:10" x14ac:dyDescent="0.25">
      <c r="A2231" s="1">
        <v>362</v>
      </c>
      <c r="B2231" t="s">
        <v>22</v>
      </c>
      <c r="C2231">
        <v>635</v>
      </c>
      <c r="D2231">
        <v>1</v>
      </c>
      <c r="E2231" t="s">
        <v>34</v>
      </c>
      <c r="F2231" t="s">
        <v>35</v>
      </c>
      <c r="G2231" t="str">
        <f>"2025-04-07 03:29:36.769"</f>
        <v>2025-04-07 03:29:36.769</v>
      </c>
      <c r="H2231" t="s">
        <v>21</v>
      </c>
    </row>
    <row r="2232" spans="1:10" x14ac:dyDescent="0.25">
      <c r="A2232" s="1">
        <v>363</v>
      </c>
      <c r="B2232" t="s">
        <v>36</v>
      </c>
      <c r="C2232">
        <v>635</v>
      </c>
      <c r="D2232">
        <v>1</v>
      </c>
      <c r="E2232" t="s">
        <v>34</v>
      </c>
      <c r="F2232" t="s">
        <v>35</v>
      </c>
      <c r="G2232" t="str">
        <f>"2025-04-07 03:25:46.269"</f>
        <v>2025-04-07 03:25:46.269</v>
      </c>
      <c r="H2232" t="s">
        <v>21</v>
      </c>
      <c r="I2232">
        <v>0</v>
      </c>
      <c r="J2232" t="s">
        <v>28</v>
      </c>
    </row>
    <row r="2233" spans="1:10" x14ac:dyDescent="0.25">
      <c r="A2233" s="1">
        <v>364</v>
      </c>
      <c r="B2233" t="s">
        <v>19</v>
      </c>
      <c r="C2233">
        <v>700</v>
      </c>
      <c r="D2233">
        <v>0</v>
      </c>
      <c r="E2233" t="s">
        <v>20</v>
      </c>
      <c r="F2233" t="s">
        <v>20</v>
      </c>
      <c r="G2233" t="str">
        <f>"2025-04-06 20:06:05.107"</f>
        <v>2025-04-06 20:06:05.107</v>
      </c>
      <c r="H2233" t="s">
        <v>21</v>
      </c>
      <c r="I2233">
        <v>0</v>
      </c>
      <c r="J2233" t="s">
        <v>33</v>
      </c>
    </row>
    <row r="2234" spans="1:10" x14ac:dyDescent="0.25">
      <c r="A2234" s="1">
        <v>365</v>
      </c>
      <c r="B2234" t="s">
        <v>19</v>
      </c>
      <c r="C2234">
        <v>706</v>
      </c>
      <c r="D2234">
        <v>4</v>
      </c>
      <c r="E2234" t="s">
        <v>29</v>
      </c>
      <c r="F2234" t="s">
        <v>53</v>
      </c>
      <c r="G2234" t="str">
        <f>"2025-04-06 15:43:02.831"</f>
        <v>2025-04-06 15:43:02.831</v>
      </c>
      <c r="H2234" t="s">
        <v>21</v>
      </c>
      <c r="I2234">
        <v>0</v>
      </c>
      <c r="J2234" t="s">
        <v>31</v>
      </c>
    </row>
    <row r="2235" spans="1:10" x14ac:dyDescent="0.25">
      <c r="A2235" s="1">
        <v>366</v>
      </c>
      <c r="B2235" t="s">
        <v>19</v>
      </c>
      <c r="C2235">
        <v>700</v>
      </c>
      <c r="D2235">
        <v>0</v>
      </c>
      <c r="E2235" t="s">
        <v>20</v>
      </c>
      <c r="F2235" t="s">
        <v>20</v>
      </c>
      <c r="G2235" t="str">
        <f>"2025-04-06 15:23:40.151"</f>
        <v>2025-04-06 15:23:40.151</v>
      </c>
      <c r="H2235" t="s">
        <v>21</v>
      </c>
    </row>
    <row r="2236" spans="1:10" x14ac:dyDescent="0.25">
      <c r="A2236" s="1">
        <v>367</v>
      </c>
      <c r="B2236" t="s">
        <v>19</v>
      </c>
      <c r="C2236">
        <v>706</v>
      </c>
      <c r="D2236">
        <v>2</v>
      </c>
      <c r="E2236" t="s">
        <v>29</v>
      </c>
      <c r="F2236" t="s">
        <v>30</v>
      </c>
      <c r="G2236" t="str">
        <f>"2025-04-06 13:46:03.280"</f>
        <v>2025-04-06 13:46:03.280</v>
      </c>
      <c r="H2236" t="s">
        <v>21</v>
      </c>
      <c r="I2236">
        <v>0</v>
      </c>
      <c r="J2236" t="s">
        <v>31</v>
      </c>
    </row>
    <row r="2237" spans="1:10" x14ac:dyDescent="0.25">
      <c r="A2237" s="1">
        <v>368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"2025-04-05 22:28:23.120"</f>
        <v>2025-04-05 22:28:23.120</v>
      </c>
      <c r="H2237" t="s">
        <v>21</v>
      </c>
    </row>
    <row r="2238" spans="1:10" s="3" customFormat="1" x14ac:dyDescent="0.25">
      <c r="A2238" s="2">
        <v>369</v>
      </c>
      <c r="B2238" s="3" t="s">
        <v>22</v>
      </c>
      <c r="C2238" s="3">
        <v>647</v>
      </c>
      <c r="D2238" s="3">
        <v>1</v>
      </c>
      <c r="E2238" s="3" t="s">
        <v>54</v>
      </c>
      <c r="F2238" s="3" t="s">
        <v>55</v>
      </c>
      <c r="G2238" s="3" t="str">
        <f>"2025-04-04 17:31:40.877"</f>
        <v>2025-04-04 17:31:40.877</v>
      </c>
      <c r="H2238" s="3" t="s">
        <v>21</v>
      </c>
    </row>
    <row r="2239" spans="1:10" s="3" customFormat="1" x14ac:dyDescent="0.25">
      <c r="A2239" s="2">
        <v>370</v>
      </c>
      <c r="B2239" s="3" t="s">
        <v>36</v>
      </c>
      <c r="C2239" s="3">
        <v>647</v>
      </c>
      <c r="D2239" s="3">
        <v>1</v>
      </c>
      <c r="E2239" s="3" t="s">
        <v>54</v>
      </c>
      <c r="F2239" s="3" t="s">
        <v>55</v>
      </c>
      <c r="G2239" s="3" t="str">
        <f>"2025-04-04 17:31:38.177"</f>
        <v>2025-04-04 17:31:38.177</v>
      </c>
      <c r="H2239" s="3" t="s">
        <v>21</v>
      </c>
      <c r="I2239" s="3">
        <v>9.15</v>
      </c>
      <c r="J2239" s="3" t="s">
        <v>27</v>
      </c>
    </row>
    <row r="2240" spans="1:10" x14ac:dyDescent="0.25">
      <c r="A2240" s="1">
        <v>371</v>
      </c>
      <c r="B2240" t="s">
        <v>19</v>
      </c>
      <c r="C2240">
        <v>706</v>
      </c>
      <c r="D2240">
        <v>4</v>
      </c>
      <c r="E2240" t="s">
        <v>29</v>
      </c>
      <c r="F2240" t="s">
        <v>53</v>
      </c>
      <c r="G2240" t="str">
        <f>"2025-04-04 11:32:31.254"</f>
        <v>2025-04-04 11:32:31.254</v>
      </c>
      <c r="H2240" t="s">
        <v>21</v>
      </c>
      <c r="I2240">
        <v>0</v>
      </c>
      <c r="J2240" t="s">
        <v>31</v>
      </c>
    </row>
    <row r="2241" spans="1:10" x14ac:dyDescent="0.25">
      <c r="A2241" s="1">
        <v>372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"2025-04-04 11:32:07.144"</f>
        <v>2025-04-04 11:32:07.144</v>
      </c>
      <c r="H2241" t="s">
        <v>21</v>
      </c>
      <c r="I2241">
        <v>0</v>
      </c>
      <c r="J2241" t="s">
        <v>33</v>
      </c>
    </row>
    <row r="2242" spans="1:10" x14ac:dyDescent="0.25">
      <c r="A2242" s="1">
        <v>373</v>
      </c>
      <c r="B2242" t="s">
        <v>19</v>
      </c>
      <c r="C2242">
        <v>700</v>
      </c>
      <c r="D2242">
        <v>0</v>
      </c>
      <c r="E2242" t="s">
        <v>20</v>
      </c>
      <c r="F2242" t="s">
        <v>20</v>
      </c>
      <c r="G2242" t="str">
        <f>"2025-04-03 20:18:52.146"</f>
        <v>2025-04-03 20:18:52.146</v>
      </c>
      <c r="H2242" t="s">
        <v>21</v>
      </c>
    </row>
    <row r="2243" spans="1:10" x14ac:dyDescent="0.25">
      <c r="A2243" s="1">
        <v>374</v>
      </c>
      <c r="B2243" t="s">
        <v>19</v>
      </c>
      <c r="C2243">
        <v>706</v>
      </c>
      <c r="D2243">
        <v>4</v>
      </c>
      <c r="E2243" t="s">
        <v>29</v>
      </c>
      <c r="F2243" t="s">
        <v>53</v>
      </c>
      <c r="G2243" t="str">
        <f>"2025-04-03 04:45:13.835"</f>
        <v>2025-04-03 04:45:13.835</v>
      </c>
      <c r="H2243" t="s">
        <v>21</v>
      </c>
      <c r="I2243">
        <v>0</v>
      </c>
      <c r="J2243" t="s">
        <v>31</v>
      </c>
    </row>
    <row r="2244" spans="1:10" x14ac:dyDescent="0.25">
      <c r="A2244" s="1">
        <v>375</v>
      </c>
      <c r="B2244" t="s">
        <v>19</v>
      </c>
      <c r="C2244">
        <v>700</v>
      </c>
      <c r="D2244">
        <v>0</v>
      </c>
      <c r="E2244" t="s">
        <v>20</v>
      </c>
      <c r="F2244" t="s">
        <v>20</v>
      </c>
      <c r="G2244" t="str">
        <f>"2025-04-02 21:59:29.265"</f>
        <v>2025-04-02 21:59:29.265</v>
      </c>
      <c r="H2244" t="s">
        <v>21</v>
      </c>
      <c r="I2244">
        <v>0</v>
      </c>
      <c r="J2244" t="s">
        <v>33</v>
      </c>
    </row>
    <row r="2245" spans="1:10" x14ac:dyDescent="0.25">
      <c r="A2245" s="1">
        <v>376</v>
      </c>
      <c r="B2245" t="s">
        <v>19</v>
      </c>
      <c r="C2245">
        <v>700</v>
      </c>
      <c r="D2245">
        <v>0</v>
      </c>
      <c r="E2245" t="s">
        <v>20</v>
      </c>
      <c r="F2245" t="s">
        <v>20</v>
      </c>
      <c r="G2245" t="str">
        <f>"2025-04-01 20:29:01.144"</f>
        <v>2025-04-01 20:29:01.144</v>
      </c>
      <c r="H2245" t="s">
        <v>21</v>
      </c>
    </row>
    <row r="2246" spans="1:10" x14ac:dyDescent="0.25">
      <c r="A2246" s="1">
        <v>377</v>
      </c>
      <c r="B2246" t="s">
        <v>19</v>
      </c>
      <c r="C2246">
        <v>700</v>
      </c>
      <c r="D2246">
        <v>0</v>
      </c>
      <c r="E2246" t="s">
        <v>20</v>
      </c>
      <c r="F2246" t="s">
        <v>20</v>
      </c>
      <c r="G2246" t="str">
        <f>"2025-03-30 21:31:39.133"</f>
        <v>2025-03-30 21:31:39.133</v>
      </c>
      <c r="H2246" t="s">
        <v>21</v>
      </c>
      <c r="I2246">
        <v>0</v>
      </c>
      <c r="J2246" t="s">
        <v>33</v>
      </c>
    </row>
    <row r="2247" spans="1:10" x14ac:dyDescent="0.25">
      <c r="A2247" s="1">
        <v>378</v>
      </c>
      <c r="B2247" t="s">
        <v>22</v>
      </c>
      <c r="C2247">
        <v>98</v>
      </c>
      <c r="D2247">
        <v>1</v>
      </c>
      <c r="E2247" t="s">
        <v>99</v>
      </c>
      <c r="F2247" t="s">
        <v>100</v>
      </c>
      <c r="G2247" t="str">
        <f>"2025-03-29 19:23:24.259"</f>
        <v>2025-03-29 19:23:24.259</v>
      </c>
      <c r="H2247" t="s">
        <v>21</v>
      </c>
    </row>
    <row r="2248" spans="1:10" x14ac:dyDescent="0.25">
      <c r="A2248" s="1">
        <v>379</v>
      </c>
      <c r="B2248" t="s">
        <v>36</v>
      </c>
      <c r="C2248">
        <v>98</v>
      </c>
      <c r="D2248">
        <v>1</v>
      </c>
      <c r="E2248" t="s">
        <v>99</v>
      </c>
      <c r="F2248" t="s">
        <v>100</v>
      </c>
      <c r="G2248" t="str">
        <f>"2025-03-29 19:23:23.260"</f>
        <v>2025-03-29 19:23:23.260</v>
      </c>
      <c r="H2248" t="s">
        <v>21</v>
      </c>
      <c r="I2248">
        <v>0</v>
      </c>
      <c r="J2248" t="s">
        <v>28</v>
      </c>
    </row>
    <row r="2249" spans="1:10" x14ac:dyDescent="0.25">
      <c r="A2249" s="1">
        <v>380</v>
      </c>
      <c r="B2249" t="s">
        <v>22</v>
      </c>
      <c r="C2249">
        <v>635</v>
      </c>
      <c r="D2249">
        <v>1</v>
      </c>
      <c r="E2249" t="s">
        <v>34</v>
      </c>
      <c r="F2249" t="s">
        <v>35</v>
      </c>
      <c r="G2249" t="str">
        <f>"2025-03-29 01:53:47.406"</f>
        <v>2025-03-29 01:53:47.406</v>
      </c>
      <c r="H2249" t="s">
        <v>21</v>
      </c>
    </row>
    <row r="2250" spans="1:10" x14ac:dyDescent="0.25">
      <c r="A2250" s="1">
        <v>381</v>
      </c>
      <c r="B2250" t="s">
        <v>36</v>
      </c>
      <c r="C2250">
        <v>635</v>
      </c>
      <c r="D2250">
        <v>1</v>
      </c>
      <c r="E2250" t="s">
        <v>34</v>
      </c>
      <c r="F2250" t="s">
        <v>35</v>
      </c>
      <c r="G2250" t="str">
        <f>"2025-03-29 01:48:20.906"</f>
        <v>2025-03-29 01:48:20.906</v>
      </c>
      <c r="H2250" t="s">
        <v>21</v>
      </c>
      <c r="I2250">
        <v>1.05</v>
      </c>
      <c r="J2250" t="s">
        <v>27</v>
      </c>
    </row>
    <row r="2251" spans="1:10" x14ac:dyDescent="0.25">
      <c r="A2251" s="1">
        <v>382</v>
      </c>
      <c r="B2251" t="s">
        <v>19</v>
      </c>
      <c r="C2251">
        <v>700</v>
      </c>
      <c r="D2251">
        <v>0</v>
      </c>
      <c r="E2251" t="s">
        <v>20</v>
      </c>
      <c r="F2251" t="s">
        <v>20</v>
      </c>
      <c r="G2251" t="str">
        <f>"2025-03-27 21:45:51.344"</f>
        <v>2025-03-27 21:45:51.344</v>
      </c>
      <c r="H2251" t="s">
        <v>21</v>
      </c>
      <c r="I2251">
        <v>0</v>
      </c>
      <c r="J2251" t="s">
        <v>33</v>
      </c>
    </row>
    <row r="2252" spans="1:10" x14ac:dyDescent="0.25">
      <c r="A2252" s="1">
        <v>383</v>
      </c>
      <c r="B2252" t="s">
        <v>19</v>
      </c>
      <c r="C2252">
        <v>700</v>
      </c>
      <c r="D2252">
        <v>0</v>
      </c>
      <c r="E2252" t="s">
        <v>20</v>
      </c>
      <c r="F2252" t="s">
        <v>20</v>
      </c>
      <c r="G2252" t="str">
        <f>"2025-03-26 10:07:47.144"</f>
        <v>2025-03-26 10:07:47.144</v>
      </c>
      <c r="H2252" t="s">
        <v>21</v>
      </c>
      <c r="I2252">
        <v>0</v>
      </c>
      <c r="J2252" t="s">
        <v>33</v>
      </c>
    </row>
    <row r="2253" spans="1:10" x14ac:dyDescent="0.25">
      <c r="A2253" s="1">
        <v>384</v>
      </c>
      <c r="B2253" t="s">
        <v>19</v>
      </c>
      <c r="C2253">
        <v>700</v>
      </c>
      <c r="D2253">
        <v>0</v>
      </c>
      <c r="E2253" t="s">
        <v>20</v>
      </c>
      <c r="F2253" t="s">
        <v>20</v>
      </c>
      <c r="G2253" t="str">
        <f>"2025-03-26 08:53:33.147"</f>
        <v>2025-03-26 08:53:33.147</v>
      </c>
      <c r="H2253" t="s">
        <v>21</v>
      </c>
    </row>
    <row r="2254" spans="1:10" x14ac:dyDescent="0.25">
      <c r="A2254" s="1">
        <v>385</v>
      </c>
      <c r="B2254" t="s">
        <v>19</v>
      </c>
      <c r="C2254">
        <v>700</v>
      </c>
      <c r="D2254">
        <v>0</v>
      </c>
      <c r="E2254" t="s">
        <v>20</v>
      </c>
      <c r="F2254" t="s">
        <v>20</v>
      </c>
      <c r="G2254" t="str">
        <f>"2025-03-26 08:01:58.380"</f>
        <v>2025-03-26 08:01:58.380</v>
      </c>
      <c r="H2254" t="s">
        <v>21</v>
      </c>
    </row>
    <row r="2255" spans="1:10" x14ac:dyDescent="0.25">
      <c r="A2255" s="1">
        <v>386</v>
      </c>
      <c r="B2255" t="s">
        <v>19</v>
      </c>
      <c r="C2255">
        <v>700</v>
      </c>
      <c r="D2255">
        <v>0</v>
      </c>
      <c r="E2255" t="s">
        <v>20</v>
      </c>
      <c r="F2255" t="s">
        <v>20</v>
      </c>
      <c r="G2255" t="str">
        <f>"2025-03-26 06:39:24.134"</f>
        <v>2025-03-26 06:39:24.134</v>
      </c>
      <c r="H2255" t="s">
        <v>21</v>
      </c>
    </row>
    <row r="2256" spans="1:10" x14ac:dyDescent="0.25">
      <c r="A2256" s="1">
        <v>387</v>
      </c>
      <c r="B2256" t="s">
        <v>19</v>
      </c>
      <c r="C2256">
        <v>700</v>
      </c>
      <c r="D2256">
        <v>0</v>
      </c>
      <c r="E2256" t="s">
        <v>20</v>
      </c>
      <c r="F2256" t="s">
        <v>20</v>
      </c>
      <c r="G2256" t="str">
        <f>"2025-03-25 21:24:01.245"</f>
        <v>2025-03-25 21:24:01.245</v>
      </c>
      <c r="H2256" t="s">
        <v>21</v>
      </c>
      <c r="I2256">
        <v>0</v>
      </c>
      <c r="J2256" t="s">
        <v>33</v>
      </c>
    </row>
    <row r="2257" spans="1:10" x14ac:dyDescent="0.25">
      <c r="A2257" s="1">
        <v>388</v>
      </c>
      <c r="B2257" t="s">
        <v>22</v>
      </c>
      <c r="C2257">
        <v>635</v>
      </c>
      <c r="D2257">
        <v>1</v>
      </c>
      <c r="E2257" t="s">
        <v>34</v>
      </c>
      <c r="F2257" t="s">
        <v>35</v>
      </c>
      <c r="G2257" t="str">
        <f>"2025-03-24 23:58:21.283"</f>
        <v>2025-03-24 23:58:21.283</v>
      </c>
      <c r="H2257" t="s">
        <v>21</v>
      </c>
    </row>
    <row r="2258" spans="1:10" x14ac:dyDescent="0.25">
      <c r="A2258" s="1">
        <v>389</v>
      </c>
      <c r="B2258" t="s">
        <v>36</v>
      </c>
      <c r="C2258">
        <v>635</v>
      </c>
      <c r="D2258">
        <v>1</v>
      </c>
      <c r="E2258" t="s">
        <v>34</v>
      </c>
      <c r="F2258" t="s">
        <v>35</v>
      </c>
      <c r="G2258" t="str">
        <f>"2025-03-24 23:55:29.783"</f>
        <v>2025-03-24 23:55:29.783</v>
      </c>
      <c r="H2258" t="s">
        <v>21</v>
      </c>
      <c r="I2258">
        <v>3.77</v>
      </c>
      <c r="J2258" t="s">
        <v>37</v>
      </c>
    </row>
    <row r="2259" spans="1:10" x14ac:dyDescent="0.25">
      <c r="A2259" s="1">
        <v>390</v>
      </c>
      <c r="B2259" t="s">
        <v>19</v>
      </c>
      <c r="C2259">
        <v>700</v>
      </c>
      <c r="D2259">
        <v>0</v>
      </c>
      <c r="E2259" t="s">
        <v>20</v>
      </c>
      <c r="F2259" t="s">
        <v>20</v>
      </c>
      <c r="G2259" t="str">
        <f>"2025-03-24 22:21:18.304"</f>
        <v>2025-03-24 22:21:18.304</v>
      </c>
      <c r="H2259" t="s">
        <v>21</v>
      </c>
      <c r="I2259">
        <v>0</v>
      </c>
      <c r="J2259" t="s">
        <v>33</v>
      </c>
    </row>
    <row r="2260" spans="1:10" x14ac:dyDescent="0.25">
      <c r="A2260" s="1">
        <v>391</v>
      </c>
      <c r="B2260" t="s">
        <v>56</v>
      </c>
      <c r="C2260">
        <v>33</v>
      </c>
      <c r="D2260">
        <v>1</v>
      </c>
      <c r="E2260" t="s">
        <v>76</v>
      </c>
      <c r="F2260" t="s">
        <v>77</v>
      </c>
      <c r="G2260" t="str">
        <f>"2025-03-24 13:48:26.861"</f>
        <v>2025-03-24 13:48:26.861</v>
      </c>
      <c r="H2260" t="s">
        <v>78</v>
      </c>
    </row>
    <row r="2261" spans="1:10" x14ac:dyDescent="0.25">
      <c r="A2261" s="1">
        <v>392</v>
      </c>
      <c r="B2261" t="s">
        <v>26</v>
      </c>
      <c r="C2261">
        <v>33</v>
      </c>
      <c r="D2261">
        <v>1</v>
      </c>
      <c r="E2261" t="s">
        <v>76</v>
      </c>
      <c r="F2261" t="s">
        <v>77</v>
      </c>
      <c r="G2261" t="str">
        <f>"2025-03-24 13:47:58.519"</f>
        <v>2025-03-24 13:47:58.519</v>
      </c>
      <c r="H2261" t="s">
        <v>78</v>
      </c>
      <c r="I2261">
        <v>9.02</v>
      </c>
      <c r="J2261" t="s">
        <v>37</v>
      </c>
    </row>
    <row r="2262" spans="1:10" x14ac:dyDescent="0.25">
      <c r="A2262" s="1">
        <v>393</v>
      </c>
      <c r="B2262" t="s">
        <v>19</v>
      </c>
      <c r="C2262">
        <v>700</v>
      </c>
      <c r="D2262">
        <v>0</v>
      </c>
      <c r="E2262" t="s">
        <v>20</v>
      </c>
      <c r="F2262" t="s">
        <v>20</v>
      </c>
      <c r="G2262" t="str">
        <f>"2025-03-23 22:58:29.129"</f>
        <v>2025-03-23 22:58:29.129</v>
      </c>
      <c r="H2262" t="s">
        <v>21</v>
      </c>
    </row>
    <row r="2263" spans="1:10" x14ac:dyDescent="0.25">
      <c r="A2263" s="1">
        <v>394</v>
      </c>
      <c r="B2263" t="s">
        <v>19</v>
      </c>
      <c r="C2263">
        <v>700</v>
      </c>
      <c r="D2263">
        <v>0</v>
      </c>
      <c r="E2263" t="s">
        <v>20</v>
      </c>
      <c r="F2263" t="s">
        <v>20</v>
      </c>
      <c r="G2263" t="str">
        <f>"2025-03-22 20:36:22.172"</f>
        <v>2025-03-22 20:36:22.172</v>
      </c>
      <c r="H2263" t="s">
        <v>21</v>
      </c>
      <c r="I2263">
        <v>0</v>
      </c>
      <c r="J2263" t="s">
        <v>33</v>
      </c>
    </row>
    <row r="2264" spans="1:10" x14ac:dyDescent="0.25">
      <c r="A2264" s="1">
        <v>395</v>
      </c>
      <c r="B2264" t="s">
        <v>19</v>
      </c>
      <c r="C2264">
        <v>700</v>
      </c>
      <c r="D2264">
        <v>0</v>
      </c>
      <c r="E2264" t="s">
        <v>20</v>
      </c>
      <c r="F2264" t="s">
        <v>20</v>
      </c>
      <c r="G2264" t="str">
        <f>"2025-03-22 16:59:29.132"</f>
        <v>2025-03-22 16:59:29.132</v>
      </c>
      <c r="H2264" t="s">
        <v>21</v>
      </c>
      <c r="I2264">
        <v>0</v>
      </c>
      <c r="J2264" t="s">
        <v>33</v>
      </c>
    </row>
    <row r="2265" spans="1:10" x14ac:dyDescent="0.25">
      <c r="A2265" s="1">
        <v>396</v>
      </c>
      <c r="B2265" t="s">
        <v>22</v>
      </c>
      <c r="C2265">
        <v>635</v>
      </c>
      <c r="D2265">
        <v>1</v>
      </c>
      <c r="E2265" t="s">
        <v>34</v>
      </c>
      <c r="F2265" t="s">
        <v>35</v>
      </c>
      <c r="G2265" t="str">
        <f>"2025-03-21 01:37:48.606"</f>
        <v>2025-03-21 01:37:48.606</v>
      </c>
      <c r="H2265" t="s">
        <v>21</v>
      </c>
    </row>
    <row r="2266" spans="1:10" x14ac:dyDescent="0.25">
      <c r="A2266" s="1">
        <v>397</v>
      </c>
      <c r="B2266" t="s">
        <v>36</v>
      </c>
      <c r="C2266">
        <v>635</v>
      </c>
      <c r="D2266">
        <v>1</v>
      </c>
      <c r="E2266" t="s">
        <v>34</v>
      </c>
      <c r="F2266" t="s">
        <v>35</v>
      </c>
      <c r="G2266" t="str">
        <f>"2025-03-21 01:33:55.106"</f>
        <v>2025-03-21 01:33:55.106</v>
      </c>
      <c r="H2266" t="s">
        <v>21</v>
      </c>
      <c r="I2266">
        <v>1.04</v>
      </c>
      <c r="J2266" t="s">
        <v>37</v>
      </c>
    </row>
    <row r="2267" spans="1:10" x14ac:dyDescent="0.25">
      <c r="A2267" s="1">
        <v>398</v>
      </c>
      <c r="B2267" t="s">
        <v>19</v>
      </c>
      <c r="C2267">
        <v>700</v>
      </c>
      <c r="D2267">
        <v>0</v>
      </c>
      <c r="E2267" t="s">
        <v>20</v>
      </c>
      <c r="F2267" t="s">
        <v>20</v>
      </c>
      <c r="G2267" t="str">
        <f>"2025-03-20 22:09:02.135"</f>
        <v>2025-03-20 22:09:02.135</v>
      </c>
      <c r="H2267" t="s">
        <v>21</v>
      </c>
      <c r="I2267">
        <v>0</v>
      </c>
      <c r="J2267" t="s">
        <v>33</v>
      </c>
    </row>
    <row r="2268" spans="1:10" x14ac:dyDescent="0.25">
      <c r="A2268" s="1">
        <v>399</v>
      </c>
      <c r="B2268" t="s">
        <v>19</v>
      </c>
      <c r="C2268">
        <v>706</v>
      </c>
      <c r="D2268">
        <v>4</v>
      </c>
      <c r="E2268" t="s">
        <v>29</v>
      </c>
      <c r="F2268" t="s">
        <v>53</v>
      </c>
      <c r="G2268" t="str">
        <f>"2025-03-20 10:35:13.863"</f>
        <v>2025-03-20 10:35:13.863</v>
      </c>
      <c r="H2268" t="s">
        <v>21</v>
      </c>
      <c r="I2268">
        <v>0</v>
      </c>
      <c r="J2268" t="s">
        <v>31</v>
      </c>
    </row>
    <row r="2269" spans="1:10" x14ac:dyDescent="0.25">
      <c r="A2269" s="1">
        <v>400</v>
      </c>
      <c r="B2269" t="s">
        <v>19</v>
      </c>
      <c r="C2269">
        <v>706</v>
      </c>
      <c r="D2269">
        <v>4</v>
      </c>
      <c r="E2269" t="s">
        <v>29</v>
      </c>
      <c r="F2269" t="s">
        <v>53</v>
      </c>
      <c r="G2269" t="str">
        <f>"2025-03-20 10:28:38.373"</f>
        <v>2025-03-20 10:28:38.373</v>
      </c>
      <c r="H2269" t="s">
        <v>21</v>
      </c>
      <c r="I2269">
        <v>0</v>
      </c>
      <c r="J2269" t="s">
        <v>31</v>
      </c>
    </row>
    <row r="2270" spans="1:10" x14ac:dyDescent="0.25">
      <c r="A2270" s="1">
        <v>401</v>
      </c>
      <c r="B2270" t="s">
        <v>19</v>
      </c>
      <c r="C2270">
        <v>700</v>
      </c>
      <c r="D2270">
        <v>0</v>
      </c>
      <c r="E2270" t="s">
        <v>20</v>
      </c>
      <c r="F2270" t="s">
        <v>20</v>
      </c>
      <c r="G2270" t="str">
        <f>"2025-03-19 21:11:40.443"</f>
        <v>2025-03-19 21:11:40.443</v>
      </c>
      <c r="H2270" t="s">
        <v>21</v>
      </c>
      <c r="I2270">
        <v>0</v>
      </c>
      <c r="J2270" t="s">
        <v>33</v>
      </c>
    </row>
    <row r="2271" spans="1:10" x14ac:dyDescent="0.25">
      <c r="A2271" s="1">
        <v>404</v>
      </c>
      <c r="B2271" t="s">
        <v>19</v>
      </c>
      <c r="C2271">
        <v>700</v>
      </c>
      <c r="D2271">
        <v>0</v>
      </c>
      <c r="E2271" t="s">
        <v>20</v>
      </c>
      <c r="F2271" t="s">
        <v>20</v>
      </c>
      <c r="G2271" t="str">
        <f>"2025-03-19 11:01:01.141"</f>
        <v>2025-03-19 11:01:01.141</v>
      </c>
      <c r="H2271" t="s">
        <v>21</v>
      </c>
    </row>
    <row r="2272" spans="1:10" x14ac:dyDescent="0.25">
      <c r="A2272" s="1">
        <v>405</v>
      </c>
      <c r="B2272" t="s">
        <v>19</v>
      </c>
      <c r="C2272">
        <v>700</v>
      </c>
      <c r="D2272">
        <v>0</v>
      </c>
      <c r="E2272" t="s">
        <v>20</v>
      </c>
      <c r="F2272" t="s">
        <v>20</v>
      </c>
      <c r="G2272" t="str">
        <f>"2025-03-18 22:04:13.137"</f>
        <v>2025-03-18 22:04:13.137</v>
      </c>
      <c r="H2272" t="s">
        <v>21</v>
      </c>
      <c r="I2272">
        <v>0</v>
      </c>
      <c r="J2272" t="s">
        <v>33</v>
      </c>
    </row>
    <row r="2273" spans="1:10" x14ac:dyDescent="0.25">
      <c r="A2273" s="1">
        <v>406</v>
      </c>
      <c r="B2273" t="s">
        <v>22</v>
      </c>
      <c r="C2273">
        <v>635</v>
      </c>
      <c r="D2273">
        <v>1</v>
      </c>
      <c r="E2273" t="s">
        <v>34</v>
      </c>
      <c r="F2273" t="s">
        <v>35</v>
      </c>
      <c r="G2273" t="str">
        <f>"2025-03-18 10:12:48.820"</f>
        <v>2025-03-18 10:12:48.820</v>
      </c>
      <c r="H2273" t="s">
        <v>21</v>
      </c>
    </row>
    <row r="2274" spans="1:10" x14ac:dyDescent="0.25">
      <c r="A2274" s="1">
        <v>407</v>
      </c>
      <c r="B2274" t="s">
        <v>36</v>
      </c>
      <c r="C2274">
        <v>635</v>
      </c>
      <c r="D2274">
        <v>1</v>
      </c>
      <c r="E2274" t="s">
        <v>34</v>
      </c>
      <c r="F2274" t="s">
        <v>35</v>
      </c>
      <c r="G2274" t="str">
        <f>"2025-03-18 10:08:17.820"</f>
        <v>2025-03-18 10:08:17.820</v>
      </c>
      <c r="H2274" t="s">
        <v>21</v>
      </c>
      <c r="I2274">
        <v>-0.11</v>
      </c>
      <c r="J2274" t="s">
        <v>37</v>
      </c>
    </row>
    <row r="2275" spans="1:10" x14ac:dyDescent="0.25">
      <c r="A2275" s="1">
        <v>408</v>
      </c>
      <c r="B2275" t="s">
        <v>22</v>
      </c>
      <c r="C2275">
        <v>635</v>
      </c>
      <c r="D2275">
        <v>1</v>
      </c>
      <c r="E2275" t="s">
        <v>34</v>
      </c>
      <c r="F2275" t="s">
        <v>35</v>
      </c>
      <c r="G2275" t="str">
        <f>"2025-03-17 14:33:10.120"</f>
        <v>2025-03-17 14:33:10.120</v>
      </c>
      <c r="H2275" t="s">
        <v>21</v>
      </c>
    </row>
    <row r="2276" spans="1:10" x14ac:dyDescent="0.25">
      <c r="A2276" s="1">
        <v>409</v>
      </c>
      <c r="B2276" t="s">
        <v>36</v>
      </c>
      <c r="C2276">
        <v>635</v>
      </c>
      <c r="D2276">
        <v>1</v>
      </c>
      <c r="E2276" t="s">
        <v>34</v>
      </c>
      <c r="F2276" t="s">
        <v>35</v>
      </c>
      <c r="G2276" t="str">
        <f>"2025-03-17 14:20:54.120"</f>
        <v>2025-03-17 14:20:54.120</v>
      </c>
      <c r="H2276" t="s">
        <v>21</v>
      </c>
      <c r="I2276">
        <v>2.0699999999999998</v>
      </c>
      <c r="J2276" t="s">
        <v>27</v>
      </c>
    </row>
    <row r="2277" spans="1:10" x14ac:dyDescent="0.25">
      <c r="A2277" s="1">
        <v>410</v>
      </c>
      <c r="B2277" t="s">
        <v>22</v>
      </c>
      <c r="C2277">
        <v>635</v>
      </c>
      <c r="D2277">
        <v>1</v>
      </c>
      <c r="E2277" t="s">
        <v>34</v>
      </c>
      <c r="F2277" t="s">
        <v>35</v>
      </c>
      <c r="G2277" t="str">
        <f>"2025-03-17 06:42:13.373"</f>
        <v>2025-03-17 06:42:13.373</v>
      </c>
      <c r="H2277" t="s">
        <v>21</v>
      </c>
    </row>
    <row r="2278" spans="1:10" x14ac:dyDescent="0.25">
      <c r="A2278" s="1">
        <v>411</v>
      </c>
      <c r="B2278" t="s">
        <v>36</v>
      </c>
      <c r="C2278">
        <v>635</v>
      </c>
      <c r="D2278">
        <v>1</v>
      </c>
      <c r="E2278" t="s">
        <v>34</v>
      </c>
      <c r="F2278" t="s">
        <v>35</v>
      </c>
      <c r="G2278" t="str">
        <f>"2025-03-17 06:38:21.320"</f>
        <v>2025-03-17 06:38:21.320</v>
      </c>
      <c r="H2278" t="s">
        <v>21</v>
      </c>
      <c r="I2278">
        <v>0.44</v>
      </c>
      <c r="J2278" t="s">
        <v>37</v>
      </c>
    </row>
    <row r="2279" spans="1:10" x14ac:dyDescent="0.25">
      <c r="A2279" s="1">
        <v>412</v>
      </c>
      <c r="B2279" t="s">
        <v>22</v>
      </c>
      <c r="C2279">
        <v>635</v>
      </c>
      <c r="D2279">
        <v>1</v>
      </c>
      <c r="E2279" t="s">
        <v>34</v>
      </c>
      <c r="F2279" t="s">
        <v>35</v>
      </c>
      <c r="G2279" t="str">
        <f>"2025-03-16 02:44:32.820"</f>
        <v>2025-03-16 02:44:32.820</v>
      </c>
      <c r="H2279" t="s">
        <v>21</v>
      </c>
    </row>
    <row r="2280" spans="1:10" x14ac:dyDescent="0.25">
      <c r="A2280" s="1">
        <v>413</v>
      </c>
      <c r="B2280" t="s">
        <v>36</v>
      </c>
      <c r="C2280">
        <v>635</v>
      </c>
      <c r="D2280">
        <v>1</v>
      </c>
      <c r="E2280" t="s">
        <v>34</v>
      </c>
      <c r="F2280" t="s">
        <v>35</v>
      </c>
      <c r="G2280" t="str">
        <f>"2025-03-16 02:39:53.920"</f>
        <v>2025-03-16 02:39:53.920</v>
      </c>
      <c r="H2280" t="s">
        <v>21</v>
      </c>
      <c r="I2280">
        <v>2.8</v>
      </c>
      <c r="J2280" t="s">
        <v>37</v>
      </c>
    </row>
    <row r="2281" spans="1:10" x14ac:dyDescent="0.25">
      <c r="A2281" s="1">
        <v>414</v>
      </c>
      <c r="B2281" t="s">
        <v>19</v>
      </c>
      <c r="C2281">
        <v>706</v>
      </c>
      <c r="D2281">
        <v>4</v>
      </c>
      <c r="E2281" t="s">
        <v>29</v>
      </c>
      <c r="F2281" t="s">
        <v>53</v>
      </c>
      <c r="G2281" t="str">
        <f>"2025-03-15 09:56:54.643"</f>
        <v>2025-03-15 09:56:54.643</v>
      </c>
      <c r="H2281" t="s">
        <v>21</v>
      </c>
      <c r="I2281">
        <v>0</v>
      </c>
      <c r="J2281" t="s">
        <v>31</v>
      </c>
    </row>
    <row r="2282" spans="1:10" x14ac:dyDescent="0.25">
      <c r="A2282" s="1">
        <v>415</v>
      </c>
      <c r="B2282" t="s">
        <v>19</v>
      </c>
      <c r="C2282">
        <v>700</v>
      </c>
      <c r="D2282">
        <v>0</v>
      </c>
      <c r="E2282" t="s">
        <v>20</v>
      </c>
      <c r="F2282" t="s">
        <v>20</v>
      </c>
      <c r="G2282" t="str">
        <f>"2025-03-15 09:45:37.133"</f>
        <v>2025-03-15 09:45:37.133</v>
      </c>
      <c r="H2282" t="s">
        <v>21</v>
      </c>
    </row>
    <row r="2283" spans="1:10" x14ac:dyDescent="0.25">
      <c r="A2283" s="1">
        <v>416</v>
      </c>
      <c r="B2283" t="s">
        <v>19</v>
      </c>
      <c r="C2283">
        <v>700</v>
      </c>
      <c r="D2283">
        <v>0</v>
      </c>
      <c r="E2283" t="s">
        <v>20</v>
      </c>
      <c r="F2283" t="s">
        <v>20</v>
      </c>
      <c r="G2283" t="str">
        <f>"2025-03-15 07:10:33.141"</f>
        <v>2025-03-15 07:10:33.141</v>
      </c>
      <c r="H2283" t="s">
        <v>21</v>
      </c>
      <c r="I2283">
        <v>0</v>
      </c>
      <c r="J2283" t="s">
        <v>33</v>
      </c>
    </row>
    <row r="2284" spans="1:10" x14ac:dyDescent="0.25">
      <c r="A2284" s="1">
        <v>417</v>
      </c>
      <c r="B2284" t="s">
        <v>19</v>
      </c>
      <c r="C2284">
        <v>706</v>
      </c>
      <c r="D2284">
        <v>4</v>
      </c>
      <c r="E2284" t="s">
        <v>29</v>
      </c>
      <c r="F2284" t="s">
        <v>53</v>
      </c>
      <c r="G2284" t="str">
        <f>"2025-03-15 04:02:23.053"</f>
        <v>2025-03-15 04:02:23.053</v>
      </c>
      <c r="H2284" t="s">
        <v>21</v>
      </c>
      <c r="I2284">
        <v>0</v>
      </c>
      <c r="J2284" t="s">
        <v>31</v>
      </c>
    </row>
    <row r="2285" spans="1:10" x14ac:dyDescent="0.25">
      <c r="A2285" s="1">
        <v>418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"2025-03-15 04:00:36.133"</f>
        <v>2025-03-15 04:00:36.133</v>
      </c>
      <c r="H2285" t="s">
        <v>21</v>
      </c>
      <c r="I2285">
        <v>0</v>
      </c>
      <c r="J2285" t="s">
        <v>33</v>
      </c>
    </row>
    <row r="2286" spans="1:10" x14ac:dyDescent="0.25">
      <c r="A2286" s="1">
        <v>419</v>
      </c>
      <c r="B2286" t="s">
        <v>19</v>
      </c>
      <c r="C2286">
        <v>700</v>
      </c>
      <c r="D2286">
        <v>0</v>
      </c>
      <c r="E2286" t="s">
        <v>20</v>
      </c>
      <c r="F2286" t="s">
        <v>20</v>
      </c>
      <c r="G2286" t="str">
        <f>"2025-03-15 03:24:38.419"</f>
        <v>2025-03-15 03:24:38.419</v>
      </c>
      <c r="H2286" t="s">
        <v>21</v>
      </c>
    </row>
    <row r="2287" spans="1:10" x14ac:dyDescent="0.25">
      <c r="A2287" s="1">
        <v>420</v>
      </c>
      <c r="B2287" t="s">
        <v>19</v>
      </c>
      <c r="C2287">
        <v>700</v>
      </c>
      <c r="D2287">
        <v>0</v>
      </c>
      <c r="E2287" t="s">
        <v>20</v>
      </c>
      <c r="F2287" t="s">
        <v>20</v>
      </c>
      <c r="G2287" t="str">
        <f>"2025-03-14 10:16:28.281"</f>
        <v>2025-03-14 10:16:28.281</v>
      </c>
      <c r="H2287" t="s">
        <v>21</v>
      </c>
    </row>
    <row r="2288" spans="1:10" x14ac:dyDescent="0.25">
      <c r="A2288" s="1">
        <v>421</v>
      </c>
      <c r="B2288" t="s">
        <v>19</v>
      </c>
      <c r="C2288">
        <v>700</v>
      </c>
      <c r="D2288">
        <v>0</v>
      </c>
      <c r="E2288" t="s">
        <v>20</v>
      </c>
      <c r="F2288" t="s">
        <v>20</v>
      </c>
      <c r="G2288" t="str">
        <f>"2025-03-14 10:07:13.195"</f>
        <v>2025-03-14 10:07:13.195</v>
      </c>
      <c r="H2288" t="s">
        <v>21</v>
      </c>
      <c r="I2288">
        <v>0</v>
      </c>
      <c r="J2288" t="s">
        <v>33</v>
      </c>
    </row>
    <row r="2289" spans="1:10" x14ac:dyDescent="0.25">
      <c r="A2289" s="1">
        <v>422</v>
      </c>
      <c r="B2289" t="s">
        <v>19</v>
      </c>
      <c r="C2289">
        <v>700</v>
      </c>
      <c r="D2289">
        <v>0</v>
      </c>
      <c r="E2289" t="s">
        <v>20</v>
      </c>
      <c r="F2289" t="s">
        <v>20</v>
      </c>
      <c r="G2289" t="str">
        <f>"2025-03-14 09:50:42.138"</f>
        <v>2025-03-14 09:50:42.138</v>
      </c>
      <c r="H2289" t="s">
        <v>21</v>
      </c>
      <c r="I2289">
        <v>0</v>
      </c>
      <c r="J2289" t="s">
        <v>33</v>
      </c>
    </row>
    <row r="2290" spans="1:10" x14ac:dyDescent="0.25">
      <c r="A2290" s="1">
        <v>423</v>
      </c>
      <c r="B2290" t="s">
        <v>22</v>
      </c>
      <c r="C2290">
        <v>635</v>
      </c>
      <c r="D2290">
        <v>1</v>
      </c>
      <c r="E2290" t="s">
        <v>34</v>
      </c>
      <c r="F2290" t="s">
        <v>35</v>
      </c>
      <c r="G2290" t="str">
        <f>"2025-03-14 05:29:01.959"</f>
        <v>2025-03-14 05:29:01.959</v>
      </c>
      <c r="H2290" t="s">
        <v>21</v>
      </c>
    </row>
    <row r="2291" spans="1:10" x14ac:dyDescent="0.25">
      <c r="A2291" s="1">
        <v>424</v>
      </c>
      <c r="B2291" t="s">
        <v>36</v>
      </c>
      <c r="C2291">
        <v>635</v>
      </c>
      <c r="D2291">
        <v>1</v>
      </c>
      <c r="E2291" t="s">
        <v>34</v>
      </c>
      <c r="F2291" t="s">
        <v>35</v>
      </c>
      <c r="G2291" t="str">
        <f>"2025-03-14 05:25:10.959"</f>
        <v>2025-03-14 05:25:10.959</v>
      </c>
      <c r="H2291" t="s">
        <v>21</v>
      </c>
      <c r="I2291">
        <v>-0.44</v>
      </c>
      <c r="J2291" t="s">
        <v>28</v>
      </c>
    </row>
    <row r="2292" spans="1:10" x14ac:dyDescent="0.25">
      <c r="A2292" s="1">
        <v>425</v>
      </c>
      <c r="B2292" t="s">
        <v>22</v>
      </c>
      <c r="C2292">
        <v>635</v>
      </c>
      <c r="D2292">
        <v>1</v>
      </c>
      <c r="E2292" t="s">
        <v>34</v>
      </c>
      <c r="F2292" t="s">
        <v>35</v>
      </c>
      <c r="G2292" t="str">
        <f>"2025-03-14 04:24:11.059"</f>
        <v>2025-03-14 04:24:11.059</v>
      </c>
      <c r="H2292" t="s">
        <v>21</v>
      </c>
    </row>
    <row r="2293" spans="1:10" x14ac:dyDescent="0.25">
      <c r="A2293" s="1">
        <v>426</v>
      </c>
      <c r="B2293" t="s">
        <v>36</v>
      </c>
      <c r="C2293">
        <v>635</v>
      </c>
      <c r="D2293">
        <v>1</v>
      </c>
      <c r="E2293" t="s">
        <v>34</v>
      </c>
      <c r="F2293" t="s">
        <v>35</v>
      </c>
      <c r="G2293" t="str">
        <f>"2025-03-14 04:21:07.059"</f>
        <v>2025-03-14 04:21:07.059</v>
      </c>
      <c r="H2293" t="s">
        <v>21</v>
      </c>
      <c r="I2293">
        <v>0</v>
      </c>
      <c r="J2293" t="s">
        <v>28</v>
      </c>
    </row>
    <row r="2294" spans="1:10" x14ac:dyDescent="0.25">
      <c r="A2294" s="1">
        <v>427</v>
      </c>
      <c r="B2294" t="s">
        <v>19</v>
      </c>
      <c r="C2294">
        <v>700</v>
      </c>
      <c r="D2294">
        <v>0</v>
      </c>
      <c r="E2294" t="s">
        <v>20</v>
      </c>
      <c r="F2294" t="s">
        <v>20</v>
      </c>
      <c r="G2294" t="str">
        <f>"2025-03-13 13:12:12.130"</f>
        <v>2025-03-13 13:12:12.130</v>
      </c>
      <c r="H2294" t="s">
        <v>21</v>
      </c>
    </row>
    <row r="2295" spans="1:10" x14ac:dyDescent="0.25">
      <c r="A2295" s="1">
        <v>428</v>
      </c>
      <c r="B2295" t="s">
        <v>40</v>
      </c>
      <c r="C2295">
        <v>135</v>
      </c>
      <c r="D2295">
        <v>7</v>
      </c>
      <c r="E2295" t="s">
        <v>116</v>
      </c>
      <c r="F2295" t="s">
        <v>117</v>
      </c>
      <c r="G2295" t="str">
        <f>"2025-03-13 04:01:57.079"</f>
        <v>2025-03-13 04:01:57.079</v>
      </c>
      <c r="H2295" t="s">
        <v>52</v>
      </c>
    </row>
    <row r="2296" spans="1:10" x14ac:dyDescent="0.25">
      <c r="A2296" s="1">
        <v>429</v>
      </c>
      <c r="B2296" t="s">
        <v>26</v>
      </c>
      <c r="C2296">
        <v>135</v>
      </c>
      <c r="D2296">
        <v>7</v>
      </c>
      <c r="E2296" t="s">
        <v>116</v>
      </c>
      <c r="F2296" t="s">
        <v>117</v>
      </c>
      <c r="G2296" t="str">
        <f>"2025-03-13 04:01:52.040"</f>
        <v>2025-03-13 04:01:52.040</v>
      </c>
      <c r="H2296" t="s">
        <v>52</v>
      </c>
      <c r="I2296">
        <v>20.059999999999999</v>
      </c>
      <c r="J2296" t="s">
        <v>27</v>
      </c>
    </row>
    <row r="2297" spans="1:10" x14ac:dyDescent="0.25">
      <c r="A2297" s="1">
        <v>433</v>
      </c>
      <c r="B2297" t="s">
        <v>22</v>
      </c>
      <c r="C2297">
        <v>14</v>
      </c>
      <c r="D2297">
        <v>10</v>
      </c>
      <c r="E2297" t="s">
        <v>85</v>
      </c>
      <c r="F2297" t="s">
        <v>87</v>
      </c>
      <c r="G2297" t="str">
        <f>"2025-03-10 21:32:26.321"</f>
        <v>2025-03-10 21:32:26.321</v>
      </c>
      <c r="H2297" t="s">
        <v>25</v>
      </c>
    </row>
    <row r="2298" spans="1:10" s="3" customFormat="1" x14ac:dyDescent="0.25">
      <c r="A2298" s="2">
        <v>434</v>
      </c>
      <c r="B2298" s="3" t="s">
        <v>22</v>
      </c>
      <c r="C2298" s="3">
        <v>647</v>
      </c>
      <c r="D2298" s="3">
        <v>1</v>
      </c>
      <c r="E2298" s="3" t="s">
        <v>54</v>
      </c>
      <c r="F2298" s="3" t="s">
        <v>55</v>
      </c>
      <c r="G2298" s="3" t="str">
        <f>"2025-03-10 21:32:16.021"</f>
        <v>2025-03-10 21:32:16.021</v>
      </c>
      <c r="H2298" s="3" t="s">
        <v>21</v>
      </c>
    </row>
    <row r="2299" spans="1:10" x14ac:dyDescent="0.25">
      <c r="A2299" s="1">
        <v>435</v>
      </c>
      <c r="B2299" t="s">
        <v>56</v>
      </c>
      <c r="C2299">
        <v>23</v>
      </c>
      <c r="D2299">
        <v>1</v>
      </c>
      <c r="E2299" t="s">
        <v>88</v>
      </c>
      <c r="F2299" t="s">
        <v>89</v>
      </c>
      <c r="G2299" t="str">
        <f>"2025-03-10 21:32:14.668"</f>
        <v>2025-03-10 21:32:14.668</v>
      </c>
      <c r="H2299" t="s">
        <v>46</v>
      </c>
    </row>
    <row r="2300" spans="1:10" s="3" customFormat="1" x14ac:dyDescent="0.25">
      <c r="A2300" s="2">
        <v>436</v>
      </c>
      <c r="B2300" s="3" t="s">
        <v>36</v>
      </c>
      <c r="C2300" s="3">
        <v>647</v>
      </c>
      <c r="D2300" s="3">
        <v>1</v>
      </c>
      <c r="E2300" s="3" t="s">
        <v>54</v>
      </c>
      <c r="F2300" s="3" t="s">
        <v>55</v>
      </c>
      <c r="G2300" s="3" t="str">
        <f>"2025-03-10 21:32:10.921"</f>
        <v>2025-03-10 21:32:10.921</v>
      </c>
      <c r="H2300" s="3" t="s">
        <v>21</v>
      </c>
      <c r="I2300" s="3">
        <v>18.239999999999998</v>
      </c>
      <c r="J2300" s="3" t="s">
        <v>28</v>
      </c>
    </row>
    <row r="2301" spans="1:10" x14ac:dyDescent="0.25">
      <c r="A2301" s="1">
        <v>437</v>
      </c>
      <c r="B2301" t="s">
        <v>40</v>
      </c>
      <c r="C2301">
        <v>205</v>
      </c>
      <c r="D2301">
        <v>3</v>
      </c>
      <c r="E2301" t="s">
        <v>90</v>
      </c>
      <c r="F2301" t="s">
        <v>91</v>
      </c>
      <c r="G2301" t="str">
        <f>"2025-03-10 21:32:10.679"</f>
        <v>2025-03-10 21:32:10.679</v>
      </c>
      <c r="H2301" t="s">
        <v>49</v>
      </c>
    </row>
    <row r="2302" spans="1:10" x14ac:dyDescent="0.25">
      <c r="A2302" s="1">
        <v>438</v>
      </c>
      <c r="B2302" t="s">
        <v>40</v>
      </c>
      <c r="C2302">
        <v>105</v>
      </c>
      <c r="D2302">
        <v>3</v>
      </c>
      <c r="E2302" t="s">
        <v>92</v>
      </c>
      <c r="F2302" t="s">
        <v>91</v>
      </c>
      <c r="G2302" t="str">
        <f>"2025-03-10 21:32:09.980"</f>
        <v>2025-03-10 21:32:09.980</v>
      </c>
      <c r="H2302" t="s">
        <v>52</v>
      </c>
    </row>
    <row r="2303" spans="1:10" x14ac:dyDescent="0.25">
      <c r="A2303" s="1">
        <v>439</v>
      </c>
      <c r="B2303" t="s">
        <v>40</v>
      </c>
      <c r="C2303">
        <v>204</v>
      </c>
      <c r="D2303">
        <v>8</v>
      </c>
      <c r="E2303" t="s">
        <v>93</v>
      </c>
      <c r="F2303" t="s">
        <v>94</v>
      </c>
      <c r="G2303" t="str">
        <f>"2025-03-10 21:32:09.805"</f>
        <v>2025-03-10 21:32:09.805</v>
      </c>
      <c r="H2303" t="s">
        <v>49</v>
      </c>
    </row>
    <row r="2304" spans="1:10" x14ac:dyDescent="0.25">
      <c r="A2304" s="1">
        <v>440</v>
      </c>
      <c r="B2304" t="s">
        <v>40</v>
      </c>
      <c r="C2304">
        <v>204</v>
      </c>
      <c r="D2304">
        <v>6</v>
      </c>
      <c r="E2304" t="s">
        <v>93</v>
      </c>
      <c r="F2304" t="s">
        <v>95</v>
      </c>
      <c r="G2304" t="str">
        <f>"2025-03-10 21:32:09.801"</f>
        <v>2025-03-10 21:32:09.801</v>
      </c>
      <c r="H2304" t="s">
        <v>49</v>
      </c>
    </row>
    <row r="2305" spans="1:10" x14ac:dyDescent="0.25">
      <c r="A2305" s="1">
        <v>441</v>
      </c>
      <c r="B2305" t="s">
        <v>40</v>
      </c>
      <c r="C2305">
        <v>204</v>
      </c>
      <c r="D2305">
        <v>5</v>
      </c>
      <c r="E2305" t="s">
        <v>93</v>
      </c>
      <c r="F2305" t="s">
        <v>96</v>
      </c>
      <c r="G2305" t="str">
        <f>"2025-03-10 21:32:09.795"</f>
        <v>2025-03-10 21:32:09.795</v>
      </c>
      <c r="H2305" t="s">
        <v>49</v>
      </c>
    </row>
    <row r="2306" spans="1:10" x14ac:dyDescent="0.25">
      <c r="A2306" s="1">
        <v>442</v>
      </c>
      <c r="B2306" t="s">
        <v>40</v>
      </c>
      <c r="C2306">
        <v>204</v>
      </c>
      <c r="D2306">
        <v>1</v>
      </c>
      <c r="E2306" t="s">
        <v>93</v>
      </c>
      <c r="F2306" t="s">
        <v>97</v>
      </c>
      <c r="G2306" t="str">
        <f>"2025-03-10 21:32:09.792"</f>
        <v>2025-03-10 21:32:09.792</v>
      </c>
      <c r="H2306" t="s">
        <v>49</v>
      </c>
    </row>
    <row r="2307" spans="1:10" x14ac:dyDescent="0.25">
      <c r="A2307" s="1">
        <v>443</v>
      </c>
      <c r="B2307" t="s">
        <v>40</v>
      </c>
      <c r="C2307">
        <v>104</v>
      </c>
      <c r="D2307">
        <v>8</v>
      </c>
      <c r="E2307" t="s">
        <v>98</v>
      </c>
      <c r="F2307" t="s">
        <v>94</v>
      </c>
      <c r="G2307" t="str">
        <f>"2025-03-10 21:32:09.789"</f>
        <v>2025-03-10 21:32:09.789</v>
      </c>
      <c r="H2307" t="s">
        <v>52</v>
      </c>
    </row>
    <row r="2308" spans="1:10" x14ac:dyDescent="0.25">
      <c r="A2308" s="1">
        <v>444</v>
      </c>
      <c r="B2308" t="s">
        <v>40</v>
      </c>
      <c r="C2308">
        <v>104</v>
      </c>
      <c r="D2308">
        <v>6</v>
      </c>
      <c r="E2308" t="s">
        <v>98</v>
      </c>
      <c r="F2308" t="s">
        <v>95</v>
      </c>
      <c r="G2308" t="str">
        <f>"2025-03-10 21:32:09.787"</f>
        <v>2025-03-10 21:32:09.787</v>
      </c>
      <c r="H2308" t="s">
        <v>52</v>
      </c>
    </row>
    <row r="2309" spans="1:10" x14ac:dyDescent="0.25">
      <c r="A2309" s="1">
        <v>445</v>
      </c>
      <c r="B2309" t="s">
        <v>40</v>
      </c>
      <c r="C2309">
        <v>104</v>
      </c>
      <c r="D2309">
        <v>5</v>
      </c>
      <c r="E2309" t="s">
        <v>98</v>
      </c>
      <c r="F2309" t="s">
        <v>96</v>
      </c>
      <c r="G2309" t="str">
        <f>"2025-03-10 21:32:09.782"</f>
        <v>2025-03-10 21:32:09.782</v>
      </c>
      <c r="H2309" t="s">
        <v>52</v>
      </c>
    </row>
    <row r="2310" spans="1:10" x14ac:dyDescent="0.25">
      <c r="A2310" s="1">
        <v>446</v>
      </c>
      <c r="B2310" t="s">
        <v>40</v>
      </c>
      <c r="C2310">
        <v>104</v>
      </c>
      <c r="D2310">
        <v>1</v>
      </c>
      <c r="E2310" t="s">
        <v>98</v>
      </c>
      <c r="F2310" t="s">
        <v>97</v>
      </c>
      <c r="G2310" t="str">
        <f>"2025-03-10 21:32:09.780"</f>
        <v>2025-03-10 21:32:09.780</v>
      </c>
      <c r="H2310" t="s">
        <v>52</v>
      </c>
    </row>
    <row r="2311" spans="1:10" x14ac:dyDescent="0.25">
      <c r="A2311" s="1">
        <v>447</v>
      </c>
      <c r="B2311" t="s">
        <v>36</v>
      </c>
      <c r="C2311">
        <v>14</v>
      </c>
      <c r="D2311">
        <v>10</v>
      </c>
      <c r="E2311" t="s">
        <v>85</v>
      </c>
      <c r="F2311" t="s">
        <v>87</v>
      </c>
      <c r="G2311" t="str">
        <f>"2025-03-10 21:32:05.320"</f>
        <v>2025-03-10 21:32:05.320</v>
      </c>
      <c r="H2311" t="s">
        <v>25</v>
      </c>
      <c r="I2311">
        <v>23.08</v>
      </c>
      <c r="J2311" t="s">
        <v>27</v>
      </c>
    </row>
    <row r="2312" spans="1:10" x14ac:dyDescent="0.25">
      <c r="A2312" s="1">
        <v>448</v>
      </c>
      <c r="B2312" t="s">
        <v>26</v>
      </c>
      <c r="C2312">
        <v>205</v>
      </c>
      <c r="D2312">
        <v>3</v>
      </c>
      <c r="E2312" t="s">
        <v>90</v>
      </c>
      <c r="F2312" t="s">
        <v>91</v>
      </c>
      <c r="G2312" t="str">
        <f>"2025-03-10 21:32:04.983"</f>
        <v>2025-03-10 21:32:04.983</v>
      </c>
      <c r="H2312" t="s">
        <v>49</v>
      </c>
      <c r="I2312">
        <v>23.14</v>
      </c>
      <c r="J2312" t="s">
        <v>27</v>
      </c>
    </row>
    <row r="2313" spans="1:10" x14ac:dyDescent="0.25">
      <c r="A2313" s="1">
        <v>449</v>
      </c>
      <c r="B2313" t="s">
        <v>26</v>
      </c>
      <c r="C2313">
        <v>105</v>
      </c>
      <c r="D2313">
        <v>3</v>
      </c>
      <c r="E2313" t="s">
        <v>92</v>
      </c>
      <c r="F2313" t="s">
        <v>91</v>
      </c>
      <c r="G2313" t="str">
        <f>"2025-03-10 21:32:04.963"</f>
        <v>2025-03-10 21:32:04.963</v>
      </c>
      <c r="H2313" t="s">
        <v>52</v>
      </c>
      <c r="I2313">
        <v>23.14</v>
      </c>
      <c r="J2313" t="s">
        <v>27</v>
      </c>
    </row>
    <row r="2314" spans="1:10" x14ac:dyDescent="0.25">
      <c r="A2314" s="1">
        <v>450</v>
      </c>
      <c r="B2314" t="s">
        <v>26</v>
      </c>
      <c r="C2314">
        <v>104</v>
      </c>
      <c r="D2314">
        <v>8</v>
      </c>
      <c r="E2314" t="s">
        <v>98</v>
      </c>
      <c r="F2314" t="s">
        <v>94</v>
      </c>
      <c r="G2314" t="str">
        <f>"2025-03-10 21:32:04.752"</f>
        <v>2025-03-10 21:32:04.752</v>
      </c>
      <c r="H2314" t="s">
        <v>52</v>
      </c>
      <c r="I2314">
        <v>23.22</v>
      </c>
      <c r="J2314" t="s">
        <v>27</v>
      </c>
    </row>
    <row r="2315" spans="1:10" x14ac:dyDescent="0.25">
      <c r="A2315" s="1">
        <v>451</v>
      </c>
      <c r="B2315" t="s">
        <v>26</v>
      </c>
      <c r="C2315">
        <v>104</v>
      </c>
      <c r="D2315">
        <v>6</v>
      </c>
      <c r="E2315" t="s">
        <v>98</v>
      </c>
      <c r="F2315" t="s">
        <v>95</v>
      </c>
      <c r="G2315" t="str">
        <f>"2025-03-10 21:32:04.748"</f>
        <v>2025-03-10 21:32:04.748</v>
      </c>
      <c r="H2315" t="s">
        <v>52</v>
      </c>
      <c r="I2315">
        <v>23.22</v>
      </c>
      <c r="J2315" t="s">
        <v>27</v>
      </c>
    </row>
    <row r="2316" spans="1:10" x14ac:dyDescent="0.25">
      <c r="A2316" s="1">
        <v>452</v>
      </c>
      <c r="B2316" t="s">
        <v>26</v>
      </c>
      <c r="C2316">
        <v>104</v>
      </c>
      <c r="D2316">
        <v>5</v>
      </c>
      <c r="E2316" t="s">
        <v>98</v>
      </c>
      <c r="F2316" t="s">
        <v>96</v>
      </c>
      <c r="G2316" t="str">
        <f>"2025-03-10 21:32:04.743"</f>
        <v>2025-03-10 21:32:04.743</v>
      </c>
      <c r="H2316" t="s">
        <v>52</v>
      </c>
      <c r="I2316">
        <v>23.22</v>
      </c>
      <c r="J2316" t="s">
        <v>27</v>
      </c>
    </row>
    <row r="2317" spans="1:10" x14ac:dyDescent="0.25">
      <c r="A2317" s="1">
        <v>453</v>
      </c>
      <c r="B2317" t="s">
        <v>26</v>
      </c>
      <c r="C2317">
        <v>204</v>
      </c>
      <c r="D2317">
        <v>8</v>
      </c>
      <c r="E2317" t="s">
        <v>93</v>
      </c>
      <c r="F2317" t="s">
        <v>94</v>
      </c>
      <c r="G2317" t="str">
        <f>"2025-03-10 21:32:04.732"</f>
        <v>2025-03-10 21:32:04.732</v>
      </c>
      <c r="H2317" t="s">
        <v>49</v>
      </c>
      <c r="I2317">
        <v>23.22</v>
      </c>
      <c r="J2317" t="s">
        <v>27</v>
      </c>
    </row>
    <row r="2318" spans="1:10" x14ac:dyDescent="0.25">
      <c r="A2318" s="1">
        <v>454</v>
      </c>
      <c r="B2318" t="s">
        <v>26</v>
      </c>
      <c r="C2318">
        <v>204</v>
      </c>
      <c r="D2318">
        <v>6</v>
      </c>
      <c r="E2318" t="s">
        <v>93</v>
      </c>
      <c r="F2318" t="s">
        <v>95</v>
      </c>
      <c r="G2318" t="str">
        <f>"2025-03-10 21:32:04.728"</f>
        <v>2025-03-10 21:32:04.728</v>
      </c>
      <c r="H2318" t="s">
        <v>49</v>
      </c>
      <c r="I2318">
        <v>23.22</v>
      </c>
      <c r="J2318" t="s">
        <v>27</v>
      </c>
    </row>
    <row r="2319" spans="1:10" x14ac:dyDescent="0.25">
      <c r="A2319" s="1">
        <v>455</v>
      </c>
      <c r="B2319" t="s">
        <v>26</v>
      </c>
      <c r="C2319">
        <v>204</v>
      </c>
      <c r="D2319">
        <v>5</v>
      </c>
      <c r="E2319" t="s">
        <v>93</v>
      </c>
      <c r="F2319" t="s">
        <v>96</v>
      </c>
      <c r="G2319" t="str">
        <f>"2025-03-10 21:32:04.723"</f>
        <v>2025-03-10 21:32:04.723</v>
      </c>
      <c r="H2319" t="s">
        <v>49</v>
      </c>
      <c r="I2319">
        <v>23.22</v>
      </c>
      <c r="J2319" t="s">
        <v>27</v>
      </c>
    </row>
    <row r="2320" spans="1:10" x14ac:dyDescent="0.25">
      <c r="A2320" s="1">
        <v>456</v>
      </c>
      <c r="B2320" t="s">
        <v>26</v>
      </c>
      <c r="C2320">
        <v>23</v>
      </c>
      <c r="D2320">
        <v>1</v>
      </c>
      <c r="E2320" t="s">
        <v>88</v>
      </c>
      <c r="F2320" t="s">
        <v>89</v>
      </c>
      <c r="G2320" t="str">
        <f>"2025-03-10 21:32:04.500"</f>
        <v>2025-03-10 21:32:04.500</v>
      </c>
      <c r="H2320" t="s">
        <v>46</v>
      </c>
      <c r="I2320">
        <v>23.35</v>
      </c>
      <c r="J2320" t="s">
        <v>27</v>
      </c>
    </row>
    <row r="2321" spans="1:10" x14ac:dyDescent="0.25">
      <c r="A2321" s="1">
        <v>457</v>
      </c>
      <c r="B2321" t="s">
        <v>26</v>
      </c>
      <c r="C2321">
        <v>104</v>
      </c>
      <c r="D2321">
        <v>1</v>
      </c>
      <c r="E2321" t="s">
        <v>98</v>
      </c>
      <c r="F2321" t="s">
        <v>97</v>
      </c>
      <c r="G2321" t="str">
        <f>"2025-03-10 21:32:04.443"</f>
        <v>2025-03-10 21:32:04.443</v>
      </c>
      <c r="H2321" t="s">
        <v>52</v>
      </c>
      <c r="I2321">
        <v>23.41</v>
      </c>
      <c r="J2321" t="s">
        <v>27</v>
      </c>
    </row>
    <row r="2322" spans="1:10" x14ac:dyDescent="0.25">
      <c r="A2322" s="1">
        <v>458</v>
      </c>
      <c r="B2322" t="s">
        <v>26</v>
      </c>
      <c r="C2322">
        <v>204</v>
      </c>
      <c r="D2322">
        <v>1</v>
      </c>
      <c r="E2322" t="s">
        <v>93</v>
      </c>
      <c r="F2322" t="s">
        <v>97</v>
      </c>
      <c r="G2322" t="str">
        <f>"2025-03-10 21:32:04.423"</f>
        <v>2025-03-10 21:32:04.423</v>
      </c>
      <c r="H2322" t="s">
        <v>49</v>
      </c>
      <c r="I2322">
        <v>23.43</v>
      </c>
      <c r="J2322" t="s">
        <v>27</v>
      </c>
    </row>
    <row r="2323" spans="1:10" x14ac:dyDescent="0.25">
      <c r="A2323" s="1">
        <v>459</v>
      </c>
      <c r="B2323" t="s">
        <v>19</v>
      </c>
      <c r="C2323">
        <v>706</v>
      </c>
      <c r="D2323">
        <v>4</v>
      </c>
      <c r="E2323" t="s">
        <v>29</v>
      </c>
      <c r="F2323" t="s">
        <v>53</v>
      </c>
      <c r="G2323" t="str">
        <f>"2025-03-10 21:32:04.327"</f>
        <v>2025-03-10 21:32:04.327</v>
      </c>
      <c r="H2323" t="s">
        <v>21</v>
      </c>
      <c r="I2323">
        <v>23.55</v>
      </c>
      <c r="J2323" t="s">
        <v>27</v>
      </c>
    </row>
    <row r="2324" spans="1:10" x14ac:dyDescent="0.25">
      <c r="A2324" s="1">
        <v>460</v>
      </c>
      <c r="B2324" t="s">
        <v>19</v>
      </c>
      <c r="C2324">
        <v>700</v>
      </c>
      <c r="D2324">
        <v>0</v>
      </c>
      <c r="E2324" t="s">
        <v>20</v>
      </c>
      <c r="F2324" t="s">
        <v>20</v>
      </c>
      <c r="G2324" t="str">
        <f>"2025-03-10 09:41:21.117"</f>
        <v>2025-03-10 09:41:21.117</v>
      </c>
      <c r="H2324" t="s">
        <v>21</v>
      </c>
    </row>
    <row r="2325" spans="1:10" x14ac:dyDescent="0.25">
      <c r="A2325" s="1">
        <v>461</v>
      </c>
      <c r="B2325" t="s">
        <v>19</v>
      </c>
      <c r="C2325">
        <v>706</v>
      </c>
      <c r="D2325">
        <v>2</v>
      </c>
      <c r="E2325" t="s">
        <v>29</v>
      </c>
      <c r="F2325" t="s">
        <v>30</v>
      </c>
      <c r="G2325" t="str">
        <f>"2025-03-10 09:38:48.916"</f>
        <v>2025-03-10 09:38:48.916</v>
      </c>
      <c r="H2325" t="s">
        <v>21</v>
      </c>
      <c r="I2325">
        <v>0</v>
      </c>
      <c r="J2325" t="s">
        <v>31</v>
      </c>
    </row>
    <row r="2326" spans="1:10" x14ac:dyDescent="0.25">
      <c r="A2326" s="1">
        <v>462</v>
      </c>
      <c r="B2326" t="s">
        <v>19</v>
      </c>
      <c r="C2326">
        <v>700</v>
      </c>
      <c r="D2326">
        <v>0</v>
      </c>
      <c r="E2326" t="s">
        <v>20</v>
      </c>
      <c r="F2326" t="s">
        <v>20</v>
      </c>
      <c r="G2326" t="str">
        <f>"2025-03-10 09:30:03.106"</f>
        <v>2025-03-10 09:30:03.106</v>
      </c>
      <c r="H2326" t="s">
        <v>21</v>
      </c>
    </row>
    <row r="2327" spans="1:10" x14ac:dyDescent="0.25">
      <c r="A2327" s="1">
        <v>463</v>
      </c>
      <c r="B2327" t="s">
        <v>22</v>
      </c>
      <c r="C2327">
        <v>14</v>
      </c>
      <c r="D2327">
        <v>13</v>
      </c>
      <c r="E2327" t="s">
        <v>85</v>
      </c>
      <c r="F2327" t="s">
        <v>86</v>
      </c>
      <c r="G2327" t="str">
        <f>"2025-03-09 20:10:19.779"</f>
        <v>2025-03-09 20:10:19.779</v>
      </c>
      <c r="H2327" t="s">
        <v>25</v>
      </c>
    </row>
    <row r="2328" spans="1:10" x14ac:dyDescent="0.25">
      <c r="A2328" s="1">
        <v>464</v>
      </c>
      <c r="B2328" t="s">
        <v>22</v>
      </c>
      <c r="C2328">
        <v>14</v>
      </c>
      <c r="D2328">
        <v>10</v>
      </c>
      <c r="E2328" t="s">
        <v>85</v>
      </c>
      <c r="F2328" t="s">
        <v>87</v>
      </c>
      <c r="G2328" t="str">
        <f>"2025-03-09 20:10:19.777"</f>
        <v>2025-03-09 20:10:19.777</v>
      </c>
      <c r="H2328" t="s">
        <v>25</v>
      </c>
    </row>
    <row r="2329" spans="1:10" x14ac:dyDescent="0.25">
      <c r="A2329" s="1">
        <v>465</v>
      </c>
      <c r="B2329" t="s">
        <v>40</v>
      </c>
      <c r="C2329">
        <v>105</v>
      </c>
      <c r="D2329">
        <v>3</v>
      </c>
      <c r="E2329" t="s">
        <v>92</v>
      </c>
      <c r="F2329" t="s">
        <v>91</v>
      </c>
      <c r="G2329" t="str">
        <f>"2025-03-09 20:10:07.336"</f>
        <v>2025-03-09 20:10:07.336</v>
      </c>
      <c r="H2329" t="s">
        <v>52</v>
      </c>
    </row>
    <row r="2330" spans="1:10" s="3" customFormat="1" x14ac:dyDescent="0.25">
      <c r="A2330" s="2">
        <v>466</v>
      </c>
      <c r="B2330" s="3" t="s">
        <v>22</v>
      </c>
      <c r="C2330" s="3">
        <v>647</v>
      </c>
      <c r="D2330" s="3">
        <v>1</v>
      </c>
      <c r="E2330" s="3" t="s">
        <v>54</v>
      </c>
      <c r="F2330" s="3" t="s">
        <v>55</v>
      </c>
      <c r="G2330" s="3" t="str">
        <f>"2025-03-09 20:10:03.478"</f>
        <v>2025-03-09 20:10:03.478</v>
      </c>
      <c r="H2330" s="3" t="s">
        <v>21</v>
      </c>
    </row>
    <row r="2331" spans="1:10" x14ac:dyDescent="0.25">
      <c r="A2331" s="1">
        <v>467</v>
      </c>
      <c r="B2331" t="s">
        <v>26</v>
      </c>
      <c r="C2331">
        <v>105</v>
      </c>
      <c r="D2331">
        <v>3</v>
      </c>
      <c r="E2331" t="s">
        <v>92</v>
      </c>
      <c r="F2331" t="s">
        <v>91</v>
      </c>
      <c r="G2331" t="str">
        <f>"2025-03-09 20:10:02.301"</f>
        <v>2025-03-09 20:10:02.301</v>
      </c>
      <c r="H2331" t="s">
        <v>52</v>
      </c>
      <c r="I2331">
        <v>0.6</v>
      </c>
      <c r="J2331" t="s">
        <v>28</v>
      </c>
    </row>
    <row r="2332" spans="1:10" x14ac:dyDescent="0.25">
      <c r="A2332" s="1">
        <v>468</v>
      </c>
      <c r="B2332" t="s">
        <v>56</v>
      </c>
      <c r="C2332">
        <v>205</v>
      </c>
      <c r="D2332">
        <v>3</v>
      </c>
      <c r="E2332" t="s">
        <v>90</v>
      </c>
      <c r="F2332" t="s">
        <v>91</v>
      </c>
      <c r="G2332" t="str">
        <f>"2025-03-09 20:10:02.154"</f>
        <v>2025-03-09 20:10:02.154</v>
      </c>
      <c r="H2332" t="s">
        <v>49</v>
      </c>
    </row>
    <row r="2333" spans="1:10" x14ac:dyDescent="0.25">
      <c r="A2333" s="1">
        <v>469</v>
      </c>
      <c r="B2333" t="s">
        <v>56</v>
      </c>
      <c r="C2333">
        <v>204</v>
      </c>
      <c r="D2333">
        <v>8</v>
      </c>
      <c r="E2333" t="s">
        <v>93</v>
      </c>
      <c r="F2333" t="s">
        <v>94</v>
      </c>
      <c r="G2333" t="str">
        <f>"2025-03-09 20:10:02.150"</f>
        <v>2025-03-09 20:10:02.150</v>
      </c>
      <c r="H2333" t="s">
        <v>49</v>
      </c>
    </row>
    <row r="2334" spans="1:10" x14ac:dyDescent="0.25">
      <c r="A2334" s="1">
        <v>470</v>
      </c>
      <c r="B2334" t="s">
        <v>56</v>
      </c>
      <c r="C2334">
        <v>204</v>
      </c>
      <c r="D2334">
        <v>6</v>
      </c>
      <c r="E2334" t="s">
        <v>93</v>
      </c>
      <c r="F2334" t="s">
        <v>95</v>
      </c>
      <c r="G2334" t="str">
        <f>"2025-03-09 20:10:02.147"</f>
        <v>2025-03-09 20:10:02.147</v>
      </c>
      <c r="H2334" t="s">
        <v>49</v>
      </c>
    </row>
    <row r="2335" spans="1:10" x14ac:dyDescent="0.25">
      <c r="A2335" s="1">
        <v>471</v>
      </c>
      <c r="B2335" t="s">
        <v>56</v>
      </c>
      <c r="C2335">
        <v>204</v>
      </c>
      <c r="D2335">
        <v>5</v>
      </c>
      <c r="E2335" t="s">
        <v>93</v>
      </c>
      <c r="F2335" t="s">
        <v>96</v>
      </c>
      <c r="G2335" t="str">
        <f>"2025-03-09 20:10:02.145"</f>
        <v>2025-03-09 20:10:02.145</v>
      </c>
      <c r="H2335" t="s">
        <v>49</v>
      </c>
    </row>
    <row r="2336" spans="1:10" x14ac:dyDescent="0.25">
      <c r="A2336" s="1">
        <v>472</v>
      </c>
      <c r="B2336" t="s">
        <v>56</v>
      </c>
      <c r="C2336">
        <v>204</v>
      </c>
      <c r="D2336">
        <v>1</v>
      </c>
      <c r="E2336" t="s">
        <v>93</v>
      </c>
      <c r="F2336" t="s">
        <v>97</v>
      </c>
      <c r="G2336" t="str">
        <f>"2025-03-09 20:10:02.142"</f>
        <v>2025-03-09 20:10:02.142</v>
      </c>
      <c r="H2336" t="s">
        <v>49</v>
      </c>
    </row>
    <row r="2337" spans="1:10" x14ac:dyDescent="0.25">
      <c r="A2337" s="1">
        <v>473</v>
      </c>
      <c r="B2337" t="s">
        <v>56</v>
      </c>
      <c r="C2337">
        <v>105</v>
      </c>
      <c r="D2337">
        <v>3</v>
      </c>
      <c r="E2337" t="s">
        <v>92</v>
      </c>
      <c r="F2337" t="s">
        <v>91</v>
      </c>
      <c r="G2337" t="str">
        <f>"2025-03-09 20:10:02.138"</f>
        <v>2025-03-09 20:10:02.138</v>
      </c>
      <c r="H2337" t="s">
        <v>52</v>
      </c>
    </row>
    <row r="2338" spans="1:10" x14ac:dyDescent="0.25">
      <c r="A2338" s="1">
        <v>474</v>
      </c>
      <c r="B2338" t="s">
        <v>56</v>
      </c>
      <c r="C2338">
        <v>104</v>
      </c>
      <c r="D2338">
        <v>8</v>
      </c>
      <c r="E2338" t="s">
        <v>98</v>
      </c>
      <c r="F2338" t="s">
        <v>94</v>
      </c>
      <c r="G2338" t="str">
        <f>"2025-03-09 20:10:02.135"</f>
        <v>2025-03-09 20:10:02.135</v>
      </c>
      <c r="H2338" t="s">
        <v>52</v>
      </c>
    </row>
    <row r="2339" spans="1:10" x14ac:dyDescent="0.25">
      <c r="A2339" s="1">
        <v>475</v>
      </c>
      <c r="B2339" t="s">
        <v>56</v>
      </c>
      <c r="C2339">
        <v>104</v>
      </c>
      <c r="D2339">
        <v>6</v>
      </c>
      <c r="E2339" t="s">
        <v>98</v>
      </c>
      <c r="F2339" t="s">
        <v>95</v>
      </c>
      <c r="G2339" t="str">
        <f>"2025-03-09 20:10:02.132"</f>
        <v>2025-03-09 20:10:02.132</v>
      </c>
      <c r="H2339" t="s">
        <v>52</v>
      </c>
    </row>
    <row r="2340" spans="1:10" x14ac:dyDescent="0.25">
      <c r="A2340" s="1">
        <v>476</v>
      </c>
      <c r="B2340" t="s">
        <v>56</v>
      </c>
      <c r="C2340">
        <v>104</v>
      </c>
      <c r="D2340">
        <v>5</v>
      </c>
      <c r="E2340" t="s">
        <v>98</v>
      </c>
      <c r="F2340" t="s">
        <v>96</v>
      </c>
      <c r="G2340" t="str">
        <f>"2025-03-09 20:10:02.129"</f>
        <v>2025-03-09 20:10:02.129</v>
      </c>
      <c r="H2340" t="s">
        <v>52</v>
      </c>
    </row>
    <row r="2341" spans="1:10" x14ac:dyDescent="0.25">
      <c r="A2341" s="1">
        <v>477</v>
      </c>
      <c r="B2341" t="s">
        <v>56</v>
      </c>
      <c r="C2341">
        <v>104</v>
      </c>
      <c r="D2341">
        <v>1</v>
      </c>
      <c r="E2341" t="s">
        <v>98</v>
      </c>
      <c r="F2341" t="s">
        <v>97</v>
      </c>
      <c r="G2341" t="str">
        <f>"2025-03-09 20:10:02.127"</f>
        <v>2025-03-09 20:10:02.127</v>
      </c>
      <c r="H2341" t="s">
        <v>52</v>
      </c>
    </row>
    <row r="2342" spans="1:10" x14ac:dyDescent="0.25">
      <c r="A2342" s="1">
        <v>478</v>
      </c>
      <c r="B2342" t="s">
        <v>56</v>
      </c>
      <c r="C2342">
        <v>23</v>
      </c>
      <c r="D2342">
        <v>1</v>
      </c>
      <c r="E2342" t="s">
        <v>88</v>
      </c>
      <c r="F2342" t="s">
        <v>89</v>
      </c>
      <c r="G2342" t="str">
        <f>"2025-03-09 20:10:02.124"</f>
        <v>2025-03-09 20:10:02.124</v>
      </c>
      <c r="H2342" t="s">
        <v>46</v>
      </c>
    </row>
    <row r="2343" spans="1:10" s="3" customFormat="1" x14ac:dyDescent="0.25">
      <c r="A2343" s="2">
        <v>479</v>
      </c>
      <c r="B2343" s="3" t="s">
        <v>36</v>
      </c>
      <c r="C2343" s="3">
        <v>647</v>
      </c>
      <c r="D2343" s="3">
        <v>1</v>
      </c>
      <c r="E2343" s="3" t="s">
        <v>54</v>
      </c>
      <c r="F2343" s="3" t="s">
        <v>55</v>
      </c>
      <c r="G2343" s="3" t="str">
        <f>"2025-03-09 20:10:01.078"</f>
        <v>2025-03-09 20:10:01.078</v>
      </c>
      <c r="H2343" s="3" t="s">
        <v>21</v>
      </c>
      <c r="I2343" s="3">
        <v>9.65</v>
      </c>
      <c r="J2343" s="3" t="s">
        <v>28</v>
      </c>
    </row>
    <row r="2344" spans="1:10" x14ac:dyDescent="0.25">
      <c r="A2344" s="1">
        <v>480</v>
      </c>
      <c r="B2344" t="s">
        <v>36</v>
      </c>
      <c r="C2344">
        <v>14</v>
      </c>
      <c r="D2344">
        <v>13</v>
      </c>
      <c r="E2344" t="s">
        <v>85</v>
      </c>
      <c r="F2344" t="s">
        <v>86</v>
      </c>
      <c r="G2344" t="str">
        <f>"2025-03-09 20:09:59.778"</f>
        <v>2025-03-09 20:09:59.778</v>
      </c>
      <c r="H2344" t="s">
        <v>25</v>
      </c>
      <c r="I2344">
        <v>20.9</v>
      </c>
      <c r="J2344" t="s">
        <v>28</v>
      </c>
    </row>
    <row r="2345" spans="1:10" x14ac:dyDescent="0.25">
      <c r="A2345" s="1">
        <v>481</v>
      </c>
      <c r="B2345" t="s">
        <v>36</v>
      </c>
      <c r="C2345">
        <v>14</v>
      </c>
      <c r="D2345">
        <v>10</v>
      </c>
      <c r="E2345" t="s">
        <v>85</v>
      </c>
      <c r="F2345" t="s">
        <v>87</v>
      </c>
      <c r="G2345" t="str">
        <f>"2025-03-09 20:09:58.724"</f>
        <v>2025-03-09 20:09:58.724</v>
      </c>
      <c r="H2345" t="s">
        <v>25</v>
      </c>
      <c r="I2345">
        <v>21.24</v>
      </c>
      <c r="J2345" t="s">
        <v>27</v>
      </c>
    </row>
    <row r="2346" spans="1:10" x14ac:dyDescent="0.25">
      <c r="A2346" s="1">
        <v>482</v>
      </c>
      <c r="B2346" t="s">
        <v>26</v>
      </c>
      <c r="C2346">
        <v>105</v>
      </c>
      <c r="D2346">
        <v>3</v>
      </c>
      <c r="E2346" t="s">
        <v>92</v>
      </c>
      <c r="F2346" t="s">
        <v>91</v>
      </c>
      <c r="G2346" t="str">
        <f>"2025-03-09 20:09:58.381"</f>
        <v>2025-03-09 20:09:58.381</v>
      </c>
      <c r="H2346" t="s">
        <v>52</v>
      </c>
      <c r="I2346">
        <v>21.26</v>
      </c>
      <c r="J2346" t="s">
        <v>27</v>
      </c>
    </row>
    <row r="2347" spans="1:10" x14ac:dyDescent="0.25">
      <c r="A2347" s="1">
        <v>483</v>
      </c>
      <c r="B2347" t="s">
        <v>26</v>
      </c>
      <c r="C2347">
        <v>205</v>
      </c>
      <c r="D2347">
        <v>3</v>
      </c>
      <c r="E2347" t="s">
        <v>90</v>
      </c>
      <c r="F2347" t="s">
        <v>91</v>
      </c>
      <c r="G2347" t="str">
        <f>"2025-03-09 20:09:58.361"</f>
        <v>2025-03-09 20:09:58.361</v>
      </c>
      <c r="H2347" t="s">
        <v>49</v>
      </c>
      <c r="I2347">
        <v>21.26</v>
      </c>
      <c r="J2347" t="s">
        <v>27</v>
      </c>
    </row>
    <row r="2348" spans="1:10" x14ac:dyDescent="0.25">
      <c r="A2348" s="1">
        <v>484</v>
      </c>
      <c r="B2348" t="s">
        <v>26</v>
      </c>
      <c r="C2348">
        <v>104</v>
      </c>
      <c r="D2348">
        <v>8</v>
      </c>
      <c r="E2348" t="s">
        <v>98</v>
      </c>
      <c r="F2348" t="s">
        <v>94</v>
      </c>
      <c r="G2348" t="str">
        <f>"2025-03-09 20:09:58.170"</f>
        <v>2025-03-09 20:09:58.170</v>
      </c>
      <c r="H2348" t="s">
        <v>52</v>
      </c>
      <c r="I2348">
        <v>21.28</v>
      </c>
      <c r="J2348" t="s">
        <v>27</v>
      </c>
    </row>
    <row r="2349" spans="1:10" x14ac:dyDescent="0.25">
      <c r="A2349" s="1">
        <v>485</v>
      </c>
      <c r="B2349" t="s">
        <v>26</v>
      </c>
      <c r="C2349">
        <v>104</v>
      </c>
      <c r="D2349">
        <v>6</v>
      </c>
      <c r="E2349" t="s">
        <v>98</v>
      </c>
      <c r="F2349" t="s">
        <v>95</v>
      </c>
      <c r="G2349" t="str">
        <f>"2025-03-09 20:09:58.166"</f>
        <v>2025-03-09 20:09:58.166</v>
      </c>
      <c r="H2349" t="s">
        <v>52</v>
      </c>
      <c r="I2349">
        <v>21.28</v>
      </c>
      <c r="J2349" t="s">
        <v>27</v>
      </c>
    </row>
    <row r="2350" spans="1:10" x14ac:dyDescent="0.25">
      <c r="A2350" s="1">
        <v>486</v>
      </c>
      <c r="B2350" t="s">
        <v>26</v>
      </c>
      <c r="C2350">
        <v>104</v>
      </c>
      <c r="D2350">
        <v>5</v>
      </c>
      <c r="E2350" t="s">
        <v>98</v>
      </c>
      <c r="F2350" t="s">
        <v>96</v>
      </c>
      <c r="G2350" t="str">
        <f>"2025-03-09 20:09:58.161"</f>
        <v>2025-03-09 20:09:58.161</v>
      </c>
      <c r="H2350" t="s">
        <v>52</v>
      </c>
      <c r="I2350">
        <v>21.28</v>
      </c>
      <c r="J2350" t="s">
        <v>27</v>
      </c>
    </row>
    <row r="2351" spans="1:10" x14ac:dyDescent="0.25">
      <c r="A2351" s="1">
        <v>487</v>
      </c>
      <c r="B2351" t="s">
        <v>26</v>
      </c>
      <c r="C2351">
        <v>204</v>
      </c>
      <c r="D2351">
        <v>8</v>
      </c>
      <c r="E2351" t="s">
        <v>93</v>
      </c>
      <c r="F2351" t="s">
        <v>94</v>
      </c>
      <c r="G2351" t="str">
        <f>"2025-03-09 20:09:58.150"</f>
        <v>2025-03-09 20:09:58.150</v>
      </c>
      <c r="H2351" t="s">
        <v>49</v>
      </c>
      <c r="I2351">
        <v>21.28</v>
      </c>
      <c r="J2351" t="s">
        <v>27</v>
      </c>
    </row>
    <row r="2352" spans="1:10" x14ac:dyDescent="0.25">
      <c r="A2352" s="1">
        <v>488</v>
      </c>
      <c r="B2352" t="s">
        <v>26</v>
      </c>
      <c r="C2352">
        <v>204</v>
      </c>
      <c r="D2352">
        <v>6</v>
      </c>
      <c r="E2352" t="s">
        <v>93</v>
      </c>
      <c r="F2352" t="s">
        <v>95</v>
      </c>
      <c r="G2352" t="str">
        <f>"2025-03-09 20:09:58.146"</f>
        <v>2025-03-09 20:09:58.146</v>
      </c>
      <c r="H2352" t="s">
        <v>49</v>
      </c>
      <c r="I2352">
        <v>21.28</v>
      </c>
      <c r="J2352" t="s">
        <v>27</v>
      </c>
    </row>
    <row r="2353" spans="1:10" x14ac:dyDescent="0.25">
      <c r="A2353" s="1">
        <v>489</v>
      </c>
      <c r="B2353" t="s">
        <v>26</v>
      </c>
      <c r="C2353">
        <v>204</v>
      </c>
      <c r="D2353">
        <v>5</v>
      </c>
      <c r="E2353" t="s">
        <v>93</v>
      </c>
      <c r="F2353" t="s">
        <v>96</v>
      </c>
      <c r="G2353" t="str">
        <f>"2025-03-09 20:09:58.141"</f>
        <v>2025-03-09 20:09:58.141</v>
      </c>
      <c r="H2353" t="s">
        <v>49</v>
      </c>
      <c r="I2353">
        <v>21.28</v>
      </c>
      <c r="J2353" t="s">
        <v>27</v>
      </c>
    </row>
    <row r="2354" spans="1:10" x14ac:dyDescent="0.25">
      <c r="A2354" s="1">
        <v>490</v>
      </c>
      <c r="B2354" t="s">
        <v>26</v>
      </c>
      <c r="C2354">
        <v>104</v>
      </c>
      <c r="D2354">
        <v>1</v>
      </c>
      <c r="E2354" t="s">
        <v>98</v>
      </c>
      <c r="F2354" t="s">
        <v>97</v>
      </c>
      <c r="G2354" t="str">
        <f>"2025-03-09 20:09:57.921"</f>
        <v>2025-03-09 20:09:57.921</v>
      </c>
      <c r="H2354" t="s">
        <v>52</v>
      </c>
      <c r="I2354">
        <v>21.33</v>
      </c>
      <c r="J2354" t="s">
        <v>27</v>
      </c>
    </row>
    <row r="2355" spans="1:10" x14ac:dyDescent="0.25">
      <c r="A2355" s="1">
        <v>491</v>
      </c>
      <c r="B2355" t="s">
        <v>26</v>
      </c>
      <c r="C2355">
        <v>23</v>
      </c>
      <c r="D2355">
        <v>1</v>
      </c>
      <c r="E2355" t="s">
        <v>88</v>
      </c>
      <c r="F2355" t="s">
        <v>89</v>
      </c>
      <c r="G2355" t="str">
        <f>"2025-03-09 20:09:57.904"</f>
        <v>2025-03-09 20:09:57.904</v>
      </c>
      <c r="H2355" t="s">
        <v>46</v>
      </c>
      <c r="I2355">
        <v>21.33</v>
      </c>
      <c r="J2355" t="s">
        <v>27</v>
      </c>
    </row>
    <row r="2356" spans="1:10" x14ac:dyDescent="0.25">
      <c r="A2356" s="1">
        <v>492</v>
      </c>
      <c r="B2356" t="s">
        <v>26</v>
      </c>
      <c r="C2356">
        <v>204</v>
      </c>
      <c r="D2356">
        <v>1</v>
      </c>
      <c r="E2356" t="s">
        <v>93</v>
      </c>
      <c r="F2356" t="s">
        <v>97</v>
      </c>
      <c r="G2356" t="str">
        <f>"2025-03-09 20:09:57.821"</f>
        <v>2025-03-09 20:09:57.821</v>
      </c>
      <c r="H2356" t="s">
        <v>49</v>
      </c>
      <c r="I2356">
        <v>21.36</v>
      </c>
      <c r="J2356" t="s">
        <v>27</v>
      </c>
    </row>
    <row r="2357" spans="1:10" x14ac:dyDescent="0.25">
      <c r="A2357" s="1">
        <v>493</v>
      </c>
      <c r="B2357" t="s">
        <v>19</v>
      </c>
      <c r="C2357">
        <v>706</v>
      </c>
      <c r="D2357">
        <v>4</v>
      </c>
      <c r="E2357" t="s">
        <v>29</v>
      </c>
      <c r="F2357" t="s">
        <v>53</v>
      </c>
      <c r="G2357" t="str">
        <f>"2025-03-09 20:09:57.717"</f>
        <v>2025-03-09 20:09:57.717</v>
      </c>
      <c r="H2357" t="s">
        <v>21</v>
      </c>
      <c r="I2357">
        <v>21.4</v>
      </c>
      <c r="J2357" t="s">
        <v>27</v>
      </c>
    </row>
    <row r="2358" spans="1:10" x14ac:dyDescent="0.25">
      <c r="A2358" s="1">
        <v>494</v>
      </c>
      <c r="B2358" t="s">
        <v>22</v>
      </c>
      <c r="C2358">
        <v>635</v>
      </c>
      <c r="D2358">
        <v>1</v>
      </c>
      <c r="E2358" t="s">
        <v>34</v>
      </c>
      <c r="F2358" t="s">
        <v>35</v>
      </c>
      <c r="G2358" t="str">
        <f>"2025-03-08 21:23:02.704"</f>
        <v>2025-03-08 21:23:02.704</v>
      </c>
      <c r="H2358" t="s">
        <v>21</v>
      </c>
    </row>
    <row r="2359" spans="1:10" x14ac:dyDescent="0.25">
      <c r="A2359" s="1">
        <v>495</v>
      </c>
      <c r="B2359" t="s">
        <v>36</v>
      </c>
      <c r="C2359">
        <v>635</v>
      </c>
      <c r="D2359">
        <v>1</v>
      </c>
      <c r="E2359" t="s">
        <v>34</v>
      </c>
      <c r="F2359" t="s">
        <v>35</v>
      </c>
      <c r="G2359" t="str">
        <f>"2025-03-08 21:14:26.204"</f>
        <v>2025-03-08 21:14:26.204</v>
      </c>
      <c r="H2359" t="s">
        <v>21</v>
      </c>
      <c r="I2359">
        <v>0.01</v>
      </c>
      <c r="J2359" t="s">
        <v>28</v>
      </c>
    </row>
    <row r="2360" spans="1:10" x14ac:dyDescent="0.25">
      <c r="A2360" s="1">
        <v>496</v>
      </c>
      <c r="B2360" t="s">
        <v>22</v>
      </c>
      <c r="C2360">
        <v>635</v>
      </c>
      <c r="D2360">
        <v>1</v>
      </c>
      <c r="E2360" t="s">
        <v>34</v>
      </c>
      <c r="F2360" t="s">
        <v>35</v>
      </c>
      <c r="G2360" t="str">
        <f>"2025-03-06 22:07:30.104"</f>
        <v>2025-03-06 22:07:30.104</v>
      </c>
      <c r="H2360" t="s">
        <v>21</v>
      </c>
    </row>
    <row r="2361" spans="1:10" x14ac:dyDescent="0.25">
      <c r="A2361" s="1">
        <v>497</v>
      </c>
      <c r="B2361" t="s">
        <v>36</v>
      </c>
      <c r="C2361">
        <v>635</v>
      </c>
      <c r="D2361">
        <v>1</v>
      </c>
      <c r="E2361" t="s">
        <v>34</v>
      </c>
      <c r="F2361" t="s">
        <v>35</v>
      </c>
      <c r="G2361" t="str">
        <f>"2025-03-06 22:05:00.104"</f>
        <v>2025-03-06 22:05:00.104</v>
      </c>
      <c r="H2361" t="s">
        <v>21</v>
      </c>
      <c r="I2361">
        <v>1.32</v>
      </c>
      <c r="J2361" t="s">
        <v>27</v>
      </c>
    </row>
    <row r="2362" spans="1:10" x14ac:dyDescent="0.25">
      <c r="A2362" s="1">
        <v>498</v>
      </c>
      <c r="B2362" t="s">
        <v>22</v>
      </c>
      <c r="C2362">
        <v>635</v>
      </c>
      <c r="D2362">
        <v>1</v>
      </c>
      <c r="E2362" t="s">
        <v>34</v>
      </c>
      <c r="F2362" t="s">
        <v>35</v>
      </c>
      <c r="G2362" t="str">
        <f>"2025-03-06 19:49:52.804"</f>
        <v>2025-03-06 19:49:52.804</v>
      </c>
      <c r="H2362" t="s">
        <v>21</v>
      </c>
    </row>
    <row r="2363" spans="1:10" x14ac:dyDescent="0.25">
      <c r="A2363" s="1">
        <v>499</v>
      </c>
      <c r="B2363" t="s">
        <v>36</v>
      </c>
      <c r="C2363">
        <v>635</v>
      </c>
      <c r="D2363">
        <v>1</v>
      </c>
      <c r="E2363" t="s">
        <v>34</v>
      </c>
      <c r="F2363" t="s">
        <v>35</v>
      </c>
      <c r="G2363" t="str">
        <f>"2025-03-06 19:46:39.804"</f>
        <v>2025-03-06 19:46:39.804</v>
      </c>
      <c r="H2363" t="s">
        <v>21</v>
      </c>
      <c r="I2363">
        <v>1.6</v>
      </c>
      <c r="J2363" t="s">
        <v>27</v>
      </c>
    </row>
    <row r="2364" spans="1:10" x14ac:dyDescent="0.25">
      <c r="A2364" s="1">
        <v>500</v>
      </c>
      <c r="B2364" t="s">
        <v>19</v>
      </c>
      <c r="C2364">
        <v>706</v>
      </c>
      <c r="D2364">
        <v>4</v>
      </c>
      <c r="E2364" t="s">
        <v>29</v>
      </c>
      <c r="F2364" t="s">
        <v>53</v>
      </c>
      <c r="G2364" t="str">
        <f>"2025-03-06 02:42:46.587"</f>
        <v>2025-03-06 02:42:46.587</v>
      </c>
      <c r="H2364" t="s">
        <v>21</v>
      </c>
      <c r="I2364">
        <v>0</v>
      </c>
      <c r="J2364" t="s">
        <v>31</v>
      </c>
    </row>
    <row r="2365" spans="1:10" x14ac:dyDescent="0.25">
      <c r="A2365" s="1">
        <v>501</v>
      </c>
      <c r="B2365" t="s">
        <v>19</v>
      </c>
      <c r="C2365">
        <v>700</v>
      </c>
      <c r="D2365">
        <v>0</v>
      </c>
      <c r="E2365" t="s">
        <v>20</v>
      </c>
      <c r="F2365" t="s">
        <v>20</v>
      </c>
      <c r="G2365" t="str">
        <f>"2025-03-06 01:57:17.097"</f>
        <v>2025-03-06 01:57:17.097</v>
      </c>
      <c r="H2365" t="s">
        <v>21</v>
      </c>
    </row>
    <row r="2366" spans="1:10" x14ac:dyDescent="0.25">
      <c r="A2366" s="1">
        <v>502</v>
      </c>
      <c r="B2366" t="s">
        <v>22</v>
      </c>
      <c r="C2366">
        <v>635</v>
      </c>
      <c r="D2366">
        <v>1</v>
      </c>
      <c r="E2366" t="s">
        <v>34</v>
      </c>
      <c r="F2366" t="s">
        <v>35</v>
      </c>
      <c r="G2366" t="str">
        <f>"2025-03-04 21:10:44.496"</f>
        <v>2025-03-04 21:10:44.496</v>
      </c>
      <c r="H2366" t="s">
        <v>21</v>
      </c>
    </row>
    <row r="2367" spans="1:10" x14ac:dyDescent="0.25">
      <c r="A2367" s="1">
        <v>503</v>
      </c>
      <c r="B2367" t="s">
        <v>36</v>
      </c>
      <c r="C2367">
        <v>635</v>
      </c>
      <c r="D2367">
        <v>1</v>
      </c>
      <c r="E2367" t="s">
        <v>34</v>
      </c>
      <c r="F2367" t="s">
        <v>35</v>
      </c>
      <c r="G2367" t="str">
        <f>"2025-03-04 21:06:40.996"</f>
        <v>2025-03-04 21:06:40.996</v>
      </c>
      <c r="H2367" t="s">
        <v>21</v>
      </c>
      <c r="I2367">
        <v>0.04</v>
      </c>
      <c r="J2367" t="s">
        <v>28</v>
      </c>
    </row>
    <row r="2368" spans="1:10" x14ac:dyDescent="0.25">
      <c r="A2368" s="1">
        <v>504</v>
      </c>
      <c r="B2368" t="s">
        <v>19</v>
      </c>
      <c r="C2368">
        <v>700</v>
      </c>
      <c r="D2368">
        <v>0</v>
      </c>
      <c r="E2368" t="s">
        <v>20</v>
      </c>
      <c r="F2368" t="s">
        <v>20</v>
      </c>
      <c r="G2368" t="str">
        <f>"2025-03-04 16:06:30.099"</f>
        <v>2025-03-04 16:06:30.099</v>
      </c>
      <c r="H2368" t="s">
        <v>21</v>
      </c>
      <c r="I2368">
        <v>0</v>
      </c>
      <c r="J2368" t="s">
        <v>33</v>
      </c>
    </row>
    <row r="2369" spans="1:10" x14ac:dyDescent="0.25">
      <c r="A2369" s="1">
        <v>505</v>
      </c>
      <c r="B2369" t="s">
        <v>19</v>
      </c>
      <c r="C2369">
        <v>706</v>
      </c>
      <c r="D2369">
        <v>2</v>
      </c>
      <c r="E2369" t="s">
        <v>29</v>
      </c>
      <c r="F2369" t="s">
        <v>30</v>
      </c>
      <c r="G2369" t="str">
        <f>"2025-03-04 15:55:21.357"</f>
        <v>2025-03-04 15:55:21.357</v>
      </c>
      <c r="H2369" t="s">
        <v>21</v>
      </c>
      <c r="I2369">
        <v>0</v>
      </c>
      <c r="J2369" t="s">
        <v>31</v>
      </c>
    </row>
    <row r="2370" spans="1:10" x14ac:dyDescent="0.25">
      <c r="A2370" s="1">
        <v>506</v>
      </c>
      <c r="B2370" t="s">
        <v>19</v>
      </c>
      <c r="C2370">
        <v>700</v>
      </c>
      <c r="D2370">
        <v>0</v>
      </c>
      <c r="E2370" t="s">
        <v>20</v>
      </c>
      <c r="F2370" t="s">
        <v>20</v>
      </c>
      <c r="G2370" t="str">
        <f>"2025-03-04 15:54:59.127"</f>
        <v>2025-03-04 15:54:59.127</v>
      </c>
      <c r="H2370" t="s">
        <v>21</v>
      </c>
    </row>
    <row r="2371" spans="1:10" x14ac:dyDescent="0.25">
      <c r="A2371" s="1">
        <v>507</v>
      </c>
      <c r="B2371" t="s">
        <v>19</v>
      </c>
      <c r="C2371">
        <v>719</v>
      </c>
      <c r="D2371">
        <v>5</v>
      </c>
      <c r="E2371" t="s">
        <v>118</v>
      </c>
      <c r="F2371" t="s">
        <v>119</v>
      </c>
      <c r="G2371" t="str">
        <f>"2025-03-04 14:09:00.162"</f>
        <v>2025-03-04 14:09:00.162</v>
      </c>
      <c r="H2371" t="s">
        <v>21</v>
      </c>
      <c r="I2371">
        <v>0</v>
      </c>
      <c r="J2371" t="s">
        <v>31</v>
      </c>
    </row>
    <row r="2372" spans="1:10" x14ac:dyDescent="0.25">
      <c r="A2372" s="1">
        <v>508</v>
      </c>
      <c r="B2372" t="s">
        <v>19</v>
      </c>
      <c r="C2372">
        <v>700</v>
      </c>
      <c r="D2372">
        <v>0</v>
      </c>
      <c r="E2372" t="s">
        <v>20</v>
      </c>
      <c r="F2372" t="s">
        <v>20</v>
      </c>
      <c r="G2372" t="str">
        <f>"2025-03-04 13:45:45.332"</f>
        <v>2025-03-04 13:45:45.332</v>
      </c>
      <c r="H2372" t="s">
        <v>21</v>
      </c>
    </row>
    <row r="2373" spans="1:10" x14ac:dyDescent="0.25">
      <c r="A2373" s="1">
        <v>509</v>
      </c>
      <c r="B2373" t="s">
        <v>19</v>
      </c>
      <c r="C2373">
        <v>706</v>
      </c>
      <c r="D2373">
        <v>2</v>
      </c>
      <c r="E2373" t="s">
        <v>29</v>
      </c>
      <c r="F2373" t="s">
        <v>30</v>
      </c>
      <c r="G2373" t="str">
        <f>"2025-03-04 11:07:02.274"</f>
        <v>2025-03-04 11:07:02.274</v>
      </c>
      <c r="H2373" t="s">
        <v>21</v>
      </c>
      <c r="I2373">
        <v>0</v>
      </c>
      <c r="J2373" t="s">
        <v>31</v>
      </c>
    </row>
    <row r="2374" spans="1:10" x14ac:dyDescent="0.25">
      <c r="A2374" s="1">
        <v>510</v>
      </c>
      <c r="B2374" t="s">
        <v>19</v>
      </c>
      <c r="C2374">
        <v>700</v>
      </c>
      <c r="D2374">
        <v>0</v>
      </c>
      <c r="E2374" t="s">
        <v>20</v>
      </c>
      <c r="F2374" t="s">
        <v>20</v>
      </c>
      <c r="G2374" t="str">
        <f>"2025-03-04 11:03:14.264"</f>
        <v>2025-03-04 11:03:14.264</v>
      </c>
      <c r="H2374" t="s">
        <v>21</v>
      </c>
      <c r="I2374">
        <v>0</v>
      </c>
      <c r="J2374" t="s">
        <v>33</v>
      </c>
    </row>
    <row r="2375" spans="1:10" s="3" customFormat="1" x14ac:dyDescent="0.25">
      <c r="A2375" s="2">
        <v>511</v>
      </c>
      <c r="B2375" s="3" t="s">
        <v>22</v>
      </c>
      <c r="C2375" s="3">
        <v>647</v>
      </c>
      <c r="D2375" s="3">
        <v>1</v>
      </c>
      <c r="E2375" s="3" t="s">
        <v>54</v>
      </c>
      <c r="F2375" s="3" t="s">
        <v>55</v>
      </c>
      <c r="G2375" s="3" t="str">
        <f>"2025-03-04 09:30:23.232"</f>
        <v>2025-03-04 09:30:23.232</v>
      </c>
      <c r="H2375" s="3" t="s">
        <v>21</v>
      </c>
    </row>
    <row r="2376" spans="1:10" s="3" customFormat="1" x14ac:dyDescent="0.25">
      <c r="A2376" s="2">
        <v>512</v>
      </c>
      <c r="B2376" s="3" t="s">
        <v>36</v>
      </c>
      <c r="C2376" s="3">
        <v>647</v>
      </c>
      <c r="D2376" s="3">
        <v>1</v>
      </c>
      <c r="E2376" s="3" t="s">
        <v>54</v>
      </c>
      <c r="F2376" s="3" t="s">
        <v>55</v>
      </c>
      <c r="G2376" s="3" t="str">
        <f>"2025-03-04 09:30:16.132"</f>
        <v>2025-03-04 09:30:16.132</v>
      </c>
      <c r="H2376" s="3" t="s">
        <v>21</v>
      </c>
      <c r="I2376" s="3">
        <v>22.63</v>
      </c>
      <c r="J2376" s="3" t="s">
        <v>27</v>
      </c>
    </row>
    <row r="2377" spans="1:10" x14ac:dyDescent="0.25">
      <c r="A2377" s="1">
        <v>513</v>
      </c>
      <c r="B2377" t="s">
        <v>22</v>
      </c>
      <c r="C2377">
        <v>635</v>
      </c>
      <c r="D2377">
        <v>1</v>
      </c>
      <c r="E2377" t="s">
        <v>34</v>
      </c>
      <c r="F2377" t="s">
        <v>35</v>
      </c>
      <c r="G2377" t="str">
        <f>"2025-03-03 07:01:19.178"</f>
        <v>2025-03-03 07:01:19.178</v>
      </c>
      <c r="H2377" t="s">
        <v>21</v>
      </c>
    </row>
    <row r="2378" spans="1:10" x14ac:dyDescent="0.25">
      <c r="A2378" s="1">
        <v>514</v>
      </c>
      <c r="B2378" t="s">
        <v>36</v>
      </c>
      <c r="C2378">
        <v>635</v>
      </c>
      <c r="D2378">
        <v>1</v>
      </c>
      <c r="E2378" t="s">
        <v>34</v>
      </c>
      <c r="F2378" t="s">
        <v>35</v>
      </c>
      <c r="G2378" t="str">
        <f>"2025-03-03 06:57:31.678"</f>
        <v>2025-03-03 06:57:31.678</v>
      </c>
      <c r="H2378" t="s">
        <v>21</v>
      </c>
      <c r="I2378">
        <v>-0.73</v>
      </c>
      <c r="J2378" t="s">
        <v>37</v>
      </c>
    </row>
    <row r="2379" spans="1:10" x14ac:dyDescent="0.25">
      <c r="A2379" s="1">
        <v>515</v>
      </c>
      <c r="B2379" t="s">
        <v>19</v>
      </c>
      <c r="C2379">
        <v>706</v>
      </c>
      <c r="D2379">
        <v>2</v>
      </c>
      <c r="E2379" t="s">
        <v>29</v>
      </c>
      <c r="F2379" t="s">
        <v>30</v>
      </c>
      <c r="G2379" t="str">
        <f>"2025-03-02 23:07:08.271"</f>
        <v>2025-03-02 23:07:08.271</v>
      </c>
      <c r="H2379" t="s">
        <v>21</v>
      </c>
      <c r="I2379">
        <v>0</v>
      </c>
      <c r="J2379" t="s">
        <v>31</v>
      </c>
    </row>
    <row r="2380" spans="1:10" x14ac:dyDescent="0.25">
      <c r="A2380" s="1">
        <v>516</v>
      </c>
      <c r="B2380" t="s">
        <v>19</v>
      </c>
      <c r="C2380">
        <v>706</v>
      </c>
      <c r="D2380">
        <v>4</v>
      </c>
      <c r="E2380" t="s">
        <v>29</v>
      </c>
      <c r="F2380" t="s">
        <v>53</v>
      </c>
      <c r="G2380" t="str">
        <f>"2025-03-02 22:56:46.841"</f>
        <v>2025-03-02 22:56:46.841</v>
      </c>
      <c r="H2380" t="s">
        <v>21</v>
      </c>
      <c r="I2380">
        <v>0</v>
      </c>
      <c r="J2380" t="s">
        <v>31</v>
      </c>
    </row>
    <row r="2381" spans="1:10" x14ac:dyDescent="0.25">
      <c r="A2381" s="1">
        <v>517</v>
      </c>
      <c r="B2381" t="s">
        <v>19</v>
      </c>
      <c r="C2381">
        <v>700</v>
      </c>
      <c r="D2381">
        <v>0</v>
      </c>
      <c r="E2381" t="s">
        <v>20</v>
      </c>
      <c r="F2381" t="s">
        <v>20</v>
      </c>
      <c r="G2381" t="str">
        <f>"2025-03-02 22:52:22.091"</f>
        <v>2025-03-02 22:52:22.091</v>
      </c>
      <c r="H2381" t="s">
        <v>21</v>
      </c>
      <c r="I2381">
        <v>0</v>
      </c>
      <c r="J2381" t="s">
        <v>33</v>
      </c>
    </row>
    <row r="2382" spans="1:10" x14ac:dyDescent="0.25">
      <c r="A2382" s="1">
        <v>518</v>
      </c>
      <c r="B2382" t="s">
        <v>19</v>
      </c>
      <c r="C2382">
        <v>700</v>
      </c>
      <c r="D2382">
        <v>0</v>
      </c>
      <c r="E2382" t="s">
        <v>20</v>
      </c>
      <c r="F2382" t="s">
        <v>20</v>
      </c>
      <c r="G2382" t="str">
        <f>"2025-03-02 22:44:37.092"</f>
        <v>2025-03-02 22:44:37.092</v>
      </c>
      <c r="H2382" t="s">
        <v>21</v>
      </c>
    </row>
    <row r="2383" spans="1:10" x14ac:dyDescent="0.25">
      <c r="A2383" s="1">
        <v>519</v>
      </c>
      <c r="B2383" t="s">
        <v>19</v>
      </c>
      <c r="C2383">
        <v>700</v>
      </c>
      <c r="D2383">
        <v>0</v>
      </c>
      <c r="E2383" t="s">
        <v>20</v>
      </c>
      <c r="F2383" t="s">
        <v>20</v>
      </c>
      <c r="G2383" t="str">
        <f>"2025-03-02 21:37:22.108"</f>
        <v>2025-03-02 21:37:22.108</v>
      </c>
      <c r="H2383" t="s">
        <v>21</v>
      </c>
      <c r="I2383">
        <v>0</v>
      </c>
      <c r="J2383" t="s">
        <v>33</v>
      </c>
    </row>
    <row r="2384" spans="1:10" x14ac:dyDescent="0.25">
      <c r="A2384" s="1">
        <v>520</v>
      </c>
      <c r="B2384" t="s">
        <v>22</v>
      </c>
      <c r="C2384">
        <v>635</v>
      </c>
      <c r="D2384">
        <v>1</v>
      </c>
      <c r="E2384" t="s">
        <v>34</v>
      </c>
      <c r="F2384" t="s">
        <v>35</v>
      </c>
      <c r="G2384" t="str">
        <f>"2025-03-02 16:03:07.729"</f>
        <v>2025-03-02 16:03:07.729</v>
      </c>
      <c r="H2384" t="s">
        <v>21</v>
      </c>
    </row>
    <row r="2385" spans="1:10" x14ac:dyDescent="0.25">
      <c r="A2385" s="1">
        <v>521</v>
      </c>
      <c r="B2385" t="s">
        <v>36</v>
      </c>
      <c r="C2385">
        <v>635</v>
      </c>
      <c r="D2385">
        <v>1</v>
      </c>
      <c r="E2385" t="s">
        <v>34</v>
      </c>
      <c r="F2385" t="s">
        <v>35</v>
      </c>
      <c r="G2385" t="str">
        <f>"2025-03-02 15:59:10.730"</f>
        <v>2025-03-02 15:59:10.730</v>
      </c>
      <c r="H2385" t="s">
        <v>21</v>
      </c>
      <c r="I2385">
        <v>1.94</v>
      </c>
      <c r="J2385" t="s">
        <v>37</v>
      </c>
    </row>
    <row r="2386" spans="1:10" x14ac:dyDescent="0.25">
      <c r="A2386" s="1">
        <v>522</v>
      </c>
      <c r="B2386" t="s">
        <v>19</v>
      </c>
      <c r="C2386">
        <v>700</v>
      </c>
      <c r="D2386">
        <v>0</v>
      </c>
      <c r="E2386" t="s">
        <v>20</v>
      </c>
      <c r="F2386" t="s">
        <v>20</v>
      </c>
      <c r="G2386" t="str">
        <f>"2025-03-02 12:49:06.092"</f>
        <v>2025-03-02 12:49:06.092</v>
      </c>
      <c r="H2386" t="s">
        <v>21</v>
      </c>
      <c r="I2386">
        <v>0</v>
      </c>
      <c r="J2386" t="s">
        <v>33</v>
      </c>
    </row>
    <row r="2387" spans="1:10" x14ac:dyDescent="0.25">
      <c r="A2387" s="1">
        <v>523</v>
      </c>
      <c r="B2387" t="s">
        <v>19</v>
      </c>
      <c r="C2387">
        <v>706</v>
      </c>
      <c r="D2387">
        <v>4</v>
      </c>
      <c r="E2387" t="s">
        <v>29</v>
      </c>
      <c r="F2387" t="s">
        <v>53</v>
      </c>
      <c r="G2387" t="str">
        <f>"2025-03-02 05:09:55.441"</f>
        <v>2025-03-02 05:09:55.441</v>
      </c>
      <c r="H2387" t="s">
        <v>21</v>
      </c>
      <c r="I2387">
        <v>0</v>
      </c>
      <c r="J2387" t="s">
        <v>31</v>
      </c>
    </row>
    <row r="2388" spans="1:10" x14ac:dyDescent="0.25">
      <c r="A2388" s="1">
        <v>524</v>
      </c>
      <c r="B2388" t="s">
        <v>19</v>
      </c>
      <c r="C2388">
        <v>700</v>
      </c>
      <c r="D2388">
        <v>0</v>
      </c>
      <c r="E2388" t="s">
        <v>20</v>
      </c>
      <c r="F2388" t="s">
        <v>20</v>
      </c>
      <c r="G2388" t="str">
        <f>"2025-03-02 05:08:43.111"</f>
        <v>2025-03-02 05:08:43.111</v>
      </c>
      <c r="H2388" t="s">
        <v>21</v>
      </c>
    </row>
    <row r="2389" spans="1:10" x14ac:dyDescent="0.25">
      <c r="A2389" s="1">
        <v>525</v>
      </c>
      <c r="B2389" t="s">
        <v>56</v>
      </c>
      <c r="C2389">
        <v>23</v>
      </c>
      <c r="D2389">
        <v>1</v>
      </c>
      <c r="E2389" t="s">
        <v>88</v>
      </c>
      <c r="F2389" t="s">
        <v>89</v>
      </c>
      <c r="G2389" t="str">
        <f>"2025-03-02 04:17:03.683"</f>
        <v>2025-03-02 04:17:03.683</v>
      </c>
      <c r="H2389" t="s">
        <v>46</v>
      </c>
    </row>
    <row r="2390" spans="1:10" x14ac:dyDescent="0.25">
      <c r="A2390" s="1">
        <v>526</v>
      </c>
      <c r="B2390" t="s">
        <v>22</v>
      </c>
      <c r="C2390">
        <v>61</v>
      </c>
      <c r="D2390">
        <v>2</v>
      </c>
      <c r="E2390" t="s">
        <v>66</v>
      </c>
      <c r="F2390" t="s">
        <v>67</v>
      </c>
      <c r="G2390" t="str">
        <f>"2025-03-02 04:16:45.384"</f>
        <v>2025-03-02 04:16:45.384</v>
      </c>
      <c r="H2390" t="s">
        <v>21</v>
      </c>
    </row>
    <row r="2391" spans="1:10" x14ac:dyDescent="0.25">
      <c r="A2391" s="1">
        <v>527</v>
      </c>
      <c r="B2391" t="s">
        <v>22</v>
      </c>
      <c r="C2391">
        <v>14</v>
      </c>
      <c r="D2391">
        <v>10</v>
      </c>
      <c r="E2391" t="s">
        <v>85</v>
      </c>
      <c r="F2391" t="s">
        <v>87</v>
      </c>
      <c r="G2391" t="str">
        <f>"2025-03-02 04:16:38.684"</f>
        <v>2025-03-02 04:16:38.684</v>
      </c>
      <c r="H2391" t="s">
        <v>25</v>
      </c>
    </row>
    <row r="2392" spans="1:10" x14ac:dyDescent="0.25">
      <c r="A2392" s="1">
        <v>528</v>
      </c>
      <c r="B2392" t="s">
        <v>26</v>
      </c>
      <c r="C2392">
        <v>61</v>
      </c>
      <c r="D2392">
        <v>2</v>
      </c>
      <c r="E2392" t="s">
        <v>66</v>
      </c>
      <c r="F2392" t="s">
        <v>67</v>
      </c>
      <c r="G2392" t="str">
        <f>"2025-03-02 04:16:30.084"</f>
        <v>2025-03-02 04:16:30.084</v>
      </c>
      <c r="H2392" t="s">
        <v>21</v>
      </c>
      <c r="I2392">
        <v>37.65</v>
      </c>
      <c r="J2392" t="s">
        <v>28</v>
      </c>
    </row>
    <row r="2393" spans="1:10" x14ac:dyDescent="0.25">
      <c r="A2393" s="1">
        <v>529</v>
      </c>
      <c r="B2393" t="s">
        <v>40</v>
      </c>
      <c r="C2393">
        <v>105</v>
      </c>
      <c r="D2393">
        <v>3</v>
      </c>
      <c r="E2393" t="s">
        <v>92</v>
      </c>
      <c r="F2393" t="s">
        <v>91</v>
      </c>
      <c r="G2393" t="str">
        <f>"2025-03-02 04:16:27.747"</f>
        <v>2025-03-02 04:16:27.747</v>
      </c>
      <c r="H2393" t="s">
        <v>52</v>
      </c>
    </row>
    <row r="2394" spans="1:10" x14ac:dyDescent="0.25">
      <c r="A2394" s="1">
        <v>530</v>
      </c>
      <c r="B2394" t="s">
        <v>40</v>
      </c>
      <c r="C2394">
        <v>205</v>
      </c>
      <c r="D2394">
        <v>3</v>
      </c>
      <c r="E2394" t="s">
        <v>90</v>
      </c>
      <c r="F2394" t="s">
        <v>91</v>
      </c>
      <c r="G2394" t="str">
        <f>"2025-03-02 04:16:23.148"</f>
        <v>2025-03-02 04:16:23.148</v>
      </c>
      <c r="H2394" t="s">
        <v>49</v>
      </c>
    </row>
    <row r="2395" spans="1:10" x14ac:dyDescent="0.25">
      <c r="A2395" s="1">
        <v>531</v>
      </c>
      <c r="B2395" t="s">
        <v>26</v>
      </c>
      <c r="C2395">
        <v>105</v>
      </c>
      <c r="D2395">
        <v>3</v>
      </c>
      <c r="E2395" t="s">
        <v>92</v>
      </c>
      <c r="F2395" t="s">
        <v>91</v>
      </c>
      <c r="G2395" t="str">
        <f>"2025-03-02 04:16:22.746"</f>
        <v>2025-03-02 04:16:22.746</v>
      </c>
      <c r="H2395" t="s">
        <v>52</v>
      </c>
      <c r="I2395">
        <v>29.1</v>
      </c>
      <c r="J2395" t="s">
        <v>28</v>
      </c>
    </row>
    <row r="2396" spans="1:10" x14ac:dyDescent="0.25">
      <c r="A2396" s="1">
        <v>532</v>
      </c>
      <c r="B2396" t="s">
        <v>40</v>
      </c>
      <c r="C2396">
        <v>105</v>
      </c>
      <c r="D2396">
        <v>3</v>
      </c>
      <c r="E2396" t="s">
        <v>92</v>
      </c>
      <c r="F2396" t="s">
        <v>91</v>
      </c>
      <c r="G2396" t="str">
        <f>"2025-03-02 04:16:22.447"</f>
        <v>2025-03-02 04:16:22.447</v>
      </c>
      <c r="H2396" t="s">
        <v>52</v>
      </c>
    </row>
    <row r="2397" spans="1:10" x14ac:dyDescent="0.25">
      <c r="A2397" s="1">
        <v>533</v>
      </c>
      <c r="B2397" t="s">
        <v>40</v>
      </c>
      <c r="C2397">
        <v>104</v>
      </c>
      <c r="D2397">
        <v>8</v>
      </c>
      <c r="E2397" t="s">
        <v>98</v>
      </c>
      <c r="F2397" t="s">
        <v>94</v>
      </c>
      <c r="G2397" t="str">
        <f>"2025-03-02 04:16:22.355"</f>
        <v>2025-03-02 04:16:22.355</v>
      </c>
      <c r="H2397" t="s">
        <v>52</v>
      </c>
    </row>
    <row r="2398" spans="1:10" x14ac:dyDescent="0.25">
      <c r="A2398" s="1">
        <v>534</v>
      </c>
      <c r="B2398" t="s">
        <v>40</v>
      </c>
      <c r="C2398">
        <v>104</v>
      </c>
      <c r="D2398">
        <v>6</v>
      </c>
      <c r="E2398" t="s">
        <v>98</v>
      </c>
      <c r="F2398" t="s">
        <v>95</v>
      </c>
      <c r="G2398" t="str">
        <f>"2025-03-02 04:16:22.353"</f>
        <v>2025-03-02 04:16:22.353</v>
      </c>
      <c r="H2398" t="s">
        <v>52</v>
      </c>
    </row>
    <row r="2399" spans="1:10" x14ac:dyDescent="0.25">
      <c r="A2399" s="1">
        <v>535</v>
      </c>
      <c r="B2399" t="s">
        <v>40</v>
      </c>
      <c r="C2399">
        <v>104</v>
      </c>
      <c r="D2399">
        <v>5</v>
      </c>
      <c r="E2399" t="s">
        <v>98</v>
      </c>
      <c r="F2399" t="s">
        <v>96</v>
      </c>
      <c r="G2399" t="str">
        <f>"2025-03-02 04:16:22.351"</f>
        <v>2025-03-02 04:16:22.351</v>
      </c>
      <c r="H2399" t="s">
        <v>52</v>
      </c>
    </row>
    <row r="2400" spans="1:10" x14ac:dyDescent="0.25">
      <c r="A2400" s="1">
        <v>536</v>
      </c>
      <c r="B2400" t="s">
        <v>40</v>
      </c>
      <c r="C2400">
        <v>104</v>
      </c>
      <c r="D2400">
        <v>1</v>
      </c>
      <c r="E2400" t="s">
        <v>98</v>
      </c>
      <c r="F2400" t="s">
        <v>97</v>
      </c>
      <c r="G2400" t="str">
        <f>"2025-03-02 04:16:22.347"</f>
        <v>2025-03-02 04:16:22.347</v>
      </c>
      <c r="H2400" t="s">
        <v>52</v>
      </c>
    </row>
    <row r="2401" spans="1:10" x14ac:dyDescent="0.25">
      <c r="A2401" s="1">
        <v>537</v>
      </c>
      <c r="B2401" t="s">
        <v>40</v>
      </c>
      <c r="C2401">
        <v>204</v>
      </c>
      <c r="D2401">
        <v>8</v>
      </c>
      <c r="E2401" t="s">
        <v>93</v>
      </c>
      <c r="F2401" t="s">
        <v>94</v>
      </c>
      <c r="G2401" t="str">
        <f>"2025-03-02 04:16:22.256"</f>
        <v>2025-03-02 04:16:22.256</v>
      </c>
      <c r="H2401" t="s">
        <v>49</v>
      </c>
    </row>
    <row r="2402" spans="1:10" x14ac:dyDescent="0.25">
      <c r="A2402" s="1">
        <v>538</v>
      </c>
      <c r="B2402" t="s">
        <v>40</v>
      </c>
      <c r="C2402">
        <v>204</v>
      </c>
      <c r="D2402">
        <v>6</v>
      </c>
      <c r="E2402" t="s">
        <v>93</v>
      </c>
      <c r="F2402" t="s">
        <v>95</v>
      </c>
      <c r="G2402" t="str">
        <f>"2025-03-02 04:16:22.253"</f>
        <v>2025-03-02 04:16:22.253</v>
      </c>
      <c r="H2402" t="s">
        <v>49</v>
      </c>
    </row>
    <row r="2403" spans="1:10" x14ac:dyDescent="0.25">
      <c r="A2403" s="1">
        <v>539</v>
      </c>
      <c r="B2403" t="s">
        <v>40</v>
      </c>
      <c r="C2403">
        <v>204</v>
      </c>
      <c r="D2403">
        <v>5</v>
      </c>
      <c r="E2403" t="s">
        <v>93</v>
      </c>
      <c r="F2403" t="s">
        <v>96</v>
      </c>
      <c r="G2403" t="str">
        <f>"2025-03-02 04:16:22.251"</f>
        <v>2025-03-02 04:16:22.251</v>
      </c>
      <c r="H2403" t="s">
        <v>49</v>
      </c>
    </row>
    <row r="2404" spans="1:10" x14ac:dyDescent="0.25">
      <c r="A2404" s="1">
        <v>540</v>
      </c>
      <c r="B2404" t="s">
        <v>40</v>
      </c>
      <c r="C2404">
        <v>204</v>
      </c>
      <c r="D2404">
        <v>1</v>
      </c>
      <c r="E2404" t="s">
        <v>93</v>
      </c>
      <c r="F2404" t="s">
        <v>97</v>
      </c>
      <c r="G2404" t="str">
        <f>"2025-03-02 04:16:22.248"</f>
        <v>2025-03-02 04:16:22.248</v>
      </c>
      <c r="H2404" t="s">
        <v>49</v>
      </c>
    </row>
    <row r="2405" spans="1:10" x14ac:dyDescent="0.25">
      <c r="A2405" s="1">
        <v>541</v>
      </c>
      <c r="B2405" t="s">
        <v>36</v>
      </c>
      <c r="C2405">
        <v>14</v>
      </c>
      <c r="D2405">
        <v>10</v>
      </c>
      <c r="E2405" t="s">
        <v>85</v>
      </c>
      <c r="F2405" t="s">
        <v>87</v>
      </c>
      <c r="G2405" t="str">
        <f>"2025-03-02 04:16:17.683"</f>
        <v>2025-03-02 04:16:17.683</v>
      </c>
      <c r="H2405" t="s">
        <v>25</v>
      </c>
      <c r="I2405">
        <v>19.899999999999999</v>
      </c>
      <c r="J2405" t="s">
        <v>27</v>
      </c>
    </row>
    <row r="2406" spans="1:10" x14ac:dyDescent="0.25">
      <c r="A2406" s="1">
        <v>542</v>
      </c>
      <c r="B2406" t="s">
        <v>26</v>
      </c>
      <c r="C2406">
        <v>105</v>
      </c>
      <c r="D2406">
        <v>3</v>
      </c>
      <c r="E2406" t="s">
        <v>92</v>
      </c>
      <c r="F2406" t="s">
        <v>91</v>
      </c>
      <c r="G2406" t="str">
        <f>"2025-03-02 04:16:17.406"</f>
        <v>2025-03-02 04:16:17.406</v>
      </c>
      <c r="H2406" t="s">
        <v>52</v>
      </c>
      <c r="I2406">
        <v>19.91</v>
      </c>
      <c r="J2406" t="s">
        <v>27</v>
      </c>
    </row>
    <row r="2407" spans="1:10" x14ac:dyDescent="0.25">
      <c r="A2407" s="1">
        <v>543</v>
      </c>
      <c r="B2407" t="s">
        <v>26</v>
      </c>
      <c r="C2407">
        <v>205</v>
      </c>
      <c r="D2407">
        <v>3</v>
      </c>
      <c r="E2407" t="s">
        <v>90</v>
      </c>
      <c r="F2407" t="s">
        <v>91</v>
      </c>
      <c r="G2407" t="str">
        <f>"2025-03-02 04:16:17.366"</f>
        <v>2025-03-02 04:16:17.366</v>
      </c>
      <c r="H2407" t="s">
        <v>49</v>
      </c>
      <c r="I2407">
        <v>19.91</v>
      </c>
      <c r="J2407" t="s">
        <v>27</v>
      </c>
    </row>
    <row r="2408" spans="1:10" x14ac:dyDescent="0.25">
      <c r="A2408" s="1">
        <v>544</v>
      </c>
      <c r="B2408" t="s">
        <v>26</v>
      </c>
      <c r="C2408">
        <v>104</v>
      </c>
      <c r="D2408">
        <v>8</v>
      </c>
      <c r="E2408" t="s">
        <v>98</v>
      </c>
      <c r="F2408" t="s">
        <v>94</v>
      </c>
      <c r="G2408" t="str">
        <f>"2025-03-02 04:16:17.275"</f>
        <v>2025-03-02 04:16:17.275</v>
      </c>
      <c r="H2408" t="s">
        <v>52</v>
      </c>
      <c r="I2408">
        <v>19.920000000000002</v>
      </c>
      <c r="J2408" t="s">
        <v>27</v>
      </c>
    </row>
    <row r="2409" spans="1:10" x14ac:dyDescent="0.25">
      <c r="A2409" s="1">
        <v>545</v>
      </c>
      <c r="B2409" t="s">
        <v>26</v>
      </c>
      <c r="C2409">
        <v>104</v>
      </c>
      <c r="D2409">
        <v>6</v>
      </c>
      <c r="E2409" t="s">
        <v>98</v>
      </c>
      <c r="F2409" t="s">
        <v>95</v>
      </c>
      <c r="G2409" t="str">
        <f>"2025-03-02 04:16:17.271"</f>
        <v>2025-03-02 04:16:17.271</v>
      </c>
      <c r="H2409" t="s">
        <v>52</v>
      </c>
      <c r="I2409">
        <v>19.920000000000002</v>
      </c>
      <c r="J2409" t="s">
        <v>27</v>
      </c>
    </row>
    <row r="2410" spans="1:10" x14ac:dyDescent="0.25">
      <c r="A2410" s="1">
        <v>546</v>
      </c>
      <c r="B2410" t="s">
        <v>26</v>
      </c>
      <c r="C2410">
        <v>104</v>
      </c>
      <c r="D2410">
        <v>5</v>
      </c>
      <c r="E2410" t="s">
        <v>98</v>
      </c>
      <c r="F2410" t="s">
        <v>96</v>
      </c>
      <c r="G2410" t="str">
        <f>"2025-03-02 04:16:17.266"</f>
        <v>2025-03-02 04:16:17.266</v>
      </c>
      <c r="H2410" t="s">
        <v>52</v>
      </c>
      <c r="I2410">
        <v>19.920000000000002</v>
      </c>
      <c r="J2410" t="s">
        <v>27</v>
      </c>
    </row>
    <row r="2411" spans="1:10" x14ac:dyDescent="0.25">
      <c r="A2411" s="1">
        <v>547</v>
      </c>
      <c r="B2411" t="s">
        <v>26</v>
      </c>
      <c r="C2411">
        <v>204</v>
      </c>
      <c r="D2411">
        <v>8</v>
      </c>
      <c r="E2411" t="s">
        <v>93</v>
      </c>
      <c r="F2411" t="s">
        <v>94</v>
      </c>
      <c r="G2411" t="str">
        <f>"2025-03-02 04:16:17.175"</f>
        <v>2025-03-02 04:16:17.175</v>
      </c>
      <c r="H2411" t="s">
        <v>49</v>
      </c>
      <c r="I2411">
        <v>19.920000000000002</v>
      </c>
      <c r="J2411" t="s">
        <v>27</v>
      </c>
    </row>
    <row r="2412" spans="1:10" x14ac:dyDescent="0.25">
      <c r="A2412" s="1">
        <v>548</v>
      </c>
      <c r="B2412" t="s">
        <v>26</v>
      </c>
      <c r="C2412">
        <v>204</v>
      </c>
      <c r="D2412">
        <v>6</v>
      </c>
      <c r="E2412" t="s">
        <v>93</v>
      </c>
      <c r="F2412" t="s">
        <v>95</v>
      </c>
      <c r="G2412" t="str">
        <f>"2025-03-02 04:16:17.171"</f>
        <v>2025-03-02 04:16:17.171</v>
      </c>
      <c r="H2412" t="s">
        <v>49</v>
      </c>
      <c r="I2412">
        <v>19.920000000000002</v>
      </c>
      <c r="J2412" t="s">
        <v>27</v>
      </c>
    </row>
    <row r="2413" spans="1:10" x14ac:dyDescent="0.25">
      <c r="A2413" s="1">
        <v>549</v>
      </c>
      <c r="B2413" t="s">
        <v>26</v>
      </c>
      <c r="C2413">
        <v>204</v>
      </c>
      <c r="D2413">
        <v>5</v>
      </c>
      <c r="E2413" t="s">
        <v>93</v>
      </c>
      <c r="F2413" t="s">
        <v>96</v>
      </c>
      <c r="G2413" t="str">
        <f>"2025-03-02 04:16:17.166"</f>
        <v>2025-03-02 04:16:17.166</v>
      </c>
      <c r="H2413" t="s">
        <v>49</v>
      </c>
      <c r="I2413">
        <v>19.920000000000002</v>
      </c>
      <c r="J2413" t="s">
        <v>27</v>
      </c>
    </row>
    <row r="2414" spans="1:10" x14ac:dyDescent="0.25">
      <c r="A2414" s="1">
        <v>550</v>
      </c>
      <c r="B2414" t="s">
        <v>26</v>
      </c>
      <c r="C2414">
        <v>23</v>
      </c>
      <c r="D2414">
        <v>1</v>
      </c>
      <c r="E2414" t="s">
        <v>88</v>
      </c>
      <c r="F2414" t="s">
        <v>89</v>
      </c>
      <c r="G2414" t="str">
        <f>"2025-03-02 04:16:16.910"</f>
        <v>2025-03-02 04:16:16.910</v>
      </c>
      <c r="H2414" t="s">
        <v>46</v>
      </c>
      <c r="I2414">
        <v>19.940000000000001</v>
      </c>
      <c r="J2414" t="s">
        <v>27</v>
      </c>
    </row>
    <row r="2415" spans="1:10" x14ac:dyDescent="0.25">
      <c r="A2415" s="1">
        <v>551</v>
      </c>
      <c r="B2415" t="s">
        <v>26</v>
      </c>
      <c r="C2415">
        <v>104</v>
      </c>
      <c r="D2415">
        <v>1</v>
      </c>
      <c r="E2415" t="s">
        <v>98</v>
      </c>
      <c r="F2415" t="s">
        <v>97</v>
      </c>
      <c r="G2415" t="str">
        <f>"2025-03-02 04:16:16.826"</f>
        <v>2025-03-02 04:16:16.826</v>
      </c>
      <c r="H2415" t="s">
        <v>52</v>
      </c>
      <c r="I2415">
        <v>19.96</v>
      </c>
      <c r="J2415" t="s">
        <v>27</v>
      </c>
    </row>
    <row r="2416" spans="1:10" x14ac:dyDescent="0.25">
      <c r="A2416" s="1">
        <v>552</v>
      </c>
      <c r="B2416" t="s">
        <v>26</v>
      </c>
      <c r="C2416">
        <v>204</v>
      </c>
      <c r="D2416">
        <v>1</v>
      </c>
      <c r="E2416" t="s">
        <v>93</v>
      </c>
      <c r="F2416" t="s">
        <v>97</v>
      </c>
      <c r="G2416" t="str">
        <f>"2025-03-02 04:16:16.806"</f>
        <v>2025-03-02 04:16:16.806</v>
      </c>
      <c r="H2416" t="s">
        <v>49</v>
      </c>
      <c r="I2416">
        <v>19.96</v>
      </c>
      <c r="J2416" t="s">
        <v>27</v>
      </c>
    </row>
    <row r="2417" spans="1:10" x14ac:dyDescent="0.25">
      <c r="A2417" s="1">
        <v>553</v>
      </c>
      <c r="B2417" t="s">
        <v>19</v>
      </c>
      <c r="C2417">
        <v>706</v>
      </c>
      <c r="D2417">
        <v>4</v>
      </c>
      <c r="E2417" t="s">
        <v>29</v>
      </c>
      <c r="F2417" t="s">
        <v>53</v>
      </c>
      <c r="G2417" t="str">
        <f>"2025-03-02 04:16:16.703"</f>
        <v>2025-03-02 04:16:16.703</v>
      </c>
      <c r="H2417" t="s">
        <v>21</v>
      </c>
      <c r="I2417">
        <v>19.98</v>
      </c>
      <c r="J2417" t="s">
        <v>27</v>
      </c>
    </row>
    <row r="2418" spans="1:10" x14ac:dyDescent="0.25">
      <c r="A2418" s="1">
        <v>554</v>
      </c>
      <c r="B2418" t="s">
        <v>22</v>
      </c>
      <c r="C2418">
        <v>635</v>
      </c>
      <c r="D2418">
        <v>1</v>
      </c>
      <c r="E2418" t="s">
        <v>34</v>
      </c>
      <c r="F2418" t="s">
        <v>35</v>
      </c>
      <c r="G2418" t="str">
        <f>"2025-03-01 18:07:36.610"</f>
        <v>2025-03-01 18:07:36.610</v>
      </c>
      <c r="H2418" t="s">
        <v>21</v>
      </c>
    </row>
    <row r="2419" spans="1:10" x14ac:dyDescent="0.25">
      <c r="A2419" s="1">
        <v>555</v>
      </c>
      <c r="B2419" t="s">
        <v>36</v>
      </c>
      <c r="C2419">
        <v>635</v>
      </c>
      <c r="D2419">
        <v>1</v>
      </c>
      <c r="E2419" t="s">
        <v>34</v>
      </c>
      <c r="F2419" t="s">
        <v>35</v>
      </c>
      <c r="G2419" t="str">
        <f>"2025-03-01 18:03:30.610"</f>
        <v>2025-03-01 18:03:30.610</v>
      </c>
      <c r="H2419" t="s">
        <v>21</v>
      </c>
      <c r="I2419">
        <v>-1.49</v>
      </c>
      <c r="J2419" t="s">
        <v>37</v>
      </c>
    </row>
    <row r="2420" spans="1:10" x14ac:dyDescent="0.25">
      <c r="A2420" s="1">
        <v>556</v>
      </c>
      <c r="B2420" t="s">
        <v>19</v>
      </c>
      <c r="C2420">
        <v>700</v>
      </c>
      <c r="D2420">
        <v>0</v>
      </c>
      <c r="E2420" t="s">
        <v>20</v>
      </c>
      <c r="F2420" t="s">
        <v>20</v>
      </c>
      <c r="G2420" t="str">
        <f>"2025-03-01 09:47:57.093"</f>
        <v>2025-03-01 09:47:57.093</v>
      </c>
      <c r="H2420" t="s">
        <v>21</v>
      </c>
      <c r="I2420">
        <v>0</v>
      </c>
      <c r="J2420" t="s">
        <v>33</v>
      </c>
    </row>
    <row r="2421" spans="1:10" x14ac:dyDescent="0.25">
      <c r="A2421" s="1">
        <v>557</v>
      </c>
      <c r="B2421" t="s">
        <v>22</v>
      </c>
      <c r="C2421">
        <v>635</v>
      </c>
      <c r="D2421">
        <v>1</v>
      </c>
      <c r="E2421" t="s">
        <v>34</v>
      </c>
      <c r="F2421" t="s">
        <v>35</v>
      </c>
      <c r="G2421" t="str">
        <f>"2025-02-28 10:05:15.801"</f>
        <v>2025-02-28 10:05:15.801</v>
      </c>
      <c r="H2421" t="s">
        <v>21</v>
      </c>
    </row>
    <row r="2422" spans="1:10" x14ac:dyDescent="0.25">
      <c r="A2422" s="1">
        <v>558</v>
      </c>
      <c r="B2422" t="s">
        <v>36</v>
      </c>
      <c r="C2422">
        <v>635</v>
      </c>
      <c r="D2422">
        <v>1</v>
      </c>
      <c r="E2422" t="s">
        <v>34</v>
      </c>
      <c r="F2422" t="s">
        <v>35</v>
      </c>
      <c r="G2422" t="str">
        <f>"2025-02-28 10:00:40.801"</f>
        <v>2025-02-28 10:00:40.801</v>
      </c>
      <c r="H2422" t="s">
        <v>21</v>
      </c>
      <c r="I2422">
        <v>1.91</v>
      </c>
      <c r="J2422" t="s">
        <v>37</v>
      </c>
    </row>
    <row r="2423" spans="1:10" x14ac:dyDescent="0.25">
      <c r="A2423" s="1">
        <v>559</v>
      </c>
      <c r="B2423" t="s">
        <v>19</v>
      </c>
      <c r="C2423">
        <v>700</v>
      </c>
      <c r="D2423">
        <v>0</v>
      </c>
      <c r="E2423" t="s">
        <v>20</v>
      </c>
      <c r="F2423" t="s">
        <v>20</v>
      </c>
      <c r="G2423" t="str">
        <f>"2025-02-27 11:20:44.082"</f>
        <v>2025-02-27 11:20:44.082</v>
      </c>
      <c r="H2423" t="s">
        <v>21</v>
      </c>
      <c r="I2423">
        <v>0</v>
      </c>
      <c r="J2423" t="s">
        <v>33</v>
      </c>
    </row>
    <row r="2424" spans="1:10" x14ac:dyDescent="0.25">
      <c r="A2424" s="1">
        <v>560</v>
      </c>
      <c r="B2424" t="s">
        <v>19</v>
      </c>
      <c r="C2424">
        <v>700</v>
      </c>
      <c r="D2424">
        <v>0</v>
      </c>
      <c r="E2424" t="s">
        <v>20</v>
      </c>
      <c r="F2424" t="s">
        <v>20</v>
      </c>
      <c r="G2424" t="str">
        <f>"2025-02-27 09:42:45.204"</f>
        <v>2025-02-27 09:42:45.204</v>
      </c>
      <c r="H2424" t="s">
        <v>21</v>
      </c>
    </row>
    <row r="2425" spans="1:10" x14ac:dyDescent="0.25">
      <c r="A2425" s="1">
        <v>561</v>
      </c>
      <c r="B2425" t="s">
        <v>22</v>
      </c>
      <c r="C2425">
        <v>635</v>
      </c>
      <c r="D2425">
        <v>1</v>
      </c>
      <c r="E2425" t="s">
        <v>34</v>
      </c>
      <c r="F2425" t="s">
        <v>35</v>
      </c>
      <c r="G2425" t="str">
        <f>"2025-02-27 03:02:07.695"</f>
        <v>2025-02-27 03:02:07.695</v>
      </c>
      <c r="H2425" t="s">
        <v>21</v>
      </c>
    </row>
    <row r="2426" spans="1:10" x14ac:dyDescent="0.25">
      <c r="A2426" s="1">
        <v>562</v>
      </c>
      <c r="B2426" t="s">
        <v>36</v>
      </c>
      <c r="C2426">
        <v>635</v>
      </c>
      <c r="D2426">
        <v>1</v>
      </c>
      <c r="E2426" t="s">
        <v>34</v>
      </c>
      <c r="F2426" t="s">
        <v>35</v>
      </c>
      <c r="G2426" t="str">
        <f>"2025-02-27 02:59:40.195"</f>
        <v>2025-02-27 02:59:40.195</v>
      </c>
      <c r="H2426" t="s">
        <v>21</v>
      </c>
      <c r="I2426">
        <v>0.2</v>
      </c>
      <c r="J2426" t="s">
        <v>37</v>
      </c>
    </row>
    <row r="2427" spans="1:10" x14ac:dyDescent="0.25">
      <c r="A2427" s="1">
        <v>564</v>
      </c>
      <c r="B2427" t="s">
        <v>22</v>
      </c>
      <c r="C2427">
        <v>635</v>
      </c>
      <c r="D2427">
        <v>1</v>
      </c>
      <c r="E2427" t="s">
        <v>34</v>
      </c>
      <c r="F2427" t="s">
        <v>35</v>
      </c>
      <c r="G2427" t="str">
        <f>"2025-02-25 15:28:15.495"</f>
        <v>2025-02-25 15:28:15.495</v>
      </c>
      <c r="H2427" t="s">
        <v>21</v>
      </c>
    </row>
    <row r="2428" spans="1:10" x14ac:dyDescent="0.25">
      <c r="A2428" s="1">
        <v>565</v>
      </c>
      <c r="B2428" t="s">
        <v>36</v>
      </c>
      <c r="C2428">
        <v>635</v>
      </c>
      <c r="D2428">
        <v>1</v>
      </c>
      <c r="E2428" t="s">
        <v>34</v>
      </c>
      <c r="F2428" t="s">
        <v>35</v>
      </c>
      <c r="G2428" t="str">
        <f>"2025-02-25 15:23:57.495"</f>
        <v>2025-02-25 15:23:57.495</v>
      </c>
      <c r="H2428" t="s">
        <v>21</v>
      </c>
      <c r="I2428">
        <v>5.96</v>
      </c>
      <c r="J2428" t="s">
        <v>37</v>
      </c>
    </row>
    <row r="2429" spans="1:10" x14ac:dyDescent="0.25">
      <c r="A2429" s="1">
        <v>566</v>
      </c>
      <c r="B2429" t="s">
        <v>19</v>
      </c>
      <c r="C2429">
        <v>706</v>
      </c>
      <c r="D2429">
        <v>4</v>
      </c>
      <c r="E2429" t="s">
        <v>29</v>
      </c>
      <c r="F2429" t="s">
        <v>53</v>
      </c>
      <c r="G2429" t="str">
        <f>"2025-02-24 02:04:21.161"</f>
        <v>2025-02-24 02:04:21.161</v>
      </c>
      <c r="H2429" t="s">
        <v>21</v>
      </c>
      <c r="I2429">
        <v>0</v>
      </c>
      <c r="J2429" t="s">
        <v>31</v>
      </c>
    </row>
    <row r="2430" spans="1:10" x14ac:dyDescent="0.25">
      <c r="A2430" s="1">
        <v>567</v>
      </c>
      <c r="B2430" t="s">
        <v>19</v>
      </c>
      <c r="C2430">
        <v>700</v>
      </c>
      <c r="D2430">
        <v>0</v>
      </c>
      <c r="E2430" t="s">
        <v>20</v>
      </c>
      <c r="F2430" t="s">
        <v>20</v>
      </c>
      <c r="G2430" t="str">
        <f>"2025-02-24 02:03:50.141"</f>
        <v>2025-02-24 02:03:50.141</v>
      </c>
      <c r="H2430" t="s">
        <v>21</v>
      </c>
      <c r="I2430">
        <v>0</v>
      </c>
      <c r="J2430" t="s">
        <v>33</v>
      </c>
    </row>
    <row r="2431" spans="1:10" x14ac:dyDescent="0.25">
      <c r="A2431" s="1">
        <v>568</v>
      </c>
      <c r="B2431" t="s">
        <v>19</v>
      </c>
      <c r="C2431">
        <v>700</v>
      </c>
      <c r="D2431">
        <v>0</v>
      </c>
      <c r="E2431" t="s">
        <v>20</v>
      </c>
      <c r="F2431" t="s">
        <v>20</v>
      </c>
      <c r="G2431" t="str">
        <f>"2025-02-24 02:01:12.133"</f>
        <v>2025-02-24 02:01:12.133</v>
      </c>
      <c r="H2431" t="s">
        <v>21</v>
      </c>
    </row>
    <row r="2432" spans="1:10" x14ac:dyDescent="0.25">
      <c r="A2432" s="1">
        <v>569</v>
      </c>
      <c r="B2432" t="s">
        <v>19</v>
      </c>
      <c r="C2432">
        <v>700</v>
      </c>
      <c r="D2432">
        <v>0</v>
      </c>
      <c r="E2432" t="s">
        <v>20</v>
      </c>
      <c r="F2432" t="s">
        <v>20</v>
      </c>
      <c r="G2432" t="str">
        <f>"2025-02-23 03:16:39.227"</f>
        <v>2025-02-23 03:16:39.227</v>
      </c>
      <c r="H2432" t="s">
        <v>21</v>
      </c>
    </row>
    <row r="2433" spans="1:10" x14ac:dyDescent="0.25">
      <c r="A2433" s="1">
        <v>570</v>
      </c>
      <c r="B2433" t="s">
        <v>19</v>
      </c>
      <c r="C2433">
        <v>706</v>
      </c>
      <c r="D2433">
        <v>4</v>
      </c>
      <c r="E2433" t="s">
        <v>29</v>
      </c>
      <c r="F2433" t="s">
        <v>53</v>
      </c>
      <c r="G2433" t="str">
        <f>"2025-02-23 02:47:20.270"</f>
        <v>2025-02-23 02:47:20.270</v>
      </c>
      <c r="H2433" t="s">
        <v>21</v>
      </c>
      <c r="I2433">
        <v>0</v>
      </c>
      <c r="J2433" t="s">
        <v>31</v>
      </c>
    </row>
    <row r="2434" spans="1:10" s="3" customFormat="1" x14ac:dyDescent="0.25">
      <c r="A2434" s="2">
        <v>571</v>
      </c>
      <c r="B2434" s="3" t="s">
        <v>22</v>
      </c>
      <c r="C2434" s="3">
        <v>647</v>
      </c>
      <c r="D2434" s="3">
        <v>1</v>
      </c>
      <c r="E2434" s="3" t="s">
        <v>54</v>
      </c>
      <c r="F2434" s="3" t="s">
        <v>55</v>
      </c>
      <c r="G2434" s="3" t="str">
        <f>"2025-02-23 02:46:38.151"</f>
        <v>2025-02-23 02:46:38.151</v>
      </c>
      <c r="H2434" s="3" t="s">
        <v>21</v>
      </c>
    </row>
    <row r="2435" spans="1:10" x14ac:dyDescent="0.25">
      <c r="A2435" s="1">
        <v>572</v>
      </c>
      <c r="B2435" t="s">
        <v>56</v>
      </c>
      <c r="C2435">
        <v>620</v>
      </c>
      <c r="D2435">
        <v>1</v>
      </c>
      <c r="E2435" t="s">
        <v>79</v>
      </c>
      <c r="F2435" t="s">
        <v>35</v>
      </c>
      <c r="G2435" t="str">
        <f>"2025-02-23 02:46:36.398"</f>
        <v>2025-02-23 02:46:36.398</v>
      </c>
      <c r="H2435" t="s">
        <v>75</v>
      </c>
    </row>
    <row r="2436" spans="1:10" s="3" customFormat="1" x14ac:dyDescent="0.25">
      <c r="A2436" s="2">
        <v>573</v>
      </c>
      <c r="B2436" s="3" t="s">
        <v>36</v>
      </c>
      <c r="C2436" s="3">
        <v>647</v>
      </c>
      <c r="D2436" s="3">
        <v>1</v>
      </c>
      <c r="E2436" s="3" t="s">
        <v>54</v>
      </c>
      <c r="F2436" s="3" t="s">
        <v>55</v>
      </c>
      <c r="G2436" s="3" t="str">
        <f>"2025-02-23 02:46:34.251"</f>
        <v>2025-02-23 02:46:34.251</v>
      </c>
      <c r="H2436" s="3" t="s">
        <v>21</v>
      </c>
      <c r="I2436" s="3">
        <v>8.42</v>
      </c>
      <c r="J2436" s="3" t="s">
        <v>28</v>
      </c>
    </row>
    <row r="2437" spans="1:10" x14ac:dyDescent="0.25">
      <c r="A2437" s="1">
        <v>574</v>
      </c>
      <c r="B2437" t="s">
        <v>26</v>
      </c>
      <c r="C2437">
        <v>620</v>
      </c>
      <c r="D2437">
        <v>1</v>
      </c>
      <c r="E2437" t="s">
        <v>79</v>
      </c>
      <c r="F2437" t="s">
        <v>35</v>
      </c>
      <c r="G2437" t="str">
        <f>"2025-02-23 02:45:59.369"</f>
        <v>2025-02-23 02:45:59.369</v>
      </c>
      <c r="H2437" t="s">
        <v>75</v>
      </c>
      <c r="I2437">
        <v>19</v>
      </c>
      <c r="J2437" t="s">
        <v>28</v>
      </c>
    </row>
    <row r="2438" spans="1:10" x14ac:dyDescent="0.25">
      <c r="A2438" s="1">
        <v>575</v>
      </c>
      <c r="B2438" t="s">
        <v>19</v>
      </c>
      <c r="C2438">
        <v>700</v>
      </c>
      <c r="D2438">
        <v>0</v>
      </c>
      <c r="E2438" t="s">
        <v>20</v>
      </c>
      <c r="F2438" t="s">
        <v>20</v>
      </c>
      <c r="G2438" t="str">
        <f>"2025-02-21 22:41:41.060"</f>
        <v>2025-02-21 22:41:41.060</v>
      </c>
      <c r="H2438" t="s">
        <v>21</v>
      </c>
      <c r="I2438">
        <v>0</v>
      </c>
      <c r="J2438" t="s">
        <v>33</v>
      </c>
    </row>
    <row r="2439" spans="1:10" x14ac:dyDescent="0.25">
      <c r="A2439" s="1">
        <v>576</v>
      </c>
      <c r="B2439" t="s">
        <v>19</v>
      </c>
      <c r="C2439">
        <v>706</v>
      </c>
      <c r="D2439">
        <v>4</v>
      </c>
      <c r="E2439" t="s">
        <v>29</v>
      </c>
      <c r="F2439" t="s">
        <v>53</v>
      </c>
      <c r="G2439" t="str">
        <f>"2025-02-21 22:35:05.441"</f>
        <v>2025-02-21 22:35:05.441</v>
      </c>
      <c r="H2439" t="s">
        <v>21</v>
      </c>
      <c r="I2439">
        <v>0</v>
      </c>
      <c r="J2439" t="s">
        <v>31</v>
      </c>
    </row>
    <row r="2440" spans="1:10" x14ac:dyDescent="0.25">
      <c r="A2440" s="1">
        <v>577</v>
      </c>
      <c r="B2440" t="s">
        <v>19</v>
      </c>
      <c r="C2440">
        <v>700</v>
      </c>
      <c r="D2440">
        <v>0</v>
      </c>
      <c r="E2440" t="s">
        <v>20</v>
      </c>
      <c r="F2440" t="s">
        <v>20</v>
      </c>
      <c r="G2440" t="str">
        <f>"2025-02-21 22:20:40.111"</f>
        <v>2025-02-21 22:20:40.111</v>
      </c>
      <c r="H2440" t="s">
        <v>21</v>
      </c>
    </row>
    <row r="2441" spans="1:10" x14ac:dyDescent="0.25">
      <c r="A2441" s="1">
        <v>578</v>
      </c>
      <c r="B2441" t="s">
        <v>19</v>
      </c>
      <c r="C2441">
        <v>706</v>
      </c>
      <c r="D2441">
        <v>3</v>
      </c>
      <c r="E2441" t="s">
        <v>29</v>
      </c>
      <c r="F2441" t="s">
        <v>32</v>
      </c>
      <c r="G2441" t="str">
        <f>"2025-02-21 20:37:48.853"</f>
        <v>2025-02-21 20:37:48.853</v>
      </c>
      <c r="H2441" t="s">
        <v>21</v>
      </c>
      <c r="I2441">
        <v>0</v>
      </c>
      <c r="J2441" t="s">
        <v>31</v>
      </c>
    </row>
    <row r="2442" spans="1:10" x14ac:dyDescent="0.25">
      <c r="A2442" s="1">
        <v>579</v>
      </c>
      <c r="B2442" t="s">
        <v>19</v>
      </c>
      <c r="C2442">
        <v>700</v>
      </c>
      <c r="D2442">
        <v>0</v>
      </c>
      <c r="E2442" t="s">
        <v>20</v>
      </c>
      <c r="F2442" t="s">
        <v>20</v>
      </c>
      <c r="G2442" t="str">
        <f>"2025-02-21 10:33:35.063"</f>
        <v>2025-02-21 10:33:35.063</v>
      </c>
      <c r="H2442" t="s">
        <v>21</v>
      </c>
      <c r="I2442">
        <v>0</v>
      </c>
      <c r="J2442" t="s">
        <v>33</v>
      </c>
    </row>
    <row r="2443" spans="1:10" x14ac:dyDescent="0.25">
      <c r="A2443" s="1">
        <v>580</v>
      </c>
      <c r="B2443" t="s">
        <v>19</v>
      </c>
      <c r="C2443">
        <v>700</v>
      </c>
      <c r="D2443">
        <v>0</v>
      </c>
      <c r="E2443" t="s">
        <v>20</v>
      </c>
      <c r="F2443" t="s">
        <v>20</v>
      </c>
      <c r="G2443" t="str">
        <f>"2025-02-21 10:21:20.072"</f>
        <v>2025-02-21 10:21:20.072</v>
      </c>
      <c r="H2443" t="s">
        <v>21</v>
      </c>
      <c r="I2443">
        <v>0</v>
      </c>
      <c r="J2443" t="s">
        <v>33</v>
      </c>
    </row>
    <row r="2444" spans="1:10" x14ac:dyDescent="0.25">
      <c r="A2444" s="1">
        <v>581</v>
      </c>
      <c r="B2444" t="s">
        <v>19</v>
      </c>
      <c r="C2444">
        <v>700</v>
      </c>
      <c r="D2444">
        <v>0</v>
      </c>
      <c r="E2444" t="s">
        <v>20</v>
      </c>
      <c r="F2444" t="s">
        <v>20</v>
      </c>
      <c r="G2444" t="str">
        <f>"2025-02-21 08:50:44.060"</f>
        <v>2025-02-21 08:50:44.060</v>
      </c>
      <c r="H2444" t="s">
        <v>21</v>
      </c>
    </row>
    <row r="2445" spans="1:10" x14ac:dyDescent="0.25">
      <c r="A2445" s="1">
        <v>582</v>
      </c>
      <c r="B2445" t="s">
        <v>19</v>
      </c>
      <c r="C2445">
        <v>700</v>
      </c>
      <c r="D2445">
        <v>0</v>
      </c>
      <c r="E2445" t="s">
        <v>20</v>
      </c>
      <c r="F2445" t="s">
        <v>20</v>
      </c>
      <c r="G2445" t="str">
        <f>"2025-02-20 21:26:48.061"</f>
        <v>2025-02-20 21:26:48.061</v>
      </c>
      <c r="H2445" t="s">
        <v>21</v>
      </c>
      <c r="I2445">
        <v>0</v>
      </c>
      <c r="J2445" t="s">
        <v>33</v>
      </c>
    </row>
    <row r="2446" spans="1:10" x14ac:dyDescent="0.25">
      <c r="A2446" s="1">
        <v>583</v>
      </c>
      <c r="B2446" t="s">
        <v>19</v>
      </c>
      <c r="C2446">
        <v>700</v>
      </c>
      <c r="D2446">
        <v>0</v>
      </c>
      <c r="E2446" t="s">
        <v>20</v>
      </c>
      <c r="F2446" t="s">
        <v>20</v>
      </c>
      <c r="G2446" t="str">
        <f>"2025-02-20 20:56:17.063"</f>
        <v>2025-02-20 20:56:17.063</v>
      </c>
      <c r="H2446" t="s">
        <v>21</v>
      </c>
    </row>
    <row r="2447" spans="1:10" x14ac:dyDescent="0.25">
      <c r="A2447" s="1">
        <v>584</v>
      </c>
      <c r="B2447" t="s">
        <v>19</v>
      </c>
      <c r="C2447">
        <v>700</v>
      </c>
      <c r="D2447">
        <v>0</v>
      </c>
      <c r="E2447" t="s">
        <v>20</v>
      </c>
      <c r="F2447" t="s">
        <v>20</v>
      </c>
      <c r="G2447" t="str">
        <f>"2025-02-20 18:13:58.056"</f>
        <v>2025-02-20 18:13:58.056</v>
      </c>
      <c r="H2447" t="s">
        <v>21</v>
      </c>
    </row>
    <row r="2448" spans="1:10" x14ac:dyDescent="0.25">
      <c r="A2448" s="1">
        <v>585</v>
      </c>
      <c r="B2448" t="s">
        <v>19</v>
      </c>
      <c r="C2448">
        <v>700</v>
      </c>
      <c r="D2448">
        <v>0</v>
      </c>
      <c r="E2448" t="s">
        <v>20</v>
      </c>
      <c r="F2448" t="s">
        <v>20</v>
      </c>
      <c r="G2448" t="str">
        <f>"2025-02-20 17:11:28.079"</f>
        <v>2025-02-20 17:11:28.079</v>
      </c>
      <c r="H2448" t="s">
        <v>21</v>
      </c>
      <c r="I2448">
        <v>0</v>
      </c>
      <c r="J2448" t="s">
        <v>33</v>
      </c>
    </row>
    <row r="2449" spans="1:10" x14ac:dyDescent="0.25">
      <c r="A2449" s="1">
        <v>586</v>
      </c>
      <c r="B2449" t="s">
        <v>19</v>
      </c>
      <c r="C2449">
        <v>700</v>
      </c>
      <c r="D2449">
        <v>0</v>
      </c>
      <c r="E2449" t="s">
        <v>20</v>
      </c>
      <c r="F2449" t="s">
        <v>20</v>
      </c>
      <c r="G2449" t="str">
        <f>"2025-02-20 16:08:48.077"</f>
        <v>2025-02-20 16:08:48.077</v>
      </c>
      <c r="H2449" t="s">
        <v>21</v>
      </c>
      <c r="I2449">
        <v>0</v>
      </c>
      <c r="J2449" t="s">
        <v>33</v>
      </c>
    </row>
    <row r="2450" spans="1:10" x14ac:dyDescent="0.25">
      <c r="A2450" s="1">
        <v>587</v>
      </c>
      <c r="B2450" t="s">
        <v>19</v>
      </c>
      <c r="C2450">
        <v>700</v>
      </c>
      <c r="D2450">
        <v>0</v>
      </c>
      <c r="E2450" t="s">
        <v>20</v>
      </c>
      <c r="F2450" t="s">
        <v>20</v>
      </c>
      <c r="G2450" t="str">
        <f>"2025-02-20 16:00:49.086"</f>
        <v>2025-02-20 16:00:49.086</v>
      </c>
      <c r="H2450" t="s">
        <v>21</v>
      </c>
    </row>
    <row r="2451" spans="1:10" x14ac:dyDescent="0.25">
      <c r="A2451" s="1">
        <v>588</v>
      </c>
      <c r="B2451" t="s">
        <v>19</v>
      </c>
      <c r="C2451">
        <v>700</v>
      </c>
      <c r="D2451">
        <v>0</v>
      </c>
      <c r="E2451" t="s">
        <v>20</v>
      </c>
      <c r="F2451" t="s">
        <v>20</v>
      </c>
      <c r="G2451" t="str">
        <f>"2025-02-20 09:17:27.113"</f>
        <v>2025-02-20 09:17:27.113</v>
      </c>
      <c r="H2451" t="s">
        <v>21</v>
      </c>
      <c r="I2451">
        <v>0</v>
      </c>
      <c r="J2451" t="s">
        <v>33</v>
      </c>
    </row>
    <row r="2452" spans="1:10" x14ac:dyDescent="0.25">
      <c r="A2452" s="1">
        <v>589</v>
      </c>
      <c r="B2452" t="s">
        <v>19</v>
      </c>
      <c r="C2452">
        <v>706</v>
      </c>
      <c r="D2452">
        <v>2</v>
      </c>
      <c r="E2452" t="s">
        <v>29</v>
      </c>
      <c r="F2452" t="s">
        <v>30</v>
      </c>
      <c r="G2452" t="str">
        <f>"2025-02-19 14:14:11.584"</f>
        <v>2025-02-19 14:14:11.584</v>
      </c>
      <c r="H2452" t="s">
        <v>21</v>
      </c>
      <c r="I2452">
        <v>0</v>
      </c>
      <c r="J2452" t="s">
        <v>31</v>
      </c>
    </row>
    <row r="2453" spans="1:10" x14ac:dyDescent="0.25">
      <c r="A2453" s="1">
        <v>590</v>
      </c>
      <c r="B2453" t="s">
        <v>19</v>
      </c>
      <c r="C2453">
        <v>700</v>
      </c>
      <c r="D2453">
        <v>0</v>
      </c>
      <c r="E2453" t="s">
        <v>20</v>
      </c>
      <c r="F2453" t="s">
        <v>20</v>
      </c>
      <c r="G2453" t="str">
        <f>"2025-02-18 20:53:09.104"</f>
        <v>2025-02-18 20:53:09.104</v>
      </c>
      <c r="H2453" t="s">
        <v>21</v>
      </c>
    </row>
    <row r="2454" spans="1:10" x14ac:dyDescent="0.25">
      <c r="A2454" s="1">
        <v>592</v>
      </c>
      <c r="B2454" t="s">
        <v>19</v>
      </c>
      <c r="C2454">
        <v>700</v>
      </c>
      <c r="D2454">
        <v>0</v>
      </c>
      <c r="E2454" t="s">
        <v>20</v>
      </c>
      <c r="F2454" t="s">
        <v>20</v>
      </c>
      <c r="G2454" t="str">
        <f>"2025-02-18 10:41:46.089"</f>
        <v>2025-02-18 10:41:46.089</v>
      </c>
      <c r="H2454" t="s">
        <v>21</v>
      </c>
      <c r="I2454">
        <v>0</v>
      </c>
      <c r="J2454" t="s">
        <v>33</v>
      </c>
    </row>
    <row r="2455" spans="1:10" x14ac:dyDescent="0.25">
      <c r="A2455" s="1">
        <v>593</v>
      </c>
      <c r="B2455" t="s">
        <v>19</v>
      </c>
      <c r="C2455">
        <v>706</v>
      </c>
      <c r="D2455">
        <v>2</v>
      </c>
      <c r="E2455" t="s">
        <v>29</v>
      </c>
      <c r="F2455" t="s">
        <v>30</v>
      </c>
      <c r="G2455" t="str">
        <f>"2025-02-17 16:52:49.905"</f>
        <v>2025-02-17 16:52:49.905</v>
      </c>
      <c r="H2455" t="s">
        <v>21</v>
      </c>
      <c r="I2455">
        <v>0</v>
      </c>
      <c r="J2455" t="s">
        <v>31</v>
      </c>
    </row>
    <row r="2456" spans="1:10" x14ac:dyDescent="0.25">
      <c r="A2456" s="1">
        <v>594</v>
      </c>
      <c r="B2456" t="s">
        <v>19</v>
      </c>
      <c r="C2456">
        <v>700</v>
      </c>
      <c r="D2456">
        <v>0</v>
      </c>
      <c r="E2456" t="s">
        <v>20</v>
      </c>
      <c r="F2456" t="s">
        <v>20</v>
      </c>
      <c r="G2456" t="str">
        <f>"2025-02-17 16:36:42.065"</f>
        <v>2025-02-17 16:36:42.065</v>
      </c>
      <c r="H2456" t="s">
        <v>21</v>
      </c>
      <c r="I2456">
        <v>0</v>
      </c>
      <c r="J2456" t="s">
        <v>33</v>
      </c>
    </row>
    <row r="2457" spans="1:10" s="3" customFormat="1" x14ac:dyDescent="0.25">
      <c r="A2457" s="2">
        <v>595</v>
      </c>
      <c r="B2457" s="3" t="s">
        <v>22</v>
      </c>
      <c r="C2457" s="3">
        <v>647</v>
      </c>
      <c r="D2457" s="3">
        <v>1</v>
      </c>
      <c r="E2457" s="3" t="s">
        <v>54</v>
      </c>
      <c r="F2457" s="3" t="s">
        <v>55</v>
      </c>
      <c r="G2457" s="3" t="str">
        <f>"2025-02-17 15:52:12.849"</f>
        <v>2025-02-17 15:52:12.849</v>
      </c>
      <c r="H2457" s="3" t="s">
        <v>21</v>
      </c>
    </row>
    <row r="2458" spans="1:10" s="3" customFormat="1" x14ac:dyDescent="0.25">
      <c r="A2458" s="2">
        <v>596</v>
      </c>
      <c r="B2458" s="3" t="s">
        <v>36</v>
      </c>
      <c r="C2458" s="3">
        <v>647</v>
      </c>
      <c r="D2458" s="3">
        <v>1</v>
      </c>
      <c r="E2458" s="3" t="s">
        <v>54</v>
      </c>
      <c r="F2458" s="3" t="s">
        <v>55</v>
      </c>
      <c r="G2458" s="3" t="str">
        <f>"2025-02-17 15:52:07.549"</f>
        <v>2025-02-17 15:52:07.549</v>
      </c>
      <c r="H2458" s="3" t="s">
        <v>21</v>
      </c>
      <c r="I2458" s="3">
        <v>17.62</v>
      </c>
      <c r="J2458" s="3" t="s">
        <v>28</v>
      </c>
    </row>
    <row r="2459" spans="1:10" x14ac:dyDescent="0.25">
      <c r="A2459" s="1">
        <v>597</v>
      </c>
      <c r="B2459" t="s">
        <v>19</v>
      </c>
      <c r="C2459">
        <v>706</v>
      </c>
      <c r="D2459">
        <v>2</v>
      </c>
      <c r="E2459" t="s">
        <v>29</v>
      </c>
      <c r="F2459" t="s">
        <v>30</v>
      </c>
      <c r="G2459" t="str">
        <f>"2025-02-17 15:44:31.347"</f>
        <v>2025-02-17 15:44:31.347</v>
      </c>
      <c r="H2459" t="s">
        <v>21</v>
      </c>
      <c r="I2459">
        <v>0</v>
      </c>
      <c r="J2459" t="s">
        <v>31</v>
      </c>
    </row>
    <row r="2460" spans="1:10" x14ac:dyDescent="0.25">
      <c r="A2460" s="1">
        <v>598</v>
      </c>
      <c r="B2460" t="s">
        <v>19</v>
      </c>
      <c r="C2460">
        <v>700</v>
      </c>
      <c r="D2460">
        <v>0</v>
      </c>
      <c r="E2460" t="s">
        <v>20</v>
      </c>
      <c r="F2460" t="s">
        <v>20</v>
      </c>
      <c r="G2460" t="str">
        <f>"2025-02-17 15:42:12.067"</f>
        <v>2025-02-17 15:42:12.067</v>
      </c>
      <c r="H2460" t="s">
        <v>21</v>
      </c>
      <c r="I2460">
        <v>0</v>
      </c>
      <c r="J2460" t="s">
        <v>33</v>
      </c>
    </row>
    <row r="2461" spans="1:10" x14ac:dyDescent="0.25">
      <c r="A2461" s="1">
        <v>599</v>
      </c>
      <c r="B2461" t="s">
        <v>19</v>
      </c>
      <c r="C2461">
        <v>700</v>
      </c>
      <c r="D2461">
        <v>0</v>
      </c>
      <c r="E2461" t="s">
        <v>20</v>
      </c>
      <c r="F2461" t="s">
        <v>20</v>
      </c>
      <c r="G2461" t="str">
        <f>"2025-02-17 15:39:06.106"</f>
        <v>2025-02-17 15:39:06.106</v>
      </c>
      <c r="H2461" t="s">
        <v>21</v>
      </c>
    </row>
    <row r="2462" spans="1:10" x14ac:dyDescent="0.25">
      <c r="A2462" s="1">
        <v>600</v>
      </c>
      <c r="B2462" t="s">
        <v>22</v>
      </c>
      <c r="C2462">
        <v>635</v>
      </c>
      <c r="D2462">
        <v>1</v>
      </c>
      <c r="E2462" t="s">
        <v>34</v>
      </c>
      <c r="F2462" t="s">
        <v>35</v>
      </c>
      <c r="G2462" t="str">
        <f>"2025-02-17 10:44:38.900"</f>
        <v>2025-02-17 10:44:38.900</v>
      </c>
      <c r="H2462" t="s">
        <v>21</v>
      </c>
    </row>
    <row r="2463" spans="1:10" x14ac:dyDescent="0.25">
      <c r="A2463" s="1">
        <v>601</v>
      </c>
      <c r="B2463" t="s">
        <v>36</v>
      </c>
      <c r="C2463">
        <v>635</v>
      </c>
      <c r="D2463">
        <v>1</v>
      </c>
      <c r="E2463" t="s">
        <v>34</v>
      </c>
      <c r="F2463" t="s">
        <v>35</v>
      </c>
      <c r="G2463" t="str">
        <f>"2025-02-17 10:40:29.400"</f>
        <v>2025-02-17 10:40:29.400</v>
      </c>
      <c r="H2463" t="s">
        <v>21</v>
      </c>
      <c r="I2463">
        <v>2.87</v>
      </c>
      <c r="J2463" t="s">
        <v>27</v>
      </c>
    </row>
    <row r="2464" spans="1:10" x14ac:dyDescent="0.25">
      <c r="A2464" s="1">
        <v>604</v>
      </c>
      <c r="B2464" t="s">
        <v>19</v>
      </c>
      <c r="C2464">
        <v>700</v>
      </c>
      <c r="D2464">
        <v>0</v>
      </c>
      <c r="E2464" t="s">
        <v>20</v>
      </c>
      <c r="F2464" t="s">
        <v>20</v>
      </c>
      <c r="G2464" t="str">
        <f>"2025-02-16 13:17:02.061"</f>
        <v>2025-02-16 13:17:02.061</v>
      </c>
      <c r="H2464" t="s">
        <v>21</v>
      </c>
      <c r="I2464">
        <v>0</v>
      </c>
      <c r="J2464" t="s">
        <v>33</v>
      </c>
    </row>
    <row r="2465" spans="1:10" x14ac:dyDescent="0.25">
      <c r="A2465" s="1">
        <v>605</v>
      </c>
      <c r="B2465" t="s">
        <v>40</v>
      </c>
      <c r="C2465">
        <v>215</v>
      </c>
      <c r="D2465">
        <v>6</v>
      </c>
      <c r="E2465" t="s">
        <v>41</v>
      </c>
      <c r="F2465" t="s">
        <v>42</v>
      </c>
      <c r="G2465" t="str">
        <f>"2025-02-15 23:04:07.931"</f>
        <v>2025-02-15 23:04:07.931</v>
      </c>
      <c r="H2465" t="s">
        <v>21</v>
      </c>
    </row>
    <row r="2466" spans="1:10" x14ac:dyDescent="0.25">
      <c r="A2466" s="1">
        <v>606</v>
      </c>
      <c r="B2466" t="s">
        <v>40</v>
      </c>
      <c r="C2466">
        <v>115</v>
      </c>
      <c r="D2466">
        <v>6</v>
      </c>
      <c r="E2466" t="s">
        <v>43</v>
      </c>
      <c r="F2466" t="s">
        <v>42</v>
      </c>
      <c r="G2466" t="str">
        <f>"2025-02-15 23:04:07.831"</f>
        <v>2025-02-15 23:04:07.831</v>
      </c>
      <c r="H2466" t="s">
        <v>21</v>
      </c>
    </row>
    <row r="2467" spans="1:10" x14ac:dyDescent="0.25">
      <c r="A2467" s="1">
        <v>607</v>
      </c>
      <c r="B2467" t="s">
        <v>26</v>
      </c>
      <c r="C2467">
        <v>215</v>
      </c>
      <c r="D2467">
        <v>6</v>
      </c>
      <c r="E2467" t="s">
        <v>41</v>
      </c>
      <c r="F2467" t="s">
        <v>42</v>
      </c>
      <c r="G2467" t="str">
        <f>"2025-02-15 23:04:02.804"</f>
        <v>2025-02-15 23:04:02.804</v>
      </c>
      <c r="H2467" t="s">
        <v>21</v>
      </c>
      <c r="I2467">
        <v>-0.17</v>
      </c>
      <c r="J2467" t="s">
        <v>31</v>
      </c>
    </row>
    <row r="2468" spans="1:10" x14ac:dyDescent="0.25">
      <c r="A2468" s="1">
        <v>608</v>
      </c>
      <c r="B2468" t="s">
        <v>26</v>
      </c>
      <c r="C2468">
        <v>115</v>
      </c>
      <c r="D2468">
        <v>6</v>
      </c>
      <c r="E2468" t="s">
        <v>43</v>
      </c>
      <c r="F2468" t="s">
        <v>42</v>
      </c>
      <c r="G2468" t="str">
        <f>"2025-02-15 23:04:02.799"</f>
        <v>2025-02-15 23:04:02.799</v>
      </c>
      <c r="H2468" t="s">
        <v>21</v>
      </c>
      <c r="I2468">
        <v>-0.17</v>
      </c>
      <c r="J2468" t="s">
        <v>31</v>
      </c>
    </row>
    <row r="2469" spans="1:10" x14ac:dyDescent="0.25">
      <c r="A2469" s="1">
        <v>609</v>
      </c>
      <c r="B2469" t="s">
        <v>22</v>
      </c>
      <c r="C2469">
        <v>6</v>
      </c>
      <c r="D2469">
        <v>1</v>
      </c>
      <c r="E2469" t="s">
        <v>44</v>
      </c>
      <c r="F2469" t="s">
        <v>45</v>
      </c>
      <c r="G2469" t="str">
        <f>"2025-02-15 23:04:02.655"</f>
        <v>2025-02-15 23:04:02.655</v>
      </c>
      <c r="H2469" t="s">
        <v>46</v>
      </c>
    </row>
    <row r="2470" spans="1:10" x14ac:dyDescent="0.25">
      <c r="A2470" s="1">
        <v>610</v>
      </c>
      <c r="B2470" t="s">
        <v>22</v>
      </c>
      <c r="C2470">
        <v>75</v>
      </c>
      <c r="D2470">
        <v>1</v>
      </c>
      <c r="E2470" t="s">
        <v>47</v>
      </c>
      <c r="F2470" t="s">
        <v>48</v>
      </c>
      <c r="G2470" t="str">
        <f>"2025-02-15 23:04:02.653"</f>
        <v>2025-02-15 23:04:02.653</v>
      </c>
      <c r="H2470" t="s">
        <v>49</v>
      </c>
    </row>
    <row r="2471" spans="1:10" x14ac:dyDescent="0.25">
      <c r="A2471" s="1">
        <v>611</v>
      </c>
      <c r="B2471" t="s">
        <v>22</v>
      </c>
      <c r="C2471">
        <v>74</v>
      </c>
      <c r="D2471">
        <v>1</v>
      </c>
      <c r="E2471" t="s">
        <v>50</v>
      </c>
      <c r="F2471" t="s">
        <v>51</v>
      </c>
      <c r="G2471" t="str">
        <f>"2025-02-15 23:04:02.651"</f>
        <v>2025-02-15 23:04:02.651</v>
      </c>
      <c r="H2471" t="s">
        <v>52</v>
      </c>
    </row>
    <row r="2472" spans="1:10" x14ac:dyDescent="0.25">
      <c r="A2472" s="1">
        <v>612</v>
      </c>
      <c r="B2472" t="s">
        <v>36</v>
      </c>
      <c r="C2472">
        <v>75</v>
      </c>
      <c r="D2472">
        <v>1</v>
      </c>
      <c r="E2472" t="s">
        <v>47</v>
      </c>
      <c r="F2472" t="s">
        <v>48</v>
      </c>
      <c r="G2472" t="str">
        <f>"2025-02-15 23:03:51.210"</f>
        <v>2025-02-15 23:03:51.210</v>
      </c>
      <c r="H2472" t="s">
        <v>49</v>
      </c>
      <c r="I2472">
        <v>0</v>
      </c>
      <c r="J2472" t="s">
        <v>31</v>
      </c>
    </row>
    <row r="2473" spans="1:10" x14ac:dyDescent="0.25">
      <c r="A2473" s="1">
        <v>613</v>
      </c>
      <c r="B2473" t="s">
        <v>36</v>
      </c>
      <c r="C2473">
        <v>74</v>
      </c>
      <c r="D2473">
        <v>1</v>
      </c>
      <c r="E2473" t="s">
        <v>50</v>
      </c>
      <c r="F2473" t="s">
        <v>51</v>
      </c>
      <c r="G2473" t="str">
        <f>"2025-02-15 23:03:51.205"</f>
        <v>2025-02-15 23:03:51.205</v>
      </c>
      <c r="H2473" t="s">
        <v>52</v>
      </c>
      <c r="I2473">
        <v>0</v>
      </c>
      <c r="J2473" t="s">
        <v>31</v>
      </c>
    </row>
    <row r="2474" spans="1:10" x14ac:dyDescent="0.25">
      <c r="A2474" s="1">
        <v>614</v>
      </c>
      <c r="B2474" t="s">
        <v>26</v>
      </c>
      <c r="C2474">
        <v>6</v>
      </c>
      <c r="D2474">
        <v>1</v>
      </c>
      <c r="E2474" t="s">
        <v>44</v>
      </c>
      <c r="F2474" t="s">
        <v>45</v>
      </c>
      <c r="G2474" t="str">
        <f>"2025-02-15 23:03:51.200"</f>
        <v>2025-02-15 23:03:51.200</v>
      </c>
      <c r="H2474" t="s">
        <v>46</v>
      </c>
      <c r="I2474">
        <v>0</v>
      </c>
      <c r="J2474" t="s">
        <v>31</v>
      </c>
    </row>
    <row r="2475" spans="1:10" x14ac:dyDescent="0.25">
      <c r="A2475" s="1">
        <v>618</v>
      </c>
      <c r="B2475" t="s">
        <v>22</v>
      </c>
      <c r="C2475">
        <v>635</v>
      </c>
      <c r="D2475">
        <v>1</v>
      </c>
      <c r="E2475" t="s">
        <v>34</v>
      </c>
      <c r="F2475" t="s">
        <v>35</v>
      </c>
      <c r="G2475" t="str">
        <f>"2025-02-15 20:21:07.899"</f>
        <v>2025-02-15 20:21:07.899</v>
      </c>
      <c r="H2475" t="s">
        <v>21</v>
      </c>
    </row>
    <row r="2476" spans="1:10" x14ac:dyDescent="0.25">
      <c r="A2476" s="1">
        <v>619</v>
      </c>
      <c r="B2476" t="s">
        <v>36</v>
      </c>
      <c r="C2476">
        <v>635</v>
      </c>
      <c r="D2476">
        <v>1</v>
      </c>
      <c r="E2476" t="s">
        <v>34</v>
      </c>
      <c r="F2476" t="s">
        <v>35</v>
      </c>
      <c r="G2476" t="str">
        <f>"2025-02-15 20:12:48.399"</f>
        <v>2025-02-15 20:12:48.399</v>
      </c>
      <c r="H2476" t="s">
        <v>21</v>
      </c>
      <c r="I2476">
        <v>0.52</v>
      </c>
      <c r="J2476" t="s">
        <v>37</v>
      </c>
    </row>
    <row r="2477" spans="1:10" x14ac:dyDescent="0.25">
      <c r="A2477" s="1">
        <v>620</v>
      </c>
      <c r="B2477" t="s">
        <v>22</v>
      </c>
      <c r="C2477">
        <v>635</v>
      </c>
      <c r="D2477">
        <v>1</v>
      </c>
      <c r="E2477" t="s">
        <v>34</v>
      </c>
      <c r="F2477" t="s">
        <v>35</v>
      </c>
      <c r="G2477" t="str">
        <f>"2025-02-15 20:06:20.899"</f>
        <v>2025-02-15 20:06:20.899</v>
      </c>
      <c r="H2477" t="s">
        <v>21</v>
      </c>
    </row>
    <row r="2478" spans="1:10" x14ac:dyDescent="0.25">
      <c r="A2478" s="1">
        <v>621</v>
      </c>
      <c r="B2478" t="s">
        <v>36</v>
      </c>
      <c r="C2478">
        <v>635</v>
      </c>
      <c r="D2478">
        <v>1</v>
      </c>
      <c r="E2478" t="s">
        <v>34</v>
      </c>
      <c r="F2478" t="s">
        <v>35</v>
      </c>
      <c r="G2478" t="str">
        <f>"2025-02-15 19:45:25.399"</f>
        <v>2025-02-15 19:45:25.399</v>
      </c>
      <c r="H2478" t="s">
        <v>21</v>
      </c>
      <c r="I2478">
        <v>1.62</v>
      </c>
      <c r="J2478" t="s">
        <v>37</v>
      </c>
    </row>
    <row r="2479" spans="1:10" s="3" customFormat="1" x14ac:dyDescent="0.25">
      <c r="A2479" s="2">
        <v>622</v>
      </c>
      <c r="B2479" s="3" t="s">
        <v>22</v>
      </c>
      <c r="C2479" s="3">
        <v>647</v>
      </c>
      <c r="D2479" s="3">
        <v>1</v>
      </c>
      <c r="E2479" s="3" t="s">
        <v>54</v>
      </c>
      <c r="F2479" s="3" t="s">
        <v>55</v>
      </c>
      <c r="G2479" s="3" t="str">
        <f>"2025-02-14 18:08:34.153"</f>
        <v>2025-02-14 18:08:34.153</v>
      </c>
      <c r="H2479" s="3" t="s">
        <v>21</v>
      </c>
    </row>
    <row r="2480" spans="1:10" s="3" customFormat="1" x14ac:dyDescent="0.25">
      <c r="A2480" s="2">
        <v>623</v>
      </c>
      <c r="B2480" s="3" t="s">
        <v>36</v>
      </c>
      <c r="C2480" s="3">
        <v>647</v>
      </c>
      <c r="D2480" s="3">
        <v>1</v>
      </c>
      <c r="E2480" s="3" t="s">
        <v>54</v>
      </c>
      <c r="F2480" s="3" t="s">
        <v>55</v>
      </c>
      <c r="G2480" s="3" t="str">
        <f>"2025-02-14 18:08:24.653"</f>
        <v>2025-02-14 18:08:24.653</v>
      </c>
      <c r="H2480" s="3" t="s">
        <v>21</v>
      </c>
      <c r="I2480" s="3">
        <v>27.77</v>
      </c>
      <c r="J2480" s="3" t="s">
        <v>28</v>
      </c>
    </row>
    <row r="2481" spans="1:10" x14ac:dyDescent="0.25">
      <c r="A2481" s="1">
        <v>624</v>
      </c>
      <c r="B2481" t="s">
        <v>19</v>
      </c>
      <c r="C2481">
        <v>700</v>
      </c>
      <c r="D2481">
        <v>0</v>
      </c>
      <c r="E2481" t="s">
        <v>20</v>
      </c>
      <c r="F2481" t="s">
        <v>20</v>
      </c>
      <c r="G2481" t="str">
        <f>"2025-02-14 15:55:54.051"</f>
        <v>2025-02-14 15:55:54.051</v>
      </c>
      <c r="H2481" t="s">
        <v>21</v>
      </c>
    </row>
    <row r="2482" spans="1:10" x14ac:dyDescent="0.25">
      <c r="A2482" s="1">
        <v>625</v>
      </c>
      <c r="B2482" t="s">
        <v>22</v>
      </c>
      <c r="C2482">
        <v>635</v>
      </c>
      <c r="D2482">
        <v>1</v>
      </c>
      <c r="E2482" t="s">
        <v>34</v>
      </c>
      <c r="F2482" t="s">
        <v>35</v>
      </c>
      <c r="G2482" t="str">
        <f>"2025-02-14 04:53:49.845"</f>
        <v>2025-02-14 04:53:49.845</v>
      </c>
      <c r="H2482" t="s">
        <v>21</v>
      </c>
    </row>
    <row r="2483" spans="1:10" x14ac:dyDescent="0.25">
      <c r="A2483" s="1">
        <v>626</v>
      </c>
      <c r="B2483" t="s">
        <v>36</v>
      </c>
      <c r="C2483">
        <v>635</v>
      </c>
      <c r="D2483">
        <v>1</v>
      </c>
      <c r="E2483" t="s">
        <v>34</v>
      </c>
      <c r="F2483" t="s">
        <v>35</v>
      </c>
      <c r="G2483" t="str">
        <f>"2025-02-14 04:47:25.845"</f>
        <v>2025-02-14 04:47:25.845</v>
      </c>
      <c r="H2483" t="s">
        <v>21</v>
      </c>
      <c r="I2483">
        <v>2.87</v>
      </c>
      <c r="J2483" t="s">
        <v>37</v>
      </c>
    </row>
    <row r="2484" spans="1:10" x14ac:dyDescent="0.25">
      <c r="A2484" s="1">
        <v>627</v>
      </c>
      <c r="B2484" t="s">
        <v>22</v>
      </c>
      <c r="C2484">
        <v>635</v>
      </c>
      <c r="D2484">
        <v>1</v>
      </c>
      <c r="E2484" t="s">
        <v>34</v>
      </c>
      <c r="F2484" t="s">
        <v>35</v>
      </c>
      <c r="G2484" t="str">
        <f>"2025-02-13 07:46:56.745"</f>
        <v>2025-02-13 07:46:56.745</v>
      </c>
      <c r="H2484" t="s">
        <v>21</v>
      </c>
    </row>
    <row r="2485" spans="1:10" x14ac:dyDescent="0.25">
      <c r="A2485" s="1">
        <v>628</v>
      </c>
      <c r="B2485" t="s">
        <v>36</v>
      </c>
      <c r="C2485">
        <v>635</v>
      </c>
      <c r="D2485">
        <v>1</v>
      </c>
      <c r="E2485" t="s">
        <v>34</v>
      </c>
      <c r="F2485" t="s">
        <v>35</v>
      </c>
      <c r="G2485" t="str">
        <f>"2025-02-13 07:44:32.745"</f>
        <v>2025-02-13 07:44:32.745</v>
      </c>
      <c r="H2485" t="s">
        <v>21</v>
      </c>
      <c r="I2485">
        <v>1.0900000000000001</v>
      </c>
      <c r="J2485" t="s">
        <v>37</v>
      </c>
    </row>
    <row r="2486" spans="1:10" x14ac:dyDescent="0.25">
      <c r="A2486" s="1">
        <v>629</v>
      </c>
      <c r="B2486" t="s">
        <v>22</v>
      </c>
      <c r="C2486">
        <v>635</v>
      </c>
      <c r="D2486">
        <v>1</v>
      </c>
      <c r="E2486" t="s">
        <v>34</v>
      </c>
      <c r="F2486" t="s">
        <v>35</v>
      </c>
      <c r="G2486" t="str">
        <f>"2025-02-12 19:04:04.845"</f>
        <v>2025-02-12 19:04:04.845</v>
      </c>
      <c r="H2486" t="s">
        <v>21</v>
      </c>
    </row>
    <row r="2487" spans="1:10" x14ac:dyDescent="0.25">
      <c r="A2487" s="1">
        <v>630</v>
      </c>
      <c r="B2487" t="s">
        <v>36</v>
      </c>
      <c r="C2487">
        <v>635</v>
      </c>
      <c r="D2487">
        <v>1</v>
      </c>
      <c r="E2487" t="s">
        <v>34</v>
      </c>
      <c r="F2487" t="s">
        <v>35</v>
      </c>
      <c r="G2487" t="str">
        <f>"2025-02-12 18:48:57.445"</f>
        <v>2025-02-12 18:48:57.445</v>
      </c>
      <c r="H2487" t="s">
        <v>21</v>
      </c>
      <c r="I2487">
        <v>5.64</v>
      </c>
      <c r="J2487" t="s">
        <v>27</v>
      </c>
    </row>
    <row r="2488" spans="1:10" x14ac:dyDescent="0.25">
      <c r="A2488" s="1">
        <v>631</v>
      </c>
      <c r="B2488" t="s">
        <v>19</v>
      </c>
      <c r="C2488">
        <v>700</v>
      </c>
      <c r="D2488">
        <v>0</v>
      </c>
      <c r="E2488" t="s">
        <v>20</v>
      </c>
      <c r="F2488" t="s">
        <v>20</v>
      </c>
      <c r="G2488" t="str">
        <f>"2025-02-12 13:04:04.058"</f>
        <v>2025-02-12 13:04:04.058</v>
      </c>
      <c r="H2488" t="s">
        <v>21</v>
      </c>
      <c r="I2488">
        <v>0</v>
      </c>
      <c r="J2488" t="s">
        <v>33</v>
      </c>
    </row>
    <row r="2489" spans="1:10" x14ac:dyDescent="0.25">
      <c r="A2489" s="1">
        <v>632</v>
      </c>
      <c r="B2489" t="s">
        <v>22</v>
      </c>
      <c r="C2489">
        <v>635</v>
      </c>
      <c r="D2489">
        <v>1</v>
      </c>
      <c r="E2489" t="s">
        <v>34</v>
      </c>
      <c r="F2489" t="s">
        <v>35</v>
      </c>
      <c r="G2489" t="str">
        <f>"2025-02-12 10:48:57.641"</f>
        <v>2025-02-12 10:48:57.641</v>
      </c>
      <c r="H2489" t="s">
        <v>21</v>
      </c>
    </row>
    <row r="2490" spans="1:10" x14ac:dyDescent="0.25">
      <c r="A2490" s="1">
        <v>633</v>
      </c>
      <c r="B2490" t="s">
        <v>36</v>
      </c>
      <c r="C2490">
        <v>635</v>
      </c>
      <c r="D2490">
        <v>1</v>
      </c>
      <c r="E2490" t="s">
        <v>34</v>
      </c>
      <c r="F2490" t="s">
        <v>35</v>
      </c>
      <c r="G2490" t="str">
        <f>"2025-02-12 10:46:43.641"</f>
        <v>2025-02-12 10:46:43.641</v>
      </c>
      <c r="H2490" t="s">
        <v>21</v>
      </c>
      <c r="I2490">
        <v>1.17</v>
      </c>
      <c r="J2490" t="s">
        <v>37</v>
      </c>
    </row>
    <row r="2491" spans="1:10" s="3" customFormat="1" x14ac:dyDescent="0.25">
      <c r="A2491" s="2">
        <v>634</v>
      </c>
      <c r="B2491" s="3" t="s">
        <v>22</v>
      </c>
      <c r="C2491" s="3">
        <v>647</v>
      </c>
      <c r="D2491" s="3">
        <v>1</v>
      </c>
      <c r="E2491" s="3" t="s">
        <v>54</v>
      </c>
      <c r="F2491" s="3" t="s">
        <v>55</v>
      </c>
      <c r="G2491" s="3" t="str">
        <f>"2025-02-12 08:03:09.595"</f>
        <v>2025-02-12 08:03:09.595</v>
      </c>
      <c r="H2491" s="3" t="s">
        <v>21</v>
      </c>
    </row>
    <row r="2492" spans="1:10" s="3" customFormat="1" x14ac:dyDescent="0.25">
      <c r="A2492" s="2">
        <v>635</v>
      </c>
      <c r="B2492" s="3" t="s">
        <v>36</v>
      </c>
      <c r="C2492" s="3">
        <v>647</v>
      </c>
      <c r="D2492" s="3">
        <v>1</v>
      </c>
      <c r="E2492" s="3" t="s">
        <v>54</v>
      </c>
      <c r="F2492" s="3" t="s">
        <v>55</v>
      </c>
      <c r="G2492" s="3" t="str">
        <f>"2025-02-12 08:03:06.295"</f>
        <v>2025-02-12 08:03:06.295</v>
      </c>
      <c r="H2492" s="3" t="s">
        <v>21</v>
      </c>
      <c r="I2492" s="3">
        <v>18.07</v>
      </c>
      <c r="J2492" s="3" t="s">
        <v>27</v>
      </c>
    </row>
    <row r="2493" spans="1:10" x14ac:dyDescent="0.25">
      <c r="A2493" s="1">
        <v>636</v>
      </c>
      <c r="B2493" t="s">
        <v>22</v>
      </c>
      <c r="C2493">
        <v>635</v>
      </c>
      <c r="D2493">
        <v>1</v>
      </c>
      <c r="E2493" t="s">
        <v>34</v>
      </c>
      <c r="F2493" t="s">
        <v>35</v>
      </c>
      <c r="G2493" t="str">
        <f>"2025-02-11 19:45:04.541"</f>
        <v>2025-02-11 19:45:04.541</v>
      </c>
      <c r="H2493" t="s">
        <v>21</v>
      </c>
    </row>
    <row r="2494" spans="1:10" x14ac:dyDescent="0.25">
      <c r="A2494" s="1">
        <v>637</v>
      </c>
      <c r="B2494" t="s">
        <v>36</v>
      </c>
      <c r="C2494">
        <v>635</v>
      </c>
      <c r="D2494">
        <v>1</v>
      </c>
      <c r="E2494" t="s">
        <v>34</v>
      </c>
      <c r="F2494" t="s">
        <v>35</v>
      </c>
      <c r="G2494" t="str">
        <f>"2025-02-11 19:41:18.041"</f>
        <v>2025-02-11 19:41:18.041</v>
      </c>
      <c r="H2494" t="s">
        <v>21</v>
      </c>
      <c r="I2494">
        <v>1.17</v>
      </c>
      <c r="J2494" t="s">
        <v>37</v>
      </c>
    </row>
    <row r="2495" spans="1:10" x14ac:dyDescent="0.25">
      <c r="A2495" s="1">
        <v>638</v>
      </c>
      <c r="B2495" t="s">
        <v>22</v>
      </c>
      <c r="C2495">
        <v>635</v>
      </c>
      <c r="D2495">
        <v>1</v>
      </c>
      <c r="E2495" t="s">
        <v>34</v>
      </c>
      <c r="F2495" t="s">
        <v>35</v>
      </c>
      <c r="G2495" t="str">
        <f>"2025-02-11 18:05:50.741"</f>
        <v>2025-02-11 18:05:50.741</v>
      </c>
      <c r="H2495" t="s">
        <v>21</v>
      </c>
    </row>
    <row r="2496" spans="1:10" x14ac:dyDescent="0.25">
      <c r="A2496" s="1">
        <v>639</v>
      </c>
      <c r="B2496" t="s">
        <v>36</v>
      </c>
      <c r="C2496">
        <v>635</v>
      </c>
      <c r="D2496">
        <v>1</v>
      </c>
      <c r="E2496" t="s">
        <v>34</v>
      </c>
      <c r="F2496" t="s">
        <v>35</v>
      </c>
      <c r="G2496" t="str">
        <f>"2025-02-11 18:01:56.241"</f>
        <v>2025-02-11 18:01:56.241</v>
      </c>
      <c r="H2496" t="s">
        <v>21</v>
      </c>
      <c r="I2496">
        <v>5.1100000000000003</v>
      </c>
      <c r="J2496" t="s">
        <v>37</v>
      </c>
    </row>
    <row r="2497" spans="1:10" s="3" customFormat="1" x14ac:dyDescent="0.25">
      <c r="A2497" s="2">
        <v>640</v>
      </c>
      <c r="B2497" s="3" t="s">
        <v>22</v>
      </c>
      <c r="C2497" s="3">
        <v>647</v>
      </c>
      <c r="D2497" s="3">
        <v>1</v>
      </c>
      <c r="E2497" s="3" t="s">
        <v>54</v>
      </c>
      <c r="F2497" s="3" t="s">
        <v>55</v>
      </c>
      <c r="G2497" s="3" t="str">
        <f>"2025-02-11 10:26:55.195"</f>
        <v>2025-02-11 10:26:55.195</v>
      </c>
      <c r="H2497" s="3" t="s">
        <v>21</v>
      </c>
    </row>
    <row r="2498" spans="1:10" s="3" customFormat="1" x14ac:dyDescent="0.25">
      <c r="A2498" s="2">
        <v>641</v>
      </c>
      <c r="B2498" s="3" t="s">
        <v>36</v>
      </c>
      <c r="C2498" s="3">
        <v>647</v>
      </c>
      <c r="D2498" s="3">
        <v>1</v>
      </c>
      <c r="E2498" s="3" t="s">
        <v>54</v>
      </c>
      <c r="F2498" s="3" t="s">
        <v>55</v>
      </c>
      <c r="G2498" s="3" t="str">
        <f>"2025-02-11 10:26:49.296"</f>
        <v>2025-02-11 10:26:49.296</v>
      </c>
      <c r="H2498" s="3" t="s">
        <v>21</v>
      </c>
      <c r="I2498" s="3">
        <v>19.809999999999999</v>
      </c>
      <c r="J2498" s="3" t="s">
        <v>27</v>
      </c>
    </row>
    <row r="2499" spans="1:10" x14ac:dyDescent="0.25">
      <c r="A2499" s="1">
        <v>642</v>
      </c>
      <c r="B2499" t="s">
        <v>19</v>
      </c>
      <c r="C2499">
        <v>706</v>
      </c>
      <c r="D2499">
        <v>2</v>
      </c>
      <c r="E2499" t="s">
        <v>29</v>
      </c>
      <c r="F2499" t="s">
        <v>30</v>
      </c>
      <c r="G2499" t="str">
        <f>"2025-02-10 17:57:21.910"</f>
        <v>2025-02-10 17:57:21.910</v>
      </c>
      <c r="H2499" t="s">
        <v>21</v>
      </c>
      <c r="I2499">
        <v>0</v>
      </c>
      <c r="J2499" t="s">
        <v>31</v>
      </c>
    </row>
    <row r="2500" spans="1:10" x14ac:dyDescent="0.25">
      <c r="A2500" s="1">
        <v>643</v>
      </c>
      <c r="B2500" t="s">
        <v>19</v>
      </c>
      <c r="C2500">
        <v>700</v>
      </c>
      <c r="D2500">
        <v>0</v>
      </c>
      <c r="E2500" t="s">
        <v>20</v>
      </c>
      <c r="F2500" t="s">
        <v>20</v>
      </c>
      <c r="G2500" t="str">
        <f>"2025-02-10 17:54:10.040"</f>
        <v>2025-02-10 17:54:10.040</v>
      </c>
      <c r="H2500" t="s">
        <v>21</v>
      </c>
    </row>
    <row r="2501" spans="1:10" x14ac:dyDescent="0.25">
      <c r="A2501" s="1">
        <v>644</v>
      </c>
      <c r="B2501" t="s">
        <v>19</v>
      </c>
      <c r="C2501">
        <v>700</v>
      </c>
      <c r="D2501">
        <v>0</v>
      </c>
      <c r="E2501" t="s">
        <v>20</v>
      </c>
      <c r="F2501" t="s">
        <v>20</v>
      </c>
      <c r="G2501" t="str">
        <f>"2025-02-10 17:07:49.184"</f>
        <v>2025-02-10 17:07:49.184</v>
      </c>
      <c r="H2501" t="s">
        <v>21</v>
      </c>
      <c r="I2501">
        <v>0</v>
      </c>
      <c r="J2501" t="s">
        <v>33</v>
      </c>
    </row>
    <row r="2502" spans="1:10" x14ac:dyDescent="0.25">
      <c r="A2502" s="1">
        <v>646</v>
      </c>
      <c r="B2502" t="s">
        <v>22</v>
      </c>
      <c r="C2502">
        <v>635</v>
      </c>
      <c r="D2502">
        <v>1</v>
      </c>
      <c r="E2502" t="s">
        <v>34</v>
      </c>
      <c r="F2502" t="s">
        <v>35</v>
      </c>
      <c r="G2502" t="str">
        <f>"2025-02-09 15:50:57.121"</f>
        <v>2025-02-09 15:50:57.121</v>
      </c>
      <c r="H2502" t="s">
        <v>21</v>
      </c>
    </row>
    <row r="2503" spans="1:10" x14ac:dyDescent="0.25">
      <c r="A2503" s="1">
        <v>647</v>
      </c>
      <c r="B2503" t="s">
        <v>36</v>
      </c>
      <c r="C2503">
        <v>635</v>
      </c>
      <c r="D2503">
        <v>1</v>
      </c>
      <c r="E2503" t="s">
        <v>34</v>
      </c>
      <c r="F2503" t="s">
        <v>35</v>
      </c>
      <c r="G2503" t="str">
        <f>"2025-02-09 15:35:35.221"</f>
        <v>2025-02-09 15:35:35.221</v>
      </c>
      <c r="H2503" t="s">
        <v>21</v>
      </c>
      <c r="I2503">
        <v>6.95</v>
      </c>
      <c r="J2503" t="s">
        <v>37</v>
      </c>
    </row>
    <row r="2504" spans="1:10" x14ac:dyDescent="0.25">
      <c r="A2504" s="1">
        <v>648</v>
      </c>
      <c r="B2504" t="s">
        <v>22</v>
      </c>
      <c r="C2504">
        <v>635</v>
      </c>
      <c r="D2504">
        <v>1</v>
      </c>
      <c r="E2504" t="s">
        <v>34</v>
      </c>
      <c r="F2504" t="s">
        <v>35</v>
      </c>
      <c r="G2504" t="str">
        <f>"2025-02-09 14:50:25.221"</f>
        <v>2025-02-09 14:50:25.221</v>
      </c>
      <c r="H2504" t="s">
        <v>21</v>
      </c>
    </row>
    <row r="2505" spans="1:10" x14ac:dyDescent="0.25">
      <c r="A2505" s="1">
        <v>649</v>
      </c>
      <c r="B2505" t="s">
        <v>36</v>
      </c>
      <c r="C2505">
        <v>635</v>
      </c>
      <c r="D2505">
        <v>1</v>
      </c>
      <c r="E2505" t="s">
        <v>34</v>
      </c>
      <c r="F2505" t="s">
        <v>35</v>
      </c>
      <c r="G2505" t="str">
        <f>"2025-02-09 14:34:17.721"</f>
        <v>2025-02-09 14:34:17.721</v>
      </c>
      <c r="H2505" t="s">
        <v>21</v>
      </c>
      <c r="I2505">
        <v>7.82</v>
      </c>
      <c r="J2505" t="s">
        <v>37</v>
      </c>
    </row>
    <row r="2506" spans="1:10" x14ac:dyDescent="0.25">
      <c r="A2506" s="1">
        <v>650</v>
      </c>
      <c r="B2506" t="s">
        <v>22</v>
      </c>
      <c r="C2506">
        <v>635</v>
      </c>
      <c r="D2506">
        <v>1</v>
      </c>
      <c r="E2506" t="s">
        <v>34</v>
      </c>
      <c r="F2506" t="s">
        <v>35</v>
      </c>
      <c r="G2506" t="str">
        <f>"2025-02-09 13:10:57.421"</f>
        <v>2025-02-09 13:10:57.421</v>
      </c>
      <c r="H2506" t="s">
        <v>21</v>
      </c>
    </row>
    <row r="2507" spans="1:10" x14ac:dyDescent="0.25">
      <c r="A2507" s="1">
        <v>651</v>
      </c>
      <c r="B2507" t="s">
        <v>36</v>
      </c>
      <c r="C2507">
        <v>635</v>
      </c>
      <c r="D2507">
        <v>1</v>
      </c>
      <c r="E2507" t="s">
        <v>34</v>
      </c>
      <c r="F2507" t="s">
        <v>35</v>
      </c>
      <c r="G2507" t="str">
        <f>"2025-02-09 13:07:02.421"</f>
        <v>2025-02-09 13:07:02.421</v>
      </c>
      <c r="H2507" t="s">
        <v>21</v>
      </c>
      <c r="I2507">
        <v>9.14</v>
      </c>
      <c r="J2507" t="s">
        <v>27</v>
      </c>
    </row>
    <row r="2508" spans="1:10" x14ac:dyDescent="0.25">
      <c r="A2508" s="1">
        <v>652</v>
      </c>
      <c r="B2508" t="s">
        <v>19</v>
      </c>
      <c r="C2508">
        <v>700</v>
      </c>
      <c r="D2508">
        <v>0</v>
      </c>
      <c r="E2508" t="s">
        <v>20</v>
      </c>
      <c r="F2508" t="s">
        <v>20</v>
      </c>
      <c r="G2508" t="str">
        <f>"2025-02-09 12:28:39.073"</f>
        <v>2025-02-09 12:28:39.073</v>
      </c>
      <c r="H2508" t="s">
        <v>21</v>
      </c>
      <c r="I2508">
        <v>0</v>
      </c>
      <c r="J2508" t="s">
        <v>33</v>
      </c>
    </row>
    <row r="2509" spans="1:10" x14ac:dyDescent="0.25">
      <c r="A2509" s="1">
        <v>653</v>
      </c>
      <c r="B2509" t="s">
        <v>22</v>
      </c>
      <c r="C2509">
        <v>635</v>
      </c>
      <c r="D2509">
        <v>1</v>
      </c>
      <c r="E2509" t="s">
        <v>34</v>
      </c>
      <c r="F2509" t="s">
        <v>35</v>
      </c>
      <c r="G2509" t="str">
        <f>"2025-02-09 11:59:04.712"</f>
        <v>2025-02-09 11:59:04.712</v>
      </c>
      <c r="H2509" t="s">
        <v>21</v>
      </c>
    </row>
    <row r="2510" spans="1:10" x14ac:dyDescent="0.25">
      <c r="A2510" s="1">
        <v>654</v>
      </c>
      <c r="B2510" t="s">
        <v>36</v>
      </c>
      <c r="C2510">
        <v>635</v>
      </c>
      <c r="D2510">
        <v>1</v>
      </c>
      <c r="E2510" t="s">
        <v>34</v>
      </c>
      <c r="F2510" t="s">
        <v>35</v>
      </c>
      <c r="G2510" t="str">
        <f>"2025-02-09 11:44:09.213"</f>
        <v>2025-02-09 11:44:09.213</v>
      </c>
      <c r="H2510" t="s">
        <v>21</v>
      </c>
      <c r="I2510">
        <v>8.35</v>
      </c>
      <c r="J2510" t="s">
        <v>37</v>
      </c>
    </row>
    <row r="2511" spans="1:10" x14ac:dyDescent="0.25">
      <c r="A2511" s="1">
        <v>655</v>
      </c>
      <c r="B2511" t="s">
        <v>19</v>
      </c>
      <c r="C2511">
        <v>700</v>
      </c>
      <c r="D2511">
        <v>0</v>
      </c>
      <c r="E2511" t="s">
        <v>20</v>
      </c>
      <c r="F2511" t="s">
        <v>20</v>
      </c>
      <c r="G2511" t="str">
        <f>"2025-02-08 23:08:17.074"</f>
        <v>2025-02-08 23:08:17.074</v>
      </c>
      <c r="H2511" t="s">
        <v>21</v>
      </c>
    </row>
    <row r="2512" spans="1:10" x14ac:dyDescent="0.25">
      <c r="A2512" s="1">
        <v>658</v>
      </c>
      <c r="B2512" t="s">
        <v>19</v>
      </c>
      <c r="C2512">
        <v>782</v>
      </c>
      <c r="D2512">
        <v>7</v>
      </c>
      <c r="E2512" t="s">
        <v>62</v>
      </c>
      <c r="F2512" t="s">
        <v>63</v>
      </c>
      <c r="G2512" t="str">
        <f>"2025-02-08 23:02:09.957"</f>
        <v>2025-02-08 23:02:09.957</v>
      </c>
      <c r="H2512" t="s">
        <v>21</v>
      </c>
      <c r="I2512">
        <v>0</v>
      </c>
      <c r="J2512" t="s">
        <v>28</v>
      </c>
    </row>
    <row r="2513" spans="1:10" x14ac:dyDescent="0.25">
      <c r="A2513" s="1">
        <v>661</v>
      </c>
      <c r="B2513" t="s">
        <v>22</v>
      </c>
      <c r="C2513">
        <v>79</v>
      </c>
      <c r="D2513">
        <v>9</v>
      </c>
      <c r="E2513" t="s">
        <v>83</v>
      </c>
      <c r="F2513" t="s">
        <v>84</v>
      </c>
      <c r="G2513" t="str">
        <f>"2025-02-08 23:02:09.948"</f>
        <v>2025-02-08 23:02:09.948</v>
      </c>
      <c r="H2513" t="s">
        <v>70</v>
      </c>
    </row>
    <row r="2514" spans="1:10" x14ac:dyDescent="0.25">
      <c r="A2514" s="1">
        <v>662</v>
      </c>
      <c r="B2514" t="s">
        <v>19</v>
      </c>
      <c r="C2514">
        <v>782</v>
      </c>
      <c r="D2514">
        <v>7</v>
      </c>
      <c r="E2514" t="s">
        <v>62</v>
      </c>
      <c r="F2514" t="s">
        <v>63</v>
      </c>
      <c r="G2514" t="str">
        <f>"2025-02-08 23:02:09.947"</f>
        <v>2025-02-08 23:02:09.947</v>
      </c>
      <c r="H2514" t="s">
        <v>21</v>
      </c>
      <c r="I2514">
        <v>0</v>
      </c>
      <c r="J2514" t="s">
        <v>28</v>
      </c>
    </row>
    <row r="2515" spans="1:10" x14ac:dyDescent="0.25">
      <c r="A2515" s="1">
        <v>663</v>
      </c>
      <c r="B2515" t="s">
        <v>22</v>
      </c>
      <c r="C2515">
        <v>14</v>
      </c>
      <c r="D2515">
        <v>13</v>
      </c>
      <c r="E2515" t="s">
        <v>85</v>
      </c>
      <c r="F2515" t="s">
        <v>86</v>
      </c>
      <c r="G2515" t="str">
        <f>"2025-02-08 22:40:44.149"</f>
        <v>2025-02-08 22:40:44.149</v>
      </c>
      <c r="H2515" t="s">
        <v>25</v>
      </c>
    </row>
    <row r="2516" spans="1:10" x14ac:dyDescent="0.25">
      <c r="A2516" s="1">
        <v>664</v>
      </c>
      <c r="B2516" t="s">
        <v>22</v>
      </c>
      <c r="C2516">
        <v>14</v>
      </c>
      <c r="D2516">
        <v>10</v>
      </c>
      <c r="E2516" t="s">
        <v>85</v>
      </c>
      <c r="F2516" t="s">
        <v>87</v>
      </c>
      <c r="G2516" t="str">
        <f>"2025-02-08 22:40:44.147"</f>
        <v>2025-02-08 22:40:44.147</v>
      </c>
      <c r="H2516" t="s">
        <v>25</v>
      </c>
    </row>
    <row r="2517" spans="1:10" x14ac:dyDescent="0.25">
      <c r="A2517" s="1">
        <v>665</v>
      </c>
      <c r="B2517" t="s">
        <v>56</v>
      </c>
      <c r="C2517">
        <v>205</v>
      </c>
      <c r="D2517">
        <v>3</v>
      </c>
      <c r="E2517" t="s">
        <v>90</v>
      </c>
      <c r="F2517" t="s">
        <v>91</v>
      </c>
      <c r="G2517" t="str">
        <f>"2025-02-08 22:40:26.122"</f>
        <v>2025-02-08 22:40:26.122</v>
      </c>
      <c r="H2517" t="s">
        <v>49</v>
      </c>
    </row>
    <row r="2518" spans="1:10" x14ac:dyDescent="0.25">
      <c r="A2518" s="1">
        <v>666</v>
      </c>
      <c r="B2518" t="s">
        <v>56</v>
      </c>
      <c r="C2518">
        <v>204</v>
      </c>
      <c r="D2518">
        <v>8</v>
      </c>
      <c r="E2518" t="s">
        <v>93</v>
      </c>
      <c r="F2518" t="s">
        <v>94</v>
      </c>
      <c r="G2518" t="str">
        <f>"2025-02-08 22:40:26.119"</f>
        <v>2025-02-08 22:40:26.119</v>
      </c>
      <c r="H2518" t="s">
        <v>49</v>
      </c>
    </row>
    <row r="2519" spans="1:10" x14ac:dyDescent="0.25">
      <c r="A2519" s="1">
        <v>667</v>
      </c>
      <c r="B2519" t="s">
        <v>56</v>
      </c>
      <c r="C2519">
        <v>204</v>
      </c>
      <c r="D2519">
        <v>6</v>
      </c>
      <c r="E2519" t="s">
        <v>93</v>
      </c>
      <c r="F2519" t="s">
        <v>95</v>
      </c>
      <c r="G2519" t="str">
        <f>"2025-02-08 22:40:26.117"</f>
        <v>2025-02-08 22:40:26.117</v>
      </c>
      <c r="H2519" t="s">
        <v>49</v>
      </c>
    </row>
    <row r="2520" spans="1:10" x14ac:dyDescent="0.25">
      <c r="A2520" s="1">
        <v>668</v>
      </c>
      <c r="B2520" t="s">
        <v>56</v>
      </c>
      <c r="C2520">
        <v>204</v>
      </c>
      <c r="D2520">
        <v>5</v>
      </c>
      <c r="E2520" t="s">
        <v>93</v>
      </c>
      <c r="F2520" t="s">
        <v>96</v>
      </c>
      <c r="G2520" t="str">
        <f>"2025-02-08 22:40:26.115"</f>
        <v>2025-02-08 22:40:26.115</v>
      </c>
      <c r="H2520" t="s">
        <v>49</v>
      </c>
    </row>
    <row r="2521" spans="1:10" x14ac:dyDescent="0.25">
      <c r="A2521" s="1">
        <v>669</v>
      </c>
      <c r="B2521" t="s">
        <v>56</v>
      </c>
      <c r="C2521">
        <v>204</v>
      </c>
      <c r="D2521">
        <v>1</v>
      </c>
      <c r="E2521" t="s">
        <v>93</v>
      </c>
      <c r="F2521" t="s">
        <v>97</v>
      </c>
      <c r="G2521" t="str">
        <f>"2025-02-08 22:40:26.110"</f>
        <v>2025-02-08 22:40:26.110</v>
      </c>
      <c r="H2521" t="s">
        <v>49</v>
      </c>
    </row>
    <row r="2522" spans="1:10" x14ac:dyDescent="0.25">
      <c r="A2522" s="1">
        <v>670</v>
      </c>
      <c r="B2522" t="s">
        <v>56</v>
      </c>
      <c r="C2522">
        <v>105</v>
      </c>
      <c r="D2522">
        <v>3</v>
      </c>
      <c r="E2522" t="s">
        <v>92</v>
      </c>
      <c r="F2522" t="s">
        <v>91</v>
      </c>
      <c r="G2522" t="str">
        <f>"2025-02-08 22:40:26.108"</f>
        <v>2025-02-08 22:40:26.108</v>
      </c>
      <c r="H2522" t="s">
        <v>52</v>
      </c>
    </row>
    <row r="2523" spans="1:10" x14ac:dyDescent="0.25">
      <c r="A2523" s="1">
        <v>671</v>
      </c>
      <c r="B2523" t="s">
        <v>56</v>
      </c>
      <c r="C2523">
        <v>104</v>
      </c>
      <c r="D2523">
        <v>8</v>
      </c>
      <c r="E2523" t="s">
        <v>98</v>
      </c>
      <c r="F2523" t="s">
        <v>94</v>
      </c>
      <c r="G2523" t="str">
        <f>"2025-02-08 22:40:26.105"</f>
        <v>2025-02-08 22:40:26.105</v>
      </c>
      <c r="H2523" t="s">
        <v>52</v>
      </c>
    </row>
    <row r="2524" spans="1:10" x14ac:dyDescent="0.25">
      <c r="A2524" s="1">
        <v>672</v>
      </c>
      <c r="B2524" t="s">
        <v>56</v>
      </c>
      <c r="C2524">
        <v>104</v>
      </c>
      <c r="D2524">
        <v>6</v>
      </c>
      <c r="E2524" t="s">
        <v>98</v>
      </c>
      <c r="F2524" t="s">
        <v>95</v>
      </c>
      <c r="G2524" t="str">
        <f>"2025-02-08 22:40:26.101"</f>
        <v>2025-02-08 22:40:26.101</v>
      </c>
      <c r="H2524" t="s">
        <v>52</v>
      </c>
    </row>
    <row r="2525" spans="1:10" x14ac:dyDescent="0.25">
      <c r="A2525" s="1">
        <v>673</v>
      </c>
      <c r="B2525" t="s">
        <v>56</v>
      </c>
      <c r="C2525">
        <v>104</v>
      </c>
      <c r="D2525">
        <v>5</v>
      </c>
      <c r="E2525" t="s">
        <v>98</v>
      </c>
      <c r="F2525" t="s">
        <v>96</v>
      </c>
      <c r="G2525" t="str">
        <f>"2025-02-08 22:40:26.099"</f>
        <v>2025-02-08 22:40:26.099</v>
      </c>
      <c r="H2525" t="s">
        <v>52</v>
      </c>
    </row>
    <row r="2526" spans="1:10" x14ac:dyDescent="0.25">
      <c r="A2526" s="1">
        <v>674</v>
      </c>
      <c r="B2526" t="s">
        <v>56</v>
      </c>
      <c r="C2526">
        <v>104</v>
      </c>
      <c r="D2526">
        <v>1</v>
      </c>
      <c r="E2526" t="s">
        <v>98</v>
      </c>
      <c r="F2526" t="s">
        <v>97</v>
      </c>
      <c r="G2526" t="str">
        <f>"2025-02-08 22:40:26.097"</f>
        <v>2025-02-08 22:40:26.097</v>
      </c>
      <c r="H2526" t="s">
        <v>52</v>
      </c>
    </row>
    <row r="2527" spans="1:10" x14ac:dyDescent="0.25">
      <c r="A2527" s="1">
        <v>675</v>
      </c>
      <c r="B2527" t="s">
        <v>56</v>
      </c>
      <c r="C2527">
        <v>23</v>
      </c>
      <c r="D2527">
        <v>1</v>
      </c>
      <c r="E2527" t="s">
        <v>88</v>
      </c>
      <c r="F2527" t="s">
        <v>89</v>
      </c>
      <c r="G2527" t="str">
        <f>"2025-02-08 22:40:26.094"</f>
        <v>2025-02-08 22:40:26.094</v>
      </c>
      <c r="H2527" t="s">
        <v>46</v>
      </c>
    </row>
    <row r="2528" spans="1:10" x14ac:dyDescent="0.25">
      <c r="A2528" s="1">
        <v>676</v>
      </c>
      <c r="B2528" t="s">
        <v>36</v>
      </c>
      <c r="C2528">
        <v>14</v>
      </c>
      <c r="D2528">
        <v>13</v>
      </c>
      <c r="E2528" t="s">
        <v>85</v>
      </c>
      <c r="F2528" t="s">
        <v>86</v>
      </c>
      <c r="G2528" t="str">
        <f>"2025-02-08 22:40:24.148"</f>
        <v>2025-02-08 22:40:24.148</v>
      </c>
      <c r="H2528" t="s">
        <v>25</v>
      </c>
      <c r="I2528">
        <v>7.96</v>
      </c>
      <c r="J2528" t="s">
        <v>28</v>
      </c>
    </row>
    <row r="2529" spans="1:10" x14ac:dyDescent="0.25">
      <c r="A2529" s="1">
        <v>677</v>
      </c>
      <c r="B2529" t="s">
        <v>36</v>
      </c>
      <c r="C2529">
        <v>79</v>
      </c>
      <c r="D2529">
        <v>9</v>
      </c>
      <c r="E2529" t="s">
        <v>83</v>
      </c>
      <c r="F2529" t="s">
        <v>84</v>
      </c>
      <c r="G2529" t="str">
        <f>"2025-02-08 22:40:23.146"</f>
        <v>2025-02-08 22:40:23.146</v>
      </c>
      <c r="H2529" t="s">
        <v>70</v>
      </c>
      <c r="I2529">
        <v>7.47</v>
      </c>
      <c r="J2529" t="s">
        <v>28</v>
      </c>
    </row>
    <row r="2530" spans="1:10" x14ac:dyDescent="0.25">
      <c r="A2530" s="1">
        <v>678</v>
      </c>
      <c r="B2530" t="s">
        <v>36</v>
      </c>
      <c r="C2530">
        <v>14</v>
      </c>
      <c r="D2530">
        <v>10</v>
      </c>
      <c r="E2530" t="s">
        <v>85</v>
      </c>
      <c r="F2530" t="s">
        <v>87</v>
      </c>
      <c r="G2530" t="str">
        <f>"2025-02-08 22:40:23.094"</f>
        <v>2025-02-08 22:40:23.094</v>
      </c>
      <c r="H2530" t="s">
        <v>25</v>
      </c>
      <c r="I2530">
        <v>7.87</v>
      </c>
      <c r="J2530" t="s">
        <v>28</v>
      </c>
    </row>
    <row r="2531" spans="1:10" x14ac:dyDescent="0.25">
      <c r="A2531" s="1">
        <v>679</v>
      </c>
      <c r="B2531" t="s">
        <v>26</v>
      </c>
      <c r="C2531">
        <v>105</v>
      </c>
      <c r="D2531">
        <v>3</v>
      </c>
      <c r="E2531" t="s">
        <v>92</v>
      </c>
      <c r="F2531" t="s">
        <v>91</v>
      </c>
      <c r="G2531" t="str">
        <f>"2025-02-08 22:40:22.751"</f>
        <v>2025-02-08 22:40:22.751</v>
      </c>
      <c r="H2531" t="s">
        <v>52</v>
      </c>
      <c r="I2531">
        <v>7.88</v>
      </c>
      <c r="J2531" t="s">
        <v>28</v>
      </c>
    </row>
    <row r="2532" spans="1:10" x14ac:dyDescent="0.25">
      <c r="A2532" s="1">
        <v>680</v>
      </c>
      <c r="B2532" t="s">
        <v>26</v>
      </c>
      <c r="C2532">
        <v>205</v>
      </c>
      <c r="D2532">
        <v>3</v>
      </c>
      <c r="E2532" t="s">
        <v>90</v>
      </c>
      <c r="F2532" t="s">
        <v>91</v>
      </c>
      <c r="G2532" t="str">
        <f>"2025-02-08 22:40:22.731"</f>
        <v>2025-02-08 22:40:22.731</v>
      </c>
      <c r="H2532" t="s">
        <v>49</v>
      </c>
      <c r="I2532">
        <v>7.88</v>
      </c>
      <c r="J2532" t="s">
        <v>28</v>
      </c>
    </row>
    <row r="2533" spans="1:10" x14ac:dyDescent="0.25">
      <c r="A2533" s="1">
        <v>681</v>
      </c>
      <c r="B2533" t="s">
        <v>26</v>
      </c>
      <c r="C2533">
        <v>204</v>
      </c>
      <c r="D2533">
        <v>8</v>
      </c>
      <c r="E2533" t="s">
        <v>93</v>
      </c>
      <c r="F2533" t="s">
        <v>94</v>
      </c>
      <c r="G2533" t="str">
        <f>"2025-02-08 22:40:22.540"</f>
        <v>2025-02-08 22:40:22.540</v>
      </c>
      <c r="H2533" t="s">
        <v>49</v>
      </c>
      <c r="I2533">
        <v>7.89</v>
      </c>
      <c r="J2533" t="s">
        <v>28</v>
      </c>
    </row>
    <row r="2534" spans="1:10" x14ac:dyDescent="0.25">
      <c r="A2534" s="1">
        <v>682</v>
      </c>
      <c r="B2534" t="s">
        <v>26</v>
      </c>
      <c r="C2534">
        <v>204</v>
      </c>
      <c r="D2534">
        <v>6</v>
      </c>
      <c r="E2534" t="s">
        <v>93</v>
      </c>
      <c r="F2534" t="s">
        <v>95</v>
      </c>
      <c r="G2534" t="str">
        <f>"2025-02-08 22:40:22.536"</f>
        <v>2025-02-08 22:40:22.536</v>
      </c>
      <c r="H2534" t="s">
        <v>49</v>
      </c>
      <c r="I2534">
        <v>7.89</v>
      </c>
      <c r="J2534" t="s">
        <v>28</v>
      </c>
    </row>
    <row r="2535" spans="1:10" x14ac:dyDescent="0.25">
      <c r="A2535" s="1">
        <v>683</v>
      </c>
      <c r="B2535" t="s">
        <v>26</v>
      </c>
      <c r="C2535">
        <v>204</v>
      </c>
      <c r="D2535">
        <v>5</v>
      </c>
      <c r="E2535" t="s">
        <v>93</v>
      </c>
      <c r="F2535" t="s">
        <v>96</v>
      </c>
      <c r="G2535" t="str">
        <f>"2025-02-08 22:40:22.531"</f>
        <v>2025-02-08 22:40:22.531</v>
      </c>
      <c r="H2535" t="s">
        <v>49</v>
      </c>
      <c r="I2535">
        <v>7.89</v>
      </c>
      <c r="J2535" t="s">
        <v>28</v>
      </c>
    </row>
    <row r="2536" spans="1:10" x14ac:dyDescent="0.25">
      <c r="A2536" s="1">
        <v>684</v>
      </c>
      <c r="B2536" t="s">
        <v>26</v>
      </c>
      <c r="C2536">
        <v>104</v>
      </c>
      <c r="D2536">
        <v>8</v>
      </c>
      <c r="E2536" t="s">
        <v>98</v>
      </c>
      <c r="F2536" t="s">
        <v>94</v>
      </c>
      <c r="G2536" t="str">
        <f>"2025-02-08 22:40:22.500"</f>
        <v>2025-02-08 22:40:22.500</v>
      </c>
      <c r="H2536" t="s">
        <v>52</v>
      </c>
      <c r="I2536">
        <v>7.89</v>
      </c>
      <c r="J2536" t="s">
        <v>37</v>
      </c>
    </row>
    <row r="2537" spans="1:10" x14ac:dyDescent="0.25">
      <c r="A2537" s="1">
        <v>685</v>
      </c>
      <c r="B2537" t="s">
        <v>26</v>
      </c>
      <c r="C2537">
        <v>104</v>
      </c>
      <c r="D2537">
        <v>6</v>
      </c>
      <c r="E2537" t="s">
        <v>98</v>
      </c>
      <c r="F2537" t="s">
        <v>95</v>
      </c>
      <c r="G2537" t="str">
        <f>"2025-02-08 22:40:22.496"</f>
        <v>2025-02-08 22:40:22.496</v>
      </c>
      <c r="H2537" t="s">
        <v>52</v>
      </c>
      <c r="I2537">
        <v>7.89</v>
      </c>
      <c r="J2537" t="s">
        <v>37</v>
      </c>
    </row>
    <row r="2538" spans="1:10" x14ac:dyDescent="0.25">
      <c r="A2538" s="1">
        <v>686</v>
      </c>
      <c r="B2538" t="s">
        <v>26</v>
      </c>
      <c r="C2538">
        <v>104</v>
      </c>
      <c r="D2538">
        <v>5</v>
      </c>
      <c r="E2538" t="s">
        <v>98</v>
      </c>
      <c r="F2538" t="s">
        <v>96</v>
      </c>
      <c r="G2538" t="str">
        <f>"2025-02-08 22:40:22.491"</f>
        <v>2025-02-08 22:40:22.491</v>
      </c>
      <c r="H2538" t="s">
        <v>52</v>
      </c>
      <c r="I2538">
        <v>7.89</v>
      </c>
      <c r="J2538" t="s">
        <v>37</v>
      </c>
    </row>
    <row r="2539" spans="1:10" x14ac:dyDescent="0.25">
      <c r="A2539" s="1">
        <v>687</v>
      </c>
      <c r="B2539" t="s">
        <v>26</v>
      </c>
      <c r="C2539">
        <v>23</v>
      </c>
      <c r="D2539">
        <v>1</v>
      </c>
      <c r="E2539" t="s">
        <v>88</v>
      </c>
      <c r="F2539" t="s">
        <v>89</v>
      </c>
      <c r="G2539" t="str">
        <f>"2025-02-08 22:40:22.274"</f>
        <v>2025-02-08 22:40:22.274</v>
      </c>
      <c r="H2539" t="s">
        <v>46</v>
      </c>
      <c r="I2539">
        <v>7.91</v>
      </c>
      <c r="J2539" t="s">
        <v>37</v>
      </c>
    </row>
    <row r="2540" spans="1:10" x14ac:dyDescent="0.25">
      <c r="A2540" s="1">
        <v>688</v>
      </c>
      <c r="B2540" t="s">
        <v>26</v>
      </c>
      <c r="C2540">
        <v>204</v>
      </c>
      <c r="D2540">
        <v>1</v>
      </c>
      <c r="E2540" t="s">
        <v>93</v>
      </c>
      <c r="F2540" t="s">
        <v>97</v>
      </c>
      <c r="G2540" t="str">
        <f>"2025-02-08 22:40:22.197"</f>
        <v>2025-02-08 22:40:22.197</v>
      </c>
      <c r="H2540" t="s">
        <v>49</v>
      </c>
      <c r="I2540">
        <v>7.92</v>
      </c>
      <c r="J2540" t="s">
        <v>37</v>
      </c>
    </row>
    <row r="2541" spans="1:10" x14ac:dyDescent="0.25">
      <c r="A2541" s="1">
        <v>689</v>
      </c>
      <c r="B2541" t="s">
        <v>26</v>
      </c>
      <c r="C2541">
        <v>104</v>
      </c>
      <c r="D2541">
        <v>1</v>
      </c>
      <c r="E2541" t="s">
        <v>98</v>
      </c>
      <c r="F2541" t="s">
        <v>97</v>
      </c>
      <c r="G2541" t="str">
        <f>"2025-02-08 22:40:22.191"</f>
        <v>2025-02-08 22:40:22.191</v>
      </c>
      <c r="H2541" t="s">
        <v>52</v>
      </c>
      <c r="I2541">
        <v>7.92</v>
      </c>
      <c r="J2541" t="s">
        <v>37</v>
      </c>
    </row>
    <row r="2542" spans="1:10" x14ac:dyDescent="0.25">
      <c r="A2542" s="1">
        <v>690</v>
      </c>
      <c r="B2542" t="s">
        <v>19</v>
      </c>
      <c r="C2542">
        <v>706</v>
      </c>
      <c r="D2542">
        <v>4</v>
      </c>
      <c r="E2542" t="s">
        <v>29</v>
      </c>
      <c r="F2542" t="s">
        <v>53</v>
      </c>
      <c r="G2542" t="str">
        <f>"2025-02-08 22:40:22.087"</f>
        <v>2025-02-08 22:40:22.087</v>
      </c>
      <c r="H2542" t="s">
        <v>21</v>
      </c>
      <c r="I2542">
        <v>7.93</v>
      </c>
      <c r="J2542" t="s">
        <v>37</v>
      </c>
    </row>
    <row r="2543" spans="1:10" x14ac:dyDescent="0.25">
      <c r="A2543" s="1">
        <v>691</v>
      </c>
      <c r="B2543" t="s">
        <v>19</v>
      </c>
      <c r="C2543">
        <v>700</v>
      </c>
      <c r="D2543">
        <v>0</v>
      </c>
      <c r="E2543" t="s">
        <v>20</v>
      </c>
      <c r="F2543" t="s">
        <v>20</v>
      </c>
      <c r="G2543" t="str">
        <f>"2025-02-08 13:16:42.027"</f>
        <v>2025-02-08 13:16:42.027</v>
      </c>
      <c r="H2543" t="s">
        <v>21</v>
      </c>
      <c r="I2543">
        <v>0</v>
      </c>
      <c r="J2543" t="s">
        <v>33</v>
      </c>
    </row>
    <row r="2544" spans="1:10" x14ac:dyDescent="0.25">
      <c r="A2544" s="1">
        <v>692</v>
      </c>
      <c r="B2544" t="s">
        <v>22</v>
      </c>
      <c r="C2544">
        <v>635</v>
      </c>
      <c r="D2544">
        <v>1</v>
      </c>
      <c r="E2544" t="s">
        <v>34</v>
      </c>
      <c r="F2544" t="s">
        <v>35</v>
      </c>
      <c r="G2544" t="str">
        <f>"2025-02-08 02:59:21.240"</f>
        <v>2025-02-08 02:59:21.240</v>
      </c>
      <c r="H2544" t="s">
        <v>21</v>
      </c>
    </row>
    <row r="2545" spans="1:10" x14ac:dyDescent="0.25">
      <c r="A2545" s="1">
        <v>693</v>
      </c>
      <c r="B2545" t="s">
        <v>36</v>
      </c>
      <c r="C2545">
        <v>635</v>
      </c>
      <c r="D2545">
        <v>1</v>
      </c>
      <c r="E2545" t="s">
        <v>34</v>
      </c>
      <c r="F2545" t="s">
        <v>35</v>
      </c>
      <c r="G2545" t="str">
        <f>"2025-02-08 02:55:16.740"</f>
        <v>2025-02-08 02:55:16.740</v>
      </c>
      <c r="H2545" t="s">
        <v>21</v>
      </c>
      <c r="I2545">
        <v>1.08</v>
      </c>
      <c r="J2545" t="s">
        <v>27</v>
      </c>
    </row>
    <row r="2546" spans="1:10" x14ac:dyDescent="0.25">
      <c r="A2546" s="1">
        <v>694</v>
      </c>
      <c r="B2546" t="s">
        <v>19</v>
      </c>
      <c r="C2546">
        <v>706</v>
      </c>
      <c r="D2546">
        <v>4</v>
      </c>
      <c r="E2546" t="s">
        <v>29</v>
      </c>
      <c r="F2546" t="s">
        <v>53</v>
      </c>
      <c r="G2546" t="str">
        <f>"2025-02-07 13:44:56.661"</f>
        <v>2025-02-07 13:44:56.661</v>
      </c>
      <c r="H2546" t="s">
        <v>21</v>
      </c>
      <c r="I2546">
        <v>0</v>
      </c>
      <c r="J2546" t="s">
        <v>31</v>
      </c>
    </row>
    <row r="2547" spans="1:10" x14ac:dyDescent="0.25">
      <c r="A2547" s="1">
        <v>695</v>
      </c>
      <c r="B2547" t="s">
        <v>19</v>
      </c>
      <c r="C2547">
        <v>700</v>
      </c>
      <c r="D2547">
        <v>0</v>
      </c>
      <c r="E2547" t="s">
        <v>20</v>
      </c>
      <c r="F2547" t="s">
        <v>20</v>
      </c>
      <c r="G2547" t="str">
        <f>"2025-02-07 13:44:38.031"</f>
        <v>2025-02-07 13:44:38.031</v>
      </c>
      <c r="H2547" t="s">
        <v>21</v>
      </c>
      <c r="I2547">
        <v>0</v>
      </c>
      <c r="J2547" t="s">
        <v>33</v>
      </c>
    </row>
    <row r="2548" spans="1:10" x14ac:dyDescent="0.25">
      <c r="A2548" s="1">
        <v>696</v>
      </c>
      <c r="B2548" t="s">
        <v>19</v>
      </c>
      <c r="C2548">
        <v>700</v>
      </c>
      <c r="D2548">
        <v>0</v>
      </c>
      <c r="E2548" t="s">
        <v>20</v>
      </c>
      <c r="F2548" t="s">
        <v>20</v>
      </c>
      <c r="G2548" t="str">
        <f>"2025-02-06 23:22:10.023"</f>
        <v>2025-02-06 23:22:10.023</v>
      </c>
      <c r="H2548" t="s">
        <v>21</v>
      </c>
      <c r="I2548">
        <v>0</v>
      </c>
      <c r="J2548" t="s">
        <v>33</v>
      </c>
    </row>
    <row r="2549" spans="1:10" x14ac:dyDescent="0.25">
      <c r="A2549" s="1">
        <v>699</v>
      </c>
      <c r="B2549" t="s">
        <v>19</v>
      </c>
      <c r="C2549">
        <v>782</v>
      </c>
      <c r="D2549">
        <v>7</v>
      </c>
      <c r="E2549" t="s">
        <v>62</v>
      </c>
      <c r="F2549" t="s">
        <v>63</v>
      </c>
      <c r="G2549" t="str">
        <f>"2025-02-06 22:53:19.806"</f>
        <v>2025-02-06 22:53:19.806</v>
      </c>
      <c r="H2549" t="s">
        <v>21</v>
      </c>
      <c r="I2549">
        <v>0</v>
      </c>
      <c r="J2549" t="s">
        <v>28</v>
      </c>
    </row>
    <row r="2550" spans="1:10" x14ac:dyDescent="0.25">
      <c r="A2550" s="1">
        <v>702</v>
      </c>
      <c r="B2550" t="s">
        <v>22</v>
      </c>
      <c r="C2550">
        <v>79</v>
      </c>
      <c r="D2550">
        <v>9</v>
      </c>
      <c r="E2550" t="s">
        <v>83</v>
      </c>
      <c r="F2550" t="s">
        <v>84</v>
      </c>
      <c r="G2550" t="str">
        <f>"2025-02-06 22:53:19.798"</f>
        <v>2025-02-06 22:53:19.798</v>
      </c>
      <c r="H2550" t="s">
        <v>70</v>
      </c>
    </row>
    <row r="2551" spans="1:10" x14ac:dyDescent="0.25">
      <c r="A2551" s="1">
        <v>703</v>
      </c>
      <c r="B2551" t="s">
        <v>19</v>
      </c>
      <c r="C2551">
        <v>782</v>
      </c>
      <c r="D2551">
        <v>7</v>
      </c>
      <c r="E2551" t="s">
        <v>62</v>
      </c>
      <c r="F2551" t="s">
        <v>63</v>
      </c>
      <c r="G2551" t="str">
        <f>"2025-02-06 22:53:19.797"</f>
        <v>2025-02-06 22:53:19.797</v>
      </c>
      <c r="H2551" t="s">
        <v>21</v>
      </c>
      <c r="I2551">
        <v>0</v>
      </c>
      <c r="J2551" t="s">
        <v>28</v>
      </c>
    </row>
    <row r="2552" spans="1:10" x14ac:dyDescent="0.25">
      <c r="A2552" s="1">
        <v>704</v>
      </c>
      <c r="B2552" t="s">
        <v>22</v>
      </c>
      <c r="C2552">
        <v>14</v>
      </c>
      <c r="D2552">
        <v>13</v>
      </c>
      <c r="E2552" t="s">
        <v>85</v>
      </c>
      <c r="F2552" t="s">
        <v>86</v>
      </c>
      <c r="G2552" t="str">
        <f>"2025-02-06 22:32:12.401"</f>
        <v>2025-02-06 22:32:12.401</v>
      </c>
      <c r="H2552" t="s">
        <v>25</v>
      </c>
    </row>
    <row r="2553" spans="1:10" x14ac:dyDescent="0.25">
      <c r="A2553" s="1">
        <v>705</v>
      </c>
      <c r="B2553" t="s">
        <v>22</v>
      </c>
      <c r="C2553">
        <v>14</v>
      </c>
      <c r="D2553">
        <v>10</v>
      </c>
      <c r="E2553" t="s">
        <v>85</v>
      </c>
      <c r="F2553" t="s">
        <v>87</v>
      </c>
      <c r="G2553" t="str">
        <f>"2025-02-06 22:32:12.398"</f>
        <v>2025-02-06 22:32:12.398</v>
      </c>
      <c r="H2553" t="s">
        <v>25</v>
      </c>
    </row>
    <row r="2554" spans="1:10" x14ac:dyDescent="0.25">
      <c r="A2554" s="1">
        <v>706</v>
      </c>
      <c r="B2554" t="s">
        <v>40</v>
      </c>
      <c r="C2554">
        <v>105</v>
      </c>
      <c r="D2554">
        <v>3</v>
      </c>
      <c r="E2554" t="s">
        <v>92</v>
      </c>
      <c r="F2554" t="s">
        <v>91</v>
      </c>
      <c r="G2554" t="str">
        <f>"2025-02-06 22:31:59.836"</f>
        <v>2025-02-06 22:31:59.836</v>
      </c>
      <c r="H2554" t="s">
        <v>52</v>
      </c>
    </row>
    <row r="2555" spans="1:10" x14ac:dyDescent="0.25">
      <c r="A2555" s="1">
        <v>707</v>
      </c>
      <c r="B2555" t="s">
        <v>26</v>
      </c>
      <c r="C2555">
        <v>105</v>
      </c>
      <c r="D2555">
        <v>3</v>
      </c>
      <c r="E2555" t="s">
        <v>92</v>
      </c>
      <c r="F2555" t="s">
        <v>91</v>
      </c>
      <c r="G2555" t="str">
        <f>"2025-02-06 22:31:54.740"</f>
        <v>2025-02-06 22:31:54.740</v>
      </c>
      <c r="H2555" t="s">
        <v>52</v>
      </c>
      <c r="I2555">
        <v>0.56999999999999995</v>
      </c>
      <c r="J2555" t="s">
        <v>28</v>
      </c>
    </row>
    <row r="2556" spans="1:10" x14ac:dyDescent="0.25">
      <c r="A2556" s="1">
        <v>708</v>
      </c>
      <c r="B2556" t="s">
        <v>56</v>
      </c>
      <c r="C2556">
        <v>205</v>
      </c>
      <c r="D2556">
        <v>3</v>
      </c>
      <c r="E2556" t="s">
        <v>90</v>
      </c>
      <c r="F2556" t="s">
        <v>91</v>
      </c>
      <c r="G2556" t="str">
        <f>"2025-02-06 22:31:54.481"</f>
        <v>2025-02-06 22:31:54.481</v>
      </c>
      <c r="H2556" t="s">
        <v>49</v>
      </c>
    </row>
    <row r="2557" spans="1:10" x14ac:dyDescent="0.25">
      <c r="A2557" s="1">
        <v>709</v>
      </c>
      <c r="B2557" t="s">
        <v>56</v>
      </c>
      <c r="C2557">
        <v>204</v>
      </c>
      <c r="D2557">
        <v>8</v>
      </c>
      <c r="E2557" t="s">
        <v>93</v>
      </c>
      <c r="F2557" t="s">
        <v>94</v>
      </c>
      <c r="G2557" t="str">
        <f>"2025-02-06 22:31:54.477"</f>
        <v>2025-02-06 22:31:54.477</v>
      </c>
      <c r="H2557" t="s">
        <v>49</v>
      </c>
    </row>
    <row r="2558" spans="1:10" x14ac:dyDescent="0.25">
      <c r="A2558" s="1">
        <v>710</v>
      </c>
      <c r="B2558" t="s">
        <v>56</v>
      </c>
      <c r="C2558">
        <v>204</v>
      </c>
      <c r="D2558">
        <v>6</v>
      </c>
      <c r="E2558" t="s">
        <v>93</v>
      </c>
      <c r="F2558" t="s">
        <v>95</v>
      </c>
      <c r="G2558" t="str">
        <f>"2025-02-06 22:31:54.475"</f>
        <v>2025-02-06 22:31:54.475</v>
      </c>
      <c r="H2558" t="s">
        <v>49</v>
      </c>
    </row>
    <row r="2559" spans="1:10" x14ac:dyDescent="0.25">
      <c r="A2559" s="1">
        <v>711</v>
      </c>
      <c r="B2559" t="s">
        <v>56</v>
      </c>
      <c r="C2559">
        <v>204</v>
      </c>
      <c r="D2559">
        <v>5</v>
      </c>
      <c r="E2559" t="s">
        <v>93</v>
      </c>
      <c r="F2559" t="s">
        <v>96</v>
      </c>
      <c r="G2559" t="str">
        <f>"2025-02-06 22:31:54.472"</f>
        <v>2025-02-06 22:31:54.472</v>
      </c>
      <c r="H2559" t="s">
        <v>49</v>
      </c>
    </row>
    <row r="2560" spans="1:10" x14ac:dyDescent="0.25">
      <c r="A2560" s="1">
        <v>712</v>
      </c>
      <c r="B2560" t="s">
        <v>56</v>
      </c>
      <c r="C2560">
        <v>204</v>
      </c>
      <c r="D2560">
        <v>1</v>
      </c>
      <c r="E2560" t="s">
        <v>93</v>
      </c>
      <c r="F2560" t="s">
        <v>97</v>
      </c>
      <c r="G2560" t="str">
        <f>"2025-02-06 22:31:54.461"</f>
        <v>2025-02-06 22:31:54.461</v>
      </c>
      <c r="H2560" t="s">
        <v>49</v>
      </c>
    </row>
    <row r="2561" spans="1:10" x14ac:dyDescent="0.25">
      <c r="A2561" s="1">
        <v>713</v>
      </c>
      <c r="B2561" t="s">
        <v>56</v>
      </c>
      <c r="C2561">
        <v>105</v>
      </c>
      <c r="D2561">
        <v>3</v>
      </c>
      <c r="E2561" t="s">
        <v>92</v>
      </c>
      <c r="F2561" t="s">
        <v>91</v>
      </c>
      <c r="G2561" t="str">
        <f>"2025-02-06 22:31:54.457"</f>
        <v>2025-02-06 22:31:54.457</v>
      </c>
      <c r="H2561" t="s">
        <v>52</v>
      </c>
    </row>
    <row r="2562" spans="1:10" x14ac:dyDescent="0.25">
      <c r="A2562" s="1">
        <v>714</v>
      </c>
      <c r="B2562" t="s">
        <v>56</v>
      </c>
      <c r="C2562">
        <v>104</v>
      </c>
      <c r="D2562">
        <v>8</v>
      </c>
      <c r="E2562" t="s">
        <v>98</v>
      </c>
      <c r="F2562" t="s">
        <v>94</v>
      </c>
      <c r="G2562" t="str">
        <f>"2025-02-06 22:31:54.454"</f>
        <v>2025-02-06 22:31:54.454</v>
      </c>
      <c r="H2562" t="s">
        <v>52</v>
      </c>
    </row>
    <row r="2563" spans="1:10" x14ac:dyDescent="0.25">
      <c r="A2563" s="1">
        <v>715</v>
      </c>
      <c r="B2563" t="s">
        <v>56</v>
      </c>
      <c r="C2563">
        <v>104</v>
      </c>
      <c r="D2563">
        <v>6</v>
      </c>
      <c r="E2563" t="s">
        <v>98</v>
      </c>
      <c r="F2563" t="s">
        <v>95</v>
      </c>
      <c r="G2563" t="str">
        <f>"2025-02-06 22:31:54.451"</f>
        <v>2025-02-06 22:31:54.451</v>
      </c>
      <c r="H2563" t="s">
        <v>52</v>
      </c>
    </row>
    <row r="2564" spans="1:10" x14ac:dyDescent="0.25">
      <c r="A2564" s="1">
        <v>716</v>
      </c>
      <c r="B2564" t="s">
        <v>56</v>
      </c>
      <c r="C2564">
        <v>104</v>
      </c>
      <c r="D2564">
        <v>5</v>
      </c>
      <c r="E2564" t="s">
        <v>98</v>
      </c>
      <c r="F2564" t="s">
        <v>96</v>
      </c>
      <c r="G2564" t="str">
        <f>"2025-02-06 22:31:54.449"</f>
        <v>2025-02-06 22:31:54.449</v>
      </c>
      <c r="H2564" t="s">
        <v>52</v>
      </c>
    </row>
    <row r="2565" spans="1:10" x14ac:dyDescent="0.25">
      <c r="A2565" s="1">
        <v>717</v>
      </c>
      <c r="B2565" t="s">
        <v>56</v>
      </c>
      <c r="C2565">
        <v>104</v>
      </c>
      <c r="D2565">
        <v>1</v>
      </c>
      <c r="E2565" t="s">
        <v>98</v>
      </c>
      <c r="F2565" t="s">
        <v>97</v>
      </c>
      <c r="G2565" t="str">
        <f>"2025-02-06 22:31:54.447"</f>
        <v>2025-02-06 22:31:54.447</v>
      </c>
      <c r="H2565" t="s">
        <v>52</v>
      </c>
    </row>
    <row r="2566" spans="1:10" x14ac:dyDescent="0.25">
      <c r="A2566" s="1">
        <v>718</v>
      </c>
      <c r="B2566" t="s">
        <v>56</v>
      </c>
      <c r="C2566">
        <v>23</v>
      </c>
      <c r="D2566">
        <v>1</v>
      </c>
      <c r="E2566" t="s">
        <v>88</v>
      </c>
      <c r="F2566" t="s">
        <v>89</v>
      </c>
      <c r="G2566" t="str">
        <f>"2025-02-06 22:31:54.444"</f>
        <v>2025-02-06 22:31:54.444</v>
      </c>
      <c r="H2566" t="s">
        <v>46</v>
      </c>
    </row>
    <row r="2567" spans="1:10" x14ac:dyDescent="0.25">
      <c r="A2567" s="1">
        <v>719</v>
      </c>
      <c r="B2567" t="s">
        <v>36</v>
      </c>
      <c r="C2567">
        <v>14</v>
      </c>
      <c r="D2567">
        <v>13</v>
      </c>
      <c r="E2567" t="s">
        <v>85</v>
      </c>
      <c r="F2567" t="s">
        <v>86</v>
      </c>
      <c r="G2567" t="str">
        <f>"2025-02-06 22:31:52.398"</f>
        <v>2025-02-06 22:31:52.398</v>
      </c>
      <c r="H2567" t="s">
        <v>25</v>
      </c>
      <c r="I2567">
        <v>8.24</v>
      </c>
      <c r="J2567" t="s">
        <v>28</v>
      </c>
    </row>
    <row r="2568" spans="1:10" x14ac:dyDescent="0.25">
      <c r="A2568" s="1">
        <v>720</v>
      </c>
      <c r="B2568" t="s">
        <v>26</v>
      </c>
      <c r="C2568">
        <v>205</v>
      </c>
      <c r="D2568">
        <v>3</v>
      </c>
      <c r="E2568" t="s">
        <v>90</v>
      </c>
      <c r="F2568" t="s">
        <v>91</v>
      </c>
      <c r="G2568" t="str">
        <f>"2025-02-06 22:31:51.460"</f>
        <v>2025-02-06 22:31:51.460</v>
      </c>
      <c r="H2568" t="s">
        <v>49</v>
      </c>
      <c r="I2568">
        <v>7.33</v>
      </c>
      <c r="J2568" t="s">
        <v>28</v>
      </c>
    </row>
    <row r="2569" spans="1:10" x14ac:dyDescent="0.25">
      <c r="A2569" s="1">
        <v>721</v>
      </c>
      <c r="B2569" t="s">
        <v>36</v>
      </c>
      <c r="C2569">
        <v>79</v>
      </c>
      <c r="D2569">
        <v>9</v>
      </c>
      <c r="E2569" t="s">
        <v>83</v>
      </c>
      <c r="F2569" t="s">
        <v>84</v>
      </c>
      <c r="G2569" t="str">
        <f>"2025-02-06 22:31:51.397"</f>
        <v>2025-02-06 22:31:51.397</v>
      </c>
      <c r="H2569" t="s">
        <v>70</v>
      </c>
      <c r="I2569">
        <v>7.91</v>
      </c>
      <c r="J2569" t="s">
        <v>28</v>
      </c>
    </row>
    <row r="2570" spans="1:10" x14ac:dyDescent="0.25">
      <c r="A2570" s="1">
        <v>722</v>
      </c>
      <c r="B2570" t="s">
        <v>36</v>
      </c>
      <c r="C2570">
        <v>14</v>
      </c>
      <c r="D2570">
        <v>10</v>
      </c>
      <c r="E2570" t="s">
        <v>85</v>
      </c>
      <c r="F2570" t="s">
        <v>87</v>
      </c>
      <c r="G2570" t="str">
        <f>"2025-02-06 22:31:51.344"</f>
        <v>2025-02-06 22:31:51.344</v>
      </c>
      <c r="H2570" t="s">
        <v>25</v>
      </c>
      <c r="I2570">
        <v>8.1199999999999992</v>
      </c>
      <c r="J2570" t="s">
        <v>28</v>
      </c>
    </row>
    <row r="2571" spans="1:10" x14ac:dyDescent="0.25">
      <c r="A2571" s="1">
        <v>723</v>
      </c>
      <c r="B2571" t="s">
        <v>26</v>
      </c>
      <c r="C2571">
        <v>105</v>
      </c>
      <c r="D2571">
        <v>3</v>
      </c>
      <c r="E2571" t="s">
        <v>92</v>
      </c>
      <c r="F2571" t="s">
        <v>91</v>
      </c>
      <c r="G2571" t="str">
        <f>"2025-02-06 22:31:51.000"</f>
        <v>2025-02-06 22:31:51.000</v>
      </c>
      <c r="H2571" t="s">
        <v>52</v>
      </c>
      <c r="I2571">
        <v>8.1199999999999992</v>
      </c>
      <c r="J2571" t="s">
        <v>28</v>
      </c>
    </row>
    <row r="2572" spans="1:10" x14ac:dyDescent="0.25">
      <c r="A2572" s="1">
        <v>724</v>
      </c>
      <c r="B2572" t="s">
        <v>26</v>
      </c>
      <c r="C2572">
        <v>204</v>
      </c>
      <c r="D2572">
        <v>8</v>
      </c>
      <c r="E2572" t="s">
        <v>93</v>
      </c>
      <c r="F2572" t="s">
        <v>94</v>
      </c>
      <c r="G2572" t="str">
        <f>"2025-02-06 22:31:50.823"</f>
        <v>2025-02-06 22:31:50.823</v>
      </c>
      <c r="H2572" t="s">
        <v>49</v>
      </c>
      <c r="I2572">
        <v>8.1199999999999992</v>
      </c>
      <c r="J2572" t="s">
        <v>28</v>
      </c>
    </row>
    <row r="2573" spans="1:10" x14ac:dyDescent="0.25">
      <c r="A2573" s="1">
        <v>725</v>
      </c>
      <c r="B2573" t="s">
        <v>26</v>
      </c>
      <c r="C2573">
        <v>204</v>
      </c>
      <c r="D2573">
        <v>6</v>
      </c>
      <c r="E2573" t="s">
        <v>93</v>
      </c>
      <c r="F2573" t="s">
        <v>95</v>
      </c>
      <c r="G2573" t="str">
        <f>"2025-02-06 22:31:50.819"</f>
        <v>2025-02-06 22:31:50.819</v>
      </c>
      <c r="H2573" t="s">
        <v>49</v>
      </c>
      <c r="I2573">
        <v>8.1199999999999992</v>
      </c>
      <c r="J2573" t="s">
        <v>28</v>
      </c>
    </row>
    <row r="2574" spans="1:10" x14ac:dyDescent="0.25">
      <c r="A2574" s="1">
        <v>726</v>
      </c>
      <c r="B2574" t="s">
        <v>26</v>
      </c>
      <c r="C2574">
        <v>204</v>
      </c>
      <c r="D2574">
        <v>5</v>
      </c>
      <c r="E2574" t="s">
        <v>93</v>
      </c>
      <c r="F2574" t="s">
        <v>96</v>
      </c>
      <c r="G2574" t="str">
        <f>"2025-02-06 22:31:50.814"</f>
        <v>2025-02-06 22:31:50.814</v>
      </c>
      <c r="H2574" t="s">
        <v>49</v>
      </c>
      <c r="I2574">
        <v>8.1199999999999992</v>
      </c>
      <c r="J2574" t="s">
        <v>28</v>
      </c>
    </row>
    <row r="2575" spans="1:10" x14ac:dyDescent="0.25">
      <c r="A2575" s="1">
        <v>727</v>
      </c>
      <c r="B2575" t="s">
        <v>26</v>
      </c>
      <c r="C2575">
        <v>104</v>
      </c>
      <c r="D2575">
        <v>8</v>
      </c>
      <c r="E2575" t="s">
        <v>98</v>
      </c>
      <c r="F2575" t="s">
        <v>94</v>
      </c>
      <c r="G2575" t="str">
        <f>"2025-02-06 22:31:50.809"</f>
        <v>2025-02-06 22:31:50.809</v>
      </c>
      <c r="H2575" t="s">
        <v>52</v>
      </c>
      <c r="I2575">
        <v>8.1199999999999992</v>
      </c>
      <c r="J2575" t="s">
        <v>28</v>
      </c>
    </row>
    <row r="2576" spans="1:10" x14ac:dyDescent="0.25">
      <c r="A2576" s="1">
        <v>728</v>
      </c>
      <c r="B2576" t="s">
        <v>26</v>
      </c>
      <c r="C2576">
        <v>104</v>
      </c>
      <c r="D2576">
        <v>6</v>
      </c>
      <c r="E2576" t="s">
        <v>98</v>
      </c>
      <c r="F2576" t="s">
        <v>95</v>
      </c>
      <c r="G2576" t="str">
        <f>"2025-02-06 22:31:50.805"</f>
        <v>2025-02-06 22:31:50.805</v>
      </c>
      <c r="H2576" t="s">
        <v>52</v>
      </c>
      <c r="I2576">
        <v>8.1199999999999992</v>
      </c>
      <c r="J2576" t="s">
        <v>28</v>
      </c>
    </row>
    <row r="2577" spans="1:10" x14ac:dyDescent="0.25">
      <c r="A2577" s="1">
        <v>729</v>
      </c>
      <c r="B2577" t="s">
        <v>26</v>
      </c>
      <c r="C2577">
        <v>104</v>
      </c>
      <c r="D2577">
        <v>5</v>
      </c>
      <c r="E2577" t="s">
        <v>98</v>
      </c>
      <c r="F2577" t="s">
        <v>96</v>
      </c>
      <c r="G2577" t="str">
        <f>"2025-02-06 22:31:50.800"</f>
        <v>2025-02-06 22:31:50.800</v>
      </c>
      <c r="H2577" t="s">
        <v>52</v>
      </c>
      <c r="I2577">
        <v>8.1199999999999992</v>
      </c>
      <c r="J2577" t="s">
        <v>28</v>
      </c>
    </row>
    <row r="2578" spans="1:10" x14ac:dyDescent="0.25">
      <c r="A2578" s="1">
        <v>730</v>
      </c>
      <c r="B2578" t="s">
        <v>26</v>
      </c>
      <c r="C2578">
        <v>23</v>
      </c>
      <c r="D2578">
        <v>1</v>
      </c>
      <c r="E2578" t="s">
        <v>88</v>
      </c>
      <c r="F2578" t="s">
        <v>89</v>
      </c>
      <c r="G2578" t="str">
        <f>"2025-02-06 22:31:50.524"</f>
        <v>2025-02-06 22:31:50.524</v>
      </c>
      <c r="H2578" t="s">
        <v>46</v>
      </c>
      <c r="I2578">
        <v>8.1199999999999992</v>
      </c>
      <c r="J2578" t="s">
        <v>37</v>
      </c>
    </row>
    <row r="2579" spans="1:10" x14ac:dyDescent="0.25">
      <c r="A2579" s="1">
        <v>731</v>
      </c>
      <c r="B2579" t="s">
        <v>26</v>
      </c>
      <c r="C2579">
        <v>204</v>
      </c>
      <c r="D2579">
        <v>1</v>
      </c>
      <c r="E2579" t="s">
        <v>93</v>
      </c>
      <c r="F2579" t="s">
        <v>97</v>
      </c>
      <c r="G2579" t="str">
        <f>"2025-02-06 22:31:50.485"</f>
        <v>2025-02-06 22:31:50.485</v>
      </c>
      <c r="H2579" t="s">
        <v>49</v>
      </c>
      <c r="I2579">
        <v>8.1300000000000008</v>
      </c>
      <c r="J2579" t="s">
        <v>37</v>
      </c>
    </row>
    <row r="2580" spans="1:10" x14ac:dyDescent="0.25">
      <c r="A2580" s="1">
        <v>732</v>
      </c>
      <c r="B2580" t="s">
        <v>26</v>
      </c>
      <c r="C2580">
        <v>104</v>
      </c>
      <c r="D2580">
        <v>1</v>
      </c>
      <c r="E2580" t="s">
        <v>98</v>
      </c>
      <c r="F2580" t="s">
        <v>97</v>
      </c>
      <c r="G2580" t="str">
        <f>"2025-02-06 22:31:50.480"</f>
        <v>2025-02-06 22:31:50.480</v>
      </c>
      <c r="H2580" t="s">
        <v>52</v>
      </c>
      <c r="I2580">
        <v>8.1300000000000008</v>
      </c>
      <c r="J2580" t="s">
        <v>37</v>
      </c>
    </row>
    <row r="2581" spans="1:10" x14ac:dyDescent="0.25">
      <c r="A2581" s="1">
        <v>733</v>
      </c>
      <c r="B2581" t="s">
        <v>19</v>
      </c>
      <c r="C2581">
        <v>706</v>
      </c>
      <c r="D2581">
        <v>4</v>
      </c>
      <c r="E2581" t="s">
        <v>29</v>
      </c>
      <c r="F2581" t="s">
        <v>53</v>
      </c>
      <c r="G2581" t="str">
        <f>"2025-02-06 22:31:50.365"</f>
        <v>2025-02-06 22:31:50.365</v>
      </c>
      <c r="H2581" t="s">
        <v>21</v>
      </c>
      <c r="I2581">
        <v>8.1300000000000008</v>
      </c>
      <c r="J2581" t="s">
        <v>37</v>
      </c>
    </row>
    <row r="2582" spans="1:10" x14ac:dyDescent="0.25">
      <c r="A2582" s="1">
        <v>734</v>
      </c>
      <c r="B2582" t="s">
        <v>22</v>
      </c>
      <c r="C2582">
        <v>635</v>
      </c>
      <c r="D2582">
        <v>1</v>
      </c>
      <c r="E2582" t="s">
        <v>34</v>
      </c>
      <c r="F2582" t="s">
        <v>35</v>
      </c>
      <c r="G2582" t="str">
        <f>"2025-02-06 10:38:31.677"</f>
        <v>2025-02-06 10:38:31.677</v>
      </c>
      <c r="H2582" t="s">
        <v>21</v>
      </c>
    </row>
    <row r="2583" spans="1:10" x14ac:dyDescent="0.25">
      <c r="A2583" s="1">
        <v>735</v>
      </c>
      <c r="B2583" t="s">
        <v>36</v>
      </c>
      <c r="C2583">
        <v>635</v>
      </c>
      <c r="D2583">
        <v>1</v>
      </c>
      <c r="E2583" t="s">
        <v>34</v>
      </c>
      <c r="F2583" t="s">
        <v>35</v>
      </c>
      <c r="G2583" t="str">
        <f>"2025-02-06 10:35:18.677"</f>
        <v>2025-02-06 10:35:18.677</v>
      </c>
      <c r="H2583" t="s">
        <v>21</v>
      </c>
      <c r="I2583">
        <v>-0.4</v>
      </c>
      <c r="J2583" t="s">
        <v>37</v>
      </c>
    </row>
    <row r="2584" spans="1:10" x14ac:dyDescent="0.25">
      <c r="A2584" s="1">
        <v>736</v>
      </c>
      <c r="B2584" t="s">
        <v>22</v>
      </c>
      <c r="C2584">
        <v>14</v>
      </c>
      <c r="D2584">
        <v>10</v>
      </c>
      <c r="E2584" t="s">
        <v>85</v>
      </c>
      <c r="F2584" t="s">
        <v>87</v>
      </c>
      <c r="G2584" t="str">
        <f>"2025-02-05 20:03:26.078"</f>
        <v>2025-02-05 20:03:26.078</v>
      </c>
      <c r="H2584" t="s">
        <v>25</v>
      </c>
    </row>
    <row r="2585" spans="1:10" x14ac:dyDescent="0.25">
      <c r="A2585" s="1">
        <v>738</v>
      </c>
      <c r="B2585" t="s">
        <v>56</v>
      </c>
      <c r="C2585">
        <v>23</v>
      </c>
      <c r="D2585">
        <v>1</v>
      </c>
      <c r="E2585" t="s">
        <v>88</v>
      </c>
      <c r="F2585" t="s">
        <v>89</v>
      </c>
      <c r="G2585" t="str">
        <f>"2025-02-05 20:03:25.477"</f>
        <v>2025-02-05 20:03:25.477</v>
      </c>
      <c r="H2585" t="s">
        <v>46</v>
      </c>
    </row>
    <row r="2586" spans="1:10" x14ac:dyDescent="0.25">
      <c r="A2586" s="1">
        <v>739</v>
      </c>
      <c r="B2586" t="s">
        <v>40</v>
      </c>
      <c r="C2586">
        <v>205</v>
      </c>
      <c r="D2586">
        <v>3</v>
      </c>
      <c r="E2586" t="s">
        <v>90</v>
      </c>
      <c r="F2586" t="s">
        <v>91</v>
      </c>
      <c r="G2586" t="str">
        <f>"2025-02-05 20:03:15.536"</f>
        <v>2025-02-05 20:03:15.536</v>
      </c>
      <c r="H2586" t="s">
        <v>49</v>
      </c>
    </row>
    <row r="2587" spans="1:10" x14ac:dyDescent="0.25">
      <c r="A2587" s="1">
        <v>740</v>
      </c>
      <c r="B2587" t="s">
        <v>40</v>
      </c>
      <c r="C2587">
        <v>105</v>
      </c>
      <c r="D2587">
        <v>3</v>
      </c>
      <c r="E2587" t="s">
        <v>92</v>
      </c>
      <c r="F2587" t="s">
        <v>91</v>
      </c>
      <c r="G2587" t="str">
        <f>"2025-02-05 20:03:15.437"</f>
        <v>2025-02-05 20:03:15.437</v>
      </c>
      <c r="H2587" t="s">
        <v>52</v>
      </c>
    </row>
    <row r="2588" spans="1:10" x14ac:dyDescent="0.25">
      <c r="A2588" s="1">
        <v>741</v>
      </c>
      <c r="B2588" t="s">
        <v>26</v>
      </c>
      <c r="C2588">
        <v>205</v>
      </c>
      <c r="D2588">
        <v>3</v>
      </c>
      <c r="E2588" t="s">
        <v>90</v>
      </c>
      <c r="F2588" t="s">
        <v>91</v>
      </c>
      <c r="G2588" t="str">
        <f>"2025-02-05 20:03:10.205"</f>
        <v>2025-02-05 20:03:10.205</v>
      </c>
      <c r="H2588" t="s">
        <v>49</v>
      </c>
      <c r="I2588">
        <v>13.06</v>
      </c>
      <c r="J2588" t="s">
        <v>28</v>
      </c>
    </row>
    <row r="2589" spans="1:10" x14ac:dyDescent="0.25">
      <c r="A2589" s="1">
        <v>742</v>
      </c>
      <c r="B2589" t="s">
        <v>26</v>
      </c>
      <c r="C2589">
        <v>105</v>
      </c>
      <c r="D2589">
        <v>3</v>
      </c>
      <c r="E2589" t="s">
        <v>92</v>
      </c>
      <c r="F2589" t="s">
        <v>91</v>
      </c>
      <c r="G2589" t="str">
        <f>"2025-02-05 20:03:10.200"</f>
        <v>2025-02-05 20:03:10.200</v>
      </c>
      <c r="H2589" t="s">
        <v>52</v>
      </c>
      <c r="I2589">
        <v>13.06</v>
      </c>
      <c r="J2589" t="s">
        <v>28</v>
      </c>
    </row>
    <row r="2590" spans="1:10" x14ac:dyDescent="0.25">
      <c r="A2590" s="1">
        <v>743</v>
      </c>
      <c r="B2590" t="s">
        <v>40</v>
      </c>
      <c r="C2590">
        <v>205</v>
      </c>
      <c r="D2590">
        <v>3</v>
      </c>
      <c r="E2590" t="s">
        <v>90</v>
      </c>
      <c r="F2590" t="s">
        <v>91</v>
      </c>
      <c r="G2590" t="str">
        <f>"2025-02-05 20:03:10.137"</f>
        <v>2025-02-05 20:03:10.137</v>
      </c>
      <c r="H2590" t="s">
        <v>49</v>
      </c>
    </row>
    <row r="2591" spans="1:10" x14ac:dyDescent="0.25">
      <c r="A2591" s="1">
        <v>744</v>
      </c>
      <c r="B2591" t="s">
        <v>40</v>
      </c>
      <c r="C2591">
        <v>105</v>
      </c>
      <c r="D2591">
        <v>3</v>
      </c>
      <c r="E2591" t="s">
        <v>92</v>
      </c>
      <c r="F2591" t="s">
        <v>91</v>
      </c>
      <c r="G2591" t="str">
        <f>"2025-02-05 20:03:10.036"</f>
        <v>2025-02-05 20:03:10.036</v>
      </c>
      <c r="H2591" t="s">
        <v>52</v>
      </c>
    </row>
    <row r="2592" spans="1:10" x14ac:dyDescent="0.25">
      <c r="A2592" s="1">
        <v>745</v>
      </c>
      <c r="B2592" t="s">
        <v>40</v>
      </c>
      <c r="C2592">
        <v>204</v>
      </c>
      <c r="D2592">
        <v>8</v>
      </c>
      <c r="E2592" t="s">
        <v>93</v>
      </c>
      <c r="F2592" t="s">
        <v>94</v>
      </c>
      <c r="G2592" t="str">
        <f>"2025-02-05 20:03:09.962"</f>
        <v>2025-02-05 20:03:09.962</v>
      </c>
      <c r="H2592" t="s">
        <v>49</v>
      </c>
    </row>
    <row r="2593" spans="1:10" x14ac:dyDescent="0.25">
      <c r="A2593" s="1">
        <v>746</v>
      </c>
      <c r="B2593" t="s">
        <v>40</v>
      </c>
      <c r="C2593">
        <v>204</v>
      </c>
      <c r="D2593">
        <v>6</v>
      </c>
      <c r="E2593" t="s">
        <v>93</v>
      </c>
      <c r="F2593" t="s">
        <v>95</v>
      </c>
      <c r="G2593" t="str">
        <f>"2025-02-05 20:03:09.958"</f>
        <v>2025-02-05 20:03:09.958</v>
      </c>
      <c r="H2593" t="s">
        <v>49</v>
      </c>
    </row>
    <row r="2594" spans="1:10" x14ac:dyDescent="0.25">
      <c r="A2594" s="1">
        <v>747</v>
      </c>
      <c r="B2594" t="s">
        <v>40</v>
      </c>
      <c r="C2594">
        <v>204</v>
      </c>
      <c r="D2594">
        <v>5</v>
      </c>
      <c r="E2594" t="s">
        <v>93</v>
      </c>
      <c r="F2594" t="s">
        <v>96</v>
      </c>
      <c r="G2594" t="str">
        <f>"2025-02-05 20:03:09.952"</f>
        <v>2025-02-05 20:03:09.952</v>
      </c>
      <c r="H2594" t="s">
        <v>49</v>
      </c>
    </row>
    <row r="2595" spans="1:10" x14ac:dyDescent="0.25">
      <c r="A2595" s="1">
        <v>748</v>
      </c>
      <c r="B2595" t="s">
        <v>40</v>
      </c>
      <c r="C2595">
        <v>204</v>
      </c>
      <c r="D2595">
        <v>1</v>
      </c>
      <c r="E2595" t="s">
        <v>93</v>
      </c>
      <c r="F2595" t="s">
        <v>97</v>
      </c>
      <c r="G2595" t="str">
        <f>"2025-02-05 20:03:09.949"</f>
        <v>2025-02-05 20:03:09.949</v>
      </c>
      <c r="H2595" t="s">
        <v>49</v>
      </c>
    </row>
    <row r="2596" spans="1:10" x14ac:dyDescent="0.25">
      <c r="A2596" s="1">
        <v>749</v>
      </c>
      <c r="B2596" t="s">
        <v>40</v>
      </c>
      <c r="C2596">
        <v>104</v>
      </c>
      <c r="D2596">
        <v>8</v>
      </c>
      <c r="E2596" t="s">
        <v>98</v>
      </c>
      <c r="F2596" t="s">
        <v>94</v>
      </c>
      <c r="G2596" t="str">
        <f>"2025-02-05 20:03:09.947"</f>
        <v>2025-02-05 20:03:09.947</v>
      </c>
      <c r="H2596" t="s">
        <v>52</v>
      </c>
    </row>
    <row r="2597" spans="1:10" x14ac:dyDescent="0.25">
      <c r="A2597" s="1">
        <v>750</v>
      </c>
      <c r="B2597" t="s">
        <v>40</v>
      </c>
      <c r="C2597">
        <v>104</v>
      </c>
      <c r="D2597">
        <v>6</v>
      </c>
      <c r="E2597" t="s">
        <v>98</v>
      </c>
      <c r="F2597" t="s">
        <v>95</v>
      </c>
      <c r="G2597" t="str">
        <f>"2025-02-05 20:03:09.944"</f>
        <v>2025-02-05 20:03:09.944</v>
      </c>
      <c r="H2597" t="s">
        <v>52</v>
      </c>
    </row>
    <row r="2598" spans="1:10" x14ac:dyDescent="0.25">
      <c r="A2598" s="1">
        <v>751</v>
      </c>
      <c r="B2598" t="s">
        <v>40</v>
      </c>
      <c r="C2598">
        <v>104</v>
      </c>
      <c r="D2598">
        <v>5</v>
      </c>
      <c r="E2598" t="s">
        <v>98</v>
      </c>
      <c r="F2598" t="s">
        <v>96</v>
      </c>
      <c r="G2598" t="str">
        <f>"2025-02-05 20:03:09.939"</f>
        <v>2025-02-05 20:03:09.939</v>
      </c>
      <c r="H2598" t="s">
        <v>52</v>
      </c>
    </row>
    <row r="2599" spans="1:10" x14ac:dyDescent="0.25">
      <c r="A2599" s="1">
        <v>752</v>
      </c>
      <c r="B2599" t="s">
        <v>40</v>
      </c>
      <c r="C2599">
        <v>104</v>
      </c>
      <c r="D2599">
        <v>1</v>
      </c>
      <c r="E2599" t="s">
        <v>98</v>
      </c>
      <c r="F2599" t="s">
        <v>97</v>
      </c>
      <c r="G2599" t="str">
        <f>"2025-02-05 20:03:09.937"</f>
        <v>2025-02-05 20:03:09.937</v>
      </c>
      <c r="H2599" t="s">
        <v>52</v>
      </c>
    </row>
    <row r="2600" spans="1:10" x14ac:dyDescent="0.25">
      <c r="A2600" s="1">
        <v>754</v>
      </c>
      <c r="B2600" t="s">
        <v>36</v>
      </c>
      <c r="C2600">
        <v>14</v>
      </c>
      <c r="D2600">
        <v>10</v>
      </c>
      <c r="E2600" t="s">
        <v>85</v>
      </c>
      <c r="F2600" t="s">
        <v>87</v>
      </c>
      <c r="G2600" t="str">
        <f>"2025-02-05 20:03:05.024"</f>
        <v>2025-02-05 20:03:05.024</v>
      </c>
      <c r="H2600" t="s">
        <v>25</v>
      </c>
      <c r="I2600">
        <v>16.149999999999999</v>
      </c>
      <c r="J2600" t="s">
        <v>27</v>
      </c>
    </row>
    <row r="2601" spans="1:10" x14ac:dyDescent="0.25">
      <c r="A2601" s="1">
        <v>755</v>
      </c>
      <c r="B2601" t="s">
        <v>26</v>
      </c>
      <c r="C2601">
        <v>205</v>
      </c>
      <c r="D2601">
        <v>3</v>
      </c>
      <c r="E2601" t="s">
        <v>90</v>
      </c>
      <c r="F2601" t="s">
        <v>91</v>
      </c>
      <c r="G2601" t="str">
        <f>"2025-02-05 20:03:04.705"</f>
        <v>2025-02-05 20:03:04.705</v>
      </c>
      <c r="H2601" t="s">
        <v>49</v>
      </c>
      <c r="I2601">
        <v>16.18</v>
      </c>
      <c r="J2601" t="s">
        <v>27</v>
      </c>
    </row>
    <row r="2602" spans="1:10" x14ac:dyDescent="0.25">
      <c r="A2602" s="1">
        <v>756</v>
      </c>
      <c r="B2602" t="s">
        <v>26</v>
      </c>
      <c r="C2602">
        <v>105</v>
      </c>
      <c r="D2602">
        <v>3</v>
      </c>
      <c r="E2602" t="s">
        <v>92</v>
      </c>
      <c r="F2602" t="s">
        <v>91</v>
      </c>
      <c r="G2602" t="str">
        <f>"2025-02-05 20:03:04.700"</f>
        <v>2025-02-05 20:03:04.700</v>
      </c>
      <c r="H2602" t="s">
        <v>52</v>
      </c>
      <c r="I2602">
        <v>16.18</v>
      </c>
      <c r="J2602" t="s">
        <v>27</v>
      </c>
    </row>
    <row r="2603" spans="1:10" x14ac:dyDescent="0.25">
      <c r="A2603" s="1">
        <v>757</v>
      </c>
      <c r="B2603" t="s">
        <v>26</v>
      </c>
      <c r="C2603">
        <v>104</v>
      </c>
      <c r="D2603">
        <v>8</v>
      </c>
      <c r="E2603" t="s">
        <v>98</v>
      </c>
      <c r="F2603" t="s">
        <v>94</v>
      </c>
      <c r="G2603" t="str">
        <f>"2025-02-05 20:03:04.509"</f>
        <v>2025-02-05 20:03:04.509</v>
      </c>
      <c r="H2603" t="s">
        <v>52</v>
      </c>
      <c r="I2603">
        <v>16.21</v>
      </c>
      <c r="J2603" t="s">
        <v>27</v>
      </c>
    </row>
    <row r="2604" spans="1:10" x14ac:dyDescent="0.25">
      <c r="A2604" s="1">
        <v>758</v>
      </c>
      <c r="B2604" t="s">
        <v>26</v>
      </c>
      <c r="C2604">
        <v>104</v>
      </c>
      <c r="D2604">
        <v>6</v>
      </c>
      <c r="E2604" t="s">
        <v>98</v>
      </c>
      <c r="F2604" t="s">
        <v>95</v>
      </c>
      <c r="G2604" t="str">
        <f>"2025-02-05 20:03:04.505"</f>
        <v>2025-02-05 20:03:04.505</v>
      </c>
      <c r="H2604" t="s">
        <v>52</v>
      </c>
      <c r="I2604">
        <v>16.21</v>
      </c>
      <c r="J2604" t="s">
        <v>27</v>
      </c>
    </row>
    <row r="2605" spans="1:10" x14ac:dyDescent="0.25">
      <c r="A2605" s="1">
        <v>759</v>
      </c>
      <c r="B2605" t="s">
        <v>26</v>
      </c>
      <c r="C2605">
        <v>104</v>
      </c>
      <c r="D2605">
        <v>5</v>
      </c>
      <c r="E2605" t="s">
        <v>98</v>
      </c>
      <c r="F2605" t="s">
        <v>96</v>
      </c>
      <c r="G2605" t="str">
        <f>"2025-02-05 20:03:04.500"</f>
        <v>2025-02-05 20:03:04.500</v>
      </c>
      <c r="H2605" t="s">
        <v>52</v>
      </c>
      <c r="I2605">
        <v>16.21</v>
      </c>
      <c r="J2605" t="s">
        <v>27</v>
      </c>
    </row>
    <row r="2606" spans="1:10" x14ac:dyDescent="0.25">
      <c r="A2606" s="1">
        <v>760</v>
      </c>
      <c r="B2606" t="s">
        <v>26</v>
      </c>
      <c r="C2606">
        <v>204</v>
      </c>
      <c r="D2606">
        <v>8</v>
      </c>
      <c r="E2606" t="s">
        <v>93</v>
      </c>
      <c r="F2606" t="s">
        <v>94</v>
      </c>
      <c r="G2606" t="str">
        <f>"2025-02-05 20:03:04.489"</f>
        <v>2025-02-05 20:03:04.489</v>
      </c>
      <c r="H2606" t="s">
        <v>49</v>
      </c>
      <c r="I2606">
        <v>16.21</v>
      </c>
      <c r="J2606" t="s">
        <v>27</v>
      </c>
    </row>
    <row r="2607" spans="1:10" x14ac:dyDescent="0.25">
      <c r="A2607" s="1">
        <v>761</v>
      </c>
      <c r="B2607" t="s">
        <v>26</v>
      </c>
      <c r="C2607">
        <v>204</v>
      </c>
      <c r="D2607">
        <v>6</v>
      </c>
      <c r="E2607" t="s">
        <v>93</v>
      </c>
      <c r="F2607" t="s">
        <v>95</v>
      </c>
      <c r="G2607" t="str">
        <f>"2025-02-05 20:03:04.485"</f>
        <v>2025-02-05 20:03:04.485</v>
      </c>
      <c r="H2607" t="s">
        <v>49</v>
      </c>
      <c r="I2607">
        <v>16.21</v>
      </c>
      <c r="J2607" t="s">
        <v>27</v>
      </c>
    </row>
    <row r="2608" spans="1:10" x14ac:dyDescent="0.25">
      <c r="A2608" s="1">
        <v>762</v>
      </c>
      <c r="B2608" t="s">
        <v>26</v>
      </c>
      <c r="C2608">
        <v>204</v>
      </c>
      <c r="D2608">
        <v>5</v>
      </c>
      <c r="E2608" t="s">
        <v>93</v>
      </c>
      <c r="F2608" t="s">
        <v>96</v>
      </c>
      <c r="G2608" t="str">
        <f>"2025-02-05 20:03:04.480"</f>
        <v>2025-02-05 20:03:04.480</v>
      </c>
      <c r="H2608" t="s">
        <v>49</v>
      </c>
      <c r="I2608">
        <v>16.21</v>
      </c>
      <c r="J2608" t="s">
        <v>27</v>
      </c>
    </row>
    <row r="2609" spans="1:10" x14ac:dyDescent="0.25">
      <c r="A2609" s="1">
        <v>763</v>
      </c>
      <c r="B2609" t="s">
        <v>26</v>
      </c>
      <c r="C2609">
        <v>23</v>
      </c>
      <c r="D2609">
        <v>1</v>
      </c>
      <c r="E2609" t="s">
        <v>88</v>
      </c>
      <c r="F2609" t="s">
        <v>89</v>
      </c>
      <c r="G2609" t="str">
        <f>"2025-02-05 20:03:04.257"</f>
        <v>2025-02-05 20:03:04.257</v>
      </c>
      <c r="H2609" t="s">
        <v>46</v>
      </c>
      <c r="I2609">
        <v>16.27</v>
      </c>
      <c r="J2609" t="s">
        <v>27</v>
      </c>
    </row>
    <row r="2610" spans="1:10" x14ac:dyDescent="0.25">
      <c r="A2610" s="1">
        <v>764</v>
      </c>
      <c r="B2610" t="s">
        <v>26</v>
      </c>
      <c r="C2610">
        <v>104</v>
      </c>
      <c r="D2610">
        <v>1</v>
      </c>
      <c r="E2610" t="s">
        <v>98</v>
      </c>
      <c r="F2610" t="s">
        <v>97</v>
      </c>
      <c r="G2610" t="str">
        <f>"2025-02-05 20:03:04.180"</f>
        <v>2025-02-05 20:03:04.180</v>
      </c>
      <c r="H2610" t="s">
        <v>52</v>
      </c>
      <c r="I2610">
        <v>16.309999999999999</v>
      </c>
      <c r="J2610" t="s">
        <v>27</v>
      </c>
    </row>
    <row r="2611" spans="1:10" x14ac:dyDescent="0.25">
      <c r="A2611" s="1">
        <v>765</v>
      </c>
      <c r="B2611" t="s">
        <v>26</v>
      </c>
      <c r="C2611">
        <v>204</v>
      </c>
      <c r="D2611">
        <v>1</v>
      </c>
      <c r="E2611" t="s">
        <v>93</v>
      </c>
      <c r="F2611" t="s">
        <v>97</v>
      </c>
      <c r="G2611" t="str">
        <f>"2025-02-05 20:03:04.160"</f>
        <v>2025-02-05 20:03:04.160</v>
      </c>
      <c r="H2611" t="s">
        <v>49</v>
      </c>
      <c r="I2611">
        <v>16.32</v>
      </c>
      <c r="J2611" t="s">
        <v>27</v>
      </c>
    </row>
    <row r="2612" spans="1:10" x14ac:dyDescent="0.25">
      <c r="A2612" s="1">
        <v>766</v>
      </c>
      <c r="B2612" t="s">
        <v>19</v>
      </c>
      <c r="C2612">
        <v>706</v>
      </c>
      <c r="D2612">
        <v>4</v>
      </c>
      <c r="E2612" t="s">
        <v>29</v>
      </c>
      <c r="F2612" t="s">
        <v>53</v>
      </c>
      <c r="G2612" t="str">
        <f>"2025-02-05 20:03:04.055"</f>
        <v>2025-02-05 20:03:04.055</v>
      </c>
      <c r="H2612" t="s">
        <v>21</v>
      </c>
      <c r="I2612">
        <v>16.37</v>
      </c>
      <c r="J2612" t="s">
        <v>27</v>
      </c>
    </row>
    <row r="2613" spans="1:10" x14ac:dyDescent="0.25">
      <c r="A2613" s="1">
        <v>767</v>
      </c>
      <c r="B2613" t="s">
        <v>56</v>
      </c>
      <c r="C2613">
        <v>33</v>
      </c>
      <c r="D2613">
        <v>1</v>
      </c>
      <c r="E2613" t="s">
        <v>76</v>
      </c>
      <c r="F2613" t="s">
        <v>77</v>
      </c>
      <c r="G2613" t="str">
        <f>"2025-02-05 11:33:59.957"</f>
        <v>2025-02-05 11:33:59.957</v>
      </c>
      <c r="H2613" t="s">
        <v>78</v>
      </c>
    </row>
    <row r="2614" spans="1:10" x14ac:dyDescent="0.25">
      <c r="A2614" s="1">
        <v>768</v>
      </c>
      <c r="B2614" t="s">
        <v>26</v>
      </c>
      <c r="C2614">
        <v>33</v>
      </c>
      <c r="D2614">
        <v>1</v>
      </c>
      <c r="E2614" t="s">
        <v>76</v>
      </c>
      <c r="F2614" t="s">
        <v>77</v>
      </c>
      <c r="G2614" t="str">
        <f>"2025-02-05 11:33:45.276"</f>
        <v>2025-02-05 11:33:45.276</v>
      </c>
      <c r="H2614" t="s">
        <v>78</v>
      </c>
      <c r="I2614">
        <v>7.61</v>
      </c>
      <c r="J2614" t="s">
        <v>37</v>
      </c>
    </row>
    <row r="2615" spans="1:10" x14ac:dyDescent="0.25">
      <c r="A2615" s="1">
        <v>771</v>
      </c>
      <c r="B2615" t="s">
        <v>19</v>
      </c>
      <c r="C2615">
        <v>782</v>
      </c>
      <c r="D2615">
        <v>7</v>
      </c>
      <c r="E2615" t="s">
        <v>62</v>
      </c>
      <c r="F2615" t="s">
        <v>63</v>
      </c>
      <c r="G2615" t="str">
        <f>"2025-02-04 16:40:54.167"</f>
        <v>2025-02-04 16:40:54.167</v>
      </c>
      <c r="H2615" t="s">
        <v>21</v>
      </c>
      <c r="I2615">
        <v>0</v>
      </c>
      <c r="J2615" t="s">
        <v>28</v>
      </c>
    </row>
    <row r="2616" spans="1:10" x14ac:dyDescent="0.25">
      <c r="A2616" s="1">
        <v>774</v>
      </c>
      <c r="B2616" t="s">
        <v>22</v>
      </c>
      <c r="C2616">
        <v>79</v>
      </c>
      <c r="D2616">
        <v>9</v>
      </c>
      <c r="E2616" t="s">
        <v>83</v>
      </c>
      <c r="F2616" t="s">
        <v>84</v>
      </c>
      <c r="G2616" t="str">
        <f>"2025-02-04 16:40:54.158"</f>
        <v>2025-02-04 16:40:54.158</v>
      </c>
      <c r="H2616" t="s">
        <v>70</v>
      </c>
    </row>
    <row r="2617" spans="1:10" x14ac:dyDescent="0.25">
      <c r="A2617" s="1">
        <v>775</v>
      </c>
      <c r="B2617" t="s">
        <v>19</v>
      </c>
      <c r="C2617">
        <v>782</v>
      </c>
      <c r="D2617">
        <v>7</v>
      </c>
      <c r="E2617" t="s">
        <v>62</v>
      </c>
      <c r="F2617" t="s">
        <v>63</v>
      </c>
      <c r="G2617" t="str">
        <f>"2025-02-04 16:40:54.157"</f>
        <v>2025-02-04 16:40:54.157</v>
      </c>
      <c r="H2617" t="s">
        <v>21</v>
      </c>
      <c r="I2617">
        <v>0</v>
      </c>
      <c r="J2617" t="s">
        <v>28</v>
      </c>
    </row>
    <row r="2618" spans="1:10" x14ac:dyDescent="0.25">
      <c r="A2618" s="1">
        <v>776</v>
      </c>
      <c r="B2618" t="s">
        <v>19</v>
      </c>
      <c r="C2618">
        <v>700</v>
      </c>
      <c r="D2618">
        <v>0</v>
      </c>
      <c r="E2618" t="s">
        <v>20</v>
      </c>
      <c r="F2618" t="s">
        <v>20</v>
      </c>
      <c r="G2618" t="str">
        <f>"2025-02-04 16:40:03.105"</f>
        <v>2025-02-04 16:40:03.105</v>
      </c>
      <c r="H2618" t="s">
        <v>21</v>
      </c>
      <c r="I2618">
        <v>0</v>
      </c>
      <c r="J2618" t="s">
        <v>33</v>
      </c>
    </row>
    <row r="2619" spans="1:10" x14ac:dyDescent="0.25">
      <c r="A2619" s="1">
        <v>777</v>
      </c>
      <c r="B2619" t="s">
        <v>22</v>
      </c>
      <c r="C2619">
        <v>14</v>
      </c>
      <c r="D2619">
        <v>10</v>
      </c>
      <c r="E2619" t="s">
        <v>85</v>
      </c>
      <c r="F2619" t="s">
        <v>87</v>
      </c>
      <c r="G2619" t="str">
        <f>"2025-02-04 16:15:28.584"</f>
        <v>2025-02-04 16:15:28.584</v>
      </c>
      <c r="H2619" t="s">
        <v>25</v>
      </c>
    </row>
    <row r="2620" spans="1:10" x14ac:dyDescent="0.25">
      <c r="A2620" s="1">
        <v>778</v>
      </c>
      <c r="B2620" t="s">
        <v>56</v>
      </c>
      <c r="C2620">
        <v>23</v>
      </c>
      <c r="D2620">
        <v>1</v>
      </c>
      <c r="E2620" t="s">
        <v>88</v>
      </c>
      <c r="F2620" t="s">
        <v>89</v>
      </c>
      <c r="G2620" t="str">
        <f>"2025-02-04 16:15:14.524"</f>
        <v>2025-02-04 16:15:14.524</v>
      </c>
      <c r="H2620" t="s">
        <v>46</v>
      </c>
    </row>
    <row r="2621" spans="1:10" x14ac:dyDescent="0.25">
      <c r="A2621" s="1">
        <v>779</v>
      </c>
      <c r="B2621" t="s">
        <v>40</v>
      </c>
      <c r="C2621">
        <v>205</v>
      </c>
      <c r="D2621">
        <v>3</v>
      </c>
      <c r="E2621" t="s">
        <v>90</v>
      </c>
      <c r="F2621" t="s">
        <v>91</v>
      </c>
      <c r="G2621" t="str">
        <f>"2025-02-04 16:15:12.837"</f>
        <v>2025-02-04 16:15:12.837</v>
      </c>
      <c r="H2621" t="s">
        <v>49</v>
      </c>
    </row>
    <row r="2622" spans="1:10" x14ac:dyDescent="0.25">
      <c r="A2622" s="1">
        <v>780</v>
      </c>
      <c r="B2622" t="s">
        <v>40</v>
      </c>
      <c r="C2622">
        <v>105</v>
      </c>
      <c r="D2622">
        <v>3</v>
      </c>
      <c r="E2622" t="s">
        <v>92</v>
      </c>
      <c r="F2622" t="s">
        <v>91</v>
      </c>
      <c r="G2622" t="str">
        <f>"2025-02-04 16:15:12.137"</f>
        <v>2025-02-04 16:15:12.137</v>
      </c>
      <c r="H2622" t="s">
        <v>52</v>
      </c>
    </row>
    <row r="2623" spans="1:10" x14ac:dyDescent="0.25">
      <c r="A2623" s="1">
        <v>781</v>
      </c>
      <c r="B2623" t="s">
        <v>40</v>
      </c>
      <c r="C2623">
        <v>204</v>
      </c>
      <c r="D2623">
        <v>8</v>
      </c>
      <c r="E2623" t="s">
        <v>93</v>
      </c>
      <c r="F2623" t="s">
        <v>94</v>
      </c>
      <c r="G2623" t="str">
        <f>"2025-02-04 16:15:11.964"</f>
        <v>2025-02-04 16:15:11.964</v>
      </c>
      <c r="H2623" t="s">
        <v>49</v>
      </c>
    </row>
    <row r="2624" spans="1:10" x14ac:dyDescent="0.25">
      <c r="A2624" s="1">
        <v>782</v>
      </c>
      <c r="B2624" t="s">
        <v>40</v>
      </c>
      <c r="C2624">
        <v>204</v>
      </c>
      <c r="D2624">
        <v>6</v>
      </c>
      <c r="E2624" t="s">
        <v>93</v>
      </c>
      <c r="F2624" t="s">
        <v>95</v>
      </c>
      <c r="G2624" t="str">
        <f>"2025-02-04 16:15:11.957"</f>
        <v>2025-02-04 16:15:11.957</v>
      </c>
      <c r="H2624" t="s">
        <v>49</v>
      </c>
    </row>
    <row r="2625" spans="1:10" x14ac:dyDescent="0.25">
      <c r="A2625" s="1">
        <v>783</v>
      </c>
      <c r="B2625" t="s">
        <v>40</v>
      </c>
      <c r="C2625">
        <v>204</v>
      </c>
      <c r="D2625">
        <v>5</v>
      </c>
      <c r="E2625" t="s">
        <v>93</v>
      </c>
      <c r="F2625" t="s">
        <v>96</v>
      </c>
      <c r="G2625" t="str">
        <f>"2025-02-04 16:15:11.954"</f>
        <v>2025-02-04 16:15:11.954</v>
      </c>
      <c r="H2625" t="s">
        <v>49</v>
      </c>
    </row>
    <row r="2626" spans="1:10" x14ac:dyDescent="0.25">
      <c r="A2626" s="1">
        <v>784</v>
      </c>
      <c r="B2626" t="s">
        <v>40</v>
      </c>
      <c r="C2626">
        <v>204</v>
      </c>
      <c r="D2626">
        <v>1</v>
      </c>
      <c r="E2626" t="s">
        <v>93</v>
      </c>
      <c r="F2626" t="s">
        <v>97</v>
      </c>
      <c r="G2626" t="str">
        <f>"2025-02-04 16:15:11.952"</f>
        <v>2025-02-04 16:15:11.952</v>
      </c>
      <c r="H2626" t="s">
        <v>49</v>
      </c>
    </row>
    <row r="2627" spans="1:10" x14ac:dyDescent="0.25">
      <c r="A2627" s="1">
        <v>785</v>
      </c>
      <c r="B2627" t="s">
        <v>40</v>
      </c>
      <c r="C2627">
        <v>104</v>
      </c>
      <c r="D2627">
        <v>8</v>
      </c>
      <c r="E2627" t="s">
        <v>98</v>
      </c>
      <c r="F2627" t="s">
        <v>94</v>
      </c>
      <c r="G2627" t="str">
        <f>"2025-02-04 16:15:11.948"</f>
        <v>2025-02-04 16:15:11.948</v>
      </c>
      <c r="H2627" t="s">
        <v>52</v>
      </c>
    </row>
    <row r="2628" spans="1:10" x14ac:dyDescent="0.25">
      <c r="A2628" s="1">
        <v>786</v>
      </c>
      <c r="B2628" t="s">
        <v>40</v>
      </c>
      <c r="C2628">
        <v>104</v>
      </c>
      <c r="D2628">
        <v>6</v>
      </c>
      <c r="E2628" t="s">
        <v>98</v>
      </c>
      <c r="F2628" t="s">
        <v>95</v>
      </c>
      <c r="G2628" t="str">
        <f>"2025-02-04 16:15:11.946"</f>
        <v>2025-02-04 16:15:11.946</v>
      </c>
      <c r="H2628" t="s">
        <v>52</v>
      </c>
    </row>
    <row r="2629" spans="1:10" x14ac:dyDescent="0.25">
      <c r="A2629" s="1">
        <v>787</v>
      </c>
      <c r="B2629" t="s">
        <v>40</v>
      </c>
      <c r="C2629">
        <v>104</v>
      </c>
      <c r="D2629">
        <v>5</v>
      </c>
      <c r="E2629" t="s">
        <v>98</v>
      </c>
      <c r="F2629" t="s">
        <v>96</v>
      </c>
      <c r="G2629" t="str">
        <f>"2025-02-04 16:15:11.940"</f>
        <v>2025-02-04 16:15:11.940</v>
      </c>
      <c r="H2629" t="s">
        <v>52</v>
      </c>
    </row>
    <row r="2630" spans="1:10" x14ac:dyDescent="0.25">
      <c r="A2630" s="1">
        <v>788</v>
      </c>
      <c r="B2630" t="s">
        <v>40</v>
      </c>
      <c r="C2630">
        <v>104</v>
      </c>
      <c r="D2630">
        <v>1</v>
      </c>
      <c r="E2630" t="s">
        <v>98</v>
      </c>
      <c r="F2630" t="s">
        <v>97</v>
      </c>
      <c r="G2630" t="str">
        <f>"2025-02-04 16:15:11.937"</f>
        <v>2025-02-04 16:15:11.937</v>
      </c>
      <c r="H2630" t="s">
        <v>52</v>
      </c>
    </row>
    <row r="2631" spans="1:10" x14ac:dyDescent="0.25">
      <c r="A2631" s="1">
        <v>789</v>
      </c>
      <c r="B2631" t="s">
        <v>36</v>
      </c>
      <c r="C2631">
        <v>79</v>
      </c>
      <c r="D2631">
        <v>9</v>
      </c>
      <c r="E2631" t="s">
        <v>83</v>
      </c>
      <c r="F2631" t="s">
        <v>84</v>
      </c>
      <c r="G2631" t="str">
        <f>"2025-02-04 16:15:07.532"</f>
        <v>2025-02-04 16:15:07.532</v>
      </c>
      <c r="H2631" t="s">
        <v>70</v>
      </c>
      <c r="I2631">
        <v>10.93</v>
      </c>
      <c r="J2631" t="s">
        <v>28</v>
      </c>
    </row>
    <row r="2632" spans="1:10" x14ac:dyDescent="0.25">
      <c r="A2632" s="1">
        <v>790</v>
      </c>
      <c r="B2632" t="s">
        <v>36</v>
      </c>
      <c r="C2632">
        <v>14</v>
      </c>
      <c r="D2632">
        <v>10</v>
      </c>
      <c r="E2632" t="s">
        <v>85</v>
      </c>
      <c r="F2632" t="s">
        <v>87</v>
      </c>
      <c r="G2632" t="str">
        <f>"2025-02-04 16:15:07.432"</f>
        <v>2025-02-04 16:15:07.432</v>
      </c>
      <c r="H2632" t="s">
        <v>25</v>
      </c>
      <c r="I2632">
        <v>11.22</v>
      </c>
      <c r="J2632" t="s">
        <v>28</v>
      </c>
    </row>
    <row r="2633" spans="1:10" x14ac:dyDescent="0.25">
      <c r="A2633" s="1">
        <v>791</v>
      </c>
      <c r="B2633" t="s">
        <v>26</v>
      </c>
      <c r="C2633">
        <v>205</v>
      </c>
      <c r="D2633">
        <v>3</v>
      </c>
      <c r="E2633" t="s">
        <v>90</v>
      </c>
      <c r="F2633" t="s">
        <v>91</v>
      </c>
      <c r="G2633" t="str">
        <f>"2025-02-04 16:15:07.118"</f>
        <v>2025-02-04 16:15:07.118</v>
      </c>
      <c r="H2633" t="s">
        <v>49</v>
      </c>
      <c r="I2633">
        <v>11.2</v>
      </c>
      <c r="J2633" t="s">
        <v>28</v>
      </c>
    </row>
    <row r="2634" spans="1:10" x14ac:dyDescent="0.25">
      <c r="A2634" s="1">
        <v>792</v>
      </c>
      <c r="B2634" t="s">
        <v>26</v>
      </c>
      <c r="C2634">
        <v>105</v>
      </c>
      <c r="D2634">
        <v>3</v>
      </c>
      <c r="E2634" t="s">
        <v>92</v>
      </c>
      <c r="F2634" t="s">
        <v>91</v>
      </c>
      <c r="G2634" t="str">
        <f>"2025-02-04 16:15:07.098"</f>
        <v>2025-02-04 16:15:07.098</v>
      </c>
      <c r="H2634" t="s">
        <v>52</v>
      </c>
      <c r="I2634">
        <v>11.2</v>
      </c>
      <c r="J2634" t="s">
        <v>28</v>
      </c>
    </row>
    <row r="2635" spans="1:10" x14ac:dyDescent="0.25">
      <c r="A2635" s="1">
        <v>793</v>
      </c>
      <c r="B2635" t="s">
        <v>26</v>
      </c>
      <c r="C2635">
        <v>204</v>
      </c>
      <c r="D2635">
        <v>8</v>
      </c>
      <c r="E2635" t="s">
        <v>93</v>
      </c>
      <c r="F2635" t="s">
        <v>94</v>
      </c>
      <c r="G2635" t="str">
        <f>"2025-02-04 16:15:06.927"</f>
        <v>2025-02-04 16:15:06.927</v>
      </c>
      <c r="H2635" t="s">
        <v>49</v>
      </c>
      <c r="I2635">
        <v>11.18</v>
      </c>
      <c r="J2635" t="s">
        <v>28</v>
      </c>
    </row>
    <row r="2636" spans="1:10" x14ac:dyDescent="0.25">
      <c r="A2636" s="1">
        <v>794</v>
      </c>
      <c r="B2636" t="s">
        <v>26</v>
      </c>
      <c r="C2636">
        <v>204</v>
      </c>
      <c r="D2636">
        <v>6</v>
      </c>
      <c r="E2636" t="s">
        <v>93</v>
      </c>
      <c r="F2636" t="s">
        <v>95</v>
      </c>
      <c r="G2636" t="str">
        <f>"2025-02-04 16:15:06.923"</f>
        <v>2025-02-04 16:15:06.923</v>
      </c>
      <c r="H2636" t="s">
        <v>49</v>
      </c>
      <c r="I2636">
        <v>11.18</v>
      </c>
      <c r="J2636" t="s">
        <v>28</v>
      </c>
    </row>
    <row r="2637" spans="1:10" x14ac:dyDescent="0.25">
      <c r="A2637" s="1">
        <v>795</v>
      </c>
      <c r="B2637" t="s">
        <v>26</v>
      </c>
      <c r="C2637">
        <v>204</v>
      </c>
      <c r="D2637">
        <v>5</v>
      </c>
      <c r="E2637" t="s">
        <v>93</v>
      </c>
      <c r="F2637" t="s">
        <v>96</v>
      </c>
      <c r="G2637" t="str">
        <f>"2025-02-04 16:15:06.918"</f>
        <v>2025-02-04 16:15:06.918</v>
      </c>
      <c r="H2637" t="s">
        <v>49</v>
      </c>
      <c r="I2637">
        <v>11.18</v>
      </c>
      <c r="J2637" t="s">
        <v>28</v>
      </c>
    </row>
    <row r="2638" spans="1:10" x14ac:dyDescent="0.25">
      <c r="A2638" s="1">
        <v>796</v>
      </c>
      <c r="B2638" t="s">
        <v>26</v>
      </c>
      <c r="C2638">
        <v>104</v>
      </c>
      <c r="D2638">
        <v>8</v>
      </c>
      <c r="E2638" t="s">
        <v>98</v>
      </c>
      <c r="F2638" t="s">
        <v>94</v>
      </c>
      <c r="G2638" t="str">
        <f>"2025-02-04 16:15:06.907"</f>
        <v>2025-02-04 16:15:06.907</v>
      </c>
      <c r="H2638" t="s">
        <v>52</v>
      </c>
      <c r="I2638">
        <v>11.18</v>
      </c>
      <c r="J2638" t="s">
        <v>37</v>
      </c>
    </row>
    <row r="2639" spans="1:10" x14ac:dyDescent="0.25">
      <c r="A2639" s="1">
        <v>797</v>
      </c>
      <c r="B2639" t="s">
        <v>26</v>
      </c>
      <c r="C2639">
        <v>104</v>
      </c>
      <c r="D2639">
        <v>6</v>
      </c>
      <c r="E2639" t="s">
        <v>98</v>
      </c>
      <c r="F2639" t="s">
        <v>95</v>
      </c>
      <c r="G2639" t="str">
        <f>"2025-02-04 16:15:06.903"</f>
        <v>2025-02-04 16:15:06.903</v>
      </c>
      <c r="H2639" t="s">
        <v>52</v>
      </c>
      <c r="I2639">
        <v>11.18</v>
      </c>
      <c r="J2639" t="s">
        <v>37</v>
      </c>
    </row>
    <row r="2640" spans="1:10" x14ac:dyDescent="0.25">
      <c r="A2640" s="1">
        <v>798</v>
      </c>
      <c r="B2640" t="s">
        <v>26</v>
      </c>
      <c r="C2640">
        <v>104</v>
      </c>
      <c r="D2640">
        <v>5</v>
      </c>
      <c r="E2640" t="s">
        <v>98</v>
      </c>
      <c r="F2640" t="s">
        <v>96</v>
      </c>
      <c r="G2640" t="str">
        <f>"2025-02-04 16:15:06.898"</f>
        <v>2025-02-04 16:15:06.898</v>
      </c>
      <c r="H2640" t="s">
        <v>52</v>
      </c>
      <c r="I2640">
        <v>11.18</v>
      </c>
      <c r="J2640" t="s">
        <v>37</v>
      </c>
    </row>
    <row r="2641" spans="1:10" x14ac:dyDescent="0.25">
      <c r="A2641" s="1">
        <v>799</v>
      </c>
      <c r="B2641" t="s">
        <v>26</v>
      </c>
      <c r="C2641">
        <v>23</v>
      </c>
      <c r="D2641">
        <v>1</v>
      </c>
      <c r="E2641" t="s">
        <v>88</v>
      </c>
      <c r="F2641" t="s">
        <v>89</v>
      </c>
      <c r="G2641" t="str">
        <f>"2025-02-04 16:15:06.664"</f>
        <v>2025-02-04 16:15:06.664</v>
      </c>
      <c r="H2641" t="s">
        <v>46</v>
      </c>
      <c r="I2641">
        <v>11.13</v>
      </c>
      <c r="J2641" t="s">
        <v>37</v>
      </c>
    </row>
    <row r="2642" spans="1:10" x14ac:dyDescent="0.25">
      <c r="A2642" s="1">
        <v>800</v>
      </c>
      <c r="B2642" t="s">
        <v>26</v>
      </c>
      <c r="C2642">
        <v>204</v>
      </c>
      <c r="D2642">
        <v>1</v>
      </c>
      <c r="E2642" t="s">
        <v>93</v>
      </c>
      <c r="F2642" t="s">
        <v>97</v>
      </c>
      <c r="G2642" t="str">
        <f>"2025-02-04 16:15:06.584"</f>
        <v>2025-02-04 16:15:06.584</v>
      </c>
      <c r="H2642" t="s">
        <v>49</v>
      </c>
      <c r="I2642">
        <v>11.1</v>
      </c>
      <c r="J2642" t="s">
        <v>37</v>
      </c>
    </row>
    <row r="2643" spans="1:10" x14ac:dyDescent="0.25">
      <c r="A2643" s="1">
        <v>801</v>
      </c>
      <c r="B2643" t="s">
        <v>26</v>
      </c>
      <c r="C2643">
        <v>104</v>
      </c>
      <c r="D2643">
        <v>1</v>
      </c>
      <c r="E2643" t="s">
        <v>98</v>
      </c>
      <c r="F2643" t="s">
        <v>97</v>
      </c>
      <c r="G2643" t="str">
        <f>"2025-02-04 16:15:06.578"</f>
        <v>2025-02-04 16:15:06.578</v>
      </c>
      <c r="H2643" t="s">
        <v>52</v>
      </c>
      <c r="I2643">
        <v>11.1</v>
      </c>
      <c r="J2643" t="s">
        <v>37</v>
      </c>
    </row>
    <row r="2644" spans="1:10" x14ac:dyDescent="0.25">
      <c r="A2644" s="1">
        <v>802</v>
      </c>
      <c r="B2644" t="s">
        <v>19</v>
      </c>
      <c r="C2644">
        <v>706</v>
      </c>
      <c r="D2644">
        <v>4</v>
      </c>
      <c r="E2644" t="s">
        <v>29</v>
      </c>
      <c r="F2644" t="s">
        <v>53</v>
      </c>
      <c r="G2644" t="str">
        <f>"2025-02-04 16:15:06.475"</f>
        <v>2025-02-04 16:15:06.475</v>
      </c>
      <c r="H2644" t="s">
        <v>21</v>
      </c>
      <c r="I2644">
        <v>11.06</v>
      </c>
      <c r="J2644" t="s">
        <v>37</v>
      </c>
    </row>
    <row r="2645" spans="1:10" x14ac:dyDescent="0.25">
      <c r="A2645" s="1">
        <v>803</v>
      </c>
      <c r="B2645" t="s">
        <v>19</v>
      </c>
      <c r="C2645">
        <v>706</v>
      </c>
      <c r="D2645">
        <v>4</v>
      </c>
      <c r="E2645" t="s">
        <v>29</v>
      </c>
      <c r="F2645" t="s">
        <v>53</v>
      </c>
      <c r="G2645" t="str">
        <f>"2025-02-04 13:42:51.845"</f>
        <v>2025-02-04 13:42:51.845</v>
      </c>
      <c r="H2645" t="s">
        <v>21</v>
      </c>
      <c r="I2645">
        <v>0</v>
      </c>
      <c r="J2645" t="s">
        <v>31</v>
      </c>
    </row>
    <row r="2646" spans="1:10" x14ac:dyDescent="0.25">
      <c r="A2646" s="1">
        <v>804</v>
      </c>
      <c r="B2646" t="s">
        <v>19</v>
      </c>
      <c r="C2646">
        <v>700</v>
      </c>
      <c r="D2646">
        <v>0</v>
      </c>
      <c r="E2646" t="s">
        <v>20</v>
      </c>
      <c r="F2646" t="s">
        <v>20</v>
      </c>
      <c r="G2646" t="str">
        <f>"2025-02-04 13:42:33.965"</f>
        <v>2025-02-04 13:42:33.965</v>
      </c>
      <c r="H2646" t="s">
        <v>21</v>
      </c>
    </row>
    <row r="2647" spans="1:10" s="3" customFormat="1" x14ac:dyDescent="0.25">
      <c r="A2647" s="2">
        <v>805</v>
      </c>
      <c r="B2647" s="3" t="s">
        <v>22</v>
      </c>
      <c r="C2647" s="3">
        <v>647</v>
      </c>
      <c r="D2647" s="3">
        <v>1</v>
      </c>
      <c r="E2647" s="3" t="s">
        <v>54</v>
      </c>
      <c r="F2647" s="3" t="s">
        <v>55</v>
      </c>
      <c r="G2647" s="3" t="str">
        <f>"2025-02-04 12:19:44.873"</f>
        <v>2025-02-04 12:19:44.873</v>
      </c>
      <c r="H2647" s="3" t="s">
        <v>21</v>
      </c>
    </row>
    <row r="2648" spans="1:10" s="3" customFormat="1" x14ac:dyDescent="0.25">
      <c r="A2648" s="2">
        <v>806</v>
      </c>
      <c r="B2648" s="3" t="s">
        <v>36</v>
      </c>
      <c r="C2648" s="3">
        <v>647</v>
      </c>
      <c r="D2648" s="3">
        <v>1</v>
      </c>
      <c r="E2648" s="3" t="s">
        <v>54</v>
      </c>
      <c r="F2648" s="3" t="s">
        <v>55</v>
      </c>
      <c r="G2648" s="3" t="str">
        <f>"2025-02-04 12:19:42.773"</f>
        <v>2025-02-04 12:19:42.773</v>
      </c>
      <c r="H2648" s="3" t="s">
        <v>21</v>
      </c>
      <c r="I2648" s="3">
        <v>17.25</v>
      </c>
      <c r="J2648" s="3" t="s">
        <v>27</v>
      </c>
    </row>
    <row r="2649" spans="1:10" x14ac:dyDescent="0.25">
      <c r="A2649" s="1">
        <v>807</v>
      </c>
      <c r="B2649" t="s">
        <v>22</v>
      </c>
      <c r="C2649">
        <v>635</v>
      </c>
      <c r="D2649">
        <v>1</v>
      </c>
      <c r="E2649" t="s">
        <v>34</v>
      </c>
      <c r="F2649" t="s">
        <v>35</v>
      </c>
      <c r="G2649" t="str">
        <f>"2025-02-04 10:58:21.072"</f>
        <v>2025-02-04 10:58:21.072</v>
      </c>
      <c r="H2649" t="s">
        <v>21</v>
      </c>
    </row>
    <row r="2650" spans="1:10" x14ac:dyDescent="0.25">
      <c r="A2650" s="1">
        <v>808</v>
      </c>
      <c r="B2650" t="s">
        <v>36</v>
      </c>
      <c r="C2650">
        <v>635</v>
      </c>
      <c r="D2650">
        <v>1</v>
      </c>
      <c r="E2650" t="s">
        <v>34</v>
      </c>
      <c r="F2650" t="s">
        <v>35</v>
      </c>
      <c r="G2650" t="str">
        <f>"2025-02-04 10:39:08.172"</f>
        <v>2025-02-04 10:39:08.172</v>
      </c>
      <c r="H2650" t="s">
        <v>21</v>
      </c>
      <c r="I2650">
        <v>5.34</v>
      </c>
      <c r="J2650" t="s">
        <v>37</v>
      </c>
    </row>
    <row r="2651" spans="1:10" s="3" customFormat="1" x14ac:dyDescent="0.25">
      <c r="A2651" s="2">
        <v>809</v>
      </c>
      <c r="B2651" s="3" t="s">
        <v>22</v>
      </c>
      <c r="C2651" s="3">
        <v>647</v>
      </c>
      <c r="D2651" s="3">
        <v>1</v>
      </c>
      <c r="E2651" s="3" t="s">
        <v>54</v>
      </c>
      <c r="F2651" s="3" t="s">
        <v>55</v>
      </c>
      <c r="G2651" s="3" t="str">
        <f>"2025-02-04 10:20:25.873"</f>
        <v>2025-02-04 10:20:25.873</v>
      </c>
      <c r="H2651" s="3" t="s">
        <v>21</v>
      </c>
    </row>
    <row r="2652" spans="1:10" s="3" customFormat="1" x14ac:dyDescent="0.25">
      <c r="A2652" s="2">
        <v>810</v>
      </c>
      <c r="B2652" s="3" t="s">
        <v>36</v>
      </c>
      <c r="C2652" s="3">
        <v>647</v>
      </c>
      <c r="D2652" s="3">
        <v>1</v>
      </c>
      <c r="E2652" s="3" t="s">
        <v>54</v>
      </c>
      <c r="F2652" s="3" t="s">
        <v>55</v>
      </c>
      <c r="G2652" s="3" t="str">
        <f>"2025-02-04 10:20:21.173"</f>
        <v>2025-02-04 10:20:21.173</v>
      </c>
      <c r="H2652" s="3" t="s">
        <v>21</v>
      </c>
      <c r="I2652" s="3">
        <v>18.71</v>
      </c>
      <c r="J2652" s="3" t="s">
        <v>27</v>
      </c>
    </row>
    <row r="2653" spans="1:10" x14ac:dyDescent="0.25">
      <c r="A2653" s="1">
        <v>811</v>
      </c>
      <c r="B2653" t="s">
        <v>22</v>
      </c>
      <c r="C2653">
        <v>635</v>
      </c>
      <c r="D2653">
        <v>1</v>
      </c>
      <c r="E2653" t="s">
        <v>34</v>
      </c>
      <c r="F2653" t="s">
        <v>35</v>
      </c>
      <c r="G2653" t="str">
        <f>"2025-02-03 09:56:47.472"</f>
        <v>2025-02-03 09:56:47.472</v>
      </c>
      <c r="H2653" t="s">
        <v>21</v>
      </c>
    </row>
    <row r="2654" spans="1:10" x14ac:dyDescent="0.25">
      <c r="A2654" s="1">
        <v>812</v>
      </c>
      <c r="B2654" t="s">
        <v>36</v>
      </c>
      <c r="C2654">
        <v>635</v>
      </c>
      <c r="D2654">
        <v>1</v>
      </c>
      <c r="E2654" t="s">
        <v>34</v>
      </c>
      <c r="F2654" t="s">
        <v>35</v>
      </c>
      <c r="G2654" t="str">
        <f>"2025-02-03 09:54:25.972"</f>
        <v>2025-02-03 09:54:25.972</v>
      </c>
      <c r="H2654" t="s">
        <v>21</v>
      </c>
      <c r="I2654">
        <v>5.86</v>
      </c>
      <c r="J2654" t="s">
        <v>28</v>
      </c>
    </row>
    <row r="2655" spans="1:10" x14ac:dyDescent="0.25">
      <c r="A2655" s="1">
        <v>813</v>
      </c>
      <c r="B2655" t="s">
        <v>19</v>
      </c>
      <c r="C2655">
        <v>706</v>
      </c>
      <c r="D2655">
        <v>4</v>
      </c>
      <c r="E2655" t="s">
        <v>29</v>
      </c>
      <c r="F2655" t="s">
        <v>53</v>
      </c>
      <c r="G2655" t="str">
        <f>"2025-02-02 07:43:24.065"</f>
        <v>2025-02-02 07:43:24.065</v>
      </c>
      <c r="H2655" t="s">
        <v>21</v>
      </c>
      <c r="I2655">
        <v>0</v>
      </c>
      <c r="J2655" t="s">
        <v>31</v>
      </c>
    </row>
    <row r="2656" spans="1:10" x14ac:dyDescent="0.25">
      <c r="A2656" s="1">
        <v>814</v>
      </c>
      <c r="B2656" t="s">
        <v>19</v>
      </c>
      <c r="C2656">
        <v>700</v>
      </c>
      <c r="D2656">
        <v>0</v>
      </c>
      <c r="E2656" t="s">
        <v>20</v>
      </c>
      <c r="F2656" t="s">
        <v>20</v>
      </c>
      <c r="G2656" t="str">
        <f>"2025-02-02 07:41:17.195"</f>
        <v>2025-02-02 07:41:17.195</v>
      </c>
      <c r="H2656" t="s">
        <v>21</v>
      </c>
      <c r="I2656">
        <v>0</v>
      </c>
      <c r="J2656" t="s">
        <v>33</v>
      </c>
    </row>
    <row r="2657" spans="1:10" x14ac:dyDescent="0.25">
      <c r="A2657" s="1">
        <v>815</v>
      </c>
      <c r="B2657" t="s">
        <v>19</v>
      </c>
      <c r="C2657">
        <v>700</v>
      </c>
      <c r="D2657">
        <v>0</v>
      </c>
      <c r="E2657" t="s">
        <v>20</v>
      </c>
      <c r="F2657" t="s">
        <v>20</v>
      </c>
      <c r="G2657" t="str">
        <f>"2025-02-02 06:20:34.039"</f>
        <v>2025-02-02 06:20:34.039</v>
      </c>
      <c r="H2657" t="s">
        <v>21</v>
      </c>
    </row>
    <row r="2658" spans="1:10" x14ac:dyDescent="0.25">
      <c r="A2658" s="1">
        <v>819</v>
      </c>
      <c r="B2658" t="s">
        <v>19</v>
      </c>
      <c r="C2658">
        <v>782</v>
      </c>
      <c r="D2658">
        <v>7</v>
      </c>
      <c r="E2658" t="s">
        <v>62</v>
      </c>
      <c r="F2658" t="s">
        <v>63</v>
      </c>
      <c r="G2658" t="str">
        <f>"2025-02-02 05:38:50.420"</f>
        <v>2025-02-02 05:38:50.420</v>
      </c>
      <c r="H2658" t="s">
        <v>21</v>
      </c>
      <c r="I2658">
        <v>0</v>
      </c>
      <c r="J2658" t="s">
        <v>28</v>
      </c>
    </row>
    <row r="2659" spans="1:10" x14ac:dyDescent="0.25">
      <c r="A2659" s="1">
        <v>822</v>
      </c>
      <c r="B2659" t="s">
        <v>22</v>
      </c>
      <c r="C2659">
        <v>79</v>
      </c>
      <c r="D2659">
        <v>9</v>
      </c>
      <c r="E2659" t="s">
        <v>83</v>
      </c>
      <c r="F2659" t="s">
        <v>84</v>
      </c>
      <c r="G2659" t="str">
        <f>"2025-02-02 05:38:50.411"</f>
        <v>2025-02-02 05:38:50.411</v>
      </c>
      <c r="H2659" t="s">
        <v>70</v>
      </c>
    </row>
    <row r="2660" spans="1:10" x14ac:dyDescent="0.25">
      <c r="A2660" s="1">
        <v>823</v>
      </c>
      <c r="B2660" t="s">
        <v>19</v>
      </c>
      <c r="C2660">
        <v>782</v>
      </c>
      <c r="D2660">
        <v>7</v>
      </c>
      <c r="E2660" t="s">
        <v>62</v>
      </c>
      <c r="F2660" t="s">
        <v>63</v>
      </c>
      <c r="G2660" t="str">
        <f>"2025-02-02 05:38:50.410"</f>
        <v>2025-02-02 05:38:50.410</v>
      </c>
      <c r="H2660" t="s">
        <v>21</v>
      </c>
      <c r="I2660">
        <v>0</v>
      </c>
      <c r="J2660" t="s">
        <v>28</v>
      </c>
    </row>
    <row r="2661" spans="1:10" x14ac:dyDescent="0.25">
      <c r="A2661" s="1">
        <v>824</v>
      </c>
      <c r="B2661" t="s">
        <v>19</v>
      </c>
      <c r="C2661">
        <v>700</v>
      </c>
      <c r="D2661">
        <v>0</v>
      </c>
      <c r="E2661" t="s">
        <v>20</v>
      </c>
      <c r="F2661" t="s">
        <v>20</v>
      </c>
      <c r="G2661" t="str">
        <f>"2025-02-02 05:20:40.960"</f>
        <v>2025-02-02 05:20:40.960</v>
      </c>
      <c r="H2661" t="s">
        <v>21</v>
      </c>
      <c r="I2661">
        <v>0</v>
      </c>
      <c r="J2661" t="s">
        <v>33</v>
      </c>
    </row>
    <row r="2662" spans="1:10" x14ac:dyDescent="0.25">
      <c r="A2662" s="1">
        <v>825</v>
      </c>
      <c r="B2662" t="s">
        <v>22</v>
      </c>
      <c r="C2662">
        <v>14</v>
      </c>
      <c r="D2662">
        <v>10</v>
      </c>
      <c r="E2662" t="s">
        <v>85</v>
      </c>
      <c r="F2662" t="s">
        <v>87</v>
      </c>
      <c r="G2662" t="str">
        <f>"2025-02-02 05:14:01.585"</f>
        <v>2025-02-02 05:14:01.585</v>
      </c>
      <c r="H2662" t="s">
        <v>25</v>
      </c>
    </row>
    <row r="2663" spans="1:10" x14ac:dyDescent="0.25">
      <c r="A2663" s="1">
        <v>826</v>
      </c>
      <c r="B2663" t="s">
        <v>56</v>
      </c>
      <c r="C2663">
        <v>205</v>
      </c>
      <c r="D2663">
        <v>3</v>
      </c>
      <c r="E2663" t="s">
        <v>90</v>
      </c>
      <c r="F2663" t="s">
        <v>91</v>
      </c>
      <c r="G2663" t="str">
        <f>"2025-02-02 05:13:44.119"</f>
        <v>2025-02-02 05:13:44.119</v>
      </c>
      <c r="H2663" t="s">
        <v>49</v>
      </c>
    </row>
    <row r="2664" spans="1:10" x14ac:dyDescent="0.25">
      <c r="A2664" s="1">
        <v>827</v>
      </c>
      <c r="B2664" t="s">
        <v>56</v>
      </c>
      <c r="C2664">
        <v>204</v>
      </c>
      <c r="D2664">
        <v>8</v>
      </c>
      <c r="E2664" t="s">
        <v>93</v>
      </c>
      <c r="F2664" t="s">
        <v>94</v>
      </c>
      <c r="G2664" t="str">
        <f>"2025-02-02 05:13:44.115"</f>
        <v>2025-02-02 05:13:44.115</v>
      </c>
      <c r="H2664" t="s">
        <v>49</v>
      </c>
    </row>
    <row r="2665" spans="1:10" x14ac:dyDescent="0.25">
      <c r="A2665" s="1">
        <v>828</v>
      </c>
      <c r="B2665" t="s">
        <v>56</v>
      </c>
      <c r="C2665">
        <v>204</v>
      </c>
      <c r="D2665">
        <v>6</v>
      </c>
      <c r="E2665" t="s">
        <v>93</v>
      </c>
      <c r="F2665" t="s">
        <v>95</v>
      </c>
      <c r="G2665" t="str">
        <f>"2025-02-02 05:13:44.113"</f>
        <v>2025-02-02 05:13:44.113</v>
      </c>
      <c r="H2665" t="s">
        <v>49</v>
      </c>
    </row>
    <row r="2666" spans="1:10" x14ac:dyDescent="0.25">
      <c r="A2666" s="1">
        <v>829</v>
      </c>
      <c r="B2666" t="s">
        <v>56</v>
      </c>
      <c r="C2666">
        <v>204</v>
      </c>
      <c r="D2666">
        <v>5</v>
      </c>
      <c r="E2666" t="s">
        <v>93</v>
      </c>
      <c r="F2666" t="s">
        <v>96</v>
      </c>
      <c r="G2666" t="str">
        <f>"2025-02-02 05:13:44.111"</f>
        <v>2025-02-02 05:13:44.111</v>
      </c>
      <c r="H2666" t="s">
        <v>49</v>
      </c>
    </row>
    <row r="2667" spans="1:10" x14ac:dyDescent="0.25">
      <c r="A2667" s="1">
        <v>830</v>
      </c>
      <c r="B2667" t="s">
        <v>56</v>
      </c>
      <c r="C2667">
        <v>204</v>
      </c>
      <c r="D2667">
        <v>1</v>
      </c>
      <c r="E2667" t="s">
        <v>93</v>
      </c>
      <c r="F2667" t="s">
        <v>97</v>
      </c>
      <c r="G2667" t="str">
        <f>"2025-02-02 05:13:44.108"</f>
        <v>2025-02-02 05:13:44.108</v>
      </c>
      <c r="H2667" t="s">
        <v>49</v>
      </c>
    </row>
    <row r="2668" spans="1:10" x14ac:dyDescent="0.25">
      <c r="A2668" s="1">
        <v>831</v>
      </c>
      <c r="B2668" t="s">
        <v>56</v>
      </c>
      <c r="C2668">
        <v>105</v>
      </c>
      <c r="D2668">
        <v>3</v>
      </c>
      <c r="E2668" t="s">
        <v>92</v>
      </c>
      <c r="F2668" t="s">
        <v>91</v>
      </c>
      <c r="G2668" t="str">
        <f>"2025-02-02 05:13:44.105"</f>
        <v>2025-02-02 05:13:44.105</v>
      </c>
      <c r="H2668" t="s">
        <v>52</v>
      </c>
    </row>
    <row r="2669" spans="1:10" x14ac:dyDescent="0.25">
      <c r="A2669" s="1">
        <v>832</v>
      </c>
      <c r="B2669" t="s">
        <v>56</v>
      </c>
      <c r="C2669">
        <v>104</v>
      </c>
      <c r="D2669">
        <v>8</v>
      </c>
      <c r="E2669" t="s">
        <v>98</v>
      </c>
      <c r="F2669" t="s">
        <v>94</v>
      </c>
      <c r="G2669" t="str">
        <f>"2025-02-02 05:13:44.103"</f>
        <v>2025-02-02 05:13:44.103</v>
      </c>
      <c r="H2669" t="s">
        <v>52</v>
      </c>
    </row>
    <row r="2670" spans="1:10" x14ac:dyDescent="0.25">
      <c r="A2670" s="1">
        <v>833</v>
      </c>
      <c r="B2670" t="s">
        <v>56</v>
      </c>
      <c r="C2670">
        <v>104</v>
      </c>
      <c r="D2670">
        <v>6</v>
      </c>
      <c r="E2670" t="s">
        <v>98</v>
      </c>
      <c r="F2670" t="s">
        <v>95</v>
      </c>
      <c r="G2670" t="str">
        <f>"2025-02-02 05:13:44.099"</f>
        <v>2025-02-02 05:13:44.099</v>
      </c>
      <c r="H2670" t="s">
        <v>52</v>
      </c>
    </row>
    <row r="2671" spans="1:10" x14ac:dyDescent="0.25">
      <c r="A2671" s="1">
        <v>834</v>
      </c>
      <c r="B2671" t="s">
        <v>56</v>
      </c>
      <c r="C2671">
        <v>104</v>
      </c>
      <c r="D2671">
        <v>5</v>
      </c>
      <c r="E2671" t="s">
        <v>98</v>
      </c>
      <c r="F2671" t="s">
        <v>96</v>
      </c>
      <c r="G2671" t="str">
        <f>"2025-02-02 05:13:44.096"</f>
        <v>2025-02-02 05:13:44.096</v>
      </c>
      <c r="H2671" t="s">
        <v>52</v>
      </c>
    </row>
    <row r="2672" spans="1:10" x14ac:dyDescent="0.25">
      <c r="A2672" s="1">
        <v>835</v>
      </c>
      <c r="B2672" t="s">
        <v>56</v>
      </c>
      <c r="C2672">
        <v>104</v>
      </c>
      <c r="D2672">
        <v>1</v>
      </c>
      <c r="E2672" t="s">
        <v>98</v>
      </c>
      <c r="F2672" t="s">
        <v>97</v>
      </c>
      <c r="G2672" t="str">
        <f>"2025-02-02 05:13:44.094"</f>
        <v>2025-02-02 05:13:44.094</v>
      </c>
      <c r="H2672" t="s">
        <v>52</v>
      </c>
    </row>
    <row r="2673" spans="1:10" x14ac:dyDescent="0.25">
      <c r="A2673" s="1">
        <v>836</v>
      </c>
      <c r="B2673" t="s">
        <v>56</v>
      </c>
      <c r="C2673">
        <v>23</v>
      </c>
      <c r="D2673">
        <v>1</v>
      </c>
      <c r="E2673" t="s">
        <v>88</v>
      </c>
      <c r="F2673" t="s">
        <v>89</v>
      </c>
      <c r="G2673" t="str">
        <f>"2025-02-02 05:13:44.091"</f>
        <v>2025-02-02 05:13:44.091</v>
      </c>
      <c r="H2673" t="s">
        <v>46</v>
      </c>
    </row>
    <row r="2674" spans="1:10" x14ac:dyDescent="0.25">
      <c r="A2674" s="1">
        <v>837</v>
      </c>
      <c r="B2674" t="s">
        <v>36</v>
      </c>
      <c r="C2674">
        <v>79</v>
      </c>
      <c r="D2674">
        <v>9</v>
      </c>
      <c r="E2674" t="s">
        <v>83</v>
      </c>
      <c r="F2674" t="s">
        <v>84</v>
      </c>
      <c r="G2674" t="str">
        <f>"2025-02-02 05:13:40.583"</f>
        <v>2025-02-02 05:13:40.583</v>
      </c>
      <c r="H2674" t="s">
        <v>70</v>
      </c>
      <c r="I2674">
        <v>9.08</v>
      </c>
      <c r="J2674" t="s">
        <v>28</v>
      </c>
    </row>
    <row r="2675" spans="1:10" x14ac:dyDescent="0.25">
      <c r="A2675" s="1">
        <v>838</v>
      </c>
      <c r="B2675" t="s">
        <v>36</v>
      </c>
      <c r="C2675">
        <v>14</v>
      </c>
      <c r="D2675">
        <v>10</v>
      </c>
      <c r="E2675" t="s">
        <v>85</v>
      </c>
      <c r="F2675" t="s">
        <v>87</v>
      </c>
      <c r="G2675" t="str">
        <f>"2025-02-02 05:13:40.531"</f>
        <v>2025-02-02 05:13:40.531</v>
      </c>
      <c r="H2675" t="s">
        <v>25</v>
      </c>
      <c r="I2675">
        <v>9.09</v>
      </c>
      <c r="J2675" t="s">
        <v>28</v>
      </c>
    </row>
    <row r="2676" spans="1:10" x14ac:dyDescent="0.25">
      <c r="A2676" s="1">
        <v>839</v>
      </c>
      <c r="B2676" t="s">
        <v>26</v>
      </c>
      <c r="C2676">
        <v>205</v>
      </c>
      <c r="D2676">
        <v>3</v>
      </c>
      <c r="E2676" t="s">
        <v>90</v>
      </c>
      <c r="F2676" t="s">
        <v>91</v>
      </c>
      <c r="G2676" t="str">
        <f>"2025-02-02 05:13:40.183"</f>
        <v>2025-02-02 05:13:40.183</v>
      </c>
      <c r="H2676" t="s">
        <v>49</v>
      </c>
      <c r="I2676">
        <v>9.1199999999999992</v>
      </c>
      <c r="J2676" t="s">
        <v>28</v>
      </c>
    </row>
    <row r="2677" spans="1:10" x14ac:dyDescent="0.25">
      <c r="A2677" s="1">
        <v>840</v>
      </c>
      <c r="B2677" t="s">
        <v>26</v>
      </c>
      <c r="C2677">
        <v>105</v>
      </c>
      <c r="D2677">
        <v>3</v>
      </c>
      <c r="E2677" t="s">
        <v>92</v>
      </c>
      <c r="F2677" t="s">
        <v>91</v>
      </c>
      <c r="G2677" t="str">
        <f>"2025-02-02 05:13:40.178"</f>
        <v>2025-02-02 05:13:40.178</v>
      </c>
      <c r="H2677" t="s">
        <v>52</v>
      </c>
      <c r="I2677">
        <v>9.1199999999999992</v>
      </c>
      <c r="J2677" t="s">
        <v>28</v>
      </c>
    </row>
    <row r="2678" spans="1:10" x14ac:dyDescent="0.25">
      <c r="A2678" s="1">
        <v>841</v>
      </c>
      <c r="B2678" t="s">
        <v>26</v>
      </c>
      <c r="C2678">
        <v>104</v>
      </c>
      <c r="D2678">
        <v>8</v>
      </c>
      <c r="E2678" t="s">
        <v>98</v>
      </c>
      <c r="F2678" t="s">
        <v>94</v>
      </c>
      <c r="G2678" t="str">
        <f>"2025-02-02 05:13:40.027"</f>
        <v>2025-02-02 05:13:40.027</v>
      </c>
      <c r="H2678" t="s">
        <v>52</v>
      </c>
      <c r="I2678">
        <v>9.14</v>
      </c>
      <c r="J2678" t="s">
        <v>28</v>
      </c>
    </row>
    <row r="2679" spans="1:10" x14ac:dyDescent="0.25">
      <c r="A2679" s="1">
        <v>842</v>
      </c>
      <c r="B2679" t="s">
        <v>26</v>
      </c>
      <c r="C2679">
        <v>104</v>
      </c>
      <c r="D2679">
        <v>6</v>
      </c>
      <c r="E2679" t="s">
        <v>98</v>
      </c>
      <c r="F2679" t="s">
        <v>95</v>
      </c>
      <c r="G2679" t="str">
        <f>"2025-02-02 05:13:40.023"</f>
        <v>2025-02-02 05:13:40.023</v>
      </c>
      <c r="H2679" t="s">
        <v>52</v>
      </c>
      <c r="I2679">
        <v>9.14</v>
      </c>
      <c r="J2679" t="s">
        <v>28</v>
      </c>
    </row>
    <row r="2680" spans="1:10" x14ac:dyDescent="0.25">
      <c r="A2680" s="1">
        <v>843</v>
      </c>
      <c r="B2680" t="s">
        <v>26</v>
      </c>
      <c r="C2680">
        <v>104</v>
      </c>
      <c r="D2680">
        <v>5</v>
      </c>
      <c r="E2680" t="s">
        <v>98</v>
      </c>
      <c r="F2680" t="s">
        <v>96</v>
      </c>
      <c r="G2680" t="str">
        <f>"2025-02-02 05:13:40.018"</f>
        <v>2025-02-02 05:13:40.018</v>
      </c>
      <c r="H2680" t="s">
        <v>52</v>
      </c>
      <c r="I2680">
        <v>9.14</v>
      </c>
      <c r="J2680" t="s">
        <v>28</v>
      </c>
    </row>
    <row r="2681" spans="1:10" x14ac:dyDescent="0.25">
      <c r="A2681" s="1">
        <v>844</v>
      </c>
      <c r="B2681" t="s">
        <v>26</v>
      </c>
      <c r="C2681">
        <v>204</v>
      </c>
      <c r="D2681">
        <v>8</v>
      </c>
      <c r="E2681" t="s">
        <v>93</v>
      </c>
      <c r="F2681" t="s">
        <v>94</v>
      </c>
      <c r="G2681" t="str">
        <f>"2025-02-02 05:13:39.987"</f>
        <v>2025-02-02 05:13:39.987</v>
      </c>
      <c r="H2681" t="s">
        <v>49</v>
      </c>
      <c r="I2681">
        <v>9.15</v>
      </c>
      <c r="J2681" t="s">
        <v>28</v>
      </c>
    </row>
    <row r="2682" spans="1:10" x14ac:dyDescent="0.25">
      <c r="A2682" s="1">
        <v>845</v>
      </c>
      <c r="B2682" t="s">
        <v>26</v>
      </c>
      <c r="C2682">
        <v>204</v>
      </c>
      <c r="D2682">
        <v>6</v>
      </c>
      <c r="E2682" t="s">
        <v>93</v>
      </c>
      <c r="F2682" t="s">
        <v>95</v>
      </c>
      <c r="G2682" t="str">
        <f>"2025-02-02 05:13:39.983"</f>
        <v>2025-02-02 05:13:39.983</v>
      </c>
      <c r="H2682" t="s">
        <v>49</v>
      </c>
      <c r="I2682">
        <v>9.15</v>
      </c>
      <c r="J2682" t="s">
        <v>28</v>
      </c>
    </row>
    <row r="2683" spans="1:10" x14ac:dyDescent="0.25">
      <c r="A2683" s="1">
        <v>846</v>
      </c>
      <c r="B2683" t="s">
        <v>26</v>
      </c>
      <c r="C2683">
        <v>204</v>
      </c>
      <c r="D2683">
        <v>5</v>
      </c>
      <c r="E2683" t="s">
        <v>93</v>
      </c>
      <c r="F2683" t="s">
        <v>96</v>
      </c>
      <c r="G2683" t="str">
        <f>"2025-02-02 05:13:39.978"</f>
        <v>2025-02-02 05:13:39.978</v>
      </c>
      <c r="H2683" t="s">
        <v>49</v>
      </c>
      <c r="I2683">
        <v>9.15</v>
      </c>
      <c r="J2683" t="s">
        <v>28</v>
      </c>
    </row>
    <row r="2684" spans="1:10" x14ac:dyDescent="0.25">
      <c r="A2684" s="1">
        <v>847</v>
      </c>
      <c r="B2684" t="s">
        <v>26</v>
      </c>
      <c r="C2684">
        <v>104</v>
      </c>
      <c r="D2684">
        <v>1</v>
      </c>
      <c r="E2684" t="s">
        <v>98</v>
      </c>
      <c r="F2684" t="s">
        <v>97</v>
      </c>
      <c r="G2684" t="str">
        <f>"2025-02-02 05:13:39.898"</f>
        <v>2025-02-02 05:13:39.898</v>
      </c>
      <c r="H2684" t="s">
        <v>52</v>
      </c>
      <c r="I2684">
        <v>9.17</v>
      </c>
      <c r="J2684" t="s">
        <v>37</v>
      </c>
    </row>
    <row r="2685" spans="1:10" x14ac:dyDescent="0.25">
      <c r="A2685" s="1">
        <v>848</v>
      </c>
      <c r="B2685" t="s">
        <v>26</v>
      </c>
      <c r="C2685">
        <v>23</v>
      </c>
      <c r="D2685">
        <v>1</v>
      </c>
      <c r="E2685" t="s">
        <v>88</v>
      </c>
      <c r="F2685" t="s">
        <v>89</v>
      </c>
      <c r="G2685" t="str">
        <f>"2025-02-02 05:13:39.711"</f>
        <v>2025-02-02 05:13:39.711</v>
      </c>
      <c r="H2685" t="s">
        <v>46</v>
      </c>
      <c r="I2685">
        <v>9.24</v>
      </c>
      <c r="J2685" t="s">
        <v>37</v>
      </c>
    </row>
    <row r="2686" spans="1:10" x14ac:dyDescent="0.25">
      <c r="A2686" s="1">
        <v>849</v>
      </c>
      <c r="B2686" t="s">
        <v>26</v>
      </c>
      <c r="C2686">
        <v>204</v>
      </c>
      <c r="D2686">
        <v>1</v>
      </c>
      <c r="E2686" t="s">
        <v>93</v>
      </c>
      <c r="F2686" t="s">
        <v>97</v>
      </c>
      <c r="G2686" t="str">
        <f>"2025-02-02 05:13:39.678"</f>
        <v>2025-02-02 05:13:39.678</v>
      </c>
      <c r="H2686" t="s">
        <v>49</v>
      </c>
      <c r="I2686">
        <v>9.26</v>
      </c>
      <c r="J2686" t="s">
        <v>37</v>
      </c>
    </row>
    <row r="2687" spans="1:10" x14ac:dyDescent="0.25">
      <c r="A2687" s="1">
        <v>850</v>
      </c>
      <c r="B2687" t="s">
        <v>19</v>
      </c>
      <c r="C2687">
        <v>706</v>
      </c>
      <c r="D2687">
        <v>4</v>
      </c>
      <c r="E2687" t="s">
        <v>29</v>
      </c>
      <c r="F2687" t="s">
        <v>53</v>
      </c>
      <c r="G2687" t="str">
        <f>"2025-02-02 05:13:39.563"</f>
        <v>2025-02-02 05:13:39.563</v>
      </c>
      <c r="H2687" t="s">
        <v>21</v>
      </c>
      <c r="I2687">
        <v>9.33</v>
      </c>
      <c r="J2687" t="s">
        <v>37</v>
      </c>
    </row>
    <row r="2688" spans="1:10" x14ac:dyDescent="0.25">
      <c r="A2688" s="1">
        <v>851</v>
      </c>
      <c r="B2688" t="s">
        <v>56</v>
      </c>
      <c r="C2688">
        <v>23</v>
      </c>
      <c r="D2688">
        <v>1</v>
      </c>
      <c r="E2688" t="s">
        <v>88</v>
      </c>
      <c r="F2688" t="s">
        <v>89</v>
      </c>
      <c r="G2688" t="str">
        <f>"2025-02-02 03:44:42.525"</f>
        <v>2025-02-02 03:44:42.525</v>
      </c>
      <c r="H2688" t="s">
        <v>46</v>
      </c>
    </row>
    <row r="2689" spans="1:10" x14ac:dyDescent="0.25">
      <c r="A2689" s="1">
        <v>852</v>
      </c>
      <c r="B2689" t="s">
        <v>22</v>
      </c>
      <c r="C2689">
        <v>14</v>
      </c>
      <c r="D2689">
        <v>10</v>
      </c>
      <c r="E2689" t="s">
        <v>85</v>
      </c>
      <c r="F2689" t="s">
        <v>87</v>
      </c>
      <c r="G2689" t="str">
        <f>"2025-02-02 03:42:44.465"</f>
        <v>2025-02-02 03:42:44.465</v>
      </c>
      <c r="H2689" t="s">
        <v>25</v>
      </c>
    </row>
    <row r="2690" spans="1:10" s="3" customFormat="1" x14ac:dyDescent="0.25">
      <c r="A2690" s="2">
        <v>853</v>
      </c>
      <c r="B2690" s="3" t="s">
        <v>22</v>
      </c>
      <c r="C2690" s="3">
        <v>647</v>
      </c>
      <c r="D2690" s="3">
        <v>1</v>
      </c>
      <c r="E2690" s="3" t="s">
        <v>54</v>
      </c>
      <c r="F2690" s="3" t="s">
        <v>55</v>
      </c>
      <c r="G2690" s="3" t="str">
        <f>"2025-02-02 03:42:38.772"</f>
        <v>2025-02-02 03:42:38.772</v>
      </c>
      <c r="H2690" s="3" t="s">
        <v>21</v>
      </c>
    </row>
    <row r="2691" spans="1:10" s="3" customFormat="1" x14ac:dyDescent="0.25">
      <c r="A2691" s="2">
        <v>854</v>
      </c>
      <c r="B2691" s="3" t="s">
        <v>36</v>
      </c>
      <c r="C2691" s="3">
        <v>647</v>
      </c>
      <c r="D2691" s="3">
        <v>1</v>
      </c>
      <c r="E2691" s="3" t="s">
        <v>54</v>
      </c>
      <c r="F2691" s="3" t="s">
        <v>55</v>
      </c>
      <c r="G2691" s="3" t="str">
        <f>"2025-02-02 03:42:32.273"</f>
        <v>2025-02-02 03:42:32.273</v>
      </c>
      <c r="H2691" s="3" t="s">
        <v>21</v>
      </c>
      <c r="I2691" s="3">
        <v>32.9</v>
      </c>
      <c r="J2691" s="3" t="s">
        <v>28</v>
      </c>
    </row>
    <row r="2692" spans="1:10" x14ac:dyDescent="0.25">
      <c r="A2692" s="1">
        <v>855</v>
      </c>
      <c r="B2692" t="s">
        <v>40</v>
      </c>
      <c r="C2692">
        <v>205</v>
      </c>
      <c r="D2692">
        <v>3</v>
      </c>
      <c r="E2692" t="s">
        <v>90</v>
      </c>
      <c r="F2692" t="s">
        <v>91</v>
      </c>
      <c r="G2692" t="str">
        <f>"2025-02-02 03:42:28.776"</f>
        <v>2025-02-02 03:42:28.776</v>
      </c>
      <c r="H2692" t="s">
        <v>49</v>
      </c>
    </row>
    <row r="2693" spans="1:10" x14ac:dyDescent="0.25">
      <c r="A2693" s="1">
        <v>856</v>
      </c>
      <c r="B2693" t="s">
        <v>40</v>
      </c>
      <c r="C2693">
        <v>105</v>
      </c>
      <c r="D2693">
        <v>3</v>
      </c>
      <c r="E2693" t="s">
        <v>92</v>
      </c>
      <c r="F2693" t="s">
        <v>91</v>
      </c>
      <c r="G2693" t="str">
        <f>"2025-02-02 03:42:28.176"</f>
        <v>2025-02-02 03:42:28.176</v>
      </c>
      <c r="H2693" t="s">
        <v>52</v>
      </c>
    </row>
    <row r="2694" spans="1:10" x14ac:dyDescent="0.25">
      <c r="A2694" s="1">
        <v>857</v>
      </c>
      <c r="B2694" t="s">
        <v>40</v>
      </c>
      <c r="C2694">
        <v>204</v>
      </c>
      <c r="D2694">
        <v>8</v>
      </c>
      <c r="E2694" t="s">
        <v>93</v>
      </c>
      <c r="F2694" t="s">
        <v>94</v>
      </c>
      <c r="G2694" t="str">
        <f>"2025-02-02 03:42:27.997"</f>
        <v>2025-02-02 03:42:27.997</v>
      </c>
      <c r="H2694" t="s">
        <v>49</v>
      </c>
    </row>
    <row r="2695" spans="1:10" x14ac:dyDescent="0.25">
      <c r="A2695" s="1">
        <v>858</v>
      </c>
      <c r="B2695" t="s">
        <v>40</v>
      </c>
      <c r="C2695">
        <v>204</v>
      </c>
      <c r="D2695">
        <v>6</v>
      </c>
      <c r="E2695" t="s">
        <v>93</v>
      </c>
      <c r="F2695" t="s">
        <v>95</v>
      </c>
      <c r="G2695" t="str">
        <f>"2025-02-02 03:42:27.995"</f>
        <v>2025-02-02 03:42:27.995</v>
      </c>
      <c r="H2695" t="s">
        <v>49</v>
      </c>
    </row>
    <row r="2696" spans="1:10" x14ac:dyDescent="0.25">
      <c r="A2696" s="1">
        <v>859</v>
      </c>
      <c r="B2696" t="s">
        <v>40</v>
      </c>
      <c r="C2696">
        <v>204</v>
      </c>
      <c r="D2696">
        <v>5</v>
      </c>
      <c r="E2696" t="s">
        <v>93</v>
      </c>
      <c r="F2696" t="s">
        <v>96</v>
      </c>
      <c r="G2696" t="str">
        <f>"2025-02-02 03:42:27.993"</f>
        <v>2025-02-02 03:42:27.993</v>
      </c>
      <c r="H2696" t="s">
        <v>49</v>
      </c>
    </row>
    <row r="2697" spans="1:10" x14ac:dyDescent="0.25">
      <c r="A2697" s="1">
        <v>860</v>
      </c>
      <c r="B2697" t="s">
        <v>40</v>
      </c>
      <c r="C2697">
        <v>204</v>
      </c>
      <c r="D2697">
        <v>1</v>
      </c>
      <c r="E2697" t="s">
        <v>93</v>
      </c>
      <c r="F2697" t="s">
        <v>97</v>
      </c>
      <c r="G2697" t="str">
        <f>"2025-02-02 03:42:27.990"</f>
        <v>2025-02-02 03:42:27.990</v>
      </c>
      <c r="H2697" t="s">
        <v>49</v>
      </c>
    </row>
    <row r="2698" spans="1:10" x14ac:dyDescent="0.25">
      <c r="A2698" s="1">
        <v>861</v>
      </c>
      <c r="B2698" t="s">
        <v>40</v>
      </c>
      <c r="C2698">
        <v>104</v>
      </c>
      <c r="D2698">
        <v>8</v>
      </c>
      <c r="E2698" t="s">
        <v>98</v>
      </c>
      <c r="F2698" t="s">
        <v>94</v>
      </c>
      <c r="G2698" t="str">
        <f>"2025-02-02 03:42:27.987"</f>
        <v>2025-02-02 03:42:27.987</v>
      </c>
      <c r="H2698" t="s">
        <v>52</v>
      </c>
    </row>
    <row r="2699" spans="1:10" x14ac:dyDescent="0.25">
      <c r="A2699" s="1">
        <v>862</v>
      </c>
      <c r="B2699" t="s">
        <v>40</v>
      </c>
      <c r="C2699">
        <v>104</v>
      </c>
      <c r="D2699">
        <v>6</v>
      </c>
      <c r="E2699" t="s">
        <v>98</v>
      </c>
      <c r="F2699" t="s">
        <v>95</v>
      </c>
      <c r="G2699" t="str">
        <f>"2025-02-02 03:42:27.985"</f>
        <v>2025-02-02 03:42:27.985</v>
      </c>
      <c r="H2699" t="s">
        <v>52</v>
      </c>
    </row>
    <row r="2700" spans="1:10" x14ac:dyDescent="0.25">
      <c r="A2700" s="1">
        <v>863</v>
      </c>
      <c r="B2700" t="s">
        <v>40</v>
      </c>
      <c r="C2700">
        <v>104</v>
      </c>
      <c r="D2700">
        <v>5</v>
      </c>
      <c r="E2700" t="s">
        <v>98</v>
      </c>
      <c r="F2700" t="s">
        <v>96</v>
      </c>
      <c r="G2700" t="str">
        <f>"2025-02-02 03:42:27.978"</f>
        <v>2025-02-02 03:42:27.978</v>
      </c>
      <c r="H2700" t="s">
        <v>52</v>
      </c>
    </row>
    <row r="2701" spans="1:10" x14ac:dyDescent="0.25">
      <c r="A2701" s="1">
        <v>864</v>
      </c>
      <c r="B2701" t="s">
        <v>40</v>
      </c>
      <c r="C2701">
        <v>104</v>
      </c>
      <c r="D2701">
        <v>1</v>
      </c>
      <c r="E2701" t="s">
        <v>98</v>
      </c>
      <c r="F2701" t="s">
        <v>97</v>
      </c>
      <c r="G2701" t="str">
        <f>"2025-02-02 03:42:27.976"</f>
        <v>2025-02-02 03:42:27.976</v>
      </c>
      <c r="H2701" t="s">
        <v>52</v>
      </c>
    </row>
    <row r="2702" spans="1:10" x14ac:dyDescent="0.25">
      <c r="A2702" s="1">
        <v>865</v>
      </c>
      <c r="B2702" t="s">
        <v>36</v>
      </c>
      <c r="C2702">
        <v>14</v>
      </c>
      <c r="D2702">
        <v>10</v>
      </c>
      <c r="E2702" t="s">
        <v>85</v>
      </c>
      <c r="F2702" t="s">
        <v>87</v>
      </c>
      <c r="G2702" t="str">
        <f>"2025-02-02 03:42:23.412"</f>
        <v>2025-02-02 03:42:23.412</v>
      </c>
      <c r="H2702" t="s">
        <v>25</v>
      </c>
      <c r="I2702">
        <v>20.75</v>
      </c>
      <c r="J2702" t="s">
        <v>27</v>
      </c>
    </row>
    <row r="2703" spans="1:10" x14ac:dyDescent="0.25">
      <c r="A2703" s="1">
        <v>866</v>
      </c>
      <c r="B2703" t="s">
        <v>26</v>
      </c>
      <c r="C2703">
        <v>205</v>
      </c>
      <c r="D2703">
        <v>3</v>
      </c>
      <c r="E2703" t="s">
        <v>90</v>
      </c>
      <c r="F2703" t="s">
        <v>91</v>
      </c>
      <c r="G2703" t="str">
        <f>"2025-02-02 03:42:23.099"</f>
        <v>2025-02-02 03:42:23.099</v>
      </c>
      <c r="H2703" t="s">
        <v>49</v>
      </c>
      <c r="I2703">
        <v>20.73</v>
      </c>
      <c r="J2703" t="s">
        <v>27</v>
      </c>
    </row>
    <row r="2704" spans="1:10" x14ac:dyDescent="0.25">
      <c r="A2704" s="1">
        <v>867</v>
      </c>
      <c r="B2704" t="s">
        <v>26</v>
      </c>
      <c r="C2704">
        <v>105</v>
      </c>
      <c r="D2704">
        <v>3</v>
      </c>
      <c r="E2704" t="s">
        <v>92</v>
      </c>
      <c r="F2704" t="s">
        <v>91</v>
      </c>
      <c r="G2704" t="str">
        <f>"2025-02-02 03:42:23.079"</f>
        <v>2025-02-02 03:42:23.079</v>
      </c>
      <c r="H2704" t="s">
        <v>52</v>
      </c>
      <c r="I2704">
        <v>20.73</v>
      </c>
      <c r="J2704" t="s">
        <v>27</v>
      </c>
    </row>
    <row r="2705" spans="1:10" x14ac:dyDescent="0.25">
      <c r="A2705" s="1">
        <v>868</v>
      </c>
      <c r="B2705" t="s">
        <v>26</v>
      </c>
      <c r="C2705">
        <v>204</v>
      </c>
      <c r="D2705">
        <v>8</v>
      </c>
      <c r="E2705" t="s">
        <v>93</v>
      </c>
      <c r="F2705" t="s">
        <v>94</v>
      </c>
      <c r="G2705" t="str">
        <f>"2025-02-02 03:42:22.922"</f>
        <v>2025-02-02 03:42:22.922</v>
      </c>
      <c r="H2705" t="s">
        <v>49</v>
      </c>
      <c r="I2705">
        <v>20.71</v>
      </c>
      <c r="J2705" t="s">
        <v>27</v>
      </c>
    </row>
    <row r="2706" spans="1:10" x14ac:dyDescent="0.25">
      <c r="A2706" s="1">
        <v>869</v>
      </c>
      <c r="B2706" t="s">
        <v>26</v>
      </c>
      <c r="C2706">
        <v>204</v>
      </c>
      <c r="D2706">
        <v>6</v>
      </c>
      <c r="E2706" t="s">
        <v>93</v>
      </c>
      <c r="F2706" t="s">
        <v>95</v>
      </c>
      <c r="G2706" t="str">
        <f>"2025-02-02 03:42:22.917"</f>
        <v>2025-02-02 03:42:22.917</v>
      </c>
      <c r="H2706" t="s">
        <v>49</v>
      </c>
      <c r="I2706">
        <v>20.71</v>
      </c>
      <c r="J2706" t="s">
        <v>27</v>
      </c>
    </row>
    <row r="2707" spans="1:10" x14ac:dyDescent="0.25">
      <c r="A2707" s="1">
        <v>870</v>
      </c>
      <c r="B2707" t="s">
        <v>26</v>
      </c>
      <c r="C2707">
        <v>204</v>
      </c>
      <c r="D2707">
        <v>5</v>
      </c>
      <c r="E2707" t="s">
        <v>93</v>
      </c>
      <c r="F2707" t="s">
        <v>96</v>
      </c>
      <c r="G2707" t="str">
        <f>"2025-02-02 03:42:22.913"</f>
        <v>2025-02-02 03:42:22.913</v>
      </c>
      <c r="H2707" t="s">
        <v>49</v>
      </c>
      <c r="I2707">
        <v>20.71</v>
      </c>
      <c r="J2707" t="s">
        <v>27</v>
      </c>
    </row>
    <row r="2708" spans="1:10" x14ac:dyDescent="0.25">
      <c r="A2708" s="1">
        <v>871</v>
      </c>
      <c r="B2708" t="s">
        <v>26</v>
      </c>
      <c r="C2708">
        <v>104</v>
      </c>
      <c r="D2708">
        <v>8</v>
      </c>
      <c r="E2708" t="s">
        <v>98</v>
      </c>
      <c r="F2708" t="s">
        <v>94</v>
      </c>
      <c r="G2708" t="str">
        <f>"2025-02-02 03:42:22.908"</f>
        <v>2025-02-02 03:42:22.908</v>
      </c>
      <c r="H2708" t="s">
        <v>52</v>
      </c>
      <c r="I2708">
        <v>20.71</v>
      </c>
      <c r="J2708" t="s">
        <v>27</v>
      </c>
    </row>
    <row r="2709" spans="1:10" x14ac:dyDescent="0.25">
      <c r="A2709" s="1">
        <v>872</v>
      </c>
      <c r="B2709" t="s">
        <v>26</v>
      </c>
      <c r="C2709">
        <v>104</v>
      </c>
      <c r="D2709">
        <v>6</v>
      </c>
      <c r="E2709" t="s">
        <v>98</v>
      </c>
      <c r="F2709" t="s">
        <v>95</v>
      </c>
      <c r="G2709" t="str">
        <f>"2025-02-02 03:42:22.904"</f>
        <v>2025-02-02 03:42:22.904</v>
      </c>
      <c r="H2709" t="s">
        <v>52</v>
      </c>
      <c r="I2709">
        <v>20.71</v>
      </c>
      <c r="J2709" t="s">
        <v>27</v>
      </c>
    </row>
    <row r="2710" spans="1:10" x14ac:dyDescent="0.25">
      <c r="A2710" s="1">
        <v>873</v>
      </c>
      <c r="B2710" t="s">
        <v>26</v>
      </c>
      <c r="C2710">
        <v>104</v>
      </c>
      <c r="D2710">
        <v>5</v>
      </c>
      <c r="E2710" t="s">
        <v>98</v>
      </c>
      <c r="F2710" t="s">
        <v>96</v>
      </c>
      <c r="G2710" t="str">
        <f>"2025-02-02 03:42:22.899"</f>
        <v>2025-02-02 03:42:22.899</v>
      </c>
      <c r="H2710" t="s">
        <v>52</v>
      </c>
      <c r="I2710">
        <v>20.71</v>
      </c>
      <c r="J2710" t="s">
        <v>27</v>
      </c>
    </row>
    <row r="2711" spans="1:10" x14ac:dyDescent="0.25">
      <c r="A2711" s="1">
        <v>874</v>
      </c>
      <c r="B2711" t="s">
        <v>26</v>
      </c>
      <c r="C2711">
        <v>23</v>
      </c>
      <c r="D2711">
        <v>1</v>
      </c>
      <c r="E2711" t="s">
        <v>88</v>
      </c>
      <c r="F2711" t="s">
        <v>89</v>
      </c>
      <c r="G2711" t="str">
        <f>"2025-02-02 03:42:22.645"</f>
        <v>2025-02-02 03:42:22.645</v>
      </c>
      <c r="H2711" t="s">
        <v>46</v>
      </c>
      <c r="I2711">
        <v>20.66</v>
      </c>
      <c r="J2711" t="s">
        <v>27</v>
      </c>
    </row>
    <row r="2712" spans="1:10" x14ac:dyDescent="0.25">
      <c r="A2712" s="1">
        <v>875</v>
      </c>
      <c r="B2712" t="s">
        <v>26</v>
      </c>
      <c r="C2712">
        <v>204</v>
      </c>
      <c r="D2712">
        <v>1</v>
      </c>
      <c r="E2712" t="s">
        <v>93</v>
      </c>
      <c r="F2712" t="s">
        <v>97</v>
      </c>
      <c r="G2712" t="str">
        <f>"2025-02-02 03:42:22.565"</f>
        <v>2025-02-02 03:42:22.565</v>
      </c>
      <c r="H2712" t="s">
        <v>49</v>
      </c>
      <c r="I2712">
        <v>20.63</v>
      </c>
      <c r="J2712" t="s">
        <v>27</v>
      </c>
    </row>
    <row r="2713" spans="1:10" x14ac:dyDescent="0.25">
      <c r="A2713" s="1">
        <v>876</v>
      </c>
      <c r="B2713" t="s">
        <v>26</v>
      </c>
      <c r="C2713">
        <v>104</v>
      </c>
      <c r="D2713">
        <v>1</v>
      </c>
      <c r="E2713" t="s">
        <v>98</v>
      </c>
      <c r="F2713" t="s">
        <v>97</v>
      </c>
      <c r="G2713" t="str">
        <f>"2025-02-02 03:42:22.559"</f>
        <v>2025-02-02 03:42:22.559</v>
      </c>
      <c r="H2713" t="s">
        <v>52</v>
      </c>
      <c r="I2713">
        <v>20.63</v>
      </c>
      <c r="J2713" t="s">
        <v>27</v>
      </c>
    </row>
    <row r="2714" spans="1:10" x14ac:dyDescent="0.25">
      <c r="A2714" s="1">
        <v>877</v>
      </c>
      <c r="B2714" t="s">
        <v>19</v>
      </c>
      <c r="C2714">
        <v>706</v>
      </c>
      <c r="D2714">
        <v>4</v>
      </c>
      <c r="E2714" t="s">
        <v>29</v>
      </c>
      <c r="F2714" t="s">
        <v>53</v>
      </c>
      <c r="G2714" t="str">
        <f>"2025-02-02 03:42:22.454"</f>
        <v>2025-02-02 03:42:22.454</v>
      </c>
      <c r="H2714" t="s">
        <v>21</v>
      </c>
      <c r="I2714">
        <v>20.59</v>
      </c>
      <c r="J2714" t="s">
        <v>27</v>
      </c>
    </row>
    <row r="2715" spans="1:10" x14ac:dyDescent="0.25">
      <c r="A2715" s="1">
        <v>878</v>
      </c>
      <c r="B2715" t="s">
        <v>40</v>
      </c>
      <c r="C2715">
        <v>135</v>
      </c>
      <c r="D2715">
        <v>7</v>
      </c>
      <c r="E2715" t="s">
        <v>116</v>
      </c>
      <c r="F2715" t="s">
        <v>117</v>
      </c>
      <c r="G2715" t="str">
        <f>"2025-01-31 20:44:16.476"</f>
        <v>2025-01-31 20:44:16.476</v>
      </c>
      <c r="H2715" t="s">
        <v>52</v>
      </c>
    </row>
    <row r="2716" spans="1:10" x14ac:dyDescent="0.25">
      <c r="A2716" s="1">
        <v>879</v>
      </c>
      <c r="B2716" t="s">
        <v>26</v>
      </c>
      <c r="C2716">
        <v>135</v>
      </c>
      <c r="D2716">
        <v>7</v>
      </c>
      <c r="E2716" t="s">
        <v>116</v>
      </c>
      <c r="F2716" t="s">
        <v>117</v>
      </c>
      <c r="G2716" t="str">
        <f>"2025-01-31 20:44:11.459"</f>
        <v>2025-01-31 20:44:11.459</v>
      </c>
      <c r="H2716" t="s">
        <v>52</v>
      </c>
      <c r="I2716">
        <v>8.48</v>
      </c>
      <c r="J2716" t="s">
        <v>37</v>
      </c>
    </row>
    <row r="2717" spans="1:10" x14ac:dyDescent="0.25">
      <c r="A2717" s="1">
        <v>880</v>
      </c>
      <c r="B2717" t="s">
        <v>19</v>
      </c>
      <c r="C2717">
        <v>700</v>
      </c>
      <c r="D2717">
        <v>0</v>
      </c>
      <c r="E2717" t="s">
        <v>20</v>
      </c>
      <c r="F2717" t="s">
        <v>20</v>
      </c>
      <c r="G2717" t="str">
        <f>"2025-01-31 12:07:07.934"</f>
        <v>2025-01-31 12:07:07.934</v>
      </c>
      <c r="H2717" t="s">
        <v>21</v>
      </c>
      <c r="I2717">
        <v>0</v>
      </c>
      <c r="J2717" t="s">
        <v>33</v>
      </c>
    </row>
    <row r="2718" spans="1:10" x14ac:dyDescent="0.25">
      <c r="A2718" s="1">
        <v>881</v>
      </c>
      <c r="B2718" t="s">
        <v>19</v>
      </c>
      <c r="C2718">
        <v>700</v>
      </c>
      <c r="D2718">
        <v>0</v>
      </c>
      <c r="E2718" t="s">
        <v>20</v>
      </c>
      <c r="F2718" t="s">
        <v>20</v>
      </c>
      <c r="G2718" t="str">
        <f>"2025-01-31 11:37:09.918"</f>
        <v>2025-01-31 11:37:09.918</v>
      </c>
      <c r="H2718" t="s">
        <v>21</v>
      </c>
    </row>
    <row r="2719" spans="1:10" x14ac:dyDescent="0.25">
      <c r="A2719" s="1">
        <v>882</v>
      </c>
      <c r="B2719" t="s">
        <v>19</v>
      </c>
      <c r="C2719">
        <v>700</v>
      </c>
      <c r="D2719">
        <v>0</v>
      </c>
      <c r="E2719" t="s">
        <v>20</v>
      </c>
      <c r="F2719" t="s">
        <v>20</v>
      </c>
      <c r="G2719" t="str">
        <f>"2025-01-31 10:58:28.939"</f>
        <v>2025-01-31 10:58:28.939</v>
      </c>
      <c r="H2719" t="s">
        <v>21</v>
      </c>
      <c r="I2719">
        <v>0</v>
      </c>
      <c r="J2719" t="s">
        <v>33</v>
      </c>
    </row>
    <row r="2720" spans="1:10" x14ac:dyDescent="0.25">
      <c r="A2720" s="1">
        <v>883</v>
      </c>
      <c r="B2720" t="s">
        <v>19</v>
      </c>
      <c r="C2720">
        <v>700</v>
      </c>
      <c r="D2720">
        <v>0</v>
      </c>
      <c r="E2720" t="s">
        <v>20</v>
      </c>
      <c r="F2720" t="s">
        <v>20</v>
      </c>
      <c r="G2720" t="str">
        <f>"2025-01-31 10:10:28.046"</f>
        <v>2025-01-31 10:10:28.046</v>
      </c>
      <c r="H2720" t="s">
        <v>21</v>
      </c>
    </row>
    <row r="2721" spans="1:10" x14ac:dyDescent="0.25">
      <c r="A2721" s="1">
        <v>884</v>
      </c>
      <c r="B2721" t="s">
        <v>19</v>
      </c>
      <c r="C2721">
        <v>706</v>
      </c>
      <c r="D2721">
        <v>4</v>
      </c>
      <c r="E2721" t="s">
        <v>29</v>
      </c>
      <c r="F2721" t="s">
        <v>53</v>
      </c>
      <c r="G2721" t="str">
        <f>"2025-01-30 22:07:56.061"</f>
        <v>2025-01-30 22:07:56.061</v>
      </c>
      <c r="H2721" t="s">
        <v>21</v>
      </c>
      <c r="I2721">
        <v>0</v>
      </c>
      <c r="J2721" t="s">
        <v>31</v>
      </c>
    </row>
    <row r="2722" spans="1:10" x14ac:dyDescent="0.25">
      <c r="A2722" s="1">
        <v>885</v>
      </c>
      <c r="B2722" t="s">
        <v>19</v>
      </c>
      <c r="C2722">
        <v>700</v>
      </c>
      <c r="D2722">
        <v>0</v>
      </c>
      <c r="E2722" t="s">
        <v>20</v>
      </c>
      <c r="F2722" t="s">
        <v>20</v>
      </c>
      <c r="G2722" t="str">
        <f>"2025-01-30 22:07:35.931"</f>
        <v>2025-01-30 22:07:35.931</v>
      </c>
      <c r="H2722" t="s">
        <v>21</v>
      </c>
      <c r="I2722">
        <v>0</v>
      </c>
      <c r="J2722" t="s">
        <v>33</v>
      </c>
    </row>
    <row r="2723" spans="1:10" x14ac:dyDescent="0.25">
      <c r="A2723" s="1">
        <v>886</v>
      </c>
      <c r="B2723" t="s">
        <v>19</v>
      </c>
      <c r="C2723">
        <v>700</v>
      </c>
      <c r="D2723">
        <v>0</v>
      </c>
      <c r="E2723" t="s">
        <v>20</v>
      </c>
      <c r="F2723" t="s">
        <v>20</v>
      </c>
      <c r="G2723" t="str">
        <f>"2025-01-30 22:04:47.937"</f>
        <v>2025-01-30 22:04:47.937</v>
      </c>
      <c r="H2723" t="s">
        <v>21</v>
      </c>
      <c r="I2723">
        <v>0</v>
      </c>
      <c r="J2723" t="s">
        <v>33</v>
      </c>
    </row>
    <row r="2724" spans="1:10" x14ac:dyDescent="0.25">
      <c r="A2724" s="1">
        <v>887</v>
      </c>
      <c r="B2724" t="s">
        <v>19</v>
      </c>
      <c r="C2724">
        <v>700</v>
      </c>
      <c r="D2724">
        <v>0</v>
      </c>
      <c r="E2724" t="s">
        <v>20</v>
      </c>
      <c r="F2724" t="s">
        <v>20</v>
      </c>
      <c r="G2724" t="str">
        <f>"2025-01-30 20:38:52.076"</f>
        <v>2025-01-30 20:38:52.076</v>
      </c>
      <c r="H2724" t="s">
        <v>21</v>
      </c>
      <c r="I2724">
        <v>0</v>
      </c>
      <c r="J2724" t="s">
        <v>33</v>
      </c>
    </row>
    <row r="2725" spans="1:10" x14ac:dyDescent="0.25">
      <c r="A2725" s="1">
        <v>888</v>
      </c>
      <c r="B2725" t="s">
        <v>22</v>
      </c>
      <c r="C2725">
        <v>635</v>
      </c>
      <c r="D2725">
        <v>1</v>
      </c>
      <c r="E2725" t="s">
        <v>34</v>
      </c>
      <c r="F2725" t="s">
        <v>35</v>
      </c>
      <c r="G2725" t="str">
        <f>"2025-01-30 09:13:11.851"</f>
        <v>2025-01-30 09:13:11.851</v>
      </c>
      <c r="H2725" t="s">
        <v>21</v>
      </c>
    </row>
    <row r="2726" spans="1:10" x14ac:dyDescent="0.25">
      <c r="A2726" s="1">
        <v>889</v>
      </c>
      <c r="B2726" t="s">
        <v>36</v>
      </c>
      <c r="C2726">
        <v>635</v>
      </c>
      <c r="D2726">
        <v>1</v>
      </c>
      <c r="E2726" t="s">
        <v>34</v>
      </c>
      <c r="F2726" t="s">
        <v>35</v>
      </c>
      <c r="G2726" t="str">
        <f>"2025-01-30 08:58:49.351"</f>
        <v>2025-01-30 08:58:49.351</v>
      </c>
      <c r="H2726" t="s">
        <v>21</v>
      </c>
      <c r="I2726">
        <v>8.2100000000000009</v>
      </c>
      <c r="J2726" t="s">
        <v>27</v>
      </c>
    </row>
    <row r="2727" spans="1:10" x14ac:dyDescent="0.25">
      <c r="A2727" s="1">
        <v>890</v>
      </c>
      <c r="B2727" t="s">
        <v>22</v>
      </c>
      <c r="C2727">
        <v>635</v>
      </c>
      <c r="D2727">
        <v>1</v>
      </c>
      <c r="E2727" t="s">
        <v>34</v>
      </c>
      <c r="F2727" t="s">
        <v>35</v>
      </c>
      <c r="G2727" t="str">
        <f>"2025-01-30 04:20:29.251"</f>
        <v>2025-01-30 04:20:29.251</v>
      </c>
      <c r="H2727" t="s">
        <v>21</v>
      </c>
    </row>
    <row r="2728" spans="1:10" x14ac:dyDescent="0.25">
      <c r="A2728" s="1">
        <v>891</v>
      </c>
      <c r="B2728" t="s">
        <v>36</v>
      </c>
      <c r="C2728">
        <v>635</v>
      </c>
      <c r="D2728">
        <v>1</v>
      </c>
      <c r="E2728" t="s">
        <v>34</v>
      </c>
      <c r="F2728" t="s">
        <v>35</v>
      </c>
      <c r="G2728" t="str">
        <f>"2025-01-30 04:14:58.251"</f>
        <v>2025-01-30 04:14:58.251</v>
      </c>
      <c r="H2728" t="s">
        <v>21</v>
      </c>
      <c r="I2728">
        <v>0.87</v>
      </c>
      <c r="J2728" t="s">
        <v>37</v>
      </c>
    </row>
    <row r="2729" spans="1:10" x14ac:dyDescent="0.25">
      <c r="A2729" s="1">
        <v>893</v>
      </c>
      <c r="B2729" t="s">
        <v>19</v>
      </c>
      <c r="C2729">
        <v>700</v>
      </c>
      <c r="D2729">
        <v>0</v>
      </c>
      <c r="E2729" t="s">
        <v>20</v>
      </c>
      <c r="F2729" t="s">
        <v>20</v>
      </c>
      <c r="G2729" t="str">
        <f>"2025-01-29 09:46:31.924"</f>
        <v>2025-01-29 09:46:31.924</v>
      </c>
      <c r="H2729" t="s">
        <v>21</v>
      </c>
      <c r="I2729">
        <v>0</v>
      </c>
      <c r="J2729" t="s">
        <v>33</v>
      </c>
    </row>
    <row r="2730" spans="1:10" x14ac:dyDescent="0.25">
      <c r="A2730" s="1">
        <v>894</v>
      </c>
      <c r="B2730" t="s">
        <v>19</v>
      </c>
      <c r="C2730">
        <v>700</v>
      </c>
      <c r="D2730">
        <v>0</v>
      </c>
      <c r="E2730" t="s">
        <v>20</v>
      </c>
      <c r="F2730" t="s">
        <v>20</v>
      </c>
      <c r="G2730" t="str">
        <f>"2025-01-29 09:40:57.928"</f>
        <v>2025-01-29 09:40:57.928</v>
      </c>
      <c r="H2730" t="s">
        <v>21</v>
      </c>
    </row>
    <row r="2731" spans="1:10" x14ac:dyDescent="0.25">
      <c r="A2731" s="1">
        <v>895</v>
      </c>
      <c r="B2731" t="s">
        <v>19</v>
      </c>
      <c r="C2731">
        <v>706</v>
      </c>
      <c r="D2731">
        <v>4</v>
      </c>
      <c r="E2731" t="s">
        <v>29</v>
      </c>
      <c r="F2731" t="s">
        <v>53</v>
      </c>
      <c r="G2731" t="str">
        <f>"2025-01-27 20:48:06.979"</f>
        <v>2025-01-27 20:48:06.979</v>
      </c>
      <c r="H2731" t="s">
        <v>21</v>
      </c>
      <c r="I2731">
        <v>0</v>
      </c>
      <c r="J2731" t="s">
        <v>31</v>
      </c>
    </row>
    <row r="2732" spans="1:10" x14ac:dyDescent="0.25">
      <c r="A2732" s="1">
        <v>896</v>
      </c>
      <c r="B2732" t="s">
        <v>19</v>
      </c>
      <c r="C2732">
        <v>706</v>
      </c>
      <c r="D2732">
        <v>2</v>
      </c>
      <c r="E2732" t="s">
        <v>29</v>
      </c>
      <c r="F2732" t="s">
        <v>30</v>
      </c>
      <c r="G2732" t="str">
        <f>"2025-01-27 20:08:49.329"</f>
        <v>2025-01-27 20:08:49.329</v>
      </c>
      <c r="H2732" t="s">
        <v>21</v>
      </c>
      <c r="I2732">
        <v>0</v>
      </c>
      <c r="J2732" t="s">
        <v>31</v>
      </c>
    </row>
    <row r="2733" spans="1:10" x14ac:dyDescent="0.25">
      <c r="A2733" s="1">
        <v>897</v>
      </c>
      <c r="B2733" t="s">
        <v>19</v>
      </c>
      <c r="C2733">
        <v>700</v>
      </c>
      <c r="D2733">
        <v>0</v>
      </c>
      <c r="E2733" t="s">
        <v>20</v>
      </c>
      <c r="F2733" t="s">
        <v>20</v>
      </c>
      <c r="G2733" t="str">
        <f>"2025-01-27 20:08:17.929"</f>
        <v>2025-01-27 20:08:17.929</v>
      </c>
      <c r="H2733" t="s">
        <v>21</v>
      </c>
      <c r="I2733">
        <v>0</v>
      </c>
      <c r="J2733" t="s">
        <v>33</v>
      </c>
    </row>
    <row r="2734" spans="1:10" x14ac:dyDescent="0.25">
      <c r="A2734" s="1">
        <v>898</v>
      </c>
      <c r="B2734" t="s">
        <v>22</v>
      </c>
      <c r="C2734">
        <v>635</v>
      </c>
      <c r="D2734">
        <v>1</v>
      </c>
      <c r="E2734" t="s">
        <v>34</v>
      </c>
      <c r="F2734" t="s">
        <v>35</v>
      </c>
      <c r="G2734" t="str">
        <f>"2025-01-27 17:33:53.815"</f>
        <v>2025-01-27 17:33:53.815</v>
      </c>
      <c r="H2734" t="s">
        <v>21</v>
      </c>
    </row>
    <row r="2735" spans="1:10" x14ac:dyDescent="0.25">
      <c r="A2735" s="1">
        <v>899</v>
      </c>
      <c r="B2735" t="s">
        <v>36</v>
      </c>
      <c r="C2735">
        <v>635</v>
      </c>
      <c r="D2735">
        <v>1</v>
      </c>
      <c r="E2735" t="s">
        <v>34</v>
      </c>
      <c r="F2735" t="s">
        <v>35</v>
      </c>
      <c r="G2735" t="str">
        <f>"2025-01-27 17:15:34.915"</f>
        <v>2025-01-27 17:15:34.915</v>
      </c>
      <c r="H2735" t="s">
        <v>21</v>
      </c>
      <c r="I2735">
        <v>8.2899999999999991</v>
      </c>
      <c r="J2735" t="s">
        <v>37</v>
      </c>
    </row>
    <row r="2736" spans="1:10" x14ac:dyDescent="0.25">
      <c r="A2736" s="1">
        <v>900</v>
      </c>
      <c r="B2736" t="s">
        <v>22</v>
      </c>
      <c r="C2736">
        <v>635</v>
      </c>
      <c r="D2736">
        <v>1</v>
      </c>
      <c r="E2736" t="s">
        <v>34</v>
      </c>
      <c r="F2736" t="s">
        <v>35</v>
      </c>
      <c r="G2736" t="str">
        <f>"2025-01-27 15:24:10.515"</f>
        <v>2025-01-27 15:24:10.515</v>
      </c>
      <c r="H2736" t="s">
        <v>21</v>
      </c>
    </row>
    <row r="2737" spans="1:10" x14ac:dyDescent="0.25">
      <c r="A2737" s="1">
        <v>901</v>
      </c>
      <c r="B2737" t="s">
        <v>36</v>
      </c>
      <c r="C2737">
        <v>635</v>
      </c>
      <c r="D2737">
        <v>1</v>
      </c>
      <c r="E2737" t="s">
        <v>34</v>
      </c>
      <c r="F2737" t="s">
        <v>35</v>
      </c>
      <c r="G2737" t="str">
        <f>"2025-01-27 15:03:07.115"</f>
        <v>2025-01-27 15:03:07.115</v>
      </c>
      <c r="H2737" t="s">
        <v>21</v>
      </c>
      <c r="I2737">
        <v>8.16</v>
      </c>
      <c r="J2737" t="s">
        <v>37</v>
      </c>
    </row>
    <row r="2738" spans="1:10" x14ac:dyDescent="0.25">
      <c r="A2738" s="1">
        <v>902</v>
      </c>
      <c r="B2738" t="s">
        <v>22</v>
      </c>
      <c r="C2738">
        <v>635</v>
      </c>
      <c r="D2738">
        <v>1</v>
      </c>
      <c r="E2738" t="s">
        <v>34</v>
      </c>
      <c r="F2738" t="s">
        <v>35</v>
      </c>
      <c r="G2738" t="str">
        <f>"2025-01-26 19:30:08.915"</f>
        <v>2025-01-26 19:30:08.915</v>
      </c>
      <c r="H2738" t="s">
        <v>21</v>
      </c>
    </row>
    <row r="2739" spans="1:10" x14ac:dyDescent="0.25">
      <c r="A2739" s="1">
        <v>903</v>
      </c>
      <c r="B2739" t="s">
        <v>36</v>
      </c>
      <c r="C2739">
        <v>635</v>
      </c>
      <c r="D2739">
        <v>1</v>
      </c>
      <c r="E2739" t="s">
        <v>34</v>
      </c>
      <c r="F2739" t="s">
        <v>35</v>
      </c>
      <c r="G2739" t="str">
        <f>"2025-01-26 18:57:18.415"</f>
        <v>2025-01-26 18:57:18.415</v>
      </c>
      <c r="H2739" t="s">
        <v>21</v>
      </c>
      <c r="I2739">
        <v>9.8000000000000007</v>
      </c>
      <c r="J2739" t="s">
        <v>27</v>
      </c>
    </row>
    <row r="2740" spans="1:10" x14ac:dyDescent="0.25">
      <c r="A2740" s="1">
        <v>904</v>
      </c>
      <c r="B2740" t="s">
        <v>22</v>
      </c>
      <c r="C2740">
        <v>635</v>
      </c>
      <c r="D2740">
        <v>1</v>
      </c>
      <c r="E2740" t="s">
        <v>34</v>
      </c>
      <c r="F2740" t="s">
        <v>35</v>
      </c>
      <c r="G2740" t="str">
        <f>"2025-01-25 22:04:00.315"</f>
        <v>2025-01-25 22:04:00.315</v>
      </c>
      <c r="H2740" t="s">
        <v>21</v>
      </c>
    </row>
    <row r="2741" spans="1:10" x14ac:dyDescent="0.25">
      <c r="A2741" s="1">
        <v>905</v>
      </c>
      <c r="B2741" t="s">
        <v>36</v>
      </c>
      <c r="C2741">
        <v>635</v>
      </c>
      <c r="D2741">
        <v>1</v>
      </c>
      <c r="E2741" t="s">
        <v>34</v>
      </c>
      <c r="F2741" t="s">
        <v>35</v>
      </c>
      <c r="G2741" t="str">
        <f>"2025-01-25 22:00:01.415"</f>
        <v>2025-01-25 22:00:01.415</v>
      </c>
      <c r="H2741" t="s">
        <v>21</v>
      </c>
      <c r="I2741">
        <v>1.44</v>
      </c>
      <c r="J2741" t="s">
        <v>37</v>
      </c>
    </row>
    <row r="2742" spans="1:10" x14ac:dyDescent="0.25">
      <c r="A2742" s="1">
        <v>906</v>
      </c>
      <c r="B2742" t="s">
        <v>19</v>
      </c>
      <c r="C2742">
        <v>700</v>
      </c>
      <c r="D2742">
        <v>0</v>
      </c>
      <c r="E2742" t="s">
        <v>20</v>
      </c>
      <c r="F2742" t="s">
        <v>20</v>
      </c>
      <c r="G2742" t="str">
        <f>"2025-01-25 10:14:48.932"</f>
        <v>2025-01-25 10:14:48.932</v>
      </c>
      <c r="H2742" t="s">
        <v>21</v>
      </c>
    </row>
    <row r="2743" spans="1:10" x14ac:dyDescent="0.25">
      <c r="A2743" s="1">
        <v>907</v>
      </c>
      <c r="B2743" t="s">
        <v>22</v>
      </c>
      <c r="C2743">
        <v>635</v>
      </c>
      <c r="D2743">
        <v>1</v>
      </c>
      <c r="E2743" t="s">
        <v>34</v>
      </c>
      <c r="F2743" t="s">
        <v>35</v>
      </c>
      <c r="G2743" t="str">
        <f>"2025-01-23 11:20:56.253"</f>
        <v>2025-01-23 11:20:56.253</v>
      </c>
      <c r="H2743" t="s">
        <v>21</v>
      </c>
    </row>
    <row r="2744" spans="1:10" x14ac:dyDescent="0.25">
      <c r="A2744" s="1">
        <v>908</v>
      </c>
      <c r="B2744" t="s">
        <v>36</v>
      </c>
      <c r="C2744">
        <v>635</v>
      </c>
      <c r="D2744">
        <v>1</v>
      </c>
      <c r="E2744" t="s">
        <v>34</v>
      </c>
      <c r="F2744" t="s">
        <v>35</v>
      </c>
      <c r="G2744" t="str">
        <f>"2025-01-23 11:17:54.753"</f>
        <v>2025-01-23 11:17:54.753</v>
      </c>
      <c r="H2744" t="s">
        <v>21</v>
      </c>
      <c r="I2744">
        <v>1.57</v>
      </c>
      <c r="J2744" t="s">
        <v>27</v>
      </c>
    </row>
    <row r="2745" spans="1:10" x14ac:dyDescent="0.25">
      <c r="A2745" s="1">
        <v>909</v>
      </c>
      <c r="B2745" t="s">
        <v>22</v>
      </c>
      <c r="C2745">
        <v>635</v>
      </c>
      <c r="D2745">
        <v>1</v>
      </c>
      <c r="E2745" t="s">
        <v>34</v>
      </c>
      <c r="F2745" t="s">
        <v>35</v>
      </c>
      <c r="G2745" t="str">
        <f>"2025-01-23 08:47:45.053"</f>
        <v>2025-01-23 08:47:45.053</v>
      </c>
      <c r="H2745" t="s">
        <v>21</v>
      </c>
    </row>
    <row r="2746" spans="1:10" x14ac:dyDescent="0.25">
      <c r="A2746" s="1">
        <v>910</v>
      </c>
      <c r="B2746" t="s">
        <v>36</v>
      </c>
      <c r="C2746">
        <v>635</v>
      </c>
      <c r="D2746">
        <v>1</v>
      </c>
      <c r="E2746" t="s">
        <v>34</v>
      </c>
      <c r="F2746" t="s">
        <v>35</v>
      </c>
      <c r="G2746" t="str">
        <f>"2025-01-23 08:44:50.553"</f>
        <v>2025-01-23 08:44:50.553</v>
      </c>
      <c r="H2746" t="s">
        <v>21</v>
      </c>
      <c r="I2746">
        <v>5.52</v>
      </c>
      <c r="J2746" t="s">
        <v>37</v>
      </c>
    </row>
    <row r="2747" spans="1:10" x14ac:dyDescent="0.25">
      <c r="A2747" s="1">
        <v>911</v>
      </c>
      <c r="B2747" t="s">
        <v>22</v>
      </c>
      <c r="C2747">
        <v>61</v>
      </c>
      <c r="D2747">
        <v>2</v>
      </c>
      <c r="E2747" t="s">
        <v>66</v>
      </c>
      <c r="F2747" t="s">
        <v>67</v>
      </c>
      <c r="G2747" t="str">
        <f>"2025-01-21 17:39:42.554"</f>
        <v>2025-01-21 17:39:42.554</v>
      </c>
      <c r="H2747" t="s">
        <v>21</v>
      </c>
    </row>
    <row r="2748" spans="1:10" x14ac:dyDescent="0.25">
      <c r="A2748" s="1">
        <v>912</v>
      </c>
      <c r="B2748" t="s">
        <v>26</v>
      </c>
      <c r="C2748">
        <v>61</v>
      </c>
      <c r="D2748">
        <v>2</v>
      </c>
      <c r="E2748" t="s">
        <v>66</v>
      </c>
      <c r="F2748" t="s">
        <v>67</v>
      </c>
      <c r="G2748" t="str">
        <f>"2025-01-21 17:39:23.854"</f>
        <v>2025-01-21 17:39:23.854</v>
      </c>
      <c r="H2748" t="s">
        <v>21</v>
      </c>
      <c r="I2748">
        <v>35.659999999999997</v>
      </c>
      <c r="J2748" t="s">
        <v>27</v>
      </c>
    </row>
    <row r="2749" spans="1:10" x14ac:dyDescent="0.25">
      <c r="A2749" s="1">
        <v>913</v>
      </c>
      <c r="B2749" t="s">
        <v>22</v>
      </c>
      <c r="C2749">
        <v>635</v>
      </c>
      <c r="D2749">
        <v>1</v>
      </c>
      <c r="E2749" t="s">
        <v>34</v>
      </c>
      <c r="F2749" t="s">
        <v>35</v>
      </c>
      <c r="G2749" t="str">
        <f>"2025-01-21 16:21:33.253"</f>
        <v>2025-01-21 16:21:33.253</v>
      </c>
      <c r="H2749" t="s">
        <v>21</v>
      </c>
    </row>
    <row r="2750" spans="1:10" x14ac:dyDescent="0.25">
      <c r="A2750" s="1">
        <v>914</v>
      </c>
      <c r="B2750" t="s">
        <v>36</v>
      </c>
      <c r="C2750">
        <v>635</v>
      </c>
      <c r="D2750">
        <v>1</v>
      </c>
      <c r="E2750" t="s">
        <v>34</v>
      </c>
      <c r="F2750" t="s">
        <v>35</v>
      </c>
      <c r="G2750" t="str">
        <f>"2025-01-21 16:06:57.253"</f>
        <v>2025-01-21 16:06:57.253</v>
      </c>
      <c r="H2750" t="s">
        <v>21</v>
      </c>
      <c r="I2750">
        <v>8.6999999999999993</v>
      </c>
      <c r="J2750" t="s">
        <v>27</v>
      </c>
    </row>
    <row r="2751" spans="1:10" s="3" customFormat="1" x14ac:dyDescent="0.25">
      <c r="A2751" s="2">
        <v>915</v>
      </c>
      <c r="B2751" s="3" t="s">
        <v>22</v>
      </c>
      <c r="C2751" s="3">
        <v>647</v>
      </c>
      <c r="D2751" s="3">
        <v>1</v>
      </c>
      <c r="E2751" s="3" t="s">
        <v>54</v>
      </c>
      <c r="F2751" s="3" t="s">
        <v>55</v>
      </c>
      <c r="G2751" s="3" t="str">
        <f>"2025-01-21 10:18:55.554"</f>
        <v>2025-01-21 10:18:55.554</v>
      </c>
      <c r="H2751" s="3" t="s">
        <v>21</v>
      </c>
    </row>
    <row r="2752" spans="1:10" s="3" customFormat="1" x14ac:dyDescent="0.25">
      <c r="A2752" s="2">
        <v>916</v>
      </c>
      <c r="B2752" s="3" t="s">
        <v>36</v>
      </c>
      <c r="C2752" s="3">
        <v>647</v>
      </c>
      <c r="D2752" s="3">
        <v>1</v>
      </c>
      <c r="E2752" s="3" t="s">
        <v>54</v>
      </c>
      <c r="F2752" s="3" t="s">
        <v>55</v>
      </c>
      <c r="G2752" s="3" t="str">
        <f>"2025-01-21 10:18:49.854"</f>
        <v>2025-01-21 10:18:49.854</v>
      </c>
      <c r="H2752" s="3" t="s">
        <v>21</v>
      </c>
      <c r="I2752" s="3">
        <v>12.48</v>
      </c>
      <c r="J2752" s="3" t="s">
        <v>27</v>
      </c>
    </row>
    <row r="2753" spans="1:10" x14ac:dyDescent="0.25">
      <c r="A2753" s="1">
        <v>917</v>
      </c>
      <c r="B2753" t="s">
        <v>22</v>
      </c>
      <c r="C2753">
        <v>635</v>
      </c>
      <c r="D2753">
        <v>1</v>
      </c>
      <c r="E2753" t="s">
        <v>34</v>
      </c>
      <c r="F2753" t="s">
        <v>35</v>
      </c>
      <c r="G2753" t="str">
        <f>"2025-01-21 10:16:48.753"</f>
        <v>2025-01-21 10:16:48.753</v>
      </c>
      <c r="H2753" t="s">
        <v>21</v>
      </c>
    </row>
    <row r="2754" spans="1:10" x14ac:dyDescent="0.25">
      <c r="A2754" s="1">
        <v>918</v>
      </c>
      <c r="B2754" t="s">
        <v>36</v>
      </c>
      <c r="C2754">
        <v>635</v>
      </c>
      <c r="D2754">
        <v>1</v>
      </c>
      <c r="E2754" t="s">
        <v>34</v>
      </c>
      <c r="F2754" t="s">
        <v>35</v>
      </c>
      <c r="G2754" t="str">
        <f>"2025-01-21 09:51:19.853"</f>
        <v>2025-01-21 09:51:19.853</v>
      </c>
      <c r="H2754" t="s">
        <v>21</v>
      </c>
      <c r="I2754">
        <v>10.6</v>
      </c>
      <c r="J2754" t="s">
        <v>27</v>
      </c>
    </row>
    <row r="2755" spans="1:10" x14ac:dyDescent="0.25">
      <c r="A2755" s="1">
        <v>919</v>
      </c>
      <c r="B2755" t="s">
        <v>22</v>
      </c>
      <c r="C2755">
        <v>635</v>
      </c>
      <c r="D2755">
        <v>1</v>
      </c>
      <c r="E2755" t="s">
        <v>34</v>
      </c>
      <c r="F2755" t="s">
        <v>35</v>
      </c>
      <c r="G2755" t="str">
        <f>"2025-01-20 18:23:49.753"</f>
        <v>2025-01-20 18:23:49.753</v>
      </c>
      <c r="H2755" t="s">
        <v>21</v>
      </c>
    </row>
    <row r="2756" spans="1:10" x14ac:dyDescent="0.25">
      <c r="A2756" s="1">
        <v>920</v>
      </c>
      <c r="B2756" t="s">
        <v>36</v>
      </c>
      <c r="C2756">
        <v>635</v>
      </c>
      <c r="D2756">
        <v>1</v>
      </c>
      <c r="E2756" t="s">
        <v>34</v>
      </c>
      <c r="F2756" t="s">
        <v>35</v>
      </c>
      <c r="G2756" t="str">
        <f>"2025-01-20 18:20:37.253"</f>
        <v>2025-01-20 18:20:37.253</v>
      </c>
      <c r="H2756" t="s">
        <v>21</v>
      </c>
      <c r="I2756">
        <v>2.77</v>
      </c>
      <c r="J2756" t="s">
        <v>28</v>
      </c>
    </row>
    <row r="2757" spans="1:10" x14ac:dyDescent="0.25">
      <c r="A2757" s="1">
        <v>921</v>
      </c>
      <c r="B2757" t="s">
        <v>19</v>
      </c>
      <c r="C2757">
        <v>706</v>
      </c>
      <c r="D2757">
        <v>4</v>
      </c>
      <c r="E2757" t="s">
        <v>29</v>
      </c>
      <c r="F2757" t="s">
        <v>53</v>
      </c>
      <c r="G2757" t="str">
        <f>"2025-01-20 16:59:37.802"</f>
        <v>2025-01-20 16:59:37.802</v>
      </c>
      <c r="H2757" t="s">
        <v>21</v>
      </c>
      <c r="I2757">
        <v>0</v>
      </c>
      <c r="J2757" t="s">
        <v>31</v>
      </c>
    </row>
    <row r="2758" spans="1:10" x14ac:dyDescent="0.25">
      <c r="A2758" s="1">
        <v>922</v>
      </c>
      <c r="B2758" t="s">
        <v>19</v>
      </c>
      <c r="C2758">
        <v>700</v>
      </c>
      <c r="D2758">
        <v>0</v>
      </c>
      <c r="E2758" t="s">
        <v>20</v>
      </c>
      <c r="F2758" t="s">
        <v>20</v>
      </c>
      <c r="G2758" t="str">
        <f>"2025-01-20 16:39:15.972"</f>
        <v>2025-01-20 16:39:15.972</v>
      </c>
      <c r="H2758" t="s">
        <v>21</v>
      </c>
    </row>
    <row r="2759" spans="1:10" x14ac:dyDescent="0.25">
      <c r="A2759" s="1">
        <v>923</v>
      </c>
      <c r="B2759" t="s">
        <v>19</v>
      </c>
      <c r="C2759">
        <v>700</v>
      </c>
      <c r="D2759">
        <v>0</v>
      </c>
      <c r="E2759" t="s">
        <v>20</v>
      </c>
      <c r="F2759" t="s">
        <v>20</v>
      </c>
      <c r="G2759" t="str">
        <f>"2025-01-20 16:32:04.920"</f>
        <v>2025-01-20 16:32:04.920</v>
      </c>
      <c r="H2759" t="s">
        <v>21</v>
      </c>
    </row>
    <row r="2760" spans="1:10" x14ac:dyDescent="0.25">
      <c r="A2760" s="1">
        <v>924</v>
      </c>
      <c r="B2760" t="s">
        <v>19</v>
      </c>
      <c r="C2760">
        <v>700</v>
      </c>
      <c r="D2760">
        <v>0</v>
      </c>
      <c r="E2760" t="s">
        <v>20</v>
      </c>
      <c r="F2760" t="s">
        <v>20</v>
      </c>
      <c r="G2760" t="str">
        <f>"2025-01-20 16:30:19.916"</f>
        <v>2025-01-20 16:30:19.916</v>
      </c>
      <c r="H2760" t="s">
        <v>21</v>
      </c>
    </row>
    <row r="2761" spans="1:10" x14ac:dyDescent="0.25">
      <c r="A2761" s="1">
        <v>925</v>
      </c>
      <c r="B2761" t="s">
        <v>19</v>
      </c>
      <c r="C2761">
        <v>706</v>
      </c>
      <c r="D2761">
        <v>2</v>
      </c>
      <c r="E2761" t="s">
        <v>29</v>
      </c>
      <c r="F2761" t="s">
        <v>30</v>
      </c>
      <c r="G2761" t="str">
        <f>"2025-01-20 16:17:00.668"</f>
        <v>2025-01-20 16:17:00.668</v>
      </c>
      <c r="H2761" t="s">
        <v>21</v>
      </c>
      <c r="I2761">
        <v>0</v>
      </c>
      <c r="J2761" t="s">
        <v>31</v>
      </c>
    </row>
    <row r="2762" spans="1:10" x14ac:dyDescent="0.25">
      <c r="A2762" s="1">
        <v>926</v>
      </c>
      <c r="B2762" t="s">
        <v>19</v>
      </c>
      <c r="C2762">
        <v>700</v>
      </c>
      <c r="D2762">
        <v>0</v>
      </c>
      <c r="E2762" t="s">
        <v>20</v>
      </c>
      <c r="F2762" t="s">
        <v>20</v>
      </c>
      <c r="G2762" t="str">
        <f>"2025-01-20 16:06:40.928"</f>
        <v>2025-01-20 16:06:40.928</v>
      </c>
      <c r="H2762" t="s">
        <v>21</v>
      </c>
      <c r="I2762">
        <v>0</v>
      </c>
      <c r="J2762" t="s">
        <v>33</v>
      </c>
    </row>
    <row r="2763" spans="1:10" x14ac:dyDescent="0.25">
      <c r="A2763" s="1">
        <v>927</v>
      </c>
      <c r="B2763" t="s">
        <v>19</v>
      </c>
      <c r="C2763">
        <v>700</v>
      </c>
      <c r="D2763">
        <v>0</v>
      </c>
      <c r="E2763" t="s">
        <v>20</v>
      </c>
      <c r="F2763" t="s">
        <v>20</v>
      </c>
      <c r="G2763" t="str">
        <f>"2025-01-20 13:43:15.207"</f>
        <v>2025-01-20 13:43:15.207</v>
      </c>
      <c r="H2763" t="s">
        <v>21</v>
      </c>
      <c r="I2763">
        <v>0</v>
      </c>
      <c r="J2763" t="s">
        <v>33</v>
      </c>
    </row>
    <row r="2764" spans="1:10" x14ac:dyDescent="0.25">
      <c r="A2764" s="1">
        <v>928</v>
      </c>
      <c r="B2764" t="s">
        <v>22</v>
      </c>
      <c r="C2764">
        <v>635</v>
      </c>
      <c r="D2764">
        <v>1</v>
      </c>
      <c r="E2764" t="s">
        <v>34</v>
      </c>
      <c r="F2764" t="s">
        <v>35</v>
      </c>
      <c r="G2764" t="str">
        <f>"2025-01-20 12:17:08.564"</f>
        <v>2025-01-20 12:17:08.564</v>
      </c>
      <c r="H2764" t="s">
        <v>21</v>
      </c>
    </row>
    <row r="2765" spans="1:10" x14ac:dyDescent="0.25">
      <c r="A2765" s="1">
        <v>929</v>
      </c>
      <c r="B2765" t="s">
        <v>36</v>
      </c>
      <c r="C2765">
        <v>635</v>
      </c>
      <c r="D2765">
        <v>1</v>
      </c>
      <c r="E2765" t="s">
        <v>34</v>
      </c>
      <c r="F2765" t="s">
        <v>35</v>
      </c>
      <c r="G2765" t="str">
        <f>"2025-01-20 11:59:13.064"</f>
        <v>2025-01-20 11:59:13.064</v>
      </c>
      <c r="H2765" t="s">
        <v>21</v>
      </c>
      <c r="I2765">
        <v>9.3699999999999992</v>
      </c>
      <c r="J2765" t="s">
        <v>37</v>
      </c>
    </row>
    <row r="2766" spans="1:10" x14ac:dyDescent="0.25">
      <c r="A2766" s="1">
        <v>930</v>
      </c>
      <c r="B2766" t="s">
        <v>19</v>
      </c>
      <c r="C2766">
        <v>706</v>
      </c>
      <c r="D2766">
        <v>2</v>
      </c>
      <c r="E2766" t="s">
        <v>29</v>
      </c>
      <c r="F2766" t="s">
        <v>30</v>
      </c>
      <c r="G2766" t="str">
        <f>"2025-01-20 11:21:32.856"</f>
        <v>2025-01-20 11:21:32.856</v>
      </c>
      <c r="H2766" t="s">
        <v>21</v>
      </c>
      <c r="I2766">
        <v>0</v>
      </c>
      <c r="J2766" t="s">
        <v>31</v>
      </c>
    </row>
    <row r="2767" spans="1:10" s="3" customFormat="1" x14ac:dyDescent="0.25">
      <c r="A2767" s="2">
        <v>931</v>
      </c>
      <c r="B2767" s="3" t="s">
        <v>22</v>
      </c>
      <c r="C2767" s="3">
        <v>647</v>
      </c>
      <c r="D2767" s="3">
        <v>1</v>
      </c>
      <c r="E2767" s="3" t="s">
        <v>54</v>
      </c>
      <c r="F2767" s="3" t="s">
        <v>55</v>
      </c>
      <c r="G2767" s="3" t="str">
        <f>"2025-01-20 09:10:07.218"</f>
        <v>2025-01-20 09:10:07.218</v>
      </c>
      <c r="H2767" s="3" t="s">
        <v>21</v>
      </c>
    </row>
    <row r="2768" spans="1:10" s="3" customFormat="1" x14ac:dyDescent="0.25">
      <c r="A2768" s="2">
        <v>932</v>
      </c>
      <c r="B2768" s="3" t="s">
        <v>36</v>
      </c>
      <c r="C2768" s="3">
        <v>647</v>
      </c>
      <c r="D2768" s="3">
        <v>1</v>
      </c>
      <c r="E2768" s="3" t="s">
        <v>54</v>
      </c>
      <c r="F2768" s="3" t="s">
        <v>55</v>
      </c>
      <c r="G2768" s="3" t="str">
        <f>"2025-01-20 09:10:06.118"</f>
        <v>2025-01-20 09:10:06.118</v>
      </c>
      <c r="H2768" s="3" t="s">
        <v>21</v>
      </c>
      <c r="I2768" s="3">
        <v>19.170000000000002</v>
      </c>
      <c r="J2768" s="3" t="s">
        <v>27</v>
      </c>
    </row>
    <row r="2769" spans="1:10" x14ac:dyDescent="0.25">
      <c r="A2769" s="1">
        <v>933</v>
      </c>
      <c r="B2769" t="s">
        <v>22</v>
      </c>
      <c r="C2769">
        <v>635</v>
      </c>
      <c r="D2769">
        <v>1</v>
      </c>
      <c r="E2769" t="s">
        <v>34</v>
      </c>
      <c r="F2769" t="s">
        <v>35</v>
      </c>
      <c r="G2769" t="str">
        <f>"2025-01-20 03:19:33.464"</f>
        <v>2025-01-20 03:19:33.464</v>
      </c>
      <c r="H2769" t="s">
        <v>21</v>
      </c>
    </row>
    <row r="2770" spans="1:10" x14ac:dyDescent="0.25">
      <c r="A2770" s="1">
        <v>934</v>
      </c>
      <c r="B2770" t="s">
        <v>36</v>
      </c>
      <c r="C2770">
        <v>635</v>
      </c>
      <c r="D2770">
        <v>1</v>
      </c>
      <c r="E2770" t="s">
        <v>34</v>
      </c>
      <c r="F2770" t="s">
        <v>35</v>
      </c>
      <c r="G2770" t="str">
        <f>"2025-01-20 03:08:23.964"</f>
        <v>2025-01-20 03:08:23.964</v>
      </c>
      <c r="H2770" t="s">
        <v>21</v>
      </c>
      <c r="I2770">
        <v>3.85</v>
      </c>
      <c r="J2770" t="s">
        <v>27</v>
      </c>
    </row>
    <row r="2771" spans="1:10" x14ac:dyDescent="0.25">
      <c r="A2771" s="1">
        <v>935</v>
      </c>
      <c r="B2771" t="s">
        <v>22</v>
      </c>
      <c r="C2771">
        <v>635</v>
      </c>
      <c r="D2771">
        <v>1</v>
      </c>
      <c r="E2771" t="s">
        <v>34</v>
      </c>
      <c r="F2771" t="s">
        <v>35</v>
      </c>
      <c r="G2771" t="str">
        <f>"2025-01-20 01:11:59.164"</f>
        <v>2025-01-20 01:11:59.164</v>
      </c>
      <c r="H2771" t="s">
        <v>21</v>
      </c>
    </row>
    <row r="2772" spans="1:10" x14ac:dyDescent="0.25">
      <c r="A2772" s="1">
        <v>936</v>
      </c>
      <c r="B2772" t="s">
        <v>36</v>
      </c>
      <c r="C2772">
        <v>635</v>
      </c>
      <c r="D2772">
        <v>1</v>
      </c>
      <c r="E2772" t="s">
        <v>34</v>
      </c>
      <c r="F2772" t="s">
        <v>35</v>
      </c>
      <c r="G2772" t="str">
        <f>"2025-01-20 01:07:58.664"</f>
        <v>2025-01-20 01:07:58.664</v>
      </c>
      <c r="H2772" t="s">
        <v>21</v>
      </c>
      <c r="I2772">
        <v>7.94</v>
      </c>
      <c r="J2772" t="s">
        <v>37</v>
      </c>
    </row>
    <row r="2773" spans="1:10" x14ac:dyDescent="0.25">
      <c r="A2773" s="1">
        <v>937</v>
      </c>
      <c r="B2773" t="s">
        <v>22</v>
      </c>
      <c r="C2773">
        <v>61</v>
      </c>
      <c r="D2773">
        <v>2</v>
      </c>
      <c r="E2773" t="s">
        <v>66</v>
      </c>
      <c r="F2773" t="s">
        <v>67</v>
      </c>
      <c r="G2773" t="str">
        <f>"2025-01-19 15:02:49.318"</f>
        <v>2025-01-19 15:02:49.318</v>
      </c>
      <c r="H2773" t="s">
        <v>21</v>
      </c>
    </row>
    <row r="2774" spans="1:10" x14ac:dyDescent="0.25">
      <c r="A2774" s="1">
        <v>938</v>
      </c>
      <c r="B2774" t="s">
        <v>26</v>
      </c>
      <c r="C2774">
        <v>61</v>
      </c>
      <c r="D2774">
        <v>2</v>
      </c>
      <c r="E2774" t="s">
        <v>66</v>
      </c>
      <c r="F2774" t="s">
        <v>67</v>
      </c>
      <c r="G2774" t="str">
        <f>"2025-01-19 15:02:43.218"</f>
        <v>2025-01-19 15:02:43.218</v>
      </c>
      <c r="H2774" t="s">
        <v>21</v>
      </c>
      <c r="I2774">
        <v>36.56</v>
      </c>
      <c r="J2774" t="s">
        <v>27</v>
      </c>
    </row>
    <row r="2775" spans="1:10" s="3" customFormat="1" x14ac:dyDescent="0.25">
      <c r="A2775" s="2">
        <v>939</v>
      </c>
      <c r="B2775" s="3" t="s">
        <v>22</v>
      </c>
      <c r="C2775" s="3">
        <v>647</v>
      </c>
      <c r="D2775" s="3">
        <v>1</v>
      </c>
      <c r="E2775" s="3" t="s">
        <v>54</v>
      </c>
      <c r="F2775" s="3" t="s">
        <v>55</v>
      </c>
      <c r="G2775" s="3" t="str">
        <f>"2025-01-19 12:55:15.718"</f>
        <v>2025-01-19 12:55:15.718</v>
      </c>
      <c r="H2775" s="3" t="s">
        <v>21</v>
      </c>
    </row>
    <row r="2776" spans="1:10" s="3" customFormat="1" x14ac:dyDescent="0.25">
      <c r="A2776" s="2">
        <v>940</v>
      </c>
      <c r="B2776" s="3" t="s">
        <v>36</v>
      </c>
      <c r="C2776" s="3">
        <v>647</v>
      </c>
      <c r="D2776" s="3">
        <v>1</v>
      </c>
      <c r="E2776" s="3" t="s">
        <v>54</v>
      </c>
      <c r="F2776" s="3" t="s">
        <v>55</v>
      </c>
      <c r="G2776" s="3" t="str">
        <f>"2025-01-19 12:55:09.818"</f>
        <v>2025-01-19 12:55:09.818</v>
      </c>
      <c r="H2776" s="3" t="s">
        <v>21</v>
      </c>
      <c r="I2776" s="3">
        <v>25.13</v>
      </c>
      <c r="J2776" s="3" t="s">
        <v>27</v>
      </c>
    </row>
    <row r="2777" spans="1:10" x14ac:dyDescent="0.25">
      <c r="A2777" s="1">
        <v>941</v>
      </c>
      <c r="B2777" t="s">
        <v>19</v>
      </c>
      <c r="C2777">
        <v>700</v>
      </c>
      <c r="D2777">
        <v>0</v>
      </c>
      <c r="E2777" t="s">
        <v>20</v>
      </c>
      <c r="F2777" t="s">
        <v>20</v>
      </c>
      <c r="G2777" t="str">
        <f>"2025-01-19 11:00:02.926"</f>
        <v>2025-01-19 11:00:02.926</v>
      </c>
      <c r="H2777" t="s">
        <v>21</v>
      </c>
      <c r="I2777">
        <v>0</v>
      </c>
      <c r="J2777" t="s">
        <v>33</v>
      </c>
    </row>
    <row r="2778" spans="1:10" x14ac:dyDescent="0.25">
      <c r="A2778" s="1">
        <v>942</v>
      </c>
      <c r="B2778" t="s">
        <v>22</v>
      </c>
      <c r="C2778">
        <v>635</v>
      </c>
      <c r="D2778">
        <v>1</v>
      </c>
      <c r="E2778" t="s">
        <v>34</v>
      </c>
      <c r="F2778" t="s">
        <v>35</v>
      </c>
      <c r="G2778" t="str">
        <f>"2025-01-18 10:12:03.068"</f>
        <v>2025-01-18 10:12:03.068</v>
      </c>
      <c r="H2778" t="s">
        <v>21</v>
      </c>
    </row>
    <row r="2779" spans="1:10" x14ac:dyDescent="0.25">
      <c r="A2779" s="1">
        <v>943</v>
      </c>
      <c r="B2779" t="s">
        <v>36</v>
      </c>
      <c r="C2779">
        <v>635</v>
      </c>
      <c r="D2779">
        <v>1</v>
      </c>
      <c r="E2779" t="s">
        <v>34</v>
      </c>
      <c r="F2779" t="s">
        <v>35</v>
      </c>
      <c r="G2779" t="str">
        <f>"2025-01-18 10:08:33.068"</f>
        <v>2025-01-18 10:08:33.068</v>
      </c>
      <c r="H2779" t="s">
        <v>21</v>
      </c>
      <c r="I2779">
        <v>0.67</v>
      </c>
      <c r="J2779" t="s">
        <v>28</v>
      </c>
    </row>
    <row r="2780" spans="1:10" x14ac:dyDescent="0.25">
      <c r="A2780" s="1">
        <v>944</v>
      </c>
      <c r="B2780" t="s">
        <v>19</v>
      </c>
      <c r="C2780">
        <v>706</v>
      </c>
      <c r="D2780">
        <v>2</v>
      </c>
      <c r="E2780" t="s">
        <v>29</v>
      </c>
      <c r="F2780" t="s">
        <v>30</v>
      </c>
      <c r="G2780" t="str">
        <f>"2025-01-18 07:44:34.416"</f>
        <v>2025-01-18 07:44:34.416</v>
      </c>
      <c r="H2780" t="s">
        <v>21</v>
      </c>
      <c r="I2780">
        <v>0</v>
      </c>
      <c r="J2780" t="s">
        <v>31</v>
      </c>
    </row>
    <row r="2781" spans="1:10" s="3" customFormat="1" x14ac:dyDescent="0.25">
      <c r="A2781" s="2">
        <v>945</v>
      </c>
      <c r="B2781" s="3" t="s">
        <v>22</v>
      </c>
      <c r="C2781" s="3">
        <v>647</v>
      </c>
      <c r="D2781" s="3">
        <v>1</v>
      </c>
      <c r="E2781" s="3" t="s">
        <v>54</v>
      </c>
      <c r="F2781" s="3" t="s">
        <v>55</v>
      </c>
      <c r="G2781" s="3" t="str">
        <f>"2025-01-17 20:59:41.869"</f>
        <v>2025-01-17 20:59:41.869</v>
      </c>
      <c r="H2781" s="3" t="s">
        <v>21</v>
      </c>
    </row>
    <row r="2782" spans="1:10" s="3" customFormat="1" x14ac:dyDescent="0.25">
      <c r="A2782" s="2">
        <v>946</v>
      </c>
      <c r="B2782" s="3" t="s">
        <v>36</v>
      </c>
      <c r="C2782" s="3">
        <v>647</v>
      </c>
      <c r="D2782" s="3">
        <v>1</v>
      </c>
      <c r="E2782" s="3" t="s">
        <v>54</v>
      </c>
      <c r="F2782" s="3" t="s">
        <v>55</v>
      </c>
      <c r="G2782" s="3" t="str">
        <f>"2025-01-17 20:59:12.069"</f>
        <v>2025-01-17 20:59:12.069</v>
      </c>
      <c r="H2782" s="3" t="s">
        <v>21</v>
      </c>
      <c r="I2782" s="3">
        <v>13.98</v>
      </c>
      <c r="J2782" s="3" t="s">
        <v>27</v>
      </c>
    </row>
    <row r="2783" spans="1:10" s="3" customFormat="1" x14ac:dyDescent="0.25">
      <c r="A2783" s="2">
        <v>947</v>
      </c>
      <c r="B2783" s="3" t="s">
        <v>22</v>
      </c>
      <c r="C2783" s="3">
        <v>647</v>
      </c>
      <c r="D2783" s="3">
        <v>1</v>
      </c>
      <c r="E2783" s="3" t="s">
        <v>54</v>
      </c>
      <c r="F2783" s="3" t="s">
        <v>55</v>
      </c>
      <c r="G2783" s="3" t="str">
        <f>"2025-01-17 20:59:09.769"</f>
        <v>2025-01-17 20:59:09.769</v>
      </c>
      <c r="H2783" s="3" t="s">
        <v>21</v>
      </c>
    </row>
    <row r="2784" spans="1:10" s="3" customFormat="1" x14ac:dyDescent="0.25">
      <c r="A2784" s="2">
        <v>948</v>
      </c>
      <c r="B2784" s="3" t="s">
        <v>36</v>
      </c>
      <c r="C2784" s="3">
        <v>647</v>
      </c>
      <c r="D2784" s="3">
        <v>1</v>
      </c>
      <c r="E2784" s="3" t="s">
        <v>54</v>
      </c>
      <c r="F2784" s="3" t="s">
        <v>55</v>
      </c>
      <c r="G2784" s="3" t="str">
        <f>"2025-01-17 20:59:08.469"</f>
        <v>2025-01-17 20:59:08.469</v>
      </c>
      <c r="H2784" s="3" t="s">
        <v>21</v>
      </c>
      <c r="I2784" s="3">
        <v>15.3</v>
      </c>
      <c r="J2784" s="3" t="s">
        <v>27</v>
      </c>
    </row>
    <row r="2785" spans="1:10" x14ac:dyDescent="0.25">
      <c r="A2785" s="1">
        <v>949</v>
      </c>
      <c r="B2785" t="s">
        <v>19</v>
      </c>
      <c r="C2785">
        <v>706</v>
      </c>
      <c r="D2785">
        <v>2</v>
      </c>
      <c r="E2785" t="s">
        <v>29</v>
      </c>
      <c r="F2785" t="s">
        <v>30</v>
      </c>
      <c r="G2785" t="str">
        <f>"2025-01-17 15:53:33.926"</f>
        <v>2025-01-17 15:53:33.926</v>
      </c>
      <c r="H2785" t="s">
        <v>21</v>
      </c>
      <c r="I2785">
        <v>0</v>
      </c>
      <c r="J2785" t="s">
        <v>31</v>
      </c>
    </row>
    <row r="2786" spans="1:10" x14ac:dyDescent="0.25">
      <c r="A2786" s="1">
        <v>950</v>
      </c>
      <c r="B2786" t="s">
        <v>22</v>
      </c>
      <c r="C2786">
        <v>635</v>
      </c>
      <c r="D2786">
        <v>1</v>
      </c>
      <c r="E2786" t="s">
        <v>34</v>
      </c>
      <c r="F2786" t="s">
        <v>35</v>
      </c>
      <c r="G2786" t="str">
        <f>"2025-01-17 10:11:58.268"</f>
        <v>2025-01-17 10:11:58.268</v>
      </c>
      <c r="H2786" t="s">
        <v>21</v>
      </c>
    </row>
    <row r="2787" spans="1:10" x14ac:dyDescent="0.25">
      <c r="A2787" s="1">
        <v>951</v>
      </c>
      <c r="B2787" t="s">
        <v>36</v>
      </c>
      <c r="C2787">
        <v>635</v>
      </c>
      <c r="D2787">
        <v>1</v>
      </c>
      <c r="E2787" t="s">
        <v>34</v>
      </c>
      <c r="F2787" t="s">
        <v>35</v>
      </c>
      <c r="G2787" t="str">
        <f>"2025-01-17 10:09:01.768"</f>
        <v>2025-01-17 10:09:01.768</v>
      </c>
      <c r="H2787" t="s">
        <v>21</v>
      </c>
      <c r="I2787">
        <v>0</v>
      </c>
      <c r="J2787" t="s">
        <v>28</v>
      </c>
    </row>
    <row r="2788" spans="1:10" s="3" customFormat="1" x14ac:dyDescent="0.25">
      <c r="A2788" s="2">
        <v>952</v>
      </c>
      <c r="B2788" s="3" t="s">
        <v>22</v>
      </c>
      <c r="C2788" s="3">
        <v>647</v>
      </c>
      <c r="D2788" s="3">
        <v>1</v>
      </c>
      <c r="E2788" s="3" t="s">
        <v>54</v>
      </c>
      <c r="F2788" s="3" t="s">
        <v>55</v>
      </c>
      <c r="G2788" s="3" t="str">
        <f>"2025-01-17 03:36:51.169"</f>
        <v>2025-01-17 03:36:51.169</v>
      </c>
      <c r="H2788" s="3" t="s">
        <v>21</v>
      </c>
    </row>
    <row r="2789" spans="1:10" s="3" customFormat="1" x14ac:dyDescent="0.25">
      <c r="A2789" s="2">
        <v>953</v>
      </c>
      <c r="B2789" s="3" t="s">
        <v>36</v>
      </c>
      <c r="C2789" s="3">
        <v>647</v>
      </c>
      <c r="D2789" s="3">
        <v>1</v>
      </c>
      <c r="E2789" s="3" t="s">
        <v>54</v>
      </c>
      <c r="F2789" s="3" t="s">
        <v>55</v>
      </c>
      <c r="G2789" s="3" t="str">
        <f>"2025-01-17 03:36:48.669"</f>
        <v>2025-01-17 03:36:48.669</v>
      </c>
      <c r="H2789" s="3" t="s">
        <v>21</v>
      </c>
      <c r="I2789" s="3">
        <v>18.899999999999999</v>
      </c>
      <c r="J2789" s="3" t="s">
        <v>27</v>
      </c>
    </row>
    <row r="2790" spans="1:10" s="3" customFormat="1" x14ac:dyDescent="0.25">
      <c r="A2790" s="2">
        <v>954</v>
      </c>
      <c r="B2790" s="3" t="s">
        <v>22</v>
      </c>
      <c r="C2790" s="3">
        <v>647</v>
      </c>
      <c r="D2790" s="3">
        <v>1</v>
      </c>
      <c r="E2790" s="3" t="s">
        <v>54</v>
      </c>
      <c r="F2790" s="3" t="s">
        <v>55</v>
      </c>
      <c r="G2790" s="3" t="str">
        <f>"2025-01-17 02:26:01.169"</f>
        <v>2025-01-17 02:26:01.169</v>
      </c>
      <c r="H2790" s="3" t="s">
        <v>21</v>
      </c>
    </row>
    <row r="2791" spans="1:10" s="3" customFormat="1" x14ac:dyDescent="0.25">
      <c r="A2791" s="2">
        <v>955</v>
      </c>
      <c r="B2791" s="3" t="s">
        <v>36</v>
      </c>
      <c r="C2791" s="3">
        <v>647</v>
      </c>
      <c r="D2791" s="3">
        <v>1</v>
      </c>
      <c r="E2791" s="3" t="s">
        <v>54</v>
      </c>
      <c r="F2791" s="3" t="s">
        <v>55</v>
      </c>
      <c r="G2791" s="3" t="str">
        <f>"2025-01-17 02:25:59.569"</f>
        <v>2025-01-17 02:25:59.569</v>
      </c>
      <c r="H2791" s="3" t="s">
        <v>21</v>
      </c>
      <c r="I2791" s="3">
        <v>11.98</v>
      </c>
      <c r="J2791" s="3" t="s">
        <v>27</v>
      </c>
    </row>
    <row r="2792" spans="1:10" x14ac:dyDescent="0.25">
      <c r="A2792" s="1">
        <v>956</v>
      </c>
      <c r="B2792" t="s">
        <v>19</v>
      </c>
      <c r="C2792">
        <v>706</v>
      </c>
      <c r="D2792">
        <v>4</v>
      </c>
      <c r="E2792" t="s">
        <v>29</v>
      </c>
      <c r="F2792" t="s">
        <v>53</v>
      </c>
      <c r="G2792" t="str">
        <f>"2025-01-16 07:38:20.976"</f>
        <v>2025-01-16 07:38:20.976</v>
      </c>
      <c r="H2792" t="s">
        <v>21</v>
      </c>
      <c r="I2792">
        <v>0</v>
      </c>
      <c r="J2792" t="s">
        <v>31</v>
      </c>
    </row>
    <row r="2793" spans="1:10" s="3" customFormat="1" x14ac:dyDescent="0.25">
      <c r="A2793" s="2">
        <v>957</v>
      </c>
      <c r="B2793" s="3" t="s">
        <v>22</v>
      </c>
      <c r="C2793" s="3">
        <v>647</v>
      </c>
      <c r="D2793" s="3">
        <v>1</v>
      </c>
      <c r="E2793" s="3" t="s">
        <v>54</v>
      </c>
      <c r="F2793" s="3" t="s">
        <v>55</v>
      </c>
      <c r="G2793" s="3" t="str">
        <f>"2025-01-16 02:31:28.469"</f>
        <v>2025-01-16 02:31:28.469</v>
      </c>
      <c r="H2793" s="3" t="s">
        <v>21</v>
      </c>
    </row>
    <row r="2794" spans="1:10" s="3" customFormat="1" x14ac:dyDescent="0.25">
      <c r="A2794" s="2">
        <v>958</v>
      </c>
      <c r="B2794" s="3" t="s">
        <v>36</v>
      </c>
      <c r="C2794" s="3">
        <v>647</v>
      </c>
      <c r="D2794" s="3">
        <v>1</v>
      </c>
      <c r="E2794" s="3" t="s">
        <v>54</v>
      </c>
      <c r="F2794" s="3" t="s">
        <v>55</v>
      </c>
      <c r="G2794" s="3" t="str">
        <f>"2025-01-16 02:31:26.969"</f>
        <v>2025-01-16 02:31:26.969</v>
      </c>
      <c r="H2794" s="3" t="s">
        <v>21</v>
      </c>
      <c r="I2794" s="3">
        <v>16.73</v>
      </c>
      <c r="J2794" s="3" t="s">
        <v>27</v>
      </c>
    </row>
    <row r="2795" spans="1:10" s="3" customFormat="1" x14ac:dyDescent="0.25">
      <c r="A2795" s="2">
        <v>959</v>
      </c>
      <c r="B2795" s="3" t="s">
        <v>22</v>
      </c>
      <c r="C2795" s="3">
        <v>647</v>
      </c>
      <c r="D2795" s="3">
        <v>1</v>
      </c>
      <c r="E2795" s="3" t="s">
        <v>54</v>
      </c>
      <c r="F2795" s="3" t="s">
        <v>55</v>
      </c>
      <c r="G2795" s="3" t="str">
        <f>"2025-01-15 22:58:34.769"</f>
        <v>2025-01-15 22:58:34.769</v>
      </c>
      <c r="H2795" s="3" t="s">
        <v>21</v>
      </c>
    </row>
    <row r="2796" spans="1:10" s="3" customFormat="1" x14ac:dyDescent="0.25">
      <c r="A2796" s="2">
        <v>960</v>
      </c>
      <c r="B2796" s="3" t="s">
        <v>36</v>
      </c>
      <c r="C2796" s="3">
        <v>647</v>
      </c>
      <c r="D2796" s="3">
        <v>1</v>
      </c>
      <c r="E2796" s="3" t="s">
        <v>54</v>
      </c>
      <c r="F2796" s="3" t="s">
        <v>55</v>
      </c>
      <c r="G2796" s="3" t="str">
        <f>"2025-01-15 22:58:32.269"</f>
        <v>2025-01-15 22:58:32.269</v>
      </c>
      <c r="H2796" s="3" t="s">
        <v>21</v>
      </c>
      <c r="I2796" s="3">
        <v>25.36</v>
      </c>
      <c r="J2796" s="3" t="s">
        <v>27</v>
      </c>
    </row>
    <row r="2797" spans="1:10" x14ac:dyDescent="0.25">
      <c r="A2797" s="1">
        <v>961</v>
      </c>
      <c r="B2797" t="s">
        <v>22</v>
      </c>
      <c r="C2797">
        <v>61</v>
      </c>
      <c r="D2797">
        <v>2</v>
      </c>
      <c r="E2797" t="s">
        <v>66</v>
      </c>
      <c r="F2797" t="s">
        <v>67</v>
      </c>
      <c r="G2797" t="str">
        <f>"2025-01-15 17:42:33.969"</f>
        <v>2025-01-15 17:42:33.969</v>
      </c>
      <c r="H2797" t="s">
        <v>21</v>
      </c>
    </row>
    <row r="2798" spans="1:10" x14ac:dyDescent="0.25">
      <c r="A2798" s="1">
        <v>962</v>
      </c>
      <c r="B2798" t="s">
        <v>26</v>
      </c>
      <c r="C2798">
        <v>61</v>
      </c>
      <c r="D2798">
        <v>2</v>
      </c>
      <c r="E2798" t="s">
        <v>66</v>
      </c>
      <c r="F2798" t="s">
        <v>67</v>
      </c>
      <c r="G2798" t="str">
        <f>"2025-01-15 17:42:29.269"</f>
        <v>2025-01-15 17:42:29.269</v>
      </c>
      <c r="H2798" t="s">
        <v>21</v>
      </c>
      <c r="I2798">
        <v>36.17</v>
      </c>
      <c r="J2798" t="s">
        <v>27</v>
      </c>
    </row>
    <row r="2799" spans="1:10" x14ac:dyDescent="0.25">
      <c r="A2799" s="1">
        <v>963</v>
      </c>
      <c r="B2799" t="s">
        <v>19</v>
      </c>
      <c r="C2799">
        <v>700</v>
      </c>
      <c r="D2799">
        <v>0</v>
      </c>
      <c r="E2799" t="s">
        <v>20</v>
      </c>
      <c r="F2799" t="s">
        <v>20</v>
      </c>
      <c r="G2799" t="str">
        <f>"2025-01-15 11:17:38.966"</f>
        <v>2025-01-15 11:17:38.966</v>
      </c>
      <c r="H2799" t="s">
        <v>21</v>
      </c>
    </row>
    <row r="2800" spans="1:10" s="3" customFormat="1" x14ac:dyDescent="0.25">
      <c r="A2800" s="2">
        <v>964</v>
      </c>
      <c r="B2800" s="3" t="s">
        <v>22</v>
      </c>
      <c r="C2800" s="3">
        <v>647</v>
      </c>
      <c r="D2800" s="3">
        <v>1</v>
      </c>
      <c r="E2800" s="3" t="s">
        <v>54</v>
      </c>
      <c r="F2800" s="3" t="s">
        <v>55</v>
      </c>
      <c r="G2800" s="3" t="str">
        <f>"2025-01-15 04:02:28.733"</f>
        <v>2025-01-15 04:02:28.733</v>
      </c>
      <c r="H2800" s="3" t="s">
        <v>21</v>
      </c>
    </row>
    <row r="2801" spans="1:10" s="3" customFormat="1" x14ac:dyDescent="0.25">
      <c r="A2801" s="2">
        <v>965</v>
      </c>
      <c r="B2801" s="3" t="s">
        <v>36</v>
      </c>
      <c r="C2801" s="3">
        <v>647</v>
      </c>
      <c r="D2801" s="3">
        <v>1</v>
      </c>
      <c r="E2801" s="3" t="s">
        <v>54</v>
      </c>
      <c r="F2801" s="3" t="s">
        <v>55</v>
      </c>
      <c r="G2801" s="3" t="str">
        <f>"2025-01-15 04:02:23.433"</f>
        <v>2025-01-15 04:02:23.433</v>
      </c>
      <c r="H2801" s="3" t="s">
        <v>21</v>
      </c>
      <c r="I2801" s="3">
        <v>21.45</v>
      </c>
      <c r="J2801" s="3" t="s">
        <v>27</v>
      </c>
    </row>
    <row r="2802" spans="1:10" x14ac:dyDescent="0.25">
      <c r="A2802" s="1">
        <v>966</v>
      </c>
      <c r="B2802" t="s">
        <v>22</v>
      </c>
      <c r="C2802">
        <v>98</v>
      </c>
      <c r="D2802">
        <v>1</v>
      </c>
      <c r="E2802" t="s">
        <v>99</v>
      </c>
      <c r="F2802" t="s">
        <v>100</v>
      </c>
      <c r="G2802" t="str">
        <f>"2025-01-15 02:42:27.525"</f>
        <v>2025-01-15 02:42:27.525</v>
      </c>
      <c r="H2802" t="s">
        <v>21</v>
      </c>
    </row>
    <row r="2803" spans="1:10" x14ac:dyDescent="0.25">
      <c r="A2803" s="1">
        <v>967</v>
      </c>
      <c r="B2803" t="s">
        <v>36</v>
      </c>
      <c r="C2803">
        <v>98</v>
      </c>
      <c r="D2803">
        <v>1</v>
      </c>
      <c r="E2803" t="s">
        <v>99</v>
      </c>
      <c r="F2803" t="s">
        <v>100</v>
      </c>
      <c r="G2803" t="str">
        <f>"2025-01-15 02:42:26.526"</f>
        <v>2025-01-15 02:42:26.526</v>
      </c>
      <c r="H2803" t="s">
        <v>21</v>
      </c>
      <c r="I2803">
        <v>0</v>
      </c>
      <c r="J2803" t="s">
        <v>28</v>
      </c>
    </row>
    <row r="2804" spans="1:10" s="3" customFormat="1" x14ac:dyDescent="0.25">
      <c r="A2804" s="2">
        <v>968</v>
      </c>
      <c r="B2804" s="3" t="s">
        <v>22</v>
      </c>
      <c r="C2804" s="3">
        <v>647</v>
      </c>
      <c r="D2804" s="3">
        <v>1</v>
      </c>
      <c r="E2804" s="3" t="s">
        <v>54</v>
      </c>
      <c r="F2804" s="3" t="s">
        <v>55</v>
      </c>
      <c r="G2804" s="3" t="str">
        <f>"2025-01-14 23:41:18.333"</f>
        <v>2025-01-14 23:41:18.333</v>
      </c>
      <c r="H2804" s="3" t="s">
        <v>21</v>
      </c>
    </row>
    <row r="2805" spans="1:10" s="3" customFormat="1" x14ac:dyDescent="0.25">
      <c r="A2805" s="2">
        <v>969</v>
      </c>
      <c r="B2805" s="3" t="s">
        <v>36</v>
      </c>
      <c r="C2805" s="3">
        <v>647</v>
      </c>
      <c r="D2805" s="3">
        <v>1</v>
      </c>
      <c r="E2805" s="3" t="s">
        <v>54</v>
      </c>
      <c r="F2805" s="3" t="s">
        <v>55</v>
      </c>
      <c r="G2805" s="3" t="str">
        <f>"2025-01-14 23:41:12.433"</f>
        <v>2025-01-14 23:41:12.433</v>
      </c>
      <c r="H2805" s="3" t="s">
        <v>21</v>
      </c>
      <c r="I2805" s="3">
        <v>12.32</v>
      </c>
      <c r="J2805" s="3" t="s">
        <v>27</v>
      </c>
    </row>
    <row r="2806" spans="1:10" x14ac:dyDescent="0.25">
      <c r="A2806" s="1">
        <v>970</v>
      </c>
      <c r="B2806" t="s">
        <v>22</v>
      </c>
      <c r="C2806">
        <v>635</v>
      </c>
      <c r="D2806">
        <v>1</v>
      </c>
      <c r="E2806" t="s">
        <v>34</v>
      </c>
      <c r="F2806" t="s">
        <v>35</v>
      </c>
      <c r="G2806" t="str">
        <f>"2025-01-14 18:20:31.585"</f>
        <v>2025-01-14 18:20:31.585</v>
      </c>
      <c r="H2806" t="s">
        <v>21</v>
      </c>
    </row>
    <row r="2807" spans="1:10" x14ac:dyDescent="0.25">
      <c r="A2807" s="1">
        <v>971</v>
      </c>
      <c r="B2807" t="s">
        <v>36</v>
      </c>
      <c r="C2807">
        <v>635</v>
      </c>
      <c r="D2807">
        <v>1</v>
      </c>
      <c r="E2807" t="s">
        <v>34</v>
      </c>
      <c r="F2807" t="s">
        <v>35</v>
      </c>
      <c r="G2807" t="str">
        <f>"2025-01-14 18:05:52.085"</f>
        <v>2025-01-14 18:05:52.085</v>
      </c>
      <c r="H2807" t="s">
        <v>21</v>
      </c>
      <c r="I2807">
        <v>7.64</v>
      </c>
      <c r="J2807" t="s">
        <v>27</v>
      </c>
    </row>
    <row r="2808" spans="1:10" x14ac:dyDescent="0.25">
      <c r="A2808" s="1">
        <v>972</v>
      </c>
      <c r="B2808" t="s">
        <v>19</v>
      </c>
      <c r="C2808">
        <v>700</v>
      </c>
      <c r="D2808">
        <v>0</v>
      </c>
      <c r="E2808" t="s">
        <v>20</v>
      </c>
      <c r="F2808" t="s">
        <v>20</v>
      </c>
      <c r="G2808" t="str">
        <f>"2025-01-14 08:56:03.945"</f>
        <v>2025-01-14 08:56:03.945</v>
      </c>
      <c r="H2808" t="s">
        <v>21</v>
      </c>
      <c r="I2808">
        <v>0</v>
      </c>
      <c r="J2808" t="s">
        <v>33</v>
      </c>
    </row>
    <row r="2809" spans="1:10" s="3" customFormat="1" x14ac:dyDescent="0.25">
      <c r="A2809" s="2">
        <v>973</v>
      </c>
      <c r="B2809" s="3" t="s">
        <v>22</v>
      </c>
      <c r="C2809" s="3">
        <v>647</v>
      </c>
      <c r="D2809" s="3">
        <v>1</v>
      </c>
      <c r="E2809" s="3" t="s">
        <v>54</v>
      </c>
      <c r="F2809" s="3" t="s">
        <v>55</v>
      </c>
      <c r="G2809" s="3" t="str">
        <f>"2025-01-14 02:27:28.897"</f>
        <v>2025-01-14 02:27:28.897</v>
      </c>
      <c r="H2809" s="3" t="s">
        <v>21</v>
      </c>
    </row>
    <row r="2810" spans="1:10" s="3" customFormat="1" x14ac:dyDescent="0.25">
      <c r="A2810" s="2">
        <v>974</v>
      </c>
      <c r="B2810" s="3" t="s">
        <v>36</v>
      </c>
      <c r="C2810" s="3">
        <v>647</v>
      </c>
      <c r="D2810" s="3">
        <v>1</v>
      </c>
      <c r="E2810" s="3" t="s">
        <v>54</v>
      </c>
      <c r="F2810" s="3" t="s">
        <v>55</v>
      </c>
      <c r="G2810" s="3" t="str">
        <f>"2025-01-14 02:27:21.598"</f>
        <v>2025-01-14 02:27:21.598</v>
      </c>
      <c r="H2810" s="3" t="s">
        <v>21</v>
      </c>
      <c r="I2810" s="3">
        <v>16.27</v>
      </c>
      <c r="J2810" s="3" t="s">
        <v>27</v>
      </c>
    </row>
    <row r="2811" spans="1:10" x14ac:dyDescent="0.25">
      <c r="A2811" s="1">
        <v>975</v>
      </c>
      <c r="B2811" t="s">
        <v>19</v>
      </c>
      <c r="C2811">
        <v>700</v>
      </c>
      <c r="D2811">
        <v>0</v>
      </c>
      <c r="E2811" t="s">
        <v>20</v>
      </c>
      <c r="F2811" t="s">
        <v>20</v>
      </c>
      <c r="G2811" t="str">
        <f>"2025-01-13 11:54:58.900"</f>
        <v>2025-01-13 11:54:58.900</v>
      </c>
      <c r="H2811" t="s">
        <v>21</v>
      </c>
      <c r="I2811">
        <v>0</v>
      </c>
      <c r="J2811" t="s">
        <v>33</v>
      </c>
    </row>
    <row r="2812" spans="1:10" x14ac:dyDescent="0.25">
      <c r="A2812" s="1">
        <v>976</v>
      </c>
      <c r="B2812" t="s">
        <v>22</v>
      </c>
      <c r="C2812">
        <v>635</v>
      </c>
      <c r="D2812">
        <v>1</v>
      </c>
      <c r="E2812" t="s">
        <v>34</v>
      </c>
      <c r="F2812" t="s">
        <v>35</v>
      </c>
      <c r="G2812" t="str">
        <f>"2025-01-13 03:25:07.496"</f>
        <v>2025-01-13 03:25:07.496</v>
      </c>
      <c r="H2812" t="s">
        <v>21</v>
      </c>
    </row>
    <row r="2813" spans="1:10" x14ac:dyDescent="0.25">
      <c r="A2813" s="1">
        <v>977</v>
      </c>
      <c r="B2813" t="s">
        <v>36</v>
      </c>
      <c r="C2813">
        <v>635</v>
      </c>
      <c r="D2813">
        <v>1</v>
      </c>
      <c r="E2813" t="s">
        <v>34</v>
      </c>
      <c r="F2813" t="s">
        <v>35</v>
      </c>
      <c r="G2813" t="str">
        <f>"2025-01-13 03:20:57.996"</f>
        <v>2025-01-13 03:20:57.996</v>
      </c>
      <c r="H2813" t="s">
        <v>21</v>
      </c>
      <c r="I2813">
        <v>8.65</v>
      </c>
      <c r="J2813" t="s">
        <v>27</v>
      </c>
    </row>
    <row r="2814" spans="1:10" x14ac:dyDescent="0.25">
      <c r="A2814" s="1">
        <v>978</v>
      </c>
      <c r="B2814" t="s">
        <v>19</v>
      </c>
      <c r="C2814">
        <v>706</v>
      </c>
      <c r="D2814">
        <v>4</v>
      </c>
      <c r="E2814" t="s">
        <v>29</v>
      </c>
      <c r="F2814" t="s">
        <v>53</v>
      </c>
      <c r="G2814" t="str">
        <f>"2025-01-12 17:05:02.608"</f>
        <v>2025-01-12 17:05:02.608</v>
      </c>
      <c r="H2814" t="s">
        <v>21</v>
      </c>
      <c r="I2814">
        <v>0</v>
      </c>
      <c r="J2814" t="s">
        <v>31</v>
      </c>
    </row>
    <row r="2815" spans="1:10" x14ac:dyDescent="0.25">
      <c r="A2815" s="1">
        <v>979</v>
      </c>
      <c r="B2815" t="s">
        <v>19</v>
      </c>
      <c r="C2815">
        <v>700</v>
      </c>
      <c r="D2815">
        <v>0</v>
      </c>
      <c r="E2815" t="s">
        <v>20</v>
      </c>
      <c r="F2815" t="s">
        <v>20</v>
      </c>
      <c r="G2815" t="str">
        <f>"2025-01-12 16:36:10.898"</f>
        <v>2025-01-12 16:36:10.898</v>
      </c>
      <c r="H2815" t="s">
        <v>21</v>
      </c>
    </row>
    <row r="2816" spans="1:10" x14ac:dyDescent="0.25">
      <c r="A2816" s="1">
        <v>980</v>
      </c>
      <c r="B2816" t="s">
        <v>19</v>
      </c>
      <c r="C2816">
        <v>700</v>
      </c>
      <c r="D2816">
        <v>0</v>
      </c>
      <c r="E2816" t="s">
        <v>20</v>
      </c>
      <c r="F2816" t="s">
        <v>20</v>
      </c>
      <c r="G2816" t="str">
        <f>"2025-01-12 16:26:16.913"</f>
        <v>2025-01-12 16:26:16.913</v>
      </c>
      <c r="H2816" t="s">
        <v>21</v>
      </c>
      <c r="I2816">
        <v>0</v>
      </c>
      <c r="J2816" t="s">
        <v>33</v>
      </c>
    </row>
    <row r="2817" spans="1:10" x14ac:dyDescent="0.25">
      <c r="A2817" s="1">
        <v>981</v>
      </c>
      <c r="B2817" t="s">
        <v>19</v>
      </c>
      <c r="C2817">
        <v>706</v>
      </c>
      <c r="D2817">
        <v>4</v>
      </c>
      <c r="E2817" t="s">
        <v>29</v>
      </c>
      <c r="F2817" t="s">
        <v>53</v>
      </c>
      <c r="G2817" t="str">
        <f>"2025-01-12 07:52:42.009"</f>
        <v>2025-01-12 07:52:42.009</v>
      </c>
      <c r="H2817" t="s">
        <v>21</v>
      </c>
      <c r="I2817">
        <v>0</v>
      </c>
      <c r="J2817" t="s">
        <v>31</v>
      </c>
    </row>
    <row r="2818" spans="1:10" s="3" customFormat="1" x14ac:dyDescent="0.25">
      <c r="A2818" s="2">
        <v>982</v>
      </c>
      <c r="B2818" s="3" t="s">
        <v>22</v>
      </c>
      <c r="C2818" s="3">
        <v>647</v>
      </c>
      <c r="D2818" s="3">
        <v>1</v>
      </c>
      <c r="E2818" s="3" t="s">
        <v>54</v>
      </c>
      <c r="F2818" s="3" t="s">
        <v>55</v>
      </c>
      <c r="G2818" s="3" t="str">
        <f>"2025-01-12 06:47:07.804"</f>
        <v>2025-01-12 06:47:07.804</v>
      </c>
      <c r="H2818" s="3" t="s">
        <v>21</v>
      </c>
    </row>
    <row r="2819" spans="1:10" s="3" customFormat="1" x14ac:dyDescent="0.25">
      <c r="A2819" s="2">
        <v>983</v>
      </c>
      <c r="B2819" s="3" t="s">
        <v>36</v>
      </c>
      <c r="C2819" s="3">
        <v>647</v>
      </c>
      <c r="D2819" s="3">
        <v>1</v>
      </c>
      <c r="E2819" s="3" t="s">
        <v>54</v>
      </c>
      <c r="F2819" s="3" t="s">
        <v>55</v>
      </c>
      <c r="G2819" s="3" t="str">
        <f>"2025-01-12 06:47:06.104"</f>
        <v>2025-01-12 06:47:06.104</v>
      </c>
      <c r="H2819" s="3" t="s">
        <v>21</v>
      </c>
      <c r="I2819" s="3">
        <v>20.14</v>
      </c>
      <c r="J2819" s="3" t="s">
        <v>27</v>
      </c>
    </row>
    <row r="2820" spans="1:10" s="3" customFormat="1" x14ac:dyDescent="0.25">
      <c r="A2820" s="2">
        <v>984</v>
      </c>
      <c r="B2820" s="3" t="s">
        <v>22</v>
      </c>
      <c r="C2820" s="3">
        <v>647</v>
      </c>
      <c r="D2820" s="3">
        <v>1</v>
      </c>
      <c r="E2820" s="3" t="s">
        <v>54</v>
      </c>
      <c r="F2820" s="3" t="s">
        <v>55</v>
      </c>
      <c r="G2820" s="3" t="str">
        <f>"2025-01-10 19:27:06.904"</f>
        <v>2025-01-10 19:27:06.904</v>
      </c>
      <c r="H2820" s="3" t="s">
        <v>21</v>
      </c>
    </row>
    <row r="2821" spans="1:10" s="3" customFormat="1" x14ac:dyDescent="0.25">
      <c r="A2821" s="2">
        <v>985</v>
      </c>
      <c r="B2821" s="3" t="s">
        <v>36</v>
      </c>
      <c r="C2821" s="3">
        <v>647</v>
      </c>
      <c r="D2821" s="3">
        <v>1</v>
      </c>
      <c r="E2821" s="3" t="s">
        <v>54</v>
      </c>
      <c r="F2821" s="3" t="s">
        <v>55</v>
      </c>
      <c r="G2821" s="3" t="str">
        <f>"2025-01-10 19:27:03.604"</f>
        <v>2025-01-10 19:27:03.604</v>
      </c>
      <c r="H2821" s="3" t="s">
        <v>21</v>
      </c>
      <c r="I2821" s="3">
        <v>23.53</v>
      </c>
      <c r="J2821" s="3" t="s">
        <v>27</v>
      </c>
    </row>
    <row r="2822" spans="1:10" x14ac:dyDescent="0.25">
      <c r="A2822" s="1">
        <v>986</v>
      </c>
      <c r="B2822" t="s">
        <v>22</v>
      </c>
      <c r="C2822">
        <v>635</v>
      </c>
      <c r="D2822">
        <v>1</v>
      </c>
      <c r="E2822" t="s">
        <v>34</v>
      </c>
      <c r="F2822" t="s">
        <v>35</v>
      </c>
      <c r="G2822" t="str">
        <f>"2025-01-10 14:45:32.950"</f>
        <v>2025-01-10 14:45:32.950</v>
      </c>
      <c r="H2822" t="s">
        <v>21</v>
      </c>
    </row>
    <row r="2823" spans="1:10" x14ac:dyDescent="0.25">
      <c r="A2823" s="1">
        <v>987</v>
      </c>
      <c r="B2823" t="s">
        <v>36</v>
      </c>
      <c r="C2823">
        <v>635</v>
      </c>
      <c r="D2823">
        <v>1</v>
      </c>
      <c r="E2823" t="s">
        <v>34</v>
      </c>
      <c r="F2823" t="s">
        <v>35</v>
      </c>
      <c r="G2823" t="str">
        <f>"2025-01-10 14:41:05.450"</f>
        <v>2025-01-10 14:41:05.450</v>
      </c>
      <c r="H2823" t="s">
        <v>21</v>
      </c>
      <c r="I2823">
        <v>0</v>
      </c>
      <c r="J2823" t="s">
        <v>28</v>
      </c>
    </row>
    <row r="2824" spans="1:10" x14ac:dyDescent="0.25">
      <c r="A2824" s="1">
        <v>988</v>
      </c>
      <c r="B2824" t="s">
        <v>19</v>
      </c>
      <c r="C2824">
        <v>700</v>
      </c>
      <c r="D2824">
        <v>0</v>
      </c>
      <c r="E2824" t="s">
        <v>20</v>
      </c>
      <c r="F2824" t="s">
        <v>20</v>
      </c>
      <c r="G2824" t="str">
        <f>"2025-01-10 14:26:39.899"</f>
        <v>2025-01-10 14:26:39.899</v>
      </c>
      <c r="H2824" t="s">
        <v>21</v>
      </c>
    </row>
    <row r="2825" spans="1:10" s="3" customFormat="1" x14ac:dyDescent="0.25">
      <c r="A2825" s="2">
        <v>989</v>
      </c>
      <c r="B2825" s="3" t="s">
        <v>22</v>
      </c>
      <c r="C2825" s="3">
        <v>647</v>
      </c>
      <c r="D2825" s="3">
        <v>1</v>
      </c>
      <c r="E2825" s="3" t="s">
        <v>54</v>
      </c>
      <c r="F2825" s="3" t="s">
        <v>55</v>
      </c>
      <c r="G2825" s="3" t="str">
        <f>"2025-01-09 20:59:47.709"</f>
        <v>2025-01-09 20:59:47.709</v>
      </c>
      <c r="H2825" s="3" t="s">
        <v>21</v>
      </c>
    </row>
    <row r="2826" spans="1:10" s="3" customFormat="1" x14ac:dyDescent="0.25">
      <c r="A2826" s="2">
        <v>990</v>
      </c>
      <c r="B2826" s="3" t="s">
        <v>36</v>
      </c>
      <c r="C2826" s="3">
        <v>647</v>
      </c>
      <c r="D2826" s="3">
        <v>1</v>
      </c>
      <c r="E2826" s="3" t="s">
        <v>54</v>
      </c>
      <c r="F2826" s="3" t="s">
        <v>55</v>
      </c>
      <c r="G2826" s="3" t="str">
        <f>"2025-01-09 20:59:18.009"</f>
        <v>2025-01-09 20:59:18.009</v>
      </c>
      <c r="H2826" s="3" t="s">
        <v>21</v>
      </c>
      <c r="I2826" s="3">
        <v>11.15</v>
      </c>
      <c r="J2826" s="3" t="s">
        <v>27</v>
      </c>
    </row>
    <row r="2827" spans="1:10" x14ac:dyDescent="0.25">
      <c r="A2827" s="1">
        <v>991</v>
      </c>
      <c r="B2827" t="s">
        <v>19</v>
      </c>
      <c r="C2827">
        <v>700</v>
      </c>
      <c r="D2827">
        <v>0</v>
      </c>
      <c r="E2827" t="s">
        <v>20</v>
      </c>
      <c r="F2827" t="s">
        <v>20</v>
      </c>
      <c r="G2827" t="str">
        <f>"2025-01-09 17:31:26.907"</f>
        <v>2025-01-09 17:31:26.907</v>
      </c>
      <c r="H2827" t="s">
        <v>21</v>
      </c>
      <c r="I2827">
        <v>0</v>
      </c>
      <c r="J2827" t="s">
        <v>33</v>
      </c>
    </row>
    <row r="2828" spans="1:10" x14ac:dyDescent="0.25">
      <c r="A2828" s="1">
        <v>992</v>
      </c>
      <c r="B2828" t="s">
        <v>19</v>
      </c>
      <c r="C2828">
        <v>700</v>
      </c>
      <c r="D2828">
        <v>0</v>
      </c>
      <c r="E2828" t="s">
        <v>20</v>
      </c>
      <c r="F2828" t="s">
        <v>20</v>
      </c>
      <c r="G2828" t="str">
        <f>"2025-01-09 17:21:14.892"</f>
        <v>2025-01-09 17:21:14.892</v>
      </c>
      <c r="H2828" t="s">
        <v>21</v>
      </c>
    </row>
    <row r="2829" spans="1:10" x14ac:dyDescent="0.25">
      <c r="A2829" s="1">
        <v>993</v>
      </c>
      <c r="B2829" t="s">
        <v>19</v>
      </c>
      <c r="C2829">
        <v>706</v>
      </c>
      <c r="D2829">
        <v>4</v>
      </c>
      <c r="E2829" t="s">
        <v>29</v>
      </c>
      <c r="F2829" t="s">
        <v>53</v>
      </c>
      <c r="G2829" t="str">
        <f>"2025-01-09 17:10:38.647"</f>
        <v>2025-01-09 17:10:38.647</v>
      </c>
      <c r="H2829" t="s">
        <v>21</v>
      </c>
      <c r="I2829">
        <v>0</v>
      </c>
      <c r="J2829" t="s">
        <v>31</v>
      </c>
    </row>
    <row r="2830" spans="1:10" x14ac:dyDescent="0.25">
      <c r="A2830" s="1">
        <v>994</v>
      </c>
      <c r="B2830" t="s">
        <v>19</v>
      </c>
      <c r="C2830">
        <v>706</v>
      </c>
      <c r="D2830">
        <v>2</v>
      </c>
      <c r="E2830" t="s">
        <v>29</v>
      </c>
      <c r="F2830" t="s">
        <v>30</v>
      </c>
      <c r="G2830" t="str">
        <f>"2025-01-09 17:09:12.957"</f>
        <v>2025-01-09 17:09:12.957</v>
      </c>
      <c r="H2830" t="s">
        <v>21</v>
      </c>
      <c r="I2830">
        <v>0</v>
      </c>
      <c r="J2830" t="s">
        <v>31</v>
      </c>
    </row>
    <row r="2831" spans="1:10" x14ac:dyDescent="0.25">
      <c r="A2831" s="1">
        <v>995</v>
      </c>
      <c r="B2831" t="s">
        <v>19</v>
      </c>
      <c r="C2831">
        <v>700</v>
      </c>
      <c r="D2831">
        <v>0</v>
      </c>
      <c r="E2831" t="s">
        <v>20</v>
      </c>
      <c r="F2831" t="s">
        <v>20</v>
      </c>
      <c r="G2831" t="str">
        <f>"2025-01-09 17:08:57.917"</f>
        <v>2025-01-09 17:08:57.917</v>
      </c>
      <c r="H2831" t="s">
        <v>21</v>
      </c>
      <c r="I2831">
        <v>0</v>
      </c>
      <c r="J2831" t="s">
        <v>33</v>
      </c>
    </row>
    <row r="2832" spans="1:10" x14ac:dyDescent="0.25">
      <c r="A2832" s="1">
        <v>996</v>
      </c>
      <c r="B2832" t="s">
        <v>19</v>
      </c>
      <c r="C2832">
        <v>706</v>
      </c>
      <c r="D2832">
        <v>4</v>
      </c>
      <c r="E2832" t="s">
        <v>29</v>
      </c>
      <c r="F2832" t="s">
        <v>53</v>
      </c>
      <c r="G2832" t="str">
        <f>"2025-01-09 17:03:10.704"</f>
        <v>2025-01-09 17:03:10.704</v>
      </c>
      <c r="H2832" t="s">
        <v>21</v>
      </c>
      <c r="I2832">
        <v>0</v>
      </c>
      <c r="J2832" t="s">
        <v>31</v>
      </c>
    </row>
    <row r="2833" spans="1:10" x14ac:dyDescent="0.25">
      <c r="A2833" s="1">
        <v>997</v>
      </c>
      <c r="B2833" t="s">
        <v>19</v>
      </c>
      <c r="C2833">
        <v>700</v>
      </c>
      <c r="D2833">
        <v>0</v>
      </c>
      <c r="E2833" t="s">
        <v>20</v>
      </c>
      <c r="F2833" t="s">
        <v>20</v>
      </c>
      <c r="G2833" t="str">
        <f>"2025-01-09 15:31:11.904"</f>
        <v>2025-01-09 15:31:11.904</v>
      </c>
      <c r="H2833" t="s">
        <v>21</v>
      </c>
    </row>
    <row r="2834" spans="1:10" x14ac:dyDescent="0.25">
      <c r="A2834" s="1">
        <v>998</v>
      </c>
      <c r="B2834" t="s">
        <v>19</v>
      </c>
      <c r="C2834">
        <v>700</v>
      </c>
      <c r="D2834">
        <v>0</v>
      </c>
      <c r="E2834" t="s">
        <v>20</v>
      </c>
      <c r="F2834" t="s">
        <v>20</v>
      </c>
      <c r="G2834" t="str">
        <f>"2025-01-09 14:45:59.994"</f>
        <v>2025-01-09 14:45:59.994</v>
      </c>
      <c r="H2834" t="s">
        <v>21</v>
      </c>
      <c r="I2834">
        <v>0</v>
      </c>
      <c r="J2834" t="s">
        <v>33</v>
      </c>
    </row>
    <row r="2835" spans="1:10" x14ac:dyDescent="0.25">
      <c r="A2835" s="1">
        <v>999</v>
      </c>
      <c r="B2835" t="s">
        <v>19</v>
      </c>
      <c r="C2835">
        <v>700</v>
      </c>
      <c r="D2835">
        <v>0</v>
      </c>
      <c r="E2835" t="s">
        <v>20</v>
      </c>
      <c r="F2835" t="s">
        <v>20</v>
      </c>
      <c r="G2835" t="str">
        <f>"2025-01-09 14:36:48.236"</f>
        <v>2025-01-09 14:36:48.236</v>
      </c>
      <c r="H2835" t="s">
        <v>21</v>
      </c>
      <c r="I2835">
        <v>0</v>
      </c>
      <c r="J2835" t="s">
        <v>33</v>
      </c>
    </row>
    <row r="2836" spans="1:10" x14ac:dyDescent="0.25">
      <c r="A2836" s="1">
        <v>0</v>
      </c>
      <c r="B2836" t="s">
        <v>19</v>
      </c>
      <c r="C2836">
        <v>700</v>
      </c>
      <c r="D2836">
        <v>0</v>
      </c>
      <c r="E2836" t="s">
        <v>20</v>
      </c>
      <c r="F2836" t="s">
        <v>20</v>
      </c>
      <c r="G2836" t="str">
        <f>"2025-01-09 09:48:27.925"</f>
        <v>2025-01-09 09:48:27.925</v>
      </c>
      <c r="H2836" t="s">
        <v>21</v>
      </c>
      <c r="I2836">
        <v>0</v>
      </c>
      <c r="J2836" t="s">
        <v>33</v>
      </c>
    </row>
    <row r="2837" spans="1:10" x14ac:dyDescent="0.25">
      <c r="A2837" s="1">
        <v>1</v>
      </c>
      <c r="B2837" t="s">
        <v>22</v>
      </c>
      <c r="C2837">
        <v>635</v>
      </c>
      <c r="D2837">
        <v>1</v>
      </c>
      <c r="E2837" t="s">
        <v>34</v>
      </c>
      <c r="F2837" t="s">
        <v>35</v>
      </c>
      <c r="G2837" t="str">
        <f>"2025-01-09 06:15:47.818"</f>
        <v>2025-01-09 06:15:47.818</v>
      </c>
      <c r="H2837" t="s">
        <v>21</v>
      </c>
    </row>
    <row r="2838" spans="1:10" x14ac:dyDescent="0.25">
      <c r="A2838" s="1">
        <v>2</v>
      </c>
      <c r="B2838" t="s">
        <v>36</v>
      </c>
      <c r="C2838">
        <v>635</v>
      </c>
      <c r="D2838">
        <v>1</v>
      </c>
      <c r="E2838" t="s">
        <v>34</v>
      </c>
      <c r="F2838" t="s">
        <v>35</v>
      </c>
      <c r="G2838" t="str">
        <f>"2025-01-09 05:59:36.318"</f>
        <v>2025-01-09 05:59:36.318</v>
      </c>
      <c r="H2838" t="s">
        <v>21</v>
      </c>
      <c r="I2838">
        <v>8.0399999999999991</v>
      </c>
      <c r="J2838" t="s">
        <v>37</v>
      </c>
    </row>
    <row r="2839" spans="1:10" s="3" customFormat="1" x14ac:dyDescent="0.25">
      <c r="A2839" s="2">
        <v>3</v>
      </c>
      <c r="B2839" s="3" t="s">
        <v>22</v>
      </c>
      <c r="C2839" s="3">
        <v>647</v>
      </c>
      <c r="D2839" s="3">
        <v>1</v>
      </c>
      <c r="E2839" s="3" t="s">
        <v>54</v>
      </c>
      <c r="F2839" s="3" t="s">
        <v>55</v>
      </c>
      <c r="G2839" s="3" t="str">
        <f>"2025-01-09 05:49:57.619"</f>
        <v>2025-01-09 05:49:57.619</v>
      </c>
      <c r="H2839" s="3" t="s">
        <v>21</v>
      </c>
    </row>
    <row r="2840" spans="1:10" s="3" customFormat="1" x14ac:dyDescent="0.25">
      <c r="A2840" s="2">
        <v>4</v>
      </c>
      <c r="B2840" s="3" t="s">
        <v>36</v>
      </c>
      <c r="C2840" s="3">
        <v>647</v>
      </c>
      <c r="D2840" s="3">
        <v>1</v>
      </c>
      <c r="E2840" s="3" t="s">
        <v>54</v>
      </c>
      <c r="F2840" s="3" t="s">
        <v>55</v>
      </c>
      <c r="G2840" s="3" t="str">
        <f>"2025-01-09 05:49:54.519"</f>
        <v>2025-01-09 05:49:54.519</v>
      </c>
      <c r="H2840" s="3" t="s">
        <v>21</v>
      </c>
      <c r="I2840" s="3">
        <v>8.82</v>
      </c>
      <c r="J2840" s="3" t="s">
        <v>27</v>
      </c>
    </row>
    <row r="2841" spans="1:10" s="3" customFormat="1" x14ac:dyDescent="0.25">
      <c r="A2841" s="2">
        <v>5</v>
      </c>
      <c r="B2841" s="3" t="s">
        <v>22</v>
      </c>
      <c r="C2841" s="3">
        <v>647</v>
      </c>
      <c r="D2841" s="3">
        <v>1</v>
      </c>
      <c r="E2841" s="3" t="s">
        <v>54</v>
      </c>
      <c r="F2841" s="3" t="s">
        <v>55</v>
      </c>
      <c r="G2841" s="3" t="str">
        <f>"2025-01-09 02:20:44.619"</f>
        <v>2025-01-09 02:20:44.619</v>
      </c>
      <c r="H2841" s="3" t="s">
        <v>21</v>
      </c>
    </row>
    <row r="2842" spans="1:10" s="3" customFormat="1" x14ac:dyDescent="0.25">
      <c r="A2842" s="2">
        <v>6</v>
      </c>
      <c r="B2842" s="3" t="s">
        <v>36</v>
      </c>
      <c r="C2842" s="3">
        <v>647</v>
      </c>
      <c r="D2842" s="3">
        <v>1</v>
      </c>
      <c r="E2842" s="3" t="s">
        <v>54</v>
      </c>
      <c r="F2842" s="3" t="s">
        <v>55</v>
      </c>
      <c r="G2842" s="3" t="str">
        <f>"2025-01-09 02:20:41.019"</f>
        <v>2025-01-09 02:20:41.019</v>
      </c>
      <c r="H2842" s="3" t="s">
        <v>21</v>
      </c>
      <c r="I2842" s="3">
        <v>9.2200000000000006</v>
      </c>
      <c r="J2842" s="3" t="s">
        <v>27</v>
      </c>
    </row>
    <row r="2843" spans="1:10" x14ac:dyDescent="0.25">
      <c r="A2843" s="1">
        <v>7</v>
      </c>
      <c r="B2843" t="s">
        <v>22</v>
      </c>
      <c r="C2843">
        <v>635</v>
      </c>
      <c r="D2843">
        <v>1</v>
      </c>
      <c r="E2843" t="s">
        <v>34</v>
      </c>
      <c r="F2843" t="s">
        <v>35</v>
      </c>
      <c r="G2843" t="str">
        <f>"2025-01-08 19:53:42.718"</f>
        <v>2025-01-08 19:53:42.718</v>
      </c>
      <c r="H2843" t="s">
        <v>21</v>
      </c>
    </row>
    <row r="2844" spans="1:10" x14ac:dyDescent="0.25">
      <c r="A2844" s="1">
        <v>8</v>
      </c>
      <c r="B2844" t="s">
        <v>36</v>
      </c>
      <c r="C2844">
        <v>635</v>
      </c>
      <c r="D2844">
        <v>1</v>
      </c>
      <c r="E2844" t="s">
        <v>34</v>
      </c>
      <c r="F2844" t="s">
        <v>35</v>
      </c>
      <c r="G2844" t="str">
        <f>"2025-01-08 19:50:22.218"</f>
        <v>2025-01-08 19:50:22.218</v>
      </c>
      <c r="H2844" t="s">
        <v>21</v>
      </c>
      <c r="I2844">
        <v>6.58</v>
      </c>
      <c r="J2844" t="s">
        <v>37</v>
      </c>
    </row>
    <row r="2845" spans="1:10" x14ac:dyDescent="0.25">
      <c r="A2845" s="1">
        <v>9</v>
      </c>
      <c r="B2845" t="s">
        <v>19</v>
      </c>
      <c r="C2845">
        <v>706</v>
      </c>
      <c r="D2845">
        <v>4</v>
      </c>
      <c r="E2845" t="s">
        <v>29</v>
      </c>
      <c r="F2845" t="s">
        <v>53</v>
      </c>
      <c r="G2845" t="str">
        <f>"2025-01-08 14:08:29.453"</f>
        <v>2025-01-08 14:08:29.453</v>
      </c>
      <c r="H2845" t="s">
        <v>21</v>
      </c>
      <c r="I2845">
        <v>0</v>
      </c>
      <c r="J2845" t="s">
        <v>31</v>
      </c>
    </row>
    <row r="2846" spans="1:10" x14ac:dyDescent="0.25">
      <c r="A2846" s="1">
        <v>10</v>
      </c>
      <c r="B2846" t="s">
        <v>22</v>
      </c>
      <c r="C2846">
        <v>635</v>
      </c>
      <c r="D2846">
        <v>1</v>
      </c>
      <c r="E2846" t="s">
        <v>34</v>
      </c>
      <c r="F2846" t="s">
        <v>35</v>
      </c>
      <c r="G2846" t="str">
        <f>"2025-01-08 11:48:45.918"</f>
        <v>2025-01-08 11:48:45.918</v>
      </c>
      <c r="H2846" t="s">
        <v>21</v>
      </c>
    </row>
    <row r="2847" spans="1:10" x14ac:dyDescent="0.25">
      <c r="A2847" s="1">
        <v>11</v>
      </c>
      <c r="B2847" t="s">
        <v>36</v>
      </c>
      <c r="C2847">
        <v>635</v>
      </c>
      <c r="D2847">
        <v>1</v>
      </c>
      <c r="E2847" t="s">
        <v>34</v>
      </c>
      <c r="F2847" t="s">
        <v>35</v>
      </c>
      <c r="G2847" t="str">
        <f>"2025-01-08 11:44:12.518"</f>
        <v>2025-01-08 11:44:12.518</v>
      </c>
      <c r="H2847" t="s">
        <v>21</v>
      </c>
      <c r="I2847">
        <v>8.9</v>
      </c>
      <c r="J2847" t="s">
        <v>37</v>
      </c>
    </row>
    <row r="2848" spans="1:10" x14ac:dyDescent="0.25">
      <c r="A2848" s="1">
        <v>12</v>
      </c>
      <c r="B2848" t="s">
        <v>19</v>
      </c>
      <c r="C2848">
        <v>700</v>
      </c>
      <c r="D2848">
        <v>0</v>
      </c>
      <c r="E2848" t="s">
        <v>20</v>
      </c>
      <c r="F2848" t="s">
        <v>20</v>
      </c>
      <c r="G2848" t="str">
        <f>"2025-01-07 11:51:08.003"</f>
        <v>2025-01-07 11:51:08.003</v>
      </c>
      <c r="H2848" t="s">
        <v>21</v>
      </c>
      <c r="I2848">
        <v>0</v>
      </c>
      <c r="J2848" t="s">
        <v>33</v>
      </c>
    </row>
    <row r="2849" spans="1:10" x14ac:dyDescent="0.25">
      <c r="A2849" s="1">
        <v>13</v>
      </c>
      <c r="B2849" t="s">
        <v>22</v>
      </c>
      <c r="C2849">
        <v>635</v>
      </c>
      <c r="D2849">
        <v>1</v>
      </c>
      <c r="E2849" t="s">
        <v>34</v>
      </c>
      <c r="F2849" t="s">
        <v>35</v>
      </c>
      <c r="G2849" t="str">
        <f>"2025-01-06 16:37:43.601"</f>
        <v>2025-01-06 16:37:43.601</v>
      </c>
      <c r="H2849" t="s">
        <v>21</v>
      </c>
    </row>
    <row r="2850" spans="1:10" x14ac:dyDescent="0.25">
      <c r="A2850" s="1">
        <v>14</v>
      </c>
      <c r="B2850" t="s">
        <v>36</v>
      </c>
      <c r="C2850">
        <v>635</v>
      </c>
      <c r="D2850">
        <v>1</v>
      </c>
      <c r="E2850" t="s">
        <v>34</v>
      </c>
      <c r="F2850" t="s">
        <v>35</v>
      </c>
      <c r="G2850" t="str">
        <f>"2025-01-06 16:35:41.102"</f>
        <v>2025-01-06 16:35:41.102</v>
      </c>
      <c r="H2850" t="s">
        <v>21</v>
      </c>
      <c r="I2850">
        <v>2.42</v>
      </c>
      <c r="J2850" t="s">
        <v>27</v>
      </c>
    </row>
    <row r="2851" spans="1:10" x14ac:dyDescent="0.25">
      <c r="A2851" s="1">
        <v>15</v>
      </c>
      <c r="B2851" t="s">
        <v>19</v>
      </c>
      <c r="C2851">
        <v>706</v>
      </c>
      <c r="D2851">
        <v>2</v>
      </c>
      <c r="E2851" t="s">
        <v>29</v>
      </c>
      <c r="F2851" t="s">
        <v>30</v>
      </c>
      <c r="G2851" t="str">
        <f>"2025-01-06 12:32:33.062"</f>
        <v>2025-01-06 12:32:33.062</v>
      </c>
      <c r="H2851" t="s">
        <v>21</v>
      </c>
      <c r="I2851">
        <v>0</v>
      </c>
      <c r="J2851" t="s">
        <v>31</v>
      </c>
    </row>
    <row r="2852" spans="1:10" x14ac:dyDescent="0.25">
      <c r="A2852" s="1">
        <v>16</v>
      </c>
      <c r="B2852" t="s">
        <v>19</v>
      </c>
      <c r="C2852">
        <v>700</v>
      </c>
      <c r="D2852">
        <v>0</v>
      </c>
      <c r="E2852" t="s">
        <v>20</v>
      </c>
      <c r="F2852" t="s">
        <v>20</v>
      </c>
      <c r="G2852" t="str">
        <f>"2025-01-06 11:53:18.892"</f>
        <v>2025-01-06 11:53:18.892</v>
      </c>
      <c r="H2852" t="s">
        <v>21</v>
      </c>
    </row>
    <row r="2853" spans="1:10" x14ac:dyDescent="0.25">
      <c r="A2853" s="1">
        <v>17</v>
      </c>
      <c r="B2853" t="s">
        <v>19</v>
      </c>
      <c r="C2853">
        <v>700</v>
      </c>
      <c r="D2853">
        <v>0</v>
      </c>
      <c r="E2853" t="s">
        <v>20</v>
      </c>
      <c r="F2853" t="s">
        <v>20</v>
      </c>
      <c r="G2853" t="str">
        <f>"2025-01-05 21:05:43.888"</f>
        <v>2025-01-05 21:05:43.888</v>
      </c>
      <c r="H2853" t="s">
        <v>21</v>
      </c>
    </row>
    <row r="2854" spans="1:10" x14ac:dyDescent="0.25">
      <c r="A2854" s="1">
        <v>18</v>
      </c>
      <c r="B2854" t="s">
        <v>19</v>
      </c>
      <c r="C2854">
        <v>706</v>
      </c>
      <c r="D2854">
        <v>4</v>
      </c>
      <c r="E2854" t="s">
        <v>29</v>
      </c>
      <c r="F2854" t="s">
        <v>53</v>
      </c>
      <c r="G2854" t="str">
        <f>"2025-01-05 20:18:54.288"</f>
        <v>2025-01-05 20:18:54.288</v>
      </c>
      <c r="H2854" t="s">
        <v>21</v>
      </c>
      <c r="I2854">
        <v>0</v>
      </c>
      <c r="J2854" t="s">
        <v>31</v>
      </c>
    </row>
    <row r="2855" spans="1:10" x14ac:dyDescent="0.25">
      <c r="A2855" s="1">
        <v>19</v>
      </c>
      <c r="B2855" t="s">
        <v>19</v>
      </c>
      <c r="C2855">
        <v>706</v>
      </c>
      <c r="D2855">
        <v>4</v>
      </c>
      <c r="E2855" t="s">
        <v>29</v>
      </c>
      <c r="F2855" t="s">
        <v>53</v>
      </c>
      <c r="G2855" t="str">
        <f>"2025-01-05 07:47:05.918"</f>
        <v>2025-01-05 07:47:05.918</v>
      </c>
      <c r="H2855" t="s">
        <v>21</v>
      </c>
      <c r="I2855">
        <v>0</v>
      </c>
      <c r="J2855" t="s">
        <v>31</v>
      </c>
    </row>
    <row r="2856" spans="1:10" s="3" customFormat="1" x14ac:dyDescent="0.25">
      <c r="A2856" s="2">
        <v>20</v>
      </c>
      <c r="B2856" s="3" t="s">
        <v>22</v>
      </c>
      <c r="C2856" s="3">
        <v>647</v>
      </c>
      <c r="D2856" s="3">
        <v>1</v>
      </c>
      <c r="E2856" s="3" t="s">
        <v>54</v>
      </c>
      <c r="F2856" s="3" t="s">
        <v>55</v>
      </c>
      <c r="G2856" s="3" t="str">
        <f>"2025-01-05 03:52:53.447"</f>
        <v>2025-01-05 03:52:53.447</v>
      </c>
      <c r="H2856" s="3" t="s">
        <v>21</v>
      </c>
    </row>
    <row r="2857" spans="1:10" s="3" customFormat="1" x14ac:dyDescent="0.25">
      <c r="A2857" s="2">
        <v>21</v>
      </c>
      <c r="B2857" s="3" t="s">
        <v>36</v>
      </c>
      <c r="C2857" s="3">
        <v>647</v>
      </c>
      <c r="D2857" s="3">
        <v>1</v>
      </c>
      <c r="E2857" s="3" t="s">
        <v>54</v>
      </c>
      <c r="F2857" s="3" t="s">
        <v>55</v>
      </c>
      <c r="G2857" s="3" t="str">
        <f>"2025-01-05 03:52:50.547"</f>
        <v>2025-01-05 03:52:50.547</v>
      </c>
      <c r="H2857" s="3" t="s">
        <v>21</v>
      </c>
      <c r="I2857" s="3">
        <v>27.86</v>
      </c>
      <c r="J2857" s="3" t="s">
        <v>27</v>
      </c>
    </row>
    <row r="2858" spans="1:10" s="3" customFormat="1" x14ac:dyDescent="0.25">
      <c r="A2858" s="2">
        <v>22</v>
      </c>
      <c r="B2858" s="3" t="s">
        <v>22</v>
      </c>
      <c r="C2858" s="3">
        <v>647</v>
      </c>
      <c r="D2858" s="3">
        <v>1</v>
      </c>
      <c r="E2858" s="3" t="s">
        <v>54</v>
      </c>
      <c r="F2858" s="3" t="s">
        <v>55</v>
      </c>
      <c r="G2858" s="3" t="str">
        <f>"2025-01-04 21:43:38.647"</f>
        <v>2025-01-04 21:43:38.647</v>
      </c>
      <c r="H2858" s="3" t="s">
        <v>21</v>
      </c>
    </row>
    <row r="2859" spans="1:10" s="3" customFormat="1" x14ac:dyDescent="0.25">
      <c r="A2859" s="2">
        <v>23</v>
      </c>
      <c r="B2859" s="3" t="s">
        <v>36</v>
      </c>
      <c r="C2859" s="3">
        <v>647</v>
      </c>
      <c r="D2859" s="3">
        <v>1</v>
      </c>
      <c r="E2859" s="3" t="s">
        <v>54</v>
      </c>
      <c r="F2859" s="3" t="s">
        <v>55</v>
      </c>
      <c r="G2859" s="3" t="str">
        <f>"2025-01-04 21:43:35.547"</f>
        <v>2025-01-04 21:43:35.547</v>
      </c>
      <c r="H2859" s="3" t="s">
        <v>21</v>
      </c>
      <c r="I2859" s="3">
        <v>18.09</v>
      </c>
      <c r="J2859" s="3" t="s">
        <v>27</v>
      </c>
    </row>
    <row r="2860" spans="1:10" x14ac:dyDescent="0.25">
      <c r="A2860" s="1">
        <v>24</v>
      </c>
      <c r="B2860" t="s">
        <v>19</v>
      </c>
      <c r="C2860">
        <v>706</v>
      </c>
      <c r="D2860">
        <v>4</v>
      </c>
      <c r="E2860" t="s">
        <v>29</v>
      </c>
      <c r="F2860" t="s">
        <v>53</v>
      </c>
      <c r="G2860" t="str">
        <f>"2025-01-04 09:42:55.938"</f>
        <v>2025-01-04 09:42:55.938</v>
      </c>
      <c r="H2860" t="s">
        <v>21</v>
      </c>
      <c r="I2860">
        <v>0</v>
      </c>
      <c r="J2860" t="s">
        <v>31</v>
      </c>
    </row>
    <row r="2861" spans="1:10" x14ac:dyDescent="0.25">
      <c r="A2861" s="1">
        <v>25</v>
      </c>
      <c r="B2861" t="s">
        <v>22</v>
      </c>
      <c r="C2861">
        <v>635</v>
      </c>
      <c r="D2861">
        <v>1</v>
      </c>
      <c r="E2861" t="s">
        <v>34</v>
      </c>
      <c r="F2861" t="s">
        <v>35</v>
      </c>
      <c r="G2861" t="str">
        <f>"2025-01-04 03:59:54.047"</f>
        <v>2025-01-04 03:59:54.047</v>
      </c>
      <c r="H2861" t="s">
        <v>21</v>
      </c>
    </row>
    <row r="2862" spans="1:10" x14ac:dyDescent="0.25">
      <c r="A2862" s="1">
        <v>26</v>
      </c>
      <c r="B2862" t="s">
        <v>36</v>
      </c>
      <c r="C2862">
        <v>635</v>
      </c>
      <c r="D2862">
        <v>1</v>
      </c>
      <c r="E2862" t="s">
        <v>34</v>
      </c>
      <c r="F2862" t="s">
        <v>35</v>
      </c>
      <c r="G2862" t="str">
        <f>"2025-01-04 03:43:57.147"</f>
        <v>2025-01-04 03:43:57.147</v>
      </c>
      <c r="H2862" t="s">
        <v>21</v>
      </c>
      <c r="I2862">
        <v>9.4600000000000009</v>
      </c>
      <c r="J2862" t="s">
        <v>27</v>
      </c>
    </row>
    <row r="2863" spans="1:10" x14ac:dyDescent="0.25">
      <c r="A2863" s="1">
        <v>27</v>
      </c>
      <c r="B2863" t="s">
        <v>56</v>
      </c>
      <c r="C2863">
        <v>216</v>
      </c>
      <c r="D2863">
        <v>5</v>
      </c>
      <c r="E2863" t="s">
        <v>120</v>
      </c>
      <c r="F2863" t="s">
        <v>121</v>
      </c>
      <c r="G2863" t="str">
        <f>"2025-01-03 18:21:23.028"</f>
        <v>2025-01-03 18:21:23.028</v>
      </c>
      <c r="H2863" t="s">
        <v>49</v>
      </c>
    </row>
    <row r="2864" spans="1:10" x14ac:dyDescent="0.25">
      <c r="A2864" s="1">
        <v>28</v>
      </c>
      <c r="B2864" t="s">
        <v>26</v>
      </c>
      <c r="C2864">
        <v>216</v>
      </c>
      <c r="D2864">
        <v>5</v>
      </c>
      <c r="E2864" t="s">
        <v>120</v>
      </c>
      <c r="F2864" t="s">
        <v>121</v>
      </c>
      <c r="G2864" t="str">
        <f>"2025-01-03 18:21:19.633"</f>
        <v>2025-01-03 18:21:19.633</v>
      </c>
      <c r="H2864" t="s">
        <v>49</v>
      </c>
      <c r="I2864">
        <v>8.23</v>
      </c>
      <c r="J2864" t="s">
        <v>37</v>
      </c>
    </row>
    <row r="2865" spans="1:10" x14ac:dyDescent="0.25">
      <c r="A2865" s="1">
        <v>29</v>
      </c>
      <c r="B2865" t="s">
        <v>19</v>
      </c>
      <c r="C2865">
        <v>706</v>
      </c>
      <c r="D2865">
        <v>2</v>
      </c>
      <c r="E2865" t="s">
        <v>29</v>
      </c>
      <c r="F2865" t="s">
        <v>30</v>
      </c>
      <c r="G2865" t="str">
        <f>"2025-01-03 10:42:01.908"</f>
        <v>2025-01-03 10:42:01.908</v>
      </c>
      <c r="H2865" t="s">
        <v>21</v>
      </c>
      <c r="I2865">
        <v>0</v>
      </c>
      <c r="J2865" t="s">
        <v>31</v>
      </c>
    </row>
    <row r="2866" spans="1:10" x14ac:dyDescent="0.25">
      <c r="A2866" s="1">
        <v>30</v>
      </c>
      <c r="B2866" t="s">
        <v>22</v>
      </c>
      <c r="C2866">
        <v>635</v>
      </c>
      <c r="D2866">
        <v>1</v>
      </c>
      <c r="E2866" t="s">
        <v>34</v>
      </c>
      <c r="F2866" t="s">
        <v>35</v>
      </c>
      <c r="G2866" t="str">
        <f>"2025-01-03 04:17:31.747"</f>
        <v>2025-01-03 04:17:31.747</v>
      </c>
      <c r="H2866" t="s">
        <v>21</v>
      </c>
    </row>
    <row r="2867" spans="1:10" x14ac:dyDescent="0.25">
      <c r="A2867" s="1">
        <v>31</v>
      </c>
      <c r="B2867" t="s">
        <v>36</v>
      </c>
      <c r="C2867">
        <v>635</v>
      </c>
      <c r="D2867">
        <v>1</v>
      </c>
      <c r="E2867" t="s">
        <v>34</v>
      </c>
      <c r="F2867" t="s">
        <v>35</v>
      </c>
      <c r="G2867" t="str">
        <f>"2025-01-03 04:13:39.746"</f>
        <v>2025-01-03 04:13:39.746</v>
      </c>
      <c r="H2867" t="s">
        <v>21</v>
      </c>
      <c r="I2867">
        <v>7.85</v>
      </c>
      <c r="J2867" t="s">
        <v>27</v>
      </c>
    </row>
    <row r="2868" spans="1:10" x14ac:dyDescent="0.25">
      <c r="A2868" s="1">
        <v>32</v>
      </c>
      <c r="B2868" t="s">
        <v>22</v>
      </c>
      <c r="C2868">
        <v>635</v>
      </c>
      <c r="D2868">
        <v>1</v>
      </c>
      <c r="E2868" t="s">
        <v>34</v>
      </c>
      <c r="F2868" t="s">
        <v>35</v>
      </c>
      <c r="G2868" t="str">
        <f>"2025-01-03 04:02:32.747"</f>
        <v>2025-01-03 04:02:32.747</v>
      </c>
      <c r="H2868" t="s">
        <v>21</v>
      </c>
    </row>
    <row r="2869" spans="1:10" x14ac:dyDescent="0.25">
      <c r="A2869" s="1">
        <v>33</v>
      </c>
      <c r="B2869" t="s">
        <v>36</v>
      </c>
      <c r="C2869">
        <v>635</v>
      </c>
      <c r="D2869">
        <v>1</v>
      </c>
      <c r="E2869" t="s">
        <v>34</v>
      </c>
      <c r="F2869" t="s">
        <v>35</v>
      </c>
      <c r="G2869" t="str">
        <f>"2025-01-03 03:41:59.847"</f>
        <v>2025-01-03 03:41:59.847</v>
      </c>
      <c r="H2869" t="s">
        <v>21</v>
      </c>
      <c r="I2869">
        <v>8.57</v>
      </c>
      <c r="J2869" t="s">
        <v>27</v>
      </c>
    </row>
    <row r="2870" spans="1:10" s="3" customFormat="1" x14ac:dyDescent="0.25">
      <c r="A2870" s="2">
        <v>34</v>
      </c>
      <c r="B2870" s="3" t="s">
        <v>22</v>
      </c>
      <c r="C2870" s="3">
        <v>647</v>
      </c>
      <c r="D2870" s="3">
        <v>1</v>
      </c>
      <c r="E2870" s="3" t="s">
        <v>54</v>
      </c>
      <c r="F2870" s="3" t="s">
        <v>55</v>
      </c>
      <c r="G2870" s="3" t="str">
        <f>"2025-01-02 23:20:41.547"</f>
        <v>2025-01-02 23:20:41.547</v>
      </c>
      <c r="H2870" s="3" t="s">
        <v>21</v>
      </c>
    </row>
    <row r="2871" spans="1:10" s="3" customFormat="1" x14ac:dyDescent="0.25">
      <c r="A2871" s="2">
        <v>35</v>
      </c>
      <c r="B2871" s="3" t="s">
        <v>36</v>
      </c>
      <c r="C2871" s="3">
        <v>647</v>
      </c>
      <c r="D2871" s="3">
        <v>1</v>
      </c>
      <c r="E2871" s="3" t="s">
        <v>54</v>
      </c>
      <c r="F2871" s="3" t="s">
        <v>55</v>
      </c>
      <c r="G2871" s="3" t="str">
        <f>"2025-01-02 23:20:37.847"</f>
        <v>2025-01-02 23:20:37.847</v>
      </c>
      <c r="H2871" s="3" t="s">
        <v>21</v>
      </c>
      <c r="I2871" s="3">
        <v>16.52</v>
      </c>
      <c r="J2871" s="3" t="s">
        <v>27</v>
      </c>
    </row>
    <row r="2872" spans="1:10" x14ac:dyDescent="0.25">
      <c r="A2872" s="1">
        <v>36</v>
      </c>
      <c r="B2872" t="s">
        <v>22</v>
      </c>
      <c r="C2872">
        <v>635</v>
      </c>
      <c r="D2872">
        <v>1</v>
      </c>
      <c r="E2872" t="s">
        <v>34</v>
      </c>
      <c r="F2872" t="s">
        <v>35</v>
      </c>
      <c r="G2872" t="str">
        <f>"2025-01-02 21:25:40.347"</f>
        <v>2025-01-02 21:25:40.347</v>
      </c>
      <c r="H2872" t="s">
        <v>21</v>
      </c>
    </row>
    <row r="2873" spans="1:10" x14ac:dyDescent="0.25">
      <c r="A2873" s="1">
        <v>37</v>
      </c>
      <c r="B2873" t="s">
        <v>36</v>
      </c>
      <c r="C2873">
        <v>635</v>
      </c>
      <c r="D2873">
        <v>1</v>
      </c>
      <c r="E2873" t="s">
        <v>34</v>
      </c>
      <c r="F2873" t="s">
        <v>35</v>
      </c>
      <c r="G2873" t="str">
        <f>"2025-01-02 21:22:54.947"</f>
        <v>2025-01-02 21:22:54.947</v>
      </c>
      <c r="H2873" t="s">
        <v>21</v>
      </c>
      <c r="I2873">
        <v>0</v>
      </c>
      <c r="J2873" t="s">
        <v>28</v>
      </c>
    </row>
    <row r="2874" spans="1:10" s="3" customFormat="1" x14ac:dyDescent="0.25">
      <c r="A2874" s="2">
        <v>38</v>
      </c>
      <c r="B2874" s="3" t="s">
        <v>22</v>
      </c>
      <c r="C2874" s="3">
        <v>647</v>
      </c>
      <c r="D2874" s="3">
        <v>1</v>
      </c>
      <c r="E2874" s="3" t="s">
        <v>54</v>
      </c>
      <c r="F2874" s="3" t="s">
        <v>55</v>
      </c>
      <c r="G2874" s="3" t="str">
        <f>"2025-01-02 20:04:23.248"</f>
        <v>2025-01-02 20:04:23.248</v>
      </c>
      <c r="H2874" s="3" t="s">
        <v>21</v>
      </c>
    </row>
    <row r="2875" spans="1:10" s="3" customFormat="1" x14ac:dyDescent="0.25">
      <c r="A2875" s="2">
        <v>39</v>
      </c>
      <c r="B2875" s="3" t="s">
        <v>36</v>
      </c>
      <c r="C2875" s="3">
        <v>647</v>
      </c>
      <c r="D2875" s="3">
        <v>1</v>
      </c>
      <c r="E2875" s="3" t="s">
        <v>54</v>
      </c>
      <c r="F2875" s="3" t="s">
        <v>55</v>
      </c>
      <c r="G2875" s="3" t="str">
        <f>"2025-01-02 20:04:21.347"</f>
        <v>2025-01-02 20:04:21.347</v>
      </c>
      <c r="H2875" s="3" t="s">
        <v>21</v>
      </c>
      <c r="I2875" s="3">
        <v>9.48</v>
      </c>
      <c r="J2875" s="3" t="s">
        <v>27</v>
      </c>
    </row>
    <row r="2876" spans="1:10" x14ac:dyDescent="0.25">
      <c r="A2876" s="1">
        <v>40</v>
      </c>
      <c r="B2876" t="s">
        <v>19</v>
      </c>
      <c r="C2876">
        <v>706</v>
      </c>
      <c r="D2876">
        <v>4</v>
      </c>
      <c r="E2876" t="s">
        <v>29</v>
      </c>
      <c r="F2876" t="s">
        <v>53</v>
      </c>
      <c r="G2876" t="str">
        <f>"2025-01-02 16:05:49.368"</f>
        <v>2025-01-02 16:05:49.368</v>
      </c>
      <c r="H2876" t="s">
        <v>21</v>
      </c>
      <c r="I2876">
        <v>0</v>
      </c>
      <c r="J2876" t="s">
        <v>31</v>
      </c>
    </row>
    <row r="2877" spans="1:10" x14ac:dyDescent="0.25">
      <c r="A2877" s="1">
        <v>41</v>
      </c>
      <c r="B2877" t="s">
        <v>19</v>
      </c>
      <c r="C2877">
        <v>706</v>
      </c>
      <c r="D2877">
        <v>3</v>
      </c>
      <c r="E2877" t="s">
        <v>29</v>
      </c>
      <c r="F2877" t="s">
        <v>32</v>
      </c>
      <c r="G2877" t="str">
        <f>"2025-01-02 16:05:36.578"</f>
        <v>2025-01-02 16:05:36.578</v>
      </c>
      <c r="H2877" t="s">
        <v>21</v>
      </c>
      <c r="I2877">
        <v>0</v>
      </c>
      <c r="J2877" t="s">
        <v>31</v>
      </c>
    </row>
    <row r="2878" spans="1:10" x14ac:dyDescent="0.25">
      <c r="A2878" s="1">
        <v>42</v>
      </c>
      <c r="B2878" t="s">
        <v>19</v>
      </c>
      <c r="C2878">
        <v>706</v>
      </c>
      <c r="D2878">
        <v>4</v>
      </c>
      <c r="E2878" t="s">
        <v>29</v>
      </c>
      <c r="F2878" t="s">
        <v>53</v>
      </c>
      <c r="G2878" t="str">
        <f>"2025-01-02 16:03:07.878"</f>
        <v>2025-01-02 16:03:07.878</v>
      </c>
      <c r="H2878" t="s">
        <v>21</v>
      </c>
      <c r="I2878">
        <v>0</v>
      </c>
      <c r="J2878" t="s">
        <v>31</v>
      </c>
    </row>
    <row r="2879" spans="1:10" x14ac:dyDescent="0.25">
      <c r="A2879" s="1">
        <v>45</v>
      </c>
      <c r="B2879" t="s">
        <v>19</v>
      </c>
      <c r="C2879">
        <v>782</v>
      </c>
      <c r="D2879">
        <v>7</v>
      </c>
      <c r="E2879" t="s">
        <v>62</v>
      </c>
      <c r="F2879" t="s">
        <v>63</v>
      </c>
      <c r="G2879" t="str">
        <f>"2025-01-02 16:02:48.410"</f>
        <v>2025-01-02 16:02:48.410</v>
      </c>
      <c r="H2879" t="s">
        <v>21</v>
      </c>
      <c r="I2879">
        <v>0</v>
      </c>
      <c r="J2879" t="s">
        <v>31</v>
      </c>
    </row>
    <row r="2880" spans="1:10" x14ac:dyDescent="0.25">
      <c r="A2880" s="1">
        <v>48</v>
      </c>
      <c r="B2880" t="s">
        <v>22</v>
      </c>
      <c r="C2880">
        <v>207</v>
      </c>
      <c r="D2880">
        <v>2</v>
      </c>
      <c r="E2880" t="s">
        <v>108</v>
      </c>
      <c r="F2880" t="s">
        <v>109</v>
      </c>
      <c r="G2880" t="str">
        <f>"2025-01-02 16:02:48.403"</f>
        <v>2025-01-02 16:02:48.403</v>
      </c>
      <c r="H2880" t="s">
        <v>49</v>
      </c>
    </row>
    <row r="2881" spans="1:10" x14ac:dyDescent="0.25">
      <c r="A2881" s="1">
        <v>49</v>
      </c>
      <c r="B2881" t="s">
        <v>22</v>
      </c>
      <c r="C2881">
        <v>107</v>
      </c>
      <c r="D2881">
        <v>2</v>
      </c>
      <c r="E2881" t="s">
        <v>111</v>
      </c>
      <c r="F2881" t="s">
        <v>109</v>
      </c>
      <c r="G2881" t="str">
        <f>"2025-01-02 16:02:48.401"</f>
        <v>2025-01-02 16:02:48.401</v>
      </c>
      <c r="H2881" t="s">
        <v>52</v>
      </c>
    </row>
    <row r="2882" spans="1:10" x14ac:dyDescent="0.25">
      <c r="A2882" s="1">
        <v>50</v>
      </c>
      <c r="B2882" t="s">
        <v>19</v>
      </c>
      <c r="C2882">
        <v>782</v>
      </c>
      <c r="D2882">
        <v>7</v>
      </c>
      <c r="E2882" t="s">
        <v>62</v>
      </c>
      <c r="F2882" t="s">
        <v>63</v>
      </c>
      <c r="G2882" t="str">
        <f>"2025-01-02 16:02:48.399"</f>
        <v>2025-01-02 16:02:48.399</v>
      </c>
      <c r="H2882" t="s">
        <v>21</v>
      </c>
      <c r="I2882">
        <v>0</v>
      </c>
      <c r="J2882" t="s">
        <v>31</v>
      </c>
    </row>
    <row r="2883" spans="1:10" x14ac:dyDescent="0.25">
      <c r="A2883" s="1">
        <v>51</v>
      </c>
      <c r="B2883" t="s">
        <v>19</v>
      </c>
      <c r="C2883">
        <v>700</v>
      </c>
      <c r="D2883">
        <v>0</v>
      </c>
      <c r="E2883" t="s">
        <v>20</v>
      </c>
      <c r="F2883" t="s">
        <v>20</v>
      </c>
      <c r="G2883" t="str">
        <f>"2025-01-02 16:00:24.988"</f>
        <v>2025-01-02 16:00:24.988</v>
      </c>
      <c r="H2883" t="s">
        <v>21</v>
      </c>
    </row>
    <row r="2884" spans="1:10" x14ac:dyDescent="0.25">
      <c r="A2884" s="1">
        <v>52</v>
      </c>
      <c r="B2884" t="s">
        <v>40</v>
      </c>
      <c r="C2884">
        <v>120</v>
      </c>
      <c r="D2884">
        <v>6</v>
      </c>
      <c r="E2884" t="s">
        <v>122</v>
      </c>
      <c r="F2884" t="s">
        <v>123</v>
      </c>
      <c r="G2884" t="str">
        <f>"2025-01-02 15:48:46.572"</f>
        <v>2025-01-02 15:48:46.572</v>
      </c>
      <c r="H2884" t="s">
        <v>21</v>
      </c>
    </row>
    <row r="2885" spans="1:10" x14ac:dyDescent="0.25">
      <c r="A2885" s="1">
        <v>53</v>
      </c>
      <c r="B2885" t="s">
        <v>26</v>
      </c>
      <c r="C2885">
        <v>120</v>
      </c>
      <c r="D2885">
        <v>6</v>
      </c>
      <c r="E2885" t="s">
        <v>122</v>
      </c>
      <c r="F2885" t="s">
        <v>123</v>
      </c>
      <c r="G2885" t="str">
        <f>"2025-01-02 15:48:41.517"</f>
        <v>2025-01-02 15:48:41.517</v>
      </c>
      <c r="H2885" t="s">
        <v>21</v>
      </c>
      <c r="I2885">
        <v>0</v>
      </c>
      <c r="J2885" t="s">
        <v>31</v>
      </c>
    </row>
    <row r="2886" spans="1:10" x14ac:dyDescent="0.25">
      <c r="A2886" s="1">
        <v>54</v>
      </c>
      <c r="B2886" t="s">
        <v>40</v>
      </c>
      <c r="C2886">
        <v>218</v>
      </c>
      <c r="D2886">
        <v>6</v>
      </c>
      <c r="E2886" t="s">
        <v>124</v>
      </c>
      <c r="F2886" t="s">
        <v>125</v>
      </c>
      <c r="G2886" t="str">
        <f>"2025-01-02 15:47:49.372"</f>
        <v>2025-01-02 15:47:49.372</v>
      </c>
      <c r="H2886" t="s">
        <v>21</v>
      </c>
    </row>
    <row r="2887" spans="1:10" x14ac:dyDescent="0.25">
      <c r="A2887" s="1">
        <v>55</v>
      </c>
      <c r="B2887" t="s">
        <v>26</v>
      </c>
      <c r="C2887">
        <v>218</v>
      </c>
      <c r="D2887">
        <v>6</v>
      </c>
      <c r="E2887" t="s">
        <v>124</v>
      </c>
      <c r="F2887" t="s">
        <v>125</v>
      </c>
      <c r="G2887" t="str">
        <f>"2025-01-02 15:47:44.317"</f>
        <v>2025-01-02 15:47:44.317</v>
      </c>
      <c r="H2887" t="s">
        <v>21</v>
      </c>
      <c r="I2887">
        <v>0</v>
      </c>
      <c r="J2887" t="s">
        <v>31</v>
      </c>
    </row>
    <row r="2888" spans="1:10" x14ac:dyDescent="0.25">
      <c r="A2888" s="1">
        <v>56</v>
      </c>
      <c r="B2888" t="s">
        <v>19</v>
      </c>
      <c r="C2888">
        <v>700</v>
      </c>
      <c r="D2888">
        <v>0</v>
      </c>
      <c r="E2888" t="s">
        <v>20</v>
      </c>
      <c r="F2888" t="s">
        <v>20</v>
      </c>
      <c r="G2888" t="str">
        <f>"2025-01-02 15:44:43.873"</f>
        <v>2025-01-02 15:44:43.873</v>
      </c>
      <c r="H2888" t="s">
        <v>21</v>
      </c>
      <c r="I2888">
        <v>0</v>
      </c>
      <c r="J2888" t="s">
        <v>33</v>
      </c>
    </row>
    <row r="2889" spans="1:10" x14ac:dyDescent="0.25">
      <c r="A2889" s="1">
        <v>57</v>
      </c>
      <c r="B2889" t="s">
        <v>19</v>
      </c>
      <c r="C2889">
        <v>706</v>
      </c>
      <c r="D2889">
        <v>4</v>
      </c>
      <c r="E2889" t="s">
        <v>29</v>
      </c>
      <c r="F2889" t="s">
        <v>53</v>
      </c>
      <c r="G2889" t="str">
        <f>"2025-01-02 15:39:45.952"</f>
        <v>2025-01-02 15:39:45.952</v>
      </c>
      <c r="H2889" t="s">
        <v>21</v>
      </c>
      <c r="I2889">
        <v>0</v>
      </c>
      <c r="J2889" t="s">
        <v>31</v>
      </c>
    </row>
    <row r="2890" spans="1:10" x14ac:dyDescent="0.25">
      <c r="A2890" s="1">
        <v>58</v>
      </c>
      <c r="B2890" t="s">
        <v>19</v>
      </c>
      <c r="C2890">
        <v>700</v>
      </c>
      <c r="D2890">
        <v>0</v>
      </c>
      <c r="E2890" t="s">
        <v>20</v>
      </c>
      <c r="F2890" t="s">
        <v>20</v>
      </c>
      <c r="G2890" t="str">
        <f>"2025-01-02 15:39:22.882"</f>
        <v>2025-01-02 15:39:22.882</v>
      </c>
      <c r="H2890" t="s">
        <v>21</v>
      </c>
      <c r="I2890">
        <v>0</v>
      </c>
      <c r="J2890" t="s">
        <v>33</v>
      </c>
    </row>
    <row r="2891" spans="1:10" x14ac:dyDescent="0.25">
      <c r="A2891" s="1">
        <v>59</v>
      </c>
      <c r="B2891" t="s">
        <v>19</v>
      </c>
      <c r="C2891">
        <v>706</v>
      </c>
      <c r="D2891">
        <v>3</v>
      </c>
      <c r="E2891" t="s">
        <v>29</v>
      </c>
      <c r="F2891" t="s">
        <v>32</v>
      </c>
      <c r="G2891" t="str">
        <f>"2025-01-02 15:36:41.504"</f>
        <v>2025-01-02 15:36:41.504</v>
      </c>
      <c r="H2891" t="s">
        <v>21</v>
      </c>
      <c r="I2891">
        <v>0</v>
      </c>
      <c r="J2891" t="s">
        <v>31</v>
      </c>
    </row>
    <row r="2892" spans="1:10" x14ac:dyDescent="0.25">
      <c r="A2892" s="1">
        <v>60</v>
      </c>
      <c r="B2892" t="s">
        <v>40</v>
      </c>
      <c r="C2892">
        <v>248</v>
      </c>
      <c r="D2892">
        <v>7</v>
      </c>
      <c r="E2892" t="s">
        <v>106</v>
      </c>
      <c r="F2892" t="s">
        <v>107</v>
      </c>
      <c r="G2892" t="str">
        <f>"2025-01-02 15:36:09.409"</f>
        <v>2025-01-02 15:36:09.409</v>
      </c>
      <c r="H2892" t="s">
        <v>21</v>
      </c>
    </row>
    <row r="2893" spans="1:10" x14ac:dyDescent="0.25">
      <c r="A2893" s="1">
        <v>61</v>
      </c>
      <c r="B2893" t="s">
        <v>40</v>
      </c>
      <c r="C2893">
        <v>250</v>
      </c>
      <c r="D2893">
        <v>7</v>
      </c>
      <c r="E2893" t="s">
        <v>104</v>
      </c>
      <c r="F2893" t="s">
        <v>105</v>
      </c>
      <c r="G2893" t="str">
        <f>"2025-01-02 15:36:09.210"</f>
        <v>2025-01-02 15:36:09.210</v>
      </c>
      <c r="H2893" t="s">
        <v>21</v>
      </c>
    </row>
    <row r="2894" spans="1:10" x14ac:dyDescent="0.25">
      <c r="A2894" s="1">
        <v>62</v>
      </c>
      <c r="B2894" t="s">
        <v>40</v>
      </c>
      <c r="C2894">
        <v>148</v>
      </c>
      <c r="D2894">
        <v>7</v>
      </c>
      <c r="E2894" t="s">
        <v>112</v>
      </c>
      <c r="F2894" t="s">
        <v>107</v>
      </c>
      <c r="G2894" t="str">
        <f>"2025-01-02 15:36:07.709"</f>
        <v>2025-01-02 15:36:07.709</v>
      </c>
      <c r="H2894" t="s">
        <v>21</v>
      </c>
    </row>
    <row r="2895" spans="1:10" x14ac:dyDescent="0.25">
      <c r="A2895" s="1">
        <v>63</v>
      </c>
      <c r="B2895" t="s">
        <v>26</v>
      </c>
      <c r="C2895">
        <v>248</v>
      </c>
      <c r="D2895">
        <v>7</v>
      </c>
      <c r="E2895" t="s">
        <v>106</v>
      </c>
      <c r="F2895" t="s">
        <v>107</v>
      </c>
      <c r="G2895" t="str">
        <f>"2025-01-02 15:36:04.368"</f>
        <v>2025-01-02 15:36:04.368</v>
      </c>
      <c r="H2895" t="s">
        <v>21</v>
      </c>
      <c r="I2895">
        <v>0</v>
      </c>
      <c r="J2895" t="s">
        <v>28</v>
      </c>
    </row>
    <row r="2896" spans="1:10" x14ac:dyDescent="0.25">
      <c r="A2896" s="1">
        <v>64</v>
      </c>
      <c r="B2896" t="s">
        <v>26</v>
      </c>
      <c r="C2896">
        <v>250</v>
      </c>
      <c r="D2896">
        <v>7</v>
      </c>
      <c r="E2896" t="s">
        <v>104</v>
      </c>
      <c r="F2896" t="s">
        <v>105</v>
      </c>
      <c r="G2896" t="str">
        <f>"2025-01-02 15:36:03.708"</f>
        <v>2025-01-02 15:36:03.708</v>
      </c>
      <c r="H2896" t="s">
        <v>21</v>
      </c>
      <c r="I2896">
        <v>0</v>
      </c>
      <c r="J2896" t="s">
        <v>28</v>
      </c>
    </row>
    <row r="2897" spans="1:10" x14ac:dyDescent="0.25">
      <c r="A2897" s="1">
        <v>65</v>
      </c>
      <c r="B2897" t="s">
        <v>36</v>
      </c>
      <c r="C2897">
        <v>207</v>
      </c>
      <c r="D2897">
        <v>2</v>
      </c>
      <c r="E2897" t="s">
        <v>108</v>
      </c>
      <c r="F2897" t="s">
        <v>109</v>
      </c>
      <c r="G2897" t="str">
        <f>"2025-01-02 15:36:03.068"</f>
        <v>2025-01-02 15:36:03.068</v>
      </c>
      <c r="H2897" t="s">
        <v>49</v>
      </c>
      <c r="I2897">
        <v>0</v>
      </c>
      <c r="J2897" t="s">
        <v>28</v>
      </c>
    </row>
    <row r="2898" spans="1:10" x14ac:dyDescent="0.25">
      <c r="A2898" s="1">
        <v>66</v>
      </c>
      <c r="B2898" t="s">
        <v>26</v>
      </c>
      <c r="C2898">
        <v>148</v>
      </c>
      <c r="D2898">
        <v>7</v>
      </c>
      <c r="E2898" t="s">
        <v>112</v>
      </c>
      <c r="F2898" t="s">
        <v>107</v>
      </c>
      <c r="G2898" t="str">
        <f>"2025-01-02 15:36:02.453"</f>
        <v>2025-01-02 15:36:02.453</v>
      </c>
      <c r="H2898" t="s">
        <v>21</v>
      </c>
      <c r="I2898">
        <v>0</v>
      </c>
      <c r="J2898" t="s">
        <v>28</v>
      </c>
    </row>
    <row r="2899" spans="1:10" x14ac:dyDescent="0.25">
      <c r="A2899" s="1">
        <v>67</v>
      </c>
      <c r="B2899" t="s">
        <v>36</v>
      </c>
      <c r="C2899">
        <v>107</v>
      </c>
      <c r="D2899">
        <v>2</v>
      </c>
      <c r="E2899" t="s">
        <v>111</v>
      </c>
      <c r="F2899" t="s">
        <v>109</v>
      </c>
      <c r="G2899" t="str">
        <f>"2025-01-02 15:36:02.448"</f>
        <v>2025-01-02 15:36:02.448</v>
      </c>
      <c r="H2899" t="s">
        <v>52</v>
      </c>
      <c r="I2899">
        <v>0</v>
      </c>
      <c r="J2899" t="s">
        <v>28</v>
      </c>
    </row>
    <row r="2900" spans="1:10" x14ac:dyDescent="0.25">
      <c r="A2900" s="1">
        <v>68</v>
      </c>
      <c r="B2900" t="s">
        <v>40</v>
      </c>
      <c r="C2900">
        <v>118</v>
      </c>
      <c r="D2900">
        <v>6</v>
      </c>
      <c r="E2900" t="s">
        <v>126</v>
      </c>
      <c r="F2900" t="s">
        <v>125</v>
      </c>
      <c r="G2900" t="str">
        <f>"2025-01-02 15:35:28.210"</f>
        <v>2025-01-02 15:35:28.210</v>
      </c>
      <c r="H2900" t="s">
        <v>21</v>
      </c>
    </row>
    <row r="2901" spans="1:10" x14ac:dyDescent="0.25">
      <c r="A2901" s="1">
        <v>69</v>
      </c>
      <c r="B2901" t="s">
        <v>26</v>
      </c>
      <c r="C2901">
        <v>118</v>
      </c>
      <c r="D2901">
        <v>6</v>
      </c>
      <c r="E2901" t="s">
        <v>126</v>
      </c>
      <c r="F2901" t="s">
        <v>125</v>
      </c>
      <c r="G2901" t="str">
        <f>"2025-01-02 15:35:23.128"</f>
        <v>2025-01-02 15:35:23.128</v>
      </c>
      <c r="H2901" t="s">
        <v>21</v>
      </c>
      <c r="I2901">
        <v>0</v>
      </c>
      <c r="J2901" t="s">
        <v>28</v>
      </c>
    </row>
    <row r="2902" spans="1:10" x14ac:dyDescent="0.25">
      <c r="A2902" s="1">
        <v>70</v>
      </c>
      <c r="B2902" t="s">
        <v>40</v>
      </c>
      <c r="C2902">
        <v>129</v>
      </c>
      <c r="D2902">
        <v>6</v>
      </c>
      <c r="E2902" t="s">
        <v>127</v>
      </c>
      <c r="F2902" t="s">
        <v>128</v>
      </c>
      <c r="G2902" t="str">
        <f>"2025-01-02 15:34:53.210"</f>
        <v>2025-01-02 15:34:53.210</v>
      </c>
      <c r="H2902" t="s">
        <v>21</v>
      </c>
    </row>
    <row r="2903" spans="1:10" x14ac:dyDescent="0.25">
      <c r="A2903" s="1">
        <v>71</v>
      </c>
      <c r="B2903" t="s">
        <v>26</v>
      </c>
      <c r="C2903">
        <v>129</v>
      </c>
      <c r="D2903">
        <v>6</v>
      </c>
      <c r="E2903" t="s">
        <v>127</v>
      </c>
      <c r="F2903" t="s">
        <v>128</v>
      </c>
      <c r="G2903" t="str">
        <f>"2025-01-02 15:34:48.188"</f>
        <v>2025-01-02 15:34:48.188</v>
      </c>
      <c r="H2903" t="s">
        <v>21</v>
      </c>
      <c r="I2903">
        <v>0</v>
      </c>
      <c r="J2903" t="s">
        <v>28</v>
      </c>
    </row>
    <row r="2904" spans="1:10" x14ac:dyDescent="0.25">
      <c r="A2904" s="1">
        <v>72</v>
      </c>
      <c r="B2904" t="s">
        <v>40</v>
      </c>
      <c r="C2904">
        <v>138</v>
      </c>
      <c r="D2904">
        <v>6</v>
      </c>
      <c r="E2904" t="s">
        <v>129</v>
      </c>
      <c r="F2904" t="s">
        <v>130</v>
      </c>
      <c r="G2904" t="str">
        <f>"2025-01-02 15:34:47.910"</f>
        <v>2025-01-02 15:34:47.910</v>
      </c>
      <c r="H2904" t="s">
        <v>21</v>
      </c>
    </row>
    <row r="2905" spans="1:10" x14ac:dyDescent="0.25">
      <c r="A2905" s="1">
        <v>73</v>
      </c>
      <c r="B2905" t="s">
        <v>26</v>
      </c>
      <c r="C2905">
        <v>138</v>
      </c>
      <c r="D2905">
        <v>6</v>
      </c>
      <c r="E2905" t="s">
        <v>129</v>
      </c>
      <c r="F2905" t="s">
        <v>130</v>
      </c>
      <c r="G2905" t="str">
        <f>"2025-01-02 15:34:42.828"</f>
        <v>2025-01-02 15:34:42.828</v>
      </c>
      <c r="H2905" t="s">
        <v>21</v>
      </c>
      <c r="I2905">
        <v>0</v>
      </c>
      <c r="J2905" t="s">
        <v>28</v>
      </c>
    </row>
    <row r="2906" spans="1:10" x14ac:dyDescent="0.25">
      <c r="A2906" s="1">
        <v>74</v>
      </c>
      <c r="B2906" t="s">
        <v>19</v>
      </c>
      <c r="C2906">
        <v>706</v>
      </c>
      <c r="D2906">
        <v>4</v>
      </c>
      <c r="E2906" t="s">
        <v>29</v>
      </c>
      <c r="F2906" t="s">
        <v>53</v>
      </c>
      <c r="G2906" t="str">
        <f>"2025-01-02 15:28:47.444"</f>
        <v>2025-01-02 15:28:47.444</v>
      </c>
      <c r="H2906" t="s">
        <v>21</v>
      </c>
      <c r="I2906">
        <v>0</v>
      </c>
      <c r="J2906" t="s">
        <v>31</v>
      </c>
    </row>
    <row r="2907" spans="1:10" x14ac:dyDescent="0.25">
      <c r="A2907" s="1">
        <v>75</v>
      </c>
      <c r="B2907" t="s">
        <v>19</v>
      </c>
      <c r="C2907">
        <v>700</v>
      </c>
      <c r="D2907">
        <v>0</v>
      </c>
      <c r="E2907" t="s">
        <v>20</v>
      </c>
      <c r="F2907" t="s">
        <v>20</v>
      </c>
      <c r="G2907" t="str">
        <f>"2025-01-02 15:27:14.864"</f>
        <v>2025-01-02 15:27:14.864</v>
      </c>
      <c r="H2907" t="s">
        <v>21</v>
      </c>
      <c r="I2907">
        <v>0</v>
      </c>
      <c r="J2907" t="s">
        <v>33</v>
      </c>
    </row>
    <row r="2908" spans="1:10" x14ac:dyDescent="0.25">
      <c r="A2908" s="1">
        <v>76</v>
      </c>
      <c r="B2908" t="s">
        <v>19</v>
      </c>
      <c r="C2908">
        <v>700</v>
      </c>
      <c r="D2908">
        <v>0</v>
      </c>
      <c r="E2908" t="s">
        <v>20</v>
      </c>
      <c r="F2908" t="s">
        <v>20</v>
      </c>
      <c r="G2908" t="str">
        <f>"2025-01-02 15:18:04.203"</f>
        <v>2025-01-02 15:18:04.203</v>
      </c>
      <c r="H2908" t="s">
        <v>21</v>
      </c>
      <c r="I2908">
        <v>0</v>
      </c>
      <c r="J2908" t="s">
        <v>33</v>
      </c>
    </row>
    <row r="2909" spans="1:10" x14ac:dyDescent="0.25">
      <c r="A2909" s="1">
        <v>77</v>
      </c>
      <c r="B2909" t="s">
        <v>22</v>
      </c>
      <c r="C2909">
        <v>75</v>
      </c>
      <c r="D2909">
        <v>1</v>
      </c>
      <c r="E2909" t="s">
        <v>47</v>
      </c>
      <c r="F2909" t="s">
        <v>48</v>
      </c>
      <c r="G2909" t="str">
        <f>"2025-01-02 14:49:49.756"</f>
        <v>2025-01-02 14:49:49.756</v>
      </c>
      <c r="H2909" t="s">
        <v>49</v>
      </c>
    </row>
    <row r="2910" spans="1:10" x14ac:dyDescent="0.25">
      <c r="A2910" s="1">
        <v>78</v>
      </c>
      <c r="B2910" t="s">
        <v>19</v>
      </c>
      <c r="C2910">
        <v>700</v>
      </c>
      <c r="D2910">
        <v>0</v>
      </c>
      <c r="E2910" t="s">
        <v>20</v>
      </c>
      <c r="F2910" t="s">
        <v>20</v>
      </c>
      <c r="G2910" t="str">
        <f>"2025-01-02 14:49:36.864"</f>
        <v>2025-01-02 14:49:36.864</v>
      </c>
      <c r="H2910" t="s">
        <v>21</v>
      </c>
      <c r="I2910">
        <v>0</v>
      </c>
      <c r="J2910" t="s">
        <v>33</v>
      </c>
    </row>
    <row r="2911" spans="1:10" x14ac:dyDescent="0.25">
      <c r="A2911" s="1">
        <v>79</v>
      </c>
      <c r="B2911" t="s">
        <v>22</v>
      </c>
      <c r="C2911">
        <v>98</v>
      </c>
      <c r="D2911">
        <v>1</v>
      </c>
      <c r="E2911" t="s">
        <v>99</v>
      </c>
      <c r="F2911" t="s">
        <v>100</v>
      </c>
      <c r="G2911" t="str">
        <f>"2025-01-02 14:41:45.029"</f>
        <v>2025-01-02 14:41:45.029</v>
      </c>
      <c r="H2911" t="s">
        <v>21</v>
      </c>
    </row>
    <row r="2912" spans="1:10" x14ac:dyDescent="0.25">
      <c r="A2912" s="1">
        <v>80</v>
      </c>
      <c r="B2912" t="s">
        <v>36</v>
      </c>
      <c r="C2912">
        <v>98</v>
      </c>
      <c r="D2912">
        <v>1</v>
      </c>
      <c r="E2912" t="s">
        <v>99</v>
      </c>
      <c r="F2912" t="s">
        <v>100</v>
      </c>
      <c r="G2912" t="str">
        <f>"2025-01-02 14:41:44.029"</f>
        <v>2025-01-02 14:41:44.029</v>
      </c>
      <c r="H2912" t="s">
        <v>21</v>
      </c>
      <c r="I2912">
        <v>0</v>
      </c>
      <c r="J2912" t="s">
        <v>28</v>
      </c>
    </row>
    <row r="2913" spans="1:10" x14ac:dyDescent="0.25">
      <c r="A2913" s="1">
        <v>81</v>
      </c>
      <c r="B2913" t="s">
        <v>36</v>
      </c>
      <c r="C2913">
        <v>75</v>
      </c>
      <c r="D2913">
        <v>1</v>
      </c>
      <c r="E2913" t="s">
        <v>47</v>
      </c>
      <c r="F2913" t="s">
        <v>48</v>
      </c>
      <c r="G2913" t="str">
        <f>"2025-01-02 14:36:38.776"</f>
        <v>2025-01-02 14:36:38.776</v>
      </c>
      <c r="H2913" t="s">
        <v>49</v>
      </c>
      <c r="I2913">
        <v>9.74</v>
      </c>
      <c r="J2913" t="s">
        <v>37</v>
      </c>
    </row>
    <row r="2914" spans="1:10" x14ac:dyDescent="0.25">
      <c r="A2914" s="1">
        <v>82</v>
      </c>
      <c r="B2914" t="s">
        <v>19</v>
      </c>
      <c r="C2914">
        <v>706</v>
      </c>
      <c r="D2914">
        <v>2</v>
      </c>
      <c r="E2914" t="s">
        <v>29</v>
      </c>
      <c r="F2914" t="s">
        <v>30</v>
      </c>
      <c r="G2914" t="str">
        <f>"2025-01-01 07:53:51.939"</f>
        <v>2025-01-01 07:53:51.939</v>
      </c>
      <c r="H2914" t="s">
        <v>21</v>
      </c>
      <c r="I2914">
        <v>0</v>
      </c>
      <c r="J2914" t="s">
        <v>31</v>
      </c>
    </row>
    <row r="2915" spans="1:10" x14ac:dyDescent="0.25">
      <c r="A2915" s="1">
        <v>87</v>
      </c>
      <c r="B2915" t="s">
        <v>22</v>
      </c>
      <c r="C2915">
        <v>61</v>
      </c>
      <c r="D2915">
        <v>2</v>
      </c>
      <c r="E2915" t="s">
        <v>66</v>
      </c>
      <c r="F2915" t="s">
        <v>67</v>
      </c>
      <c r="G2915" t="str">
        <f>"2024-12-31 19:07:15.578"</f>
        <v>2024-12-31 19:07:15.578</v>
      </c>
      <c r="H2915" t="s">
        <v>21</v>
      </c>
    </row>
    <row r="2916" spans="1:10" x14ac:dyDescent="0.25">
      <c r="A2916" s="1">
        <v>88</v>
      </c>
      <c r="B2916" t="s">
        <v>26</v>
      </c>
      <c r="C2916">
        <v>61</v>
      </c>
      <c r="D2916">
        <v>2</v>
      </c>
      <c r="E2916" t="s">
        <v>66</v>
      </c>
      <c r="F2916" t="s">
        <v>67</v>
      </c>
      <c r="G2916" t="str">
        <f>"2024-12-31 19:07:09.779"</f>
        <v>2024-12-31 19:07:09.779</v>
      </c>
      <c r="H2916" t="s">
        <v>21</v>
      </c>
      <c r="I2916">
        <v>35.47</v>
      </c>
      <c r="J2916" t="s">
        <v>27</v>
      </c>
    </row>
    <row r="2917" spans="1:10" x14ac:dyDescent="0.25">
      <c r="A2917" s="1">
        <v>89</v>
      </c>
      <c r="B2917" t="s">
        <v>22</v>
      </c>
      <c r="C2917">
        <v>635</v>
      </c>
      <c r="D2917">
        <v>1</v>
      </c>
      <c r="E2917" t="s">
        <v>34</v>
      </c>
      <c r="F2917" t="s">
        <v>35</v>
      </c>
      <c r="G2917" t="str">
        <f>"2024-12-31 14:44:55.586"</f>
        <v>2024-12-31 14:44:55.586</v>
      </c>
      <c r="H2917" t="s">
        <v>21</v>
      </c>
    </row>
    <row r="2918" spans="1:10" x14ac:dyDescent="0.25">
      <c r="A2918" s="1">
        <v>90</v>
      </c>
      <c r="B2918" t="s">
        <v>36</v>
      </c>
      <c r="C2918">
        <v>635</v>
      </c>
      <c r="D2918">
        <v>1</v>
      </c>
      <c r="E2918" t="s">
        <v>34</v>
      </c>
      <c r="F2918" t="s">
        <v>35</v>
      </c>
      <c r="G2918" t="str">
        <f>"2024-12-31 14:40:31.586"</f>
        <v>2024-12-31 14:40:31.586</v>
      </c>
      <c r="H2918" t="s">
        <v>21</v>
      </c>
      <c r="I2918">
        <v>0.36</v>
      </c>
      <c r="J2918" t="s">
        <v>27</v>
      </c>
    </row>
    <row r="2919" spans="1:10" x14ac:dyDescent="0.25">
      <c r="A2919" s="1">
        <v>91</v>
      </c>
      <c r="B2919" t="s">
        <v>22</v>
      </c>
      <c r="C2919">
        <v>635</v>
      </c>
      <c r="D2919">
        <v>1</v>
      </c>
      <c r="E2919" t="s">
        <v>34</v>
      </c>
      <c r="F2919" t="s">
        <v>35</v>
      </c>
      <c r="G2919" t="str">
        <f>"2024-12-31 02:42:01.686"</f>
        <v>2024-12-31 02:42:01.686</v>
      </c>
      <c r="H2919" t="s">
        <v>21</v>
      </c>
    </row>
    <row r="2920" spans="1:10" x14ac:dyDescent="0.25">
      <c r="A2920" s="1">
        <v>92</v>
      </c>
      <c r="B2920" t="s">
        <v>36</v>
      </c>
      <c r="C2920">
        <v>635</v>
      </c>
      <c r="D2920">
        <v>1</v>
      </c>
      <c r="E2920" t="s">
        <v>34</v>
      </c>
      <c r="F2920" t="s">
        <v>35</v>
      </c>
      <c r="G2920" t="str">
        <f>"2024-12-31 02:16:32.286"</f>
        <v>2024-12-31 02:16:32.286</v>
      </c>
      <c r="H2920" t="s">
        <v>21</v>
      </c>
      <c r="I2920">
        <v>5.12</v>
      </c>
      <c r="J2920" t="s">
        <v>37</v>
      </c>
    </row>
    <row r="2921" spans="1:10" s="3" customFormat="1" x14ac:dyDescent="0.25">
      <c r="A2921" s="2">
        <v>93</v>
      </c>
      <c r="B2921" s="3" t="s">
        <v>22</v>
      </c>
      <c r="C2921" s="3">
        <v>647</v>
      </c>
      <c r="D2921" s="3">
        <v>1</v>
      </c>
      <c r="E2921" s="3" t="s">
        <v>54</v>
      </c>
      <c r="F2921" s="3" t="s">
        <v>55</v>
      </c>
      <c r="G2921" s="3" t="str">
        <f>"2024-12-30 21:05:26.086"</f>
        <v>2024-12-30 21:05:26.086</v>
      </c>
      <c r="H2921" s="3" t="s">
        <v>21</v>
      </c>
    </row>
    <row r="2922" spans="1:10" s="3" customFormat="1" x14ac:dyDescent="0.25">
      <c r="A2922" s="2">
        <v>94</v>
      </c>
      <c r="B2922" s="3" t="s">
        <v>36</v>
      </c>
      <c r="C2922" s="3">
        <v>647</v>
      </c>
      <c r="D2922" s="3">
        <v>1</v>
      </c>
      <c r="E2922" s="3" t="s">
        <v>54</v>
      </c>
      <c r="F2922" s="3" t="s">
        <v>55</v>
      </c>
      <c r="G2922" s="3" t="str">
        <f>"2024-12-30 21:05:23.187"</f>
        <v>2024-12-30 21:05:23.187</v>
      </c>
      <c r="H2922" s="3" t="s">
        <v>21</v>
      </c>
      <c r="I2922" s="3">
        <v>12.73</v>
      </c>
      <c r="J2922" s="3" t="s">
        <v>27</v>
      </c>
    </row>
    <row r="2923" spans="1:10" x14ac:dyDescent="0.25">
      <c r="A2923" s="1">
        <v>95</v>
      </c>
      <c r="B2923" t="s">
        <v>19</v>
      </c>
      <c r="C2923">
        <v>706</v>
      </c>
      <c r="D2923">
        <v>4</v>
      </c>
      <c r="E2923" t="s">
        <v>29</v>
      </c>
      <c r="F2923" t="s">
        <v>53</v>
      </c>
      <c r="G2923" t="str">
        <f>"2024-12-30 14:11:08.499"</f>
        <v>2024-12-30 14:11:08.499</v>
      </c>
      <c r="H2923" t="s">
        <v>21</v>
      </c>
      <c r="I2923">
        <v>0</v>
      </c>
      <c r="J2923" t="s">
        <v>31</v>
      </c>
    </row>
    <row r="2924" spans="1:10" x14ac:dyDescent="0.25">
      <c r="A2924" s="1">
        <v>96</v>
      </c>
      <c r="B2924" t="s">
        <v>19</v>
      </c>
      <c r="C2924">
        <v>700</v>
      </c>
      <c r="D2924">
        <v>0</v>
      </c>
      <c r="E2924" t="s">
        <v>20</v>
      </c>
      <c r="F2924" t="s">
        <v>20</v>
      </c>
      <c r="G2924" t="str">
        <f>"2024-12-30 01:29:36.849"</f>
        <v>2024-12-30 01:29:36.849</v>
      </c>
      <c r="H2924" t="s">
        <v>21</v>
      </c>
    </row>
    <row r="2925" spans="1:10" x14ac:dyDescent="0.25">
      <c r="A2925" s="1">
        <v>97</v>
      </c>
      <c r="B2925" t="s">
        <v>19</v>
      </c>
      <c r="C2925">
        <v>706</v>
      </c>
      <c r="D2925">
        <v>4</v>
      </c>
      <c r="E2925" t="s">
        <v>29</v>
      </c>
      <c r="F2925" t="s">
        <v>53</v>
      </c>
      <c r="G2925" t="str">
        <f>"2024-12-30 01:16:22.037"</f>
        <v>2024-12-30 01:16:22.037</v>
      </c>
      <c r="H2925" t="s">
        <v>21</v>
      </c>
      <c r="I2925">
        <v>0</v>
      </c>
      <c r="J2925" t="s">
        <v>31</v>
      </c>
    </row>
    <row r="2926" spans="1:10" x14ac:dyDescent="0.25">
      <c r="A2926" s="1">
        <v>98</v>
      </c>
      <c r="B2926" t="s">
        <v>19</v>
      </c>
      <c r="C2926">
        <v>700</v>
      </c>
      <c r="D2926">
        <v>0</v>
      </c>
      <c r="E2926" t="s">
        <v>20</v>
      </c>
      <c r="F2926" t="s">
        <v>20</v>
      </c>
      <c r="G2926" t="str">
        <f>"2024-12-30 01:14:15.857"</f>
        <v>2024-12-30 01:14:15.857</v>
      </c>
      <c r="H2926" t="s">
        <v>21</v>
      </c>
      <c r="I2926">
        <v>0</v>
      </c>
      <c r="J2926" t="s">
        <v>33</v>
      </c>
    </row>
    <row r="2927" spans="1:10" x14ac:dyDescent="0.25">
      <c r="A2927" s="1">
        <v>99</v>
      </c>
      <c r="B2927" t="s">
        <v>19</v>
      </c>
      <c r="C2927">
        <v>700</v>
      </c>
      <c r="D2927">
        <v>0</v>
      </c>
      <c r="E2927" t="s">
        <v>20</v>
      </c>
      <c r="F2927" t="s">
        <v>20</v>
      </c>
      <c r="G2927" t="str">
        <f>"2024-12-30 01:03:54.860"</f>
        <v>2024-12-30 01:03:54.860</v>
      </c>
      <c r="H2927" t="s">
        <v>21</v>
      </c>
      <c r="I2927">
        <v>0</v>
      </c>
      <c r="J2927" t="s">
        <v>33</v>
      </c>
    </row>
    <row r="2928" spans="1:10" x14ac:dyDescent="0.25">
      <c r="A2928" s="1">
        <v>100</v>
      </c>
      <c r="B2928" t="s">
        <v>19</v>
      </c>
      <c r="C2928">
        <v>700</v>
      </c>
      <c r="D2928">
        <v>0</v>
      </c>
      <c r="E2928" t="s">
        <v>20</v>
      </c>
      <c r="F2928" t="s">
        <v>20</v>
      </c>
      <c r="G2928" t="str">
        <f>"2024-12-29 22:30:08.114"</f>
        <v>2024-12-29 22:30:08.114</v>
      </c>
      <c r="H2928" t="s">
        <v>21</v>
      </c>
      <c r="I2928">
        <v>0</v>
      </c>
      <c r="J2928" t="s">
        <v>33</v>
      </c>
    </row>
    <row r="2929" spans="1:10" x14ac:dyDescent="0.25">
      <c r="A2929" s="1">
        <v>101</v>
      </c>
      <c r="B2929" t="s">
        <v>22</v>
      </c>
      <c r="C2929">
        <v>635</v>
      </c>
      <c r="D2929">
        <v>1</v>
      </c>
      <c r="E2929" t="s">
        <v>34</v>
      </c>
      <c r="F2929" t="s">
        <v>35</v>
      </c>
      <c r="G2929" t="str">
        <f>"2024-12-29 18:18:06.712"</f>
        <v>2024-12-29 18:18:06.712</v>
      </c>
      <c r="H2929" t="s">
        <v>21</v>
      </c>
    </row>
    <row r="2930" spans="1:10" x14ac:dyDescent="0.25">
      <c r="A2930" s="1">
        <v>102</v>
      </c>
      <c r="B2930" t="s">
        <v>36</v>
      </c>
      <c r="C2930">
        <v>635</v>
      </c>
      <c r="D2930">
        <v>1</v>
      </c>
      <c r="E2930" t="s">
        <v>34</v>
      </c>
      <c r="F2930" t="s">
        <v>35</v>
      </c>
      <c r="G2930" t="str">
        <f>"2024-12-29 18:13:42.713"</f>
        <v>2024-12-29 18:13:42.713</v>
      </c>
      <c r="H2930" t="s">
        <v>21</v>
      </c>
      <c r="I2930">
        <v>0.02</v>
      </c>
      <c r="J2930" t="s">
        <v>28</v>
      </c>
    </row>
    <row r="2931" spans="1:10" x14ac:dyDescent="0.25">
      <c r="A2931" s="1">
        <v>103</v>
      </c>
      <c r="B2931" t="s">
        <v>19</v>
      </c>
      <c r="C2931">
        <v>706</v>
      </c>
      <c r="D2931">
        <v>4</v>
      </c>
      <c r="E2931" t="s">
        <v>29</v>
      </c>
      <c r="F2931" t="s">
        <v>53</v>
      </c>
      <c r="G2931" t="str">
        <f>"2024-12-29 16:20:33.962"</f>
        <v>2024-12-29 16:20:33.962</v>
      </c>
      <c r="H2931" t="s">
        <v>21</v>
      </c>
      <c r="I2931">
        <v>0</v>
      </c>
      <c r="J2931" t="s">
        <v>31</v>
      </c>
    </row>
    <row r="2932" spans="1:10" x14ac:dyDescent="0.25">
      <c r="A2932" s="1">
        <v>108</v>
      </c>
      <c r="B2932" t="s">
        <v>19</v>
      </c>
      <c r="C2932">
        <v>706</v>
      </c>
      <c r="D2932">
        <v>4</v>
      </c>
      <c r="E2932" t="s">
        <v>29</v>
      </c>
      <c r="F2932" t="s">
        <v>53</v>
      </c>
      <c r="G2932" t="str">
        <f>"2024-12-28 13:40:39.692"</f>
        <v>2024-12-28 13:40:39.692</v>
      </c>
      <c r="H2932" t="s">
        <v>21</v>
      </c>
      <c r="I2932">
        <v>0</v>
      </c>
      <c r="J2932" t="s">
        <v>31</v>
      </c>
    </row>
    <row r="2933" spans="1:10" x14ac:dyDescent="0.25">
      <c r="A2933" s="1">
        <v>109</v>
      </c>
      <c r="B2933" t="s">
        <v>22</v>
      </c>
      <c r="C2933">
        <v>61</v>
      </c>
      <c r="D2933">
        <v>2</v>
      </c>
      <c r="E2933" t="s">
        <v>66</v>
      </c>
      <c r="F2933" t="s">
        <v>67</v>
      </c>
      <c r="G2933" t="str">
        <f>"2024-12-28 07:08:43.304"</f>
        <v>2024-12-28 07:08:43.304</v>
      </c>
      <c r="H2933" t="s">
        <v>21</v>
      </c>
    </row>
    <row r="2934" spans="1:10" x14ac:dyDescent="0.25">
      <c r="A2934" s="1">
        <v>110</v>
      </c>
      <c r="B2934" t="s">
        <v>26</v>
      </c>
      <c r="C2934">
        <v>61</v>
      </c>
      <c r="D2934">
        <v>2</v>
      </c>
      <c r="E2934" t="s">
        <v>66</v>
      </c>
      <c r="F2934" t="s">
        <v>67</v>
      </c>
      <c r="G2934" t="str">
        <f>"2024-12-28 07:08:34.504"</f>
        <v>2024-12-28 07:08:34.504</v>
      </c>
      <c r="H2934" t="s">
        <v>21</v>
      </c>
      <c r="I2934">
        <v>35.369999999999997</v>
      </c>
      <c r="J2934" t="s">
        <v>27</v>
      </c>
    </row>
    <row r="2935" spans="1:10" x14ac:dyDescent="0.25">
      <c r="A2935" s="1">
        <v>111</v>
      </c>
      <c r="B2935" t="s">
        <v>19</v>
      </c>
      <c r="C2935">
        <v>706</v>
      </c>
      <c r="D2935">
        <v>4</v>
      </c>
      <c r="E2935" t="s">
        <v>29</v>
      </c>
      <c r="F2935" t="s">
        <v>53</v>
      </c>
      <c r="G2935" t="str">
        <f>"2024-12-27 11:59:13.892"</f>
        <v>2024-12-27 11:59:13.892</v>
      </c>
      <c r="H2935" t="s">
        <v>21</v>
      </c>
      <c r="I2935">
        <v>0</v>
      </c>
      <c r="J2935" t="s">
        <v>31</v>
      </c>
    </row>
    <row r="2936" spans="1:10" x14ac:dyDescent="0.25">
      <c r="A2936" s="1">
        <v>112</v>
      </c>
      <c r="B2936" t="s">
        <v>19</v>
      </c>
      <c r="C2936">
        <v>706</v>
      </c>
      <c r="D2936">
        <v>4</v>
      </c>
      <c r="E2936" t="s">
        <v>29</v>
      </c>
      <c r="F2936" t="s">
        <v>53</v>
      </c>
      <c r="G2936" t="str">
        <f>"2024-12-27 10:08:29.052"</f>
        <v>2024-12-27 10:08:29.052</v>
      </c>
      <c r="H2936" t="s">
        <v>21</v>
      </c>
      <c r="I2936">
        <v>0</v>
      </c>
      <c r="J2936" t="s">
        <v>31</v>
      </c>
    </row>
    <row r="2937" spans="1:10" x14ac:dyDescent="0.25">
      <c r="A2937" s="1">
        <v>113</v>
      </c>
      <c r="B2937" t="s">
        <v>19</v>
      </c>
      <c r="C2937">
        <v>706</v>
      </c>
      <c r="D2937">
        <v>2</v>
      </c>
      <c r="E2937" t="s">
        <v>29</v>
      </c>
      <c r="F2937" t="s">
        <v>30</v>
      </c>
      <c r="G2937" t="str">
        <f>"2024-12-26 07:51:14.312"</f>
        <v>2024-12-26 07:51:14.312</v>
      </c>
      <c r="H2937" t="s">
        <v>21</v>
      </c>
      <c r="I2937">
        <v>0</v>
      </c>
      <c r="J2937" t="s">
        <v>31</v>
      </c>
    </row>
    <row r="2938" spans="1:10" x14ac:dyDescent="0.25">
      <c r="A2938" s="1">
        <v>114</v>
      </c>
      <c r="B2938" t="s">
        <v>22</v>
      </c>
      <c r="C2938">
        <v>61</v>
      </c>
      <c r="D2938">
        <v>2</v>
      </c>
      <c r="E2938" t="s">
        <v>66</v>
      </c>
      <c r="F2938" t="s">
        <v>67</v>
      </c>
      <c r="G2938" t="str">
        <f>"2024-12-26 03:41:03.104"</f>
        <v>2024-12-26 03:41:03.104</v>
      </c>
      <c r="H2938" t="s">
        <v>21</v>
      </c>
    </row>
    <row r="2939" spans="1:10" x14ac:dyDescent="0.25">
      <c r="A2939" s="1">
        <v>115</v>
      </c>
      <c r="B2939" t="s">
        <v>26</v>
      </c>
      <c r="C2939">
        <v>61</v>
      </c>
      <c r="D2939">
        <v>2</v>
      </c>
      <c r="E2939" t="s">
        <v>66</v>
      </c>
      <c r="F2939" t="s">
        <v>67</v>
      </c>
      <c r="G2939" t="str">
        <f>"2024-12-26 03:40:54.904"</f>
        <v>2024-12-26 03:40:54.904</v>
      </c>
      <c r="H2939" t="s">
        <v>21</v>
      </c>
      <c r="I2939">
        <v>35.54</v>
      </c>
      <c r="J2939" t="s">
        <v>27</v>
      </c>
    </row>
    <row r="2940" spans="1:10" x14ac:dyDescent="0.25">
      <c r="A2940" s="1">
        <v>116</v>
      </c>
      <c r="B2940" t="s">
        <v>19</v>
      </c>
      <c r="C2940">
        <v>700</v>
      </c>
      <c r="D2940">
        <v>0</v>
      </c>
      <c r="E2940" t="s">
        <v>20</v>
      </c>
      <c r="F2940" t="s">
        <v>20</v>
      </c>
      <c r="G2940" t="str">
        <f>"2024-12-25 12:04:57.862"</f>
        <v>2024-12-25 12:04:57.862</v>
      </c>
      <c r="H2940" t="s">
        <v>21</v>
      </c>
      <c r="I2940">
        <v>0</v>
      </c>
      <c r="J2940" t="s">
        <v>33</v>
      </c>
    </row>
    <row r="2941" spans="1:10" x14ac:dyDescent="0.25">
      <c r="A2941" s="1">
        <v>117</v>
      </c>
      <c r="B2941" t="s">
        <v>19</v>
      </c>
      <c r="C2941">
        <v>706</v>
      </c>
      <c r="D2941">
        <v>2</v>
      </c>
      <c r="E2941" t="s">
        <v>29</v>
      </c>
      <c r="F2941" t="s">
        <v>30</v>
      </c>
      <c r="G2941" t="str">
        <f>"2024-12-25 11:36:46.498"</f>
        <v>2024-12-25 11:36:46.498</v>
      </c>
      <c r="H2941" t="s">
        <v>21</v>
      </c>
      <c r="I2941">
        <v>0</v>
      </c>
      <c r="J2941" t="s">
        <v>31</v>
      </c>
    </row>
    <row r="2942" spans="1:10" x14ac:dyDescent="0.25">
      <c r="A2942" s="1">
        <v>118</v>
      </c>
      <c r="B2942" t="s">
        <v>19</v>
      </c>
      <c r="C2942">
        <v>700</v>
      </c>
      <c r="D2942">
        <v>0</v>
      </c>
      <c r="E2942" t="s">
        <v>20</v>
      </c>
      <c r="F2942" t="s">
        <v>20</v>
      </c>
      <c r="G2942" t="str">
        <f>"2024-12-25 11:31:50.848"</f>
        <v>2024-12-25 11:31:50.848</v>
      </c>
      <c r="H2942" t="s">
        <v>21</v>
      </c>
    </row>
    <row r="2943" spans="1:10" x14ac:dyDescent="0.25">
      <c r="A2943" s="1">
        <v>119</v>
      </c>
      <c r="B2943" t="s">
        <v>19</v>
      </c>
      <c r="C2943">
        <v>700</v>
      </c>
      <c r="D2943">
        <v>0</v>
      </c>
      <c r="E2943" t="s">
        <v>20</v>
      </c>
      <c r="F2943" t="s">
        <v>20</v>
      </c>
      <c r="G2943" t="str">
        <f>"2024-12-25 11:30:50.879"</f>
        <v>2024-12-25 11:30:50.879</v>
      </c>
      <c r="H2943" t="s">
        <v>21</v>
      </c>
      <c r="I2943">
        <v>0</v>
      </c>
      <c r="J2943" t="s">
        <v>33</v>
      </c>
    </row>
    <row r="2944" spans="1:10" x14ac:dyDescent="0.25">
      <c r="A2944" s="1">
        <v>120</v>
      </c>
      <c r="B2944" t="s">
        <v>19</v>
      </c>
      <c r="C2944">
        <v>706</v>
      </c>
      <c r="D2944">
        <v>4</v>
      </c>
      <c r="E2944" t="s">
        <v>29</v>
      </c>
      <c r="F2944" t="s">
        <v>53</v>
      </c>
      <c r="G2944" t="str">
        <f>"2024-12-25 07:47:18.080"</f>
        <v>2024-12-25 07:47:18.080</v>
      </c>
      <c r="H2944" t="s">
        <v>21</v>
      </c>
      <c r="I2944">
        <v>0</v>
      </c>
      <c r="J2944" t="s">
        <v>31</v>
      </c>
    </row>
    <row r="2945" spans="1:10" x14ac:dyDescent="0.25">
      <c r="A2945" s="1">
        <v>121</v>
      </c>
      <c r="B2945" t="s">
        <v>19</v>
      </c>
      <c r="C2945">
        <v>700</v>
      </c>
      <c r="D2945">
        <v>0</v>
      </c>
      <c r="E2945" t="s">
        <v>20</v>
      </c>
      <c r="F2945" t="s">
        <v>20</v>
      </c>
      <c r="G2945" t="str">
        <f>"2024-12-24 08:02:37.970"</f>
        <v>2024-12-24 08:02:37.970</v>
      </c>
      <c r="H2945" t="s">
        <v>21</v>
      </c>
      <c r="I2945">
        <v>0</v>
      </c>
      <c r="J2945" t="s">
        <v>33</v>
      </c>
    </row>
    <row r="2946" spans="1:10" x14ac:dyDescent="0.25">
      <c r="A2946" s="1">
        <v>122</v>
      </c>
      <c r="B2946" t="s">
        <v>19</v>
      </c>
      <c r="C2946">
        <v>700</v>
      </c>
      <c r="D2946">
        <v>0</v>
      </c>
      <c r="E2946" t="s">
        <v>20</v>
      </c>
      <c r="F2946" t="s">
        <v>20</v>
      </c>
      <c r="G2946" t="str">
        <f>"2024-12-23 09:23:03.025"</f>
        <v>2024-12-23 09:23:03.025</v>
      </c>
      <c r="H2946" t="s">
        <v>21</v>
      </c>
      <c r="I2946">
        <v>0</v>
      </c>
      <c r="J2946" t="s">
        <v>33</v>
      </c>
    </row>
    <row r="2947" spans="1:10" x14ac:dyDescent="0.25">
      <c r="A2947" s="1">
        <v>123</v>
      </c>
      <c r="B2947" t="s">
        <v>19</v>
      </c>
      <c r="C2947">
        <v>700</v>
      </c>
      <c r="D2947">
        <v>0</v>
      </c>
      <c r="E2947" t="s">
        <v>20</v>
      </c>
      <c r="F2947" t="s">
        <v>20</v>
      </c>
      <c r="G2947" t="str">
        <f>"2024-12-22 09:37:53.857"</f>
        <v>2024-12-22 09:37:53.857</v>
      </c>
      <c r="H2947" t="s">
        <v>21</v>
      </c>
    </row>
    <row r="2948" spans="1:10" x14ac:dyDescent="0.25">
      <c r="A2948" s="1">
        <v>124</v>
      </c>
      <c r="B2948" t="s">
        <v>19</v>
      </c>
      <c r="C2948">
        <v>700</v>
      </c>
      <c r="D2948">
        <v>0</v>
      </c>
      <c r="E2948" t="s">
        <v>20</v>
      </c>
      <c r="F2948" t="s">
        <v>20</v>
      </c>
      <c r="G2948" t="str">
        <f>"2024-12-21 07:43:12.865"</f>
        <v>2024-12-21 07:43:12.865</v>
      </c>
      <c r="H2948" t="s">
        <v>21</v>
      </c>
      <c r="I2948">
        <v>0</v>
      </c>
      <c r="J2948" t="s">
        <v>33</v>
      </c>
    </row>
    <row r="2949" spans="1:10" x14ac:dyDescent="0.25">
      <c r="A2949" s="1">
        <v>125</v>
      </c>
      <c r="B2949" t="s">
        <v>19</v>
      </c>
      <c r="C2949">
        <v>700</v>
      </c>
      <c r="D2949">
        <v>0</v>
      </c>
      <c r="E2949" t="s">
        <v>20</v>
      </c>
      <c r="F2949" t="s">
        <v>20</v>
      </c>
      <c r="G2949" t="str">
        <f>"2024-12-19 16:23:33.868"</f>
        <v>2024-12-19 16:23:33.868</v>
      </c>
      <c r="H2949" t="s">
        <v>21</v>
      </c>
    </row>
    <row r="2950" spans="1:10" x14ac:dyDescent="0.25">
      <c r="A2950" s="1">
        <v>126</v>
      </c>
      <c r="B2950" t="s">
        <v>19</v>
      </c>
      <c r="C2950">
        <v>700</v>
      </c>
      <c r="D2950">
        <v>0</v>
      </c>
      <c r="E2950" t="s">
        <v>20</v>
      </c>
      <c r="F2950" t="s">
        <v>20</v>
      </c>
      <c r="G2950" t="str">
        <f>"2024-12-19 11:34:05.883"</f>
        <v>2024-12-19 11:34:05.883</v>
      </c>
      <c r="H2950" t="s">
        <v>21</v>
      </c>
    </row>
    <row r="2951" spans="1:10" x14ac:dyDescent="0.25">
      <c r="A2951" s="1">
        <v>127</v>
      </c>
      <c r="B2951" t="s">
        <v>19</v>
      </c>
      <c r="C2951">
        <v>700</v>
      </c>
      <c r="D2951">
        <v>0</v>
      </c>
      <c r="E2951" t="s">
        <v>20</v>
      </c>
      <c r="F2951" t="s">
        <v>20</v>
      </c>
      <c r="G2951" t="str">
        <f>"2024-12-19 11:24:00.868"</f>
        <v>2024-12-19 11:24:00.868</v>
      </c>
      <c r="H2951" t="s">
        <v>21</v>
      </c>
      <c r="I2951">
        <v>0</v>
      </c>
      <c r="J2951" t="s">
        <v>33</v>
      </c>
    </row>
    <row r="2952" spans="1:10" x14ac:dyDescent="0.25">
      <c r="A2952" s="1">
        <v>128</v>
      </c>
      <c r="B2952" t="s">
        <v>19</v>
      </c>
      <c r="C2952">
        <v>706</v>
      </c>
      <c r="D2952">
        <v>2</v>
      </c>
      <c r="E2952" t="s">
        <v>29</v>
      </c>
      <c r="F2952" t="s">
        <v>30</v>
      </c>
      <c r="G2952" t="str">
        <f>"2024-12-19 10:40:15.337"</f>
        <v>2024-12-19 10:40:15.337</v>
      </c>
      <c r="H2952" t="s">
        <v>21</v>
      </c>
      <c r="I2952">
        <v>0</v>
      </c>
      <c r="J2952" t="s">
        <v>31</v>
      </c>
    </row>
    <row r="2953" spans="1:10" x14ac:dyDescent="0.25">
      <c r="A2953" s="1">
        <v>129</v>
      </c>
      <c r="B2953" t="s">
        <v>19</v>
      </c>
      <c r="C2953">
        <v>700</v>
      </c>
      <c r="D2953">
        <v>0</v>
      </c>
      <c r="E2953" t="s">
        <v>20</v>
      </c>
      <c r="F2953" t="s">
        <v>20</v>
      </c>
      <c r="G2953" t="str">
        <f>"2024-12-19 10:37:31.867"</f>
        <v>2024-12-19 10:37:31.867</v>
      </c>
      <c r="H2953" t="s">
        <v>21</v>
      </c>
      <c r="I2953">
        <v>0</v>
      </c>
      <c r="J2953" t="s">
        <v>33</v>
      </c>
    </row>
    <row r="2954" spans="1:10" x14ac:dyDescent="0.25">
      <c r="A2954" s="1">
        <v>130</v>
      </c>
      <c r="B2954" t="s">
        <v>19</v>
      </c>
      <c r="C2954">
        <v>700</v>
      </c>
      <c r="D2954">
        <v>0</v>
      </c>
      <c r="E2954" t="s">
        <v>20</v>
      </c>
      <c r="F2954" t="s">
        <v>20</v>
      </c>
      <c r="G2954" t="str">
        <f>"2024-12-19 10:31:22.856"</f>
        <v>2024-12-19 10:31:22.856</v>
      </c>
      <c r="H2954" t="s">
        <v>21</v>
      </c>
    </row>
    <row r="2955" spans="1:10" x14ac:dyDescent="0.25">
      <c r="A2955" s="1">
        <v>131</v>
      </c>
      <c r="B2955" t="s">
        <v>19</v>
      </c>
      <c r="C2955">
        <v>700</v>
      </c>
      <c r="D2955">
        <v>0</v>
      </c>
      <c r="E2955" t="s">
        <v>20</v>
      </c>
      <c r="F2955" t="s">
        <v>20</v>
      </c>
      <c r="G2955" t="str">
        <f>"2024-12-19 08:50:23.902"</f>
        <v>2024-12-19 08:50:23.902</v>
      </c>
      <c r="H2955" t="s">
        <v>21</v>
      </c>
    </row>
    <row r="2956" spans="1:10" x14ac:dyDescent="0.25">
      <c r="A2956" s="1">
        <v>132</v>
      </c>
      <c r="B2956" t="s">
        <v>22</v>
      </c>
      <c r="C2956">
        <v>635</v>
      </c>
      <c r="D2956">
        <v>1</v>
      </c>
      <c r="E2956" t="s">
        <v>34</v>
      </c>
      <c r="F2956" t="s">
        <v>35</v>
      </c>
      <c r="G2956" t="str">
        <f>"2024-12-19 08:02:57.759"</f>
        <v>2024-12-19 08:02:57.759</v>
      </c>
      <c r="H2956" t="s">
        <v>21</v>
      </c>
    </row>
    <row r="2957" spans="1:10" x14ac:dyDescent="0.25">
      <c r="A2957" s="1">
        <v>133</v>
      </c>
      <c r="B2957" t="s">
        <v>36</v>
      </c>
      <c r="C2957">
        <v>635</v>
      </c>
      <c r="D2957">
        <v>1</v>
      </c>
      <c r="E2957" t="s">
        <v>34</v>
      </c>
      <c r="F2957" t="s">
        <v>35</v>
      </c>
      <c r="G2957" t="str">
        <f>"2024-12-19 07:58:14.259"</f>
        <v>2024-12-19 07:58:14.259</v>
      </c>
      <c r="H2957" t="s">
        <v>21</v>
      </c>
      <c r="I2957">
        <v>3.62</v>
      </c>
      <c r="J2957" t="s">
        <v>37</v>
      </c>
    </row>
    <row r="2958" spans="1:10" x14ac:dyDescent="0.25">
      <c r="A2958" s="1">
        <v>134</v>
      </c>
      <c r="B2958" t="s">
        <v>19</v>
      </c>
      <c r="C2958">
        <v>700</v>
      </c>
      <c r="D2958">
        <v>0</v>
      </c>
      <c r="E2958" t="s">
        <v>20</v>
      </c>
      <c r="F2958" t="s">
        <v>20</v>
      </c>
      <c r="G2958" t="str">
        <f>"2024-12-17 20:36:02.869"</f>
        <v>2024-12-17 20:36:02.869</v>
      </c>
      <c r="H2958" t="s">
        <v>21</v>
      </c>
      <c r="I2958">
        <v>0</v>
      </c>
      <c r="J2958" t="s">
        <v>33</v>
      </c>
    </row>
    <row r="2959" spans="1:10" x14ac:dyDescent="0.25">
      <c r="A2959" s="1">
        <v>135</v>
      </c>
      <c r="B2959" t="s">
        <v>19</v>
      </c>
      <c r="C2959">
        <v>700</v>
      </c>
      <c r="D2959">
        <v>0</v>
      </c>
      <c r="E2959" t="s">
        <v>20</v>
      </c>
      <c r="F2959" t="s">
        <v>20</v>
      </c>
      <c r="G2959" t="str">
        <f>"2024-12-16 08:09:11.033"</f>
        <v>2024-12-16 08:09:11.033</v>
      </c>
      <c r="H2959" t="s">
        <v>21</v>
      </c>
      <c r="I2959">
        <v>0</v>
      </c>
      <c r="J2959" t="s">
        <v>33</v>
      </c>
    </row>
    <row r="2960" spans="1:10" x14ac:dyDescent="0.25">
      <c r="A2960" s="1">
        <v>136</v>
      </c>
      <c r="B2960" t="s">
        <v>22</v>
      </c>
      <c r="C2960">
        <v>635</v>
      </c>
      <c r="D2960">
        <v>1</v>
      </c>
      <c r="E2960" t="s">
        <v>34</v>
      </c>
      <c r="F2960" t="s">
        <v>35</v>
      </c>
      <c r="G2960" t="str">
        <f>"2024-12-16 06:50:32.047"</f>
        <v>2024-12-16 06:50:32.047</v>
      </c>
      <c r="H2960" t="s">
        <v>21</v>
      </c>
    </row>
    <row r="2961" spans="1:10" x14ac:dyDescent="0.25">
      <c r="A2961" s="1">
        <v>137</v>
      </c>
      <c r="B2961" t="s">
        <v>36</v>
      </c>
      <c r="C2961">
        <v>635</v>
      </c>
      <c r="D2961">
        <v>1</v>
      </c>
      <c r="E2961" t="s">
        <v>34</v>
      </c>
      <c r="F2961" t="s">
        <v>35</v>
      </c>
      <c r="G2961" t="str">
        <f>"2024-12-16 06:46:53.547"</f>
        <v>2024-12-16 06:46:53.547</v>
      </c>
      <c r="H2961" t="s">
        <v>21</v>
      </c>
      <c r="I2961">
        <v>2.75</v>
      </c>
      <c r="J2961" t="s">
        <v>37</v>
      </c>
    </row>
    <row r="2962" spans="1:10" x14ac:dyDescent="0.25">
      <c r="A2962" s="1">
        <v>138</v>
      </c>
      <c r="B2962" t="s">
        <v>22</v>
      </c>
      <c r="C2962">
        <v>635</v>
      </c>
      <c r="D2962">
        <v>1</v>
      </c>
      <c r="E2962" t="s">
        <v>34</v>
      </c>
      <c r="F2962" t="s">
        <v>35</v>
      </c>
      <c r="G2962" t="str">
        <f>"2024-12-15 16:54:45.747"</f>
        <v>2024-12-15 16:54:45.747</v>
      </c>
      <c r="H2962" t="s">
        <v>21</v>
      </c>
    </row>
    <row r="2963" spans="1:10" x14ac:dyDescent="0.25">
      <c r="A2963" s="1">
        <v>139</v>
      </c>
      <c r="B2963" t="s">
        <v>36</v>
      </c>
      <c r="C2963">
        <v>635</v>
      </c>
      <c r="D2963">
        <v>1</v>
      </c>
      <c r="E2963" t="s">
        <v>34</v>
      </c>
      <c r="F2963" t="s">
        <v>35</v>
      </c>
      <c r="G2963" t="str">
        <f>"2024-12-15 16:51:02.247"</f>
        <v>2024-12-15 16:51:02.247</v>
      </c>
      <c r="H2963" t="s">
        <v>21</v>
      </c>
      <c r="I2963">
        <v>6.01</v>
      </c>
      <c r="J2963" t="s">
        <v>27</v>
      </c>
    </row>
    <row r="2964" spans="1:10" x14ac:dyDescent="0.25">
      <c r="A2964" s="1">
        <v>140</v>
      </c>
      <c r="B2964" t="s">
        <v>22</v>
      </c>
      <c r="C2964">
        <v>635</v>
      </c>
      <c r="D2964">
        <v>1</v>
      </c>
      <c r="E2964" t="s">
        <v>34</v>
      </c>
      <c r="F2964" t="s">
        <v>35</v>
      </c>
      <c r="G2964" t="str">
        <f>"2024-12-14 03:57:55.547"</f>
        <v>2024-12-14 03:57:55.547</v>
      </c>
      <c r="H2964" t="s">
        <v>21</v>
      </c>
    </row>
    <row r="2965" spans="1:10" x14ac:dyDescent="0.25">
      <c r="A2965" s="1">
        <v>141</v>
      </c>
      <c r="B2965" t="s">
        <v>36</v>
      </c>
      <c r="C2965">
        <v>635</v>
      </c>
      <c r="D2965">
        <v>1</v>
      </c>
      <c r="E2965" t="s">
        <v>34</v>
      </c>
      <c r="F2965" t="s">
        <v>35</v>
      </c>
      <c r="G2965" t="str">
        <f>"2024-12-14 03:47:45.047"</f>
        <v>2024-12-14 03:47:45.047</v>
      </c>
      <c r="H2965" t="s">
        <v>21</v>
      </c>
      <c r="I2965">
        <v>1.77</v>
      </c>
      <c r="J2965" t="s">
        <v>37</v>
      </c>
    </row>
    <row r="2966" spans="1:10" x14ac:dyDescent="0.25">
      <c r="A2966" s="1">
        <v>142</v>
      </c>
      <c r="B2966" t="s">
        <v>19</v>
      </c>
      <c r="C2966">
        <v>700</v>
      </c>
      <c r="D2966">
        <v>0</v>
      </c>
      <c r="E2966" t="s">
        <v>20</v>
      </c>
      <c r="F2966" t="s">
        <v>20</v>
      </c>
      <c r="G2966" t="str">
        <f>"2024-12-13 23:10:37.866"</f>
        <v>2024-12-13 23:10:37.866</v>
      </c>
      <c r="H2966" t="s">
        <v>21</v>
      </c>
      <c r="I2966">
        <v>0</v>
      </c>
      <c r="J2966" t="s">
        <v>33</v>
      </c>
    </row>
    <row r="2967" spans="1:10" x14ac:dyDescent="0.25">
      <c r="A2967" s="1">
        <v>143</v>
      </c>
      <c r="B2967" t="s">
        <v>19</v>
      </c>
      <c r="C2967">
        <v>706</v>
      </c>
      <c r="D2967">
        <v>2</v>
      </c>
      <c r="E2967" t="s">
        <v>29</v>
      </c>
      <c r="F2967" t="s">
        <v>30</v>
      </c>
      <c r="G2967" t="str">
        <f>"2024-12-13 09:40:49.704"</f>
        <v>2024-12-13 09:40:49.704</v>
      </c>
      <c r="H2967" t="s">
        <v>21</v>
      </c>
      <c r="I2967">
        <v>0</v>
      </c>
      <c r="J2967" t="s">
        <v>31</v>
      </c>
    </row>
    <row r="2968" spans="1:10" x14ac:dyDescent="0.25">
      <c r="A2968" s="1">
        <v>144</v>
      </c>
      <c r="B2968" t="s">
        <v>19</v>
      </c>
      <c r="C2968">
        <v>700</v>
      </c>
      <c r="D2968">
        <v>0</v>
      </c>
      <c r="E2968" t="s">
        <v>20</v>
      </c>
      <c r="F2968" t="s">
        <v>20</v>
      </c>
      <c r="G2968" t="str">
        <f>"2024-12-13 09:40:30.864"</f>
        <v>2024-12-13 09:40:30.864</v>
      </c>
      <c r="H2968" t="s">
        <v>21</v>
      </c>
    </row>
    <row r="2969" spans="1:10" x14ac:dyDescent="0.25">
      <c r="A2969" s="1">
        <v>145</v>
      </c>
      <c r="B2969" t="s">
        <v>22</v>
      </c>
      <c r="C2969">
        <v>635</v>
      </c>
      <c r="D2969">
        <v>1</v>
      </c>
      <c r="E2969" t="s">
        <v>34</v>
      </c>
      <c r="F2969" t="s">
        <v>35</v>
      </c>
      <c r="G2969" t="str">
        <f>"2024-12-12 14:11:24.922"</f>
        <v>2024-12-12 14:11:24.922</v>
      </c>
      <c r="H2969" t="s">
        <v>21</v>
      </c>
    </row>
    <row r="2970" spans="1:10" x14ac:dyDescent="0.25">
      <c r="A2970" s="1">
        <v>146</v>
      </c>
      <c r="B2970" t="s">
        <v>36</v>
      </c>
      <c r="C2970">
        <v>635</v>
      </c>
      <c r="D2970">
        <v>1</v>
      </c>
      <c r="E2970" t="s">
        <v>34</v>
      </c>
      <c r="F2970" t="s">
        <v>35</v>
      </c>
      <c r="G2970" t="str">
        <f>"2024-12-12 14:08:42.922"</f>
        <v>2024-12-12 14:08:42.922</v>
      </c>
      <c r="H2970" t="s">
        <v>21</v>
      </c>
      <c r="I2970">
        <v>3.04</v>
      </c>
      <c r="J2970" t="s">
        <v>37</v>
      </c>
    </row>
    <row r="2971" spans="1:10" x14ac:dyDescent="0.25">
      <c r="A2971" s="1">
        <v>147</v>
      </c>
      <c r="B2971" t="s">
        <v>19</v>
      </c>
      <c r="C2971">
        <v>700</v>
      </c>
      <c r="D2971">
        <v>0</v>
      </c>
      <c r="E2971" t="s">
        <v>20</v>
      </c>
      <c r="F2971" t="s">
        <v>20</v>
      </c>
      <c r="G2971" t="str">
        <f>"2024-12-11 20:48:31.872"</f>
        <v>2024-12-11 20:48:31.872</v>
      </c>
      <c r="H2971" t="s">
        <v>21</v>
      </c>
    </row>
    <row r="2972" spans="1:10" x14ac:dyDescent="0.25">
      <c r="A2972" s="1">
        <v>148</v>
      </c>
      <c r="B2972" t="s">
        <v>22</v>
      </c>
      <c r="C2972">
        <v>635</v>
      </c>
      <c r="D2972">
        <v>1</v>
      </c>
      <c r="E2972" t="s">
        <v>34</v>
      </c>
      <c r="F2972" t="s">
        <v>35</v>
      </c>
      <c r="G2972" t="str">
        <f>"2024-12-11 18:42:03.711"</f>
        <v>2024-12-11 18:42:03.711</v>
      </c>
      <c r="H2972" t="s">
        <v>21</v>
      </c>
    </row>
    <row r="2973" spans="1:10" x14ac:dyDescent="0.25">
      <c r="A2973" s="1">
        <v>149</v>
      </c>
      <c r="B2973" t="s">
        <v>36</v>
      </c>
      <c r="C2973">
        <v>635</v>
      </c>
      <c r="D2973">
        <v>1</v>
      </c>
      <c r="E2973" t="s">
        <v>34</v>
      </c>
      <c r="F2973" t="s">
        <v>35</v>
      </c>
      <c r="G2973" t="str">
        <f>"2024-12-11 18:39:21.711"</f>
        <v>2024-12-11 18:39:21.711</v>
      </c>
      <c r="H2973" t="s">
        <v>21</v>
      </c>
      <c r="I2973">
        <v>-0.57999999999999996</v>
      </c>
      <c r="J2973" t="s">
        <v>28</v>
      </c>
    </row>
    <row r="2974" spans="1:10" x14ac:dyDescent="0.25">
      <c r="A2974" s="1">
        <v>150</v>
      </c>
      <c r="B2974" t="s">
        <v>19</v>
      </c>
      <c r="C2974">
        <v>700</v>
      </c>
      <c r="D2974">
        <v>0</v>
      </c>
      <c r="E2974" t="s">
        <v>20</v>
      </c>
      <c r="F2974" t="s">
        <v>20</v>
      </c>
      <c r="G2974" t="str">
        <f>"2024-12-11 15:54:53.859"</f>
        <v>2024-12-11 15:54:53.859</v>
      </c>
      <c r="H2974" t="s">
        <v>21</v>
      </c>
    </row>
    <row r="2975" spans="1:10" x14ac:dyDescent="0.25">
      <c r="A2975" s="1">
        <v>151</v>
      </c>
      <c r="B2975" t="s">
        <v>19</v>
      </c>
      <c r="C2975">
        <v>706</v>
      </c>
      <c r="D2975">
        <v>2</v>
      </c>
      <c r="E2975" t="s">
        <v>29</v>
      </c>
      <c r="F2975" t="s">
        <v>30</v>
      </c>
      <c r="G2975" t="str">
        <f>"2024-12-11 15:43:45.961"</f>
        <v>2024-12-11 15:43:45.961</v>
      </c>
      <c r="H2975" t="s">
        <v>21</v>
      </c>
      <c r="I2975">
        <v>0</v>
      </c>
      <c r="J2975" t="s">
        <v>31</v>
      </c>
    </row>
    <row r="2976" spans="1:10" x14ac:dyDescent="0.25">
      <c r="A2976" s="1">
        <v>152</v>
      </c>
      <c r="B2976" t="s">
        <v>19</v>
      </c>
      <c r="C2976">
        <v>700</v>
      </c>
      <c r="D2976">
        <v>0</v>
      </c>
      <c r="E2976" t="s">
        <v>20</v>
      </c>
      <c r="F2976" t="s">
        <v>20</v>
      </c>
      <c r="G2976" t="str">
        <f>"2024-12-11 15:39:38.861"</f>
        <v>2024-12-11 15:39:38.861</v>
      </c>
      <c r="H2976" t="s">
        <v>21</v>
      </c>
    </row>
    <row r="2977" spans="1:10" x14ac:dyDescent="0.25">
      <c r="A2977" s="1">
        <v>153</v>
      </c>
      <c r="B2977" t="s">
        <v>19</v>
      </c>
      <c r="C2977">
        <v>700</v>
      </c>
      <c r="D2977">
        <v>0</v>
      </c>
      <c r="E2977" t="s">
        <v>20</v>
      </c>
      <c r="F2977" t="s">
        <v>20</v>
      </c>
      <c r="G2977" t="str">
        <f>"2024-12-11 14:54:29.917"</f>
        <v>2024-12-11 14:54:29.917</v>
      </c>
      <c r="H2977" t="s">
        <v>21</v>
      </c>
      <c r="I2977">
        <v>0</v>
      </c>
      <c r="J2977" t="s">
        <v>33</v>
      </c>
    </row>
    <row r="2978" spans="1:10" x14ac:dyDescent="0.25">
      <c r="A2978" s="1">
        <v>154</v>
      </c>
      <c r="B2978" t="s">
        <v>19</v>
      </c>
      <c r="C2978">
        <v>700</v>
      </c>
      <c r="D2978">
        <v>0</v>
      </c>
      <c r="E2978" t="s">
        <v>20</v>
      </c>
      <c r="F2978" t="s">
        <v>20</v>
      </c>
      <c r="G2978" t="str">
        <f>"2024-12-11 00:32:31.896"</f>
        <v>2024-12-11 00:32:31.896</v>
      </c>
      <c r="H2978" t="s">
        <v>21</v>
      </c>
      <c r="I2978">
        <v>0</v>
      </c>
      <c r="J2978" t="s">
        <v>33</v>
      </c>
    </row>
    <row r="2979" spans="1:10" x14ac:dyDescent="0.25">
      <c r="A2979" s="1">
        <v>155</v>
      </c>
      <c r="B2979" t="s">
        <v>22</v>
      </c>
      <c r="C2979">
        <v>635</v>
      </c>
      <c r="D2979">
        <v>1</v>
      </c>
      <c r="E2979" t="s">
        <v>34</v>
      </c>
      <c r="F2979" t="s">
        <v>35</v>
      </c>
      <c r="G2979" t="str">
        <f>"2024-12-10 15:07:11.116"</f>
        <v>2024-12-10 15:07:11.116</v>
      </c>
      <c r="H2979" t="s">
        <v>21</v>
      </c>
    </row>
    <row r="2980" spans="1:10" x14ac:dyDescent="0.25">
      <c r="A2980" s="1">
        <v>156</v>
      </c>
      <c r="B2980" t="s">
        <v>36</v>
      </c>
      <c r="C2980">
        <v>635</v>
      </c>
      <c r="D2980">
        <v>1</v>
      </c>
      <c r="E2980" t="s">
        <v>34</v>
      </c>
      <c r="F2980" t="s">
        <v>35</v>
      </c>
      <c r="G2980" t="str">
        <f>"2024-12-10 15:04:33.716"</f>
        <v>2024-12-10 15:04:33.716</v>
      </c>
      <c r="H2980" t="s">
        <v>21</v>
      </c>
      <c r="I2980">
        <v>0.68</v>
      </c>
      <c r="J2980" t="s">
        <v>37</v>
      </c>
    </row>
    <row r="2981" spans="1:10" x14ac:dyDescent="0.25">
      <c r="A2981" s="1">
        <v>157</v>
      </c>
      <c r="B2981" t="s">
        <v>22</v>
      </c>
      <c r="C2981">
        <v>635</v>
      </c>
      <c r="D2981">
        <v>1</v>
      </c>
      <c r="E2981" t="s">
        <v>34</v>
      </c>
      <c r="F2981" t="s">
        <v>35</v>
      </c>
      <c r="G2981" t="str">
        <f>"2024-12-10 14:22:06.216"</f>
        <v>2024-12-10 14:22:06.216</v>
      </c>
      <c r="H2981" t="s">
        <v>21</v>
      </c>
    </row>
    <row r="2982" spans="1:10" x14ac:dyDescent="0.25">
      <c r="A2982" s="1">
        <v>158</v>
      </c>
      <c r="B2982" t="s">
        <v>36</v>
      </c>
      <c r="C2982">
        <v>635</v>
      </c>
      <c r="D2982">
        <v>1</v>
      </c>
      <c r="E2982" t="s">
        <v>34</v>
      </c>
      <c r="F2982" t="s">
        <v>35</v>
      </c>
      <c r="G2982" t="str">
        <f>"2024-12-10 13:58:27.315"</f>
        <v>2024-12-10 13:58:27.315</v>
      </c>
      <c r="H2982" t="s">
        <v>21</v>
      </c>
      <c r="I2982">
        <v>1.76</v>
      </c>
      <c r="J2982" t="s">
        <v>37</v>
      </c>
    </row>
    <row r="2983" spans="1:10" x14ac:dyDescent="0.25">
      <c r="A2983" s="1">
        <v>159</v>
      </c>
      <c r="B2983" t="s">
        <v>19</v>
      </c>
      <c r="C2983">
        <v>700</v>
      </c>
      <c r="D2983">
        <v>0</v>
      </c>
      <c r="E2983" t="s">
        <v>20</v>
      </c>
      <c r="F2983" t="s">
        <v>20</v>
      </c>
      <c r="G2983" t="str">
        <f>"2024-12-10 12:18:38.865"</f>
        <v>2024-12-10 12:18:38.865</v>
      </c>
      <c r="H2983" t="s">
        <v>21</v>
      </c>
      <c r="I2983">
        <v>0</v>
      </c>
      <c r="J2983" t="s">
        <v>33</v>
      </c>
    </row>
    <row r="2984" spans="1:10" x14ac:dyDescent="0.25">
      <c r="A2984" s="1">
        <v>160</v>
      </c>
      <c r="B2984" t="s">
        <v>22</v>
      </c>
      <c r="C2984">
        <v>635</v>
      </c>
      <c r="D2984">
        <v>1</v>
      </c>
      <c r="E2984" t="s">
        <v>34</v>
      </c>
      <c r="F2984" t="s">
        <v>35</v>
      </c>
      <c r="G2984" t="str">
        <f>"2024-12-10 06:36:59.782"</f>
        <v>2024-12-10 06:36:59.782</v>
      </c>
      <c r="H2984" t="s">
        <v>21</v>
      </c>
    </row>
    <row r="2985" spans="1:10" x14ac:dyDescent="0.25">
      <c r="A2985" s="1">
        <v>161</v>
      </c>
      <c r="B2985" t="s">
        <v>36</v>
      </c>
      <c r="C2985">
        <v>635</v>
      </c>
      <c r="D2985">
        <v>1</v>
      </c>
      <c r="E2985" t="s">
        <v>34</v>
      </c>
      <c r="F2985" t="s">
        <v>35</v>
      </c>
      <c r="G2985" t="str">
        <f>"2024-12-10 06:28:36.282"</f>
        <v>2024-12-10 06:28:36.282</v>
      </c>
      <c r="H2985" t="s">
        <v>21</v>
      </c>
      <c r="I2985">
        <v>7.67</v>
      </c>
      <c r="J2985" t="s">
        <v>37</v>
      </c>
    </row>
    <row r="2986" spans="1:10" x14ac:dyDescent="0.25">
      <c r="A2986" s="1">
        <v>162</v>
      </c>
      <c r="B2986" t="s">
        <v>19</v>
      </c>
      <c r="C2986">
        <v>700</v>
      </c>
      <c r="D2986">
        <v>0</v>
      </c>
      <c r="E2986" t="s">
        <v>20</v>
      </c>
      <c r="F2986" t="s">
        <v>20</v>
      </c>
      <c r="G2986" t="str">
        <f>"2024-12-09 22:22:09.856"</f>
        <v>2024-12-09 22:22:09.856</v>
      </c>
      <c r="H2986" t="s">
        <v>21</v>
      </c>
    </row>
    <row r="2987" spans="1:10" x14ac:dyDescent="0.25">
      <c r="A2987" s="1">
        <v>163</v>
      </c>
      <c r="B2987" t="s">
        <v>19</v>
      </c>
      <c r="C2987">
        <v>700</v>
      </c>
      <c r="D2987">
        <v>0</v>
      </c>
      <c r="E2987" t="s">
        <v>20</v>
      </c>
      <c r="F2987" t="s">
        <v>20</v>
      </c>
      <c r="G2987" t="str">
        <f>"2024-12-09 05:06:06.862"</f>
        <v>2024-12-09 05:06:06.862</v>
      </c>
      <c r="H2987" t="s">
        <v>21</v>
      </c>
      <c r="I2987">
        <v>0</v>
      </c>
      <c r="J2987" t="s">
        <v>33</v>
      </c>
    </row>
    <row r="2988" spans="1:10" x14ac:dyDescent="0.25">
      <c r="A2988" s="1">
        <v>164</v>
      </c>
      <c r="B2988" t="s">
        <v>22</v>
      </c>
      <c r="C2988">
        <v>98</v>
      </c>
      <c r="D2988">
        <v>1</v>
      </c>
      <c r="E2988" t="s">
        <v>99</v>
      </c>
      <c r="F2988" t="s">
        <v>100</v>
      </c>
      <c r="G2988" t="str">
        <f>"2024-12-09 02:07:43.588"</f>
        <v>2024-12-09 02:07:43.588</v>
      </c>
      <c r="H2988" t="s">
        <v>21</v>
      </c>
    </row>
    <row r="2989" spans="1:10" x14ac:dyDescent="0.25">
      <c r="A2989" s="1">
        <v>165</v>
      </c>
      <c r="B2989" t="s">
        <v>36</v>
      </c>
      <c r="C2989">
        <v>98</v>
      </c>
      <c r="D2989">
        <v>1</v>
      </c>
      <c r="E2989" t="s">
        <v>99</v>
      </c>
      <c r="F2989" t="s">
        <v>100</v>
      </c>
      <c r="G2989" t="str">
        <f>"2024-12-09 02:07:42.588"</f>
        <v>2024-12-09 02:07:42.588</v>
      </c>
      <c r="H2989" t="s">
        <v>21</v>
      </c>
      <c r="I2989">
        <v>0</v>
      </c>
      <c r="J2989" t="s">
        <v>28</v>
      </c>
    </row>
    <row r="2990" spans="1:10" x14ac:dyDescent="0.25">
      <c r="A2990" s="1">
        <v>166</v>
      </c>
      <c r="B2990" t="s">
        <v>19</v>
      </c>
      <c r="C2990">
        <v>706</v>
      </c>
      <c r="D2990">
        <v>2</v>
      </c>
      <c r="E2990" t="s">
        <v>29</v>
      </c>
      <c r="F2990" t="s">
        <v>30</v>
      </c>
      <c r="G2990" t="str">
        <f>"2024-12-08 18:32:06.665"</f>
        <v>2024-12-08 18:32:06.665</v>
      </c>
      <c r="H2990" t="s">
        <v>21</v>
      </c>
      <c r="I2990">
        <v>0</v>
      </c>
      <c r="J2990" t="s">
        <v>31</v>
      </c>
    </row>
    <row r="2991" spans="1:10" x14ac:dyDescent="0.25">
      <c r="A2991" s="1">
        <v>167</v>
      </c>
      <c r="B2991" t="s">
        <v>19</v>
      </c>
      <c r="C2991">
        <v>706</v>
      </c>
      <c r="D2991">
        <v>2</v>
      </c>
      <c r="E2991" t="s">
        <v>29</v>
      </c>
      <c r="F2991" t="s">
        <v>30</v>
      </c>
      <c r="G2991" t="str">
        <f>"2024-12-08 18:31:50.665"</f>
        <v>2024-12-08 18:31:50.665</v>
      </c>
      <c r="H2991" t="s">
        <v>21</v>
      </c>
      <c r="I2991">
        <v>0</v>
      </c>
      <c r="J2991" t="s">
        <v>31</v>
      </c>
    </row>
    <row r="2992" spans="1:10" x14ac:dyDescent="0.25">
      <c r="A2992" s="1">
        <v>168</v>
      </c>
      <c r="B2992" t="s">
        <v>19</v>
      </c>
      <c r="C2992">
        <v>700</v>
      </c>
      <c r="D2992">
        <v>0</v>
      </c>
      <c r="E2992" t="s">
        <v>20</v>
      </c>
      <c r="F2992" t="s">
        <v>20</v>
      </c>
      <c r="G2992" t="str">
        <f>"2024-12-08 18:04:31.165"</f>
        <v>2024-12-08 18:04:31.165</v>
      </c>
      <c r="H2992" t="s">
        <v>21</v>
      </c>
      <c r="I2992">
        <v>0</v>
      </c>
      <c r="J2992" t="s">
        <v>33</v>
      </c>
    </row>
    <row r="2993" spans="1:10" x14ac:dyDescent="0.25">
      <c r="A2993" s="1">
        <v>169</v>
      </c>
      <c r="B2993" t="s">
        <v>19</v>
      </c>
      <c r="C2993">
        <v>700</v>
      </c>
      <c r="D2993">
        <v>0</v>
      </c>
      <c r="E2993" t="s">
        <v>20</v>
      </c>
      <c r="F2993" t="s">
        <v>20</v>
      </c>
      <c r="G2993" t="str">
        <f>"2024-12-08 10:22:35.879"</f>
        <v>2024-12-08 10:22:35.879</v>
      </c>
      <c r="H2993" t="s">
        <v>21</v>
      </c>
    </row>
    <row r="2994" spans="1:10" x14ac:dyDescent="0.25">
      <c r="A2994" s="1">
        <v>170</v>
      </c>
      <c r="B2994" t="s">
        <v>19</v>
      </c>
      <c r="C2994">
        <v>700</v>
      </c>
      <c r="D2994">
        <v>0</v>
      </c>
      <c r="E2994" t="s">
        <v>20</v>
      </c>
      <c r="F2994" t="s">
        <v>20</v>
      </c>
      <c r="G2994" t="str">
        <f>"2024-12-07 22:23:53.998"</f>
        <v>2024-12-07 22:23:53.998</v>
      </c>
      <c r="H2994" t="s">
        <v>21</v>
      </c>
      <c r="I2994">
        <v>0</v>
      </c>
      <c r="J2994" t="s">
        <v>33</v>
      </c>
    </row>
    <row r="2995" spans="1:10" x14ac:dyDescent="0.25">
      <c r="A2995" s="1">
        <v>171</v>
      </c>
      <c r="B2995" t="s">
        <v>19</v>
      </c>
      <c r="C2995">
        <v>700</v>
      </c>
      <c r="D2995">
        <v>0</v>
      </c>
      <c r="E2995" t="s">
        <v>20</v>
      </c>
      <c r="F2995" t="s">
        <v>20</v>
      </c>
      <c r="G2995" t="str">
        <f>"2024-12-07 10:47:57.864"</f>
        <v>2024-12-07 10:47:57.864</v>
      </c>
      <c r="H2995" t="s">
        <v>21</v>
      </c>
      <c r="I2995">
        <v>0</v>
      </c>
      <c r="J2995" t="s">
        <v>33</v>
      </c>
    </row>
    <row r="2996" spans="1:10" x14ac:dyDescent="0.25">
      <c r="A2996" s="1">
        <v>172</v>
      </c>
      <c r="B2996" t="s">
        <v>19</v>
      </c>
      <c r="C2996">
        <v>700</v>
      </c>
      <c r="D2996">
        <v>0</v>
      </c>
      <c r="E2996" t="s">
        <v>20</v>
      </c>
      <c r="F2996" t="s">
        <v>20</v>
      </c>
      <c r="G2996" t="str">
        <f>"2024-12-06 21:29:46.865"</f>
        <v>2024-12-06 21:29:46.865</v>
      </c>
      <c r="H2996" t="s">
        <v>21</v>
      </c>
      <c r="I2996">
        <v>0</v>
      </c>
      <c r="J2996" t="s">
        <v>33</v>
      </c>
    </row>
    <row r="2997" spans="1:10" x14ac:dyDescent="0.25">
      <c r="A2997" s="1">
        <v>173</v>
      </c>
      <c r="B2997" t="s">
        <v>19</v>
      </c>
      <c r="C2997">
        <v>700</v>
      </c>
      <c r="D2997">
        <v>0</v>
      </c>
      <c r="E2997" t="s">
        <v>20</v>
      </c>
      <c r="F2997" t="s">
        <v>20</v>
      </c>
      <c r="G2997" t="str">
        <f>"2024-12-06 21:10:30.934"</f>
        <v>2024-12-06 21:10:30.934</v>
      </c>
      <c r="H2997" t="s">
        <v>21</v>
      </c>
    </row>
    <row r="2998" spans="1:10" x14ac:dyDescent="0.25">
      <c r="A2998" s="1">
        <v>174</v>
      </c>
      <c r="B2998" t="s">
        <v>19</v>
      </c>
      <c r="C2998">
        <v>700</v>
      </c>
      <c r="D2998">
        <v>0</v>
      </c>
      <c r="E2998" t="s">
        <v>20</v>
      </c>
      <c r="F2998" t="s">
        <v>20</v>
      </c>
      <c r="G2998" t="str">
        <f>"2024-12-06 20:18:21.896"</f>
        <v>2024-12-06 20:18:21.896</v>
      </c>
      <c r="H2998" t="s">
        <v>21</v>
      </c>
      <c r="I2998">
        <v>0</v>
      </c>
      <c r="J2998" t="s">
        <v>33</v>
      </c>
    </row>
    <row r="2999" spans="1:10" x14ac:dyDescent="0.25">
      <c r="A2999" s="1">
        <v>175</v>
      </c>
      <c r="B2999" t="s">
        <v>22</v>
      </c>
      <c r="C2999">
        <v>635</v>
      </c>
      <c r="D2999">
        <v>1</v>
      </c>
      <c r="E2999" t="s">
        <v>34</v>
      </c>
      <c r="F2999" t="s">
        <v>35</v>
      </c>
      <c r="G2999" t="str">
        <f>"2024-12-06 08:21:17.046"</f>
        <v>2024-12-06 08:21:17.046</v>
      </c>
      <c r="H2999" t="s">
        <v>21</v>
      </c>
    </row>
    <row r="3000" spans="1:10" x14ac:dyDescent="0.25">
      <c r="A3000" s="1">
        <v>176</v>
      </c>
      <c r="B3000" t="s">
        <v>36</v>
      </c>
      <c r="C3000">
        <v>635</v>
      </c>
      <c r="D3000">
        <v>1</v>
      </c>
      <c r="E3000" t="s">
        <v>34</v>
      </c>
      <c r="F3000" t="s">
        <v>35</v>
      </c>
      <c r="G3000" t="str">
        <f>"2024-12-06 08:18:30.546"</f>
        <v>2024-12-06 08:18:30.546</v>
      </c>
      <c r="H3000" t="s">
        <v>21</v>
      </c>
      <c r="I3000">
        <v>-3.15</v>
      </c>
      <c r="J3000" t="s">
        <v>27</v>
      </c>
    </row>
    <row r="3001" spans="1:10" x14ac:dyDescent="0.25">
      <c r="A3001" s="1">
        <v>177</v>
      </c>
      <c r="B3001" t="s">
        <v>19</v>
      </c>
      <c r="C3001">
        <v>706</v>
      </c>
      <c r="D3001">
        <v>4</v>
      </c>
      <c r="E3001" t="s">
        <v>29</v>
      </c>
      <c r="F3001" t="s">
        <v>53</v>
      </c>
      <c r="G3001" t="str">
        <f>"2024-12-06 04:12:04.628"</f>
        <v>2024-12-06 04:12:04.628</v>
      </c>
      <c r="H3001" t="s">
        <v>21</v>
      </c>
      <c r="I3001">
        <v>0</v>
      </c>
      <c r="J3001" t="s">
        <v>31</v>
      </c>
    </row>
    <row r="3002" spans="1:10" x14ac:dyDescent="0.25">
      <c r="A3002" s="1">
        <v>178</v>
      </c>
      <c r="B3002" t="s">
        <v>19</v>
      </c>
      <c r="C3002">
        <v>700</v>
      </c>
      <c r="D3002">
        <v>0</v>
      </c>
      <c r="E3002" t="s">
        <v>20</v>
      </c>
      <c r="F3002" t="s">
        <v>20</v>
      </c>
      <c r="G3002" t="str">
        <f>"2024-12-06 03:49:22.888"</f>
        <v>2024-12-06 03:49:22.888</v>
      </c>
      <c r="H3002" t="s">
        <v>21</v>
      </c>
    </row>
    <row r="3003" spans="1:10" x14ac:dyDescent="0.25">
      <c r="A3003" s="1">
        <v>179</v>
      </c>
      <c r="B3003" t="s">
        <v>19</v>
      </c>
      <c r="C3003">
        <v>700</v>
      </c>
      <c r="D3003">
        <v>0</v>
      </c>
      <c r="E3003" t="s">
        <v>20</v>
      </c>
      <c r="F3003" t="s">
        <v>20</v>
      </c>
      <c r="G3003" t="str">
        <f>"2024-12-05 18:12:10.859"</f>
        <v>2024-12-05 18:12:10.859</v>
      </c>
      <c r="H3003" t="s">
        <v>21</v>
      </c>
      <c r="I3003">
        <v>0</v>
      </c>
      <c r="J3003" t="s">
        <v>33</v>
      </c>
    </row>
    <row r="3004" spans="1:10" x14ac:dyDescent="0.25">
      <c r="A3004" s="1">
        <v>180</v>
      </c>
      <c r="B3004" t="s">
        <v>19</v>
      </c>
      <c r="C3004">
        <v>706</v>
      </c>
      <c r="D3004">
        <v>4</v>
      </c>
      <c r="E3004" t="s">
        <v>29</v>
      </c>
      <c r="F3004" t="s">
        <v>53</v>
      </c>
      <c r="G3004" t="str">
        <f>"2024-12-05 17:27:48.715"</f>
        <v>2024-12-05 17:27:48.715</v>
      </c>
      <c r="H3004" t="s">
        <v>21</v>
      </c>
      <c r="I3004">
        <v>0</v>
      </c>
      <c r="J3004" t="s">
        <v>31</v>
      </c>
    </row>
    <row r="3005" spans="1:10" x14ac:dyDescent="0.25">
      <c r="A3005" s="1">
        <v>181</v>
      </c>
      <c r="B3005" t="s">
        <v>19</v>
      </c>
      <c r="C3005">
        <v>700</v>
      </c>
      <c r="D3005">
        <v>0</v>
      </c>
      <c r="E3005" t="s">
        <v>20</v>
      </c>
      <c r="F3005" t="s">
        <v>20</v>
      </c>
      <c r="G3005" t="str">
        <f>"2024-12-05 16:44:16.855"</f>
        <v>2024-12-05 16:44:16.855</v>
      </c>
      <c r="H3005" t="s">
        <v>21</v>
      </c>
    </row>
    <row r="3006" spans="1:10" x14ac:dyDescent="0.25">
      <c r="A3006" s="1">
        <v>182</v>
      </c>
      <c r="B3006" t="s">
        <v>19</v>
      </c>
      <c r="C3006">
        <v>706</v>
      </c>
      <c r="D3006">
        <v>4</v>
      </c>
      <c r="E3006" t="s">
        <v>29</v>
      </c>
      <c r="F3006" t="s">
        <v>53</v>
      </c>
      <c r="G3006" t="str">
        <f>"2024-12-05 09:57:30.377"</f>
        <v>2024-12-05 09:57:30.377</v>
      </c>
      <c r="H3006" t="s">
        <v>21</v>
      </c>
      <c r="I3006">
        <v>0</v>
      </c>
      <c r="J3006" t="s">
        <v>31</v>
      </c>
    </row>
    <row r="3007" spans="1:10" x14ac:dyDescent="0.25">
      <c r="A3007" s="1">
        <v>183</v>
      </c>
      <c r="B3007" t="s">
        <v>19</v>
      </c>
      <c r="C3007">
        <v>700</v>
      </c>
      <c r="D3007">
        <v>0</v>
      </c>
      <c r="E3007" t="s">
        <v>20</v>
      </c>
      <c r="F3007" t="s">
        <v>20</v>
      </c>
      <c r="G3007" t="str">
        <f>"2024-12-05 09:57:02.877"</f>
        <v>2024-12-05 09:57:02.877</v>
      </c>
      <c r="H3007" t="s">
        <v>21</v>
      </c>
    </row>
    <row r="3008" spans="1:10" x14ac:dyDescent="0.25">
      <c r="A3008" s="1">
        <v>184</v>
      </c>
      <c r="B3008" t="s">
        <v>22</v>
      </c>
      <c r="C3008">
        <v>635</v>
      </c>
      <c r="D3008">
        <v>1</v>
      </c>
      <c r="E3008" t="s">
        <v>34</v>
      </c>
      <c r="F3008" t="s">
        <v>35</v>
      </c>
      <c r="G3008" t="str">
        <f>"2024-12-05 04:57:49.795"</f>
        <v>2024-12-05 04:57:49.795</v>
      </c>
      <c r="H3008" t="s">
        <v>21</v>
      </c>
    </row>
    <row r="3009" spans="1:10" x14ac:dyDescent="0.25">
      <c r="A3009" s="1">
        <v>185</v>
      </c>
      <c r="B3009" t="s">
        <v>36</v>
      </c>
      <c r="C3009">
        <v>635</v>
      </c>
      <c r="D3009">
        <v>1</v>
      </c>
      <c r="E3009" t="s">
        <v>34</v>
      </c>
      <c r="F3009" t="s">
        <v>35</v>
      </c>
      <c r="G3009" t="str">
        <f>"2024-12-05 04:55:40.795"</f>
        <v>2024-12-05 04:55:40.795</v>
      </c>
      <c r="H3009" t="s">
        <v>21</v>
      </c>
      <c r="I3009">
        <v>1.81</v>
      </c>
      <c r="J3009" t="s">
        <v>37</v>
      </c>
    </row>
    <row r="3010" spans="1:10" x14ac:dyDescent="0.25">
      <c r="A3010" s="1">
        <v>186</v>
      </c>
      <c r="B3010" t="s">
        <v>19</v>
      </c>
      <c r="C3010">
        <v>700</v>
      </c>
      <c r="D3010">
        <v>0</v>
      </c>
      <c r="E3010" t="s">
        <v>20</v>
      </c>
      <c r="F3010" t="s">
        <v>20</v>
      </c>
      <c r="G3010" t="str">
        <f>"2024-12-04 22:50:42.887"</f>
        <v>2024-12-04 22:50:42.887</v>
      </c>
      <c r="H3010" t="s">
        <v>21</v>
      </c>
    </row>
    <row r="3011" spans="1:10" x14ac:dyDescent="0.25">
      <c r="A3011" s="1">
        <v>187</v>
      </c>
      <c r="B3011" t="s">
        <v>19</v>
      </c>
      <c r="C3011">
        <v>700</v>
      </c>
      <c r="D3011">
        <v>0</v>
      </c>
      <c r="E3011" t="s">
        <v>20</v>
      </c>
      <c r="F3011" t="s">
        <v>20</v>
      </c>
      <c r="G3011" t="str">
        <f>"2024-12-04 16:42:21.852"</f>
        <v>2024-12-04 16:42:21.852</v>
      </c>
      <c r="H3011" t="s">
        <v>21</v>
      </c>
    </row>
    <row r="3012" spans="1:10" x14ac:dyDescent="0.25">
      <c r="A3012" s="1">
        <v>188</v>
      </c>
      <c r="B3012" t="s">
        <v>19</v>
      </c>
      <c r="C3012">
        <v>700</v>
      </c>
      <c r="D3012">
        <v>0</v>
      </c>
      <c r="E3012" t="s">
        <v>20</v>
      </c>
      <c r="F3012" t="s">
        <v>20</v>
      </c>
      <c r="G3012" t="str">
        <f>"2024-12-04 04:47:22.856"</f>
        <v>2024-12-04 04:47:22.856</v>
      </c>
      <c r="H3012" t="s">
        <v>21</v>
      </c>
    </row>
    <row r="3013" spans="1:10" x14ac:dyDescent="0.25">
      <c r="A3013" s="1">
        <v>189</v>
      </c>
      <c r="B3013" t="s">
        <v>19</v>
      </c>
      <c r="C3013">
        <v>700</v>
      </c>
      <c r="D3013">
        <v>0</v>
      </c>
      <c r="E3013" t="s">
        <v>20</v>
      </c>
      <c r="F3013" t="s">
        <v>20</v>
      </c>
      <c r="G3013" t="str">
        <f>"2024-12-04 00:40:09.034"</f>
        <v>2024-12-04 00:40:09.034</v>
      </c>
      <c r="H3013" t="s">
        <v>21</v>
      </c>
    </row>
    <row r="3014" spans="1:10" x14ac:dyDescent="0.25">
      <c r="A3014" s="1">
        <v>190</v>
      </c>
      <c r="B3014" t="s">
        <v>19</v>
      </c>
      <c r="C3014">
        <v>700</v>
      </c>
      <c r="D3014">
        <v>0</v>
      </c>
      <c r="E3014" t="s">
        <v>20</v>
      </c>
      <c r="F3014" t="s">
        <v>20</v>
      </c>
      <c r="G3014" t="str">
        <f>"2024-12-03 20:17:41.211"</f>
        <v>2024-12-03 20:17:41.211</v>
      </c>
      <c r="H3014" t="s">
        <v>21</v>
      </c>
      <c r="I3014">
        <v>0</v>
      </c>
      <c r="J3014" t="s">
        <v>33</v>
      </c>
    </row>
    <row r="3015" spans="1:10" x14ac:dyDescent="0.25">
      <c r="A3015" s="1">
        <v>191</v>
      </c>
      <c r="B3015" t="s">
        <v>22</v>
      </c>
      <c r="C3015">
        <v>635</v>
      </c>
      <c r="D3015">
        <v>1</v>
      </c>
      <c r="E3015" t="s">
        <v>34</v>
      </c>
      <c r="F3015" t="s">
        <v>35</v>
      </c>
      <c r="G3015" t="str">
        <f>"2024-12-03 11:18:16.115"</f>
        <v>2024-12-03 11:18:16.115</v>
      </c>
      <c r="H3015" t="s">
        <v>21</v>
      </c>
    </row>
    <row r="3016" spans="1:10" x14ac:dyDescent="0.25">
      <c r="A3016" s="1">
        <v>192</v>
      </c>
      <c r="B3016" t="s">
        <v>36</v>
      </c>
      <c r="C3016">
        <v>635</v>
      </c>
      <c r="D3016">
        <v>1</v>
      </c>
      <c r="E3016" t="s">
        <v>34</v>
      </c>
      <c r="F3016" t="s">
        <v>35</v>
      </c>
      <c r="G3016" t="str">
        <f>"2024-12-03 11:14:44.615"</f>
        <v>2024-12-03 11:14:44.615</v>
      </c>
      <c r="H3016" t="s">
        <v>21</v>
      </c>
      <c r="I3016">
        <v>3.46</v>
      </c>
      <c r="J3016" t="s">
        <v>27</v>
      </c>
    </row>
    <row r="3017" spans="1:10" x14ac:dyDescent="0.25">
      <c r="A3017" s="1">
        <v>193</v>
      </c>
      <c r="B3017" t="s">
        <v>19</v>
      </c>
      <c r="C3017">
        <v>700</v>
      </c>
      <c r="D3017">
        <v>0</v>
      </c>
      <c r="E3017" t="s">
        <v>20</v>
      </c>
      <c r="F3017" t="s">
        <v>20</v>
      </c>
      <c r="G3017" t="str">
        <f>"2024-12-03 08:07:35.848"</f>
        <v>2024-12-03 08:07:35.848</v>
      </c>
      <c r="H3017" t="s">
        <v>21</v>
      </c>
    </row>
    <row r="3018" spans="1:10" x14ac:dyDescent="0.25">
      <c r="A3018" s="1">
        <v>194</v>
      </c>
      <c r="B3018" t="s">
        <v>19</v>
      </c>
      <c r="C3018">
        <v>700</v>
      </c>
      <c r="D3018">
        <v>0</v>
      </c>
      <c r="E3018" t="s">
        <v>20</v>
      </c>
      <c r="F3018" t="s">
        <v>20</v>
      </c>
      <c r="G3018" t="str">
        <f>"2024-12-03 07:59:51.885"</f>
        <v>2024-12-03 07:59:51.885</v>
      </c>
      <c r="H3018" t="s">
        <v>21</v>
      </c>
      <c r="I3018">
        <v>0</v>
      </c>
      <c r="J3018" t="s">
        <v>33</v>
      </c>
    </row>
    <row r="3019" spans="1:10" x14ac:dyDescent="0.25">
      <c r="A3019" s="1">
        <v>195</v>
      </c>
      <c r="B3019" t="s">
        <v>19</v>
      </c>
      <c r="C3019">
        <v>700</v>
      </c>
      <c r="D3019">
        <v>0</v>
      </c>
      <c r="E3019" t="s">
        <v>20</v>
      </c>
      <c r="F3019" t="s">
        <v>20</v>
      </c>
      <c r="G3019" t="str">
        <f>"2024-12-02 20:49:10.843"</f>
        <v>2024-12-02 20:49:10.843</v>
      </c>
      <c r="H3019" t="s">
        <v>21</v>
      </c>
      <c r="I3019">
        <v>0</v>
      </c>
      <c r="J3019" t="s">
        <v>33</v>
      </c>
    </row>
    <row r="3020" spans="1:10" x14ac:dyDescent="0.25">
      <c r="A3020" s="1">
        <v>196</v>
      </c>
      <c r="B3020" t="s">
        <v>22</v>
      </c>
      <c r="C3020">
        <v>635</v>
      </c>
      <c r="D3020">
        <v>1</v>
      </c>
      <c r="E3020" t="s">
        <v>34</v>
      </c>
      <c r="F3020" t="s">
        <v>35</v>
      </c>
      <c r="G3020" t="str">
        <f>"2024-12-02 16:57:00.061"</f>
        <v>2024-12-02 16:57:00.061</v>
      </c>
      <c r="H3020" t="s">
        <v>21</v>
      </c>
    </row>
    <row r="3021" spans="1:10" x14ac:dyDescent="0.25">
      <c r="A3021" s="1">
        <v>197</v>
      </c>
      <c r="B3021" t="s">
        <v>36</v>
      </c>
      <c r="C3021">
        <v>635</v>
      </c>
      <c r="D3021">
        <v>1</v>
      </c>
      <c r="E3021" t="s">
        <v>34</v>
      </c>
      <c r="F3021" t="s">
        <v>35</v>
      </c>
      <c r="G3021" t="str">
        <f>"2024-12-02 16:54:16.061"</f>
        <v>2024-12-02 16:54:16.061</v>
      </c>
      <c r="H3021" t="s">
        <v>21</v>
      </c>
      <c r="I3021">
        <v>-0.63</v>
      </c>
      <c r="J3021" t="s">
        <v>28</v>
      </c>
    </row>
    <row r="3022" spans="1:10" x14ac:dyDescent="0.25">
      <c r="A3022" s="1">
        <v>198</v>
      </c>
      <c r="B3022" t="s">
        <v>19</v>
      </c>
      <c r="C3022">
        <v>700</v>
      </c>
      <c r="D3022">
        <v>0</v>
      </c>
      <c r="E3022" t="s">
        <v>20</v>
      </c>
      <c r="F3022" t="s">
        <v>20</v>
      </c>
      <c r="G3022" t="str">
        <f>"2024-12-02 13:54:58.864"</f>
        <v>2024-12-02 13:54:58.864</v>
      </c>
      <c r="H3022" t="s">
        <v>21</v>
      </c>
      <c r="I3022">
        <v>0</v>
      </c>
      <c r="J3022" t="s">
        <v>33</v>
      </c>
    </row>
    <row r="3023" spans="1:10" x14ac:dyDescent="0.25">
      <c r="A3023" s="1">
        <v>199</v>
      </c>
      <c r="B3023" t="s">
        <v>19</v>
      </c>
      <c r="C3023">
        <v>700</v>
      </c>
      <c r="D3023">
        <v>0</v>
      </c>
      <c r="E3023" t="s">
        <v>20</v>
      </c>
      <c r="F3023" t="s">
        <v>20</v>
      </c>
      <c r="G3023" t="str">
        <f>"2024-12-02 06:17:15.863"</f>
        <v>2024-12-02 06:17:15.863</v>
      </c>
      <c r="H3023" t="s">
        <v>21</v>
      </c>
    </row>
    <row r="3024" spans="1:10" x14ac:dyDescent="0.25">
      <c r="A3024" s="1">
        <v>200</v>
      </c>
      <c r="B3024" t="s">
        <v>19</v>
      </c>
      <c r="C3024">
        <v>700</v>
      </c>
      <c r="D3024">
        <v>0</v>
      </c>
      <c r="E3024" t="s">
        <v>20</v>
      </c>
      <c r="F3024" t="s">
        <v>20</v>
      </c>
      <c r="G3024" t="str">
        <f>"2024-12-01 20:18:07.985"</f>
        <v>2024-12-01 20:18:07.985</v>
      </c>
      <c r="H3024" t="s">
        <v>21</v>
      </c>
      <c r="I3024">
        <v>0</v>
      </c>
      <c r="J3024" t="s">
        <v>33</v>
      </c>
    </row>
    <row r="3025" spans="1:10" x14ac:dyDescent="0.25">
      <c r="A3025" s="1">
        <v>201</v>
      </c>
      <c r="B3025" t="s">
        <v>19</v>
      </c>
      <c r="C3025">
        <v>700</v>
      </c>
      <c r="D3025">
        <v>0</v>
      </c>
      <c r="E3025" t="s">
        <v>20</v>
      </c>
      <c r="F3025" t="s">
        <v>20</v>
      </c>
      <c r="G3025" t="str">
        <f>"2024-12-01 10:28:16.041"</f>
        <v>2024-12-01 10:28:16.041</v>
      </c>
      <c r="H3025" t="s">
        <v>21</v>
      </c>
    </row>
    <row r="3026" spans="1:10" x14ac:dyDescent="0.25">
      <c r="A3026" s="1">
        <v>202</v>
      </c>
      <c r="B3026" t="s">
        <v>22</v>
      </c>
      <c r="C3026">
        <v>635</v>
      </c>
      <c r="D3026">
        <v>1</v>
      </c>
      <c r="E3026" t="s">
        <v>34</v>
      </c>
      <c r="F3026" t="s">
        <v>35</v>
      </c>
      <c r="G3026" t="str">
        <f>"2024-12-01 09:19:35.125"</f>
        <v>2024-12-01 09:19:35.125</v>
      </c>
      <c r="H3026" t="s">
        <v>21</v>
      </c>
    </row>
    <row r="3027" spans="1:10" x14ac:dyDescent="0.25">
      <c r="A3027" s="1">
        <v>203</v>
      </c>
      <c r="B3027" t="s">
        <v>36</v>
      </c>
      <c r="C3027">
        <v>635</v>
      </c>
      <c r="D3027">
        <v>1</v>
      </c>
      <c r="E3027" t="s">
        <v>34</v>
      </c>
      <c r="F3027" t="s">
        <v>35</v>
      </c>
      <c r="G3027" t="str">
        <f>"2024-12-01 09:15:24.125"</f>
        <v>2024-12-01 09:15:24.125</v>
      </c>
      <c r="H3027" t="s">
        <v>21</v>
      </c>
      <c r="I3027">
        <v>0.06</v>
      </c>
      <c r="J3027" t="s">
        <v>37</v>
      </c>
    </row>
    <row r="3028" spans="1:10" x14ac:dyDescent="0.25">
      <c r="A3028" s="1">
        <v>204</v>
      </c>
      <c r="B3028" t="s">
        <v>19</v>
      </c>
      <c r="C3028">
        <v>700</v>
      </c>
      <c r="D3028">
        <v>0</v>
      </c>
      <c r="E3028" t="s">
        <v>20</v>
      </c>
      <c r="F3028" t="s">
        <v>20</v>
      </c>
      <c r="G3028" t="str">
        <f>"2024-12-01 00:50:35.844"</f>
        <v>2024-12-01 00:50:35.844</v>
      </c>
      <c r="H3028" t="s">
        <v>21</v>
      </c>
      <c r="I3028">
        <v>0</v>
      </c>
      <c r="J3028" t="s">
        <v>33</v>
      </c>
    </row>
    <row r="3029" spans="1:10" x14ac:dyDescent="0.25">
      <c r="A3029" s="1">
        <v>205</v>
      </c>
      <c r="B3029" t="s">
        <v>19</v>
      </c>
      <c r="C3029">
        <v>700</v>
      </c>
      <c r="D3029">
        <v>0</v>
      </c>
      <c r="E3029" t="s">
        <v>20</v>
      </c>
      <c r="F3029" t="s">
        <v>20</v>
      </c>
      <c r="G3029" t="str">
        <f>"2024-11-30 20:32:31.857"</f>
        <v>2024-11-30 20:32:31.857</v>
      </c>
      <c r="H3029" t="s">
        <v>21</v>
      </c>
      <c r="I3029">
        <v>0</v>
      </c>
      <c r="J3029" t="s">
        <v>33</v>
      </c>
    </row>
    <row r="3030" spans="1:10" x14ac:dyDescent="0.25">
      <c r="A3030" s="1">
        <v>206</v>
      </c>
      <c r="B3030" t="s">
        <v>19</v>
      </c>
      <c r="C3030">
        <v>700</v>
      </c>
      <c r="D3030">
        <v>0</v>
      </c>
      <c r="E3030" t="s">
        <v>20</v>
      </c>
      <c r="F3030" t="s">
        <v>20</v>
      </c>
      <c r="G3030" t="str">
        <f>"2024-11-30 19:40:55.858"</f>
        <v>2024-11-30 19:40:55.858</v>
      </c>
      <c r="H3030" t="s">
        <v>21</v>
      </c>
    </row>
    <row r="3031" spans="1:10" x14ac:dyDescent="0.25">
      <c r="A3031" s="1">
        <v>208</v>
      </c>
      <c r="B3031" t="s">
        <v>19</v>
      </c>
      <c r="C3031">
        <v>700</v>
      </c>
      <c r="D3031">
        <v>0</v>
      </c>
      <c r="E3031" t="s">
        <v>20</v>
      </c>
      <c r="F3031" t="s">
        <v>20</v>
      </c>
      <c r="G3031" t="str">
        <f>"2024-11-30 07:18:42.885"</f>
        <v>2024-11-30 07:18:42.885</v>
      </c>
      <c r="H3031" t="s">
        <v>21</v>
      </c>
      <c r="I3031">
        <v>0</v>
      </c>
      <c r="J3031" t="s">
        <v>33</v>
      </c>
    </row>
    <row r="3032" spans="1:10" x14ac:dyDescent="0.25">
      <c r="A3032" s="1">
        <v>209</v>
      </c>
      <c r="B3032" t="s">
        <v>19</v>
      </c>
      <c r="C3032">
        <v>700</v>
      </c>
      <c r="D3032">
        <v>0</v>
      </c>
      <c r="E3032" t="s">
        <v>20</v>
      </c>
      <c r="F3032" t="s">
        <v>20</v>
      </c>
      <c r="G3032" t="str">
        <f>"2024-11-29 21:37:54.898"</f>
        <v>2024-11-29 21:37:54.898</v>
      </c>
      <c r="H3032" t="s">
        <v>21</v>
      </c>
      <c r="I3032">
        <v>0</v>
      </c>
      <c r="J3032" t="s">
        <v>33</v>
      </c>
    </row>
    <row r="3033" spans="1:10" x14ac:dyDescent="0.25">
      <c r="A3033" s="1">
        <v>210</v>
      </c>
      <c r="B3033" t="s">
        <v>19</v>
      </c>
      <c r="C3033">
        <v>706</v>
      </c>
      <c r="D3033">
        <v>4</v>
      </c>
      <c r="E3033" t="s">
        <v>29</v>
      </c>
      <c r="F3033" t="s">
        <v>53</v>
      </c>
      <c r="G3033" t="str">
        <f>"2024-11-29 09:37:59.179"</f>
        <v>2024-11-29 09:37:59.179</v>
      </c>
      <c r="H3033" t="s">
        <v>21</v>
      </c>
      <c r="I3033">
        <v>0</v>
      </c>
      <c r="J3033" t="s">
        <v>31</v>
      </c>
    </row>
    <row r="3034" spans="1:10" x14ac:dyDescent="0.25">
      <c r="A3034" s="1">
        <v>211</v>
      </c>
      <c r="B3034" t="s">
        <v>19</v>
      </c>
      <c r="C3034">
        <v>700</v>
      </c>
      <c r="D3034">
        <v>0</v>
      </c>
      <c r="E3034" t="s">
        <v>20</v>
      </c>
      <c r="F3034" t="s">
        <v>20</v>
      </c>
      <c r="G3034" t="str">
        <f>"2024-11-29 09:33:07.889"</f>
        <v>2024-11-29 09:33:07.889</v>
      </c>
      <c r="H3034" t="s">
        <v>21</v>
      </c>
      <c r="I3034">
        <v>0</v>
      </c>
      <c r="J3034" t="s">
        <v>33</v>
      </c>
    </row>
    <row r="3035" spans="1:10" x14ac:dyDescent="0.25">
      <c r="A3035" s="1">
        <v>212</v>
      </c>
      <c r="B3035" t="s">
        <v>22</v>
      </c>
      <c r="C3035">
        <v>635</v>
      </c>
      <c r="D3035">
        <v>1</v>
      </c>
      <c r="E3035" t="s">
        <v>34</v>
      </c>
      <c r="F3035" t="s">
        <v>35</v>
      </c>
      <c r="G3035" t="str">
        <f>"2024-11-29 05:25:42.016"</f>
        <v>2024-11-29 05:25:42.016</v>
      </c>
      <c r="H3035" t="s">
        <v>21</v>
      </c>
    </row>
    <row r="3036" spans="1:10" x14ac:dyDescent="0.25">
      <c r="A3036" s="1">
        <v>213</v>
      </c>
      <c r="B3036" t="s">
        <v>36</v>
      </c>
      <c r="C3036">
        <v>635</v>
      </c>
      <c r="D3036">
        <v>1</v>
      </c>
      <c r="E3036" t="s">
        <v>34</v>
      </c>
      <c r="F3036" t="s">
        <v>35</v>
      </c>
      <c r="G3036" t="str">
        <f>"2024-11-29 05:22:27.016"</f>
        <v>2024-11-29 05:22:27.016</v>
      </c>
      <c r="H3036" t="s">
        <v>21</v>
      </c>
      <c r="I3036">
        <v>-0.3</v>
      </c>
      <c r="J3036" t="s">
        <v>28</v>
      </c>
    </row>
    <row r="3037" spans="1:10" x14ac:dyDescent="0.25">
      <c r="A3037" s="1">
        <v>214</v>
      </c>
      <c r="B3037" t="s">
        <v>22</v>
      </c>
      <c r="C3037">
        <v>635</v>
      </c>
      <c r="D3037">
        <v>1</v>
      </c>
      <c r="E3037" t="s">
        <v>34</v>
      </c>
      <c r="F3037" t="s">
        <v>35</v>
      </c>
      <c r="G3037" t="str">
        <f>"2024-11-29 01:15:12.916"</f>
        <v>2024-11-29 01:15:12.916</v>
      </c>
      <c r="H3037" t="s">
        <v>21</v>
      </c>
    </row>
    <row r="3038" spans="1:10" x14ac:dyDescent="0.25">
      <c r="A3038" s="1">
        <v>215</v>
      </c>
      <c r="B3038" t="s">
        <v>36</v>
      </c>
      <c r="C3038">
        <v>635</v>
      </c>
      <c r="D3038">
        <v>1</v>
      </c>
      <c r="E3038" t="s">
        <v>34</v>
      </c>
      <c r="F3038" t="s">
        <v>35</v>
      </c>
      <c r="G3038" t="str">
        <f>"2024-11-29 01:10:57.417"</f>
        <v>2024-11-29 01:10:57.417</v>
      </c>
      <c r="H3038" t="s">
        <v>21</v>
      </c>
      <c r="I3038">
        <v>0.17</v>
      </c>
      <c r="J3038" t="s">
        <v>28</v>
      </c>
    </row>
    <row r="3039" spans="1:10" x14ac:dyDescent="0.25">
      <c r="A3039" s="1">
        <v>216</v>
      </c>
      <c r="B3039" t="s">
        <v>19</v>
      </c>
      <c r="C3039">
        <v>700</v>
      </c>
      <c r="D3039">
        <v>0</v>
      </c>
      <c r="E3039" t="s">
        <v>20</v>
      </c>
      <c r="F3039" t="s">
        <v>20</v>
      </c>
      <c r="G3039" t="str">
        <f>"2024-11-28 19:53:43.867"</f>
        <v>2024-11-28 19:53:43.867</v>
      </c>
      <c r="H3039" t="s">
        <v>21</v>
      </c>
      <c r="I3039">
        <v>0</v>
      </c>
      <c r="J3039" t="s">
        <v>33</v>
      </c>
    </row>
    <row r="3040" spans="1:10" x14ac:dyDescent="0.25">
      <c r="A3040" s="1">
        <v>218</v>
      </c>
      <c r="B3040" t="s">
        <v>19</v>
      </c>
      <c r="C3040">
        <v>700</v>
      </c>
      <c r="D3040">
        <v>0</v>
      </c>
      <c r="E3040" t="s">
        <v>20</v>
      </c>
      <c r="F3040" t="s">
        <v>20</v>
      </c>
      <c r="G3040" t="str">
        <f>"2024-11-28 01:11:10.853"</f>
        <v>2024-11-28 01:11:10.853</v>
      </c>
      <c r="H3040" t="s">
        <v>21</v>
      </c>
    </row>
    <row r="3041" spans="1:10" x14ac:dyDescent="0.25">
      <c r="A3041" s="1">
        <v>219</v>
      </c>
      <c r="B3041" t="s">
        <v>22</v>
      </c>
      <c r="C3041">
        <v>98</v>
      </c>
      <c r="D3041">
        <v>1</v>
      </c>
      <c r="E3041" t="s">
        <v>99</v>
      </c>
      <c r="F3041" t="s">
        <v>100</v>
      </c>
      <c r="G3041" t="str">
        <f>"2024-11-27 19:21:24.731"</f>
        <v>2024-11-27 19:21:24.731</v>
      </c>
      <c r="H3041" t="s">
        <v>21</v>
      </c>
    </row>
    <row r="3042" spans="1:10" x14ac:dyDescent="0.25">
      <c r="A3042" s="1">
        <v>220</v>
      </c>
      <c r="B3042" t="s">
        <v>36</v>
      </c>
      <c r="C3042">
        <v>98</v>
      </c>
      <c r="D3042">
        <v>1</v>
      </c>
      <c r="E3042" t="s">
        <v>99</v>
      </c>
      <c r="F3042" t="s">
        <v>100</v>
      </c>
      <c r="G3042" t="str">
        <f>"2024-11-27 19:21:23.632"</f>
        <v>2024-11-27 19:21:23.632</v>
      </c>
      <c r="H3042" t="s">
        <v>21</v>
      </c>
      <c r="I3042">
        <v>0</v>
      </c>
      <c r="J3042" t="s">
        <v>28</v>
      </c>
    </row>
    <row r="3043" spans="1:10" x14ac:dyDescent="0.25">
      <c r="A3043" s="1">
        <v>221</v>
      </c>
      <c r="B3043" t="s">
        <v>19</v>
      </c>
      <c r="C3043">
        <v>700</v>
      </c>
      <c r="D3043">
        <v>0</v>
      </c>
      <c r="E3043" t="s">
        <v>20</v>
      </c>
      <c r="F3043" t="s">
        <v>20</v>
      </c>
      <c r="G3043" t="str">
        <f>"2024-11-27 14:22:12.853"</f>
        <v>2024-11-27 14:22:12.853</v>
      </c>
      <c r="H3043" t="s">
        <v>21</v>
      </c>
    </row>
    <row r="3044" spans="1:10" x14ac:dyDescent="0.25">
      <c r="A3044" s="1">
        <v>222</v>
      </c>
      <c r="B3044" t="s">
        <v>19</v>
      </c>
      <c r="C3044">
        <v>706</v>
      </c>
      <c r="D3044">
        <v>4</v>
      </c>
      <c r="E3044" t="s">
        <v>29</v>
      </c>
      <c r="F3044" t="s">
        <v>53</v>
      </c>
      <c r="G3044" t="str">
        <f>"2024-11-27 14:14:41.903"</f>
        <v>2024-11-27 14:14:41.903</v>
      </c>
      <c r="H3044" t="s">
        <v>21</v>
      </c>
      <c r="I3044">
        <v>0</v>
      </c>
      <c r="J3044" t="s">
        <v>31</v>
      </c>
    </row>
    <row r="3045" spans="1:10" x14ac:dyDescent="0.25">
      <c r="A3045" s="1">
        <v>223</v>
      </c>
      <c r="B3045" t="s">
        <v>19</v>
      </c>
      <c r="C3045">
        <v>706</v>
      </c>
      <c r="D3045">
        <v>2</v>
      </c>
      <c r="E3045" t="s">
        <v>29</v>
      </c>
      <c r="F3045" t="s">
        <v>30</v>
      </c>
      <c r="G3045" t="str">
        <f>"2024-11-27 14:14:28.943"</f>
        <v>2024-11-27 14:14:28.943</v>
      </c>
      <c r="H3045" t="s">
        <v>21</v>
      </c>
      <c r="I3045">
        <v>0</v>
      </c>
      <c r="J3045" t="s">
        <v>31</v>
      </c>
    </row>
    <row r="3046" spans="1:10" x14ac:dyDescent="0.25">
      <c r="A3046" s="1">
        <v>224</v>
      </c>
      <c r="B3046" t="s">
        <v>19</v>
      </c>
      <c r="C3046">
        <v>700</v>
      </c>
      <c r="D3046">
        <v>0</v>
      </c>
      <c r="E3046" t="s">
        <v>20</v>
      </c>
      <c r="F3046" t="s">
        <v>20</v>
      </c>
      <c r="G3046" t="str">
        <f>"2024-11-27 13:25:47.853"</f>
        <v>2024-11-27 13:25:47.853</v>
      </c>
      <c r="H3046" t="s">
        <v>21</v>
      </c>
    </row>
    <row r="3047" spans="1:10" x14ac:dyDescent="0.25">
      <c r="A3047" s="1">
        <v>225</v>
      </c>
      <c r="B3047" t="s">
        <v>19</v>
      </c>
      <c r="C3047">
        <v>700</v>
      </c>
      <c r="D3047">
        <v>0</v>
      </c>
      <c r="E3047" t="s">
        <v>20</v>
      </c>
      <c r="F3047" t="s">
        <v>20</v>
      </c>
      <c r="G3047" t="str">
        <f>"2024-11-27 12:55:53.861"</f>
        <v>2024-11-27 12:55:53.861</v>
      </c>
      <c r="H3047" t="s">
        <v>21</v>
      </c>
      <c r="I3047">
        <v>0</v>
      </c>
      <c r="J3047" t="s">
        <v>33</v>
      </c>
    </row>
    <row r="3048" spans="1:10" x14ac:dyDescent="0.25">
      <c r="A3048" s="1">
        <v>226</v>
      </c>
      <c r="B3048" t="s">
        <v>19</v>
      </c>
      <c r="C3048">
        <v>700</v>
      </c>
      <c r="D3048">
        <v>0</v>
      </c>
      <c r="E3048" t="s">
        <v>20</v>
      </c>
      <c r="F3048" t="s">
        <v>20</v>
      </c>
      <c r="G3048" t="str">
        <f>"2024-11-27 12:27:45.110"</f>
        <v>2024-11-27 12:27:45.110</v>
      </c>
      <c r="H3048" t="s">
        <v>21</v>
      </c>
      <c r="I3048">
        <v>0</v>
      </c>
      <c r="J3048" t="s">
        <v>33</v>
      </c>
    </row>
    <row r="3049" spans="1:10" x14ac:dyDescent="0.25">
      <c r="A3049" s="1">
        <v>227</v>
      </c>
      <c r="B3049" t="s">
        <v>19</v>
      </c>
      <c r="C3049">
        <v>700</v>
      </c>
      <c r="D3049">
        <v>0</v>
      </c>
      <c r="E3049" t="s">
        <v>20</v>
      </c>
      <c r="F3049" t="s">
        <v>20</v>
      </c>
      <c r="G3049" t="str">
        <f>"2024-11-27 12:21:43.102"</f>
        <v>2024-11-27 12:21:43.102</v>
      </c>
      <c r="H3049" t="s">
        <v>21</v>
      </c>
      <c r="I3049">
        <v>0</v>
      </c>
      <c r="J3049" t="s">
        <v>33</v>
      </c>
    </row>
    <row r="3050" spans="1:10" x14ac:dyDescent="0.25">
      <c r="A3050" s="1">
        <v>228</v>
      </c>
      <c r="B3050" t="s">
        <v>19</v>
      </c>
      <c r="C3050">
        <v>700</v>
      </c>
      <c r="D3050">
        <v>0</v>
      </c>
      <c r="E3050" t="s">
        <v>20</v>
      </c>
      <c r="F3050" t="s">
        <v>20</v>
      </c>
      <c r="G3050" t="str">
        <f>"2024-11-27 11:33:33.990"</f>
        <v>2024-11-27 11:33:33.990</v>
      </c>
      <c r="H3050" t="s">
        <v>21</v>
      </c>
      <c r="I3050">
        <v>0</v>
      </c>
      <c r="J3050" t="s">
        <v>33</v>
      </c>
    </row>
    <row r="3051" spans="1:10" x14ac:dyDescent="0.25">
      <c r="A3051" s="1">
        <v>229</v>
      </c>
      <c r="B3051" t="s">
        <v>19</v>
      </c>
      <c r="C3051">
        <v>700</v>
      </c>
      <c r="D3051">
        <v>0</v>
      </c>
      <c r="E3051" t="s">
        <v>20</v>
      </c>
      <c r="F3051" t="s">
        <v>20</v>
      </c>
      <c r="G3051" t="str">
        <f>"2024-11-27 01:38:43.866"</f>
        <v>2024-11-27 01:38:43.866</v>
      </c>
      <c r="H3051" t="s">
        <v>21</v>
      </c>
      <c r="I3051">
        <v>0</v>
      </c>
      <c r="J3051" t="s">
        <v>33</v>
      </c>
    </row>
    <row r="3052" spans="1:10" x14ac:dyDescent="0.25">
      <c r="A3052" s="1">
        <v>230</v>
      </c>
      <c r="B3052" t="s">
        <v>22</v>
      </c>
      <c r="C3052">
        <v>635</v>
      </c>
      <c r="D3052">
        <v>1</v>
      </c>
      <c r="E3052" t="s">
        <v>34</v>
      </c>
      <c r="F3052" t="s">
        <v>35</v>
      </c>
      <c r="G3052" t="str">
        <f>"2024-11-26 11:50:34.081"</f>
        <v>2024-11-26 11:50:34.081</v>
      </c>
      <c r="H3052" t="s">
        <v>21</v>
      </c>
    </row>
    <row r="3053" spans="1:10" x14ac:dyDescent="0.25">
      <c r="A3053" s="1">
        <v>231</v>
      </c>
      <c r="B3053" t="s">
        <v>36</v>
      </c>
      <c r="C3053">
        <v>635</v>
      </c>
      <c r="D3053">
        <v>1</v>
      </c>
      <c r="E3053" t="s">
        <v>34</v>
      </c>
      <c r="F3053" t="s">
        <v>35</v>
      </c>
      <c r="G3053" t="str">
        <f>"2024-11-26 11:48:20.581"</f>
        <v>2024-11-26 11:48:20.581</v>
      </c>
      <c r="H3053" t="s">
        <v>21</v>
      </c>
      <c r="I3053">
        <v>-0.77</v>
      </c>
      <c r="J3053" t="s">
        <v>28</v>
      </c>
    </row>
    <row r="3054" spans="1:10" x14ac:dyDescent="0.25">
      <c r="A3054" s="1">
        <v>232</v>
      </c>
      <c r="B3054" t="s">
        <v>19</v>
      </c>
      <c r="C3054">
        <v>700</v>
      </c>
      <c r="D3054">
        <v>0</v>
      </c>
      <c r="E3054" t="s">
        <v>20</v>
      </c>
      <c r="F3054" t="s">
        <v>20</v>
      </c>
      <c r="G3054" t="str">
        <f>"2024-11-25 21:35:16.864"</f>
        <v>2024-11-25 21:35:16.864</v>
      </c>
      <c r="H3054" t="s">
        <v>21</v>
      </c>
      <c r="I3054">
        <v>0</v>
      </c>
      <c r="J3054" t="s">
        <v>33</v>
      </c>
    </row>
    <row r="3055" spans="1:10" x14ac:dyDescent="0.25">
      <c r="A3055" s="1">
        <v>233</v>
      </c>
      <c r="B3055" t="s">
        <v>19</v>
      </c>
      <c r="C3055">
        <v>706</v>
      </c>
      <c r="D3055">
        <v>4</v>
      </c>
      <c r="E3055" t="s">
        <v>29</v>
      </c>
      <c r="F3055" t="s">
        <v>53</v>
      </c>
      <c r="G3055" t="str">
        <f>"2024-11-25 15:58:14.577"</f>
        <v>2024-11-25 15:58:14.577</v>
      </c>
      <c r="H3055" t="s">
        <v>21</v>
      </c>
      <c r="I3055">
        <v>0</v>
      </c>
      <c r="J3055" t="s">
        <v>31</v>
      </c>
    </row>
    <row r="3056" spans="1:10" x14ac:dyDescent="0.25">
      <c r="A3056" s="1">
        <v>234</v>
      </c>
      <c r="B3056" t="s">
        <v>19</v>
      </c>
      <c r="C3056">
        <v>700</v>
      </c>
      <c r="D3056">
        <v>0</v>
      </c>
      <c r="E3056" t="s">
        <v>20</v>
      </c>
      <c r="F3056" t="s">
        <v>20</v>
      </c>
      <c r="G3056" t="str">
        <f>"2024-11-25 15:57:50.937"</f>
        <v>2024-11-25 15:57:50.937</v>
      </c>
      <c r="H3056" t="s">
        <v>21</v>
      </c>
    </row>
    <row r="3057" spans="1:10" x14ac:dyDescent="0.25">
      <c r="A3057" s="1">
        <v>235</v>
      </c>
      <c r="B3057" t="s">
        <v>22</v>
      </c>
      <c r="C3057">
        <v>635</v>
      </c>
      <c r="D3057">
        <v>1</v>
      </c>
      <c r="E3057" t="s">
        <v>34</v>
      </c>
      <c r="F3057" t="s">
        <v>35</v>
      </c>
      <c r="G3057" t="str">
        <f>"2024-11-25 13:54:03.347"</f>
        <v>2024-11-25 13:54:03.347</v>
      </c>
      <c r="H3057" t="s">
        <v>21</v>
      </c>
    </row>
    <row r="3058" spans="1:10" x14ac:dyDescent="0.25">
      <c r="A3058" s="1">
        <v>236</v>
      </c>
      <c r="B3058" t="s">
        <v>36</v>
      </c>
      <c r="C3058">
        <v>635</v>
      </c>
      <c r="D3058">
        <v>1</v>
      </c>
      <c r="E3058" t="s">
        <v>34</v>
      </c>
      <c r="F3058" t="s">
        <v>35</v>
      </c>
      <c r="G3058" t="str">
        <f>"2024-11-25 13:49:57.847"</f>
        <v>2024-11-25 13:49:57.847</v>
      </c>
      <c r="H3058" t="s">
        <v>21</v>
      </c>
      <c r="I3058">
        <v>0.57999999999999996</v>
      </c>
      <c r="J3058" t="s">
        <v>37</v>
      </c>
    </row>
    <row r="3059" spans="1:10" x14ac:dyDescent="0.25">
      <c r="A3059" s="1">
        <v>237</v>
      </c>
      <c r="B3059" t="s">
        <v>22</v>
      </c>
      <c r="C3059">
        <v>14</v>
      </c>
      <c r="D3059">
        <v>14</v>
      </c>
      <c r="E3059" t="s">
        <v>85</v>
      </c>
      <c r="F3059" t="s">
        <v>131</v>
      </c>
      <c r="G3059" t="str">
        <f>"2024-11-25 09:14:45.743"</f>
        <v>2024-11-25 09:14:45.743</v>
      </c>
      <c r="H3059" t="s">
        <v>25</v>
      </c>
    </row>
    <row r="3060" spans="1:10" x14ac:dyDescent="0.25">
      <c r="A3060" s="1">
        <v>238</v>
      </c>
      <c r="B3060" t="s">
        <v>22</v>
      </c>
      <c r="C3060">
        <v>14</v>
      </c>
      <c r="D3060">
        <v>13</v>
      </c>
      <c r="E3060" t="s">
        <v>85</v>
      </c>
      <c r="F3060" t="s">
        <v>86</v>
      </c>
      <c r="G3060" t="str">
        <f>"2024-11-25 09:14:45.741"</f>
        <v>2024-11-25 09:14:45.741</v>
      </c>
      <c r="H3060" t="s">
        <v>25</v>
      </c>
    </row>
    <row r="3061" spans="1:10" x14ac:dyDescent="0.25">
      <c r="A3061" s="1">
        <v>239</v>
      </c>
      <c r="B3061" t="s">
        <v>22</v>
      </c>
      <c r="C3061">
        <v>14</v>
      </c>
      <c r="D3061">
        <v>10</v>
      </c>
      <c r="E3061" t="s">
        <v>85</v>
      </c>
      <c r="F3061" t="s">
        <v>87</v>
      </c>
      <c r="G3061" t="str">
        <f>"2024-11-25 09:14:45.739"</f>
        <v>2024-11-25 09:14:45.739</v>
      </c>
      <c r="H3061" t="s">
        <v>25</v>
      </c>
    </row>
    <row r="3062" spans="1:10" x14ac:dyDescent="0.25">
      <c r="A3062" s="1">
        <v>240</v>
      </c>
      <c r="B3062" t="s">
        <v>40</v>
      </c>
      <c r="C3062">
        <v>215</v>
      </c>
      <c r="D3062">
        <v>5</v>
      </c>
      <c r="E3062" t="s">
        <v>41</v>
      </c>
      <c r="F3062" t="s">
        <v>103</v>
      </c>
      <c r="G3062" t="str">
        <f>"2024-11-25 09:14:38.088"</f>
        <v>2024-11-25 09:14:38.088</v>
      </c>
      <c r="H3062" t="s">
        <v>21</v>
      </c>
    </row>
    <row r="3063" spans="1:10" x14ac:dyDescent="0.25">
      <c r="A3063" s="1">
        <v>241</v>
      </c>
      <c r="B3063" t="s">
        <v>40</v>
      </c>
      <c r="C3063">
        <v>115</v>
      </c>
      <c r="D3063">
        <v>5</v>
      </c>
      <c r="E3063" t="s">
        <v>43</v>
      </c>
      <c r="F3063" t="s">
        <v>103</v>
      </c>
      <c r="G3063" t="str">
        <f>"2024-11-25 09:14:37.988"</f>
        <v>2024-11-25 09:14:37.988</v>
      </c>
      <c r="H3063" t="s">
        <v>21</v>
      </c>
    </row>
    <row r="3064" spans="1:10" x14ac:dyDescent="0.25">
      <c r="A3064" s="1">
        <v>242</v>
      </c>
      <c r="B3064" t="s">
        <v>26</v>
      </c>
      <c r="C3064">
        <v>115</v>
      </c>
      <c r="D3064">
        <v>5</v>
      </c>
      <c r="E3064" t="s">
        <v>43</v>
      </c>
      <c r="F3064" t="s">
        <v>103</v>
      </c>
      <c r="G3064" t="str">
        <f>"2024-11-25 09:14:32.873"</f>
        <v>2024-11-25 09:14:32.873</v>
      </c>
      <c r="H3064" t="s">
        <v>21</v>
      </c>
      <c r="I3064">
        <v>1.36</v>
      </c>
      <c r="J3064" t="s">
        <v>28</v>
      </c>
    </row>
    <row r="3065" spans="1:10" x14ac:dyDescent="0.25">
      <c r="A3065" s="1">
        <v>243</v>
      </c>
      <c r="B3065" t="s">
        <v>26</v>
      </c>
      <c r="C3065">
        <v>215</v>
      </c>
      <c r="D3065">
        <v>5</v>
      </c>
      <c r="E3065" t="s">
        <v>41</v>
      </c>
      <c r="F3065" t="s">
        <v>103</v>
      </c>
      <c r="G3065" t="str">
        <f>"2024-11-25 09:14:32.813"</f>
        <v>2024-11-25 09:14:32.813</v>
      </c>
      <c r="H3065" t="s">
        <v>21</v>
      </c>
      <c r="I3065">
        <v>1.26</v>
      </c>
      <c r="J3065" t="s">
        <v>28</v>
      </c>
    </row>
    <row r="3066" spans="1:10" s="3" customFormat="1" x14ac:dyDescent="0.25">
      <c r="A3066" s="2">
        <v>244</v>
      </c>
      <c r="B3066" s="3" t="s">
        <v>22</v>
      </c>
      <c r="C3066" s="3">
        <v>647</v>
      </c>
      <c r="D3066" s="3">
        <v>1</v>
      </c>
      <c r="E3066" s="3" t="s">
        <v>54</v>
      </c>
      <c r="F3066" s="3" t="s">
        <v>55</v>
      </c>
      <c r="G3066" s="3" t="str">
        <f>"2024-11-25 09:14:31.848"</f>
        <v>2024-11-25 09:14:31.848</v>
      </c>
      <c r="H3066" s="3" t="s">
        <v>21</v>
      </c>
    </row>
    <row r="3067" spans="1:10" x14ac:dyDescent="0.25">
      <c r="A3067" s="1">
        <v>245</v>
      </c>
      <c r="B3067" t="s">
        <v>40</v>
      </c>
      <c r="C3067">
        <v>104</v>
      </c>
      <c r="D3067">
        <v>8</v>
      </c>
      <c r="E3067" t="s">
        <v>98</v>
      </c>
      <c r="F3067" t="s">
        <v>94</v>
      </c>
      <c r="G3067" t="str">
        <f>"2024-11-25 09:14:30.409"</f>
        <v>2024-11-25 09:14:30.409</v>
      </c>
      <c r="H3067" t="s">
        <v>52</v>
      </c>
    </row>
    <row r="3068" spans="1:10" x14ac:dyDescent="0.25">
      <c r="A3068" s="1">
        <v>246</v>
      </c>
      <c r="B3068" t="s">
        <v>56</v>
      </c>
      <c r="C3068">
        <v>205</v>
      </c>
      <c r="D3068">
        <v>3</v>
      </c>
      <c r="E3068" t="s">
        <v>90</v>
      </c>
      <c r="F3068" t="s">
        <v>91</v>
      </c>
      <c r="G3068" t="str">
        <f>"2024-11-25 09:14:30.404"</f>
        <v>2024-11-25 09:14:30.404</v>
      </c>
      <c r="H3068" t="s">
        <v>49</v>
      </c>
    </row>
    <row r="3069" spans="1:10" x14ac:dyDescent="0.25">
      <c r="A3069" s="1">
        <v>247</v>
      </c>
      <c r="B3069" t="s">
        <v>56</v>
      </c>
      <c r="C3069">
        <v>105</v>
      </c>
      <c r="D3069">
        <v>3</v>
      </c>
      <c r="E3069" t="s">
        <v>92</v>
      </c>
      <c r="F3069" t="s">
        <v>91</v>
      </c>
      <c r="G3069" t="str">
        <f>"2024-11-25 09:14:30.401"</f>
        <v>2024-11-25 09:14:30.401</v>
      </c>
      <c r="H3069" t="s">
        <v>52</v>
      </c>
    </row>
    <row r="3070" spans="1:10" x14ac:dyDescent="0.25">
      <c r="A3070" s="1">
        <v>248</v>
      </c>
      <c r="B3070" t="s">
        <v>56</v>
      </c>
      <c r="C3070">
        <v>23</v>
      </c>
      <c r="D3070">
        <v>1</v>
      </c>
      <c r="E3070" t="s">
        <v>88</v>
      </c>
      <c r="F3070" t="s">
        <v>89</v>
      </c>
      <c r="G3070" t="str">
        <f>"2024-11-25 09:14:30.399"</f>
        <v>2024-11-25 09:14:30.399</v>
      </c>
      <c r="H3070" t="s">
        <v>46</v>
      </c>
    </row>
    <row r="3071" spans="1:10" x14ac:dyDescent="0.25">
      <c r="A3071" s="1">
        <v>249</v>
      </c>
      <c r="B3071" t="s">
        <v>40</v>
      </c>
      <c r="C3071">
        <v>104</v>
      </c>
      <c r="D3071">
        <v>6</v>
      </c>
      <c r="E3071" t="s">
        <v>98</v>
      </c>
      <c r="F3071" t="s">
        <v>95</v>
      </c>
      <c r="G3071" t="str">
        <f>"2024-11-25 09:14:30.392"</f>
        <v>2024-11-25 09:14:30.392</v>
      </c>
      <c r="H3071" t="s">
        <v>52</v>
      </c>
    </row>
    <row r="3072" spans="1:10" x14ac:dyDescent="0.25">
      <c r="A3072" s="1">
        <v>250</v>
      </c>
      <c r="B3072" t="s">
        <v>40</v>
      </c>
      <c r="C3072">
        <v>104</v>
      </c>
      <c r="D3072">
        <v>5</v>
      </c>
      <c r="E3072" t="s">
        <v>98</v>
      </c>
      <c r="F3072" t="s">
        <v>96</v>
      </c>
      <c r="G3072" t="str">
        <f>"2024-11-25 09:14:30.390"</f>
        <v>2024-11-25 09:14:30.390</v>
      </c>
      <c r="H3072" t="s">
        <v>52</v>
      </c>
    </row>
    <row r="3073" spans="1:10" x14ac:dyDescent="0.25">
      <c r="A3073" s="1">
        <v>251</v>
      </c>
      <c r="B3073" t="s">
        <v>40</v>
      </c>
      <c r="C3073">
        <v>104</v>
      </c>
      <c r="D3073">
        <v>1</v>
      </c>
      <c r="E3073" t="s">
        <v>98</v>
      </c>
      <c r="F3073" t="s">
        <v>97</v>
      </c>
      <c r="G3073" t="str">
        <f>"2024-11-25 09:14:30.388"</f>
        <v>2024-11-25 09:14:30.388</v>
      </c>
      <c r="H3073" t="s">
        <v>52</v>
      </c>
    </row>
    <row r="3074" spans="1:10" x14ac:dyDescent="0.25">
      <c r="A3074" s="1">
        <v>252</v>
      </c>
      <c r="B3074" t="s">
        <v>26</v>
      </c>
      <c r="C3074">
        <v>205</v>
      </c>
      <c r="D3074">
        <v>3</v>
      </c>
      <c r="E3074" t="s">
        <v>90</v>
      </c>
      <c r="F3074" t="s">
        <v>91</v>
      </c>
      <c r="G3074" t="str">
        <f>"2024-11-25 09:14:29.393"</f>
        <v>2024-11-25 09:14:29.393</v>
      </c>
      <c r="H3074" t="s">
        <v>49</v>
      </c>
      <c r="I3074">
        <v>4.25</v>
      </c>
      <c r="J3074" t="s">
        <v>28</v>
      </c>
    </row>
    <row r="3075" spans="1:10" x14ac:dyDescent="0.25">
      <c r="A3075" s="1">
        <v>253</v>
      </c>
      <c r="B3075" t="s">
        <v>40</v>
      </c>
      <c r="C3075">
        <v>205</v>
      </c>
      <c r="D3075">
        <v>3</v>
      </c>
      <c r="E3075" t="s">
        <v>90</v>
      </c>
      <c r="F3075" t="s">
        <v>91</v>
      </c>
      <c r="G3075" t="str">
        <f>"2024-11-25 09:14:29.390"</f>
        <v>2024-11-25 09:14:29.390</v>
      </c>
      <c r="H3075" t="s">
        <v>49</v>
      </c>
    </row>
    <row r="3076" spans="1:10" x14ac:dyDescent="0.25">
      <c r="A3076" s="1">
        <v>254</v>
      </c>
      <c r="B3076" t="s">
        <v>40</v>
      </c>
      <c r="C3076">
        <v>204</v>
      </c>
      <c r="D3076">
        <v>8</v>
      </c>
      <c r="E3076" t="s">
        <v>93</v>
      </c>
      <c r="F3076" t="s">
        <v>94</v>
      </c>
      <c r="G3076" t="str">
        <f>"2024-11-25 09:14:29.200"</f>
        <v>2024-11-25 09:14:29.200</v>
      </c>
      <c r="H3076" t="s">
        <v>49</v>
      </c>
    </row>
    <row r="3077" spans="1:10" x14ac:dyDescent="0.25">
      <c r="A3077" s="1">
        <v>255</v>
      </c>
      <c r="B3077" t="s">
        <v>40</v>
      </c>
      <c r="C3077">
        <v>204</v>
      </c>
      <c r="D3077">
        <v>6</v>
      </c>
      <c r="E3077" t="s">
        <v>93</v>
      </c>
      <c r="F3077" t="s">
        <v>95</v>
      </c>
      <c r="G3077" t="str">
        <f>"2024-11-25 09:14:29.198"</f>
        <v>2024-11-25 09:14:29.198</v>
      </c>
      <c r="H3077" t="s">
        <v>49</v>
      </c>
    </row>
    <row r="3078" spans="1:10" x14ac:dyDescent="0.25">
      <c r="A3078" s="1">
        <v>256</v>
      </c>
      <c r="B3078" t="s">
        <v>40</v>
      </c>
      <c r="C3078">
        <v>204</v>
      </c>
      <c r="D3078">
        <v>5</v>
      </c>
      <c r="E3078" t="s">
        <v>93</v>
      </c>
      <c r="F3078" t="s">
        <v>96</v>
      </c>
      <c r="G3078" t="str">
        <f>"2024-11-25 09:14:29.194"</f>
        <v>2024-11-25 09:14:29.194</v>
      </c>
      <c r="H3078" t="s">
        <v>49</v>
      </c>
    </row>
    <row r="3079" spans="1:10" x14ac:dyDescent="0.25">
      <c r="A3079" s="1">
        <v>257</v>
      </c>
      <c r="B3079" t="s">
        <v>40</v>
      </c>
      <c r="C3079">
        <v>204</v>
      </c>
      <c r="D3079">
        <v>1</v>
      </c>
      <c r="E3079" t="s">
        <v>93</v>
      </c>
      <c r="F3079" t="s">
        <v>97</v>
      </c>
      <c r="G3079" t="str">
        <f>"2024-11-25 09:14:29.191"</f>
        <v>2024-11-25 09:14:29.191</v>
      </c>
      <c r="H3079" t="s">
        <v>49</v>
      </c>
    </row>
    <row r="3080" spans="1:10" s="3" customFormat="1" x14ac:dyDescent="0.25">
      <c r="A3080" s="2">
        <v>258</v>
      </c>
      <c r="B3080" s="3" t="s">
        <v>36</v>
      </c>
      <c r="C3080" s="3">
        <v>647</v>
      </c>
      <c r="D3080" s="3">
        <v>1</v>
      </c>
      <c r="E3080" s="3" t="s">
        <v>54</v>
      </c>
      <c r="F3080" s="3" t="s">
        <v>55</v>
      </c>
      <c r="G3080" s="3" t="str">
        <f>"2024-11-25 09:14:27.438"</f>
        <v>2024-11-25 09:14:27.438</v>
      </c>
      <c r="H3080" s="3" t="s">
        <v>21</v>
      </c>
      <c r="I3080" s="3">
        <v>10.59</v>
      </c>
      <c r="J3080" s="3" t="s">
        <v>28</v>
      </c>
    </row>
    <row r="3081" spans="1:10" x14ac:dyDescent="0.25">
      <c r="A3081" s="1">
        <v>259</v>
      </c>
      <c r="B3081" t="s">
        <v>36</v>
      </c>
      <c r="C3081">
        <v>14</v>
      </c>
      <c r="D3081">
        <v>13</v>
      </c>
      <c r="E3081" t="s">
        <v>85</v>
      </c>
      <c r="F3081" t="s">
        <v>86</v>
      </c>
      <c r="G3081" t="str">
        <f>"2024-11-25 09:14:25.735"</f>
        <v>2024-11-25 09:14:25.735</v>
      </c>
      <c r="H3081" t="s">
        <v>25</v>
      </c>
      <c r="I3081">
        <v>6.94</v>
      </c>
      <c r="J3081" t="s">
        <v>28</v>
      </c>
    </row>
    <row r="3082" spans="1:10" x14ac:dyDescent="0.25">
      <c r="A3082" s="1">
        <v>260</v>
      </c>
      <c r="B3082" t="s">
        <v>36</v>
      </c>
      <c r="C3082">
        <v>14</v>
      </c>
      <c r="D3082">
        <v>14</v>
      </c>
      <c r="E3082" t="s">
        <v>85</v>
      </c>
      <c r="F3082" t="s">
        <v>131</v>
      </c>
      <c r="G3082" t="str">
        <f>"2024-11-25 09:14:25.730"</f>
        <v>2024-11-25 09:14:25.730</v>
      </c>
      <c r="H3082" t="s">
        <v>25</v>
      </c>
      <c r="I3082">
        <v>6.94</v>
      </c>
      <c r="J3082" t="s">
        <v>28</v>
      </c>
    </row>
    <row r="3083" spans="1:10" x14ac:dyDescent="0.25">
      <c r="A3083" s="1">
        <v>261</v>
      </c>
      <c r="B3083" t="s">
        <v>26</v>
      </c>
      <c r="C3083">
        <v>105</v>
      </c>
      <c r="D3083">
        <v>3</v>
      </c>
      <c r="E3083" t="s">
        <v>92</v>
      </c>
      <c r="F3083" t="s">
        <v>91</v>
      </c>
      <c r="G3083" t="str">
        <f>"2024-11-25 09:14:24.892"</f>
        <v>2024-11-25 09:14:24.892</v>
      </c>
      <c r="H3083" t="s">
        <v>52</v>
      </c>
      <c r="I3083">
        <v>11.02</v>
      </c>
      <c r="J3083" t="s">
        <v>27</v>
      </c>
    </row>
    <row r="3084" spans="1:10" x14ac:dyDescent="0.25">
      <c r="A3084" s="1">
        <v>262</v>
      </c>
      <c r="B3084" t="s">
        <v>26</v>
      </c>
      <c r="C3084">
        <v>104</v>
      </c>
      <c r="D3084">
        <v>8</v>
      </c>
      <c r="E3084" t="s">
        <v>98</v>
      </c>
      <c r="F3084" t="s">
        <v>94</v>
      </c>
      <c r="G3084" t="str">
        <f>"2024-11-25 09:14:24.887"</f>
        <v>2024-11-25 09:14:24.887</v>
      </c>
      <c r="H3084" t="s">
        <v>52</v>
      </c>
      <c r="I3084">
        <v>11.02</v>
      </c>
      <c r="J3084" t="s">
        <v>27</v>
      </c>
    </row>
    <row r="3085" spans="1:10" x14ac:dyDescent="0.25">
      <c r="A3085" s="1">
        <v>263</v>
      </c>
      <c r="B3085" t="s">
        <v>26</v>
      </c>
      <c r="C3085">
        <v>104</v>
      </c>
      <c r="D3085">
        <v>6</v>
      </c>
      <c r="E3085" t="s">
        <v>98</v>
      </c>
      <c r="F3085" t="s">
        <v>95</v>
      </c>
      <c r="G3085" t="str">
        <f>"2024-11-25 09:14:24.882"</f>
        <v>2024-11-25 09:14:24.882</v>
      </c>
      <c r="H3085" t="s">
        <v>52</v>
      </c>
      <c r="I3085">
        <v>11.02</v>
      </c>
      <c r="J3085" t="s">
        <v>27</v>
      </c>
    </row>
    <row r="3086" spans="1:10" x14ac:dyDescent="0.25">
      <c r="A3086" s="1">
        <v>264</v>
      </c>
      <c r="B3086" t="s">
        <v>26</v>
      </c>
      <c r="C3086">
        <v>104</v>
      </c>
      <c r="D3086">
        <v>5</v>
      </c>
      <c r="E3086" t="s">
        <v>98</v>
      </c>
      <c r="F3086" t="s">
        <v>96</v>
      </c>
      <c r="G3086" t="str">
        <f>"2024-11-25 09:14:24.878"</f>
        <v>2024-11-25 09:14:24.878</v>
      </c>
      <c r="H3086" t="s">
        <v>52</v>
      </c>
      <c r="I3086">
        <v>11.02</v>
      </c>
      <c r="J3086" t="s">
        <v>27</v>
      </c>
    </row>
    <row r="3087" spans="1:10" x14ac:dyDescent="0.25">
      <c r="A3087" s="1">
        <v>265</v>
      </c>
      <c r="B3087" t="s">
        <v>26</v>
      </c>
      <c r="C3087">
        <v>104</v>
      </c>
      <c r="D3087">
        <v>1</v>
      </c>
      <c r="E3087" t="s">
        <v>98</v>
      </c>
      <c r="F3087" t="s">
        <v>97</v>
      </c>
      <c r="G3087" t="str">
        <f>"2024-11-25 09:14:24.873"</f>
        <v>2024-11-25 09:14:24.873</v>
      </c>
      <c r="H3087" t="s">
        <v>52</v>
      </c>
      <c r="I3087">
        <v>11.02</v>
      </c>
      <c r="J3087" t="s">
        <v>27</v>
      </c>
    </row>
    <row r="3088" spans="1:10" x14ac:dyDescent="0.25">
      <c r="A3088" s="1">
        <v>266</v>
      </c>
      <c r="B3088" t="s">
        <v>36</v>
      </c>
      <c r="C3088">
        <v>14</v>
      </c>
      <c r="D3088">
        <v>10</v>
      </c>
      <c r="E3088" t="s">
        <v>85</v>
      </c>
      <c r="F3088" t="s">
        <v>87</v>
      </c>
      <c r="G3088" t="str">
        <f>"2024-11-25 09:14:24.657"</f>
        <v>2024-11-25 09:14:24.657</v>
      </c>
      <c r="H3088" t="s">
        <v>25</v>
      </c>
      <c r="I3088">
        <v>13.14</v>
      </c>
      <c r="J3088" t="s">
        <v>27</v>
      </c>
    </row>
    <row r="3089" spans="1:10" x14ac:dyDescent="0.25">
      <c r="A3089" s="1">
        <v>267</v>
      </c>
      <c r="B3089" t="s">
        <v>26</v>
      </c>
      <c r="C3089">
        <v>205</v>
      </c>
      <c r="D3089">
        <v>3</v>
      </c>
      <c r="E3089" t="s">
        <v>90</v>
      </c>
      <c r="F3089" t="s">
        <v>91</v>
      </c>
      <c r="G3089" t="str">
        <f>"2024-11-25 09:14:24.373"</f>
        <v>2024-11-25 09:14:24.373</v>
      </c>
      <c r="H3089" t="s">
        <v>49</v>
      </c>
      <c r="I3089">
        <v>13.14</v>
      </c>
      <c r="J3089" t="s">
        <v>27</v>
      </c>
    </row>
    <row r="3090" spans="1:10" x14ac:dyDescent="0.25">
      <c r="A3090" s="1">
        <v>268</v>
      </c>
      <c r="B3090" t="s">
        <v>26</v>
      </c>
      <c r="C3090">
        <v>204</v>
      </c>
      <c r="D3090">
        <v>8</v>
      </c>
      <c r="E3090" t="s">
        <v>93</v>
      </c>
      <c r="F3090" t="s">
        <v>94</v>
      </c>
      <c r="G3090" t="str">
        <f>"2024-11-25 09:14:24.122"</f>
        <v>2024-11-25 09:14:24.122</v>
      </c>
      <c r="H3090" t="s">
        <v>49</v>
      </c>
      <c r="I3090">
        <v>13.13</v>
      </c>
      <c r="J3090" t="s">
        <v>27</v>
      </c>
    </row>
    <row r="3091" spans="1:10" x14ac:dyDescent="0.25">
      <c r="A3091" s="1">
        <v>269</v>
      </c>
      <c r="B3091" t="s">
        <v>26</v>
      </c>
      <c r="C3091">
        <v>204</v>
      </c>
      <c r="D3091">
        <v>6</v>
      </c>
      <c r="E3091" t="s">
        <v>93</v>
      </c>
      <c r="F3091" t="s">
        <v>95</v>
      </c>
      <c r="G3091" t="str">
        <f>"2024-11-25 09:14:24.118"</f>
        <v>2024-11-25 09:14:24.118</v>
      </c>
      <c r="H3091" t="s">
        <v>49</v>
      </c>
      <c r="I3091">
        <v>13.13</v>
      </c>
      <c r="J3091" t="s">
        <v>27</v>
      </c>
    </row>
    <row r="3092" spans="1:10" x14ac:dyDescent="0.25">
      <c r="A3092" s="1">
        <v>270</v>
      </c>
      <c r="B3092" t="s">
        <v>26</v>
      </c>
      <c r="C3092">
        <v>204</v>
      </c>
      <c r="D3092">
        <v>5</v>
      </c>
      <c r="E3092" t="s">
        <v>93</v>
      </c>
      <c r="F3092" t="s">
        <v>96</v>
      </c>
      <c r="G3092" t="str">
        <f>"2024-11-25 09:14:24.113"</f>
        <v>2024-11-25 09:14:24.113</v>
      </c>
      <c r="H3092" t="s">
        <v>49</v>
      </c>
      <c r="I3092">
        <v>13.13</v>
      </c>
      <c r="J3092" t="s">
        <v>27</v>
      </c>
    </row>
    <row r="3093" spans="1:10" x14ac:dyDescent="0.25">
      <c r="A3093" s="1">
        <v>271</v>
      </c>
      <c r="B3093" t="s">
        <v>26</v>
      </c>
      <c r="C3093">
        <v>23</v>
      </c>
      <c r="D3093">
        <v>1</v>
      </c>
      <c r="E3093" t="s">
        <v>88</v>
      </c>
      <c r="F3093" t="s">
        <v>89</v>
      </c>
      <c r="G3093" t="str">
        <f>"2024-11-25 09:14:23.899"</f>
        <v>2024-11-25 09:14:23.899</v>
      </c>
      <c r="H3093" t="s">
        <v>46</v>
      </c>
      <c r="I3093">
        <v>13.13</v>
      </c>
      <c r="J3093" t="s">
        <v>27</v>
      </c>
    </row>
    <row r="3094" spans="1:10" x14ac:dyDescent="0.25">
      <c r="A3094" s="1">
        <v>272</v>
      </c>
      <c r="B3094" t="s">
        <v>26</v>
      </c>
      <c r="C3094">
        <v>204</v>
      </c>
      <c r="D3094">
        <v>1</v>
      </c>
      <c r="E3094" t="s">
        <v>93</v>
      </c>
      <c r="F3094" t="s">
        <v>97</v>
      </c>
      <c r="G3094" t="str">
        <f>"2024-11-25 09:14:23.813"</f>
        <v>2024-11-25 09:14:23.813</v>
      </c>
      <c r="H3094" t="s">
        <v>49</v>
      </c>
      <c r="I3094">
        <v>13.13</v>
      </c>
      <c r="J3094" t="s">
        <v>27</v>
      </c>
    </row>
    <row r="3095" spans="1:10" x14ac:dyDescent="0.25">
      <c r="A3095" s="1">
        <v>273</v>
      </c>
      <c r="B3095" t="s">
        <v>19</v>
      </c>
      <c r="C3095">
        <v>706</v>
      </c>
      <c r="D3095">
        <v>4</v>
      </c>
      <c r="E3095" t="s">
        <v>29</v>
      </c>
      <c r="F3095" t="s">
        <v>53</v>
      </c>
      <c r="G3095" t="str">
        <f>"2024-11-25 09:14:23.709"</f>
        <v>2024-11-25 09:14:23.709</v>
      </c>
      <c r="H3095" t="s">
        <v>21</v>
      </c>
      <c r="I3095">
        <v>13.13</v>
      </c>
      <c r="J3095" t="s">
        <v>27</v>
      </c>
    </row>
    <row r="3096" spans="1:10" x14ac:dyDescent="0.25">
      <c r="A3096" s="1">
        <v>274</v>
      </c>
      <c r="B3096" t="s">
        <v>19</v>
      </c>
      <c r="C3096">
        <v>700</v>
      </c>
      <c r="D3096">
        <v>0</v>
      </c>
      <c r="E3096" t="s">
        <v>20</v>
      </c>
      <c r="F3096" t="s">
        <v>20</v>
      </c>
      <c r="G3096" t="str">
        <f>"2024-11-24 19:55:07.839"</f>
        <v>2024-11-24 19:55:07.839</v>
      </c>
      <c r="H3096" t="s">
        <v>21</v>
      </c>
      <c r="I3096">
        <v>0</v>
      </c>
      <c r="J3096" t="s">
        <v>33</v>
      </c>
    </row>
    <row r="3097" spans="1:10" x14ac:dyDescent="0.25">
      <c r="A3097" s="1">
        <v>275</v>
      </c>
      <c r="B3097" t="s">
        <v>22</v>
      </c>
      <c r="C3097">
        <v>635</v>
      </c>
      <c r="D3097">
        <v>1</v>
      </c>
      <c r="E3097" t="s">
        <v>34</v>
      </c>
      <c r="F3097" t="s">
        <v>35</v>
      </c>
      <c r="G3097" t="str">
        <f>"2024-11-24 18:16:26.322"</f>
        <v>2024-11-24 18:16:26.322</v>
      </c>
      <c r="H3097" t="s">
        <v>21</v>
      </c>
    </row>
    <row r="3098" spans="1:10" x14ac:dyDescent="0.25">
      <c r="A3098" s="1">
        <v>276</v>
      </c>
      <c r="B3098" t="s">
        <v>36</v>
      </c>
      <c r="C3098">
        <v>635</v>
      </c>
      <c r="D3098">
        <v>1</v>
      </c>
      <c r="E3098" t="s">
        <v>34</v>
      </c>
      <c r="F3098" t="s">
        <v>35</v>
      </c>
      <c r="G3098" t="str">
        <f>"2024-11-24 18:09:22.922"</f>
        <v>2024-11-24 18:09:22.922</v>
      </c>
      <c r="H3098" t="s">
        <v>21</v>
      </c>
      <c r="I3098">
        <v>-0.2</v>
      </c>
      <c r="J3098" t="s">
        <v>28</v>
      </c>
    </row>
    <row r="3099" spans="1:10" x14ac:dyDescent="0.25">
      <c r="A3099" s="1">
        <v>277</v>
      </c>
      <c r="B3099" t="s">
        <v>19</v>
      </c>
      <c r="C3099">
        <v>706</v>
      </c>
      <c r="D3099">
        <v>2</v>
      </c>
      <c r="E3099" t="s">
        <v>29</v>
      </c>
      <c r="F3099" t="s">
        <v>30</v>
      </c>
      <c r="G3099" t="str">
        <f>"2024-11-24 17:31:33.704"</f>
        <v>2024-11-24 17:31:33.704</v>
      </c>
      <c r="H3099" t="s">
        <v>21</v>
      </c>
      <c r="I3099">
        <v>0</v>
      </c>
      <c r="J3099" t="s">
        <v>31</v>
      </c>
    </row>
    <row r="3100" spans="1:10" x14ac:dyDescent="0.25">
      <c r="A3100" s="1">
        <v>278</v>
      </c>
      <c r="B3100" t="s">
        <v>19</v>
      </c>
      <c r="C3100">
        <v>700</v>
      </c>
      <c r="D3100">
        <v>0</v>
      </c>
      <c r="E3100" t="s">
        <v>20</v>
      </c>
      <c r="F3100" t="s">
        <v>20</v>
      </c>
      <c r="G3100" t="str">
        <f>"2024-11-24 17:30:03.834"</f>
        <v>2024-11-24 17:30:03.834</v>
      </c>
      <c r="H3100" t="s">
        <v>21</v>
      </c>
    </row>
    <row r="3101" spans="1:10" x14ac:dyDescent="0.25">
      <c r="A3101" s="1">
        <v>279</v>
      </c>
      <c r="B3101" t="s">
        <v>19</v>
      </c>
      <c r="C3101">
        <v>700</v>
      </c>
      <c r="D3101">
        <v>0</v>
      </c>
      <c r="E3101" t="s">
        <v>20</v>
      </c>
      <c r="F3101" t="s">
        <v>20</v>
      </c>
      <c r="G3101" t="str">
        <f>"2024-11-24 17:27:33.840"</f>
        <v>2024-11-24 17:27:33.840</v>
      </c>
      <c r="H3101" t="s">
        <v>21</v>
      </c>
    </row>
    <row r="3102" spans="1:10" x14ac:dyDescent="0.25">
      <c r="A3102" s="1">
        <v>280</v>
      </c>
      <c r="B3102" t="s">
        <v>19</v>
      </c>
      <c r="C3102">
        <v>700</v>
      </c>
      <c r="D3102">
        <v>0</v>
      </c>
      <c r="E3102" t="s">
        <v>20</v>
      </c>
      <c r="F3102" t="s">
        <v>20</v>
      </c>
      <c r="G3102" t="str">
        <f>"2024-11-24 17:09:52.842"</f>
        <v>2024-11-24 17:09:52.842</v>
      </c>
      <c r="H3102" t="s">
        <v>21</v>
      </c>
      <c r="I3102">
        <v>0</v>
      </c>
      <c r="J3102" t="s">
        <v>33</v>
      </c>
    </row>
    <row r="3103" spans="1:10" x14ac:dyDescent="0.25">
      <c r="A3103" s="1">
        <v>281</v>
      </c>
      <c r="B3103" t="s">
        <v>19</v>
      </c>
      <c r="C3103">
        <v>706</v>
      </c>
      <c r="D3103">
        <v>4</v>
      </c>
      <c r="E3103" t="s">
        <v>29</v>
      </c>
      <c r="F3103" t="s">
        <v>53</v>
      </c>
      <c r="G3103" t="str">
        <f>"2024-11-24 17:07:53.459"</f>
        <v>2024-11-24 17:07:53.459</v>
      </c>
      <c r="H3103" t="s">
        <v>21</v>
      </c>
      <c r="I3103">
        <v>0</v>
      </c>
      <c r="J3103" t="s">
        <v>31</v>
      </c>
    </row>
    <row r="3104" spans="1:10" x14ac:dyDescent="0.25">
      <c r="A3104" s="1">
        <v>282</v>
      </c>
      <c r="B3104" t="s">
        <v>19</v>
      </c>
      <c r="C3104">
        <v>706</v>
      </c>
      <c r="D3104">
        <v>4</v>
      </c>
      <c r="E3104" t="s">
        <v>29</v>
      </c>
      <c r="F3104" t="s">
        <v>53</v>
      </c>
      <c r="G3104" t="str">
        <f>"2024-11-24 17:07:38.249"</f>
        <v>2024-11-24 17:07:38.249</v>
      </c>
      <c r="H3104" t="s">
        <v>21</v>
      </c>
      <c r="I3104">
        <v>0</v>
      </c>
      <c r="J3104" t="s">
        <v>31</v>
      </c>
    </row>
    <row r="3105" spans="1:10" x14ac:dyDescent="0.25">
      <c r="A3105" s="1">
        <v>283</v>
      </c>
      <c r="B3105" t="s">
        <v>19</v>
      </c>
      <c r="C3105">
        <v>700</v>
      </c>
      <c r="D3105">
        <v>0</v>
      </c>
      <c r="E3105" t="s">
        <v>20</v>
      </c>
      <c r="F3105" t="s">
        <v>20</v>
      </c>
      <c r="G3105" t="str">
        <f>"2024-11-24 17:04:58.829"</f>
        <v>2024-11-24 17:04:58.829</v>
      </c>
      <c r="H3105" t="s">
        <v>21</v>
      </c>
    </row>
    <row r="3106" spans="1:10" x14ac:dyDescent="0.25">
      <c r="A3106" s="1">
        <v>284</v>
      </c>
      <c r="B3106" t="s">
        <v>19</v>
      </c>
      <c r="C3106">
        <v>700</v>
      </c>
      <c r="D3106">
        <v>0</v>
      </c>
      <c r="E3106" t="s">
        <v>20</v>
      </c>
      <c r="F3106" t="s">
        <v>20</v>
      </c>
      <c r="G3106" t="str">
        <f>"2024-11-24 17:00:12.832"</f>
        <v>2024-11-24 17:00:12.832</v>
      </c>
      <c r="H3106" t="s">
        <v>21</v>
      </c>
    </row>
    <row r="3107" spans="1:10" x14ac:dyDescent="0.25">
      <c r="A3107" s="1">
        <v>285</v>
      </c>
      <c r="B3107" t="s">
        <v>19</v>
      </c>
      <c r="C3107">
        <v>700</v>
      </c>
      <c r="D3107">
        <v>0</v>
      </c>
      <c r="E3107" t="s">
        <v>20</v>
      </c>
      <c r="F3107" t="s">
        <v>20</v>
      </c>
      <c r="G3107" t="str">
        <f>"2024-11-24 16:54:33.815"</f>
        <v>2024-11-24 16:54:33.815</v>
      </c>
      <c r="H3107" t="s">
        <v>21</v>
      </c>
    </row>
    <row r="3108" spans="1:10" x14ac:dyDescent="0.25">
      <c r="A3108" s="1">
        <v>286</v>
      </c>
      <c r="B3108" t="s">
        <v>19</v>
      </c>
      <c r="C3108">
        <v>700</v>
      </c>
      <c r="D3108">
        <v>0</v>
      </c>
      <c r="E3108" t="s">
        <v>20</v>
      </c>
      <c r="F3108" t="s">
        <v>20</v>
      </c>
      <c r="G3108" t="str">
        <f>"2024-11-24 16:49:10.828"</f>
        <v>2024-11-24 16:49:10.828</v>
      </c>
      <c r="H3108" t="s">
        <v>21</v>
      </c>
      <c r="I3108">
        <v>0</v>
      </c>
      <c r="J3108" t="s">
        <v>33</v>
      </c>
    </row>
    <row r="3109" spans="1:10" x14ac:dyDescent="0.25">
      <c r="A3109" s="1">
        <v>287</v>
      </c>
      <c r="B3109" t="s">
        <v>19</v>
      </c>
      <c r="C3109">
        <v>700</v>
      </c>
      <c r="D3109">
        <v>0</v>
      </c>
      <c r="E3109" t="s">
        <v>20</v>
      </c>
      <c r="F3109" t="s">
        <v>20</v>
      </c>
      <c r="G3109" t="str">
        <f>"2024-11-24 16:37:55.902"</f>
        <v>2024-11-24 16:37:55.902</v>
      </c>
      <c r="H3109" t="s">
        <v>21</v>
      </c>
      <c r="I3109">
        <v>0</v>
      </c>
      <c r="J3109" t="s">
        <v>33</v>
      </c>
    </row>
    <row r="3110" spans="1:10" x14ac:dyDescent="0.25">
      <c r="A3110" s="1">
        <v>288</v>
      </c>
      <c r="B3110" t="s">
        <v>19</v>
      </c>
      <c r="C3110">
        <v>700</v>
      </c>
      <c r="D3110">
        <v>0</v>
      </c>
      <c r="E3110" t="s">
        <v>20</v>
      </c>
      <c r="F3110" t="s">
        <v>20</v>
      </c>
      <c r="G3110" t="str">
        <f>"2024-11-24 08:46:03.004"</f>
        <v>2024-11-24 08:46:03.004</v>
      </c>
      <c r="H3110" t="s">
        <v>21</v>
      </c>
      <c r="I3110">
        <v>0</v>
      </c>
      <c r="J3110" t="s">
        <v>33</v>
      </c>
    </row>
    <row r="3111" spans="1:10" x14ac:dyDescent="0.25">
      <c r="A3111" s="1">
        <v>289</v>
      </c>
      <c r="B3111" t="s">
        <v>19</v>
      </c>
      <c r="C3111">
        <v>700</v>
      </c>
      <c r="D3111">
        <v>0</v>
      </c>
      <c r="E3111" t="s">
        <v>20</v>
      </c>
      <c r="F3111" t="s">
        <v>20</v>
      </c>
      <c r="G3111" t="str">
        <f>"2024-11-24 03:13:36.932"</f>
        <v>2024-11-24 03:13:36.932</v>
      </c>
      <c r="H3111" t="s">
        <v>21</v>
      </c>
      <c r="I3111">
        <v>0</v>
      </c>
      <c r="J3111" t="s">
        <v>33</v>
      </c>
    </row>
    <row r="3112" spans="1:10" x14ac:dyDescent="0.25">
      <c r="A3112" s="1">
        <v>290</v>
      </c>
      <c r="B3112" t="s">
        <v>22</v>
      </c>
      <c r="C3112">
        <v>635</v>
      </c>
      <c r="D3112">
        <v>1</v>
      </c>
      <c r="E3112" t="s">
        <v>34</v>
      </c>
      <c r="F3112" t="s">
        <v>35</v>
      </c>
      <c r="G3112" t="str">
        <f>"2024-11-23 23:24:25.749"</f>
        <v>2024-11-23 23:24:25.749</v>
      </c>
      <c r="H3112" t="s">
        <v>21</v>
      </c>
    </row>
    <row r="3113" spans="1:10" x14ac:dyDescent="0.25">
      <c r="A3113" s="1">
        <v>291</v>
      </c>
      <c r="B3113" t="s">
        <v>36</v>
      </c>
      <c r="C3113">
        <v>635</v>
      </c>
      <c r="D3113">
        <v>1</v>
      </c>
      <c r="E3113" t="s">
        <v>34</v>
      </c>
      <c r="F3113" t="s">
        <v>35</v>
      </c>
      <c r="G3113" t="str">
        <f>"2024-11-23 23:15:41.749"</f>
        <v>2024-11-23 23:15:41.749</v>
      </c>
      <c r="H3113" t="s">
        <v>21</v>
      </c>
      <c r="I3113">
        <v>2.87</v>
      </c>
      <c r="J3113" t="s">
        <v>37</v>
      </c>
    </row>
    <row r="3114" spans="1:10" x14ac:dyDescent="0.25">
      <c r="A3114" s="1">
        <v>292</v>
      </c>
      <c r="B3114" t="s">
        <v>22</v>
      </c>
      <c r="C3114">
        <v>635</v>
      </c>
      <c r="D3114">
        <v>1</v>
      </c>
      <c r="E3114" t="s">
        <v>34</v>
      </c>
      <c r="F3114" t="s">
        <v>35</v>
      </c>
      <c r="G3114" t="str">
        <f>"2024-11-23 23:02:37.749"</f>
        <v>2024-11-23 23:02:37.749</v>
      </c>
      <c r="H3114" t="s">
        <v>21</v>
      </c>
    </row>
    <row r="3115" spans="1:10" x14ac:dyDescent="0.25">
      <c r="A3115" s="1">
        <v>293</v>
      </c>
      <c r="B3115" t="s">
        <v>36</v>
      </c>
      <c r="C3115">
        <v>635</v>
      </c>
      <c r="D3115">
        <v>1</v>
      </c>
      <c r="E3115" t="s">
        <v>34</v>
      </c>
      <c r="F3115" t="s">
        <v>35</v>
      </c>
      <c r="G3115" t="str">
        <f>"2024-11-23 22:56:49.749"</f>
        <v>2024-11-23 22:56:49.749</v>
      </c>
      <c r="H3115" t="s">
        <v>21</v>
      </c>
      <c r="I3115">
        <v>-0.57999999999999996</v>
      </c>
      <c r="J3115" t="s">
        <v>27</v>
      </c>
    </row>
    <row r="3116" spans="1:10" x14ac:dyDescent="0.25">
      <c r="A3116" s="1">
        <v>294</v>
      </c>
      <c r="B3116" t="s">
        <v>22</v>
      </c>
      <c r="C3116">
        <v>635</v>
      </c>
      <c r="D3116">
        <v>1</v>
      </c>
      <c r="E3116" t="s">
        <v>34</v>
      </c>
      <c r="F3116" t="s">
        <v>35</v>
      </c>
      <c r="G3116" t="str">
        <f>"2024-11-23 17:11:40.349"</f>
        <v>2024-11-23 17:11:40.349</v>
      </c>
      <c r="H3116" t="s">
        <v>21</v>
      </c>
    </row>
    <row r="3117" spans="1:10" x14ac:dyDescent="0.25">
      <c r="A3117" s="1">
        <v>295</v>
      </c>
      <c r="B3117" t="s">
        <v>36</v>
      </c>
      <c r="C3117">
        <v>635</v>
      </c>
      <c r="D3117">
        <v>1</v>
      </c>
      <c r="E3117" t="s">
        <v>34</v>
      </c>
      <c r="F3117" t="s">
        <v>35</v>
      </c>
      <c r="G3117" t="str">
        <f>"2024-11-23 17:08:09.349"</f>
        <v>2024-11-23 17:08:09.349</v>
      </c>
      <c r="H3117" t="s">
        <v>21</v>
      </c>
      <c r="I3117">
        <v>0.19</v>
      </c>
      <c r="J3117" t="s">
        <v>28</v>
      </c>
    </row>
    <row r="3118" spans="1:10" x14ac:dyDescent="0.25">
      <c r="A3118" s="1">
        <v>296</v>
      </c>
      <c r="B3118" t="s">
        <v>19</v>
      </c>
      <c r="C3118">
        <v>700</v>
      </c>
      <c r="D3118">
        <v>0</v>
      </c>
      <c r="E3118" t="s">
        <v>20</v>
      </c>
      <c r="F3118" t="s">
        <v>20</v>
      </c>
      <c r="G3118" t="str">
        <f>"2024-11-23 09:52:56.866"</f>
        <v>2024-11-23 09:52:56.866</v>
      </c>
      <c r="H3118" t="s">
        <v>21</v>
      </c>
    </row>
    <row r="3119" spans="1:10" x14ac:dyDescent="0.25">
      <c r="A3119" s="1">
        <v>297</v>
      </c>
      <c r="B3119" t="s">
        <v>19</v>
      </c>
      <c r="C3119">
        <v>700</v>
      </c>
      <c r="D3119">
        <v>0</v>
      </c>
      <c r="E3119" t="s">
        <v>20</v>
      </c>
      <c r="F3119" t="s">
        <v>20</v>
      </c>
      <c r="G3119" t="str">
        <f>"2024-11-22 21:48:10.833"</f>
        <v>2024-11-22 21:48:10.833</v>
      </c>
      <c r="H3119" t="s">
        <v>21</v>
      </c>
      <c r="I3119">
        <v>0</v>
      </c>
      <c r="J3119" t="s">
        <v>33</v>
      </c>
    </row>
    <row r="3120" spans="1:10" x14ac:dyDescent="0.25">
      <c r="A3120" s="1">
        <v>298</v>
      </c>
      <c r="B3120" t="s">
        <v>19</v>
      </c>
      <c r="C3120">
        <v>700</v>
      </c>
      <c r="D3120">
        <v>0</v>
      </c>
      <c r="E3120" t="s">
        <v>20</v>
      </c>
      <c r="F3120" t="s">
        <v>20</v>
      </c>
      <c r="G3120" t="str">
        <f>"2024-11-22 20:21:48.843"</f>
        <v>2024-11-22 20:21:48.843</v>
      </c>
      <c r="H3120" t="s">
        <v>21</v>
      </c>
    </row>
    <row r="3121" spans="1:10" x14ac:dyDescent="0.25">
      <c r="A3121" s="1">
        <v>299</v>
      </c>
      <c r="B3121" t="s">
        <v>22</v>
      </c>
      <c r="C3121">
        <v>635</v>
      </c>
      <c r="D3121">
        <v>1</v>
      </c>
      <c r="E3121" t="s">
        <v>34</v>
      </c>
      <c r="F3121" t="s">
        <v>35</v>
      </c>
      <c r="G3121" t="str">
        <f>"2024-11-22 10:38:30.344"</f>
        <v>2024-11-22 10:38:30.344</v>
      </c>
      <c r="H3121" t="s">
        <v>21</v>
      </c>
    </row>
    <row r="3122" spans="1:10" x14ac:dyDescent="0.25">
      <c r="A3122" s="1">
        <v>300</v>
      </c>
      <c r="B3122" t="s">
        <v>36</v>
      </c>
      <c r="C3122">
        <v>635</v>
      </c>
      <c r="D3122">
        <v>1</v>
      </c>
      <c r="E3122" t="s">
        <v>34</v>
      </c>
      <c r="F3122" t="s">
        <v>35</v>
      </c>
      <c r="G3122" t="str">
        <f>"2024-11-22 10:36:24.844"</f>
        <v>2024-11-22 10:36:24.844</v>
      </c>
      <c r="H3122" t="s">
        <v>21</v>
      </c>
      <c r="I3122">
        <v>1.51</v>
      </c>
      <c r="J3122" t="s">
        <v>27</v>
      </c>
    </row>
    <row r="3123" spans="1:10" x14ac:dyDescent="0.25">
      <c r="A3123" s="1">
        <v>301</v>
      </c>
      <c r="B3123" t="s">
        <v>19</v>
      </c>
      <c r="C3123">
        <v>700</v>
      </c>
      <c r="D3123">
        <v>0</v>
      </c>
      <c r="E3123" t="s">
        <v>20</v>
      </c>
      <c r="F3123" t="s">
        <v>20</v>
      </c>
      <c r="G3123" t="str">
        <f>"2024-11-22 04:14:44.867"</f>
        <v>2024-11-22 04:14:44.867</v>
      </c>
      <c r="H3123" t="s">
        <v>21</v>
      </c>
      <c r="I3123">
        <v>0</v>
      </c>
      <c r="J3123" t="s">
        <v>33</v>
      </c>
    </row>
    <row r="3124" spans="1:10" x14ac:dyDescent="0.25">
      <c r="A3124" s="1">
        <v>302</v>
      </c>
      <c r="B3124" t="s">
        <v>22</v>
      </c>
      <c r="C3124">
        <v>635</v>
      </c>
      <c r="D3124">
        <v>1</v>
      </c>
      <c r="E3124" t="s">
        <v>34</v>
      </c>
      <c r="F3124" t="s">
        <v>35</v>
      </c>
      <c r="G3124" t="str">
        <f>"2024-11-21 23:41:05.315"</f>
        <v>2024-11-21 23:41:05.315</v>
      </c>
      <c r="H3124" t="s">
        <v>21</v>
      </c>
    </row>
    <row r="3125" spans="1:10" x14ac:dyDescent="0.25">
      <c r="A3125" s="1">
        <v>303</v>
      </c>
      <c r="B3125" t="s">
        <v>36</v>
      </c>
      <c r="C3125">
        <v>635</v>
      </c>
      <c r="D3125">
        <v>1</v>
      </c>
      <c r="E3125" t="s">
        <v>34</v>
      </c>
      <c r="F3125" t="s">
        <v>35</v>
      </c>
      <c r="G3125" t="str">
        <f>"2024-11-21 23:38:06.815"</f>
        <v>2024-11-21 23:38:06.815</v>
      </c>
      <c r="H3125" t="s">
        <v>21</v>
      </c>
      <c r="I3125">
        <v>0.01</v>
      </c>
      <c r="J3125" t="s">
        <v>28</v>
      </c>
    </row>
    <row r="3126" spans="1:10" x14ac:dyDescent="0.25">
      <c r="A3126" s="1">
        <v>304</v>
      </c>
      <c r="B3126" t="s">
        <v>22</v>
      </c>
      <c r="C3126">
        <v>635</v>
      </c>
      <c r="D3126">
        <v>1</v>
      </c>
      <c r="E3126" t="s">
        <v>34</v>
      </c>
      <c r="F3126" t="s">
        <v>35</v>
      </c>
      <c r="G3126" t="str">
        <f>"2024-11-21 16:34:01.515"</f>
        <v>2024-11-21 16:34:01.515</v>
      </c>
      <c r="H3126" t="s">
        <v>21</v>
      </c>
    </row>
    <row r="3127" spans="1:10" x14ac:dyDescent="0.25">
      <c r="A3127" s="1">
        <v>305</v>
      </c>
      <c r="B3127" t="s">
        <v>36</v>
      </c>
      <c r="C3127">
        <v>635</v>
      </c>
      <c r="D3127">
        <v>1</v>
      </c>
      <c r="E3127" t="s">
        <v>34</v>
      </c>
      <c r="F3127" t="s">
        <v>35</v>
      </c>
      <c r="G3127" t="str">
        <f>"2024-11-21 16:30:36.015"</f>
        <v>2024-11-21 16:30:36.015</v>
      </c>
      <c r="H3127" t="s">
        <v>21</v>
      </c>
      <c r="I3127">
        <v>2.73</v>
      </c>
      <c r="J3127" t="s">
        <v>27</v>
      </c>
    </row>
    <row r="3128" spans="1:10" x14ac:dyDescent="0.25">
      <c r="A3128" s="1">
        <v>306</v>
      </c>
      <c r="B3128" t="s">
        <v>19</v>
      </c>
      <c r="C3128">
        <v>700</v>
      </c>
      <c r="D3128">
        <v>0</v>
      </c>
      <c r="E3128" t="s">
        <v>20</v>
      </c>
      <c r="F3128" t="s">
        <v>20</v>
      </c>
      <c r="G3128" t="str">
        <f>"2024-11-21 00:15:22.838"</f>
        <v>2024-11-21 00:15:22.838</v>
      </c>
      <c r="H3128" t="s">
        <v>21</v>
      </c>
      <c r="I3128">
        <v>0</v>
      </c>
      <c r="J3128" t="s">
        <v>33</v>
      </c>
    </row>
    <row r="3129" spans="1:10" x14ac:dyDescent="0.25">
      <c r="A3129" s="1">
        <v>307</v>
      </c>
      <c r="B3129" t="s">
        <v>19</v>
      </c>
      <c r="C3129">
        <v>700</v>
      </c>
      <c r="D3129">
        <v>0</v>
      </c>
      <c r="E3129" t="s">
        <v>20</v>
      </c>
      <c r="F3129" t="s">
        <v>20</v>
      </c>
      <c r="G3129" t="str">
        <f>"2024-11-20 09:11:52.876"</f>
        <v>2024-11-20 09:11:52.876</v>
      </c>
      <c r="H3129" t="s">
        <v>21</v>
      </c>
      <c r="I3129">
        <v>0</v>
      </c>
      <c r="J3129" t="s">
        <v>33</v>
      </c>
    </row>
    <row r="3130" spans="1:10" x14ac:dyDescent="0.25">
      <c r="A3130" s="1">
        <v>312</v>
      </c>
      <c r="B3130" t="s">
        <v>19</v>
      </c>
      <c r="C3130">
        <v>700</v>
      </c>
      <c r="D3130">
        <v>0</v>
      </c>
      <c r="E3130" t="s">
        <v>20</v>
      </c>
      <c r="F3130" t="s">
        <v>20</v>
      </c>
      <c r="G3130" t="str">
        <f>"2024-11-19 19:46:48.823"</f>
        <v>2024-11-19 19:46:48.823</v>
      </c>
      <c r="H3130" t="s">
        <v>21</v>
      </c>
    </row>
    <row r="3131" spans="1:10" x14ac:dyDescent="0.25">
      <c r="A3131" s="1">
        <v>313</v>
      </c>
      <c r="B3131" t="s">
        <v>22</v>
      </c>
      <c r="C3131">
        <v>635</v>
      </c>
      <c r="D3131">
        <v>1</v>
      </c>
      <c r="E3131" t="s">
        <v>34</v>
      </c>
      <c r="F3131" t="s">
        <v>35</v>
      </c>
      <c r="G3131" t="str">
        <f>"2024-11-19 10:03:21.747"</f>
        <v>2024-11-19 10:03:21.747</v>
      </c>
      <c r="H3131" t="s">
        <v>21</v>
      </c>
    </row>
    <row r="3132" spans="1:10" x14ac:dyDescent="0.25">
      <c r="A3132" s="1">
        <v>314</v>
      </c>
      <c r="B3132" t="s">
        <v>36</v>
      </c>
      <c r="C3132">
        <v>635</v>
      </c>
      <c r="D3132">
        <v>1</v>
      </c>
      <c r="E3132" t="s">
        <v>34</v>
      </c>
      <c r="F3132" t="s">
        <v>35</v>
      </c>
      <c r="G3132" t="str">
        <f>"2024-11-19 09:59:40.247"</f>
        <v>2024-11-19 09:59:40.247</v>
      </c>
      <c r="H3132" t="s">
        <v>21</v>
      </c>
      <c r="I3132">
        <v>9.36</v>
      </c>
      <c r="J3132" t="s">
        <v>37</v>
      </c>
    </row>
    <row r="3133" spans="1:10" x14ac:dyDescent="0.25">
      <c r="A3133" s="1">
        <v>315</v>
      </c>
      <c r="B3133" t="s">
        <v>19</v>
      </c>
      <c r="C3133">
        <v>700</v>
      </c>
      <c r="D3133">
        <v>0</v>
      </c>
      <c r="E3133" t="s">
        <v>20</v>
      </c>
      <c r="F3133" t="s">
        <v>20</v>
      </c>
      <c r="G3133" t="str">
        <f>"2024-11-18 20:45:53.869"</f>
        <v>2024-11-18 20:45:53.869</v>
      </c>
      <c r="H3133" t="s">
        <v>21</v>
      </c>
      <c r="I3133">
        <v>0</v>
      </c>
      <c r="J3133" t="s">
        <v>33</v>
      </c>
    </row>
    <row r="3134" spans="1:10" x14ac:dyDescent="0.25">
      <c r="A3134" s="1">
        <v>316</v>
      </c>
      <c r="B3134" t="s">
        <v>56</v>
      </c>
      <c r="C3134">
        <v>216</v>
      </c>
      <c r="D3134">
        <v>5</v>
      </c>
      <c r="E3134" t="s">
        <v>120</v>
      </c>
      <c r="F3134" t="s">
        <v>121</v>
      </c>
      <c r="G3134" t="str">
        <f>"2024-11-18 14:14:29.805"</f>
        <v>2024-11-18 14:14:29.805</v>
      </c>
      <c r="H3134" t="s">
        <v>49</v>
      </c>
    </row>
    <row r="3135" spans="1:10" x14ac:dyDescent="0.25">
      <c r="A3135" s="1">
        <v>317</v>
      </c>
      <c r="B3135" t="s">
        <v>26</v>
      </c>
      <c r="C3135">
        <v>216</v>
      </c>
      <c r="D3135">
        <v>5</v>
      </c>
      <c r="E3135" t="s">
        <v>120</v>
      </c>
      <c r="F3135" t="s">
        <v>121</v>
      </c>
      <c r="G3135" t="str">
        <f>"2024-11-18 14:14:26.531"</f>
        <v>2024-11-18 14:14:26.531</v>
      </c>
      <c r="H3135" t="s">
        <v>49</v>
      </c>
      <c r="I3135">
        <v>7.34</v>
      </c>
      <c r="J3135" t="s">
        <v>37</v>
      </c>
    </row>
    <row r="3136" spans="1:10" x14ac:dyDescent="0.25">
      <c r="A3136" s="1">
        <v>318</v>
      </c>
      <c r="B3136" t="s">
        <v>56</v>
      </c>
      <c r="C3136">
        <v>216</v>
      </c>
      <c r="D3136">
        <v>5</v>
      </c>
      <c r="E3136" t="s">
        <v>120</v>
      </c>
      <c r="F3136" t="s">
        <v>121</v>
      </c>
      <c r="G3136" t="str">
        <f>"2024-11-18 13:07:58.305"</f>
        <v>2024-11-18 13:07:58.305</v>
      </c>
      <c r="H3136" t="s">
        <v>49</v>
      </c>
    </row>
    <row r="3137" spans="1:10" x14ac:dyDescent="0.25">
      <c r="A3137" s="1">
        <v>319</v>
      </c>
      <c r="B3137" t="s">
        <v>26</v>
      </c>
      <c r="C3137">
        <v>216</v>
      </c>
      <c r="D3137">
        <v>5</v>
      </c>
      <c r="E3137" t="s">
        <v>120</v>
      </c>
      <c r="F3137" t="s">
        <v>121</v>
      </c>
      <c r="G3137" t="str">
        <f>"2024-11-18 13:07:55.211"</f>
        <v>2024-11-18 13:07:55.211</v>
      </c>
      <c r="H3137" t="s">
        <v>49</v>
      </c>
      <c r="I3137">
        <v>7.48</v>
      </c>
      <c r="J3137" t="s">
        <v>37</v>
      </c>
    </row>
    <row r="3138" spans="1:10" x14ac:dyDescent="0.25">
      <c r="A3138" s="1">
        <v>320</v>
      </c>
      <c r="B3138" t="s">
        <v>19</v>
      </c>
      <c r="C3138">
        <v>706</v>
      </c>
      <c r="D3138">
        <v>4</v>
      </c>
      <c r="E3138" t="s">
        <v>29</v>
      </c>
      <c r="F3138" t="s">
        <v>53</v>
      </c>
      <c r="G3138" t="str">
        <f>"2024-11-18 03:20:08.817"</f>
        <v>2024-11-18 03:20:08.817</v>
      </c>
      <c r="H3138" t="s">
        <v>21</v>
      </c>
      <c r="I3138">
        <v>0</v>
      </c>
      <c r="J3138" t="s">
        <v>31</v>
      </c>
    </row>
    <row r="3139" spans="1:10" x14ac:dyDescent="0.25">
      <c r="A3139" s="1">
        <v>321</v>
      </c>
      <c r="B3139" t="s">
        <v>19</v>
      </c>
      <c r="C3139">
        <v>700</v>
      </c>
      <c r="D3139">
        <v>0</v>
      </c>
      <c r="E3139" t="s">
        <v>20</v>
      </c>
      <c r="F3139" t="s">
        <v>20</v>
      </c>
      <c r="G3139" t="str">
        <f>"2024-11-18 03:04:01.827"</f>
        <v>2024-11-18 03:04:01.827</v>
      </c>
      <c r="H3139" t="s">
        <v>21</v>
      </c>
    </row>
    <row r="3140" spans="1:10" x14ac:dyDescent="0.25">
      <c r="A3140" s="1">
        <v>322</v>
      </c>
      <c r="B3140" t="s">
        <v>19</v>
      </c>
      <c r="C3140">
        <v>700</v>
      </c>
      <c r="D3140">
        <v>0</v>
      </c>
      <c r="E3140" t="s">
        <v>20</v>
      </c>
      <c r="F3140" t="s">
        <v>20</v>
      </c>
      <c r="G3140" t="str">
        <f>"2024-11-18 02:56:23.857"</f>
        <v>2024-11-18 02:56:23.857</v>
      </c>
      <c r="H3140" t="s">
        <v>21</v>
      </c>
    </row>
    <row r="3141" spans="1:10" x14ac:dyDescent="0.25">
      <c r="A3141" s="1">
        <v>323</v>
      </c>
      <c r="B3141" t="s">
        <v>19</v>
      </c>
      <c r="C3141">
        <v>706</v>
      </c>
      <c r="D3141">
        <v>2</v>
      </c>
      <c r="E3141" t="s">
        <v>29</v>
      </c>
      <c r="F3141" t="s">
        <v>30</v>
      </c>
      <c r="G3141" t="str">
        <f>"2024-11-17 14:32:34.907"</f>
        <v>2024-11-17 14:32:34.907</v>
      </c>
      <c r="H3141" t="s">
        <v>21</v>
      </c>
      <c r="I3141">
        <v>0</v>
      </c>
      <c r="J3141" t="s">
        <v>31</v>
      </c>
    </row>
    <row r="3142" spans="1:10" x14ac:dyDescent="0.25">
      <c r="A3142" s="1">
        <v>324</v>
      </c>
      <c r="B3142" t="s">
        <v>19</v>
      </c>
      <c r="C3142">
        <v>700</v>
      </c>
      <c r="D3142">
        <v>0</v>
      </c>
      <c r="E3142" t="s">
        <v>20</v>
      </c>
      <c r="F3142" t="s">
        <v>20</v>
      </c>
      <c r="G3142" t="str">
        <f>"2024-11-17 14:30:55.847"</f>
        <v>2024-11-17 14:30:55.847</v>
      </c>
      <c r="H3142" t="s">
        <v>21</v>
      </c>
      <c r="I3142">
        <v>0</v>
      </c>
      <c r="J3142" t="s">
        <v>33</v>
      </c>
    </row>
    <row r="3143" spans="1:10" x14ac:dyDescent="0.25">
      <c r="A3143" s="1">
        <v>325</v>
      </c>
      <c r="B3143" t="s">
        <v>19</v>
      </c>
      <c r="C3143">
        <v>700</v>
      </c>
      <c r="D3143">
        <v>0</v>
      </c>
      <c r="E3143" t="s">
        <v>20</v>
      </c>
      <c r="F3143" t="s">
        <v>20</v>
      </c>
      <c r="G3143" t="str">
        <f>"2024-11-17 13:57:49.838"</f>
        <v>2024-11-17 13:57:49.838</v>
      </c>
      <c r="H3143" t="s">
        <v>21</v>
      </c>
      <c r="I3143">
        <v>0</v>
      </c>
      <c r="J3143" t="s">
        <v>33</v>
      </c>
    </row>
    <row r="3144" spans="1:10" x14ac:dyDescent="0.25">
      <c r="A3144" s="1">
        <v>326</v>
      </c>
      <c r="B3144" t="s">
        <v>19</v>
      </c>
      <c r="C3144">
        <v>706</v>
      </c>
      <c r="D3144">
        <v>4</v>
      </c>
      <c r="E3144" t="s">
        <v>29</v>
      </c>
      <c r="F3144" t="s">
        <v>53</v>
      </c>
      <c r="G3144" t="str">
        <f>"2024-11-17 13:51:36.884"</f>
        <v>2024-11-17 13:51:36.884</v>
      </c>
      <c r="H3144" t="s">
        <v>21</v>
      </c>
      <c r="I3144">
        <v>0</v>
      </c>
      <c r="J3144" t="s">
        <v>31</v>
      </c>
    </row>
    <row r="3145" spans="1:10" x14ac:dyDescent="0.25">
      <c r="A3145" s="1">
        <v>327</v>
      </c>
      <c r="B3145" t="s">
        <v>19</v>
      </c>
      <c r="C3145">
        <v>706</v>
      </c>
      <c r="D3145">
        <v>4</v>
      </c>
      <c r="E3145" t="s">
        <v>29</v>
      </c>
      <c r="F3145" t="s">
        <v>53</v>
      </c>
      <c r="G3145" t="str">
        <f>"2024-11-17 13:45:33.954"</f>
        <v>2024-11-17 13:45:33.954</v>
      </c>
      <c r="H3145" t="s">
        <v>21</v>
      </c>
      <c r="I3145">
        <v>0</v>
      </c>
      <c r="J3145" t="s">
        <v>31</v>
      </c>
    </row>
    <row r="3146" spans="1:10" x14ac:dyDescent="0.25">
      <c r="A3146" s="1">
        <v>328</v>
      </c>
      <c r="B3146" t="s">
        <v>19</v>
      </c>
      <c r="C3146">
        <v>706</v>
      </c>
      <c r="D3146">
        <v>2</v>
      </c>
      <c r="E3146" t="s">
        <v>29</v>
      </c>
      <c r="F3146" t="s">
        <v>30</v>
      </c>
      <c r="G3146" t="str">
        <f>"2024-11-17 13:39:09.944"</f>
        <v>2024-11-17 13:39:09.944</v>
      </c>
      <c r="H3146" t="s">
        <v>21</v>
      </c>
      <c r="I3146">
        <v>0</v>
      </c>
      <c r="J3146" t="s">
        <v>31</v>
      </c>
    </row>
    <row r="3147" spans="1:10" x14ac:dyDescent="0.25">
      <c r="A3147" s="1">
        <v>329</v>
      </c>
      <c r="B3147" t="s">
        <v>19</v>
      </c>
      <c r="C3147">
        <v>700</v>
      </c>
      <c r="D3147">
        <v>0</v>
      </c>
      <c r="E3147" t="s">
        <v>20</v>
      </c>
      <c r="F3147" t="s">
        <v>20</v>
      </c>
      <c r="G3147" t="str">
        <f>"2024-11-17 13:36:00.834"</f>
        <v>2024-11-17 13:36:00.834</v>
      </c>
      <c r="H3147" t="s">
        <v>21</v>
      </c>
    </row>
    <row r="3148" spans="1:10" x14ac:dyDescent="0.25">
      <c r="A3148" s="1">
        <v>330</v>
      </c>
      <c r="B3148" t="s">
        <v>19</v>
      </c>
      <c r="C3148">
        <v>700</v>
      </c>
      <c r="D3148">
        <v>0</v>
      </c>
      <c r="E3148" t="s">
        <v>20</v>
      </c>
      <c r="F3148" t="s">
        <v>20</v>
      </c>
      <c r="G3148" t="str">
        <f>"2024-11-17 13:30:52.817"</f>
        <v>2024-11-17 13:30:52.817</v>
      </c>
      <c r="H3148" t="s">
        <v>21</v>
      </c>
    </row>
    <row r="3149" spans="1:10" x14ac:dyDescent="0.25">
      <c r="A3149" s="1">
        <v>331</v>
      </c>
      <c r="B3149" t="s">
        <v>19</v>
      </c>
      <c r="C3149">
        <v>706</v>
      </c>
      <c r="D3149">
        <v>2</v>
      </c>
      <c r="E3149" t="s">
        <v>29</v>
      </c>
      <c r="F3149" t="s">
        <v>30</v>
      </c>
      <c r="G3149" t="str">
        <f>"2024-11-17 13:28:31.929"</f>
        <v>2024-11-17 13:28:31.929</v>
      </c>
      <c r="H3149" t="s">
        <v>21</v>
      </c>
      <c r="I3149">
        <v>0</v>
      </c>
      <c r="J3149" t="s">
        <v>31</v>
      </c>
    </row>
    <row r="3150" spans="1:10" x14ac:dyDescent="0.25">
      <c r="A3150" s="1">
        <v>332</v>
      </c>
      <c r="B3150" t="s">
        <v>19</v>
      </c>
      <c r="C3150">
        <v>700</v>
      </c>
      <c r="D3150">
        <v>0</v>
      </c>
      <c r="E3150" t="s">
        <v>20</v>
      </c>
      <c r="F3150" t="s">
        <v>20</v>
      </c>
      <c r="G3150" t="str">
        <f>"2024-11-17 13:27:10.829"</f>
        <v>2024-11-17 13:27:10.829</v>
      </c>
      <c r="H3150" t="s">
        <v>21</v>
      </c>
    </row>
    <row r="3151" spans="1:10" x14ac:dyDescent="0.25">
      <c r="A3151" s="1">
        <v>333</v>
      </c>
      <c r="B3151" t="s">
        <v>19</v>
      </c>
      <c r="C3151">
        <v>706</v>
      </c>
      <c r="D3151">
        <v>4</v>
      </c>
      <c r="E3151" t="s">
        <v>29</v>
      </c>
      <c r="F3151" t="s">
        <v>53</v>
      </c>
      <c r="G3151" t="str">
        <f>"2024-11-17 13:21:40.808"</f>
        <v>2024-11-17 13:21:40.808</v>
      </c>
      <c r="H3151" t="s">
        <v>21</v>
      </c>
      <c r="I3151">
        <v>0</v>
      </c>
      <c r="J3151" t="s">
        <v>31</v>
      </c>
    </row>
    <row r="3152" spans="1:10" x14ac:dyDescent="0.25">
      <c r="A3152" s="1">
        <v>334</v>
      </c>
      <c r="B3152" t="s">
        <v>19</v>
      </c>
      <c r="C3152">
        <v>706</v>
      </c>
      <c r="D3152">
        <v>4</v>
      </c>
      <c r="E3152" t="s">
        <v>29</v>
      </c>
      <c r="F3152" t="s">
        <v>53</v>
      </c>
      <c r="G3152" t="str">
        <f>"2024-11-17 13:16:26.408"</f>
        <v>2024-11-17 13:16:26.408</v>
      </c>
      <c r="H3152" t="s">
        <v>21</v>
      </c>
      <c r="I3152">
        <v>0</v>
      </c>
      <c r="J3152" t="s">
        <v>31</v>
      </c>
    </row>
    <row r="3153" spans="1:10" x14ac:dyDescent="0.25">
      <c r="A3153" s="1">
        <v>335</v>
      </c>
      <c r="B3153" t="s">
        <v>19</v>
      </c>
      <c r="C3153">
        <v>700</v>
      </c>
      <c r="D3153">
        <v>0</v>
      </c>
      <c r="E3153" t="s">
        <v>20</v>
      </c>
      <c r="F3153" t="s">
        <v>20</v>
      </c>
      <c r="G3153" t="str">
        <f>"2024-11-17 13:09:21.818"</f>
        <v>2024-11-17 13:09:21.818</v>
      </c>
      <c r="H3153" t="s">
        <v>21</v>
      </c>
    </row>
    <row r="3154" spans="1:10" x14ac:dyDescent="0.25">
      <c r="A3154" s="1">
        <v>336</v>
      </c>
      <c r="B3154" t="s">
        <v>19</v>
      </c>
      <c r="C3154">
        <v>700</v>
      </c>
      <c r="D3154">
        <v>0</v>
      </c>
      <c r="E3154" t="s">
        <v>20</v>
      </c>
      <c r="F3154" t="s">
        <v>20</v>
      </c>
      <c r="G3154" t="str">
        <f>"2024-11-17 13:04:13.820"</f>
        <v>2024-11-17 13:04:13.820</v>
      </c>
      <c r="H3154" t="s">
        <v>21</v>
      </c>
      <c r="I3154">
        <v>0</v>
      </c>
      <c r="J3154" t="s">
        <v>33</v>
      </c>
    </row>
    <row r="3155" spans="1:10" x14ac:dyDescent="0.25">
      <c r="A3155" s="1">
        <v>337</v>
      </c>
      <c r="B3155" t="s">
        <v>19</v>
      </c>
      <c r="C3155">
        <v>706</v>
      </c>
      <c r="D3155">
        <v>4</v>
      </c>
      <c r="E3155" t="s">
        <v>29</v>
      </c>
      <c r="F3155" t="s">
        <v>53</v>
      </c>
      <c r="G3155" t="str">
        <f>"2024-11-17 12:57:35.459"</f>
        <v>2024-11-17 12:57:35.459</v>
      </c>
      <c r="H3155" t="s">
        <v>21</v>
      </c>
      <c r="I3155">
        <v>0</v>
      </c>
      <c r="J3155" t="s">
        <v>31</v>
      </c>
    </row>
    <row r="3156" spans="1:10" x14ac:dyDescent="0.25">
      <c r="A3156" s="1">
        <v>338</v>
      </c>
      <c r="B3156" t="s">
        <v>19</v>
      </c>
      <c r="C3156">
        <v>700</v>
      </c>
      <c r="D3156">
        <v>0</v>
      </c>
      <c r="E3156" t="s">
        <v>20</v>
      </c>
      <c r="F3156" t="s">
        <v>20</v>
      </c>
      <c r="G3156" t="str">
        <f>"2024-11-17 12:53:11.829"</f>
        <v>2024-11-17 12:53:11.829</v>
      </c>
      <c r="H3156" t="s">
        <v>21</v>
      </c>
      <c r="I3156">
        <v>0</v>
      </c>
      <c r="J3156" t="s">
        <v>33</v>
      </c>
    </row>
    <row r="3157" spans="1:10" x14ac:dyDescent="0.25">
      <c r="A3157" s="1">
        <v>339</v>
      </c>
      <c r="B3157" t="s">
        <v>19</v>
      </c>
      <c r="C3157">
        <v>706</v>
      </c>
      <c r="D3157">
        <v>4</v>
      </c>
      <c r="E3157" t="s">
        <v>29</v>
      </c>
      <c r="F3157" t="s">
        <v>53</v>
      </c>
      <c r="G3157" t="str">
        <f>"2024-11-17 12:48:05.028"</f>
        <v>2024-11-17 12:48:05.028</v>
      </c>
      <c r="H3157" t="s">
        <v>21</v>
      </c>
      <c r="I3157">
        <v>0</v>
      </c>
      <c r="J3157" t="s">
        <v>31</v>
      </c>
    </row>
    <row r="3158" spans="1:10" x14ac:dyDescent="0.25">
      <c r="A3158" s="1">
        <v>340</v>
      </c>
      <c r="B3158" t="s">
        <v>19</v>
      </c>
      <c r="C3158">
        <v>706</v>
      </c>
      <c r="D3158">
        <v>4</v>
      </c>
      <c r="E3158" t="s">
        <v>29</v>
      </c>
      <c r="F3158" t="s">
        <v>53</v>
      </c>
      <c r="G3158" t="str">
        <f>"2024-11-17 12:35:45.048"</f>
        <v>2024-11-17 12:35:45.048</v>
      </c>
      <c r="H3158" t="s">
        <v>21</v>
      </c>
      <c r="I3158">
        <v>0</v>
      </c>
      <c r="J3158" t="s">
        <v>31</v>
      </c>
    </row>
    <row r="3159" spans="1:10" x14ac:dyDescent="0.25">
      <c r="A3159" s="1">
        <v>341</v>
      </c>
      <c r="B3159" t="s">
        <v>19</v>
      </c>
      <c r="C3159">
        <v>706</v>
      </c>
      <c r="D3159">
        <v>2</v>
      </c>
      <c r="E3159" t="s">
        <v>29</v>
      </c>
      <c r="F3159" t="s">
        <v>30</v>
      </c>
      <c r="G3159" t="str">
        <f>"2024-11-17 12:33:22.948"</f>
        <v>2024-11-17 12:33:22.948</v>
      </c>
      <c r="H3159" t="s">
        <v>21</v>
      </c>
      <c r="I3159">
        <v>0</v>
      </c>
      <c r="J3159" t="s">
        <v>31</v>
      </c>
    </row>
    <row r="3160" spans="1:10" x14ac:dyDescent="0.25">
      <c r="A3160" s="1">
        <v>342</v>
      </c>
      <c r="B3160" t="s">
        <v>19</v>
      </c>
      <c r="C3160">
        <v>700</v>
      </c>
      <c r="D3160">
        <v>0</v>
      </c>
      <c r="E3160" t="s">
        <v>20</v>
      </c>
      <c r="F3160" t="s">
        <v>20</v>
      </c>
      <c r="G3160" t="str">
        <f>"2024-11-17 12:24:24.958"</f>
        <v>2024-11-17 12:24:24.958</v>
      </c>
      <c r="H3160" t="s">
        <v>21</v>
      </c>
      <c r="I3160">
        <v>0</v>
      </c>
      <c r="J3160" t="s">
        <v>33</v>
      </c>
    </row>
    <row r="3161" spans="1:10" x14ac:dyDescent="0.25">
      <c r="A3161" s="1">
        <v>343</v>
      </c>
      <c r="B3161" t="s">
        <v>19</v>
      </c>
      <c r="C3161">
        <v>700</v>
      </c>
      <c r="D3161">
        <v>0</v>
      </c>
      <c r="E3161" t="s">
        <v>20</v>
      </c>
      <c r="F3161" t="s">
        <v>20</v>
      </c>
      <c r="G3161" t="str">
        <f>"2024-11-16 13:30:16.837"</f>
        <v>2024-11-16 13:30:16.837</v>
      </c>
      <c r="H3161" t="s">
        <v>21</v>
      </c>
      <c r="I3161">
        <v>0</v>
      </c>
      <c r="J3161" t="s">
        <v>33</v>
      </c>
    </row>
    <row r="3162" spans="1:10" x14ac:dyDescent="0.25">
      <c r="A3162" s="1">
        <v>344</v>
      </c>
      <c r="B3162" t="s">
        <v>19</v>
      </c>
      <c r="C3162">
        <v>700</v>
      </c>
      <c r="D3162">
        <v>0</v>
      </c>
      <c r="E3162" t="s">
        <v>20</v>
      </c>
      <c r="F3162" t="s">
        <v>20</v>
      </c>
      <c r="G3162" t="str">
        <f>"2024-11-13 16:44:04.822"</f>
        <v>2024-11-13 16:44:04.822</v>
      </c>
      <c r="H3162" t="s">
        <v>21</v>
      </c>
      <c r="I3162">
        <v>0</v>
      </c>
      <c r="J3162" t="s">
        <v>33</v>
      </c>
    </row>
    <row r="3163" spans="1:10" x14ac:dyDescent="0.25">
      <c r="A3163" s="1">
        <v>345</v>
      </c>
      <c r="B3163" t="s">
        <v>19</v>
      </c>
      <c r="C3163">
        <v>700</v>
      </c>
      <c r="D3163">
        <v>0</v>
      </c>
      <c r="E3163" t="s">
        <v>20</v>
      </c>
      <c r="F3163" t="s">
        <v>20</v>
      </c>
      <c r="G3163" t="str">
        <f>"2024-11-13 15:08:23.961"</f>
        <v>2024-11-13 15:08:23.961</v>
      </c>
      <c r="H3163" t="s">
        <v>21</v>
      </c>
    </row>
    <row r="3164" spans="1:10" x14ac:dyDescent="0.25">
      <c r="A3164" s="1">
        <v>346</v>
      </c>
      <c r="B3164" t="s">
        <v>22</v>
      </c>
      <c r="C3164">
        <v>635</v>
      </c>
      <c r="D3164">
        <v>1</v>
      </c>
      <c r="E3164" t="s">
        <v>34</v>
      </c>
      <c r="F3164" t="s">
        <v>35</v>
      </c>
      <c r="G3164" t="str">
        <f>"2024-11-12 02:36:33.649"</f>
        <v>2024-11-12 02:36:33.649</v>
      </c>
      <c r="H3164" t="s">
        <v>21</v>
      </c>
    </row>
    <row r="3165" spans="1:10" x14ac:dyDescent="0.25">
      <c r="A3165" s="1">
        <v>347</v>
      </c>
      <c r="B3165" t="s">
        <v>36</v>
      </c>
      <c r="C3165">
        <v>635</v>
      </c>
      <c r="D3165">
        <v>1</v>
      </c>
      <c r="E3165" t="s">
        <v>34</v>
      </c>
      <c r="F3165" t="s">
        <v>35</v>
      </c>
      <c r="G3165" t="str">
        <f>"2024-11-12 02:34:07.149"</f>
        <v>2024-11-12 02:34:07.149</v>
      </c>
      <c r="H3165" t="s">
        <v>21</v>
      </c>
      <c r="I3165">
        <v>1.85</v>
      </c>
      <c r="J3165" t="s">
        <v>27</v>
      </c>
    </row>
    <row r="3166" spans="1:10" x14ac:dyDescent="0.25">
      <c r="A3166" s="1">
        <v>348</v>
      </c>
      <c r="B3166" t="s">
        <v>40</v>
      </c>
      <c r="C3166">
        <v>237</v>
      </c>
      <c r="D3166">
        <v>4</v>
      </c>
      <c r="E3166" t="s">
        <v>80</v>
      </c>
      <c r="F3166" t="s">
        <v>81</v>
      </c>
      <c r="G3166" t="str">
        <f>"2024-11-10 23:51:13.606"</f>
        <v>2024-11-10 23:51:13.606</v>
      </c>
      <c r="H3166" t="s">
        <v>49</v>
      </c>
    </row>
    <row r="3167" spans="1:10" x14ac:dyDescent="0.25">
      <c r="A3167" s="1">
        <v>349</v>
      </c>
      <c r="B3167" t="s">
        <v>26</v>
      </c>
      <c r="C3167">
        <v>237</v>
      </c>
      <c r="D3167">
        <v>4</v>
      </c>
      <c r="E3167" t="s">
        <v>80</v>
      </c>
      <c r="F3167" t="s">
        <v>81</v>
      </c>
      <c r="G3167" t="str">
        <f>"2024-11-10 23:51:08.556"</f>
        <v>2024-11-10 23:51:08.556</v>
      </c>
      <c r="H3167" t="s">
        <v>49</v>
      </c>
      <c r="I3167">
        <v>14.53</v>
      </c>
      <c r="J3167" t="s">
        <v>37</v>
      </c>
    </row>
    <row r="3168" spans="1:10" x14ac:dyDescent="0.25">
      <c r="A3168" s="1">
        <v>351</v>
      </c>
      <c r="B3168" t="s">
        <v>19</v>
      </c>
      <c r="C3168">
        <v>700</v>
      </c>
      <c r="D3168">
        <v>0</v>
      </c>
      <c r="E3168" t="s">
        <v>20</v>
      </c>
      <c r="F3168" t="s">
        <v>20</v>
      </c>
      <c r="G3168" t="str">
        <f>"2024-11-10 15:01:31.961"</f>
        <v>2024-11-10 15:01:31.961</v>
      </c>
      <c r="H3168" t="s">
        <v>21</v>
      </c>
      <c r="I3168">
        <v>0</v>
      </c>
      <c r="J3168" t="s">
        <v>33</v>
      </c>
    </row>
    <row r="3169" spans="1:10" x14ac:dyDescent="0.25">
      <c r="A3169" s="1">
        <v>352</v>
      </c>
      <c r="B3169" t="s">
        <v>40</v>
      </c>
      <c r="C3169">
        <v>237</v>
      </c>
      <c r="D3169">
        <v>4</v>
      </c>
      <c r="E3169" t="s">
        <v>80</v>
      </c>
      <c r="F3169" t="s">
        <v>81</v>
      </c>
      <c r="G3169" t="str">
        <f>"2024-11-08 10:04:16.094"</f>
        <v>2024-11-08 10:04:16.094</v>
      </c>
      <c r="H3169" t="s">
        <v>49</v>
      </c>
    </row>
    <row r="3170" spans="1:10" x14ac:dyDescent="0.25">
      <c r="A3170" s="1">
        <v>353</v>
      </c>
      <c r="B3170" t="s">
        <v>26</v>
      </c>
      <c r="C3170">
        <v>237</v>
      </c>
      <c r="D3170">
        <v>4</v>
      </c>
      <c r="E3170" t="s">
        <v>80</v>
      </c>
      <c r="F3170" t="s">
        <v>81</v>
      </c>
      <c r="G3170" t="str">
        <f>"2024-11-08 10:04:11.043"</f>
        <v>2024-11-08 10:04:11.043</v>
      </c>
      <c r="H3170" t="s">
        <v>49</v>
      </c>
      <c r="I3170">
        <v>0.12</v>
      </c>
      <c r="J3170" t="s">
        <v>37</v>
      </c>
    </row>
    <row r="3171" spans="1:10" x14ac:dyDescent="0.25">
      <c r="A3171" s="1">
        <v>354</v>
      </c>
      <c r="B3171" t="s">
        <v>22</v>
      </c>
      <c r="C3171">
        <v>635</v>
      </c>
      <c r="D3171">
        <v>1</v>
      </c>
      <c r="E3171" t="s">
        <v>34</v>
      </c>
      <c r="F3171" t="s">
        <v>35</v>
      </c>
      <c r="G3171" t="str">
        <f>"2024-11-08 08:33:36.218"</f>
        <v>2024-11-08 08:33:36.218</v>
      </c>
      <c r="H3171" t="s">
        <v>21</v>
      </c>
    </row>
    <row r="3172" spans="1:10" x14ac:dyDescent="0.25">
      <c r="A3172" s="1">
        <v>355</v>
      </c>
      <c r="B3172" t="s">
        <v>36</v>
      </c>
      <c r="C3172">
        <v>635</v>
      </c>
      <c r="D3172">
        <v>1</v>
      </c>
      <c r="E3172" t="s">
        <v>34</v>
      </c>
      <c r="F3172" t="s">
        <v>35</v>
      </c>
      <c r="G3172" t="str">
        <f>"2024-11-08 08:25:26.719"</f>
        <v>2024-11-08 08:25:26.719</v>
      </c>
      <c r="H3172" t="s">
        <v>21</v>
      </c>
      <c r="I3172">
        <v>7.1</v>
      </c>
      <c r="J3172" t="s">
        <v>37</v>
      </c>
    </row>
    <row r="3173" spans="1:10" x14ac:dyDescent="0.25">
      <c r="A3173" s="1">
        <v>356</v>
      </c>
      <c r="B3173" t="s">
        <v>22</v>
      </c>
      <c r="C3173">
        <v>635</v>
      </c>
      <c r="D3173">
        <v>1</v>
      </c>
      <c r="E3173" t="s">
        <v>34</v>
      </c>
      <c r="F3173" t="s">
        <v>35</v>
      </c>
      <c r="G3173" t="str">
        <f>"2024-11-08 04:18:58.119"</f>
        <v>2024-11-08 04:18:58.119</v>
      </c>
      <c r="H3173" t="s">
        <v>21</v>
      </c>
    </row>
    <row r="3174" spans="1:10" x14ac:dyDescent="0.25">
      <c r="A3174" s="1">
        <v>357</v>
      </c>
      <c r="B3174" t="s">
        <v>36</v>
      </c>
      <c r="C3174">
        <v>635</v>
      </c>
      <c r="D3174">
        <v>1</v>
      </c>
      <c r="E3174" t="s">
        <v>34</v>
      </c>
      <c r="F3174" t="s">
        <v>35</v>
      </c>
      <c r="G3174" t="str">
        <f>"2024-11-08 04:11:57.619"</f>
        <v>2024-11-08 04:11:57.619</v>
      </c>
      <c r="H3174" t="s">
        <v>21</v>
      </c>
      <c r="I3174">
        <v>0.41</v>
      </c>
      <c r="J3174" t="s">
        <v>27</v>
      </c>
    </row>
    <row r="3175" spans="1:10" x14ac:dyDescent="0.25">
      <c r="A3175" s="1">
        <v>358</v>
      </c>
      <c r="B3175" t="s">
        <v>19</v>
      </c>
      <c r="C3175">
        <v>706</v>
      </c>
      <c r="D3175">
        <v>2</v>
      </c>
      <c r="E3175" t="s">
        <v>29</v>
      </c>
      <c r="F3175" t="s">
        <v>30</v>
      </c>
      <c r="G3175" t="str">
        <f>"2024-11-07 03:18:25.884"</f>
        <v>2024-11-07 03:18:25.884</v>
      </c>
      <c r="H3175" t="s">
        <v>21</v>
      </c>
      <c r="I3175">
        <v>0</v>
      </c>
      <c r="J3175" t="s">
        <v>31</v>
      </c>
    </row>
    <row r="3176" spans="1:10" x14ac:dyDescent="0.25">
      <c r="A3176" s="1">
        <v>359</v>
      </c>
      <c r="B3176" t="s">
        <v>19</v>
      </c>
      <c r="C3176">
        <v>700</v>
      </c>
      <c r="D3176">
        <v>0</v>
      </c>
      <c r="E3176" t="s">
        <v>20</v>
      </c>
      <c r="F3176" t="s">
        <v>20</v>
      </c>
      <c r="G3176" t="str">
        <f>"2024-11-07 03:07:08.814"</f>
        <v>2024-11-07 03:07:08.814</v>
      </c>
      <c r="H3176" t="s">
        <v>21</v>
      </c>
      <c r="I3176">
        <v>0</v>
      </c>
      <c r="J3176" t="s">
        <v>33</v>
      </c>
    </row>
    <row r="3177" spans="1:10" x14ac:dyDescent="0.25">
      <c r="A3177" s="1">
        <v>360</v>
      </c>
      <c r="B3177" t="s">
        <v>22</v>
      </c>
      <c r="C3177">
        <v>14</v>
      </c>
      <c r="D3177">
        <v>10</v>
      </c>
      <c r="E3177" t="s">
        <v>85</v>
      </c>
      <c r="F3177" t="s">
        <v>87</v>
      </c>
      <c r="G3177" t="str">
        <f>"2024-11-07 02:12:32.668"</f>
        <v>2024-11-07 02:12:32.668</v>
      </c>
      <c r="H3177" t="s">
        <v>25</v>
      </c>
    </row>
    <row r="3178" spans="1:10" s="3" customFormat="1" x14ac:dyDescent="0.25">
      <c r="A3178" s="2">
        <v>361</v>
      </c>
      <c r="B3178" s="3" t="s">
        <v>22</v>
      </c>
      <c r="C3178" s="3">
        <v>647</v>
      </c>
      <c r="D3178" s="3">
        <v>1</v>
      </c>
      <c r="E3178" s="3" t="s">
        <v>54</v>
      </c>
      <c r="F3178" s="3" t="s">
        <v>55</v>
      </c>
      <c r="G3178" s="3" t="str">
        <f>"2024-11-07 02:12:26.969"</f>
        <v>2024-11-07 02:12:26.969</v>
      </c>
      <c r="H3178" s="3" t="s">
        <v>21</v>
      </c>
    </row>
    <row r="3179" spans="1:10" x14ac:dyDescent="0.25">
      <c r="A3179" s="1">
        <v>362</v>
      </c>
      <c r="B3179" t="s">
        <v>56</v>
      </c>
      <c r="C3179">
        <v>23</v>
      </c>
      <c r="D3179">
        <v>1</v>
      </c>
      <c r="E3179" t="s">
        <v>88</v>
      </c>
      <c r="F3179" t="s">
        <v>89</v>
      </c>
      <c r="G3179" t="str">
        <f>"2024-11-07 02:12:25.016"</f>
        <v>2024-11-07 02:12:25.016</v>
      </c>
      <c r="H3179" t="s">
        <v>46</v>
      </c>
    </row>
    <row r="3180" spans="1:10" s="3" customFormat="1" x14ac:dyDescent="0.25">
      <c r="A3180" s="2">
        <v>363</v>
      </c>
      <c r="B3180" s="3" t="s">
        <v>36</v>
      </c>
      <c r="C3180" s="3">
        <v>647</v>
      </c>
      <c r="D3180" s="3">
        <v>1</v>
      </c>
      <c r="E3180" s="3" t="s">
        <v>54</v>
      </c>
      <c r="F3180" s="3" t="s">
        <v>55</v>
      </c>
      <c r="G3180" s="3" t="str">
        <f>"2024-11-07 02:12:20.769"</f>
        <v>2024-11-07 02:12:20.769</v>
      </c>
      <c r="H3180" s="3" t="s">
        <v>21</v>
      </c>
      <c r="I3180" s="3">
        <v>23.67</v>
      </c>
      <c r="J3180" s="3" t="s">
        <v>28</v>
      </c>
    </row>
    <row r="3181" spans="1:10" x14ac:dyDescent="0.25">
      <c r="A3181" s="1">
        <v>364</v>
      </c>
      <c r="B3181" t="s">
        <v>40</v>
      </c>
      <c r="C3181">
        <v>205</v>
      </c>
      <c r="D3181">
        <v>3</v>
      </c>
      <c r="E3181" t="s">
        <v>90</v>
      </c>
      <c r="F3181" t="s">
        <v>91</v>
      </c>
      <c r="G3181" t="str">
        <f>"2024-11-07 02:12:16.327"</f>
        <v>2024-11-07 02:12:16.327</v>
      </c>
      <c r="H3181" t="s">
        <v>49</v>
      </c>
    </row>
    <row r="3182" spans="1:10" x14ac:dyDescent="0.25">
      <c r="A3182" s="1">
        <v>365</v>
      </c>
      <c r="B3182" t="s">
        <v>40</v>
      </c>
      <c r="C3182">
        <v>105</v>
      </c>
      <c r="D3182">
        <v>3</v>
      </c>
      <c r="E3182" t="s">
        <v>92</v>
      </c>
      <c r="F3182" t="s">
        <v>91</v>
      </c>
      <c r="G3182" t="str">
        <f>"2024-11-07 02:12:16.227"</f>
        <v>2024-11-07 02:12:16.227</v>
      </c>
      <c r="H3182" t="s">
        <v>52</v>
      </c>
    </row>
    <row r="3183" spans="1:10" x14ac:dyDescent="0.25">
      <c r="A3183" s="1">
        <v>366</v>
      </c>
      <c r="B3183" t="s">
        <v>40</v>
      </c>
      <c r="C3183">
        <v>204</v>
      </c>
      <c r="D3183">
        <v>8</v>
      </c>
      <c r="E3183" t="s">
        <v>93</v>
      </c>
      <c r="F3183" t="s">
        <v>94</v>
      </c>
      <c r="G3183" t="str">
        <f>"2024-11-07 02:12:16.049"</f>
        <v>2024-11-07 02:12:16.049</v>
      </c>
      <c r="H3183" t="s">
        <v>49</v>
      </c>
    </row>
    <row r="3184" spans="1:10" x14ac:dyDescent="0.25">
      <c r="A3184" s="1">
        <v>367</v>
      </c>
      <c r="B3184" t="s">
        <v>40</v>
      </c>
      <c r="C3184">
        <v>204</v>
      </c>
      <c r="D3184">
        <v>6</v>
      </c>
      <c r="E3184" t="s">
        <v>93</v>
      </c>
      <c r="F3184" t="s">
        <v>95</v>
      </c>
      <c r="G3184" t="str">
        <f>"2024-11-07 02:12:16.043"</f>
        <v>2024-11-07 02:12:16.043</v>
      </c>
      <c r="H3184" t="s">
        <v>49</v>
      </c>
    </row>
    <row r="3185" spans="1:10" x14ac:dyDescent="0.25">
      <c r="A3185" s="1">
        <v>368</v>
      </c>
      <c r="B3185" t="s">
        <v>40</v>
      </c>
      <c r="C3185">
        <v>204</v>
      </c>
      <c r="D3185">
        <v>5</v>
      </c>
      <c r="E3185" t="s">
        <v>93</v>
      </c>
      <c r="F3185" t="s">
        <v>96</v>
      </c>
      <c r="G3185" t="str">
        <f>"2024-11-07 02:12:16.041"</f>
        <v>2024-11-07 02:12:16.041</v>
      </c>
      <c r="H3185" t="s">
        <v>49</v>
      </c>
    </row>
    <row r="3186" spans="1:10" x14ac:dyDescent="0.25">
      <c r="A3186" s="1">
        <v>369</v>
      </c>
      <c r="B3186" t="s">
        <v>40</v>
      </c>
      <c r="C3186">
        <v>204</v>
      </c>
      <c r="D3186">
        <v>1</v>
      </c>
      <c r="E3186" t="s">
        <v>93</v>
      </c>
      <c r="F3186" t="s">
        <v>97</v>
      </c>
      <c r="G3186" t="str">
        <f>"2024-11-07 02:12:16.039"</f>
        <v>2024-11-07 02:12:16.039</v>
      </c>
      <c r="H3186" t="s">
        <v>49</v>
      </c>
    </row>
    <row r="3187" spans="1:10" x14ac:dyDescent="0.25">
      <c r="A3187" s="1">
        <v>370</v>
      </c>
      <c r="B3187" t="s">
        <v>40</v>
      </c>
      <c r="C3187">
        <v>104</v>
      </c>
      <c r="D3187">
        <v>8</v>
      </c>
      <c r="E3187" t="s">
        <v>98</v>
      </c>
      <c r="F3187" t="s">
        <v>94</v>
      </c>
      <c r="G3187" t="str">
        <f>"2024-11-07 02:12:16.036"</f>
        <v>2024-11-07 02:12:16.036</v>
      </c>
      <c r="H3187" t="s">
        <v>52</v>
      </c>
    </row>
    <row r="3188" spans="1:10" x14ac:dyDescent="0.25">
      <c r="A3188" s="1">
        <v>371</v>
      </c>
      <c r="B3188" t="s">
        <v>40</v>
      </c>
      <c r="C3188">
        <v>104</v>
      </c>
      <c r="D3188">
        <v>6</v>
      </c>
      <c r="E3188" t="s">
        <v>98</v>
      </c>
      <c r="F3188" t="s">
        <v>95</v>
      </c>
      <c r="G3188" t="str">
        <f>"2024-11-07 02:12:16.033"</f>
        <v>2024-11-07 02:12:16.033</v>
      </c>
      <c r="H3188" t="s">
        <v>52</v>
      </c>
    </row>
    <row r="3189" spans="1:10" x14ac:dyDescent="0.25">
      <c r="A3189" s="1">
        <v>372</v>
      </c>
      <c r="B3189" t="s">
        <v>40</v>
      </c>
      <c r="C3189">
        <v>104</v>
      </c>
      <c r="D3189">
        <v>5</v>
      </c>
      <c r="E3189" t="s">
        <v>98</v>
      </c>
      <c r="F3189" t="s">
        <v>96</v>
      </c>
      <c r="G3189" t="str">
        <f>"2024-11-07 02:12:16.030"</f>
        <v>2024-11-07 02:12:16.030</v>
      </c>
      <c r="H3189" t="s">
        <v>52</v>
      </c>
    </row>
    <row r="3190" spans="1:10" x14ac:dyDescent="0.25">
      <c r="A3190" s="1">
        <v>373</v>
      </c>
      <c r="B3190" t="s">
        <v>40</v>
      </c>
      <c r="C3190">
        <v>104</v>
      </c>
      <c r="D3190">
        <v>1</v>
      </c>
      <c r="E3190" t="s">
        <v>98</v>
      </c>
      <c r="F3190" t="s">
        <v>97</v>
      </c>
      <c r="G3190" t="str">
        <f>"2024-11-07 02:12:16.028"</f>
        <v>2024-11-07 02:12:16.028</v>
      </c>
      <c r="H3190" t="s">
        <v>52</v>
      </c>
    </row>
    <row r="3191" spans="1:10" x14ac:dyDescent="0.25">
      <c r="A3191" s="1">
        <v>374</v>
      </c>
      <c r="B3191" t="s">
        <v>36</v>
      </c>
      <c r="C3191">
        <v>14</v>
      </c>
      <c r="D3191">
        <v>10</v>
      </c>
      <c r="E3191" t="s">
        <v>85</v>
      </c>
      <c r="F3191" t="s">
        <v>87</v>
      </c>
      <c r="G3191" t="str">
        <f>"2024-11-07 02:12:11.515"</f>
        <v>2024-11-07 02:12:11.515</v>
      </c>
      <c r="H3191" t="s">
        <v>25</v>
      </c>
      <c r="I3191">
        <v>24.59</v>
      </c>
      <c r="J3191" t="s">
        <v>27</v>
      </c>
    </row>
    <row r="3192" spans="1:10" x14ac:dyDescent="0.25">
      <c r="A3192" s="1">
        <v>375</v>
      </c>
      <c r="B3192" t="s">
        <v>26</v>
      </c>
      <c r="C3192">
        <v>105</v>
      </c>
      <c r="D3192">
        <v>3</v>
      </c>
      <c r="E3192" t="s">
        <v>92</v>
      </c>
      <c r="F3192" t="s">
        <v>91</v>
      </c>
      <c r="G3192" t="str">
        <f>"2024-11-07 02:12:11.211"</f>
        <v>2024-11-07 02:12:11.211</v>
      </c>
      <c r="H3192" t="s">
        <v>52</v>
      </c>
      <c r="I3192">
        <v>24.59</v>
      </c>
      <c r="J3192" t="s">
        <v>27</v>
      </c>
    </row>
    <row r="3193" spans="1:10" x14ac:dyDescent="0.25">
      <c r="A3193" s="1">
        <v>376</v>
      </c>
      <c r="B3193" t="s">
        <v>26</v>
      </c>
      <c r="C3193">
        <v>205</v>
      </c>
      <c r="D3193">
        <v>3</v>
      </c>
      <c r="E3193" t="s">
        <v>90</v>
      </c>
      <c r="F3193" t="s">
        <v>91</v>
      </c>
      <c r="G3193" t="str">
        <f>"2024-11-07 02:12:11.171"</f>
        <v>2024-11-07 02:12:11.171</v>
      </c>
      <c r="H3193" t="s">
        <v>49</v>
      </c>
      <c r="I3193">
        <v>24.59</v>
      </c>
      <c r="J3193" t="s">
        <v>27</v>
      </c>
    </row>
    <row r="3194" spans="1:10" x14ac:dyDescent="0.25">
      <c r="A3194" s="1">
        <v>377</v>
      </c>
      <c r="B3194" t="s">
        <v>26</v>
      </c>
      <c r="C3194">
        <v>104</v>
      </c>
      <c r="D3194">
        <v>8</v>
      </c>
      <c r="E3194" t="s">
        <v>98</v>
      </c>
      <c r="F3194" t="s">
        <v>94</v>
      </c>
      <c r="G3194" t="str">
        <f>"2024-11-07 02:12:11.000"</f>
        <v>2024-11-07 02:12:11.000</v>
      </c>
      <c r="H3194" t="s">
        <v>52</v>
      </c>
      <c r="I3194">
        <v>24.59</v>
      </c>
      <c r="J3194" t="s">
        <v>27</v>
      </c>
    </row>
    <row r="3195" spans="1:10" x14ac:dyDescent="0.25">
      <c r="A3195" s="1">
        <v>378</v>
      </c>
      <c r="B3195" t="s">
        <v>26</v>
      </c>
      <c r="C3195">
        <v>104</v>
      </c>
      <c r="D3195">
        <v>6</v>
      </c>
      <c r="E3195" t="s">
        <v>98</v>
      </c>
      <c r="F3195" t="s">
        <v>95</v>
      </c>
      <c r="G3195" t="str">
        <f>"2024-11-07 02:12:10.996"</f>
        <v>2024-11-07 02:12:10.996</v>
      </c>
      <c r="H3195" t="s">
        <v>52</v>
      </c>
      <c r="I3195">
        <v>24.59</v>
      </c>
      <c r="J3195" t="s">
        <v>27</v>
      </c>
    </row>
    <row r="3196" spans="1:10" x14ac:dyDescent="0.25">
      <c r="A3196" s="1">
        <v>379</v>
      </c>
      <c r="B3196" t="s">
        <v>26</v>
      </c>
      <c r="C3196">
        <v>104</v>
      </c>
      <c r="D3196">
        <v>5</v>
      </c>
      <c r="E3196" t="s">
        <v>98</v>
      </c>
      <c r="F3196" t="s">
        <v>96</v>
      </c>
      <c r="G3196" t="str">
        <f>"2024-11-07 02:12:10.991"</f>
        <v>2024-11-07 02:12:10.991</v>
      </c>
      <c r="H3196" t="s">
        <v>52</v>
      </c>
      <c r="I3196">
        <v>24.59</v>
      </c>
      <c r="J3196" t="s">
        <v>27</v>
      </c>
    </row>
    <row r="3197" spans="1:10" x14ac:dyDescent="0.25">
      <c r="A3197" s="1">
        <v>380</v>
      </c>
      <c r="B3197" t="s">
        <v>26</v>
      </c>
      <c r="C3197">
        <v>204</v>
      </c>
      <c r="D3197">
        <v>8</v>
      </c>
      <c r="E3197" t="s">
        <v>93</v>
      </c>
      <c r="F3197" t="s">
        <v>94</v>
      </c>
      <c r="G3197" t="str">
        <f>"2024-11-07 02:12:10.960"</f>
        <v>2024-11-07 02:12:10.960</v>
      </c>
      <c r="H3197" t="s">
        <v>49</v>
      </c>
      <c r="I3197">
        <v>24.59</v>
      </c>
      <c r="J3197" t="s">
        <v>27</v>
      </c>
    </row>
    <row r="3198" spans="1:10" x14ac:dyDescent="0.25">
      <c r="A3198" s="1">
        <v>381</v>
      </c>
      <c r="B3198" t="s">
        <v>26</v>
      </c>
      <c r="C3198">
        <v>204</v>
      </c>
      <c r="D3198">
        <v>6</v>
      </c>
      <c r="E3198" t="s">
        <v>93</v>
      </c>
      <c r="F3198" t="s">
        <v>95</v>
      </c>
      <c r="G3198" t="str">
        <f>"2024-11-07 02:12:10.956"</f>
        <v>2024-11-07 02:12:10.956</v>
      </c>
      <c r="H3198" t="s">
        <v>49</v>
      </c>
      <c r="I3198">
        <v>24.59</v>
      </c>
      <c r="J3198" t="s">
        <v>27</v>
      </c>
    </row>
    <row r="3199" spans="1:10" x14ac:dyDescent="0.25">
      <c r="A3199" s="1">
        <v>382</v>
      </c>
      <c r="B3199" t="s">
        <v>26</v>
      </c>
      <c r="C3199">
        <v>204</v>
      </c>
      <c r="D3199">
        <v>5</v>
      </c>
      <c r="E3199" t="s">
        <v>93</v>
      </c>
      <c r="F3199" t="s">
        <v>96</v>
      </c>
      <c r="G3199" t="str">
        <f>"2024-11-07 02:12:10.951"</f>
        <v>2024-11-07 02:12:10.951</v>
      </c>
      <c r="H3199" t="s">
        <v>49</v>
      </c>
      <c r="I3199">
        <v>24.59</v>
      </c>
      <c r="J3199" t="s">
        <v>27</v>
      </c>
    </row>
    <row r="3200" spans="1:10" x14ac:dyDescent="0.25">
      <c r="A3200" s="1">
        <v>383</v>
      </c>
      <c r="B3200" t="s">
        <v>26</v>
      </c>
      <c r="C3200">
        <v>23</v>
      </c>
      <c r="D3200">
        <v>1</v>
      </c>
      <c r="E3200" t="s">
        <v>88</v>
      </c>
      <c r="F3200" t="s">
        <v>89</v>
      </c>
      <c r="G3200" t="str">
        <f>"2024-11-07 02:12:10.748"</f>
        <v>2024-11-07 02:12:10.748</v>
      </c>
      <c r="H3200" t="s">
        <v>46</v>
      </c>
      <c r="I3200">
        <v>24.6</v>
      </c>
      <c r="J3200" t="s">
        <v>27</v>
      </c>
    </row>
    <row r="3201" spans="1:10" x14ac:dyDescent="0.25">
      <c r="A3201" s="1">
        <v>384</v>
      </c>
      <c r="B3201" t="s">
        <v>26</v>
      </c>
      <c r="C3201">
        <v>104</v>
      </c>
      <c r="D3201">
        <v>1</v>
      </c>
      <c r="E3201" t="s">
        <v>98</v>
      </c>
      <c r="F3201" t="s">
        <v>97</v>
      </c>
      <c r="G3201" t="str">
        <f>"2024-11-07 02:12:10.671"</f>
        <v>2024-11-07 02:12:10.671</v>
      </c>
      <c r="H3201" t="s">
        <v>52</v>
      </c>
      <c r="I3201">
        <v>24.6</v>
      </c>
      <c r="J3201" t="s">
        <v>27</v>
      </c>
    </row>
    <row r="3202" spans="1:10" x14ac:dyDescent="0.25">
      <c r="A3202" s="1">
        <v>385</v>
      </c>
      <c r="B3202" t="s">
        <v>26</v>
      </c>
      <c r="C3202">
        <v>204</v>
      </c>
      <c r="D3202">
        <v>1</v>
      </c>
      <c r="E3202" t="s">
        <v>93</v>
      </c>
      <c r="F3202" t="s">
        <v>97</v>
      </c>
      <c r="G3202" t="str">
        <f>"2024-11-07 02:12:10.651"</f>
        <v>2024-11-07 02:12:10.651</v>
      </c>
      <c r="H3202" t="s">
        <v>49</v>
      </c>
      <c r="I3202">
        <v>24.6</v>
      </c>
      <c r="J3202" t="s">
        <v>27</v>
      </c>
    </row>
    <row r="3203" spans="1:10" x14ac:dyDescent="0.25">
      <c r="A3203" s="1">
        <v>386</v>
      </c>
      <c r="B3203" t="s">
        <v>19</v>
      </c>
      <c r="C3203">
        <v>706</v>
      </c>
      <c r="D3203">
        <v>4</v>
      </c>
      <c r="E3203" t="s">
        <v>29</v>
      </c>
      <c r="F3203" t="s">
        <v>53</v>
      </c>
      <c r="G3203" t="str">
        <f>"2024-11-07 02:12:10.564"</f>
        <v>2024-11-07 02:12:10.564</v>
      </c>
      <c r="H3203" t="s">
        <v>21</v>
      </c>
      <c r="I3203">
        <v>24.61</v>
      </c>
      <c r="J3203" t="s">
        <v>37</v>
      </c>
    </row>
    <row r="3204" spans="1:10" x14ac:dyDescent="0.25">
      <c r="A3204" s="1">
        <v>387</v>
      </c>
      <c r="B3204" t="s">
        <v>22</v>
      </c>
      <c r="C3204">
        <v>635</v>
      </c>
      <c r="D3204">
        <v>1</v>
      </c>
      <c r="E3204" t="s">
        <v>34</v>
      </c>
      <c r="F3204" t="s">
        <v>35</v>
      </c>
      <c r="G3204" t="str">
        <f>"2024-11-06 14:08:46.348"</f>
        <v>2024-11-06 14:08:46.348</v>
      </c>
      <c r="H3204" t="s">
        <v>21</v>
      </c>
    </row>
    <row r="3205" spans="1:10" x14ac:dyDescent="0.25">
      <c r="A3205" s="1">
        <v>388</v>
      </c>
      <c r="B3205" t="s">
        <v>36</v>
      </c>
      <c r="C3205">
        <v>635</v>
      </c>
      <c r="D3205">
        <v>1</v>
      </c>
      <c r="E3205" t="s">
        <v>34</v>
      </c>
      <c r="F3205" t="s">
        <v>35</v>
      </c>
      <c r="G3205" t="str">
        <f>"2024-11-06 14:05:22.848"</f>
        <v>2024-11-06 14:05:22.848</v>
      </c>
      <c r="H3205" t="s">
        <v>21</v>
      </c>
      <c r="I3205">
        <v>1.53</v>
      </c>
      <c r="J3205" t="s">
        <v>37</v>
      </c>
    </row>
    <row r="3206" spans="1:10" x14ac:dyDescent="0.25">
      <c r="A3206" s="1">
        <v>389</v>
      </c>
      <c r="B3206" t="s">
        <v>19</v>
      </c>
      <c r="C3206">
        <v>700</v>
      </c>
      <c r="D3206">
        <v>0</v>
      </c>
      <c r="E3206" t="s">
        <v>20</v>
      </c>
      <c r="F3206" t="s">
        <v>20</v>
      </c>
      <c r="G3206" t="str">
        <f>"2024-11-06 13:06:44.024"</f>
        <v>2024-11-06 13:06:44.024</v>
      </c>
      <c r="H3206" t="s">
        <v>21</v>
      </c>
    </row>
    <row r="3207" spans="1:10" x14ac:dyDescent="0.25">
      <c r="A3207" s="1">
        <v>390</v>
      </c>
      <c r="B3207" t="s">
        <v>19</v>
      </c>
      <c r="C3207">
        <v>700</v>
      </c>
      <c r="D3207">
        <v>0</v>
      </c>
      <c r="E3207" t="s">
        <v>20</v>
      </c>
      <c r="F3207" t="s">
        <v>20</v>
      </c>
      <c r="G3207" t="str">
        <f>"2024-11-06 10:16:12.979"</f>
        <v>2024-11-06 10:16:12.979</v>
      </c>
      <c r="H3207" t="s">
        <v>21</v>
      </c>
    </row>
    <row r="3208" spans="1:10" x14ac:dyDescent="0.25">
      <c r="A3208" s="1">
        <v>391</v>
      </c>
      <c r="B3208" t="s">
        <v>19</v>
      </c>
      <c r="C3208">
        <v>700</v>
      </c>
      <c r="D3208">
        <v>0</v>
      </c>
      <c r="E3208" t="s">
        <v>20</v>
      </c>
      <c r="F3208" t="s">
        <v>20</v>
      </c>
      <c r="G3208" t="str">
        <f>"2024-11-06 06:10:08.798"</f>
        <v>2024-11-06 06:10:08.798</v>
      </c>
      <c r="H3208" t="s">
        <v>21</v>
      </c>
    </row>
    <row r="3209" spans="1:10" x14ac:dyDescent="0.25">
      <c r="A3209" s="1">
        <v>392</v>
      </c>
      <c r="B3209" t="s">
        <v>19</v>
      </c>
      <c r="C3209">
        <v>700</v>
      </c>
      <c r="D3209">
        <v>0</v>
      </c>
      <c r="E3209" t="s">
        <v>20</v>
      </c>
      <c r="F3209" t="s">
        <v>20</v>
      </c>
      <c r="G3209" t="str">
        <f>"2024-11-06 05:59:35.835"</f>
        <v>2024-11-06 05:59:35.835</v>
      </c>
      <c r="H3209" t="s">
        <v>21</v>
      </c>
      <c r="I3209">
        <v>0</v>
      </c>
      <c r="J3209" t="s">
        <v>33</v>
      </c>
    </row>
    <row r="3210" spans="1:10" x14ac:dyDescent="0.25">
      <c r="A3210" s="1">
        <v>393</v>
      </c>
      <c r="B3210" t="s">
        <v>19</v>
      </c>
      <c r="C3210">
        <v>706</v>
      </c>
      <c r="D3210">
        <v>4</v>
      </c>
      <c r="E3210" t="s">
        <v>29</v>
      </c>
      <c r="F3210" t="s">
        <v>53</v>
      </c>
      <c r="G3210" t="str">
        <f>"2024-11-05 22:02:21.255"</f>
        <v>2024-11-05 22:02:21.255</v>
      </c>
      <c r="H3210" t="s">
        <v>21</v>
      </c>
      <c r="I3210">
        <v>0</v>
      </c>
      <c r="J3210" t="s">
        <v>31</v>
      </c>
    </row>
    <row r="3211" spans="1:10" x14ac:dyDescent="0.25">
      <c r="A3211" s="1">
        <v>394</v>
      </c>
      <c r="B3211" t="s">
        <v>19</v>
      </c>
      <c r="C3211">
        <v>700</v>
      </c>
      <c r="D3211">
        <v>0</v>
      </c>
      <c r="E3211" t="s">
        <v>20</v>
      </c>
      <c r="F3211" t="s">
        <v>20</v>
      </c>
      <c r="G3211" t="str">
        <f>"2024-11-05 22:01:20.795"</f>
        <v>2024-11-05 22:01:20.795</v>
      </c>
      <c r="H3211" t="s">
        <v>21</v>
      </c>
    </row>
    <row r="3212" spans="1:10" x14ac:dyDescent="0.25">
      <c r="A3212" s="1">
        <v>395</v>
      </c>
      <c r="B3212" t="s">
        <v>19</v>
      </c>
      <c r="C3212">
        <v>700</v>
      </c>
      <c r="D3212">
        <v>0</v>
      </c>
      <c r="E3212" t="s">
        <v>20</v>
      </c>
      <c r="F3212" t="s">
        <v>20</v>
      </c>
      <c r="G3212" t="str">
        <f>"2024-11-05 22:00:04.800"</f>
        <v>2024-11-05 22:00:04.800</v>
      </c>
      <c r="H3212" t="s">
        <v>21</v>
      </c>
    </row>
    <row r="3213" spans="1:10" x14ac:dyDescent="0.25">
      <c r="A3213" s="1">
        <v>396</v>
      </c>
      <c r="B3213" t="s">
        <v>19</v>
      </c>
      <c r="C3213">
        <v>700</v>
      </c>
      <c r="D3213">
        <v>0</v>
      </c>
      <c r="E3213" t="s">
        <v>20</v>
      </c>
      <c r="F3213" t="s">
        <v>20</v>
      </c>
      <c r="G3213" t="str">
        <f>"2024-11-05 13:09:51.802"</f>
        <v>2024-11-05 13:09:51.802</v>
      </c>
      <c r="H3213" t="s">
        <v>21</v>
      </c>
      <c r="I3213">
        <v>0</v>
      </c>
      <c r="J3213" t="s">
        <v>33</v>
      </c>
    </row>
    <row r="3214" spans="1:10" x14ac:dyDescent="0.25">
      <c r="A3214" s="1">
        <v>397</v>
      </c>
      <c r="B3214" t="s">
        <v>22</v>
      </c>
      <c r="C3214">
        <v>635</v>
      </c>
      <c r="D3214">
        <v>1</v>
      </c>
      <c r="E3214" t="s">
        <v>34</v>
      </c>
      <c r="F3214" t="s">
        <v>35</v>
      </c>
      <c r="G3214" t="str">
        <f>"2024-11-03 03:58:38.434"</f>
        <v>2024-11-03 03:58:38.434</v>
      </c>
      <c r="H3214" t="s">
        <v>21</v>
      </c>
    </row>
    <row r="3215" spans="1:10" x14ac:dyDescent="0.25">
      <c r="A3215" s="1">
        <v>398</v>
      </c>
      <c r="B3215" t="s">
        <v>36</v>
      </c>
      <c r="C3215">
        <v>635</v>
      </c>
      <c r="D3215">
        <v>1</v>
      </c>
      <c r="E3215" t="s">
        <v>34</v>
      </c>
      <c r="F3215" t="s">
        <v>35</v>
      </c>
      <c r="G3215" t="str">
        <f>"2024-11-03 03:52:27.935"</f>
        <v>2024-11-03 03:52:27.935</v>
      </c>
      <c r="H3215" t="s">
        <v>21</v>
      </c>
      <c r="I3215">
        <v>-0.47</v>
      </c>
      <c r="J3215" t="s">
        <v>28</v>
      </c>
    </row>
    <row r="3216" spans="1:10" x14ac:dyDescent="0.25">
      <c r="A3216" s="1">
        <v>399</v>
      </c>
      <c r="B3216" t="s">
        <v>19</v>
      </c>
      <c r="C3216">
        <v>700</v>
      </c>
      <c r="D3216">
        <v>0</v>
      </c>
      <c r="E3216" t="s">
        <v>20</v>
      </c>
      <c r="F3216" t="s">
        <v>20</v>
      </c>
      <c r="G3216" t="str">
        <f>"2024-11-02 22:31:11.802"</f>
        <v>2024-11-02 22:31:11.802</v>
      </c>
      <c r="H3216" t="s">
        <v>21</v>
      </c>
    </row>
    <row r="3217" spans="1:10" x14ac:dyDescent="0.25">
      <c r="A3217" s="1">
        <v>400</v>
      </c>
      <c r="B3217" t="s">
        <v>19</v>
      </c>
      <c r="C3217">
        <v>700</v>
      </c>
      <c r="D3217">
        <v>0</v>
      </c>
      <c r="E3217" t="s">
        <v>20</v>
      </c>
      <c r="F3217" t="s">
        <v>20</v>
      </c>
      <c r="G3217" t="str">
        <f>"2024-11-02 22:21:14.812"</f>
        <v>2024-11-02 22:21:14.812</v>
      </c>
      <c r="H3217" t="s">
        <v>21</v>
      </c>
    </row>
    <row r="3218" spans="1:10" x14ac:dyDescent="0.25">
      <c r="A3218" s="1">
        <v>401</v>
      </c>
      <c r="B3218" t="s">
        <v>19</v>
      </c>
      <c r="C3218">
        <v>700</v>
      </c>
      <c r="D3218">
        <v>0</v>
      </c>
      <c r="E3218" t="s">
        <v>20</v>
      </c>
      <c r="F3218" t="s">
        <v>20</v>
      </c>
      <c r="G3218" t="str">
        <f>"2024-11-02 20:06:39.829"</f>
        <v>2024-11-02 20:06:39.829</v>
      </c>
      <c r="H3218" t="s">
        <v>21</v>
      </c>
      <c r="I3218">
        <v>0</v>
      </c>
      <c r="J3218" t="s">
        <v>33</v>
      </c>
    </row>
    <row r="3219" spans="1:10" x14ac:dyDescent="0.25">
      <c r="A3219" s="1">
        <v>402</v>
      </c>
      <c r="B3219" t="s">
        <v>22</v>
      </c>
      <c r="C3219">
        <v>635</v>
      </c>
      <c r="D3219">
        <v>1</v>
      </c>
      <c r="E3219" t="s">
        <v>34</v>
      </c>
      <c r="F3219" t="s">
        <v>35</v>
      </c>
      <c r="G3219" t="str">
        <f>"2024-11-02 07:11:27.216"</f>
        <v>2024-11-02 07:11:27.216</v>
      </c>
      <c r="H3219" t="s">
        <v>21</v>
      </c>
    </row>
    <row r="3220" spans="1:10" x14ac:dyDescent="0.25">
      <c r="A3220" s="1">
        <v>403</v>
      </c>
      <c r="B3220" t="s">
        <v>36</v>
      </c>
      <c r="C3220">
        <v>635</v>
      </c>
      <c r="D3220">
        <v>1</v>
      </c>
      <c r="E3220" t="s">
        <v>34</v>
      </c>
      <c r="F3220" t="s">
        <v>35</v>
      </c>
      <c r="G3220" t="str">
        <f>"2024-11-02 07:09:26.716"</f>
        <v>2024-11-02 07:09:26.716</v>
      </c>
      <c r="H3220" t="s">
        <v>21</v>
      </c>
      <c r="I3220">
        <v>0.01</v>
      </c>
      <c r="J3220" t="s">
        <v>28</v>
      </c>
    </row>
    <row r="3221" spans="1:10" x14ac:dyDescent="0.25">
      <c r="A3221" s="1">
        <v>404</v>
      </c>
      <c r="B3221" t="s">
        <v>22</v>
      </c>
      <c r="C3221">
        <v>635</v>
      </c>
      <c r="D3221">
        <v>1</v>
      </c>
      <c r="E3221" t="s">
        <v>34</v>
      </c>
      <c r="F3221" t="s">
        <v>35</v>
      </c>
      <c r="G3221" t="str">
        <f>"2024-11-02 05:50:32.816"</f>
        <v>2024-11-02 05:50:32.816</v>
      </c>
      <c r="H3221" t="s">
        <v>21</v>
      </c>
    </row>
    <row r="3222" spans="1:10" x14ac:dyDescent="0.25">
      <c r="A3222" s="1">
        <v>405</v>
      </c>
      <c r="B3222" t="s">
        <v>36</v>
      </c>
      <c r="C3222">
        <v>635</v>
      </c>
      <c r="D3222">
        <v>1</v>
      </c>
      <c r="E3222" t="s">
        <v>34</v>
      </c>
      <c r="F3222" t="s">
        <v>35</v>
      </c>
      <c r="G3222" t="str">
        <f>"2024-11-02 05:37:51.816"</f>
        <v>2024-11-02 05:37:51.816</v>
      </c>
      <c r="H3222" t="s">
        <v>21</v>
      </c>
      <c r="I3222">
        <v>4.97</v>
      </c>
      <c r="J3222" t="s">
        <v>37</v>
      </c>
    </row>
    <row r="3223" spans="1:10" x14ac:dyDescent="0.25">
      <c r="A3223" s="1">
        <v>406</v>
      </c>
      <c r="B3223" t="s">
        <v>22</v>
      </c>
      <c r="C3223">
        <v>635</v>
      </c>
      <c r="D3223">
        <v>1</v>
      </c>
      <c r="E3223" t="s">
        <v>34</v>
      </c>
      <c r="F3223" t="s">
        <v>35</v>
      </c>
      <c r="G3223" t="str">
        <f>"2024-11-01 22:08:38.516"</f>
        <v>2024-11-01 22:08:38.516</v>
      </c>
      <c r="H3223" t="s">
        <v>21</v>
      </c>
    </row>
    <row r="3224" spans="1:10" x14ac:dyDescent="0.25">
      <c r="A3224" s="1">
        <v>407</v>
      </c>
      <c r="B3224" t="s">
        <v>36</v>
      </c>
      <c r="C3224">
        <v>635</v>
      </c>
      <c r="D3224">
        <v>1</v>
      </c>
      <c r="E3224" t="s">
        <v>34</v>
      </c>
      <c r="F3224" t="s">
        <v>35</v>
      </c>
      <c r="G3224" t="str">
        <f>"2024-11-01 22:03:43.016"</f>
        <v>2024-11-01 22:03:43.016</v>
      </c>
      <c r="H3224" t="s">
        <v>21</v>
      </c>
      <c r="I3224">
        <v>0.23</v>
      </c>
      <c r="J3224" t="s">
        <v>37</v>
      </c>
    </row>
    <row r="3225" spans="1:10" x14ac:dyDescent="0.25">
      <c r="A3225" s="1">
        <v>408</v>
      </c>
      <c r="B3225" t="s">
        <v>22</v>
      </c>
      <c r="C3225">
        <v>635</v>
      </c>
      <c r="D3225">
        <v>1</v>
      </c>
      <c r="E3225" t="s">
        <v>34</v>
      </c>
      <c r="F3225" t="s">
        <v>35</v>
      </c>
      <c r="G3225" t="str">
        <f>"2024-11-01 06:42:20.016"</f>
        <v>2024-11-01 06:42:20.016</v>
      </c>
      <c r="H3225" t="s">
        <v>21</v>
      </c>
    </row>
    <row r="3226" spans="1:10" x14ac:dyDescent="0.25">
      <c r="A3226" s="1">
        <v>409</v>
      </c>
      <c r="B3226" t="s">
        <v>36</v>
      </c>
      <c r="C3226">
        <v>635</v>
      </c>
      <c r="D3226">
        <v>1</v>
      </c>
      <c r="E3226" t="s">
        <v>34</v>
      </c>
      <c r="F3226" t="s">
        <v>35</v>
      </c>
      <c r="G3226" t="str">
        <f>"2024-11-01 06:40:09.516"</f>
        <v>2024-11-01 06:40:09.516</v>
      </c>
      <c r="H3226" t="s">
        <v>21</v>
      </c>
      <c r="I3226">
        <v>-0.27</v>
      </c>
      <c r="J3226" t="s">
        <v>37</v>
      </c>
    </row>
    <row r="3227" spans="1:10" x14ac:dyDescent="0.25">
      <c r="A3227" s="1">
        <v>410</v>
      </c>
      <c r="B3227" t="s">
        <v>19</v>
      </c>
      <c r="C3227">
        <v>700</v>
      </c>
      <c r="D3227">
        <v>0</v>
      </c>
      <c r="E3227" t="s">
        <v>20</v>
      </c>
      <c r="F3227" t="s">
        <v>20</v>
      </c>
      <c r="G3227" t="str">
        <f>"2024-10-31 14:42:32.801"</f>
        <v>2024-10-31 14:42:32.801</v>
      </c>
      <c r="H3227" t="s">
        <v>21</v>
      </c>
      <c r="I3227">
        <v>0</v>
      </c>
      <c r="J3227" t="s">
        <v>33</v>
      </c>
    </row>
    <row r="3228" spans="1:10" x14ac:dyDescent="0.25">
      <c r="A3228" s="1">
        <v>411</v>
      </c>
      <c r="B3228" t="s">
        <v>19</v>
      </c>
      <c r="C3228">
        <v>700</v>
      </c>
      <c r="D3228">
        <v>0</v>
      </c>
      <c r="E3228" t="s">
        <v>20</v>
      </c>
      <c r="F3228" t="s">
        <v>20</v>
      </c>
      <c r="G3228" t="str">
        <f>"2024-10-31 13:46:16.798"</f>
        <v>2024-10-31 13:46:16.798</v>
      </c>
      <c r="H3228" t="s">
        <v>21</v>
      </c>
    </row>
    <row r="3229" spans="1:10" x14ac:dyDescent="0.25">
      <c r="A3229" s="1">
        <v>412</v>
      </c>
      <c r="B3229" t="s">
        <v>19</v>
      </c>
      <c r="C3229">
        <v>700</v>
      </c>
      <c r="D3229">
        <v>0</v>
      </c>
      <c r="E3229" t="s">
        <v>20</v>
      </c>
      <c r="F3229" t="s">
        <v>20</v>
      </c>
      <c r="G3229" t="str">
        <f>"2024-10-31 03:03:49.786"</f>
        <v>2024-10-31 03:03:49.786</v>
      </c>
      <c r="H3229" t="s">
        <v>21</v>
      </c>
      <c r="I3229">
        <v>0</v>
      </c>
      <c r="J3229" t="s">
        <v>33</v>
      </c>
    </row>
    <row r="3230" spans="1:10" x14ac:dyDescent="0.25">
      <c r="A3230" s="1">
        <v>413</v>
      </c>
      <c r="B3230" t="s">
        <v>22</v>
      </c>
      <c r="C3230">
        <v>635</v>
      </c>
      <c r="D3230">
        <v>1</v>
      </c>
      <c r="E3230" t="s">
        <v>34</v>
      </c>
      <c r="F3230" t="s">
        <v>35</v>
      </c>
      <c r="G3230" t="str">
        <f>"2024-10-29 03:03:20.814"</f>
        <v>2024-10-29 03:03:20.814</v>
      </c>
      <c r="H3230" t="s">
        <v>21</v>
      </c>
    </row>
    <row r="3231" spans="1:10" x14ac:dyDescent="0.25">
      <c r="A3231" s="1">
        <v>414</v>
      </c>
      <c r="B3231" t="s">
        <v>36</v>
      </c>
      <c r="C3231">
        <v>635</v>
      </c>
      <c r="D3231">
        <v>1</v>
      </c>
      <c r="E3231" t="s">
        <v>34</v>
      </c>
      <c r="F3231" t="s">
        <v>35</v>
      </c>
      <c r="G3231" t="str">
        <f>"2024-10-29 03:01:34.314"</f>
        <v>2024-10-29 03:01:34.314</v>
      </c>
      <c r="H3231" t="s">
        <v>21</v>
      </c>
      <c r="I3231">
        <v>0.12</v>
      </c>
      <c r="J3231" t="s">
        <v>28</v>
      </c>
    </row>
    <row r="3232" spans="1:10" x14ac:dyDescent="0.25">
      <c r="A3232" s="1">
        <v>415</v>
      </c>
      <c r="B3232" t="s">
        <v>22</v>
      </c>
      <c r="C3232">
        <v>635</v>
      </c>
      <c r="D3232">
        <v>1</v>
      </c>
      <c r="E3232" t="s">
        <v>34</v>
      </c>
      <c r="F3232" t="s">
        <v>35</v>
      </c>
      <c r="G3232" t="str">
        <f>"2024-10-28 22:30:40.214"</f>
        <v>2024-10-28 22:30:40.214</v>
      </c>
      <c r="H3232" t="s">
        <v>21</v>
      </c>
    </row>
    <row r="3233" spans="1:10" x14ac:dyDescent="0.25">
      <c r="A3233" s="1">
        <v>416</v>
      </c>
      <c r="B3233" t="s">
        <v>36</v>
      </c>
      <c r="C3233">
        <v>635</v>
      </c>
      <c r="D3233">
        <v>1</v>
      </c>
      <c r="E3233" t="s">
        <v>34</v>
      </c>
      <c r="F3233" t="s">
        <v>35</v>
      </c>
      <c r="G3233" t="str">
        <f>"2024-10-28 22:27:09.715"</f>
        <v>2024-10-28 22:27:09.715</v>
      </c>
      <c r="H3233" t="s">
        <v>21</v>
      </c>
      <c r="I3233">
        <v>5.3</v>
      </c>
      <c r="J3233" t="s">
        <v>27</v>
      </c>
    </row>
    <row r="3234" spans="1:10" x14ac:dyDescent="0.25">
      <c r="A3234" s="1">
        <v>417</v>
      </c>
      <c r="B3234" t="s">
        <v>19</v>
      </c>
      <c r="C3234">
        <v>700</v>
      </c>
      <c r="D3234">
        <v>0</v>
      </c>
      <c r="E3234" t="s">
        <v>20</v>
      </c>
      <c r="F3234" t="s">
        <v>20</v>
      </c>
      <c r="G3234" t="str">
        <f>"2024-10-28 04:15:12.803"</f>
        <v>2024-10-28 04:15:12.803</v>
      </c>
      <c r="H3234" t="s">
        <v>21</v>
      </c>
      <c r="I3234">
        <v>0</v>
      </c>
      <c r="J3234" t="s">
        <v>33</v>
      </c>
    </row>
    <row r="3235" spans="1:10" x14ac:dyDescent="0.25">
      <c r="A3235" s="1">
        <v>418</v>
      </c>
      <c r="B3235" t="s">
        <v>19</v>
      </c>
      <c r="C3235">
        <v>700</v>
      </c>
      <c r="D3235">
        <v>0</v>
      </c>
      <c r="E3235" t="s">
        <v>20</v>
      </c>
      <c r="F3235" t="s">
        <v>20</v>
      </c>
      <c r="G3235" t="str">
        <f>"2024-10-28 04:13:22.800"</f>
        <v>2024-10-28 04:13:22.800</v>
      </c>
      <c r="H3235" t="s">
        <v>21</v>
      </c>
    </row>
    <row r="3236" spans="1:10" x14ac:dyDescent="0.25">
      <c r="A3236" s="1">
        <v>419</v>
      </c>
      <c r="B3236" t="s">
        <v>19</v>
      </c>
      <c r="C3236">
        <v>706</v>
      </c>
      <c r="D3236">
        <v>3</v>
      </c>
      <c r="E3236" t="s">
        <v>29</v>
      </c>
      <c r="F3236" t="s">
        <v>32</v>
      </c>
      <c r="G3236" t="str">
        <f>"2024-10-28 04:11:44.909"</f>
        <v>2024-10-28 04:11:44.909</v>
      </c>
      <c r="H3236" t="s">
        <v>21</v>
      </c>
      <c r="I3236">
        <v>0</v>
      </c>
      <c r="J3236" t="s">
        <v>31</v>
      </c>
    </row>
    <row r="3237" spans="1:10" x14ac:dyDescent="0.25">
      <c r="A3237" s="1">
        <v>420</v>
      </c>
      <c r="B3237" t="s">
        <v>22</v>
      </c>
      <c r="C3237">
        <v>635</v>
      </c>
      <c r="D3237">
        <v>1</v>
      </c>
      <c r="E3237" t="s">
        <v>34</v>
      </c>
      <c r="F3237" t="s">
        <v>35</v>
      </c>
      <c r="G3237" t="str">
        <f>"2024-10-27 20:46:06.722"</f>
        <v>2024-10-27 20:46:06.722</v>
      </c>
      <c r="H3237" t="s">
        <v>21</v>
      </c>
    </row>
    <row r="3238" spans="1:10" x14ac:dyDescent="0.25">
      <c r="A3238" s="1">
        <v>421</v>
      </c>
      <c r="B3238" t="s">
        <v>36</v>
      </c>
      <c r="C3238">
        <v>635</v>
      </c>
      <c r="D3238">
        <v>1</v>
      </c>
      <c r="E3238" t="s">
        <v>34</v>
      </c>
      <c r="F3238" t="s">
        <v>35</v>
      </c>
      <c r="G3238" t="str">
        <f>"2024-10-27 20:40:59.722"</f>
        <v>2024-10-27 20:40:59.722</v>
      </c>
      <c r="H3238" t="s">
        <v>21</v>
      </c>
      <c r="I3238">
        <v>2.41</v>
      </c>
      <c r="J3238" t="s">
        <v>37</v>
      </c>
    </row>
    <row r="3239" spans="1:10" x14ac:dyDescent="0.25">
      <c r="A3239" s="1">
        <v>422</v>
      </c>
      <c r="B3239" t="s">
        <v>19</v>
      </c>
      <c r="C3239">
        <v>700</v>
      </c>
      <c r="D3239">
        <v>0</v>
      </c>
      <c r="E3239" t="s">
        <v>20</v>
      </c>
      <c r="F3239" t="s">
        <v>20</v>
      </c>
      <c r="G3239" t="str">
        <f>"2024-10-27 18:22:50.789"</f>
        <v>2024-10-27 18:22:50.789</v>
      </c>
      <c r="H3239" t="s">
        <v>21</v>
      </c>
    </row>
    <row r="3240" spans="1:10" x14ac:dyDescent="0.25">
      <c r="A3240" s="1">
        <v>423</v>
      </c>
      <c r="B3240" t="s">
        <v>19</v>
      </c>
      <c r="C3240">
        <v>706</v>
      </c>
      <c r="D3240">
        <v>2</v>
      </c>
      <c r="E3240" t="s">
        <v>29</v>
      </c>
      <c r="F3240" t="s">
        <v>30</v>
      </c>
      <c r="G3240" t="str">
        <f>"2024-10-27 01:18:18.876"</f>
        <v>2024-10-27 01:18:18.876</v>
      </c>
      <c r="H3240" t="s">
        <v>21</v>
      </c>
      <c r="I3240">
        <v>0</v>
      </c>
      <c r="J3240" t="s">
        <v>31</v>
      </c>
    </row>
    <row r="3241" spans="1:10" x14ac:dyDescent="0.25">
      <c r="A3241" s="1">
        <v>424</v>
      </c>
      <c r="B3241" t="s">
        <v>19</v>
      </c>
      <c r="C3241">
        <v>706</v>
      </c>
      <c r="D3241">
        <v>4</v>
      </c>
      <c r="E3241" t="s">
        <v>29</v>
      </c>
      <c r="F3241" t="s">
        <v>53</v>
      </c>
      <c r="G3241" t="str">
        <f>"2024-10-27 01:01:48.625"</f>
        <v>2024-10-27 01:01:48.625</v>
      </c>
      <c r="H3241" t="s">
        <v>21</v>
      </c>
      <c r="I3241">
        <v>0</v>
      </c>
      <c r="J3241" t="s">
        <v>31</v>
      </c>
    </row>
    <row r="3242" spans="1:10" x14ac:dyDescent="0.25">
      <c r="A3242" s="1">
        <v>425</v>
      </c>
      <c r="B3242" t="s">
        <v>19</v>
      </c>
      <c r="C3242">
        <v>706</v>
      </c>
      <c r="D3242">
        <v>4</v>
      </c>
      <c r="E3242" t="s">
        <v>29</v>
      </c>
      <c r="F3242" t="s">
        <v>53</v>
      </c>
      <c r="G3242" t="str">
        <f>"2024-10-27 00:58:17.426"</f>
        <v>2024-10-27 00:58:17.426</v>
      </c>
      <c r="H3242" t="s">
        <v>21</v>
      </c>
      <c r="I3242">
        <v>0</v>
      </c>
      <c r="J3242" t="s">
        <v>31</v>
      </c>
    </row>
    <row r="3243" spans="1:10" x14ac:dyDescent="0.25">
      <c r="A3243" s="1">
        <v>426</v>
      </c>
      <c r="B3243" t="s">
        <v>19</v>
      </c>
      <c r="C3243">
        <v>700</v>
      </c>
      <c r="D3243">
        <v>0</v>
      </c>
      <c r="E3243" t="s">
        <v>20</v>
      </c>
      <c r="F3243" t="s">
        <v>20</v>
      </c>
      <c r="G3243" t="str">
        <f>"2024-10-27 00:45:15.786"</f>
        <v>2024-10-27 00:45:15.786</v>
      </c>
      <c r="H3243" t="s">
        <v>21</v>
      </c>
      <c r="I3243">
        <v>0</v>
      </c>
      <c r="J3243" t="s">
        <v>33</v>
      </c>
    </row>
    <row r="3244" spans="1:10" x14ac:dyDescent="0.25">
      <c r="A3244" s="1">
        <v>427</v>
      </c>
      <c r="B3244" t="s">
        <v>22</v>
      </c>
      <c r="C3244">
        <v>635</v>
      </c>
      <c r="D3244">
        <v>1</v>
      </c>
      <c r="E3244" t="s">
        <v>34</v>
      </c>
      <c r="F3244" t="s">
        <v>35</v>
      </c>
      <c r="G3244" t="str">
        <f>"2024-10-26 04:41:50.534"</f>
        <v>2024-10-26 04:41:50.534</v>
      </c>
      <c r="H3244" t="s">
        <v>21</v>
      </c>
    </row>
    <row r="3245" spans="1:10" x14ac:dyDescent="0.25">
      <c r="A3245" s="1">
        <v>428</v>
      </c>
      <c r="B3245" t="s">
        <v>36</v>
      </c>
      <c r="C3245">
        <v>635</v>
      </c>
      <c r="D3245">
        <v>1</v>
      </c>
      <c r="E3245" t="s">
        <v>34</v>
      </c>
      <c r="F3245" t="s">
        <v>35</v>
      </c>
      <c r="G3245" t="str">
        <f>"2024-10-26 04:38:20.534"</f>
        <v>2024-10-26 04:38:20.534</v>
      </c>
      <c r="H3245" t="s">
        <v>21</v>
      </c>
      <c r="I3245">
        <v>6.63</v>
      </c>
      <c r="J3245" t="s">
        <v>37</v>
      </c>
    </row>
    <row r="3246" spans="1:10" x14ac:dyDescent="0.25">
      <c r="A3246" s="1">
        <v>429</v>
      </c>
      <c r="B3246" t="s">
        <v>22</v>
      </c>
      <c r="C3246">
        <v>635</v>
      </c>
      <c r="D3246">
        <v>1</v>
      </c>
      <c r="E3246" t="s">
        <v>34</v>
      </c>
      <c r="F3246" t="s">
        <v>35</v>
      </c>
      <c r="G3246" t="str">
        <f>"2024-10-25 20:07:31.834"</f>
        <v>2024-10-25 20:07:31.834</v>
      </c>
      <c r="H3246" t="s">
        <v>21</v>
      </c>
    </row>
    <row r="3247" spans="1:10" x14ac:dyDescent="0.25">
      <c r="A3247" s="1">
        <v>430</v>
      </c>
      <c r="B3247" t="s">
        <v>36</v>
      </c>
      <c r="C3247">
        <v>635</v>
      </c>
      <c r="D3247">
        <v>1</v>
      </c>
      <c r="E3247" t="s">
        <v>34</v>
      </c>
      <c r="F3247" t="s">
        <v>35</v>
      </c>
      <c r="G3247" t="str">
        <f>"2024-10-25 20:04:17.334"</f>
        <v>2024-10-25 20:04:17.334</v>
      </c>
      <c r="H3247" t="s">
        <v>21</v>
      </c>
      <c r="I3247">
        <v>3.86</v>
      </c>
      <c r="J3247" t="s">
        <v>37</v>
      </c>
    </row>
    <row r="3248" spans="1:10" x14ac:dyDescent="0.25">
      <c r="A3248" s="1">
        <v>431</v>
      </c>
      <c r="B3248" t="s">
        <v>22</v>
      </c>
      <c r="C3248">
        <v>635</v>
      </c>
      <c r="D3248">
        <v>1</v>
      </c>
      <c r="E3248" t="s">
        <v>34</v>
      </c>
      <c r="F3248" t="s">
        <v>35</v>
      </c>
      <c r="G3248" t="str">
        <f>"2024-10-25 06:33:36.134"</f>
        <v>2024-10-25 06:33:36.134</v>
      </c>
      <c r="H3248" t="s">
        <v>21</v>
      </c>
    </row>
    <row r="3249" spans="1:10" x14ac:dyDescent="0.25">
      <c r="A3249" s="1">
        <v>432</v>
      </c>
      <c r="B3249" t="s">
        <v>36</v>
      </c>
      <c r="C3249">
        <v>635</v>
      </c>
      <c r="D3249">
        <v>1</v>
      </c>
      <c r="E3249" t="s">
        <v>34</v>
      </c>
      <c r="F3249" t="s">
        <v>35</v>
      </c>
      <c r="G3249" t="str">
        <f>"2024-10-25 06:28:47.634"</f>
        <v>2024-10-25 06:28:47.634</v>
      </c>
      <c r="H3249" t="s">
        <v>21</v>
      </c>
      <c r="I3249">
        <v>0.72</v>
      </c>
      <c r="J3249" t="s">
        <v>27</v>
      </c>
    </row>
    <row r="3250" spans="1:10" x14ac:dyDescent="0.25">
      <c r="A3250" s="1">
        <v>433</v>
      </c>
      <c r="B3250" t="s">
        <v>22</v>
      </c>
      <c r="C3250">
        <v>635</v>
      </c>
      <c r="D3250">
        <v>1</v>
      </c>
      <c r="E3250" t="s">
        <v>34</v>
      </c>
      <c r="F3250" t="s">
        <v>35</v>
      </c>
      <c r="G3250" t="str">
        <f>"2024-10-24 20:36:07.534"</f>
        <v>2024-10-24 20:36:07.534</v>
      </c>
      <c r="H3250" t="s">
        <v>21</v>
      </c>
    </row>
    <row r="3251" spans="1:10" x14ac:dyDescent="0.25">
      <c r="A3251" s="1">
        <v>434</v>
      </c>
      <c r="B3251" t="s">
        <v>36</v>
      </c>
      <c r="C3251">
        <v>635</v>
      </c>
      <c r="D3251">
        <v>1</v>
      </c>
      <c r="E3251" t="s">
        <v>34</v>
      </c>
      <c r="F3251" t="s">
        <v>35</v>
      </c>
      <c r="G3251" t="str">
        <f>"2024-10-24 20:25:27.034"</f>
        <v>2024-10-24 20:25:27.034</v>
      </c>
      <c r="H3251" t="s">
        <v>21</v>
      </c>
      <c r="I3251">
        <v>7.04</v>
      </c>
      <c r="J3251" t="s">
        <v>27</v>
      </c>
    </row>
    <row r="3252" spans="1:10" x14ac:dyDescent="0.25">
      <c r="A3252" s="1">
        <v>435</v>
      </c>
      <c r="B3252" t="s">
        <v>19</v>
      </c>
      <c r="C3252">
        <v>706</v>
      </c>
      <c r="D3252">
        <v>4</v>
      </c>
      <c r="E3252" t="s">
        <v>29</v>
      </c>
      <c r="F3252" t="s">
        <v>53</v>
      </c>
      <c r="G3252" t="str">
        <f>"2024-10-24 04:42:18.056"</f>
        <v>2024-10-24 04:42:18.056</v>
      </c>
      <c r="H3252" t="s">
        <v>21</v>
      </c>
      <c r="I3252">
        <v>0</v>
      </c>
      <c r="J3252" t="s">
        <v>31</v>
      </c>
    </row>
    <row r="3253" spans="1:10" x14ac:dyDescent="0.25">
      <c r="A3253" s="1">
        <v>436</v>
      </c>
      <c r="B3253" t="s">
        <v>19</v>
      </c>
      <c r="C3253">
        <v>700</v>
      </c>
      <c r="D3253">
        <v>0</v>
      </c>
      <c r="E3253" t="s">
        <v>20</v>
      </c>
      <c r="F3253" t="s">
        <v>20</v>
      </c>
      <c r="G3253" t="str">
        <f>"2024-10-23 13:38:00.826"</f>
        <v>2024-10-23 13:38:00.826</v>
      </c>
      <c r="H3253" t="s">
        <v>21</v>
      </c>
      <c r="I3253">
        <v>0</v>
      </c>
      <c r="J3253" t="s">
        <v>33</v>
      </c>
    </row>
    <row r="3254" spans="1:10" x14ac:dyDescent="0.25">
      <c r="A3254" s="1">
        <v>437</v>
      </c>
      <c r="B3254" t="s">
        <v>22</v>
      </c>
      <c r="C3254">
        <v>635</v>
      </c>
      <c r="D3254">
        <v>1</v>
      </c>
      <c r="E3254" t="s">
        <v>34</v>
      </c>
      <c r="F3254" t="s">
        <v>35</v>
      </c>
      <c r="G3254" t="str">
        <f>"2024-10-22 22:56:37.757"</f>
        <v>2024-10-22 22:56:37.757</v>
      </c>
      <c r="H3254" t="s">
        <v>21</v>
      </c>
    </row>
    <row r="3255" spans="1:10" x14ac:dyDescent="0.25">
      <c r="A3255" s="1">
        <v>438</v>
      </c>
      <c r="B3255" t="s">
        <v>36</v>
      </c>
      <c r="C3255">
        <v>635</v>
      </c>
      <c r="D3255">
        <v>1</v>
      </c>
      <c r="E3255" t="s">
        <v>34</v>
      </c>
      <c r="F3255" t="s">
        <v>35</v>
      </c>
      <c r="G3255" t="str">
        <f>"2024-10-22 22:53:41.756"</f>
        <v>2024-10-22 22:53:41.756</v>
      </c>
      <c r="H3255" t="s">
        <v>21</v>
      </c>
      <c r="I3255">
        <v>-0.3</v>
      </c>
      <c r="J3255" t="s">
        <v>37</v>
      </c>
    </row>
    <row r="3256" spans="1:10" x14ac:dyDescent="0.25">
      <c r="A3256" s="1">
        <v>439</v>
      </c>
      <c r="B3256" t="s">
        <v>22</v>
      </c>
      <c r="C3256">
        <v>635</v>
      </c>
      <c r="D3256">
        <v>1</v>
      </c>
      <c r="E3256" t="s">
        <v>34</v>
      </c>
      <c r="F3256" t="s">
        <v>35</v>
      </c>
      <c r="G3256" t="str">
        <f>"2024-10-22 22:16:49.857"</f>
        <v>2024-10-22 22:16:49.857</v>
      </c>
      <c r="H3256" t="s">
        <v>21</v>
      </c>
    </row>
    <row r="3257" spans="1:10" x14ac:dyDescent="0.25">
      <c r="A3257" s="1">
        <v>440</v>
      </c>
      <c r="B3257" t="s">
        <v>36</v>
      </c>
      <c r="C3257">
        <v>635</v>
      </c>
      <c r="D3257">
        <v>1</v>
      </c>
      <c r="E3257" t="s">
        <v>34</v>
      </c>
      <c r="F3257" t="s">
        <v>35</v>
      </c>
      <c r="G3257" t="str">
        <f>"2024-10-22 22:13:43.357"</f>
        <v>2024-10-22 22:13:43.357</v>
      </c>
      <c r="H3257" t="s">
        <v>21</v>
      </c>
      <c r="I3257">
        <v>0.24</v>
      </c>
      <c r="J3257" t="s">
        <v>37</v>
      </c>
    </row>
    <row r="3258" spans="1:10" x14ac:dyDescent="0.25">
      <c r="A3258" s="1">
        <v>441</v>
      </c>
      <c r="B3258" t="s">
        <v>22</v>
      </c>
      <c r="C3258">
        <v>635</v>
      </c>
      <c r="D3258">
        <v>1</v>
      </c>
      <c r="E3258" t="s">
        <v>34</v>
      </c>
      <c r="F3258" t="s">
        <v>35</v>
      </c>
      <c r="G3258" t="str">
        <f>"2024-10-22 17:51:28.257"</f>
        <v>2024-10-22 17:51:28.257</v>
      </c>
      <c r="H3258" t="s">
        <v>21</v>
      </c>
    </row>
    <row r="3259" spans="1:10" x14ac:dyDescent="0.25">
      <c r="A3259" s="1">
        <v>442</v>
      </c>
      <c r="B3259" t="s">
        <v>36</v>
      </c>
      <c r="C3259">
        <v>635</v>
      </c>
      <c r="D3259">
        <v>1</v>
      </c>
      <c r="E3259" t="s">
        <v>34</v>
      </c>
      <c r="F3259" t="s">
        <v>35</v>
      </c>
      <c r="G3259" t="str">
        <f>"2024-10-22 17:40:52.757"</f>
        <v>2024-10-22 17:40:52.757</v>
      </c>
      <c r="H3259" t="s">
        <v>21</v>
      </c>
      <c r="I3259">
        <v>0.87</v>
      </c>
      <c r="J3259" t="s">
        <v>27</v>
      </c>
    </row>
    <row r="3260" spans="1:10" x14ac:dyDescent="0.25">
      <c r="A3260" s="1">
        <v>443</v>
      </c>
      <c r="B3260" t="s">
        <v>22</v>
      </c>
      <c r="C3260">
        <v>635</v>
      </c>
      <c r="D3260">
        <v>1</v>
      </c>
      <c r="E3260" t="s">
        <v>34</v>
      </c>
      <c r="F3260" t="s">
        <v>35</v>
      </c>
      <c r="G3260" t="str">
        <f>"2024-10-22 13:01:39.757"</f>
        <v>2024-10-22 13:01:39.757</v>
      </c>
      <c r="H3260" t="s">
        <v>21</v>
      </c>
    </row>
    <row r="3261" spans="1:10" x14ac:dyDescent="0.25">
      <c r="A3261" s="1">
        <v>444</v>
      </c>
      <c r="B3261" t="s">
        <v>36</v>
      </c>
      <c r="C3261">
        <v>635</v>
      </c>
      <c r="D3261">
        <v>1</v>
      </c>
      <c r="E3261" t="s">
        <v>34</v>
      </c>
      <c r="F3261" t="s">
        <v>35</v>
      </c>
      <c r="G3261" t="str">
        <f>"2024-10-22 12:57:56.257"</f>
        <v>2024-10-22 12:57:56.257</v>
      </c>
      <c r="H3261" t="s">
        <v>21</v>
      </c>
      <c r="I3261">
        <v>2.7</v>
      </c>
      <c r="J3261" t="s">
        <v>37</v>
      </c>
    </row>
    <row r="3262" spans="1:10" x14ac:dyDescent="0.25">
      <c r="A3262" s="1">
        <v>445</v>
      </c>
      <c r="B3262" t="s">
        <v>19</v>
      </c>
      <c r="C3262">
        <v>700</v>
      </c>
      <c r="D3262">
        <v>0</v>
      </c>
      <c r="E3262" t="s">
        <v>20</v>
      </c>
      <c r="F3262" t="s">
        <v>20</v>
      </c>
      <c r="G3262" t="str">
        <f>"2024-10-22 05:23:51.879"</f>
        <v>2024-10-22 05:23:51.879</v>
      </c>
      <c r="H3262" t="s">
        <v>21</v>
      </c>
      <c r="I3262">
        <v>0</v>
      </c>
      <c r="J3262" t="s">
        <v>33</v>
      </c>
    </row>
    <row r="3263" spans="1:10" x14ac:dyDescent="0.25">
      <c r="A3263" s="1">
        <v>446</v>
      </c>
      <c r="B3263" t="s">
        <v>19</v>
      </c>
      <c r="C3263">
        <v>700</v>
      </c>
      <c r="D3263">
        <v>0</v>
      </c>
      <c r="E3263" t="s">
        <v>20</v>
      </c>
      <c r="F3263" t="s">
        <v>20</v>
      </c>
      <c r="G3263" t="str">
        <f>"2024-10-22 05:22:20.785"</f>
        <v>2024-10-22 05:22:20.785</v>
      </c>
      <c r="H3263" t="s">
        <v>21</v>
      </c>
      <c r="I3263">
        <v>0</v>
      </c>
      <c r="J3263" t="s">
        <v>33</v>
      </c>
    </row>
    <row r="3264" spans="1:10" x14ac:dyDescent="0.25">
      <c r="A3264" s="1">
        <v>447</v>
      </c>
      <c r="B3264" t="s">
        <v>19</v>
      </c>
      <c r="C3264">
        <v>700</v>
      </c>
      <c r="D3264">
        <v>0</v>
      </c>
      <c r="E3264" t="s">
        <v>20</v>
      </c>
      <c r="F3264" t="s">
        <v>20</v>
      </c>
      <c r="G3264" t="str">
        <f>"2024-10-22 05:06:18.777"</f>
        <v>2024-10-22 05:06:18.777</v>
      </c>
      <c r="H3264" t="s">
        <v>21</v>
      </c>
    </row>
    <row r="3265" spans="1:10" x14ac:dyDescent="0.25">
      <c r="A3265" s="1">
        <v>448</v>
      </c>
      <c r="B3265" t="s">
        <v>19</v>
      </c>
      <c r="C3265">
        <v>700</v>
      </c>
      <c r="D3265">
        <v>0</v>
      </c>
      <c r="E3265" t="s">
        <v>20</v>
      </c>
      <c r="F3265" t="s">
        <v>20</v>
      </c>
      <c r="G3265" t="str">
        <f>"2024-10-22 04:58:41.786"</f>
        <v>2024-10-22 04:58:41.786</v>
      </c>
      <c r="H3265" t="s">
        <v>21</v>
      </c>
    </row>
    <row r="3266" spans="1:10" x14ac:dyDescent="0.25">
      <c r="A3266" s="1">
        <v>449</v>
      </c>
      <c r="B3266" t="s">
        <v>22</v>
      </c>
      <c r="C3266">
        <v>635</v>
      </c>
      <c r="D3266">
        <v>1</v>
      </c>
      <c r="E3266" t="s">
        <v>34</v>
      </c>
      <c r="F3266" t="s">
        <v>35</v>
      </c>
      <c r="G3266" t="str">
        <f>"2024-10-21 21:43:42.313"</f>
        <v>2024-10-21 21:43:42.313</v>
      </c>
      <c r="H3266" t="s">
        <v>21</v>
      </c>
    </row>
    <row r="3267" spans="1:10" x14ac:dyDescent="0.25">
      <c r="A3267" s="1">
        <v>450</v>
      </c>
      <c r="B3267" t="s">
        <v>36</v>
      </c>
      <c r="C3267">
        <v>635</v>
      </c>
      <c r="D3267">
        <v>1</v>
      </c>
      <c r="E3267" t="s">
        <v>34</v>
      </c>
      <c r="F3267" t="s">
        <v>35</v>
      </c>
      <c r="G3267" t="str">
        <f>"2024-10-21 21:41:21.813"</f>
        <v>2024-10-21 21:41:21.813</v>
      </c>
      <c r="H3267" t="s">
        <v>21</v>
      </c>
      <c r="I3267">
        <v>1.32</v>
      </c>
      <c r="J3267" t="s">
        <v>27</v>
      </c>
    </row>
    <row r="3268" spans="1:10" x14ac:dyDescent="0.25">
      <c r="A3268" s="1">
        <v>451</v>
      </c>
      <c r="B3268" t="s">
        <v>22</v>
      </c>
      <c r="C3268">
        <v>635</v>
      </c>
      <c r="D3268">
        <v>1</v>
      </c>
      <c r="E3268" t="s">
        <v>34</v>
      </c>
      <c r="F3268" t="s">
        <v>35</v>
      </c>
      <c r="G3268" t="str">
        <f>"2024-10-21 08:57:54.013"</f>
        <v>2024-10-21 08:57:54.013</v>
      </c>
      <c r="H3268" t="s">
        <v>21</v>
      </c>
    </row>
    <row r="3269" spans="1:10" x14ac:dyDescent="0.25">
      <c r="A3269" s="1">
        <v>452</v>
      </c>
      <c r="B3269" t="s">
        <v>36</v>
      </c>
      <c r="C3269">
        <v>635</v>
      </c>
      <c r="D3269">
        <v>1</v>
      </c>
      <c r="E3269" t="s">
        <v>34</v>
      </c>
      <c r="F3269" t="s">
        <v>35</v>
      </c>
      <c r="G3269" t="str">
        <f>"2024-10-21 08:50:13.113"</f>
        <v>2024-10-21 08:50:13.113</v>
      </c>
      <c r="H3269" t="s">
        <v>21</v>
      </c>
      <c r="I3269">
        <v>3.23</v>
      </c>
      <c r="J3269" t="s">
        <v>37</v>
      </c>
    </row>
    <row r="3270" spans="1:10" x14ac:dyDescent="0.25">
      <c r="A3270" s="1">
        <v>453</v>
      </c>
      <c r="B3270" t="s">
        <v>22</v>
      </c>
      <c r="C3270">
        <v>635</v>
      </c>
      <c r="D3270">
        <v>1</v>
      </c>
      <c r="E3270" t="s">
        <v>34</v>
      </c>
      <c r="F3270" t="s">
        <v>35</v>
      </c>
      <c r="G3270" t="str">
        <f>"2024-10-19 23:31:30.213"</f>
        <v>2024-10-19 23:31:30.213</v>
      </c>
      <c r="H3270" t="s">
        <v>21</v>
      </c>
    </row>
    <row r="3271" spans="1:10" x14ac:dyDescent="0.25">
      <c r="A3271" s="1">
        <v>454</v>
      </c>
      <c r="B3271" t="s">
        <v>36</v>
      </c>
      <c r="C3271">
        <v>635</v>
      </c>
      <c r="D3271">
        <v>1</v>
      </c>
      <c r="E3271" t="s">
        <v>34</v>
      </c>
      <c r="F3271" t="s">
        <v>35</v>
      </c>
      <c r="G3271" t="str">
        <f>"2024-10-19 23:27:48.213"</f>
        <v>2024-10-19 23:27:48.213</v>
      </c>
      <c r="H3271" t="s">
        <v>21</v>
      </c>
      <c r="I3271">
        <v>2.2000000000000002</v>
      </c>
      <c r="J3271" t="s">
        <v>37</v>
      </c>
    </row>
    <row r="3272" spans="1:10" x14ac:dyDescent="0.25">
      <c r="A3272" s="1">
        <v>455</v>
      </c>
      <c r="B3272" t="s">
        <v>22</v>
      </c>
      <c r="C3272">
        <v>635</v>
      </c>
      <c r="D3272">
        <v>1</v>
      </c>
      <c r="E3272" t="s">
        <v>34</v>
      </c>
      <c r="F3272" t="s">
        <v>35</v>
      </c>
      <c r="G3272" t="str">
        <f>"2024-10-19 03:36:29.613"</f>
        <v>2024-10-19 03:36:29.613</v>
      </c>
      <c r="H3272" t="s">
        <v>21</v>
      </c>
    </row>
    <row r="3273" spans="1:10" x14ac:dyDescent="0.25">
      <c r="A3273" s="1">
        <v>456</v>
      </c>
      <c r="B3273" t="s">
        <v>36</v>
      </c>
      <c r="C3273">
        <v>635</v>
      </c>
      <c r="D3273">
        <v>1</v>
      </c>
      <c r="E3273" t="s">
        <v>34</v>
      </c>
      <c r="F3273" t="s">
        <v>35</v>
      </c>
      <c r="G3273" t="str">
        <f>"2024-10-19 03:33:20.613"</f>
        <v>2024-10-19 03:33:20.613</v>
      </c>
      <c r="H3273" t="s">
        <v>21</v>
      </c>
      <c r="I3273">
        <v>0.85</v>
      </c>
      <c r="J3273" t="s">
        <v>27</v>
      </c>
    </row>
    <row r="3274" spans="1:10" x14ac:dyDescent="0.25">
      <c r="A3274" s="1">
        <v>457</v>
      </c>
      <c r="B3274" t="s">
        <v>19</v>
      </c>
      <c r="C3274">
        <v>706</v>
      </c>
      <c r="D3274">
        <v>2</v>
      </c>
      <c r="E3274" t="s">
        <v>29</v>
      </c>
      <c r="F3274" t="s">
        <v>30</v>
      </c>
      <c r="G3274" t="str">
        <f>"2024-10-19 00:04:27.886"</f>
        <v>2024-10-19 00:04:27.886</v>
      </c>
      <c r="H3274" t="s">
        <v>21</v>
      </c>
      <c r="I3274">
        <v>0</v>
      </c>
      <c r="J3274" t="s">
        <v>31</v>
      </c>
    </row>
    <row r="3275" spans="1:10" x14ac:dyDescent="0.25">
      <c r="A3275" s="1">
        <v>458</v>
      </c>
      <c r="B3275" t="s">
        <v>19</v>
      </c>
      <c r="C3275">
        <v>700</v>
      </c>
      <c r="D3275">
        <v>0</v>
      </c>
      <c r="E3275" t="s">
        <v>20</v>
      </c>
      <c r="F3275" t="s">
        <v>20</v>
      </c>
      <c r="G3275" t="str">
        <f>"2024-10-19 00:02:28.776"</f>
        <v>2024-10-19 00:02:28.776</v>
      </c>
      <c r="H3275" t="s">
        <v>21</v>
      </c>
    </row>
    <row r="3276" spans="1:10" x14ac:dyDescent="0.25">
      <c r="A3276" s="1">
        <v>459</v>
      </c>
      <c r="B3276" t="s">
        <v>19</v>
      </c>
      <c r="C3276">
        <v>700</v>
      </c>
      <c r="D3276">
        <v>0</v>
      </c>
      <c r="E3276" t="s">
        <v>20</v>
      </c>
      <c r="F3276" t="s">
        <v>20</v>
      </c>
      <c r="G3276" t="str">
        <f>"2024-10-18 23:57:08.810"</f>
        <v>2024-10-18 23:57:08.810</v>
      </c>
      <c r="H3276" t="s">
        <v>21</v>
      </c>
    </row>
    <row r="3277" spans="1:10" s="3" customFormat="1" x14ac:dyDescent="0.25">
      <c r="A3277" s="2">
        <v>460</v>
      </c>
      <c r="B3277" s="3" t="s">
        <v>22</v>
      </c>
      <c r="C3277" s="3">
        <v>647</v>
      </c>
      <c r="D3277" s="3">
        <v>1</v>
      </c>
      <c r="E3277" s="3" t="s">
        <v>54</v>
      </c>
      <c r="F3277" s="3" t="s">
        <v>55</v>
      </c>
      <c r="G3277" s="3" t="str">
        <f>"2024-10-18 18:44:24.356"</f>
        <v>2024-10-18 18:44:24.356</v>
      </c>
      <c r="H3277" s="3" t="s">
        <v>21</v>
      </c>
    </row>
    <row r="3278" spans="1:10" s="3" customFormat="1" x14ac:dyDescent="0.25">
      <c r="A3278" s="2">
        <v>461</v>
      </c>
      <c r="B3278" s="3" t="s">
        <v>36</v>
      </c>
      <c r="C3278" s="3">
        <v>647</v>
      </c>
      <c r="D3278" s="3">
        <v>1</v>
      </c>
      <c r="E3278" s="3" t="s">
        <v>54</v>
      </c>
      <c r="F3278" s="3" t="s">
        <v>55</v>
      </c>
      <c r="G3278" s="3" t="str">
        <f>"2024-10-18 18:44:22.257"</f>
        <v>2024-10-18 18:44:22.257</v>
      </c>
      <c r="H3278" s="3" t="s">
        <v>21</v>
      </c>
      <c r="I3278" s="3">
        <v>25.08</v>
      </c>
      <c r="J3278" s="3" t="s">
        <v>27</v>
      </c>
    </row>
    <row r="3279" spans="1:10" x14ac:dyDescent="0.25">
      <c r="A3279" s="1">
        <v>462</v>
      </c>
      <c r="B3279" t="s">
        <v>22</v>
      </c>
      <c r="C3279">
        <v>635</v>
      </c>
      <c r="D3279">
        <v>1</v>
      </c>
      <c r="E3279" t="s">
        <v>34</v>
      </c>
      <c r="F3279" t="s">
        <v>35</v>
      </c>
      <c r="G3279" t="str">
        <f>"2024-10-18 12:11:36.908"</f>
        <v>2024-10-18 12:11:36.908</v>
      </c>
      <c r="H3279" t="s">
        <v>21</v>
      </c>
    </row>
    <row r="3280" spans="1:10" x14ac:dyDescent="0.25">
      <c r="A3280" s="1">
        <v>463</v>
      </c>
      <c r="B3280" t="s">
        <v>36</v>
      </c>
      <c r="C3280">
        <v>635</v>
      </c>
      <c r="D3280">
        <v>1</v>
      </c>
      <c r="E3280" t="s">
        <v>34</v>
      </c>
      <c r="F3280" t="s">
        <v>35</v>
      </c>
      <c r="G3280" t="str">
        <f>"2024-10-18 11:53:11.908"</f>
        <v>2024-10-18 11:53:11.908</v>
      </c>
      <c r="H3280" t="s">
        <v>21</v>
      </c>
      <c r="I3280">
        <v>7.69</v>
      </c>
      <c r="J3280" t="s">
        <v>37</v>
      </c>
    </row>
    <row r="3281" spans="1:10" x14ac:dyDescent="0.25">
      <c r="A3281" s="1">
        <v>464</v>
      </c>
      <c r="B3281" t="s">
        <v>19</v>
      </c>
      <c r="C3281">
        <v>706</v>
      </c>
      <c r="D3281">
        <v>4</v>
      </c>
      <c r="E3281" t="s">
        <v>29</v>
      </c>
      <c r="F3281" t="s">
        <v>53</v>
      </c>
      <c r="G3281" t="str">
        <f>"2024-10-17 20:02:20.849"</f>
        <v>2024-10-17 20:02:20.849</v>
      </c>
      <c r="H3281" t="s">
        <v>21</v>
      </c>
      <c r="I3281">
        <v>0</v>
      </c>
      <c r="J3281" t="s">
        <v>31</v>
      </c>
    </row>
    <row r="3282" spans="1:10" x14ac:dyDescent="0.25">
      <c r="A3282" s="1">
        <v>465</v>
      </c>
      <c r="B3282" t="s">
        <v>19</v>
      </c>
      <c r="C3282">
        <v>700</v>
      </c>
      <c r="D3282">
        <v>0</v>
      </c>
      <c r="E3282" t="s">
        <v>20</v>
      </c>
      <c r="F3282" t="s">
        <v>20</v>
      </c>
      <c r="G3282" t="str">
        <f>"2024-10-17 19:59:59.779"</f>
        <v>2024-10-17 19:59:59.779</v>
      </c>
      <c r="H3282" t="s">
        <v>21</v>
      </c>
    </row>
    <row r="3283" spans="1:10" x14ac:dyDescent="0.25">
      <c r="A3283" s="1">
        <v>466</v>
      </c>
      <c r="B3283" t="s">
        <v>19</v>
      </c>
      <c r="C3283">
        <v>700</v>
      </c>
      <c r="D3283">
        <v>0</v>
      </c>
      <c r="E3283" t="s">
        <v>20</v>
      </c>
      <c r="F3283" t="s">
        <v>20</v>
      </c>
      <c r="G3283" t="str">
        <f>"2024-10-17 18:21:07.786"</f>
        <v>2024-10-17 18:21:07.786</v>
      </c>
      <c r="H3283" t="s">
        <v>21</v>
      </c>
    </row>
    <row r="3284" spans="1:10" s="3" customFormat="1" x14ac:dyDescent="0.25">
      <c r="A3284" s="2">
        <v>467</v>
      </c>
      <c r="B3284" s="3" t="s">
        <v>22</v>
      </c>
      <c r="C3284" s="3">
        <v>647</v>
      </c>
      <c r="D3284" s="3">
        <v>1</v>
      </c>
      <c r="E3284" s="3" t="s">
        <v>54</v>
      </c>
      <c r="F3284" s="3" t="s">
        <v>55</v>
      </c>
      <c r="G3284" s="3" t="str">
        <f>"2024-10-17 16:37:55.907"</f>
        <v>2024-10-17 16:37:55.907</v>
      </c>
      <c r="H3284" s="3" t="s">
        <v>21</v>
      </c>
    </row>
    <row r="3285" spans="1:10" s="3" customFormat="1" x14ac:dyDescent="0.25">
      <c r="A3285" s="2">
        <v>468</v>
      </c>
      <c r="B3285" s="3" t="s">
        <v>36</v>
      </c>
      <c r="C3285" s="3">
        <v>647</v>
      </c>
      <c r="D3285" s="3">
        <v>1</v>
      </c>
      <c r="E3285" s="3" t="s">
        <v>54</v>
      </c>
      <c r="F3285" s="3" t="s">
        <v>55</v>
      </c>
      <c r="G3285" s="3" t="str">
        <f>"2024-10-17 16:37:52.107"</f>
        <v>2024-10-17 16:37:52.107</v>
      </c>
      <c r="H3285" s="3" t="s">
        <v>21</v>
      </c>
      <c r="I3285" s="3">
        <v>10.54</v>
      </c>
      <c r="J3285" s="3" t="s">
        <v>27</v>
      </c>
    </row>
    <row r="3286" spans="1:10" s="3" customFormat="1" x14ac:dyDescent="0.25">
      <c r="A3286" s="2">
        <v>469</v>
      </c>
      <c r="B3286" s="3" t="s">
        <v>22</v>
      </c>
      <c r="C3286" s="3">
        <v>647</v>
      </c>
      <c r="D3286" s="3">
        <v>1</v>
      </c>
      <c r="E3286" s="3" t="s">
        <v>54</v>
      </c>
      <c r="F3286" s="3" t="s">
        <v>55</v>
      </c>
      <c r="G3286" s="3" t="str">
        <f>"2024-10-17 16:37:49.707"</f>
        <v>2024-10-17 16:37:49.707</v>
      </c>
      <c r="H3286" s="3" t="s">
        <v>21</v>
      </c>
    </row>
    <row r="3287" spans="1:10" s="3" customFormat="1" x14ac:dyDescent="0.25">
      <c r="A3287" s="2">
        <v>470</v>
      </c>
      <c r="B3287" s="3" t="s">
        <v>36</v>
      </c>
      <c r="C3287" s="3">
        <v>647</v>
      </c>
      <c r="D3287" s="3">
        <v>1</v>
      </c>
      <c r="E3287" s="3" t="s">
        <v>54</v>
      </c>
      <c r="F3287" s="3" t="s">
        <v>55</v>
      </c>
      <c r="G3287" s="3" t="str">
        <f>"2024-10-17 16:37:44.607"</f>
        <v>2024-10-17 16:37:44.607</v>
      </c>
      <c r="H3287" s="3" t="s">
        <v>21</v>
      </c>
      <c r="I3287" s="3">
        <v>13.75</v>
      </c>
      <c r="J3287" s="3" t="s">
        <v>27</v>
      </c>
    </row>
    <row r="3288" spans="1:10" s="3" customFormat="1" x14ac:dyDescent="0.25">
      <c r="A3288" s="2">
        <v>471</v>
      </c>
      <c r="B3288" s="3" t="s">
        <v>22</v>
      </c>
      <c r="C3288" s="3">
        <v>647</v>
      </c>
      <c r="D3288" s="3">
        <v>1</v>
      </c>
      <c r="E3288" s="3" t="s">
        <v>54</v>
      </c>
      <c r="F3288" s="3" t="s">
        <v>55</v>
      </c>
      <c r="G3288" s="3" t="str">
        <f>"2024-10-17 16:37:30.507"</f>
        <v>2024-10-17 16:37:30.507</v>
      </c>
      <c r="H3288" s="3" t="s">
        <v>21</v>
      </c>
    </row>
    <row r="3289" spans="1:10" s="3" customFormat="1" x14ac:dyDescent="0.25">
      <c r="A3289" s="2">
        <v>472</v>
      </c>
      <c r="B3289" s="3" t="s">
        <v>36</v>
      </c>
      <c r="C3289" s="3">
        <v>647</v>
      </c>
      <c r="D3289" s="3">
        <v>1</v>
      </c>
      <c r="E3289" s="3" t="s">
        <v>54</v>
      </c>
      <c r="F3289" s="3" t="s">
        <v>55</v>
      </c>
      <c r="G3289" s="3" t="str">
        <f>"2024-10-17 16:37:17.007"</f>
        <v>2024-10-17 16:37:17.007</v>
      </c>
      <c r="H3289" s="3" t="s">
        <v>21</v>
      </c>
      <c r="I3289" s="3">
        <v>16.670000000000002</v>
      </c>
      <c r="J3289" s="3" t="s">
        <v>27</v>
      </c>
    </row>
    <row r="3290" spans="1:10" x14ac:dyDescent="0.25">
      <c r="A3290" s="1">
        <v>473</v>
      </c>
      <c r="B3290" t="s">
        <v>22</v>
      </c>
      <c r="C3290">
        <v>635</v>
      </c>
      <c r="D3290">
        <v>1</v>
      </c>
      <c r="E3290" t="s">
        <v>34</v>
      </c>
      <c r="F3290" t="s">
        <v>35</v>
      </c>
      <c r="G3290" t="str">
        <f>"2024-10-17 11:01:04.759"</f>
        <v>2024-10-17 11:01:04.759</v>
      </c>
      <c r="H3290" t="s">
        <v>21</v>
      </c>
    </row>
    <row r="3291" spans="1:10" x14ac:dyDescent="0.25">
      <c r="A3291" s="1">
        <v>474</v>
      </c>
      <c r="B3291" t="s">
        <v>36</v>
      </c>
      <c r="C3291">
        <v>635</v>
      </c>
      <c r="D3291">
        <v>1</v>
      </c>
      <c r="E3291" t="s">
        <v>34</v>
      </c>
      <c r="F3291" t="s">
        <v>35</v>
      </c>
      <c r="G3291" t="str">
        <f>"2024-10-17 10:57:54.259"</f>
        <v>2024-10-17 10:57:54.259</v>
      </c>
      <c r="H3291" t="s">
        <v>21</v>
      </c>
      <c r="I3291">
        <v>0.06</v>
      </c>
      <c r="J3291" t="s">
        <v>28</v>
      </c>
    </row>
    <row r="3292" spans="1:10" x14ac:dyDescent="0.25">
      <c r="A3292" s="1">
        <v>475</v>
      </c>
      <c r="B3292" t="s">
        <v>22</v>
      </c>
      <c r="C3292">
        <v>635</v>
      </c>
      <c r="D3292">
        <v>1</v>
      </c>
      <c r="E3292" t="s">
        <v>34</v>
      </c>
      <c r="F3292" t="s">
        <v>35</v>
      </c>
      <c r="G3292" t="str">
        <f>"2024-10-17 10:47:06.759"</f>
        <v>2024-10-17 10:47:06.759</v>
      </c>
      <c r="H3292" t="s">
        <v>21</v>
      </c>
    </row>
    <row r="3293" spans="1:10" x14ac:dyDescent="0.25">
      <c r="A3293" s="1">
        <v>476</v>
      </c>
      <c r="B3293" t="s">
        <v>36</v>
      </c>
      <c r="C3293">
        <v>635</v>
      </c>
      <c r="D3293">
        <v>1</v>
      </c>
      <c r="E3293" t="s">
        <v>34</v>
      </c>
      <c r="F3293" t="s">
        <v>35</v>
      </c>
      <c r="G3293" t="str">
        <f>"2024-10-17 10:26:45.259"</f>
        <v>2024-10-17 10:26:45.259</v>
      </c>
      <c r="H3293" t="s">
        <v>21</v>
      </c>
      <c r="I3293">
        <v>10.09</v>
      </c>
      <c r="J3293" t="s">
        <v>27</v>
      </c>
    </row>
    <row r="3294" spans="1:10" s="3" customFormat="1" x14ac:dyDescent="0.25">
      <c r="A3294" s="2">
        <v>477</v>
      </c>
      <c r="B3294" s="3" t="s">
        <v>22</v>
      </c>
      <c r="C3294" s="3">
        <v>647</v>
      </c>
      <c r="D3294" s="3">
        <v>1</v>
      </c>
      <c r="E3294" s="3" t="s">
        <v>54</v>
      </c>
      <c r="F3294" s="3" t="s">
        <v>55</v>
      </c>
      <c r="G3294" s="3" t="str">
        <f>"2024-10-15 16:25:39.207"</f>
        <v>2024-10-15 16:25:39.207</v>
      </c>
      <c r="H3294" s="3" t="s">
        <v>21</v>
      </c>
    </row>
    <row r="3295" spans="1:10" s="3" customFormat="1" x14ac:dyDescent="0.25">
      <c r="A3295" s="2">
        <v>478</v>
      </c>
      <c r="B3295" s="3" t="s">
        <v>36</v>
      </c>
      <c r="C3295" s="3">
        <v>647</v>
      </c>
      <c r="D3295" s="3">
        <v>1</v>
      </c>
      <c r="E3295" s="3" t="s">
        <v>54</v>
      </c>
      <c r="F3295" s="3" t="s">
        <v>55</v>
      </c>
      <c r="G3295" s="3" t="str">
        <f>"2024-10-15 16:25:35.707"</f>
        <v>2024-10-15 16:25:35.707</v>
      </c>
      <c r="H3295" s="3" t="s">
        <v>21</v>
      </c>
      <c r="I3295" s="3">
        <v>8.6300000000000008</v>
      </c>
      <c r="J3295" s="3" t="s">
        <v>28</v>
      </c>
    </row>
    <row r="3296" spans="1:10" x14ac:dyDescent="0.25">
      <c r="A3296" s="1">
        <v>479</v>
      </c>
      <c r="B3296" t="s">
        <v>22</v>
      </c>
      <c r="C3296">
        <v>635</v>
      </c>
      <c r="D3296">
        <v>1</v>
      </c>
      <c r="E3296" t="s">
        <v>34</v>
      </c>
      <c r="F3296" t="s">
        <v>35</v>
      </c>
      <c r="G3296" t="str">
        <f>"2024-10-15 16:22:23.859"</f>
        <v>2024-10-15 16:22:23.859</v>
      </c>
      <c r="H3296" t="s">
        <v>21</v>
      </c>
    </row>
    <row r="3297" spans="1:10" x14ac:dyDescent="0.25">
      <c r="A3297" s="1">
        <v>480</v>
      </c>
      <c r="B3297" t="s">
        <v>36</v>
      </c>
      <c r="C3297">
        <v>635</v>
      </c>
      <c r="D3297">
        <v>1</v>
      </c>
      <c r="E3297" t="s">
        <v>34</v>
      </c>
      <c r="F3297" t="s">
        <v>35</v>
      </c>
      <c r="G3297" t="str">
        <f>"2024-10-15 15:59:08.960"</f>
        <v>2024-10-15 15:59:08.960</v>
      </c>
      <c r="H3297" t="s">
        <v>21</v>
      </c>
      <c r="I3297">
        <v>9.3699999999999992</v>
      </c>
      <c r="J3297" t="s">
        <v>37</v>
      </c>
    </row>
    <row r="3298" spans="1:10" x14ac:dyDescent="0.25">
      <c r="A3298" s="1">
        <v>481</v>
      </c>
      <c r="B3298" t="s">
        <v>19</v>
      </c>
      <c r="C3298">
        <v>700</v>
      </c>
      <c r="D3298">
        <v>0</v>
      </c>
      <c r="E3298" t="s">
        <v>20</v>
      </c>
      <c r="F3298" t="s">
        <v>20</v>
      </c>
      <c r="G3298" t="str">
        <f>"2024-10-15 15:42:53.780"</f>
        <v>2024-10-15 15:42:53.780</v>
      </c>
      <c r="H3298" t="s">
        <v>21</v>
      </c>
      <c r="I3298">
        <v>0</v>
      </c>
      <c r="J3298" t="s">
        <v>33</v>
      </c>
    </row>
    <row r="3299" spans="1:10" s="3" customFormat="1" x14ac:dyDescent="0.25">
      <c r="A3299" s="2">
        <v>483</v>
      </c>
      <c r="B3299" s="3" t="s">
        <v>22</v>
      </c>
      <c r="C3299" s="3">
        <v>647</v>
      </c>
      <c r="D3299" s="3">
        <v>1</v>
      </c>
      <c r="E3299" s="3" t="s">
        <v>54</v>
      </c>
      <c r="F3299" s="3" t="s">
        <v>55</v>
      </c>
      <c r="G3299" s="3" t="str">
        <f>"2024-10-14 14:21:19.755"</f>
        <v>2024-10-14 14:21:19.755</v>
      </c>
      <c r="H3299" s="3" t="s">
        <v>21</v>
      </c>
    </row>
    <row r="3300" spans="1:10" s="3" customFormat="1" x14ac:dyDescent="0.25">
      <c r="A3300" s="2">
        <v>484</v>
      </c>
      <c r="B3300" s="3" t="s">
        <v>36</v>
      </c>
      <c r="C3300" s="3">
        <v>647</v>
      </c>
      <c r="D3300" s="3">
        <v>1</v>
      </c>
      <c r="E3300" s="3" t="s">
        <v>54</v>
      </c>
      <c r="F3300" s="3" t="s">
        <v>55</v>
      </c>
      <c r="G3300" s="3" t="str">
        <f>"2024-10-14 14:21:15.655"</f>
        <v>2024-10-14 14:21:15.655</v>
      </c>
      <c r="H3300" s="3" t="s">
        <v>21</v>
      </c>
      <c r="I3300" s="3">
        <v>19.989999999999998</v>
      </c>
      <c r="J3300" s="3" t="s">
        <v>27</v>
      </c>
    </row>
    <row r="3301" spans="1:10" s="3" customFormat="1" x14ac:dyDescent="0.25">
      <c r="A3301" s="2">
        <v>485</v>
      </c>
      <c r="B3301" s="3" t="s">
        <v>22</v>
      </c>
      <c r="C3301" s="3">
        <v>647</v>
      </c>
      <c r="D3301" s="3">
        <v>1</v>
      </c>
      <c r="E3301" s="3" t="s">
        <v>54</v>
      </c>
      <c r="F3301" s="3" t="s">
        <v>55</v>
      </c>
      <c r="G3301" s="3" t="str">
        <f>"2024-10-14 12:00:55.855"</f>
        <v>2024-10-14 12:00:55.855</v>
      </c>
      <c r="H3301" s="3" t="s">
        <v>21</v>
      </c>
    </row>
    <row r="3302" spans="1:10" s="3" customFormat="1" x14ac:dyDescent="0.25">
      <c r="A3302" s="2">
        <v>486</v>
      </c>
      <c r="B3302" s="3" t="s">
        <v>36</v>
      </c>
      <c r="C3302" s="3">
        <v>647</v>
      </c>
      <c r="D3302" s="3">
        <v>1</v>
      </c>
      <c r="E3302" s="3" t="s">
        <v>54</v>
      </c>
      <c r="F3302" s="3" t="s">
        <v>55</v>
      </c>
      <c r="G3302" s="3" t="str">
        <f>"2024-10-14 12:00:53.855"</f>
        <v>2024-10-14 12:00:53.855</v>
      </c>
      <c r="H3302" s="3" t="s">
        <v>21</v>
      </c>
      <c r="I3302" s="3">
        <v>13.6</v>
      </c>
      <c r="J3302" s="3" t="s">
        <v>27</v>
      </c>
    </row>
    <row r="3303" spans="1:10" s="3" customFormat="1" x14ac:dyDescent="0.25">
      <c r="A3303" s="2">
        <v>487</v>
      </c>
      <c r="B3303" s="3" t="s">
        <v>22</v>
      </c>
      <c r="C3303" s="3">
        <v>647</v>
      </c>
      <c r="D3303" s="3">
        <v>1</v>
      </c>
      <c r="E3303" s="3" t="s">
        <v>54</v>
      </c>
      <c r="F3303" s="3" t="s">
        <v>55</v>
      </c>
      <c r="G3303" s="3" t="str">
        <f>"2024-10-14 11:31:36.755"</f>
        <v>2024-10-14 11:31:36.755</v>
      </c>
      <c r="H3303" s="3" t="s">
        <v>21</v>
      </c>
    </row>
    <row r="3304" spans="1:10" s="3" customFormat="1" x14ac:dyDescent="0.25">
      <c r="A3304" s="2">
        <v>488</v>
      </c>
      <c r="B3304" s="3" t="s">
        <v>36</v>
      </c>
      <c r="C3304" s="3">
        <v>647</v>
      </c>
      <c r="D3304" s="3">
        <v>1</v>
      </c>
      <c r="E3304" s="3" t="s">
        <v>54</v>
      </c>
      <c r="F3304" s="3" t="s">
        <v>55</v>
      </c>
      <c r="G3304" s="3" t="str">
        <f>"2024-10-14 11:31:34.655"</f>
        <v>2024-10-14 11:31:34.655</v>
      </c>
      <c r="H3304" s="3" t="s">
        <v>21</v>
      </c>
      <c r="I3304" s="3">
        <v>21.47</v>
      </c>
      <c r="J3304" s="3" t="s">
        <v>27</v>
      </c>
    </row>
    <row r="3305" spans="1:10" x14ac:dyDescent="0.25">
      <c r="A3305" s="1">
        <v>489</v>
      </c>
      <c r="B3305" t="s">
        <v>22</v>
      </c>
      <c r="C3305">
        <v>635</v>
      </c>
      <c r="D3305">
        <v>1</v>
      </c>
      <c r="E3305" t="s">
        <v>34</v>
      </c>
      <c r="F3305" t="s">
        <v>35</v>
      </c>
      <c r="G3305" t="str">
        <f>"2024-10-14 09:19:06.607"</f>
        <v>2024-10-14 09:19:06.607</v>
      </c>
      <c r="H3305" t="s">
        <v>21</v>
      </c>
    </row>
    <row r="3306" spans="1:10" x14ac:dyDescent="0.25">
      <c r="A3306" s="1">
        <v>490</v>
      </c>
      <c r="B3306" t="s">
        <v>36</v>
      </c>
      <c r="C3306">
        <v>635</v>
      </c>
      <c r="D3306">
        <v>1</v>
      </c>
      <c r="E3306" t="s">
        <v>34</v>
      </c>
      <c r="F3306" t="s">
        <v>35</v>
      </c>
      <c r="G3306" t="str">
        <f>"2024-10-14 08:56:06.607"</f>
        <v>2024-10-14 08:56:06.607</v>
      </c>
      <c r="H3306" t="s">
        <v>21</v>
      </c>
      <c r="I3306">
        <v>8.3000000000000007</v>
      </c>
      <c r="J3306" t="s">
        <v>37</v>
      </c>
    </row>
    <row r="3307" spans="1:10" x14ac:dyDescent="0.25">
      <c r="A3307" s="1">
        <v>491</v>
      </c>
      <c r="B3307" t="s">
        <v>22</v>
      </c>
      <c r="C3307">
        <v>61</v>
      </c>
      <c r="D3307">
        <v>2</v>
      </c>
      <c r="E3307" t="s">
        <v>66</v>
      </c>
      <c r="F3307" t="s">
        <v>67</v>
      </c>
      <c r="G3307" t="str">
        <f>"2024-10-13 19:05:24.368"</f>
        <v>2024-10-13 19:05:24.368</v>
      </c>
      <c r="H3307" t="s">
        <v>21</v>
      </c>
    </row>
    <row r="3308" spans="1:10" x14ac:dyDescent="0.25">
      <c r="A3308" s="1">
        <v>492</v>
      </c>
      <c r="B3308" t="s">
        <v>26</v>
      </c>
      <c r="C3308">
        <v>61</v>
      </c>
      <c r="D3308">
        <v>2</v>
      </c>
      <c r="E3308" t="s">
        <v>66</v>
      </c>
      <c r="F3308" t="s">
        <v>67</v>
      </c>
      <c r="G3308" t="str">
        <f>"2024-10-13 19:05:10.668"</f>
        <v>2024-10-13 19:05:10.668</v>
      </c>
      <c r="H3308" t="s">
        <v>21</v>
      </c>
      <c r="I3308">
        <v>36.56</v>
      </c>
      <c r="J3308" t="s">
        <v>27</v>
      </c>
    </row>
    <row r="3309" spans="1:10" x14ac:dyDescent="0.25">
      <c r="A3309" s="1">
        <v>493</v>
      </c>
      <c r="B3309" t="s">
        <v>19</v>
      </c>
      <c r="C3309">
        <v>706</v>
      </c>
      <c r="D3309">
        <v>2</v>
      </c>
      <c r="E3309" t="s">
        <v>29</v>
      </c>
      <c r="F3309" t="s">
        <v>30</v>
      </c>
      <c r="G3309" t="str">
        <f>"2024-10-13 14:12:57.876"</f>
        <v>2024-10-13 14:12:57.876</v>
      </c>
      <c r="H3309" t="s">
        <v>21</v>
      </c>
      <c r="I3309">
        <v>0</v>
      </c>
      <c r="J3309" t="s">
        <v>31</v>
      </c>
    </row>
    <row r="3310" spans="1:10" x14ac:dyDescent="0.25">
      <c r="A3310" s="1">
        <v>494</v>
      </c>
      <c r="B3310" t="s">
        <v>19</v>
      </c>
      <c r="C3310">
        <v>700</v>
      </c>
      <c r="D3310">
        <v>0</v>
      </c>
      <c r="E3310" t="s">
        <v>20</v>
      </c>
      <c r="F3310" t="s">
        <v>20</v>
      </c>
      <c r="G3310" t="str">
        <f>"2024-10-13 14:00:26.776"</f>
        <v>2024-10-13 14:00:26.776</v>
      </c>
      <c r="H3310" t="s">
        <v>21</v>
      </c>
      <c r="I3310">
        <v>0</v>
      </c>
      <c r="J3310" t="s">
        <v>33</v>
      </c>
    </row>
    <row r="3311" spans="1:10" x14ac:dyDescent="0.25">
      <c r="A3311" s="1">
        <v>495</v>
      </c>
      <c r="B3311" t="s">
        <v>19</v>
      </c>
      <c r="C3311">
        <v>700</v>
      </c>
      <c r="D3311">
        <v>0</v>
      </c>
      <c r="E3311" t="s">
        <v>20</v>
      </c>
      <c r="F3311" t="s">
        <v>20</v>
      </c>
      <c r="G3311" t="str">
        <f>"2024-10-13 13:28:49.789"</f>
        <v>2024-10-13 13:28:49.789</v>
      </c>
      <c r="H3311" t="s">
        <v>21</v>
      </c>
      <c r="I3311">
        <v>0</v>
      </c>
      <c r="J3311" t="s">
        <v>33</v>
      </c>
    </row>
    <row r="3312" spans="1:10" x14ac:dyDescent="0.25">
      <c r="A3312" s="1">
        <v>496</v>
      </c>
      <c r="B3312" t="s">
        <v>19</v>
      </c>
      <c r="C3312">
        <v>700</v>
      </c>
      <c r="D3312">
        <v>0</v>
      </c>
      <c r="E3312" t="s">
        <v>20</v>
      </c>
      <c r="F3312" t="s">
        <v>20</v>
      </c>
      <c r="G3312" t="str">
        <f>"2024-10-13 00:40:01.926"</f>
        <v>2024-10-13 00:40:01.926</v>
      </c>
      <c r="H3312" t="s">
        <v>21</v>
      </c>
      <c r="I3312">
        <v>0</v>
      </c>
      <c r="J3312" t="s">
        <v>33</v>
      </c>
    </row>
    <row r="3313" spans="1:10" s="3" customFormat="1" x14ac:dyDescent="0.25">
      <c r="A3313" s="2">
        <v>497</v>
      </c>
      <c r="B3313" s="3" t="s">
        <v>22</v>
      </c>
      <c r="C3313" s="3">
        <v>647</v>
      </c>
      <c r="D3313" s="3">
        <v>1</v>
      </c>
      <c r="E3313" s="3" t="s">
        <v>54</v>
      </c>
      <c r="F3313" s="3" t="s">
        <v>55</v>
      </c>
      <c r="G3313" s="3" t="str">
        <f>"2024-10-12 18:36:32.507"</f>
        <v>2024-10-12 18:36:32.507</v>
      </c>
      <c r="H3313" s="3" t="s">
        <v>21</v>
      </c>
    </row>
    <row r="3314" spans="1:10" s="3" customFormat="1" x14ac:dyDescent="0.25">
      <c r="A3314" s="2">
        <v>498</v>
      </c>
      <c r="B3314" s="3" t="s">
        <v>36</v>
      </c>
      <c r="C3314" s="3">
        <v>647</v>
      </c>
      <c r="D3314" s="3">
        <v>1</v>
      </c>
      <c r="E3314" s="3" t="s">
        <v>54</v>
      </c>
      <c r="F3314" s="3" t="s">
        <v>55</v>
      </c>
      <c r="G3314" s="3" t="str">
        <f>"2024-10-12 18:36:24.607"</f>
        <v>2024-10-12 18:36:24.607</v>
      </c>
      <c r="H3314" s="3" t="s">
        <v>21</v>
      </c>
      <c r="I3314" s="3">
        <v>18.28</v>
      </c>
      <c r="J3314" s="3" t="s">
        <v>27</v>
      </c>
    </row>
    <row r="3315" spans="1:10" x14ac:dyDescent="0.25">
      <c r="A3315" s="1">
        <v>499</v>
      </c>
      <c r="B3315" t="s">
        <v>22</v>
      </c>
      <c r="C3315">
        <v>635</v>
      </c>
      <c r="D3315">
        <v>1</v>
      </c>
      <c r="E3315" t="s">
        <v>34</v>
      </c>
      <c r="F3315" t="s">
        <v>35</v>
      </c>
      <c r="G3315" t="str">
        <f>"2024-10-12 16:20:05.459"</f>
        <v>2024-10-12 16:20:05.459</v>
      </c>
      <c r="H3315" t="s">
        <v>21</v>
      </c>
    </row>
    <row r="3316" spans="1:10" x14ac:dyDescent="0.25">
      <c r="A3316" s="1">
        <v>500</v>
      </c>
      <c r="B3316" t="s">
        <v>36</v>
      </c>
      <c r="C3316">
        <v>635</v>
      </c>
      <c r="D3316">
        <v>1</v>
      </c>
      <c r="E3316" t="s">
        <v>34</v>
      </c>
      <c r="F3316" t="s">
        <v>35</v>
      </c>
      <c r="G3316" t="str">
        <f>"2024-10-12 16:17:57.459"</f>
        <v>2024-10-12 16:17:57.459</v>
      </c>
      <c r="H3316" t="s">
        <v>21</v>
      </c>
      <c r="I3316">
        <v>9</v>
      </c>
      <c r="J3316" t="s">
        <v>27</v>
      </c>
    </row>
    <row r="3317" spans="1:10" x14ac:dyDescent="0.25">
      <c r="A3317" s="1">
        <v>501</v>
      </c>
      <c r="B3317" t="s">
        <v>22</v>
      </c>
      <c r="C3317">
        <v>635</v>
      </c>
      <c r="D3317">
        <v>1</v>
      </c>
      <c r="E3317" t="s">
        <v>34</v>
      </c>
      <c r="F3317" t="s">
        <v>35</v>
      </c>
      <c r="G3317" t="str">
        <f>"2024-10-12 10:18:35.059"</f>
        <v>2024-10-12 10:18:35.059</v>
      </c>
      <c r="H3317" t="s">
        <v>21</v>
      </c>
    </row>
    <row r="3318" spans="1:10" x14ac:dyDescent="0.25">
      <c r="A3318" s="1">
        <v>502</v>
      </c>
      <c r="B3318" t="s">
        <v>36</v>
      </c>
      <c r="C3318">
        <v>635</v>
      </c>
      <c r="D3318">
        <v>1</v>
      </c>
      <c r="E3318" t="s">
        <v>34</v>
      </c>
      <c r="F3318" t="s">
        <v>35</v>
      </c>
      <c r="G3318" t="str">
        <f>"2024-10-12 09:55:41.559"</f>
        <v>2024-10-12 09:55:41.559</v>
      </c>
      <c r="H3318" t="s">
        <v>21</v>
      </c>
      <c r="I3318">
        <v>8.41</v>
      </c>
      <c r="J3318" t="s">
        <v>37</v>
      </c>
    </row>
    <row r="3319" spans="1:10" x14ac:dyDescent="0.25">
      <c r="A3319" s="1">
        <v>503</v>
      </c>
      <c r="B3319" t="s">
        <v>22</v>
      </c>
      <c r="C3319">
        <v>635</v>
      </c>
      <c r="D3319">
        <v>1</v>
      </c>
      <c r="E3319" t="s">
        <v>34</v>
      </c>
      <c r="F3319" t="s">
        <v>35</v>
      </c>
      <c r="G3319" t="str">
        <f>"2024-10-11 15:21:29.959"</f>
        <v>2024-10-11 15:21:29.959</v>
      </c>
      <c r="H3319" t="s">
        <v>21</v>
      </c>
    </row>
    <row r="3320" spans="1:10" x14ac:dyDescent="0.25">
      <c r="A3320" s="1">
        <v>504</v>
      </c>
      <c r="B3320" t="s">
        <v>36</v>
      </c>
      <c r="C3320">
        <v>635</v>
      </c>
      <c r="D3320">
        <v>1</v>
      </c>
      <c r="E3320" t="s">
        <v>34</v>
      </c>
      <c r="F3320" t="s">
        <v>35</v>
      </c>
      <c r="G3320" t="str">
        <f>"2024-10-11 14:58:52.959"</f>
        <v>2024-10-11 14:58:52.959</v>
      </c>
      <c r="H3320" t="s">
        <v>21</v>
      </c>
      <c r="I3320">
        <v>6.36</v>
      </c>
      <c r="J3320" t="s">
        <v>37</v>
      </c>
    </row>
    <row r="3321" spans="1:10" x14ac:dyDescent="0.25">
      <c r="A3321" s="1">
        <v>505</v>
      </c>
      <c r="B3321" t="s">
        <v>22</v>
      </c>
      <c r="C3321">
        <v>61</v>
      </c>
      <c r="D3321">
        <v>2</v>
      </c>
      <c r="E3321" t="s">
        <v>66</v>
      </c>
      <c r="F3321" t="s">
        <v>67</v>
      </c>
      <c r="G3321" t="str">
        <f>"2024-10-10 15:31:39.300"</f>
        <v>2024-10-10 15:31:39.300</v>
      </c>
      <c r="H3321" t="s">
        <v>21</v>
      </c>
    </row>
    <row r="3322" spans="1:10" x14ac:dyDescent="0.25">
      <c r="A3322" s="1">
        <v>506</v>
      </c>
      <c r="B3322" t="s">
        <v>26</v>
      </c>
      <c r="C3322">
        <v>61</v>
      </c>
      <c r="D3322">
        <v>2</v>
      </c>
      <c r="E3322" t="s">
        <v>66</v>
      </c>
      <c r="F3322" t="s">
        <v>67</v>
      </c>
      <c r="G3322" t="str">
        <f>"2024-10-10 15:31:30.900"</f>
        <v>2024-10-10 15:31:30.900</v>
      </c>
      <c r="H3322" t="s">
        <v>21</v>
      </c>
      <c r="I3322">
        <v>36.340000000000003</v>
      </c>
      <c r="J3322" t="s">
        <v>27</v>
      </c>
    </row>
    <row r="3323" spans="1:10" s="3" customFormat="1" x14ac:dyDescent="0.25">
      <c r="A3323" s="2">
        <v>507</v>
      </c>
      <c r="B3323" s="3" t="s">
        <v>22</v>
      </c>
      <c r="C3323" s="3">
        <v>647</v>
      </c>
      <c r="D3323" s="3">
        <v>1</v>
      </c>
      <c r="E3323" s="3" t="s">
        <v>54</v>
      </c>
      <c r="F3323" s="3" t="s">
        <v>55</v>
      </c>
      <c r="G3323" s="3" t="str">
        <f>"2024-10-10 11:02:11.307"</f>
        <v>2024-10-10 11:02:11.307</v>
      </c>
      <c r="H3323" s="3" t="s">
        <v>21</v>
      </c>
    </row>
    <row r="3324" spans="1:10" s="3" customFormat="1" x14ac:dyDescent="0.25">
      <c r="A3324" s="2">
        <v>508</v>
      </c>
      <c r="B3324" s="3" t="s">
        <v>36</v>
      </c>
      <c r="C3324" s="3">
        <v>647</v>
      </c>
      <c r="D3324" s="3">
        <v>1</v>
      </c>
      <c r="E3324" s="3" t="s">
        <v>54</v>
      </c>
      <c r="F3324" s="3" t="s">
        <v>55</v>
      </c>
      <c r="G3324" s="3" t="str">
        <f>"2024-10-10 11:02:05.407"</f>
        <v>2024-10-10 11:02:05.407</v>
      </c>
      <c r="H3324" s="3" t="s">
        <v>21</v>
      </c>
      <c r="I3324" s="3">
        <v>31.11</v>
      </c>
      <c r="J3324" s="3" t="s">
        <v>27</v>
      </c>
    </row>
    <row r="3325" spans="1:10" x14ac:dyDescent="0.25">
      <c r="A3325" s="1">
        <v>509</v>
      </c>
      <c r="B3325" t="s">
        <v>22</v>
      </c>
      <c r="C3325">
        <v>61</v>
      </c>
      <c r="D3325">
        <v>2</v>
      </c>
      <c r="E3325" t="s">
        <v>66</v>
      </c>
      <c r="F3325" t="s">
        <v>67</v>
      </c>
      <c r="G3325" t="str">
        <f>"2024-10-10 09:07:32.100"</f>
        <v>2024-10-10 09:07:32.100</v>
      </c>
      <c r="H3325" t="s">
        <v>21</v>
      </c>
    </row>
    <row r="3326" spans="1:10" x14ac:dyDescent="0.25">
      <c r="A3326" s="1">
        <v>510</v>
      </c>
      <c r="B3326" t="s">
        <v>26</v>
      </c>
      <c r="C3326">
        <v>61</v>
      </c>
      <c r="D3326">
        <v>2</v>
      </c>
      <c r="E3326" t="s">
        <v>66</v>
      </c>
      <c r="F3326" t="s">
        <v>67</v>
      </c>
      <c r="G3326" t="str">
        <f>"2024-10-10 09:07:23.100"</f>
        <v>2024-10-10 09:07:23.100</v>
      </c>
      <c r="H3326" t="s">
        <v>21</v>
      </c>
      <c r="I3326">
        <v>36.4</v>
      </c>
      <c r="J3326" t="s">
        <v>27</v>
      </c>
    </row>
    <row r="3327" spans="1:10" x14ac:dyDescent="0.25">
      <c r="A3327" s="1">
        <v>511</v>
      </c>
      <c r="B3327" t="s">
        <v>22</v>
      </c>
      <c r="C3327">
        <v>635</v>
      </c>
      <c r="D3327">
        <v>1</v>
      </c>
      <c r="E3327" t="s">
        <v>34</v>
      </c>
      <c r="F3327" t="s">
        <v>35</v>
      </c>
      <c r="G3327" t="str">
        <f>"2024-10-10 08:46:21.359"</f>
        <v>2024-10-10 08:46:21.359</v>
      </c>
      <c r="H3327" t="s">
        <v>21</v>
      </c>
    </row>
    <row r="3328" spans="1:10" x14ac:dyDescent="0.25">
      <c r="A3328" s="1">
        <v>512</v>
      </c>
      <c r="B3328" t="s">
        <v>36</v>
      </c>
      <c r="C3328">
        <v>635</v>
      </c>
      <c r="D3328">
        <v>1</v>
      </c>
      <c r="E3328" t="s">
        <v>34</v>
      </c>
      <c r="F3328" t="s">
        <v>35</v>
      </c>
      <c r="G3328" t="str">
        <f>"2024-10-10 08:17:07.959"</f>
        <v>2024-10-10 08:17:07.959</v>
      </c>
      <c r="H3328" t="s">
        <v>21</v>
      </c>
      <c r="I3328">
        <v>8.66</v>
      </c>
      <c r="J3328" t="s">
        <v>37</v>
      </c>
    </row>
    <row r="3329" spans="1:10" s="3" customFormat="1" x14ac:dyDescent="0.25">
      <c r="A3329" s="2">
        <v>513</v>
      </c>
      <c r="B3329" s="3" t="s">
        <v>22</v>
      </c>
      <c r="C3329" s="3">
        <v>647</v>
      </c>
      <c r="D3329" s="3">
        <v>1</v>
      </c>
      <c r="E3329" s="3" t="s">
        <v>54</v>
      </c>
      <c r="F3329" s="3" t="s">
        <v>55</v>
      </c>
      <c r="G3329" s="3" t="str">
        <f>"2024-10-10 07:29:19.007"</f>
        <v>2024-10-10 07:29:19.007</v>
      </c>
      <c r="H3329" s="3" t="s">
        <v>21</v>
      </c>
    </row>
    <row r="3330" spans="1:10" s="3" customFormat="1" x14ac:dyDescent="0.25">
      <c r="A3330" s="2">
        <v>514</v>
      </c>
      <c r="B3330" s="3" t="s">
        <v>36</v>
      </c>
      <c r="C3330" s="3">
        <v>647</v>
      </c>
      <c r="D3330" s="3">
        <v>1</v>
      </c>
      <c r="E3330" s="3" t="s">
        <v>54</v>
      </c>
      <c r="F3330" s="3" t="s">
        <v>55</v>
      </c>
      <c r="G3330" s="3" t="str">
        <f>"2024-10-10 07:29:15.707"</f>
        <v>2024-10-10 07:29:15.707</v>
      </c>
      <c r="H3330" s="3" t="s">
        <v>21</v>
      </c>
      <c r="I3330" s="3">
        <v>19.29</v>
      </c>
      <c r="J3330" s="3" t="s">
        <v>27</v>
      </c>
    </row>
    <row r="3331" spans="1:10" x14ac:dyDescent="0.25">
      <c r="A3331" s="1">
        <v>515</v>
      </c>
      <c r="B3331" t="s">
        <v>22</v>
      </c>
      <c r="C3331">
        <v>635</v>
      </c>
      <c r="D3331">
        <v>1</v>
      </c>
      <c r="E3331" t="s">
        <v>34</v>
      </c>
      <c r="F3331" t="s">
        <v>35</v>
      </c>
      <c r="G3331" t="str">
        <f>"2024-10-10 04:57:07.259"</f>
        <v>2024-10-10 04:57:07.259</v>
      </c>
      <c r="H3331" t="s">
        <v>21</v>
      </c>
    </row>
    <row r="3332" spans="1:10" x14ac:dyDescent="0.25">
      <c r="A3332" s="1">
        <v>516</v>
      </c>
      <c r="B3332" t="s">
        <v>36</v>
      </c>
      <c r="C3332">
        <v>635</v>
      </c>
      <c r="D3332">
        <v>1</v>
      </c>
      <c r="E3332" t="s">
        <v>34</v>
      </c>
      <c r="F3332" t="s">
        <v>35</v>
      </c>
      <c r="G3332" t="str">
        <f>"2024-10-10 04:52:46.259"</f>
        <v>2024-10-10 04:52:46.259</v>
      </c>
      <c r="H3332" t="s">
        <v>21</v>
      </c>
      <c r="I3332">
        <v>1.21</v>
      </c>
      <c r="J3332" t="s">
        <v>37</v>
      </c>
    </row>
    <row r="3333" spans="1:10" x14ac:dyDescent="0.25">
      <c r="A3333" s="1">
        <v>518</v>
      </c>
      <c r="B3333" t="s">
        <v>22</v>
      </c>
      <c r="C3333">
        <v>635</v>
      </c>
      <c r="D3333">
        <v>1</v>
      </c>
      <c r="E3333" t="s">
        <v>34</v>
      </c>
      <c r="F3333" t="s">
        <v>35</v>
      </c>
      <c r="G3333" t="str">
        <f>"2024-10-09 05:46:20.459"</f>
        <v>2024-10-09 05:46:20.459</v>
      </c>
      <c r="H3333" t="s">
        <v>21</v>
      </c>
    </row>
    <row r="3334" spans="1:10" x14ac:dyDescent="0.25">
      <c r="A3334" s="1">
        <v>519</v>
      </c>
      <c r="B3334" t="s">
        <v>36</v>
      </c>
      <c r="C3334">
        <v>635</v>
      </c>
      <c r="D3334">
        <v>1</v>
      </c>
      <c r="E3334" t="s">
        <v>34</v>
      </c>
      <c r="F3334" t="s">
        <v>35</v>
      </c>
      <c r="G3334" t="str">
        <f>"2024-10-09 05:42:39.459"</f>
        <v>2024-10-09 05:42:39.459</v>
      </c>
      <c r="H3334" t="s">
        <v>21</v>
      </c>
      <c r="I3334">
        <v>1.81</v>
      </c>
      <c r="J3334" t="s">
        <v>37</v>
      </c>
    </row>
    <row r="3335" spans="1:10" s="3" customFormat="1" x14ac:dyDescent="0.25">
      <c r="A3335" s="2">
        <v>520</v>
      </c>
      <c r="B3335" s="3" t="s">
        <v>22</v>
      </c>
      <c r="C3335" s="3">
        <v>647</v>
      </c>
      <c r="D3335" s="3">
        <v>1</v>
      </c>
      <c r="E3335" s="3" t="s">
        <v>54</v>
      </c>
      <c r="F3335" s="3" t="s">
        <v>55</v>
      </c>
      <c r="G3335" s="3" t="str">
        <f>"2024-10-08 08:58:23.707"</f>
        <v>2024-10-08 08:58:23.707</v>
      </c>
      <c r="H3335" s="3" t="s">
        <v>21</v>
      </c>
    </row>
    <row r="3336" spans="1:10" s="3" customFormat="1" x14ac:dyDescent="0.25">
      <c r="A3336" s="2">
        <v>521</v>
      </c>
      <c r="B3336" s="3" t="s">
        <v>36</v>
      </c>
      <c r="C3336" s="3">
        <v>647</v>
      </c>
      <c r="D3336" s="3">
        <v>1</v>
      </c>
      <c r="E3336" s="3" t="s">
        <v>54</v>
      </c>
      <c r="F3336" s="3" t="s">
        <v>55</v>
      </c>
      <c r="G3336" s="3" t="str">
        <f>"2024-10-08 08:58:20.607"</f>
        <v>2024-10-08 08:58:20.607</v>
      </c>
      <c r="H3336" s="3" t="s">
        <v>21</v>
      </c>
      <c r="I3336" s="3">
        <v>14.94</v>
      </c>
      <c r="J3336" s="3" t="s">
        <v>27</v>
      </c>
    </row>
    <row r="3337" spans="1:10" s="3" customFormat="1" x14ac:dyDescent="0.25">
      <c r="A3337" s="2">
        <v>523</v>
      </c>
      <c r="B3337" s="3" t="s">
        <v>22</v>
      </c>
      <c r="C3337" s="3">
        <v>647</v>
      </c>
      <c r="D3337" s="3">
        <v>1</v>
      </c>
      <c r="E3337" s="3" t="s">
        <v>54</v>
      </c>
      <c r="F3337" s="3" t="s">
        <v>55</v>
      </c>
      <c r="G3337" s="3" t="str">
        <f>"2024-10-07 09:46:14.308"</f>
        <v>2024-10-07 09:46:14.308</v>
      </c>
      <c r="H3337" s="3" t="s">
        <v>21</v>
      </c>
    </row>
    <row r="3338" spans="1:10" s="3" customFormat="1" x14ac:dyDescent="0.25">
      <c r="A3338" s="2">
        <v>524</v>
      </c>
      <c r="B3338" s="3" t="s">
        <v>36</v>
      </c>
      <c r="C3338" s="3">
        <v>647</v>
      </c>
      <c r="D3338" s="3">
        <v>1</v>
      </c>
      <c r="E3338" s="3" t="s">
        <v>54</v>
      </c>
      <c r="F3338" s="3" t="s">
        <v>55</v>
      </c>
      <c r="G3338" s="3" t="str">
        <f>"2024-10-07 09:46:10.807"</f>
        <v>2024-10-07 09:46:10.807</v>
      </c>
      <c r="H3338" s="3" t="s">
        <v>21</v>
      </c>
      <c r="I3338" s="3">
        <v>8.68</v>
      </c>
      <c r="J3338" s="3" t="s">
        <v>27</v>
      </c>
    </row>
    <row r="3339" spans="1:10" s="3" customFormat="1" x14ac:dyDescent="0.25">
      <c r="A3339" s="2">
        <v>525</v>
      </c>
      <c r="B3339" s="3" t="s">
        <v>22</v>
      </c>
      <c r="C3339" s="3">
        <v>647</v>
      </c>
      <c r="D3339" s="3">
        <v>1</v>
      </c>
      <c r="E3339" s="3" t="s">
        <v>54</v>
      </c>
      <c r="F3339" s="3" t="s">
        <v>55</v>
      </c>
      <c r="G3339" s="3" t="str">
        <f>"2024-10-07 00:02:37.907"</f>
        <v>2024-10-07 00:02:37.907</v>
      </c>
      <c r="H3339" s="3" t="s">
        <v>21</v>
      </c>
    </row>
    <row r="3340" spans="1:10" s="3" customFormat="1" x14ac:dyDescent="0.25">
      <c r="A3340" s="2">
        <v>526</v>
      </c>
      <c r="B3340" s="3" t="s">
        <v>36</v>
      </c>
      <c r="C3340" s="3">
        <v>647</v>
      </c>
      <c r="D3340" s="3">
        <v>1</v>
      </c>
      <c r="E3340" s="3" t="s">
        <v>54</v>
      </c>
      <c r="F3340" s="3" t="s">
        <v>55</v>
      </c>
      <c r="G3340" s="3" t="str">
        <f>"2024-10-07 00:02:36.808"</f>
        <v>2024-10-07 00:02:36.808</v>
      </c>
      <c r="H3340" s="3" t="s">
        <v>21</v>
      </c>
      <c r="I3340" s="3">
        <v>12.47</v>
      </c>
      <c r="J3340" s="3" t="s">
        <v>27</v>
      </c>
    </row>
    <row r="3341" spans="1:10" x14ac:dyDescent="0.25">
      <c r="A3341" s="1">
        <v>527</v>
      </c>
      <c r="B3341" t="s">
        <v>19</v>
      </c>
      <c r="C3341">
        <v>706</v>
      </c>
      <c r="D3341">
        <v>4</v>
      </c>
      <c r="E3341" t="s">
        <v>29</v>
      </c>
      <c r="F3341" t="s">
        <v>53</v>
      </c>
      <c r="G3341" t="str">
        <f>"2024-10-06 05:33:57.649"</f>
        <v>2024-10-06 05:33:57.649</v>
      </c>
      <c r="H3341" t="s">
        <v>21</v>
      </c>
      <c r="I3341">
        <v>0</v>
      </c>
      <c r="J3341" t="s">
        <v>31</v>
      </c>
    </row>
    <row r="3342" spans="1:10" x14ac:dyDescent="0.25">
      <c r="A3342" s="1">
        <v>528</v>
      </c>
      <c r="B3342" t="s">
        <v>19</v>
      </c>
      <c r="C3342">
        <v>700</v>
      </c>
      <c r="D3342">
        <v>0</v>
      </c>
      <c r="E3342" t="s">
        <v>20</v>
      </c>
      <c r="F3342" t="s">
        <v>20</v>
      </c>
      <c r="G3342" t="str">
        <f>"2024-10-06 05:29:57.749"</f>
        <v>2024-10-06 05:29:57.749</v>
      </c>
      <c r="H3342" t="s">
        <v>21</v>
      </c>
      <c r="I3342">
        <v>0</v>
      </c>
      <c r="J3342" t="s">
        <v>33</v>
      </c>
    </row>
    <row r="3343" spans="1:10" x14ac:dyDescent="0.25">
      <c r="A3343" s="1">
        <v>529</v>
      </c>
      <c r="B3343" t="s">
        <v>19</v>
      </c>
      <c r="C3343">
        <v>700</v>
      </c>
      <c r="D3343">
        <v>0</v>
      </c>
      <c r="E3343" t="s">
        <v>20</v>
      </c>
      <c r="F3343" t="s">
        <v>20</v>
      </c>
      <c r="G3343" t="str">
        <f>"2024-10-06 05:06:00.758"</f>
        <v>2024-10-06 05:06:00.758</v>
      </c>
      <c r="H3343" t="s">
        <v>21</v>
      </c>
      <c r="I3343">
        <v>0</v>
      </c>
      <c r="J3343" t="s">
        <v>33</v>
      </c>
    </row>
    <row r="3344" spans="1:10" x14ac:dyDescent="0.25">
      <c r="A3344" s="1">
        <v>530</v>
      </c>
      <c r="B3344" t="s">
        <v>19</v>
      </c>
      <c r="C3344">
        <v>700</v>
      </c>
      <c r="D3344">
        <v>0</v>
      </c>
      <c r="E3344" t="s">
        <v>20</v>
      </c>
      <c r="F3344" t="s">
        <v>20</v>
      </c>
      <c r="G3344" t="str">
        <f>"2024-10-06 04:56:16.755"</f>
        <v>2024-10-06 04:56:16.755</v>
      </c>
      <c r="H3344" t="s">
        <v>21</v>
      </c>
      <c r="I3344">
        <v>0</v>
      </c>
      <c r="J3344" t="s">
        <v>33</v>
      </c>
    </row>
    <row r="3345" spans="1:10" x14ac:dyDescent="0.25">
      <c r="A3345" s="1">
        <v>531</v>
      </c>
      <c r="B3345" t="s">
        <v>19</v>
      </c>
      <c r="C3345">
        <v>700</v>
      </c>
      <c r="D3345">
        <v>0</v>
      </c>
      <c r="E3345" t="s">
        <v>20</v>
      </c>
      <c r="F3345" t="s">
        <v>20</v>
      </c>
      <c r="G3345" t="str">
        <f>"2024-10-06 03:43:45.778"</f>
        <v>2024-10-06 03:43:45.778</v>
      </c>
      <c r="H3345" t="s">
        <v>21</v>
      </c>
    </row>
    <row r="3346" spans="1:10" s="3" customFormat="1" x14ac:dyDescent="0.25">
      <c r="A3346" s="2">
        <v>532</v>
      </c>
      <c r="B3346" s="3" t="s">
        <v>22</v>
      </c>
      <c r="C3346" s="3">
        <v>647</v>
      </c>
      <c r="D3346" s="3">
        <v>1</v>
      </c>
      <c r="E3346" s="3" t="s">
        <v>54</v>
      </c>
      <c r="F3346" s="3" t="s">
        <v>55</v>
      </c>
      <c r="G3346" s="3" t="str">
        <f>"2024-10-05 08:18:20.908"</f>
        <v>2024-10-05 08:18:20.908</v>
      </c>
      <c r="H3346" s="3" t="s">
        <v>21</v>
      </c>
    </row>
    <row r="3347" spans="1:10" s="3" customFormat="1" x14ac:dyDescent="0.25">
      <c r="A3347" s="2">
        <v>533</v>
      </c>
      <c r="B3347" s="3" t="s">
        <v>36</v>
      </c>
      <c r="C3347" s="3">
        <v>647</v>
      </c>
      <c r="D3347" s="3">
        <v>1</v>
      </c>
      <c r="E3347" s="3" t="s">
        <v>54</v>
      </c>
      <c r="F3347" s="3" t="s">
        <v>55</v>
      </c>
      <c r="G3347" s="3" t="str">
        <f>"2024-10-05 08:18:19.008"</f>
        <v>2024-10-05 08:18:19.008</v>
      </c>
      <c r="H3347" s="3" t="s">
        <v>21</v>
      </c>
      <c r="I3347" s="3">
        <v>20.03</v>
      </c>
      <c r="J3347" s="3" t="s">
        <v>27</v>
      </c>
    </row>
    <row r="3348" spans="1:10" s="3" customFormat="1" x14ac:dyDescent="0.25">
      <c r="A3348" s="2">
        <v>534</v>
      </c>
      <c r="B3348" s="3" t="s">
        <v>22</v>
      </c>
      <c r="C3348" s="3">
        <v>647</v>
      </c>
      <c r="D3348" s="3">
        <v>1</v>
      </c>
      <c r="E3348" s="3" t="s">
        <v>54</v>
      </c>
      <c r="F3348" s="3" t="s">
        <v>55</v>
      </c>
      <c r="G3348" s="3" t="str">
        <f>"2024-10-05 07:27:40.808"</f>
        <v>2024-10-05 07:27:40.808</v>
      </c>
      <c r="H3348" s="3" t="s">
        <v>21</v>
      </c>
    </row>
    <row r="3349" spans="1:10" s="3" customFormat="1" x14ac:dyDescent="0.25">
      <c r="A3349" s="2">
        <v>535</v>
      </c>
      <c r="B3349" s="3" t="s">
        <v>36</v>
      </c>
      <c r="C3349" s="3">
        <v>647</v>
      </c>
      <c r="D3349" s="3">
        <v>1</v>
      </c>
      <c r="E3349" s="3" t="s">
        <v>54</v>
      </c>
      <c r="F3349" s="3" t="s">
        <v>55</v>
      </c>
      <c r="G3349" s="3" t="str">
        <f>"2024-10-05 07:27:39.707"</f>
        <v>2024-10-05 07:27:39.707</v>
      </c>
      <c r="H3349" s="3" t="s">
        <v>21</v>
      </c>
      <c r="I3349" s="3">
        <v>9.8699999999999992</v>
      </c>
      <c r="J3349" s="3" t="s">
        <v>28</v>
      </c>
    </row>
    <row r="3350" spans="1:10" x14ac:dyDescent="0.25">
      <c r="A3350" s="1">
        <v>536</v>
      </c>
      <c r="B3350" t="s">
        <v>22</v>
      </c>
      <c r="C3350">
        <v>635</v>
      </c>
      <c r="D3350">
        <v>1</v>
      </c>
      <c r="E3350" t="s">
        <v>34</v>
      </c>
      <c r="F3350" t="s">
        <v>35</v>
      </c>
      <c r="G3350" t="str">
        <f>"2024-10-03 15:45:53.507"</f>
        <v>2024-10-03 15:45:53.507</v>
      </c>
      <c r="H3350" t="s">
        <v>21</v>
      </c>
    </row>
    <row r="3351" spans="1:10" x14ac:dyDescent="0.25">
      <c r="A3351" s="1">
        <v>537</v>
      </c>
      <c r="B3351" t="s">
        <v>36</v>
      </c>
      <c r="C3351">
        <v>635</v>
      </c>
      <c r="D3351">
        <v>1</v>
      </c>
      <c r="E3351" t="s">
        <v>34</v>
      </c>
      <c r="F3351" t="s">
        <v>35</v>
      </c>
      <c r="G3351" t="str">
        <f>"2024-10-03 15:32:01.508"</f>
        <v>2024-10-03 15:32:01.508</v>
      </c>
      <c r="H3351" t="s">
        <v>21</v>
      </c>
      <c r="I3351">
        <v>9.3000000000000007</v>
      </c>
      <c r="J3351" t="s">
        <v>27</v>
      </c>
    </row>
    <row r="3352" spans="1:10" x14ac:dyDescent="0.25">
      <c r="A3352" s="1">
        <v>538</v>
      </c>
      <c r="B3352" t="s">
        <v>22</v>
      </c>
      <c r="C3352">
        <v>635</v>
      </c>
      <c r="D3352">
        <v>1</v>
      </c>
      <c r="E3352" t="s">
        <v>34</v>
      </c>
      <c r="F3352" t="s">
        <v>35</v>
      </c>
      <c r="G3352" t="str">
        <f>"2024-10-03 14:34:13.607"</f>
        <v>2024-10-03 14:34:13.607</v>
      </c>
      <c r="H3352" t="s">
        <v>21</v>
      </c>
    </row>
    <row r="3353" spans="1:10" x14ac:dyDescent="0.25">
      <c r="A3353" s="1">
        <v>539</v>
      </c>
      <c r="B3353" t="s">
        <v>36</v>
      </c>
      <c r="C3353">
        <v>635</v>
      </c>
      <c r="D3353">
        <v>1</v>
      </c>
      <c r="E3353" t="s">
        <v>34</v>
      </c>
      <c r="F3353" t="s">
        <v>35</v>
      </c>
      <c r="G3353" t="str">
        <f>"2024-10-03 14:20:55.607"</f>
        <v>2024-10-03 14:20:55.607</v>
      </c>
      <c r="H3353" t="s">
        <v>21</v>
      </c>
      <c r="I3353">
        <v>9.39</v>
      </c>
      <c r="J3353" t="s">
        <v>27</v>
      </c>
    </row>
    <row r="3354" spans="1:10" s="3" customFormat="1" x14ac:dyDescent="0.25">
      <c r="A3354" s="2">
        <v>540</v>
      </c>
      <c r="B3354" s="3" t="s">
        <v>22</v>
      </c>
      <c r="C3354" s="3">
        <v>647</v>
      </c>
      <c r="D3354" s="3">
        <v>1</v>
      </c>
      <c r="E3354" s="3" t="s">
        <v>54</v>
      </c>
      <c r="F3354" s="3" t="s">
        <v>55</v>
      </c>
      <c r="G3354" s="3" t="str">
        <f>"2024-10-03 08:28:38.208"</f>
        <v>2024-10-03 08:28:38.208</v>
      </c>
      <c r="H3354" s="3" t="s">
        <v>21</v>
      </c>
    </row>
    <row r="3355" spans="1:10" s="3" customFormat="1" x14ac:dyDescent="0.25">
      <c r="A3355" s="2">
        <v>541</v>
      </c>
      <c r="B3355" s="3" t="s">
        <v>36</v>
      </c>
      <c r="C3355" s="3">
        <v>647</v>
      </c>
      <c r="D3355" s="3">
        <v>1</v>
      </c>
      <c r="E3355" s="3" t="s">
        <v>54</v>
      </c>
      <c r="F3355" s="3" t="s">
        <v>55</v>
      </c>
      <c r="G3355" s="3" t="str">
        <f>"2024-10-03 08:28:33.108"</f>
        <v>2024-10-03 08:28:33.108</v>
      </c>
      <c r="H3355" s="3" t="s">
        <v>21</v>
      </c>
      <c r="I3355" s="3">
        <v>21.51</v>
      </c>
      <c r="J3355" s="3" t="s">
        <v>27</v>
      </c>
    </row>
    <row r="3356" spans="1:10" s="3" customFormat="1" x14ac:dyDescent="0.25">
      <c r="A3356" s="2">
        <v>542</v>
      </c>
      <c r="B3356" s="3" t="s">
        <v>22</v>
      </c>
      <c r="C3356" s="3">
        <v>647</v>
      </c>
      <c r="D3356" s="3">
        <v>1</v>
      </c>
      <c r="E3356" s="3" t="s">
        <v>54</v>
      </c>
      <c r="F3356" s="3" t="s">
        <v>55</v>
      </c>
      <c r="G3356" s="3" t="str">
        <f>"2024-10-03 08:27:49.208"</f>
        <v>2024-10-03 08:27:49.208</v>
      </c>
      <c r="H3356" s="3" t="s">
        <v>21</v>
      </c>
    </row>
    <row r="3357" spans="1:10" s="3" customFormat="1" x14ac:dyDescent="0.25">
      <c r="A3357" s="2">
        <v>543</v>
      </c>
      <c r="B3357" s="3" t="s">
        <v>36</v>
      </c>
      <c r="C3357" s="3">
        <v>647</v>
      </c>
      <c r="D3357" s="3">
        <v>1</v>
      </c>
      <c r="E3357" s="3" t="s">
        <v>54</v>
      </c>
      <c r="F3357" s="3" t="s">
        <v>55</v>
      </c>
      <c r="G3357" s="3" t="str">
        <f>"2024-10-03 08:27:47.508"</f>
        <v>2024-10-03 08:27:47.508</v>
      </c>
      <c r="H3357" s="3" t="s">
        <v>21</v>
      </c>
      <c r="I3357" s="3">
        <v>9.5</v>
      </c>
      <c r="J3357" s="3" t="s">
        <v>27</v>
      </c>
    </row>
    <row r="3358" spans="1:10" x14ac:dyDescent="0.25">
      <c r="A3358" s="1">
        <v>544</v>
      </c>
      <c r="B3358" t="s">
        <v>22</v>
      </c>
      <c r="C3358">
        <v>61</v>
      </c>
      <c r="D3358">
        <v>2</v>
      </c>
      <c r="E3358" t="s">
        <v>66</v>
      </c>
      <c r="F3358" t="s">
        <v>67</v>
      </c>
      <c r="G3358" t="str">
        <f>"2024-10-03 04:05:26.248"</f>
        <v>2024-10-03 04:05:26.248</v>
      </c>
      <c r="H3358" t="s">
        <v>21</v>
      </c>
    </row>
    <row r="3359" spans="1:10" x14ac:dyDescent="0.25">
      <c r="A3359" s="1">
        <v>545</v>
      </c>
      <c r="B3359" t="s">
        <v>26</v>
      </c>
      <c r="C3359">
        <v>61</v>
      </c>
      <c r="D3359">
        <v>2</v>
      </c>
      <c r="E3359" t="s">
        <v>66</v>
      </c>
      <c r="F3359" t="s">
        <v>67</v>
      </c>
      <c r="G3359" t="str">
        <f>"2024-10-03 04:05:07.048"</f>
        <v>2024-10-03 04:05:07.048</v>
      </c>
      <c r="H3359" t="s">
        <v>21</v>
      </c>
      <c r="I3359">
        <v>36.700000000000003</v>
      </c>
      <c r="J3359" t="s">
        <v>27</v>
      </c>
    </row>
    <row r="3360" spans="1:10" x14ac:dyDescent="0.25">
      <c r="A3360" s="1">
        <v>546</v>
      </c>
      <c r="B3360" t="s">
        <v>22</v>
      </c>
      <c r="C3360">
        <v>635</v>
      </c>
      <c r="D3360">
        <v>1</v>
      </c>
      <c r="E3360" t="s">
        <v>34</v>
      </c>
      <c r="F3360" t="s">
        <v>35</v>
      </c>
      <c r="G3360" t="str">
        <f>"2024-10-02 15:23:53.407"</f>
        <v>2024-10-02 15:23:53.407</v>
      </c>
      <c r="H3360" t="s">
        <v>21</v>
      </c>
    </row>
    <row r="3361" spans="1:10" x14ac:dyDescent="0.25">
      <c r="A3361" s="1">
        <v>547</v>
      </c>
      <c r="B3361" t="s">
        <v>36</v>
      </c>
      <c r="C3361">
        <v>635</v>
      </c>
      <c r="D3361">
        <v>1</v>
      </c>
      <c r="E3361" t="s">
        <v>34</v>
      </c>
      <c r="F3361" t="s">
        <v>35</v>
      </c>
      <c r="G3361" t="str">
        <f>"2024-10-02 15:09:43.908"</f>
        <v>2024-10-02 15:09:43.908</v>
      </c>
      <c r="H3361" t="s">
        <v>21</v>
      </c>
      <c r="I3361">
        <v>9.33</v>
      </c>
      <c r="J3361" t="s">
        <v>37</v>
      </c>
    </row>
    <row r="3362" spans="1:10" s="3" customFormat="1" x14ac:dyDescent="0.25">
      <c r="A3362" s="2">
        <v>548</v>
      </c>
      <c r="B3362" s="3" t="s">
        <v>22</v>
      </c>
      <c r="C3362" s="3">
        <v>647</v>
      </c>
      <c r="D3362" s="3">
        <v>1</v>
      </c>
      <c r="E3362" s="3" t="s">
        <v>54</v>
      </c>
      <c r="F3362" s="3" t="s">
        <v>55</v>
      </c>
      <c r="G3362" s="3" t="str">
        <f>"2024-10-02 08:20:01.208"</f>
        <v>2024-10-02 08:20:01.208</v>
      </c>
      <c r="H3362" s="3" t="s">
        <v>21</v>
      </c>
    </row>
    <row r="3363" spans="1:10" s="3" customFormat="1" x14ac:dyDescent="0.25">
      <c r="A3363" s="2">
        <v>549</v>
      </c>
      <c r="B3363" s="3" t="s">
        <v>36</v>
      </c>
      <c r="C3363" s="3">
        <v>647</v>
      </c>
      <c r="D3363" s="3">
        <v>1</v>
      </c>
      <c r="E3363" s="3" t="s">
        <v>54</v>
      </c>
      <c r="F3363" s="3" t="s">
        <v>55</v>
      </c>
      <c r="G3363" s="3" t="str">
        <f>"2024-10-02 08:19:59.908"</f>
        <v>2024-10-02 08:19:59.908</v>
      </c>
      <c r="H3363" s="3" t="s">
        <v>21</v>
      </c>
      <c r="I3363" s="3">
        <v>19.809999999999999</v>
      </c>
      <c r="J3363" s="3" t="s">
        <v>27</v>
      </c>
    </row>
    <row r="3364" spans="1:10" x14ac:dyDescent="0.25">
      <c r="A3364" s="1">
        <v>550</v>
      </c>
      <c r="B3364" t="s">
        <v>22</v>
      </c>
      <c r="C3364">
        <v>98</v>
      </c>
      <c r="D3364">
        <v>1</v>
      </c>
      <c r="E3364" t="s">
        <v>99</v>
      </c>
      <c r="F3364" t="s">
        <v>100</v>
      </c>
      <c r="G3364" t="str">
        <f>"2024-10-02 07:34:45.448"</f>
        <v>2024-10-02 07:34:45.448</v>
      </c>
      <c r="H3364" t="s">
        <v>21</v>
      </c>
    </row>
    <row r="3365" spans="1:10" x14ac:dyDescent="0.25">
      <c r="A3365" s="1">
        <v>551</v>
      </c>
      <c r="B3365" t="s">
        <v>36</v>
      </c>
      <c r="C3365">
        <v>98</v>
      </c>
      <c r="D3365">
        <v>1</v>
      </c>
      <c r="E3365" t="s">
        <v>99</v>
      </c>
      <c r="F3365" t="s">
        <v>100</v>
      </c>
      <c r="G3365" t="str">
        <f>"2024-10-02 07:34:44.448"</f>
        <v>2024-10-02 07:34:44.448</v>
      </c>
      <c r="H3365" t="s">
        <v>21</v>
      </c>
      <c r="I3365">
        <v>16.100000000000001</v>
      </c>
      <c r="J3365" t="s">
        <v>37</v>
      </c>
    </row>
    <row r="3366" spans="1:10" s="3" customFormat="1" x14ac:dyDescent="0.25">
      <c r="A3366" s="2">
        <v>552</v>
      </c>
      <c r="B3366" s="3" t="s">
        <v>22</v>
      </c>
      <c r="C3366" s="3">
        <v>647</v>
      </c>
      <c r="D3366" s="3">
        <v>1</v>
      </c>
      <c r="E3366" s="3" t="s">
        <v>54</v>
      </c>
      <c r="F3366" s="3" t="s">
        <v>55</v>
      </c>
      <c r="G3366" s="3" t="str">
        <f>"2024-10-02 01:44:02.908"</f>
        <v>2024-10-02 01:44:02.908</v>
      </c>
      <c r="H3366" s="3" t="s">
        <v>21</v>
      </c>
    </row>
    <row r="3367" spans="1:10" s="3" customFormat="1" x14ac:dyDescent="0.25">
      <c r="A3367" s="2">
        <v>553</v>
      </c>
      <c r="B3367" s="3" t="s">
        <v>36</v>
      </c>
      <c r="C3367" s="3">
        <v>647</v>
      </c>
      <c r="D3367" s="3">
        <v>1</v>
      </c>
      <c r="E3367" s="3" t="s">
        <v>54</v>
      </c>
      <c r="F3367" s="3" t="s">
        <v>55</v>
      </c>
      <c r="G3367" s="3" t="str">
        <f>"2024-10-02 01:44:01.108"</f>
        <v>2024-10-02 01:44:01.108</v>
      </c>
      <c r="H3367" s="3" t="s">
        <v>21</v>
      </c>
      <c r="I3367" s="3">
        <v>8.44</v>
      </c>
      <c r="J3367" s="3" t="s">
        <v>27</v>
      </c>
    </row>
    <row r="3368" spans="1:10" s="3" customFormat="1" x14ac:dyDescent="0.25">
      <c r="A3368" s="2">
        <v>554</v>
      </c>
      <c r="B3368" s="3" t="s">
        <v>22</v>
      </c>
      <c r="C3368" s="3">
        <v>647</v>
      </c>
      <c r="D3368" s="3">
        <v>1</v>
      </c>
      <c r="E3368" s="3" t="s">
        <v>54</v>
      </c>
      <c r="F3368" s="3" t="s">
        <v>55</v>
      </c>
      <c r="G3368" s="3" t="str">
        <f>"2024-10-01 13:50:22.808"</f>
        <v>2024-10-01 13:50:22.808</v>
      </c>
      <c r="H3368" s="3" t="s">
        <v>21</v>
      </c>
    </row>
    <row r="3369" spans="1:10" s="3" customFormat="1" x14ac:dyDescent="0.25">
      <c r="A3369" s="2">
        <v>555</v>
      </c>
      <c r="B3369" s="3" t="s">
        <v>36</v>
      </c>
      <c r="C3369" s="3">
        <v>647</v>
      </c>
      <c r="D3369" s="3">
        <v>1</v>
      </c>
      <c r="E3369" s="3" t="s">
        <v>54</v>
      </c>
      <c r="F3369" s="3" t="s">
        <v>55</v>
      </c>
      <c r="G3369" s="3" t="str">
        <f>"2024-10-01 13:50:18.108"</f>
        <v>2024-10-01 13:50:18.108</v>
      </c>
      <c r="H3369" s="3" t="s">
        <v>21</v>
      </c>
      <c r="I3369" s="3">
        <v>23.72</v>
      </c>
      <c r="J3369" s="3" t="s">
        <v>27</v>
      </c>
    </row>
    <row r="3370" spans="1:10" s="3" customFormat="1" x14ac:dyDescent="0.25">
      <c r="A3370" s="2">
        <v>556</v>
      </c>
      <c r="B3370" s="3" t="s">
        <v>22</v>
      </c>
      <c r="C3370" s="3">
        <v>647</v>
      </c>
      <c r="D3370" s="3">
        <v>1</v>
      </c>
      <c r="E3370" s="3" t="s">
        <v>54</v>
      </c>
      <c r="F3370" s="3" t="s">
        <v>55</v>
      </c>
      <c r="G3370" s="3" t="str">
        <f>"2024-10-01 12:14:13.408"</f>
        <v>2024-10-01 12:14:13.408</v>
      </c>
      <c r="H3370" s="3" t="s">
        <v>21</v>
      </c>
    </row>
    <row r="3371" spans="1:10" s="3" customFormat="1" x14ac:dyDescent="0.25">
      <c r="A3371" s="2">
        <v>557</v>
      </c>
      <c r="B3371" s="3" t="s">
        <v>36</v>
      </c>
      <c r="C3371" s="3">
        <v>647</v>
      </c>
      <c r="D3371" s="3">
        <v>1</v>
      </c>
      <c r="E3371" s="3" t="s">
        <v>54</v>
      </c>
      <c r="F3371" s="3" t="s">
        <v>55</v>
      </c>
      <c r="G3371" s="3" t="str">
        <f>"2024-10-01 12:14:11.108"</f>
        <v>2024-10-01 12:14:11.108</v>
      </c>
      <c r="H3371" s="3" t="s">
        <v>21</v>
      </c>
      <c r="I3371" s="3">
        <v>13.55</v>
      </c>
      <c r="J3371" s="3" t="s">
        <v>27</v>
      </c>
    </row>
    <row r="3372" spans="1:10" x14ac:dyDescent="0.25">
      <c r="A3372" s="1">
        <v>558</v>
      </c>
      <c r="B3372" t="s">
        <v>22</v>
      </c>
      <c r="C3372">
        <v>635</v>
      </c>
      <c r="D3372">
        <v>1</v>
      </c>
      <c r="E3372" t="s">
        <v>34</v>
      </c>
      <c r="F3372" t="s">
        <v>35</v>
      </c>
      <c r="G3372" t="str">
        <f>"2024-10-01 05:39:09.207"</f>
        <v>2024-10-01 05:39:09.207</v>
      </c>
      <c r="H3372" t="s">
        <v>21</v>
      </c>
    </row>
    <row r="3373" spans="1:10" x14ac:dyDescent="0.25">
      <c r="A3373" s="1">
        <v>559</v>
      </c>
      <c r="B3373" t="s">
        <v>36</v>
      </c>
      <c r="C3373">
        <v>635</v>
      </c>
      <c r="D3373">
        <v>1</v>
      </c>
      <c r="E3373" t="s">
        <v>34</v>
      </c>
      <c r="F3373" t="s">
        <v>35</v>
      </c>
      <c r="G3373" t="str">
        <f>"2024-10-01 05:33:30.207"</f>
        <v>2024-10-01 05:33:30.207</v>
      </c>
      <c r="H3373" t="s">
        <v>21</v>
      </c>
      <c r="I3373">
        <v>1.89</v>
      </c>
      <c r="J3373" t="s">
        <v>37</v>
      </c>
    </row>
    <row r="3374" spans="1:10" s="3" customFormat="1" x14ac:dyDescent="0.25">
      <c r="A3374" s="2">
        <v>560</v>
      </c>
      <c r="B3374" s="3" t="s">
        <v>22</v>
      </c>
      <c r="C3374" s="3">
        <v>647</v>
      </c>
      <c r="D3374" s="3">
        <v>1</v>
      </c>
      <c r="E3374" s="3" t="s">
        <v>54</v>
      </c>
      <c r="F3374" s="3" t="s">
        <v>55</v>
      </c>
      <c r="G3374" s="3" t="str">
        <f>"2024-09-30 16:52:40.708"</f>
        <v>2024-09-30 16:52:40.708</v>
      </c>
      <c r="H3374" s="3" t="s">
        <v>21</v>
      </c>
    </row>
    <row r="3375" spans="1:10" s="3" customFormat="1" x14ac:dyDescent="0.25">
      <c r="A3375" s="2">
        <v>561</v>
      </c>
      <c r="B3375" s="3" t="s">
        <v>36</v>
      </c>
      <c r="C3375" s="3">
        <v>647</v>
      </c>
      <c r="D3375" s="3">
        <v>1</v>
      </c>
      <c r="E3375" s="3" t="s">
        <v>54</v>
      </c>
      <c r="F3375" s="3" t="s">
        <v>55</v>
      </c>
      <c r="G3375" s="3" t="str">
        <f>"2024-09-30 16:52:38.008"</f>
        <v>2024-09-30 16:52:38.008</v>
      </c>
      <c r="H3375" s="3" t="s">
        <v>21</v>
      </c>
      <c r="I3375" s="3">
        <v>26.58</v>
      </c>
      <c r="J3375" s="3" t="s">
        <v>27</v>
      </c>
    </row>
    <row r="3376" spans="1:10" x14ac:dyDescent="0.25">
      <c r="A3376" s="1">
        <v>562</v>
      </c>
      <c r="B3376" t="s">
        <v>22</v>
      </c>
      <c r="C3376">
        <v>635</v>
      </c>
      <c r="D3376">
        <v>1</v>
      </c>
      <c r="E3376" t="s">
        <v>34</v>
      </c>
      <c r="F3376" t="s">
        <v>35</v>
      </c>
      <c r="G3376" t="str">
        <f>"2024-09-30 10:01:00.107"</f>
        <v>2024-09-30 10:01:00.107</v>
      </c>
      <c r="H3376" t="s">
        <v>21</v>
      </c>
    </row>
    <row r="3377" spans="1:10" x14ac:dyDescent="0.25">
      <c r="A3377" s="1">
        <v>563</v>
      </c>
      <c r="B3377" t="s">
        <v>36</v>
      </c>
      <c r="C3377">
        <v>635</v>
      </c>
      <c r="D3377">
        <v>1</v>
      </c>
      <c r="E3377" t="s">
        <v>34</v>
      </c>
      <c r="F3377" t="s">
        <v>35</v>
      </c>
      <c r="G3377" t="str">
        <f>"2024-09-30 09:49:25.108"</f>
        <v>2024-09-30 09:49:25.108</v>
      </c>
      <c r="H3377" t="s">
        <v>21</v>
      </c>
      <c r="I3377">
        <v>9.7200000000000006</v>
      </c>
      <c r="J3377" t="s">
        <v>27</v>
      </c>
    </row>
    <row r="3378" spans="1:10" s="3" customFormat="1" x14ac:dyDescent="0.25">
      <c r="A3378" s="2">
        <v>564</v>
      </c>
      <c r="B3378" s="3" t="s">
        <v>22</v>
      </c>
      <c r="C3378" s="3">
        <v>647</v>
      </c>
      <c r="D3378" s="3">
        <v>1</v>
      </c>
      <c r="E3378" s="3" t="s">
        <v>54</v>
      </c>
      <c r="F3378" s="3" t="s">
        <v>55</v>
      </c>
      <c r="G3378" s="3" t="str">
        <f>"2024-09-30 07:34:39.908"</f>
        <v>2024-09-30 07:34:39.908</v>
      </c>
      <c r="H3378" s="3" t="s">
        <v>21</v>
      </c>
    </row>
    <row r="3379" spans="1:10" s="3" customFormat="1" x14ac:dyDescent="0.25">
      <c r="A3379" s="2">
        <v>565</v>
      </c>
      <c r="B3379" s="3" t="s">
        <v>36</v>
      </c>
      <c r="C3379" s="3">
        <v>647</v>
      </c>
      <c r="D3379" s="3">
        <v>1</v>
      </c>
      <c r="E3379" s="3" t="s">
        <v>54</v>
      </c>
      <c r="F3379" s="3" t="s">
        <v>55</v>
      </c>
      <c r="G3379" s="3" t="str">
        <f>"2024-09-30 07:34:37.708"</f>
        <v>2024-09-30 07:34:37.708</v>
      </c>
      <c r="H3379" s="3" t="s">
        <v>21</v>
      </c>
      <c r="I3379" s="3">
        <v>22.85</v>
      </c>
      <c r="J3379" s="3" t="s">
        <v>27</v>
      </c>
    </row>
    <row r="3380" spans="1:10" x14ac:dyDescent="0.25">
      <c r="A3380" s="1">
        <v>566</v>
      </c>
      <c r="B3380" t="s">
        <v>22</v>
      </c>
      <c r="C3380">
        <v>98</v>
      </c>
      <c r="D3380">
        <v>1</v>
      </c>
      <c r="E3380" t="s">
        <v>99</v>
      </c>
      <c r="F3380" t="s">
        <v>100</v>
      </c>
      <c r="G3380" t="str">
        <f>"2024-09-29 11:40:00.648"</f>
        <v>2024-09-29 11:40:00.648</v>
      </c>
      <c r="H3380" t="s">
        <v>21</v>
      </c>
    </row>
    <row r="3381" spans="1:10" x14ac:dyDescent="0.25">
      <c r="A3381" s="1">
        <v>567</v>
      </c>
      <c r="B3381" t="s">
        <v>36</v>
      </c>
      <c r="C3381">
        <v>98</v>
      </c>
      <c r="D3381">
        <v>1</v>
      </c>
      <c r="E3381" t="s">
        <v>99</v>
      </c>
      <c r="F3381" t="s">
        <v>100</v>
      </c>
      <c r="G3381" t="str">
        <f>"2024-09-29 11:39:59.648"</f>
        <v>2024-09-29 11:39:59.648</v>
      </c>
      <c r="H3381" t="s">
        <v>21</v>
      </c>
      <c r="I3381">
        <v>0.17</v>
      </c>
      <c r="J3381" t="s">
        <v>28</v>
      </c>
    </row>
    <row r="3382" spans="1:10" s="3" customFormat="1" x14ac:dyDescent="0.25">
      <c r="A3382" s="2">
        <v>568</v>
      </c>
      <c r="B3382" s="3" t="s">
        <v>22</v>
      </c>
      <c r="C3382" s="3">
        <v>647</v>
      </c>
      <c r="D3382" s="3">
        <v>1</v>
      </c>
      <c r="E3382" s="3" t="s">
        <v>54</v>
      </c>
      <c r="F3382" s="3" t="s">
        <v>55</v>
      </c>
      <c r="G3382" s="3" t="str">
        <f>"2024-09-29 11:19:55.808"</f>
        <v>2024-09-29 11:19:55.808</v>
      </c>
      <c r="H3382" s="3" t="s">
        <v>21</v>
      </c>
    </row>
    <row r="3383" spans="1:10" s="3" customFormat="1" x14ac:dyDescent="0.25">
      <c r="A3383" s="2">
        <v>569</v>
      </c>
      <c r="B3383" s="3" t="s">
        <v>36</v>
      </c>
      <c r="C3383" s="3">
        <v>647</v>
      </c>
      <c r="D3383" s="3">
        <v>1</v>
      </c>
      <c r="E3383" s="3" t="s">
        <v>54</v>
      </c>
      <c r="F3383" s="3" t="s">
        <v>55</v>
      </c>
      <c r="G3383" s="3" t="str">
        <f>"2024-09-29 11:19:53.908"</f>
        <v>2024-09-29 11:19:53.908</v>
      </c>
      <c r="H3383" s="3" t="s">
        <v>21</v>
      </c>
      <c r="I3383" s="3">
        <v>25.12</v>
      </c>
      <c r="J3383" s="3" t="s">
        <v>27</v>
      </c>
    </row>
    <row r="3384" spans="1:10" s="3" customFormat="1" x14ac:dyDescent="0.25">
      <c r="A3384" s="2">
        <v>573</v>
      </c>
      <c r="B3384" s="3" t="s">
        <v>22</v>
      </c>
      <c r="C3384" s="3">
        <v>647</v>
      </c>
      <c r="D3384" s="3">
        <v>1</v>
      </c>
      <c r="E3384" s="3" t="s">
        <v>54</v>
      </c>
      <c r="F3384" s="3" t="s">
        <v>55</v>
      </c>
      <c r="G3384" s="3" t="str">
        <f>"2024-09-27 16:59:33.486"</f>
        <v>2024-09-27 16:59:33.486</v>
      </c>
      <c r="H3384" s="3" t="s">
        <v>21</v>
      </c>
    </row>
    <row r="3385" spans="1:10" s="3" customFormat="1" x14ac:dyDescent="0.25">
      <c r="A3385" s="2">
        <v>574</v>
      </c>
      <c r="B3385" s="3" t="s">
        <v>36</v>
      </c>
      <c r="C3385" s="3">
        <v>647</v>
      </c>
      <c r="D3385" s="3">
        <v>1</v>
      </c>
      <c r="E3385" s="3" t="s">
        <v>54</v>
      </c>
      <c r="F3385" s="3" t="s">
        <v>55</v>
      </c>
      <c r="G3385" s="3" t="str">
        <f>"2024-09-27 16:59:30.985"</f>
        <v>2024-09-27 16:59:30.985</v>
      </c>
      <c r="H3385" s="3" t="s">
        <v>21</v>
      </c>
      <c r="I3385" s="3">
        <v>24.08</v>
      </c>
      <c r="J3385" s="3" t="s">
        <v>27</v>
      </c>
    </row>
    <row r="3386" spans="1:10" x14ac:dyDescent="0.25">
      <c r="A3386" s="1">
        <v>575</v>
      </c>
      <c r="B3386" t="s">
        <v>22</v>
      </c>
      <c r="C3386">
        <v>635</v>
      </c>
      <c r="D3386">
        <v>1</v>
      </c>
      <c r="E3386" t="s">
        <v>34</v>
      </c>
      <c r="F3386" t="s">
        <v>35</v>
      </c>
      <c r="G3386" t="str">
        <f>"2024-09-27 09:14:42.437"</f>
        <v>2024-09-27 09:14:42.437</v>
      </c>
      <c r="H3386" t="s">
        <v>21</v>
      </c>
    </row>
    <row r="3387" spans="1:10" x14ac:dyDescent="0.25">
      <c r="A3387" s="1">
        <v>576</v>
      </c>
      <c r="B3387" t="s">
        <v>36</v>
      </c>
      <c r="C3387">
        <v>635</v>
      </c>
      <c r="D3387">
        <v>1</v>
      </c>
      <c r="E3387" t="s">
        <v>34</v>
      </c>
      <c r="F3387" t="s">
        <v>35</v>
      </c>
      <c r="G3387" t="str">
        <f>"2024-09-27 09:12:18.437"</f>
        <v>2024-09-27 09:12:18.437</v>
      </c>
      <c r="H3387" t="s">
        <v>21</v>
      </c>
      <c r="I3387">
        <v>3.27</v>
      </c>
      <c r="J3387" t="s">
        <v>37</v>
      </c>
    </row>
    <row r="3388" spans="1:10" x14ac:dyDescent="0.25">
      <c r="A3388" s="1">
        <v>577</v>
      </c>
      <c r="B3388" t="s">
        <v>22</v>
      </c>
      <c r="C3388">
        <v>635</v>
      </c>
      <c r="D3388">
        <v>1</v>
      </c>
      <c r="E3388" t="s">
        <v>34</v>
      </c>
      <c r="F3388" t="s">
        <v>35</v>
      </c>
      <c r="G3388" t="str">
        <f>"2024-09-26 20:01:00.337"</f>
        <v>2024-09-26 20:01:00.337</v>
      </c>
      <c r="H3388" t="s">
        <v>21</v>
      </c>
    </row>
    <row r="3389" spans="1:10" x14ac:dyDescent="0.25">
      <c r="A3389" s="1">
        <v>578</v>
      </c>
      <c r="B3389" t="s">
        <v>36</v>
      </c>
      <c r="C3389">
        <v>635</v>
      </c>
      <c r="D3389">
        <v>1</v>
      </c>
      <c r="E3389" t="s">
        <v>34</v>
      </c>
      <c r="F3389" t="s">
        <v>35</v>
      </c>
      <c r="G3389" t="str">
        <f>"2024-09-26 19:49:02.337"</f>
        <v>2024-09-26 19:49:02.337</v>
      </c>
      <c r="H3389" t="s">
        <v>21</v>
      </c>
      <c r="I3389">
        <v>6.76</v>
      </c>
      <c r="J3389" t="s">
        <v>37</v>
      </c>
    </row>
    <row r="3390" spans="1:10" x14ac:dyDescent="0.25">
      <c r="A3390" s="1">
        <v>579</v>
      </c>
      <c r="B3390" t="s">
        <v>22</v>
      </c>
      <c r="C3390">
        <v>98</v>
      </c>
      <c r="D3390">
        <v>1</v>
      </c>
      <c r="E3390" t="s">
        <v>99</v>
      </c>
      <c r="F3390" t="s">
        <v>100</v>
      </c>
      <c r="G3390" t="str">
        <f>"2024-09-26 10:02:34.817"</f>
        <v>2024-09-26 10:02:34.817</v>
      </c>
      <c r="H3390" t="s">
        <v>21</v>
      </c>
    </row>
    <row r="3391" spans="1:10" x14ac:dyDescent="0.25">
      <c r="A3391" s="1">
        <v>580</v>
      </c>
      <c r="B3391" t="s">
        <v>36</v>
      </c>
      <c r="C3391">
        <v>98</v>
      </c>
      <c r="D3391">
        <v>1</v>
      </c>
      <c r="E3391" t="s">
        <v>99</v>
      </c>
      <c r="F3391" t="s">
        <v>100</v>
      </c>
      <c r="G3391" t="str">
        <f>"2024-09-26 10:02:33.718"</f>
        <v>2024-09-26 10:02:33.718</v>
      </c>
      <c r="H3391" t="s">
        <v>21</v>
      </c>
      <c r="I3391">
        <v>13.94</v>
      </c>
      <c r="J3391" t="s">
        <v>37</v>
      </c>
    </row>
    <row r="3392" spans="1:10" x14ac:dyDescent="0.25">
      <c r="A3392" s="1">
        <v>581</v>
      </c>
      <c r="B3392" t="s">
        <v>22</v>
      </c>
      <c r="C3392">
        <v>635</v>
      </c>
      <c r="D3392">
        <v>1</v>
      </c>
      <c r="E3392" t="s">
        <v>34</v>
      </c>
      <c r="F3392" t="s">
        <v>35</v>
      </c>
      <c r="G3392" t="str">
        <f>"2024-09-26 07:03:33.137"</f>
        <v>2024-09-26 07:03:33.137</v>
      </c>
      <c r="H3392" t="s">
        <v>21</v>
      </c>
    </row>
    <row r="3393" spans="1:10" x14ac:dyDescent="0.25">
      <c r="A3393" s="1">
        <v>582</v>
      </c>
      <c r="B3393" t="s">
        <v>36</v>
      </c>
      <c r="C3393">
        <v>635</v>
      </c>
      <c r="D3393">
        <v>1</v>
      </c>
      <c r="E3393" t="s">
        <v>34</v>
      </c>
      <c r="F3393" t="s">
        <v>35</v>
      </c>
      <c r="G3393" t="str">
        <f>"2024-09-26 06:59:11.637"</f>
        <v>2024-09-26 06:59:11.637</v>
      </c>
      <c r="H3393" t="s">
        <v>21</v>
      </c>
      <c r="I3393">
        <v>1.18</v>
      </c>
      <c r="J3393" t="s">
        <v>28</v>
      </c>
    </row>
    <row r="3394" spans="1:10" x14ac:dyDescent="0.25">
      <c r="A3394" s="1">
        <v>583</v>
      </c>
      <c r="B3394" t="s">
        <v>19</v>
      </c>
      <c r="C3394">
        <v>700</v>
      </c>
      <c r="D3394">
        <v>0</v>
      </c>
      <c r="E3394" t="s">
        <v>20</v>
      </c>
      <c r="F3394" t="s">
        <v>20</v>
      </c>
      <c r="G3394" t="str">
        <f>"2024-09-25 17:27:40.748"</f>
        <v>2024-09-25 17:27:40.748</v>
      </c>
      <c r="H3394" t="s">
        <v>21</v>
      </c>
      <c r="I3394">
        <v>0</v>
      </c>
      <c r="J3394" t="s">
        <v>33</v>
      </c>
    </row>
    <row r="3395" spans="1:10" x14ac:dyDescent="0.25">
      <c r="A3395" s="1">
        <v>584</v>
      </c>
      <c r="B3395" t="s">
        <v>19</v>
      </c>
      <c r="C3395">
        <v>706</v>
      </c>
      <c r="D3395">
        <v>2</v>
      </c>
      <c r="E3395" t="s">
        <v>29</v>
      </c>
      <c r="F3395" t="s">
        <v>30</v>
      </c>
      <c r="G3395" t="str">
        <f>"2024-09-25 17:06:17.116"</f>
        <v>2024-09-25 17:06:17.116</v>
      </c>
      <c r="H3395" t="s">
        <v>21</v>
      </c>
      <c r="I3395">
        <v>0</v>
      </c>
      <c r="J3395" t="s">
        <v>31</v>
      </c>
    </row>
    <row r="3396" spans="1:10" x14ac:dyDescent="0.25">
      <c r="A3396" s="1">
        <v>585</v>
      </c>
      <c r="B3396" t="s">
        <v>19</v>
      </c>
      <c r="C3396">
        <v>706</v>
      </c>
      <c r="D3396">
        <v>4</v>
      </c>
      <c r="E3396" t="s">
        <v>29</v>
      </c>
      <c r="F3396" t="s">
        <v>53</v>
      </c>
      <c r="G3396" t="str">
        <f>"2024-09-25 17:02:40.246"</f>
        <v>2024-09-25 17:02:40.246</v>
      </c>
      <c r="H3396" t="s">
        <v>21</v>
      </c>
      <c r="I3396">
        <v>0</v>
      </c>
      <c r="J3396" t="s">
        <v>31</v>
      </c>
    </row>
    <row r="3397" spans="1:10" x14ac:dyDescent="0.25">
      <c r="A3397" s="1">
        <v>586</v>
      </c>
      <c r="B3397" t="s">
        <v>19</v>
      </c>
      <c r="C3397">
        <v>700</v>
      </c>
      <c r="D3397">
        <v>0</v>
      </c>
      <c r="E3397" t="s">
        <v>20</v>
      </c>
      <c r="F3397" t="s">
        <v>20</v>
      </c>
      <c r="G3397" t="str">
        <f>"2024-09-25 16:59:04.726"</f>
        <v>2024-09-25 16:59:04.726</v>
      </c>
      <c r="H3397" t="s">
        <v>21</v>
      </c>
      <c r="I3397">
        <v>0</v>
      </c>
      <c r="J3397" t="s">
        <v>33</v>
      </c>
    </row>
    <row r="3398" spans="1:10" x14ac:dyDescent="0.25">
      <c r="A3398" s="1">
        <v>587</v>
      </c>
      <c r="B3398" t="s">
        <v>19</v>
      </c>
      <c r="C3398">
        <v>700</v>
      </c>
      <c r="D3398">
        <v>0</v>
      </c>
      <c r="E3398" t="s">
        <v>20</v>
      </c>
      <c r="F3398" t="s">
        <v>20</v>
      </c>
      <c r="G3398" t="str">
        <f>"2024-09-25 16:36:01.006"</f>
        <v>2024-09-25 16:36:01.006</v>
      </c>
      <c r="H3398" t="s">
        <v>21</v>
      </c>
      <c r="I3398">
        <v>0</v>
      </c>
      <c r="J3398" t="s">
        <v>33</v>
      </c>
    </row>
    <row r="3399" spans="1:10" s="3" customFormat="1" x14ac:dyDescent="0.25">
      <c r="A3399" s="2">
        <v>588</v>
      </c>
      <c r="B3399" s="3" t="s">
        <v>22</v>
      </c>
      <c r="C3399" s="3">
        <v>647</v>
      </c>
      <c r="D3399" s="3">
        <v>1</v>
      </c>
      <c r="E3399" s="3" t="s">
        <v>54</v>
      </c>
      <c r="F3399" s="3" t="s">
        <v>55</v>
      </c>
      <c r="G3399" s="3" t="str">
        <f>"2024-09-25 13:34:12.525"</f>
        <v>2024-09-25 13:34:12.525</v>
      </c>
      <c r="H3399" s="3" t="s">
        <v>21</v>
      </c>
    </row>
    <row r="3400" spans="1:10" s="3" customFormat="1" x14ac:dyDescent="0.25">
      <c r="A3400" s="2">
        <v>589</v>
      </c>
      <c r="B3400" s="3" t="s">
        <v>36</v>
      </c>
      <c r="C3400" s="3">
        <v>647</v>
      </c>
      <c r="D3400" s="3">
        <v>1</v>
      </c>
      <c r="E3400" s="3" t="s">
        <v>54</v>
      </c>
      <c r="F3400" s="3" t="s">
        <v>55</v>
      </c>
      <c r="G3400" s="3" t="str">
        <f>"2024-09-25 13:34:10.825"</f>
        <v>2024-09-25 13:34:10.825</v>
      </c>
      <c r="H3400" s="3" t="s">
        <v>21</v>
      </c>
      <c r="I3400" s="3">
        <v>8.33</v>
      </c>
      <c r="J3400" s="3" t="s">
        <v>28</v>
      </c>
    </row>
    <row r="3401" spans="1:10" x14ac:dyDescent="0.25">
      <c r="A3401" s="1">
        <v>590</v>
      </c>
      <c r="B3401" t="s">
        <v>22</v>
      </c>
      <c r="C3401">
        <v>635</v>
      </c>
      <c r="D3401">
        <v>1</v>
      </c>
      <c r="E3401" t="s">
        <v>34</v>
      </c>
      <c r="F3401" t="s">
        <v>35</v>
      </c>
      <c r="G3401" t="str">
        <f>"2024-09-25 11:45:06.424"</f>
        <v>2024-09-25 11:45:06.424</v>
      </c>
      <c r="H3401" t="s">
        <v>21</v>
      </c>
    </row>
    <row r="3402" spans="1:10" x14ac:dyDescent="0.25">
      <c r="A3402" s="1">
        <v>591</v>
      </c>
      <c r="B3402" t="s">
        <v>36</v>
      </c>
      <c r="C3402">
        <v>635</v>
      </c>
      <c r="D3402">
        <v>1</v>
      </c>
      <c r="E3402" t="s">
        <v>34</v>
      </c>
      <c r="F3402" t="s">
        <v>35</v>
      </c>
      <c r="G3402" t="str">
        <f>"2024-09-25 11:30:44.924"</f>
        <v>2024-09-25 11:30:44.924</v>
      </c>
      <c r="H3402" t="s">
        <v>21</v>
      </c>
      <c r="I3402">
        <v>9.39</v>
      </c>
      <c r="J3402" t="s">
        <v>27</v>
      </c>
    </row>
    <row r="3403" spans="1:10" s="3" customFormat="1" x14ac:dyDescent="0.25">
      <c r="A3403" s="2">
        <v>592</v>
      </c>
      <c r="B3403" s="3" t="s">
        <v>22</v>
      </c>
      <c r="C3403" s="3">
        <v>647</v>
      </c>
      <c r="D3403" s="3">
        <v>1</v>
      </c>
      <c r="E3403" s="3" t="s">
        <v>54</v>
      </c>
      <c r="F3403" s="3" t="s">
        <v>55</v>
      </c>
      <c r="G3403" s="3" t="str">
        <f>"2024-09-25 10:55:57.425"</f>
        <v>2024-09-25 10:55:57.425</v>
      </c>
      <c r="H3403" s="3" t="s">
        <v>21</v>
      </c>
    </row>
    <row r="3404" spans="1:10" s="3" customFormat="1" x14ac:dyDescent="0.25">
      <c r="A3404" s="2">
        <v>593</v>
      </c>
      <c r="B3404" s="3" t="s">
        <v>36</v>
      </c>
      <c r="C3404" s="3">
        <v>647</v>
      </c>
      <c r="D3404" s="3">
        <v>1</v>
      </c>
      <c r="E3404" s="3" t="s">
        <v>54</v>
      </c>
      <c r="F3404" s="3" t="s">
        <v>55</v>
      </c>
      <c r="G3404" s="3" t="str">
        <f>"2024-09-25 10:55:56.125"</f>
        <v>2024-09-25 10:55:56.125</v>
      </c>
      <c r="H3404" s="3" t="s">
        <v>21</v>
      </c>
      <c r="I3404" s="3">
        <v>20.16</v>
      </c>
      <c r="J3404" s="3" t="s">
        <v>27</v>
      </c>
    </row>
    <row r="3405" spans="1:10" s="3" customFormat="1" x14ac:dyDescent="0.25">
      <c r="A3405" s="2">
        <v>594</v>
      </c>
      <c r="B3405" s="3" t="s">
        <v>22</v>
      </c>
      <c r="C3405" s="3">
        <v>647</v>
      </c>
      <c r="D3405" s="3">
        <v>1</v>
      </c>
      <c r="E3405" s="3" t="s">
        <v>54</v>
      </c>
      <c r="F3405" s="3" t="s">
        <v>55</v>
      </c>
      <c r="G3405" s="3" t="str">
        <f>"2024-09-25 10:55:51.825"</f>
        <v>2024-09-25 10:55:51.825</v>
      </c>
      <c r="H3405" s="3" t="s">
        <v>21</v>
      </c>
    </row>
    <row r="3406" spans="1:10" s="3" customFormat="1" x14ac:dyDescent="0.25">
      <c r="A3406" s="2">
        <v>595</v>
      </c>
      <c r="B3406" s="3" t="s">
        <v>36</v>
      </c>
      <c r="C3406" s="3">
        <v>647</v>
      </c>
      <c r="D3406" s="3">
        <v>1</v>
      </c>
      <c r="E3406" s="3" t="s">
        <v>54</v>
      </c>
      <c r="F3406" s="3" t="s">
        <v>55</v>
      </c>
      <c r="G3406" s="3" t="str">
        <f>"2024-09-25 10:55:49.325"</f>
        <v>2024-09-25 10:55:49.325</v>
      </c>
      <c r="H3406" s="3" t="s">
        <v>21</v>
      </c>
      <c r="I3406" s="3">
        <v>23.4</v>
      </c>
      <c r="J3406" s="3" t="s">
        <v>27</v>
      </c>
    </row>
    <row r="3407" spans="1:10" s="3" customFormat="1" x14ac:dyDescent="0.25">
      <c r="A3407" s="2">
        <v>596</v>
      </c>
      <c r="B3407" s="3" t="s">
        <v>22</v>
      </c>
      <c r="C3407" s="3">
        <v>647</v>
      </c>
      <c r="D3407" s="3">
        <v>1</v>
      </c>
      <c r="E3407" s="3" t="s">
        <v>54</v>
      </c>
      <c r="F3407" s="3" t="s">
        <v>55</v>
      </c>
      <c r="G3407" s="3" t="str">
        <f>"2024-09-25 10:03:41.525"</f>
        <v>2024-09-25 10:03:41.525</v>
      </c>
      <c r="H3407" s="3" t="s">
        <v>21</v>
      </c>
    </row>
    <row r="3408" spans="1:10" s="3" customFormat="1" x14ac:dyDescent="0.25">
      <c r="A3408" s="2">
        <v>597</v>
      </c>
      <c r="B3408" s="3" t="s">
        <v>36</v>
      </c>
      <c r="C3408" s="3">
        <v>647</v>
      </c>
      <c r="D3408" s="3">
        <v>1</v>
      </c>
      <c r="E3408" s="3" t="s">
        <v>54</v>
      </c>
      <c r="F3408" s="3" t="s">
        <v>55</v>
      </c>
      <c r="G3408" s="3" t="str">
        <f>"2024-09-25 10:03:40.425"</f>
        <v>2024-09-25 10:03:40.425</v>
      </c>
      <c r="H3408" s="3" t="s">
        <v>21</v>
      </c>
      <c r="I3408" s="3">
        <v>23.57</v>
      </c>
      <c r="J3408" s="3" t="s">
        <v>27</v>
      </c>
    </row>
    <row r="3409" spans="1:10" s="3" customFormat="1" x14ac:dyDescent="0.25">
      <c r="A3409" s="2">
        <v>599</v>
      </c>
      <c r="B3409" s="3" t="s">
        <v>22</v>
      </c>
      <c r="C3409" s="3">
        <v>647</v>
      </c>
      <c r="D3409" s="3">
        <v>1</v>
      </c>
      <c r="E3409" s="3" t="s">
        <v>54</v>
      </c>
      <c r="F3409" s="3" t="s">
        <v>55</v>
      </c>
      <c r="G3409" s="3" t="str">
        <f>"2024-09-24 14:38:43.825"</f>
        <v>2024-09-24 14:38:43.825</v>
      </c>
      <c r="H3409" s="3" t="s">
        <v>21</v>
      </c>
    </row>
    <row r="3410" spans="1:10" s="3" customFormat="1" x14ac:dyDescent="0.25">
      <c r="A3410" s="2">
        <v>600</v>
      </c>
      <c r="B3410" s="3" t="s">
        <v>36</v>
      </c>
      <c r="C3410" s="3">
        <v>647</v>
      </c>
      <c r="D3410" s="3">
        <v>1</v>
      </c>
      <c r="E3410" s="3" t="s">
        <v>54</v>
      </c>
      <c r="F3410" s="3" t="s">
        <v>55</v>
      </c>
      <c r="G3410" s="3" t="str">
        <f>"2024-09-24 14:38:41.725"</f>
        <v>2024-09-24 14:38:41.725</v>
      </c>
      <c r="H3410" s="3" t="s">
        <v>21</v>
      </c>
      <c r="I3410" s="3">
        <v>17.52</v>
      </c>
      <c r="J3410" s="3" t="s">
        <v>27</v>
      </c>
    </row>
    <row r="3411" spans="1:10" x14ac:dyDescent="0.25">
      <c r="A3411" s="1">
        <v>601</v>
      </c>
      <c r="B3411" t="s">
        <v>22</v>
      </c>
      <c r="C3411">
        <v>635</v>
      </c>
      <c r="D3411">
        <v>1</v>
      </c>
      <c r="E3411" t="s">
        <v>34</v>
      </c>
      <c r="F3411" t="s">
        <v>35</v>
      </c>
      <c r="G3411" t="str">
        <f>"2024-09-23 09:52:45.324"</f>
        <v>2024-09-23 09:52:45.324</v>
      </c>
      <c r="H3411" t="s">
        <v>21</v>
      </c>
    </row>
    <row r="3412" spans="1:10" x14ac:dyDescent="0.25">
      <c r="A3412" s="1">
        <v>602</v>
      </c>
      <c r="B3412" t="s">
        <v>36</v>
      </c>
      <c r="C3412">
        <v>635</v>
      </c>
      <c r="D3412">
        <v>1</v>
      </c>
      <c r="E3412" t="s">
        <v>34</v>
      </c>
      <c r="F3412" t="s">
        <v>35</v>
      </c>
      <c r="G3412" t="str">
        <f>"2024-09-23 09:47:47.424"</f>
        <v>2024-09-23 09:47:47.424</v>
      </c>
      <c r="H3412" t="s">
        <v>21</v>
      </c>
      <c r="I3412">
        <v>8.75</v>
      </c>
      <c r="J3412" t="s">
        <v>27</v>
      </c>
    </row>
    <row r="3413" spans="1:10" s="3" customFormat="1" x14ac:dyDescent="0.25">
      <c r="A3413" s="2">
        <v>603</v>
      </c>
      <c r="B3413" s="3" t="s">
        <v>22</v>
      </c>
      <c r="C3413" s="3">
        <v>647</v>
      </c>
      <c r="D3413" s="3">
        <v>1</v>
      </c>
      <c r="E3413" s="3" t="s">
        <v>54</v>
      </c>
      <c r="F3413" s="3" t="s">
        <v>55</v>
      </c>
      <c r="G3413" s="3" t="str">
        <f>"2024-09-23 07:57:29.225"</f>
        <v>2024-09-23 07:57:29.225</v>
      </c>
      <c r="H3413" s="3" t="s">
        <v>21</v>
      </c>
    </row>
    <row r="3414" spans="1:10" s="3" customFormat="1" x14ac:dyDescent="0.25">
      <c r="A3414" s="2">
        <v>604</v>
      </c>
      <c r="B3414" s="3" t="s">
        <v>36</v>
      </c>
      <c r="C3414" s="3">
        <v>647</v>
      </c>
      <c r="D3414" s="3">
        <v>1</v>
      </c>
      <c r="E3414" s="3" t="s">
        <v>54</v>
      </c>
      <c r="F3414" s="3" t="s">
        <v>55</v>
      </c>
      <c r="G3414" s="3" t="str">
        <f>"2024-09-23 07:57:27.125"</f>
        <v>2024-09-23 07:57:27.125</v>
      </c>
      <c r="H3414" s="3" t="s">
        <v>21</v>
      </c>
      <c r="I3414" s="3">
        <v>21.42</v>
      </c>
      <c r="J3414" s="3" t="s">
        <v>27</v>
      </c>
    </row>
    <row r="3415" spans="1:10" x14ac:dyDescent="0.25">
      <c r="A3415" s="1">
        <v>605</v>
      </c>
      <c r="B3415" t="s">
        <v>22</v>
      </c>
      <c r="C3415">
        <v>635</v>
      </c>
      <c r="D3415">
        <v>1</v>
      </c>
      <c r="E3415" t="s">
        <v>34</v>
      </c>
      <c r="F3415" t="s">
        <v>35</v>
      </c>
      <c r="G3415" t="str">
        <f>"2024-09-22 18:35:24.424"</f>
        <v>2024-09-22 18:35:24.424</v>
      </c>
      <c r="H3415" t="s">
        <v>21</v>
      </c>
    </row>
    <row r="3416" spans="1:10" x14ac:dyDescent="0.25">
      <c r="A3416" s="1">
        <v>606</v>
      </c>
      <c r="B3416" t="s">
        <v>36</v>
      </c>
      <c r="C3416">
        <v>635</v>
      </c>
      <c r="D3416">
        <v>1</v>
      </c>
      <c r="E3416" t="s">
        <v>34</v>
      </c>
      <c r="F3416" t="s">
        <v>35</v>
      </c>
      <c r="G3416" t="str">
        <f>"2024-09-22 18:22:05.924"</f>
        <v>2024-09-22 18:22:05.924</v>
      </c>
      <c r="H3416" t="s">
        <v>21</v>
      </c>
      <c r="I3416">
        <v>9.3000000000000007</v>
      </c>
      <c r="J3416" t="s">
        <v>27</v>
      </c>
    </row>
    <row r="3417" spans="1:10" x14ac:dyDescent="0.25">
      <c r="A3417" s="1">
        <v>607</v>
      </c>
      <c r="B3417" t="s">
        <v>22</v>
      </c>
      <c r="C3417">
        <v>635</v>
      </c>
      <c r="D3417">
        <v>1</v>
      </c>
      <c r="E3417" t="s">
        <v>34</v>
      </c>
      <c r="F3417" t="s">
        <v>35</v>
      </c>
      <c r="G3417" t="str">
        <f>"2024-09-22 11:00:03.624"</f>
        <v>2024-09-22 11:00:03.624</v>
      </c>
      <c r="H3417" t="s">
        <v>21</v>
      </c>
    </row>
    <row r="3418" spans="1:10" x14ac:dyDescent="0.25">
      <c r="A3418" s="1">
        <v>608</v>
      </c>
      <c r="B3418" t="s">
        <v>36</v>
      </c>
      <c r="C3418">
        <v>635</v>
      </c>
      <c r="D3418">
        <v>1</v>
      </c>
      <c r="E3418" t="s">
        <v>34</v>
      </c>
      <c r="F3418" t="s">
        <v>35</v>
      </c>
      <c r="G3418" t="str">
        <f>"2024-09-22 10:48:51.124"</f>
        <v>2024-09-22 10:48:51.124</v>
      </c>
      <c r="H3418" t="s">
        <v>21</v>
      </c>
      <c r="I3418">
        <v>7.2</v>
      </c>
      <c r="J3418" t="s">
        <v>37</v>
      </c>
    </row>
    <row r="3419" spans="1:10" x14ac:dyDescent="0.25">
      <c r="A3419" s="1">
        <v>609</v>
      </c>
      <c r="B3419" t="s">
        <v>19</v>
      </c>
      <c r="C3419">
        <v>700</v>
      </c>
      <c r="D3419">
        <v>0</v>
      </c>
      <c r="E3419" t="s">
        <v>20</v>
      </c>
      <c r="F3419" t="s">
        <v>20</v>
      </c>
      <c r="G3419" t="str">
        <f>"2024-09-22 08:07:11.742"</f>
        <v>2024-09-22 08:07:11.742</v>
      </c>
      <c r="H3419" t="s">
        <v>21</v>
      </c>
      <c r="I3419">
        <v>0</v>
      </c>
      <c r="J3419" t="s">
        <v>33</v>
      </c>
    </row>
    <row r="3420" spans="1:10" x14ac:dyDescent="0.25">
      <c r="A3420" s="1">
        <v>610</v>
      </c>
      <c r="B3420" t="s">
        <v>22</v>
      </c>
      <c r="C3420">
        <v>635</v>
      </c>
      <c r="D3420">
        <v>1</v>
      </c>
      <c r="E3420" t="s">
        <v>34</v>
      </c>
      <c r="F3420" t="s">
        <v>35</v>
      </c>
      <c r="G3420" t="str">
        <f>"2024-09-19 20:05:33.188"</f>
        <v>2024-09-19 20:05:33.188</v>
      </c>
      <c r="H3420" t="s">
        <v>21</v>
      </c>
    </row>
    <row r="3421" spans="1:10" x14ac:dyDescent="0.25">
      <c r="A3421" s="1">
        <v>611</v>
      </c>
      <c r="B3421" t="s">
        <v>36</v>
      </c>
      <c r="C3421">
        <v>635</v>
      </c>
      <c r="D3421">
        <v>1</v>
      </c>
      <c r="E3421" t="s">
        <v>34</v>
      </c>
      <c r="F3421" t="s">
        <v>35</v>
      </c>
      <c r="G3421" t="str">
        <f>"2024-09-19 20:01:35.689"</f>
        <v>2024-09-19 20:01:35.689</v>
      </c>
      <c r="H3421" t="s">
        <v>21</v>
      </c>
      <c r="I3421">
        <v>-0.08</v>
      </c>
      <c r="J3421" t="s">
        <v>28</v>
      </c>
    </row>
    <row r="3422" spans="1:10" x14ac:dyDescent="0.25">
      <c r="A3422" s="1">
        <v>612</v>
      </c>
      <c r="B3422" t="s">
        <v>22</v>
      </c>
      <c r="C3422">
        <v>98</v>
      </c>
      <c r="D3422">
        <v>1</v>
      </c>
      <c r="E3422" t="s">
        <v>99</v>
      </c>
      <c r="F3422" t="s">
        <v>100</v>
      </c>
      <c r="G3422" t="str">
        <f>"2024-09-19 18:24:16.720"</f>
        <v>2024-09-19 18:24:16.720</v>
      </c>
      <c r="H3422" t="s">
        <v>21</v>
      </c>
    </row>
    <row r="3423" spans="1:10" x14ac:dyDescent="0.25">
      <c r="A3423" s="1">
        <v>613</v>
      </c>
      <c r="B3423" t="s">
        <v>36</v>
      </c>
      <c r="C3423">
        <v>98</v>
      </c>
      <c r="D3423">
        <v>1</v>
      </c>
      <c r="E3423" t="s">
        <v>99</v>
      </c>
      <c r="F3423" t="s">
        <v>100</v>
      </c>
      <c r="G3423" t="str">
        <f>"2024-09-19 18:24:15.721"</f>
        <v>2024-09-19 18:24:15.721</v>
      </c>
      <c r="H3423" t="s">
        <v>21</v>
      </c>
      <c r="I3423">
        <v>11.24</v>
      </c>
      <c r="J3423" t="s">
        <v>37</v>
      </c>
    </row>
    <row r="3424" spans="1:10" x14ac:dyDescent="0.25">
      <c r="A3424" s="1">
        <v>614</v>
      </c>
      <c r="B3424" t="s">
        <v>19</v>
      </c>
      <c r="C3424">
        <v>700</v>
      </c>
      <c r="D3424">
        <v>0</v>
      </c>
      <c r="E3424" t="s">
        <v>20</v>
      </c>
      <c r="F3424" t="s">
        <v>20</v>
      </c>
      <c r="G3424" t="str">
        <f>"2024-09-18 11:38:36.731"</f>
        <v>2024-09-18 11:38:36.731</v>
      </c>
      <c r="H3424" t="s">
        <v>21</v>
      </c>
      <c r="I3424">
        <v>0</v>
      </c>
      <c r="J3424" t="s">
        <v>33</v>
      </c>
    </row>
    <row r="3425" spans="1:10" x14ac:dyDescent="0.25">
      <c r="A3425" s="1">
        <v>615</v>
      </c>
      <c r="B3425" t="s">
        <v>22</v>
      </c>
      <c r="C3425">
        <v>635</v>
      </c>
      <c r="D3425">
        <v>1</v>
      </c>
      <c r="E3425" t="s">
        <v>34</v>
      </c>
      <c r="F3425" t="s">
        <v>35</v>
      </c>
      <c r="G3425" t="str">
        <f>"2024-09-17 07:42:17.369"</f>
        <v>2024-09-17 07:42:17.369</v>
      </c>
      <c r="H3425" t="s">
        <v>21</v>
      </c>
    </row>
    <row r="3426" spans="1:10" x14ac:dyDescent="0.25">
      <c r="A3426" s="1">
        <v>616</v>
      </c>
      <c r="B3426" t="s">
        <v>36</v>
      </c>
      <c r="C3426">
        <v>635</v>
      </c>
      <c r="D3426">
        <v>1</v>
      </c>
      <c r="E3426" t="s">
        <v>34</v>
      </c>
      <c r="F3426" t="s">
        <v>35</v>
      </c>
      <c r="G3426" t="str">
        <f>"2024-09-17 07:39:43.869"</f>
        <v>2024-09-17 07:39:43.869</v>
      </c>
      <c r="H3426" t="s">
        <v>21</v>
      </c>
      <c r="I3426">
        <v>-0.62</v>
      </c>
      <c r="J3426" t="s">
        <v>37</v>
      </c>
    </row>
    <row r="3427" spans="1:10" x14ac:dyDescent="0.25">
      <c r="A3427" s="1">
        <v>617</v>
      </c>
      <c r="B3427" t="s">
        <v>22</v>
      </c>
      <c r="C3427">
        <v>635</v>
      </c>
      <c r="D3427">
        <v>1</v>
      </c>
      <c r="E3427" t="s">
        <v>34</v>
      </c>
      <c r="F3427" t="s">
        <v>35</v>
      </c>
      <c r="G3427" t="str">
        <f>"2024-09-16 18:20:05.169"</f>
        <v>2024-09-16 18:20:05.169</v>
      </c>
      <c r="H3427" t="s">
        <v>21</v>
      </c>
    </row>
    <row r="3428" spans="1:10" x14ac:dyDescent="0.25">
      <c r="A3428" s="1">
        <v>618</v>
      </c>
      <c r="B3428" t="s">
        <v>36</v>
      </c>
      <c r="C3428">
        <v>635</v>
      </c>
      <c r="D3428">
        <v>1</v>
      </c>
      <c r="E3428" t="s">
        <v>34</v>
      </c>
      <c r="F3428" t="s">
        <v>35</v>
      </c>
      <c r="G3428" t="str">
        <f>"2024-09-16 18:17:11.669"</f>
        <v>2024-09-16 18:17:11.669</v>
      </c>
      <c r="H3428" t="s">
        <v>21</v>
      </c>
      <c r="I3428">
        <v>0.14000000000000001</v>
      </c>
      <c r="J3428" t="s">
        <v>28</v>
      </c>
    </row>
    <row r="3429" spans="1:10" x14ac:dyDescent="0.25">
      <c r="A3429" s="1">
        <v>619</v>
      </c>
      <c r="B3429" t="s">
        <v>22</v>
      </c>
      <c r="C3429">
        <v>635</v>
      </c>
      <c r="D3429">
        <v>1</v>
      </c>
      <c r="E3429" t="s">
        <v>34</v>
      </c>
      <c r="F3429" t="s">
        <v>35</v>
      </c>
      <c r="G3429" t="str">
        <f>"2024-09-16 01:12:47.769"</f>
        <v>2024-09-16 01:12:47.769</v>
      </c>
      <c r="H3429" t="s">
        <v>21</v>
      </c>
    </row>
    <row r="3430" spans="1:10" x14ac:dyDescent="0.25">
      <c r="A3430" s="1">
        <v>620</v>
      </c>
      <c r="B3430" t="s">
        <v>36</v>
      </c>
      <c r="C3430">
        <v>635</v>
      </c>
      <c r="D3430">
        <v>1</v>
      </c>
      <c r="E3430" t="s">
        <v>34</v>
      </c>
      <c r="F3430" t="s">
        <v>35</v>
      </c>
      <c r="G3430" t="str">
        <f>"2024-09-16 01:10:08.869"</f>
        <v>2024-09-16 01:10:08.869</v>
      </c>
      <c r="H3430" t="s">
        <v>21</v>
      </c>
      <c r="I3430">
        <v>5.84</v>
      </c>
      <c r="J3430" t="s">
        <v>37</v>
      </c>
    </row>
    <row r="3431" spans="1:10" x14ac:dyDescent="0.25">
      <c r="A3431" s="1">
        <v>621</v>
      </c>
      <c r="B3431" t="s">
        <v>22</v>
      </c>
      <c r="C3431">
        <v>635</v>
      </c>
      <c r="D3431">
        <v>1</v>
      </c>
      <c r="E3431" t="s">
        <v>34</v>
      </c>
      <c r="F3431" t="s">
        <v>35</v>
      </c>
      <c r="G3431" t="str">
        <f>"2024-09-15 14:53:01.869"</f>
        <v>2024-09-15 14:53:01.869</v>
      </c>
      <c r="H3431" t="s">
        <v>21</v>
      </c>
    </row>
    <row r="3432" spans="1:10" x14ac:dyDescent="0.25">
      <c r="A3432" s="1">
        <v>622</v>
      </c>
      <c r="B3432" t="s">
        <v>36</v>
      </c>
      <c r="C3432">
        <v>635</v>
      </c>
      <c r="D3432">
        <v>1</v>
      </c>
      <c r="E3432" t="s">
        <v>34</v>
      </c>
      <c r="F3432" t="s">
        <v>35</v>
      </c>
      <c r="G3432" t="str">
        <f>"2024-09-15 14:43:49.369"</f>
        <v>2024-09-15 14:43:49.369</v>
      </c>
      <c r="H3432" t="s">
        <v>21</v>
      </c>
      <c r="I3432">
        <v>2.59</v>
      </c>
      <c r="J3432" t="s">
        <v>37</v>
      </c>
    </row>
    <row r="3433" spans="1:10" x14ac:dyDescent="0.25">
      <c r="A3433" s="1">
        <v>623</v>
      </c>
      <c r="B3433" t="s">
        <v>19</v>
      </c>
      <c r="C3433">
        <v>700</v>
      </c>
      <c r="D3433">
        <v>0</v>
      </c>
      <c r="E3433" t="s">
        <v>20</v>
      </c>
      <c r="F3433" t="s">
        <v>20</v>
      </c>
      <c r="G3433" t="str">
        <f>"2024-09-14 17:34:59.735"</f>
        <v>2024-09-14 17:34:59.735</v>
      </c>
      <c r="H3433" t="s">
        <v>21</v>
      </c>
    </row>
    <row r="3434" spans="1:10" x14ac:dyDescent="0.25">
      <c r="A3434" s="1">
        <v>624</v>
      </c>
      <c r="B3434" t="s">
        <v>19</v>
      </c>
      <c r="C3434">
        <v>706</v>
      </c>
      <c r="D3434">
        <v>4</v>
      </c>
      <c r="E3434" t="s">
        <v>29</v>
      </c>
      <c r="F3434" t="s">
        <v>53</v>
      </c>
      <c r="G3434" t="str">
        <f>"2024-09-14 17:16:30.371"</f>
        <v>2024-09-14 17:16:30.371</v>
      </c>
      <c r="H3434" t="s">
        <v>21</v>
      </c>
      <c r="I3434">
        <v>0</v>
      </c>
      <c r="J3434" t="s">
        <v>31</v>
      </c>
    </row>
    <row r="3435" spans="1:10" x14ac:dyDescent="0.25">
      <c r="A3435" s="1">
        <v>625</v>
      </c>
      <c r="B3435" t="s">
        <v>19</v>
      </c>
      <c r="C3435">
        <v>700</v>
      </c>
      <c r="D3435">
        <v>0</v>
      </c>
      <c r="E3435" t="s">
        <v>20</v>
      </c>
      <c r="F3435" t="s">
        <v>20</v>
      </c>
      <c r="G3435" t="str">
        <f>"2024-09-14 16:17:37.741"</f>
        <v>2024-09-14 16:17:37.741</v>
      </c>
      <c r="H3435" t="s">
        <v>21</v>
      </c>
      <c r="I3435">
        <v>0</v>
      </c>
      <c r="J3435" t="s">
        <v>33</v>
      </c>
    </row>
    <row r="3436" spans="1:10" x14ac:dyDescent="0.25">
      <c r="A3436" s="1">
        <v>626</v>
      </c>
      <c r="B3436" t="s">
        <v>19</v>
      </c>
      <c r="C3436">
        <v>700</v>
      </c>
      <c r="D3436">
        <v>0</v>
      </c>
      <c r="E3436" t="s">
        <v>20</v>
      </c>
      <c r="F3436" t="s">
        <v>20</v>
      </c>
      <c r="G3436" t="str">
        <f>"2024-09-14 15:12:20.747"</f>
        <v>2024-09-14 15:12:20.747</v>
      </c>
      <c r="H3436" t="s">
        <v>21</v>
      </c>
      <c r="I3436">
        <v>0</v>
      </c>
      <c r="J3436" t="s">
        <v>33</v>
      </c>
    </row>
    <row r="3437" spans="1:10" x14ac:dyDescent="0.25">
      <c r="A3437" s="1">
        <v>627</v>
      </c>
      <c r="B3437" t="s">
        <v>22</v>
      </c>
      <c r="C3437">
        <v>98</v>
      </c>
      <c r="D3437">
        <v>1</v>
      </c>
      <c r="E3437" t="s">
        <v>99</v>
      </c>
      <c r="F3437" t="s">
        <v>100</v>
      </c>
      <c r="G3437" t="str">
        <f>"2024-09-14 00:29:50.333"</f>
        <v>2024-09-14 00:29:50.333</v>
      </c>
      <c r="H3437" t="s">
        <v>21</v>
      </c>
    </row>
    <row r="3438" spans="1:10" x14ac:dyDescent="0.25">
      <c r="A3438" s="1">
        <v>628</v>
      </c>
      <c r="B3438" t="s">
        <v>36</v>
      </c>
      <c r="C3438">
        <v>98</v>
      </c>
      <c r="D3438">
        <v>1</v>
      </c>
      <c r="E3438" t="s">
        <v>99</v>
      </c>
      <c r="F3438" t="s">
        <v>100</v>
      </c>
      <c r="G3438" t="str">
        <f>"2024-09-14 00:29:49.234"</f>
        <v>2024-09-14 00:29:49.234</v>
      </c>
      <c r="H3438" t="s">
        <v>21</v>
      </c>
      <c r="I3438">
        <v>7.33</v>
      </c>
      <c r="J3438" t="s">
        <v>37</v>
      </c>
    </row>
    <row r="3439" spans="1:10" x14ac:dyDescent="0.25">
      <c r="A3439" s="1">
        <v>629</v>
      </c>
      <c r="B3439" t="s">
        <v>19</v>
      </c>
      <c r="C3439">
        <v>706</v>
      </c>
      <c r="D3439">
        <v>2</v>
      </c>
      <c r="E3439" t="s">
        <v>29</v>
      </c>
      <c r="F3439" t="s">
        <v>30</v>
      </c>
      <c r="G3439" t="str">
        <f>"2024-09-13 09:32:37.728"</f>
        <v>2024-09-13 09:32:37.728</v>
      </c>
      <c r="H3439" t="s">
        <v>21</v>
      </c>
      <c r="I3439">
        <v>0</v>
      </c>
      <c r="J3439" t="s">
        <v>31</v>
      </c>
    </row>
    <row r="3440" spans="1:10" x14ac:dyDescent="0.25">
      <c r="A3440" s="1">
        <v>630</v>
      </c>
      <c r="B3440" t="s">
        <v>19</v>
      </c>
      <c r="C3440">
        <v>706</v>
      </c>
      <c r="D3440">
        <v>3</v>
      </c>
      <c r="E3440" t="s">
        <v>29</v>
      </c>
      <c r="F3440" t="s">
        <v>32</v>
      </c>
      <c r="G3440" t="str">
        <f>"2024-09-13 09:31:24.638"</f>
        <v>2024-09-13 09:31:24.638</v>
      </c>
      <c r="H3440" t="s">
        <v>21</v>
      </c>
      <c r="I3440">
        <v>0</v>
      </c>
      <c r="J3440" t="s">
        <v>31</v>
      </c>
    </row>
    <row r="3441" spans="1:10" x14ac:dyDescent="0.25">
      <c r="A3441" s="1">
        <v>631</v>
      </c>
      <c r="B3441" t="s">
        <v>19</v>
      </c>
      <c r="C3441">
        <v>706</v>
      </c>
      <c r="D3441">
        <v>4</v>
      </c>
      <c r="E3441" t="s">
        <v>29</v>
      </c>
      <c r="F3441" t="s">
        <v>53</v>
      </c>
      <c r="G3441" t="str">
        <f>"2024-09-13 09:24:10.058"</f>
        <v>2024-09-13 09:24:10.058</v>
      </c>
      <c r="H3441" t="s">
        <v>21</v>
      </c>
      <c r="I3441">
        <v>0</v>
      </c>
      <c r="J3441" t="s">
        <v>31</v>
      </c>
    </row>
    <row r="3442" spans="1:10" x14ac:dyDescent="0.25">
      <c r="A3442" s="1">
        <v>632</v>
      </c>
      <c r="B3442" t="s">
        <v>19</v>
      </c>
      <c r="C3442">
        <v>700</v>
      </c>
      <c r="D3442">
        <v>0</v>
      </c>
      <c r="E3442" t="s">
        <v>20</v>
      </c>
      <c r="F3442" t="s">
        <v>20</v>
      </c>
      <c r="G3442" t="str">
        <f>"2024-09-13 09:22:17.728"</f>
        <v>2024-09-13 09:22:17.728</v>
      </c>
      <c r="H3442" t="s">
        <v>21</v>
      </c>
    </row>
    <row r="3443" spans="1:10" x14ac:dyDescent="0.25">
      <c r="A3443" s="1">
        <v>633</v>
      </c>
      <c r="B3443" t="s">
        <v>19</v>
      </c>
      <c r="C3443">
        <v>700</v>
      </c>
      <c r="D3443">
        <v>0</v>
      </c>
      <c r="E3443" t="s">
        <v>20</v>
      </c>
      <c r="F3443" t="s">
        <v>20</v>
      </c>
      <c r="G3443" t="str">
        <f>"2024-09-13 09:09:00.721"</f>
        <v>2024-09-13 09:09:00.721</v>
      </c>
      <c r="H3443" t="s">
        <v>21</v>
      </c>
    </row>
    <row r="3444" spans="1:10" x14ac:dyDescent="0.25">
      <c r="A3444" s="1">
        <v>634</v>
      </c>
      <c r="B3444" t="s">
        <v>19</v>
      </c>
      <c r="C3444">
        <v>706</v>
      </c>
      <c r="D3444">
        <v>2</v>
      </c>
      <c r="E3444" t="s">
        <v>29</v>
      </c>
      <c r="F3444" t="s">
        <v>30</v>
      </c>
      <c r="G3444" t="str">
        <f>"2024-09-13 08:58:40.353"</f>
        <v>2024-09-13 08:58:40.353</v>
      </c>
      <c r="H3444" t="s">
        <v>21</v>
      </c>
      <c r="I3444">
        <v>0</v>
      </c>
      <c r="J3444" t="s">
        <v>31</v>
      </c>
    </row>
    <row r="3445" spans="1:10" x14ac:dyDescent="0.25">
      <c r="A3445" s="1">
        <v>635</v>
      </c>
      <c r="B3445" t="s">
        <v>19</v>
      </c>
      <c r="C3445">
        <v>700</v>
      </c>
      <c r="D3445">
        <v>0</v>
      </c>
      <c r="E3445" t="s">
        <v>20</v>
      </c>
      <c r="F3445" t="s">
        <v>20</v>
      </c>
      <c r="G3445" t="str">
        <f>"2024-09-13 08:57:36.733"</f>
        <v>2024-09-13 08:57:36.733</v>
      </c>
      <c r="H3445" t="s">
        <v>21</v>
      </c>
      <c r="I3445">
        <v>0</v>
      </c>
      <c r="J3445" t="s">
        <v>33</v>
      </c>
    </row>
    <row r="3446" spans="1:10" x14ac:dyDescent="0.25">
      <c r="A3446" s="1">
        <v>636</v>
      </c>
      <c r="B3446" t="s">
        <v>19</v>
      </c>
      <c r="C3446">
        <v>700</v>
      </c>
      <c r="D3446">
        <v>0</v>
      </c>
      <c r="E3446" t="s">
        <v>20</v>
      </c>
      <c r="F3446" t="s">
        <v>20</v>
      </c>
      <c r="G3446" t="str">
        <f>"2024-09-13 08:42:18.750"</f>
        <v>2024-09-13 08:42:18.750</v>
      </c>
      <c r="H3446" t="s">
        <v>21</v>
      </c>
      <c r="I3446">
        <v>0</v>
      </c>
      <c r="J3446" t="s">
        <v>33</v>
      </c>
    </row>
    <row r="3447" spans="1:10" x14ac:dyDescent="0.25">
      <c r="A3447" s="1">
        <v>637</v>
      </c>
      <c r="B3447" t="s">
        <v>22</v>
      </c>
      <c r="C3447">
        <v>635</v>
      </c>
      <c r="D3447">
        <v>1</v>
      </c>
      <c r="E3447" t="s">
        <v>34</v>
      </c>
      <c r="F3447" t="s">
        <v>35</v>
      </c>
      <c r="G3447" t="str">
        <f>"2024-09-12 20:26:40.822"</f>
        <v>2024-09-12 20:26:40.822</v>
      </c>
      <c r="H3447" t="s">
        <v>21</v>
      </c>
    </row>
    <row r="3448" spans="1:10" x14ac:dyDescent="0.25">
      <c r="A3448" s="1">
        <v>638</v>
      </c>
      <c r="B3448" t="s">
        <v>36</v>
      </c>
      <c r="C3448">
        <v>635</v>
      </c>
      <c r="D3448">
        <v>1</v>
      </c>
      <c r="E3448" t="s">
        <v>34</v>
      </c>
      <c r="F3448" t="s">
        <v>35</v>
      </c>
      <c r="G3448" t="str">
        <f>"2024-09-12 20:23:04.422"</f>
        <v>2024-09-12 20:23:04.422</v>
      </c>
      <c r="H3448" t="s">
        <v>21</v>
      </c>
      <c r="I3448">
        <v>0</v>
      </c>
      <c r="J3448" t="s">
        <v>28</v>
      </c>
    </row>
    <row r="3449" spans="1:10" x14ac:dyDescent="0.25">
      <c r="A3449" s="1">
        <v>639</v>
      </c>
      <c r="B3449" t="s">
        <v>19</v>
      </c>
      <c r="C3449">
        <v>706</v>
      </c>
      <c r="D3449">
        <v>4</v>
      </c>
      <c r="E3449" t="s">
        <v>29</v>
      </c>
      <c r="F3449" t="s">
        <v>53</v>
      </c>
      <c r="G3449" t="str">
        <f>"2024-09-12 19:29:07.677"</f>
        <v>2024-09-12 19:29:07.677</v>
      </c>
      <c r="H3449" t="s">
        <v>21</v>
      </c>
      <c r="I3449">
        <v>0</v>
      </c>
      <c r="J3449" t="s">
        <v>31</v>
      </c>
    </row>
    <row r="3450" spans="1:10" x14ac:dyDescent="0.25">
      <c r="A3450" s="1">
        <v>640</v>
      </c>
      <c r="B3450" t="s">
        <v>19</v>
      </c>
      <c r="C3450">
        <v>700</v>
      </c>
      <c r="D3450">
        <v>0</v>
      </c>
      <c r="E3450" t="s">
        <v>20</v>
      </c>
      <c r="F3450" t="s">
        <v>20</v>
      </c>
      <c r="G3450" t="str">
        <f>"2024-09-12 19:28:41.727"</f>
        <v>2024-09-12 19:28:41.727</v>
      </c>
      <c r="H3450" t="s">
        <v>21</v>
      </c>
      <c r="I3450">
        <v>0</v>
      </c>
      <c r="J3450" t="s">
        <v>33</v>
      </c>
    </row>
    <row r="3451" spans="1:10" x14ac:dyDescent="0.25">
      <c r="A3451" s="1">
        <v>641</v>
      </c>
      <c r="B3451" t="s">
        <v>19</v>
      </c>
      <c r="C3451">
        <v>700</v>
      </c>
      <c r="D3451">
        <v>0</v>
      </c>
      <c r="E3451" t="s">
        <v>20</v>
      </c>
      <c r="F3451" t="s">
        <v>20</v>
      </c>
      <c r="G3451" t="str">
        <f>"2024-09-12 18:46:35.764"</f>
        <v>2024-09-12 18:46:35.764</v>
      </c>
      <c r="H3451" t="s">
        <v>21</v>
      </c>
    </row>
    <row r="3452" spans="1:10" x14ac:dyDescent="0.25">
      <c r="A3452" s="1">
        <v>642</v>
      </c>
      <c r="B3452" t="s">
        <v>19</v>
      </c>
      <c r="C3452">
        <v>700</v>
      </c>
      <c r="D3452">
        <v>0</v>
      </c>
      <c r="E3452" t="s">
        <v>20</v>
      </c>
      <c r="F3452" t="s">
        <v>20</v>
      </c>
      <c r="G3452" t="str">
        <f>"2024-09-12 14:24:44.764"</f>
        <v>2024-09-12 14:24:44.764</v>
      </c>
      <c r="H3452" t="s">
        <v>21</v>
      </c>
      <c r="I3452">
        <v>0</v>
      </c>
      <c r="J3452" t="s">
        <v>33</v>
      </c>
    </row>
    <row r="3453" spans="1:10" x14ac:dyDescent="0.25">
      <c r="A3453" s="1">
        <v>643</v>
      </c>
      <c r="B3453" t="s">
        <v>22</v>
      </c>
      <c r="C3453">
        <v>635</v>
      </c>
      <c r="D3453">
        <v>1</v>
      </c>
      <c r="E3453" t="s">
        <v>34</v>
      </c>
      <c r="F3453" t="s">
        <v>35</v>
      </c>
      <c r="G3453" t="str">
        <f>"2024-09-12 11:59:24.227"</f>
        <v>2024-09-12 11:59:24.227</v>
      </c>
      <c r="H3453" t="s">
        <v>21</v>
      </c>
    </row>
    <row r="3454" spans="1:10" x14ac:dyDescent="0.25">
      <c r="A3454" s="1">
        <v>644</v>
      </c>
      <c r="B3454" t="s">
        <v>36</v>
      </c>
      <c r="C3454">
        <v>635</v>
      </c>
      <c r="D3454">
        <v>1</v>
      </c>
      <c r="E3454" t="s">
        <v>34</v>
      </c>
      <c r="F3454" t="s">
        <v>35</v>
      </c>
      <c r="G3454" t="str">
        <f>"2024-09-12 11:55:33.827"</f>
        <v>2024-09-12 11:55:33.827</v>
      </c>
      <c r="H3454" t="s">
        <v>21</v>
      </c>
      <c r="I3454">
        <v>7.33</v>
      </c>
      <c r="J3454" t="s">
        <v>28</v>
      </c>
    </row>
    <row r="3455" spans="1:10" s="3" customFormat="1" x14ac:dyDescent="0.25">
      <c r="A3455" s="2">
        <v>645</v>
      </c>
      <c r="B3455" s="3" t="s">
        <v>22</v>
      </c>
      <c r="C3455" s="3">
        <v>647</v>
      </c>
      <c r="D3455" s="3">
        <v>1</v>
      </c>
      <c r="E3455" s="3" t="s">
        <v>54</v>
      </c>
      <c r="F3455" s="3" t="s">
        <v>55</v>
      </c>
      <c r="G3455" s="3" t="str">
        <f>"2024-09-12 02:07:45.428"</f>
        <v>2024-09-12 02:07:45.428</v>
      </c>
      <c r="H3455" s="3" t="s">
        <v>21</v>
      </c>
    </row>
    <row r="3456" spans="1:10" s="3" customFormat="1" x14ac:dyDescent="0.25">
      <c r="A3456" s="2">
        <v>646</v>
      </c>
      <c r="B3456" s="3" t="s">
        <v>36</v>
      </c>
      <c r="C3456" s="3">
        <v>647</v>
      </c>
      <c r="D3456" s="3">
        <v>1</v>
      </c>
      <c r="E3456" s="3" t="s">
        <v>54</v>
      </c>
      <c r="F3456" s="3" t="s">
        <v>55</v>
      </c>
      <c r="G3456" s="3" t="str">
        <f>"2024-09-12 02:07:43.528"</f>
        <v>2024-09-12 02:07:43.528</v>
      </c>
      <c r="H3456" s="3" t="s">
        <v>21</v>
      </c>
      <c r="I3456" s="3">
        <v>22.04</v>
      </c>
      <c r="J3456" s="3" t="s">
        <v>27</v>
      </c>
    </row>
    <row r="3457" spans="1:10" x14ac:dyDescent="0.25">
      <c r="A3457" s="1">
        <v>647</v>
      </c>
      <c r="B3457" t="s">
        <v>22</v>
      </c>
      <c r="C3457">
        <v>635</v>
      </c>
      <c r="D3457">
        <v>1</v>
      </c>
      <c r="E3457" t="s">
        <v>34</v>
      </c>
      <c r="F3457" t="s">
        <v>35</v>
      </c>
      <c r="G3457" t="str">
        <f>"2024-09-11 19:10:55.927"</f>
        <v>2024-09-11 19:10:55.927</v>
      </c>
      <c r="H3457" t="s">
        <v>21</v>
      </c>
    </row>
    <row r="3458" spans="1:10" x14ac:dyDescent="0.25">
      <c r="A3458" s="1">
        <v>648</v>
      </c>
      <c r="B3458" t="s">
        <v>36</v>
      </c>
      <c r="C3458">
        <v>635</v>
      </c>
      <c r="D3458">
        <v>1</v>
      </c>
      <c r="E3458" t="s">
        <v>34</v>
      </c>
      <c r="F3458" t="s">
        <v>35</v>
      </c>
      <c r="G3458" t="str">
        <f>"2024-09-11 19:08:58.927"</f>
        <v>2024-09-11 19:08:58.927</v>
      </c>
      <c r="H3458" t="s">
        <v>21</v>
      </c>
      <c r="I3458">
        <v>8.9499999999999993</v>
      </c>
      <c r="J3458" t="s">
        <v>37</v>
      </c>
    </row>
    <row r="3459" spans="1:10" x14ac:dyDescent="0.25">
      <c r="A3459" s="1">
        <v>649</v>
      </c>
      <c r="B3459" t="s">
        <v>19</v>
      </c>
      <c r="C3459">
        <v>700</v>
      </c>
      <c r="D3459">
        <v>0</v>
      </c>
      <c r="E3459" t="s">
        <v>20</v>
      </c>
      <c r="F3459" t="s">
        <v>20</v>
      </c>
      <c r="G3459" t="str">
        <f>"2024-09-11 13:55:48.735"</f>
        <v>2024-09-11 13:55:48.735</v>
      </c>
      <c r="H3459" t="s">
        <v>21</v>
      </c>
      <c r="I3459">
        <v>0</v>
      </c>
      <c r="J3459" t="s">
        <v>33</v>
      </c>
    </row>
    <row r="3460" spans="1:10" x14ac:dyDescent="0.25">
      <c r="A3460" s="1">
        <v>650</v>
      </c>
      <c r="B3460" t="s">
        <v>22</v>
      </c>
      <c r="C3460">
        <v>635</v>
      </c>
      <c r="D3460">
        <v>1</v>
      </c>
      <c r="E3460" t="s">
        <v>34</v>
      </c>
      <c r="F3460" t="s">
        <v>35</v>
      </c>
      <c r="G3460" t="str">
        <f>"2024-09-11 08:56:23.250"</f>
        <v>2024-09-11 08:56:23.250</v>
      </c>
      <c r="H3460" t="s">
        <v>21</v>
      </c>
    </row>
    <row r="3461" spans="1:10" x14ac:dyDescent="0.25">
      <c r="A3461" s="1">
        <v>651</v>
      </c>
      <c r="B3461" t="s">
        <v>36</v>
      </c>
      <c r="C3461">
        <v>635</v>
      </c>
      <c r="D3461">
        <v>1</v>
      </c>
      <c r="E3461" t="s">
        <v>34</v>
      </c>
      <c r="F3461" t="s">
        <v>35</v>
      </c>
      <c r="G3461" t="str">
        <f>"2024-09-11 08:53:12.250"</f>
        <v>2024-09-11 08:53:12.250</v>
      </c>
      <c r="H3461" t="s">
        <v>21</v>
      </c>
      <c r="I3461">
        <v>-0.87</v>
      </c>
      <c r="J3461" t="s">
        <v>28</v>
      </c>
    </row>
    <row r="3462" spans="1:10" x14ac:dyDescent="0.25">
      <c r="A3462" s="1">
        <v>652</v>
      </c>
      <c r="B3462" t="s">
        <v>22</v>
      </c>
      <c r="C3462">
        <v>98</v>
      </c>
      <c r="D3462">
        <v>1</v>
      </c>
      <c r="E3462" t="s">
        <v>99</v>
      </c>
      <c r="F3462" t="s">
        <v>100</v>
      </c>
      <c r="G3462" t="str">
        <f>"2024-09-11 05:02:05.550"</f>
        <v>2024-09-11 05:02:05.550</v>
      </c>
      <c r="H3462" t="s">
        <v>21</v>
      </c>
    </row>
    <row r="3463" spans="1:10" x14ac:dyDescent="0.25">
      <c r="A3463" s="1">
        <v>653</v>
      </c>
      <c r="B3463" t="s">
        <v>36</v>
      </c>
      <c r="C3463">
        <v>98</v>
      </c>
      <c r="D3463">
        <v>1</v>
      </c>
      <c r="E3463" t="s">
        <v>99</v>
      </c>
      <c r="F3463" t="s">
        <v>100</v>
      </c>
      <c r="G3463" t="str">
        <f>"2024-09-11 05:02:04.451"</f>
        <v>2024-09-11 05:02:04.451</v>
      </c>
      <c r="H3463" t="s">
        <v>21</v>
      </c>
      <c r="I3463">
        <v>7.22</v>
      </c>
      <c r="J3463" t="s">
        <v>37</v>
      </c>
    </row>
    <row r="3464" spans="1:10" x14ac:dyDescent="0.25">
      <c r="A3464" s="1">
        <v>654</v>
      </c>
      <c r="B3464" t="s">
        <v>19</v>
      </c>
      <c r="C3464">
        <v>700</v>
      </c>
      <c r="D3464">
        <v>0</v>
      </c>
      <c r="E3464" t="s">
        <v>20</v>
      </c>
      <c r="F3464" t="s">
        <v>20</v>
      </c>
      <c r="G3464" t="str">
        <f>"2024-09-10 15:56:02.755"</f>
        <v>2024-09-10 15:56:02.755</v>
      </c>
      <c r="H3464" t="s">
        <v>21</v>
      </c>
    </row>
    <row r="3465" spans="1:10" x14ac:dyDescent="0.25">
      <c r="A3465" s="1">
        <v>655</v>
      </c>
      <c r="B3465" t="s">
        <v>22</v>
      </c>
      <c r="C3465">
        <v>635</v>
      </c>
      <c r="D3465">
        <v>1</v>
      </c>
      <c r="E3465" t="s">
        <v>34</v>
      </c>
      <c r="F3465" t="s">
        <v>35</v>
      </c>
      <c r="G3465" t="str">
        <f>"2024-09-10 05:33:13.330"</f>
        <v>2024-09-10 05:33:13.330</v>
      </c>
      <c r="H3465" t="s">
        <v>21</v>
      </c>
    </row>
    <row r="3466" spans="1:10" x14ac:dyDescent="0.25">
      <c r="A3466" s="1">
        <v>656</v>
      </c>
      <c r="B3466" t="s">
        <v>36</v>
      </c>
      <c r="C3466">
        <v>635</v>
      </c>
      <c r="D3466">
        <v>1</v>
      </c>
      <c r="E3466" t="s">
        <v>34</v>
      </c>
      <c r="F3466" t="s">
        <v>35</v>
      </c>
      <c r="G3466" t="str">
        <f>"2024-09-10 05:30:02.830"</f>
        <v>2024-09-10 05:30:02.830</v>
      </c>
      <c r="H3466" t="s">
        <v>21</v>
      </c>
      <c r="I3466">
        <v>6.91</v>
      </c>
      <c r="J3466" t="s">
        <v>37</v>
      </c>
    </row>
    <row r="3467" spans="1:10" x14ac:dyDescent="0.25">
      <c r="A3467" s="1">
        <v>657</v>
      </c>
      <c r="B3467" t="s">
        <v>19</v>
      </c>
      <c r="C3467">
        <v>700</v>
      </c>
      <c r="D3467">
        <v>0</v>
      </c>
      <c r="E3467" t="s">
        <v>20</v>
      </c>
      <c r="F3467" t="s">
        <v>20</v>
      </c>
      <c r="G3467" t="str">
        <f>"2024-09-09 13:33:07.729"</f>
        <v>2024-09-09 13:33:07.729</v>
      </c>
      <c r="H3467" t="s">
        <v>21</v>
      </c>
    </row>
    <row r="3468" spans="1:10" x14ac:dyDescent="0.25">
      <c r="A3468" s="1">
        <v>658</v>
      </c>
      <c r="B3468" t="s">
        <v>56</v>
      </c>
      <c r="C3468">
        <v>33</v>
      </c>
      <c r="D3468">
        <v>1</v>
      </c>
      <c r="E3468" t="s">
        <v>76</v>
      </c>
      <c r="F3468" t="s">
        <v>77</v>
      </c>
      <c r="G3468" t="str">
        <f>"2024-09-09 10:40:49.629"</f>
        <v>2024-09-09 10:40:49.629</v>
      </c>
      <c r="H3468" t="s">
        <v>78</v>
      </c>
    </row>
    <row r="3469" spans="1:10" x14ac:dyDescent="0.25">
      <c r="A3469" s="1">
        <v>659</v>
      </c>
      <c r="B3469" t="s">
        <v>26</v>
      </c>
      <c r="C3469">
        <v>33</v>
      </c>
      <c r="D3469">
        <v>1</v>
      </c>
      <c r="E3469" t="s">
        <v>76</v>
      </c>
      <c r="F3469" t="s">
        <v>77</v>
      </c>
      <c r="G3469" t="str">
        <f>"2024-09-09 10:40:06.908"</f>
        <v>2024-09-09 10:40:06.908</v>
      </c>
      <c r="H3469" t="s">
        <v>78</v>
      </c>
      <c r="I3469">
        <v>5.98</v>
      </c>
      <c r="J3469" t="s">
        <v>37</v>
      </c>
    </row>
    <row r="3470" spans="1:10" x14ac:dyDescent="0.25">
      <c r="A3470" s="1">
        <v>660</v>
      </c>
      <c r="B3470" t="s">
        <v>22</v>
      </c>
      <c r="C3470">
        <v>635</v>
      </c>
      <c r="D3470">
        <v>1</v>
      </c>
      <c r="E3470" t="s">
        <v>34</v>
      </c>
      <c r="F3470" t="s">
        <v>35</v>
      </c>
      <c r="G3470" t="str">
        <f>"2024-09-09 03:58:08.529"</f>
        <v>2024-09-09 03:58:08.529</v>
      </c>
      <c r="H3470" t="s">
        <v>21</v>
      </c>
    </row>
    <row r="3471" spans="1:10" x14ac:dyDescent="0.25">
      <c r="A3471" s="1">
        <v>661</v>
      </c>
      <c r="B3471" t="s">
        <v>36</v>
      </c>
      <c r="C3471">
        <v>635</v>
      </c>
      <c r="D3471">
        <v>1</v>
      </c>
      <c r="E3471" t="s">
        <v>34</v>
      </c>
      <c r="F3471" t="s">
        <v>35</v>
      </c>
      <c r="G3471" t="str">
        <f>"2024-09-09 03:47:47.029"</f>
        <v>2024-09-09 03:47:47.029</v>
      </c>
      <c r="H3471" t="s">
        <v>21</v>
      </c>
      <c r="I3471">
        <v>-0.72</v>
      </c>
      <c r="J3471" t="s">
        <v>28</v>
      </c>
    </row>
    <row r="3472" spans="1:10" x14ac:dyDescent="0.25">
      <c r="A3472" s="1">
        <v>662</v>
      </c>
      <c r="B3472" t="s">
        <v>22</v>
      </c>
      <c r="C3472">
        <v>635</v>
      </c>
      <c r="D3472">
        <v>1</v>
      </c>
      <c r="E3472" t="s">
        <v>34</v>
      </c>
      <c r="F3472" t="s">
        <v>35</v>
      </c>
      <c r="G3472" t="str">
        <f>"2024-09-09 03:36:00.129"</f>
        <v>2024-09-09 03:36:00.129</v>
      </c>
      <c r="H3472" t="s">
        <v>21</v>
      </c>
    </row>
    <row r="3473" spans="1:10" x14ac:dyDescent="0.25">
      <c r="A3473" s="1">
        <v>663</v>
      </c>
      <c r="B3473" t="s">
        <v>36</v>
      </c>
      <c r="C3473">
        <v>635</v>
      </c>
      <c r="D3473">
        <v>1</v>
      </c>
      <c r="E3473" t="s">
        <v>34</v>
      </c>
      <c r="F3473" t="s">
        <v>35</v>
      </c>
      <c r="G3473" t="str">
        <f>"2024-09-09 03:28:48.629"</f>
        <v>2024-09-09 03:28:48.629</v>
      </c>
      <c r="H3473" t="s">
        <v>21</v>
      </c>
      <c r="I3473">
        <v>2.1800000000000002</v>
      </c>
      <c r="J3473" t="s">
        <v>28</v>
      </c>
    </row>
    <row r="3474" spans="1:10" s="3" customFormat="1" x14ac:dyDescent="0.25">
      <c r="A3474" s="2">
        <v>664</v>
      </c>
      <c r="B3474" s="3" t="s">
        <v>22</v>
      </c>
      <c r="C3474" s="3">
        <v>647</v>
      </c>
      <c r="D3474" s="3">
        <v>1</v>
      </c>
      <c r="E3474" s="3" t="s">
        <v>54</v>
      </c>
      <c r="F3474" s="3" t="s">
        <v>55</v>
      </c>
      <c r="G3474" s="3" t="str">
        <f>"2024-09-08 23:21:13.130"</f>
        <v>2024-09-08 23:21:13.130</v>
      </c>
      <c r="H3474" s="3" t="s">
        <v>21</v>
      </c>
    </row>
    <row r="3475" spans="1:10" s="3" customFormat="1" x14ac:dyDescent="0.25">
      <c r="A3475" s="2">
        <v>665</v>
      </c>
      <c r="B3475" s="3" t="s">
        <v>36</v>
      </c>
      <c r="C3475" s="3">
        <v>647</v>
      </c>
      <c r="D3475" s="3">
        <v>1</v>
      </c>
      <c r="E3475" s="3" t="s">
        <v>54</v>
      </c>
      <c r="F3475" s="3" t="s">
        <v>55</v>
      </c>
      <c r="G3475" s="3" t="str">
        <f>"2024-09-08 23:21:09.430"</f>
        <v>2024-09-08 23:21:09.430</v>
      </c>
      <c r="H3475" s="3" t="s">
        <v>21</v>
      </c>
      <c r="I3475" s="3">
        <v>11.22</v>
      </c>
      <c r="J3475" s="3" t="s">
        <v>27</v>
      </c>
    </row>
    <row r="3476" spans="1:10" s="3" customFormat="1" x14ac:dyDescent="0.25">
      <c r="A3476" s="2">
        <v>666</v>
      </c>
      <c r="B3476" s="3" t="s">
        <v>22</v>
      </c>
      <c r="C3476" s="3">
        <v>647</v>
      </c>
      <c r="D3476" s="3">
        <v>1</v>
      </c>
      <c r="E3476" s="3" t="s">
        <v>54</v>
      </c>
      <c r="F3476" s="3" t="s">
        <v>55</v>
      </c>
      <c r="G3476" s="3" t="str">
        <f>"2024-09-08 23:21:07.330"</f>
        <v>2024-09-08 23:21:07.330</v>
      </c>
      <c r="H3476" s="3" t="s">
        <v>21</v>
      </c>
    </row>
    <row r="3477" spans="1:10" s="3" customFormat="1" x14ac:dyDescent="0.25">
      <c r="A3477" s="2">
        <v>667</v>
      </c>
      <c r="B3477" s="3" t="s">
        <v>36</v>
      </c>
      <c r="C3477" s="3">
        <v>647</v>
      </c>
      <c r="D3477" s="3">
        <v>1</v>
      </c>
      <c r="E3477" s="3" t="s">
        <v>54</v>
      </c>
      <c r="F3477" s="3" t="s">
        <v>55</v>
      </c>
      <c r="G3477" s="3" t="str">
        <f>"2024-09-08 23:21:04.830"</f>
        <v>2024-09-08 23:21:04.830</v>
      </c>
      <c r="H3477" s="3" t="s">
        <v>21</v>
      </c>
      <c r="I3477" s="3">
        <v>12.04</v>
      </c>
      <c r="J3477" s="3" t="s">
        <v>27</v>
      </c>
    </row>
    <row r="3478" spans="1:10" x14ac:dyDescent="0.25">
      <c r="A3478" s="1">
        <v>668</v>
      </c>
      <c r="B3478" t="s">
        <v>19</v>
      </c>
      <c r="C3478">
        <v>700</v>
      </c>
      <c r="D3478">
        <v>0</v>
      </c>
      <c r="E3478" t="s">
        <v>20</v>
      </c>
      <c r="F3478" t="s">
        <v>20</v>
      </c>
      <c r="G3478" t="str">
        <f>"2024-09-08 13:44:37.734"</f>
        <v>2024-09-08 13:44:37.734</v>
      </c>
      <c r="H3478" t="s">
        <v>21</v>
      </c>
      <c r="I3478">
        <v>0</v>
      </c>
      <c r="J3478" t="s">
        <v>33</v>
      </c>
    </row>
    <row r="3479" spans="1:10" x14ac:dyDescent="0.25">
      <c r="A3479" s="1">
        <v>669</v>
      </c>
      <c r="B3479" t="s">
        <v>19</v>
      </c>
      <c r="C3479">
        <v>700</v>
      </c>
      <c r="D3479">
        <v>0</v>
      </c>
      <c r="E3479" t="s">
        <v>20</v>
      </c>
      <c r="F3479" t="s">
        <v>20</v>
      </c>
      <c r="G3479" t="str">
        <f>"2024-09-07 18:01:05.717"</f>
        <v>2024-09-07 18:01:05.717</v>
      </c>
      <c r="H3479" t="s">
        <v>21</v>
      </c>
    </row>
    <row r="3480" spans="1:10" x14ac:dyDescent="0.25">
      <c r="A3480" s="1">
        <v>670</v>
      </c>
      <c r="B3480" t="s">
        <v>19</v>
      </c>
      <c r="C3480">
        <v>700</v>
      </c>
      <c r="D3480">
        <v>0</v>
      </c>
      <c r="E3480" t="s">
        <v>20</v>
      </c>
      <c r="F3480" t="s">
        <v>20</v>
      </c>
      <c r="G3480" t="str">
        <f>"2024-09-07 17:57:58.726"</f>
        <v>2024-09-07 17:57:58.726</v>
      </c>
      <c r="H3480" t="s">
        <v>21</v>
      </c>
      <c r="I3480">
        <v>0</v>
      </c>
      <c r="J3480" t="s">
        <v>33</v>
      </c>
    </row>
    <row r="3481" spans="1:10" x14ac:dyDescent="0.25">
      <c r="A3481" s="1">
        <v>671</v>
      </c>
      <c r="B3481" t="s">
        <v>19</v>
      </c>
      <c r="C3481">
        <v>700</v>
      </c>
      <c r="D3481">
        <v>0</v>
      </c>
      <c r="E3481" t="s">
        <v>20</v>
      </c>
      <c r="F3481" t="s">
        <v>20</v>
      </c>
      <c r="G3481" t="str">
        <f>"2024-09-07 17:22:27.806"</f>
        <v>2024-09-07 17:22:27.806</v>
      </c>
      <c r="H3481" t="s">
        <v>21</v>
      </c>
      <c r="I3481">
        <v>0</v>
      </c>
      <c r="J3481" t="s">
        <v>33</v>
      </c>
    </row>
    <row r="3482" spans="1:10" x14ac:dyDescent="0.25">
      <c r="A3482" s="1">
        <v>672</v>
      </c>
      <c r="B3482" t="s">
        <v>19</v>
      </c>
      <c r="C3482">
        <v>700</v>
      </c>
      <c r="D3482">
        <v>0</v>
      </c>
      <c r="E3482" t="s">
        <v>20</v>
      </c>
      <c r="F3482" t="s">
        <v>20</v>
      </c>
      <c r="G3482" t="str">
        <f>"2024-09-07 15:21:09.739"</f>
        <v>2024-09-07 15:21:09.739</v>
      </c>
      <c r="H3482" t="s">
        <v>21</v>
      </c>
      <c r="I3482">
        <v>0</v>
      </c>
      <c r="J3482" t="s">
        <v>33</v>
      </c>
    </row>
    <row r="3483" spans="1:10" x14ac:dyDescent="0.25">
      <c r="A3483" s="1">
        <v>673</v>
      </c>
      <c r="B3483" t="s">
        <v>22</v>
      </c>
      <c r="C3483">
        <v>98</v>
      </c>
      <c r="D3483">
        <v>1</v>
      </c>
      <c r="E3483" t="s">
        <v>99</v>
      </c>
      <c r="F3483" t="s">
        <v>100</v>
      </c>
      <c r="G3483" t="str">
        <f>"2024-09-07 07:27:01.662"</f>
        <v>2024-09-07 07:27:01.662</v>
      </c>
      <c r="H3483" t="s">
        <v>21</v>
      </c>
    </row>
    <row r="3484" spans="1:10" x14ac:dyDescent="0.25">
      <c r="A3484" s="1">
        <v>674</v>
      </c>
      <c r="B3484" t="s">
        <v>36</v>
      </c>
      <c r="C3484">
        <v>98</v>
      </c>
      <c r="D3484">
        <v>1</v>
      </c>
      <c r="E3484" t="s">
        <v>99</v>
      </c>
      <c r="F3484" t="s">
        <v>100</v>
      </c>
      <c r="G3484" t="str">
        <f>"2024-09-07 07:27:00.562"</f>
        <v>2024-09-07 07:27:00.562</v>
      </c>
      <c r="H3484" t="s">
        <v>21</v>
      </c>
      <c r="I3484">
        <v>0</v>
      </c>
      <c r="J3484" t="s">
        <v>28</v>
      </c>
    </row>
    <row r="3485" spans="1:10" x14ac:dyDescent="0.25">
      <c r="A3485" s="1">
        <v>675</v>
      </c>
      <c r="B3485" t="s">
        <v>56</v>
      </c>
      <c r="C3485">
        <v>33</v>
      </c>
      <c r="D3485">
        <v>1</v>
      </c>
      <c r="E3485" t="s">
        <v>76</v>
      </c>
      <c r="F3485" t="s">
        <v>77</v>
      </c>
      <c r="G3485" t="str">
        <f>"2024-09-06 23:13:49.109"</f>
        <v>2024-09-06 23:13:49.109</v>
      </c>
      <c r="H3485" t="s">
        <v>78</v>
      </c>
    </row>
    <row r="3486" spans="1:10" x14ac:dyDescent="0.25">
      <c r="A3486" s="1">
        <v>676</v>
      </c>
      <c r="B3486" t="s">
        <v>26</v>
      </c>
      <c r="C3486">
        <v>33</v>
      </c>
      <c r="D3486">
        <v>1</v>
      </c>
      <c r="E3486" t="s">
        <v>76</v>
      </c>
      <c r="F3486" t="s">
        <v>77</v>
      </c>
      <c r="G3486" t="str">
        <f>"2024-09-06 23:13:33.441"</f>
        <v>2024-09-06 23:13:33.441</v>
      </c>
      <c r="H3486" t="s">
        <v>78</v>
      </c>
      <c r="I3486">
        <v>12.81</v>
      </c>
      <c r="J3486" t="s">
        <v>37</v>
      </c>
    </row>
    <row r="3487" spans="1:10" x14ac:dyDescent="0.25">
      <c r="A3487" s="1">
        <v>677</v>
      </c>
      <c r="B3487" t="s">
        <v>22</v>
      </c>
      <c r="C3487">
        <v>635</v>
      </c>
      <c r="D3487">
        <v>1</v>
      </c>
      <c r="E3487" t="s">
        <v>34</v>
      </c>
      <c r="F3487" t="s">
        <v>35</v>
      </c>
      <c r="G3487" t="str">
        <f>"2024-09-06 15:53:48.862"</f>
        <v>2024-09-06 15:53:48.862</v>
      </c>
      <c r="H3487" t="s">
        <v>21</v>
      </c>
    </row>
    <row r="3488" spans="1:10" x14ac:dyDescent="0.25">
      <c r="A3488" s="1">
        <v>678</v>
      </c>
      <c r="B3488" t="s">
        <v>36</v>
      </c>
      <c r="C3488">
        <v>635</v>
      </c>
      <c r="D3488">
        <v>1</v>
      </c>
      <c r="E3488" t="s">
        <v>34</v>
      </c>
      <c r="F3488" t="s">
        <v>35</v>
      </c>
      <c r="G3488" t="str">
        <f>"2024-09-06 15:50:47.862"</f>
        <v>2024-09-06 15:50:47.862</v>
      </c>
      <c r="H3488" t="s">
        <v>21</v>
      </c>
      <c r="I3488">
        <v>3.99</v>
      </c>
      <c r="J3488" t="s">
        <v>37</v>
      </c>
    </row>
    <row r="3489" spans="1:10" x14ac:dyDescent="0.25">
      <c r="A3489" s="1">
        <v>679</v>
      </c>
      <c r="B3489" t="s">
        <v>22</v>
      </c>
      <c r="C3489">
        <v>635</v>
      </c>
      <c r="D3489">
        <v>1</v>
      </c>
      <c r="E3489" t="s">
        <v>34</v>
      </c>
      <c r="F3489" t="s">
        <v>35</v>
      </c>
      <c r="G3489" t="str">
        <f>"2024-09-06 15:39:13.362"</f>
        <v>2024-09-06 15:39:13.362</v>
      </c>
      <c r="H3489" t="s">
        <v>21</v>
      </c>
    </row>
    <row r="3490" spans="1:10" x14ac:dyDescent="0.25">
      <c r="A3490" s="1">
        <v>680</v>
      </c>
      <c r="B3490" t="s">
        <v>36</v>
      </c>
      <c r="C3490">
        <v>635</v>
      </c>
      <c r="D3490">
        <v>1</v>
      </c>
      <c r="E3490" t="s">
        <v>34</v>
      </c>
      <c r="F3490" t="s">
        <v>35</v>
      </c>
      <c r="G3490" t="str">
        <f>"2024-09-06 15:36:26.862"</f>
        <v>2024-09-06 15:36:26.862</v>
      </c>
      <c r="H3490" t="s">
        <v>21</v>
      </c>
      <c r="I3490">
        <v>3.86</v>
      </c>
      <c r="J3490" t="s">
        <v>37</v>
      </c>
    </row>
    <row r="3491" spans="1:10" x14ac:dyDescent="0.25">
      <c r="A3491" s="1">
        <v>681</v>
      </c>
      <c r="B3491" t="s">
        <v>22</v>
      </c>
      <c r="C3491">
        <v>635</v>
      </c>
      <c r="D3491">
        <v>1</v>
      </c>
      <c r="E3491" t="s">
        <v>34</v>
      </c>
      <c r="F3491" t="s">
        <v>35</v>
      </c>
      <c r="G3491" t="str">
        <f>"2024-09-06 09:42:16.962"</f>
        <v>2024-09-06 09:42:16.962</v>
      </c>
      <c r="H3491" t="s">
        <v>21</v>
      </c>
    </row>
    <row r="3492" spans="1:10" x14ac:dyDescent="0.25">
      <c r="A3492" s="1">
        <v>682</v>
      </c>
      <c r="B3492" t="s">
        <v>36</v>
      </c>
      <c r="C3492">
        <v>635</v>
      </c>
      <c r="D3492">
        <v>1</v>
      </c>
      <c r="E3492" t="s">
        <v>34</v>
      </c>
      <c r="F3492" t="s">
        <v>35</v>
      </c>
      <c r="G3492" t="str">
        <f>"2024-09-06 09:31:56.962"</f>
        <v>2024-09-06 09:31:56.962</v>
      </c>
      <c r="H3492" t="s">
        <v>21</v>
      </c>
      <c r="I3492">
        <v>0.64</v>
      </c>
      <c r="J3492" t="s">
        <v>37</v>
      </c>
    </row>
    <row r="3493" spans="1:10" x14ac:dyDescent="0.25">
      <c r="A3493" s="1">
        <v>683</v>
      </c>
      <c r="B3493" t="s">
        <v>22</v>
      </c>
      <c r="C3493">
        <v>635</v>
      </c>
      <c r="D3493">
        <v>1</v>
      </c>
      <c r="E3493" t="s">
        <v>34</v>
      </c>
      <c r="F3493" t="s">
        <v>35</v>
      </c>
      <c r="G3493" t="str">
        <f>"2024-09-06 04:58:30.862"</f>
        <v>2024-09-06 04:58:30.862</v>
      </c>
      <c r="H3493" t="s">
        <v>21</v>
      </c>
    </row>
    <row r="3494" spans="1:10" x14ac:dyDescent="0.25">
      <c r="A3494" s="1">
        <v>684</v>
      </c>
      <c r="B3494" t="s">
        <v>36</v>
      </c>
      <c r="C3494">
        <v>635</v>
      </c>
      <c r="D3494">
        <v>1</v>
      </c>
      <c r="E3494" t="s">
        <v>34</v>
      </c>
      <c r="F3494" t="s">
        <v>35</v>
      </c>
      <c r="G3494" t="str">
        <f>"2024-09-06 04:55:05.909"</f>
        <v>2024-09-06 04:55:05.909</v>
      </c>
      <c r="H3494" t="s">
        <v>21</v>
      </c>
      <c r="I3494">
        <v>5.31</v>
      </c>
      <c r="J3494" t="s">
        <v>37</v>
      </c>
    </row>
    <row r="3495" spans="1:10" x14ac:dyDescent="0.25">
      <c r="A3495" s="1">
        <v>685</v>
      </c>
      <c r="B3495" t="s">
        <v>22</v>
      </c>
      <c r="C3495">
        <v>635</v>
      </c>
      <c r="D3495">
        <v>1</v>
      </c>
      <c r="E3495" t="s">
        <v>34</v>
      </c>
      <c r="F3495" t="s">
        <v>35</v>
      </c>
      <c r="G3495" t="str">
        <f>"2024-09-06 00:33:13.362"</f>
        <v>2024-09-06 00:33:13.362</v>
      </c>
      <c r="H3495" t="s">
        <v>21</v>
      </c>
    </row>
    <row r="3496" spans="1:10" x14ac:dyDescent="0.25">
      <c r="A3496" s="1">
        <v>686</v>
      </c>
      <c r="B3496" t="s">
        <v>36</v>
      </c>
      <c r="C3496">
        <v>635</v>
      </c>
      <c r="D3496">
        <v>1</v>
      </c>
      <c r="E3496" t="s">
        <v>34</v>
      </c>
      <c r="F3496" t="s">
        <v>35</v>
      </c>
      <c r="G3496" t="str">
        <f>"2024-09-06 00:30:42.862"</f>
        <v>2024-09-06 00:30:42.862</v>
      </c>
      <c r="H3496" t="s">
        <v>21</v>
      </c>
      <c r="I3496">
        <v>6.23</v>
      </c>
      <c r="J3496" t="s">
        <v>37</v>
      </c>
    </row>
    <row r="3497" spans="1:10" x14ac:dyDescent="0.25">
      <c r="A3497" s="1">
        <v>687</v>
      </c>
      <c r="B3497" t="s">
        <v>19</v>
      </c>
      <c r="C3497">
        <v>700</v>
      </c>
      <c r="D3497">
        <v>0</v>
      </c>
      <c r="E3497" t="s">
        <v>20</v>
      </c>
      <c r="F3497" t="s">
        <v>20</v>
      </c>
      <c r="G3497" t="str">
        <f>"2024-09-05 13:32:22.711"</f>
        <v>2024-09-05 13:32:22.711</v>
      </c>
      <c r="H3497" t="s">
        <v>21</v>
      </c>
      <c r="I3497">
        <v>0</v>
      </c>
      <c r="J3497" t="s">
        <v>33</v>
      </c>
    </row>
    <row r="3498" spans="1:10" x14ac:dyDescent="0.25">
      <c r="A3498" s="1">
        <v>688</v>
      </c>
      <c r="B3498" t="s">
        <v>22</v>
      </c>
      <c r="C3498">
        <v>635</v>
      </c>
      <c r="D3498">
        <v>1</v>
      </c>
      <c r="E3498" t="s">
        <v>34</v>
      </c>
      <c r="F3498" t="s">
        <v>35</v>
      </c>
      <c r="G3498" t="str">
        <f>"2024-09-05 01:28:16.924"</f>
        <v>2024-09-05 01:28:16.924</v>
      </c>
      <c r="H3498" t="s">
        <v>21</v>
      </c>
    </row>
    <row r="3499" spans="1:10" x14ac:dyDescent="0.25">
      <c r="A3499" s="1">
        <v>689</v>
      </c>
      <c r="B3499" t="s">
        <v>36</v>
      </c>
      <c r="C3499">
        <v>635</v>
      </c>
      <c r="D3499">
        <v>1</v>
      </c>
      <c r="E3499" t="s">
        <v>34</v>
      </c>
      <c r="F3499" t="s">
        <v>35</v>
      </c>
      <c r="G3499" t="str">
        <f>"2024-09-05 01:13:16.424"</f>
        <v>2024-09-05 01:13:16.424</v>
      </c>
      <c r="H3499" t="s">
        <v>21</v>
      </c>
      <c r="I3499">
        <v>8.32</v>
      </c>
      <c r="J3499" t="s">
        <v>37</v>
      </c>
    </row>
    <row r="3500" spans="1:10" x14ac:dyDescent="0.25">
      <c r="A3500" s="1">
        <v>690</v>
      </c>
      <c r="B3500" t="s">
        <v>19</v>
      </c>
      <c r="C3500">
        <v>706</v>
      </c>
      <c r="D3500">
        <v>4</v>
      </c>
      <c r="E3500" t="s">
        <v>29</v>
      </c>
      <c r="F3500" t="s">
        <v>53</v>
      </c>
      <c r="G3500" t="str">
        <f>"2024-09-05 01:00:24.427"</f>
        <v>2024-09-05 01:00:24.427</v>
      </c>
      <c r="H3500" t="s">
        <v>21</v>
      </c>
      <c r="I3500">
        <v>0</v>
      </c>
      <c r="J3500" t="s">
        <v>31</v>
      </c>
    </row>
    <row r="3501" spans="1:10" x14ac:dyDescent="0.25">
      <c r="A3501" s="1">
        <v>691</v>
      </c>
      <c r="B3501" t="s">
        <v>19</v>
      </c>
      <c r="C3501">
        <v>700</v>
      </c>
      <c r="D3501">
        <v>0</v>
      </c>
      <c r="E3501" t="s">
        <v>20</v>
      </c>
      <c r="F3501" t="s">
        <v>20</v>
      </c>
      <c r="G3501" t="str">
        <f>"2024-09-05 00:47:27.717"</f>
        <v>2024-09-05 00:47:27.717</v>
      </c>
      <c r="H3501" t="s">
        <v>21</v>
      </c>
      <c r="I3501">
        <v>0</v>
      </c>
      <c r="J3501" t="s">
        <v>33</v>
      </c>
    </row>
    <row r="3502" spans="1:10" x14ac:dyDescent="0.25">
      <c r="A3502" s="1">
        <v>692</v>
      </c>
      <c r="B3502" t="s">
        <v>19</v>
      </c>
      <c r="C3502">
        <v>700</v>
      </c>
      <c r="D3502">
        <v>0</v>
      </c>
      <c r="E3502" t="s">
        <v>20</v>
      </c>
      <c r="F3502" t="s">
        <v>20</v>
      </c>
      <c r="G3502" t="str">
        <f>"2024-09-05 00:40:30.705"</f>
        <v>2024-09-05 00:40:30.705</v>
      </c>
      <c r="H3502" t="s">
        <v>21</v>
      </c>
    </row>
    <row r="3503" spans="1:10" x14ac:dyDescent="0.25">
      <c r="A3503" s="1">
        <v>693</v>
      </c>
      <c r="B3503" t="s">
        <v>22</v>
      </c>
      <c r="C3503">
        <v>635</v>
      </c>
      <c r="D3503">
        <v>1</v>
      </c>
      <c r="E3503" t="s">
        <v>34</v>
      </c>
      <c r="F3503" t="s">
        <v>35</v>
      </c>
      <c r="G3503" t="str">
        <f>"2024-09-04 23:11:23.450"</f>
        <v>2024-09-04 23:11:23.450</v>
      </c>
      <c r="H3503" t="s">
        <v>21</v>
      </c>
    </row>
    <row r="3504" spans="1:10" x14ac:dyDescent="0.25">
      <c r="A3504" s="1">
        <v>694</v>
      </c>
      <c r="B3504" t="s">
        <v>36</v>
      </c>
      <c r="C3504">
        <v>635</v>
      </c>
      <c r="D3504">
        <v>1</v>
      </c>
      <c r="E3504" t="s">
        <v>34</v>
      </c>
      <c r="F3504" t="s">
        <v>35</v>
      </c>
      <c r="G3504" t="str">
        <f>"2024-09-04 22:58:42.950"</f>
        <v>2024-09-04 22:58:42.950</v>
      </c>
      <c r="H3504" t="s">
        <v>21</v>
      </c>
      <c r="I3504">
        <v>9.1</v>
      </c>
      <c r="J3504" t="s">
        <v>27</v>
      </c>
    </row>
    <row r="3505" spans="1:10" x14ac:dyDescent="0.25">
      <c r="A3505" s="1">
        <v>695</v>
      </c>
      <c r="B3505" t="s">
        <v>22</v>
      </c>
      <c r="C3505">
        <v>635</v>
      </c>
      <c r="D3505">
        <v>1</v>
      </c>
      <c r="E3505" t="s">
        <v>34</v>
      </c>
      <c r="F3505" t="s">
        <v>35</v>
      </c>
      <c r="G3505" t="str">
        <f>"2024-09-04 21:22:02.150"</f>
        <v>2024-09-04 21:22:02.150</v>
      </c>
      <c r="H3505" t="s">
        <v>21</v>
      </c>
    </row>
    <row r="3506" spans="1:10" x14ac:dyDescent="0.25">
      <c r="A3506" s="1">
        <v>696</v>
      </c>
      <c r="B3506" t="s">
        <v>36</v>
      </c>
      <c r="C3506">
        <v>635</v>
      </c>
      <c r="D3506">
        <v>1</v>
      </c>
      <c r="E3506" t="s">
        <v>34</v>
      </c>
      <c r="F3506" t="s">
        <v>35</v>
      </c>
      <c r="G3506" t="str">
        <f>"2024-09-04 21:08:58.150"</f>
        <v>2024-09-04 21:08:58.150</v>
      </c>
      <c r="H3506" t="s">
        <v>21</v>
      </c>
      <c r="I3506">
        <v>8.4600000000000009</v>
      </c>
      <c r="J3506" t="s">
        <v>37</v>
      </c>
    </row>
    <row r="3507" spans="1:10" x14ac:dyDescent="0.25">
      <c r="A3507" s="1">
        <v>697</v>
      </c>
      <c r="B3507" t="s">
        <v>22</v>
      </c>
      <c r="C3507">
        <v>635</v>
      </c>
      <c r="D3507">
        <v>1</v>
      </c>
      <c r="E3507" t="s">
        <v>34</v>
      </c>
      <c r="F3507" t="s">
        <v>35</v>
      </c>
      <c r="G3507" t="str">
        <f>"2024-09-04 21:04:08.650"</f>
        <v>2024-09-04 21:04:08.650</v>
      </c>
      <c r="H3507" t="s">
        <v>21</v>
      </c>
    </row>
    <row r="3508" spans="1:10" x14ac:dyDescent="0.25">
      <c r="A3508" s="1">
        <v>698</v>
      </c>
      <c r="B3508" t="s">
        <v>36</v>
      </c>
      <c r="C3508">
        <v>635</v>
      </c>
      <c r="D3508">
        <v>1</v>
      </c>
      <c r="E3508" t="s">
        <v>34</v>
      </c>
      <c r="F3508" t="s">
        <v>35</v>
      </c>
      <c r="G3508" t="str">
        <f>"2024-09-04 21:01:07.150"</f>
        <v>2024-09-04 21:01:07.150</v>
      </c>
      <c r="H3508" t="s">
        <v>21</v>
      </c>
      <c r="I3508">
        <v>6.21</v>
      </c>
      <c r="J3508" t="s">
        <v>37</v>
      </c>
    </row>
    <row r="3509" spans="1:10" x14ac:dyDescent="0.25">
      <c r="A3509" s="1">
        <v>699</v>
      </c>
      <c r="B3509" t="s">
        <v>22</v>
      </c>
      <c r="C3509">
        <v>635</v>
      </c>
      <c r="D3509">
        <v>1</v>
      </c>
      <c r="E3509" t="s">
        <v>34</v>
      </c>
      <c r="F3509" t="s">
        <v>35</v>
      </c>
      <c r="G3509" t="str">
        <f>"2024-09-04 13:36:19.950"</f>
        <v>2024-09-04 13:36:19.950</v>
      </c>
      <c r="H3509" t="s">
        <v>21</v>
      </c>
    </row>
    <row r="3510" spans="1:10" x14ac:dyDescent="0.25">
      <c r="A3510" s="1">
        <v>700</v>
      </c>
      <c r="B3510" t="s">
        <v>36</v>
      </c>
      <c r="C3510">
        <v>635</v>
      </c>
      <c r="D3510">
        <v>1</v>
      </c>
      <c r="E3510" t="s">
        <v>34</v>
      </c>
      <c r="F3510" t="s">
        <v>35</v>
      </c>
      <c r="G3510" t="str">
        <f>"2024-09-04 13:32:11.951"</f>
        <v>2024-09-04 13:32:11.951</v>
      </c>
      <c r="H3510" t="s">
        <v>21</v>
      </c>
      <c r="I3510">
        <v>0.51</v>
      </c>
      <c r="J3510" t="s">
        <v>37</v>
      </c>
    </row>
    <row r="3511" spans="1:10" x14ac:dyDescent="0.25">
      <c r="A3511" s="1">
        <v>701</v>
      </c>
      <c r="B3511" t="s">
        <v>19</v>
      </c>
      <c r="C3511">
        <v>700</v>
      </c>
      <c r="D3511">
        <v>0</v>
      </c>
      <c r="E3511" t="s">
        <v>20</v>
      </c>
      <c r="F3511" t="s">
        <v>20</v>
      </c>
      <c r="G3511" t="str">
        <f>"2024-09-04 12:57:05.738"</f>
        <v>2024-09-04 12:57:05.738</v>
      </c>
      <c r="H3511" t="s">
        <v>21</v>
      </c>
    </row>
    <row r="3512" spans="1:10" x14ac:dyDescent="0.25">
      <c r="A3512" s="1">
        <v>702</v>
      </c>
      <c r="B3512" t="s">
        <v>22</v>
      </c>
      <c r="C3512">
        <v>635</v>
      </c>
      <c r="D3512">
        <v>1</v>
      </c>
      <c r="E3512" t="s">
        <v>34</v>
      </c>
      <c r="F3512" t="s">
        <v>35</v>
      </c>
      <c r="G3512" t="str">
        <f>"2024-09-03 21:41:26.865"</f>
        <v>2024-09-03 21:41:26.865</v>
      </c>
      <c r="H3512" t="s">
        <v>21</v>
      </c>
    </row>
    <row r="3513" spans="1:10" x14ac:dyDescent="0.25">
      <c r="A3513" s="1">
        <v>703</v>
      </c>
      <c r="B3513" t="s">
        <v>36</v>
      </c>
      <c r="C3513">
        <v>635</v>
      </c>
      <c r="D3513">
        <v>1</v>
      </c>
      <c r="E3513" t="s">
        <v>34</v>
      </c>
      <c r="F3513" t="s">
        <v>35</v>
      </c>
      <c r="G3513" t="str">
        <f>"2024-09-03 21:36:07.365"</f>
        <v>2024-09-03 21:36:07.365</v>
      </c>
      <c r="H3513" t="s">
        <v>21</v>
      </c>
      <c r="I3513">
        <v>6.18</v>
      </c>
      <c r="J3513" t="s">
        <v>37</v>
      </c>
    </row>
    <row r="3514" spans="1:10" x14ac:dyDescent="0.25">
      <c r="A3514" s="1">
        <v>705</v>
      </c>
      <c r="B3514" t="s">
        <v>19</v>
      </c>
      <c r="C3514">
        <v>706</v>
      </c>
      <c r="D3514">
        <v>4</v>
      </c>
      <c r="E3514" t="s">
        <v>29</v>
      </c>
      <c r="F3514" t="s">
        <v>53</v>
      </c>
      <c r="G3514" t="str">
        <f>"2024-09-03 15:44:42.378"</f>
        <v>2024-09-03 15:44:42.378</v>
      </c>
      <c r="H3514" t="s">
        <v>21</v>
      </c>
      <c r="I3514">
        <v>0</v>
      </c>
      <c r="J3514" t="s">
        <v>31</v>
      </c>
    </row>
    <row r="3515" spans="1:10" x14ac:dyDescent="0.25">
      <c r="A3515" s="1">
        <v>706</v>
      </c>
      <c r="B3515" t="s">
        <v>19</v>
      </c>
      <c r="C3515">
        <v>706</v>
      </c>
      <c r="D3515">
        <v>4</v>
      </c>
      <c r="E3515" t="s">
        <v>29</v>
      </c>
      <c r="F3515" t="s">
        <v>53</v>
      </c>
      <c r="G3515" t="str">
        <f>"2024-09-03 15:42:44.828"</f>
        <v>2024-09-03 15:42:44.828</v>
      </c>
      <c r="H3515" t="s">
        <v>21</v>
      </c>
      <c r="I3515">
        <v>0</v>
      </c>
      <c r="J3515" t="s">
        <v>31</v>
      </c>
    </row>
    <row r="3516" spans="1:10" x14ac:dyDescent="0.25">
      <c r="A3516" s="1">
        <v>707</v>
      </c>
      <c r="B3516" t="s">
        <v>19</v>
      </c>
      <c r="C3516">
        <v>700</v>
      </c>
      <c r="D3516">
        <v>0</v>
      </c>
      <c r="E3516" t="s">
        <v>20</v>
      </c>
      <c r="F3516" t="s">
        <v>20</v>
      </c>
      <c r="G3516" t="str">
        <f>"2024-09-03 15:40:16.718"</f>
        <v>2024-09-03 15:40:16.718</v>
      </c>
      <c r="H3516" t="s">
        <v>21</v>
      </c>
      <c r="I3516">
        <v>0</v>
      </c>
      <c r="J3516" t="s">
        <v>33</v>
      </c>
    </row>
    <row r="3517" spans="1:10" x14ac:dyDescent="0.25">
      <c r="A3517" s="1">
        <v>708</v>
      </c>
      <c r="B3517" t="s">
        <v>19</v>
      </c>
      <c r="C3517">
        <v>700</v>
      </c>
      <c r="D3517">
        <v>0</v>
      </c>
      <c r="E3517" t="s">
        <v>20</v>
      </c>
      <c r="F3517" t="s">
        <v>20</v>
      </c>
      <c r="G3517" t="str">
        <f>"2024-09-03 14:26:02.710"</f>
        <v>2024-09-03 14:26:02.710</v>
      </c>
      <c r="H3517" t="s">
        <v>21</v>
      </c>
    </row>
    <row r="3518" spans="1:10" x14ac:dyDescent="0.25">
      <c r="A3518" s="1">
        <v>709</v>
      </c>
      <c r="B3518" t="s">
        <v>19</v>
      </c>
      <c r="C3518">
        <v>700</v>
      </c>
      <c r="D3518">
        <v>0</v>
      </c>
      <c r="E3518" t="s">
        <v>20</v>
      </c>
      <c r="F3518" t="s">
        <v>20</v>
      </c>
      <c r="G3518" t="str">
        <f>"2024-09-03 14:10:36.705"</f>
        <v>2024-09-03 14:10:36.705</v>
      </c>
      <c r="H3518" t="s">
        <v>21</v>
      </c>
    </row>
    <row r="3519" spans="1:10" x14ac:dyDescent="0.25">
      <c r="A3519" s="1">
        <v>710</v>
      </c>
      <c r="B3519" t="s">
        <v>19</v>
      </c>
      <c r="C3519">
        <v>700</v>
      </c>
      <c r="D3519">
        <v>0</v>
      </c>
      <c r="E3519" t="s">
        <v>20</v>
      </c>
      <c r="F3519" t="s">
        <v>20</v>
      </c>
      <c r="G3519" t="str">
        <f>"2024-09-03 14:05:37.703"</f>
        <v>2024-09-03 14:05:37.703</v>
      </c>
      <c r="H3519" t="s">
        <v>21</v>
      </c>
    </row>
    <row r="3520" spans="1:10" x14ac:dyDescent="0.25">
      <c r="A3520" s="1">
        <v>711</v>
      </c>
      <c r="B3520" t="s">
        <v>19</v>
      </c>
      <c r="C3520">
        <v>700</v>
      </c>
      <c r="D3520">
        <v>0</v>
      </c>
      <c r="E3520" t="s">
        <v>20</v>
      </c>
      <c r="F3520" t="s">
        <v>20</v>
      </c>
      <c r="G3520" t="str">
        <f>"2024-09-03 13:58:37.705"</f>
        <v>2024-09-03 13:58:37.705</v>
      </c>
      <c r="H3520" t="s">
        <v>21</v>
      </c>
      <c r="I3520">
        <v>0</v>
      </c>
      <c r="J3520" t="s">
        <v>33</v>
      </c>
    </row>
    <row r="3521" spans="1:10" x14ac:dyDescent="0.25">
      <c r="A3521" s="1">
        <v>712</v>
      </c>
      <c r="B3521" t="s">
        <v>19</v>
      </c>
      <c r="C3521">
        <v>700</v>
      </c>
      <c r="D3521">
        <v>0</v>
      </c>
      <c r="E3521" t="s">
        <v>20</v>
      </c>
      <c r="F3521" t="s">
        <v>20</v>
      </c>
      <c r="G3521" t="str">
        <f>"2024-09-03 13:51:45.706"</f>
        <v>2024-09-03 13:51:45.706</v>
      </c>
      <c r="H3521" t="s">
        <v>21</v>
      </c>
      <c r="I3521">
        <v>0</v>
      </c>
      <c r="J3521" t="s">
        <v>33</v>
      </c>
    </row>
    <row r="3522" spans="1:10" x14ac:dyDescent="0.25">
      <c r="A3522" s="1">
        <v>713</v>
      </c>
      <c r="B3522" t="s">
        <v>19</v>
      </c>
      <c r="C3522">
        <v>700</v>
      </c>
      <c r="D3522">
        <v>0</v>
      </c>
      <c r="E3522" t="s">
        <v>20</v>
      </c>
      <c r="F3522" t="s">
        <v>20</v>
      </c>
      <c r="G3522" t="str">
        <f>"2024-09-03 12:12:24.698"</f>
        <v>2024-09-03 12:12:24.698</v>
      </c>
      <c r="H3522" t="s">
        <v>21</v>
      </c>
    </row>
    <row r="3523" spans="1:10" x14ac:dyDescent="0.25">
      <c r="A3523" s="1">
        <v>714</v>
      </c>
      <c r="B3523" t="s">
        <v>19</v>
      </c>
      <c r="C3523">
        <v>700</v>
      </c>
      <c r="D3523">
        <v>0</v>
      </c>
      <c r="E3523" t="s">
        <v>20</v>
      </c>
      <c r="F3523" t="s">
        <v>20</v>
      </c>
      <c r="G3523" t="str">
        <f>"2024-09-03 11:53:38.699"</f>
        <v>2024-09-03 11:53:38.699</v>
      </c>
      <c r="H3523" t="s">
        <v>21</v>
      </c>
      <c r="I3523">
        <v>0</v>
      </c>
      <c r="J3523" t="s">
        <v>33</v>
      </c>
    </row>
    <row r="3524" spans="1:10" x14ac:dyDescent="0.25">
      <c r="A3524" s="1">
        <v>715</v>
      </c>
      <c r="B3524" t="s">
        <v>19</v>
      </c>
      <c r="C3524">
        <v>700</v>
      </c>
      <c r="D3524">
        <v>0</v>
      </c>
      <c r="E3524" t="s">
        <v>20</v>
      </c>
      <c r="F3524" t="s">
        <v>20</v>
      </c>
      <c r="G3524" t="str">
        <f>"2024-09-03 10:39:47.707"</f>
        <v>2024-09-03 10:39:47.707</v>
      </c>
      <c r="H3524" t="s">
        <v>21</v>
      </c>
      <c r="I3524">
        <v>0</v>
      </c>
      <c r="J3524" t="s">
        <v>33</v>
      </c>
    </row>
    <row r="3525" spans="1:10" x14ac:dyDescent="0.25">
      <c r="A3525" s="1">
        <v>716</v>
      </c>
      <c r="B3525" t="s">
        <v>19</v>
      </c>
      <c r="C3525">
        <v>700</v>
      </c>
      <c r="D3525">
        <v>0</v>
      </c>
      <c r="E3525" t="s">
        <v>20</v>
      </c>
      <c r="F3525" t="s">
        <v>20</v>
      </c>
      <c r="G3525" t="str">
        <f>"2024-09-03 09:55:25.691"</f>
        <v>2024-09-03 09:55:25.691</v>
      </c>
      <c r="H3525" t="s">
        <v>21</v>
      </c>
    </row>
    <row r="3526" spans="1:10" x14ac:dyDescent="0.25">
      <c r="A3526" s="1">
        <v>717</v>
      </c>
      <c r="B3526" t="s">
        <v>19</v>
      </c>
      <c r="C3526">
        <v>700</v>
      </c>
      <c r="D3526">
        <v>0</v>
      </c>
      <c r="E3526" t="s">
        <v>20</v>
      </c>
      <c r="F3526" t="s">
        <v>20</v>
      </c>
      <c r="G3526" t="str">
        <f>"2024-09-03 08:23:26.829"</f>
        <v>2024-09-03 08:23:26.829</v>
      </c>
      <c r="H3526" t="s">
        <v>21</v>
      </c>
      <c r="I3526">
        <v>0</v>
      </c>
      <c r="J3526" t="s">
        <v>33</v>
      </c>
    </row>
    <row r="3527" spans="1:10" x14ac:dyDescent="0.25">
      <c r="A3527" s="1">
        <v>718</v>
      </c>
      <c r="B3527" t="s">
        <v>19</v>
      </c>
      <c r="C3527">
        <v>700</v>
      </c>
      <c r="D3527">
        <v>0</v>
      </c>
      <c r="E3527" t="s">
        <v>20</v>
      </c>
      <c r="F3527" t="s">
        <v>20</v>
      </c>
      <c r="G3527" t="str">
        <f>"2024-09-03 08:17:01.973"</f>
        <v>2024-09-03 08:17:01.973</v>
      </c>
      <c r="H3527" t="s">
        <v>21</v>
      </c>
    </row>
    <row r="3528" spans="1:10" x14ac:dyDescent="0.25">
      <c r="A3528" s="1">
        <v>719</v>
      </c>
      <c r="B3528" t="s">
        <v>22</v>
      </c>
      <c r="C3528">
        <v>635</v>
      </c>
      <c r="D3528">
        <v>1</v>
      </c>
      <c r="E3528" t="s">
        <v>34</v>
      </c>
      <c r="F3528" t="s">
        <v>35</v>
      </c>
      <c r="G3528" t="str">
        <f>"2024-09-02 18:29:28.304"</f>
        <v>2024-09-02 18:29:28.304</v>
      </c>
      <c r="H3528" t="s">
        <v>21</v>
      </c>
    </row>
    <row r="3529" spans="1:10" x14ac:dyDescent="0.25">
      <c r="A3529" s="1">
        <v>720</v>
      </c>
      <c r="B3529" t="s">
        <v>36</v>
      </c>
      <c r="C3529">
        <v>635</v>
      </c>
      <c r="D3529">
        <v>1</v>
      </c>
      <c r="E3529" t="s">
        <v>34</v>
      </c>
      <c r="F3529" t="s">
        <v>35</v>
      </c>
      <c r="G3529" t="str">
        <f>"2024-09-02 18:27:18.804"</f>
        <v>2024-09-02 18:27:18.804</v>
      </c>
      <c r="H3529" t="s">
        <v>21</v>
      </c>
      <c r="I3529">
        <v>6.39</v>
      </c>
      <c r="J3529" t="s">
        <v>27</v>
      </c>
    </row>
    <row r="3530" spans="1:10" x14ac:dyDescent="0.25">
      <c r="A3530" s="1">
        <v>721</v>
      </c>
      <c r="B3530" t="s">
        <v>19</v>
      </c>
      <c r="C3530">
        <v>700</v>
      </c>
      <c r="D3530">
        <v>0</v>
      </c>
      <c r="E3530" t="s">
        <v>20</v>
      </c>
      <c r="F3530" t="s">
        <v>20</v>
      </c>
      <c r="G3530" t="str">
        <f>"2024-09-02 11:17:44.704"</f>
        <v>2024-09-02 11:17:44.704</v>
      </c>
      <c r="H3530" t="s">
        <v>21</v>
      </c>
      <c r="I3530">
        <v>0</v>
      </c>
      <c r="J3530" t="s">
        <v>33</v>
      </c>
    </row>
    <row r="3531" spans="1:10" x14ac:dyDescent="0.25">
      <c r="A3531" s="1">
        <v>722</v>
      </c>
      <c r="B3531" t="s">
        <v>22</v>
      </c>
      <c r="C3531">
        <v>635</v>
      </c>
      <c r="D3531">
        <v>1</v>
      </c>
      <c r="E3531" t="s">
        <v>34</v>
      </c>
      <c r="F3531" t="s">
        <v>35</v>
      </c>
      <c r="G3531" t="str">
        <f>"2024-09-02 08:02:08.317"</f>
        <v>2024-09-02 08:02:08.317</v>
      </c>
      <c r="H3531" t="s">
        <v>21</v>
      </c>
    </row>
    <row r="3532" spans="1:10" x14ac:dyDescent="0.25">
      <c r="A3532" s="1">
        <v>723</v>
      </c>
      <c r="B3532" t="s">
        <v>36</v>
      </c>
      <c r="C3532">
        <v>635</v>
      </c>
      <c r="D3532">
        <v>1</v>
      </c>
      <c r="E3532" t="s">
        <v>34</v>
      </c>
      <c r="F3532" t="s">
        <v>35</v>
      </c>
      <c r="G3532" t="str">
        <f>"2024-09-02 07:55:03.817"</f>
        <v>2024-09-02 07:55:03.817</v>
      </c>
      <c r="H3532" t="s">
        <v>21</v>
      </c>
      <c r="I3532">
        <v>4.95</v>
      </c>
      <c r="J3532" t="s">
        <v>37</v>
      </c>
    </row>
    <row r="3533" spans="1:10" s="3" customFormat="1" x14ac:dyDescent="0.25">
      <c r="A3533" s="2">
        <v>724</v>
      </c>
      <c r="B3533" s="3" t="s">
        <v>22</v>
      </c>
      <c r="C3533" s="3">
        <v>647</v>
      </c>
      <c r="D3533" s="3">
        <v>1</v>
      </c>
      <c r="E3533" s="3" t="s">
        <v>54</v>
      </c>
      <c r="F3533" s="3" t="s">
        <v>55</v>
      </c>
      <c r="G3533" s="3" t="str">
        <f>"2024-08-31 20:46:59.918"</f>
        <v>2024-08-31 20:46:59.918</v>
      </c>
      <c r="H3533" s="3" t="s">
        <v>21</v>
      </c>
    </row>
    <row r="3534" spans="1:10" s="3" customFormat="1" x14ac:dyDescent="0.25">
      <c r="A3534" s="2">
        <v>725</v>
      </c>
      <c r="B3534" s="3" t="s">
        <v>36</v>
      </c>
      <c r="C3534" s="3">
        <v>647</v>
      </c>
      <c r="D3534" s="3">
        <v>1</v>
      </c>
      <c r="E3534" s="3" t="s">
        <v>54</v>
      </c>
      <c r="F3534" s="3" t="s">
        <v>55</v>
      </c>
      <c r="G3534" s="3" t="str">
        <f>"2024-08-31 20:46:57.618"</f>
        <v>2024-08-31 20:46:57.618</v>
      </c>
      <c r="H3534" s="3" t="s">
        <v>21</v>
      </c>
      <c r="I3534" s="3">
        <v>25.89</v>
      </c>
      <c r="J3534" s="3" t="s">
        <v>27</v>
      </c>
    </row>
    <row r="3535" spans="1:10" x14ac:dyDescent="0.25">
      <c r="A3535" s="1">
        <v>726</v>
      </c>
      <c r="B3535" t="s">
        <v>19</v>
      </c>
      <c r="C3535">
        <v>700</v>
      </c>
      <c r="D3535">
        <v>0</v>
      </c>
      <c r="E3535" t="s">
        <v>20</v>
      </c>
      <c r="F3535" t="s">
        <v>20</v>
      </c>
      <c r="G3535" t="str">
        <f>"2024-08-31 19:39:53.711"</f>
        <v>2024-08-31 19:39:53.711</v>
      </c>
      <c r="H3535" t="s">
        <v>21</v>
      </c>
      <c r="I3535">
        <v>0</v>
      </c>
      <c r="J3535" t="s">
        <v>33</v>
      </c>
    </row>
    <row r="3536" spans="1:10" x14ac:dyDescent="0.25">
      <c r="A3536" s="1">
        <v>727</v>
      </c>
      <c r="B3536" t="s">
        <v>22</v>
      </c>
      <c r="C3536">
        <v>635</v>
      </c>
      <c r="D3536">
        <v>1</v>
      </c>
      <c r="E3536" t="s">
        <v>34</v>
      </c>
      <c r="F3536" t="s">
        <v>35</v>
      </c>
      <c r="G3536" t="str">
        <f>"2024-08-31 16:39:41.806"</f>
        <v>2024-08-31 16:39:41.806</v>
      </c>
      <c r="H3536" t="s">
        <v>21</v>
      </c>
    </row>
    <row r="3537" spans="1:10" x14ac:dyDescent="0.25">
      <c r="A3537" s="1">
        <v>728</v>
      </c>
      <c r="B3537" t="s">
        <v>36</v>
      </c>
      <c r="C3537">
        <v>635</v>
      </c>
      <c r="D3537">
        <v>1</v>
      </c>
      <c r="E3537" t="s">
        <v>34</v>
      </c>
      <c r="F3537" t="s">
        <v>35</v>
      </c>
      <c r="G3537" t="str">
        <f>"2024-08-31 16:34:09.906"</f>
        <v>2024-08-31 16:34:09.906</v>
      </c>
      <c r="H3537" t="s">
        <v>21</v>
      </c>
      <c r="I3537">
        <v>4.4400000000000004</v>
      </c>
      <c r="J3537" t="s">
        <v>37</v>
      </c>
    </row>
    <row r="3538" spans="1:10" x14ac:dyDescent="0.25">
      <c r="A3538" s="1">
        <v>729</v>
      </c>
      <c r="B3538" t="s">
        <v>19</v>
      </c>
      <c r="C3538">
        <v>706</v>
      </c>
      <c r="D3538">
        <v>4</v>
      </c>
      <c r="E3538" t="s">
        <v>29</v>
      </c>
      <c r="F3538" t="s">
        <v>53</v>
      </c>
      <c r="G3538" t="str">
        <f>"2024-08-31 15:33:43.537"</f>
        <v>2024-08-31 15:33:43.537</v>
      </c>
      <c r="H3538" t="s">
        <v>21</v>
      </c>
      <c r="I3538">
        <v>0</v>
      </c>
      <c r="J3538" t="s">
        <v>31</v>
      </c>
    </row>
    <row r="3539" spans="1:10" x14ac:dyDescent="0.25">
      <c r="A3539" s="1">
        <v>730</v>
      </c>
      <c r="B3539" t="s">
        <v>19</v>
      </c>
      <c r="C3539">
        <v>700</v>
      </c>
      <c r="D3539">
        <v>0</v>
      </c>
      <c r="E3539" t="s">
        <v>20</v>
      </c>
      <c r="F3539" t="s">
        <v>20</v>
      </c>
      <c r="G3539" t="str">
        <f>"2024-08-31 15:13:55.697"</f>
        <v>2024-08-31 15:13:55.697</v>
      </c>
      <c r="H3539" t="s">
        <v>21</v>
      </c>
      <c r="I3539">
        <v>0</v>
      </c>
      <c r="J3539" t="s">
        <v>33</v>
      </c>
    </row>
    <row r="3540" spans="1:10" x14ac:dyDescent="0.25">
      <c r="A3540" s="1">
        <v>731</v>
      </c>
      <c r="B3540" t="s">
        <v>19</v>
      </c>
      <c r="C3540">
        <v>706</v>
      </c>
      <c r="D3540">
        <v>4</v>
      </c>
      <c r="E3540" t="s">
        <v>29</v>
      </c>
      <c r="F3540" t="s">
        <v>53</v>
      </c>
      <c r="G3540" t="str">
        <f>"2024-08-31 14:21:05.114"</f>
        <v>2024-08-31 14:21:05.114</v>
      </c>
      <c r="H3540" t="s">
        <v>21</v>
      </c>
      <c r="I3540">
        <v>0</v>
      </c>
      <c r="J3540" t="s">
        <v>31</v>
      </c>
    </row>
    <row r="3541" spans="1:10" x14ac:dyDescent="0.25">
      <c r="A3541" s="1">
        <v>732</v>
      </c>
      <c r="B3541" t="s">
        <v>19</v>
      </c>
      <c r="C3541">
        <v>700</v>
      </c>
      <c r="D3541">
        <v>0</v>
      </c>
      <c r="E3541" t="s">
        <v>20</v>
      </c>
      <c r="F3541" t="s">
        <v>20</v>
      </c>
      <c r="G3541" t="str">
        <f>"2024-08-31 13:58:29.704"</f>
        <v>2024-08-31 13:58:29.704</v>
      </c>
      <c r="H3541" t="s">
        <v>21</v>
      </c>
    </row>
    <row r="3542" spans="1:10" x14ac:dyDescent="0.25">
      <c r="A3542" s="1">
        <v>733</v>
      </c>
      <c r="B3542" t="s">
        <v>19</v>
      </c>
      <c r="C3542">
        <v>700</v>
      </c>
      <c r="D3542">
        <v>0</v>
      </c>
      <c r="E3542" t="s">
        <v>20</v>
      </c>
      <c r="F3542" t="s">
        <v>20</v>
      </c>
      <c r="G3542" t="str">
        <f>"2024-08-31 13:33:55.736"</f>
        <v>2024-08-31 13:33:55.736</v>
      </c>
      <c r="H3542" t="s">
        <v>21</v>
      </c>
    </row>
    <row r="3543" spans="1:10" x14ac:dyDescent="0.25">
      <c r="A3543" s="1">
        <v>734</v>
      </c>
      <c r="B3543" t="s">
        <v>22</v>
      </c>
      <c r="C3543">
        <v>635</v>
      </c>
      <c r="D3543">
        <v>1</v>
      </c>
      <c r="E3543" t="s">
        <v>34</v>
      </c>
      <c r="F3543" t="s">
        <v>35</v>
      </c>
      <c r="G3543" t="str">
        <f>"2024-08-31 06:18:28.218"</f>
        <v>2024-08-31 06:18:28.218</v>
      </c>
      <c r="H3543" t="s">
        <v>21</v>
      </c>
    </row>
    <row r="3544" spans="1:10" x14ac:dyDescent="0.25">
      <c r="A3544" s="1">
        <v>735</v>
      </c>
      <c r="B3544" t="s">
        <v>36</v>
      </c>
      <c r="C3544">
        <v>635</v>
      </c>
      <c r="D3544">
        <v>1</v>
      </c>
      <c r="E3544" t="s">
        <v>34</v>
      </c>
      <c r="F3544" t="s">
        <v>35</v>
      </c>
      <c r="G3544" t="str">
        <f>"2024-08-31 06:06:04.218"</f>
        <v>2024-08-31 06:06:04.218</v>
      </c>
      <c r="H3544" t="s">
        <v>21</v>
      </c>
      <c r="I3544">
        <v>9.77</v>
      </c>
      <c r="J3544" t="s">
        <v>27</v>
      </c>
    </row>
    <row r="3545" spans="1:10" x14ac:dyDescent="0.25">
      <c r="A3545" s="1">
        <v>736</v>
      </c>
      <c r="B3545" t="s">
        <v>22</v>
      </c>
      <c r="C3545">
        <v>635</v>
      </c>
      <c r="D3545">
        <v>1</v>
      </c>
      <c r="E3545" t="s">
        <v>34</v>
      </c>
      <c r="F3545" t="s">
        <v>35</v>
      </c>
      <c r="G3545" t="str">
        <f>"2024-08-31 03:14:43.018"</f>
        <v>2024-08-31 03:14:43.018</v>
      </c>
      <c r="H3545" t="s">
        <v>21</v>
      </c>
    </row>
    <row r="3546" spans="1:10" x14ac:dyDescent="0.25">
      <c r="A3546" s="1">
        <v>737</v>
      </c>
      <c r="B3546" t="s">
        <v>36</v>
      </c>
      <c r="C3546">
        <v>635</v>
      </c>
      <c r="D3546">
        <v>1</v>
      </c>
      <c r="E3546" t="s">
        <v>34</v>
      </c>
      <c r="F3546" t="s">
        <v>35</v>
      </c>
      <c r="G3546" t="str">
        <f>"2024-08-31 03:02:20.018"</f>
        <v>2024-08-31 03:02:20.018</v>
      </c>
      <c r="H3546" t="s">
        <v>21</v>
      </c>
      <c r="I3546">
        <v>9.35</v>
      </c>
      <c r="J3546" t="s">
        <v>27</v>
      </c>
    </row>
    <row r="3547" spans="1:10" x14ac:dyDescent="0.25">
      <c r="A3547" s="1">
        <v>738</v>
      </c>
      <c r="B3547" t="s">
        <v>19</v>
      </c>
      <c r="C3547">
        <v>700</v>
      </c>
      <c r="D3547">
        <v>0</v>
      </c>
      <c r="E3547" t="s">
        <v>20</v>
      </c>
      <c r="F3547" t="s">
        <v>20</v>
      </c>
      <c r="G3547" t="str">
        <f>"2024-08-30 12:37:56.698"</f>
        <v>2024-08-30 12:37:56.698</v>
      </c>
      <c r="H3547" t="s">
        <v>21</v>
      </c>
    </row>
    <row r="3548" spans="1:10" x14ac:dyDescent="0.25">
      <c r="A3548" s="1">
        <v>739</v>
      </c>
      <c r="B3548" t="s">
        <v>22</v>
      </c>
      <c r="C3548">
        <v>635</v>
      </c>
      <c r="D3548">
        <v>1</v>
      </c>
      <c r="E3548" t="s">
        <v>34</v>
      </c>
      <c r="F3548" t="s">
        <v>35</v>
      </c>
      <c r="G3548" t="str">
        <f>"2024-08-30 03:11:12.062"</f>
        <v>2024-08-30 03:11:12.062</v>
      </c>
      <c r="H3548" t="s">
        <v>21</v>
      </c>
    </row>
    <row r="3549" spans="1:10" x14ac:dyDescent="0.25">
      <c r="A3549" s="1">
        <v>740</v>
      </c>
      <c r="B3549" t="s">
        <v>36</v>
      </c>
      <c r="C3549">
        <v>635</v>
      </c>
      <c r="D3549">
        <v>1</v>
      </c>
      <c r="E3549" t="s">
        <v>34</v>
      </c>
      <c r="F3549" t="s">
        <v>35</v>
      </c>
      <c r="G3549" t="str">
        <f>"2024-08-30 03:08:49.062"</f>
        <v>2024-08-30 03:08:49.062</v>
      </c>
      <c r="H3549" t="s">
        <v>21</v>
      </c>
      <c r="I3549">
        <v>6.86</v>
      </c>
      <c r="J3549" t="s">
        <v>37</v>
      </c>
    </row>
    <row r="3550" spans="1:10" x14ac:dyDescent="0.25">
      <c r="A3550" s="1">
        <v>741</v>
      </c>
      <c r="B3550" t="s">
        <v>22</v>
      </c>
      <c r="C3550">
        <v>635</v>
      </c>
      <c r="D3550">
        <v>1</v>
      </c>
      <c r="E3550" t="s">
        <v>34</v>
      </c>
      <c r="F3550" t="s">
        <v>35</v>
      </c>
      <c r="G3550" t="str">
        <f>"2024-08-30 02:00:45.662"</f>
        <v>2024-08-30 02:00:45.662</v>
      </c>
      <c r="H3550" t="s">
        <v>21</v>
      </c>
    </row>
    <row r="3551" spans="1:10" x14ac:dyDescent="0.25">
      <c r="A3551" s="1">
        <v>742</v>
      </c>
      <c r="B3551" t="s">
        <v>36</v>
      </c>
      <c r="C3551">
        <v>635</v>
      </c>
      <c r="D3551">
        <v>1</v>
      </c>
      <c r="E3551" t="s">
        <v>34</v>
      </c>
      <c r="F3551" t="s">
        <v>35</v>
      </c>
      <c r="G3551" t="str">
        <f>"2024-08-30 01:58:17.161"</f>
        <v>2024-08-30 01:58:17.161</v>
      </c>
      <c r="H3551" t="s">
        <v>21</v>
      </c>
      <c r="I3551">
        <v>9.9700000000000006</v>
      </c>
      <c r="J3551" t="s">
        <v>27</v>
      </c>
    </row>
    <row r="3552" spans="1:10" x14ac:dyDescent="0.25">
      <c r="A3552" s="1">
        <v>743</v>
      </c>
      <c r="B3552" t="s">
        <v>22</v>
      </c>
      <c r="C3552">
        <v>635</v>
      </c>
      <c r="D3552">
        <v>1</v>
      </c>
      <c r="E3552" t="s">
        <v>34</v>
      </c>
      <c r="F3552" t="s">
        <v>35</v>
      </c>
      <c r="G3552" t="str">
        <f>"2024-08-30 01:48:42.662"</f>
        <v>2024-08-30 01:48:42.662</v>
      </c>
      <c r="H3552" t="s">
        <v>21</v>
      </c>
    </row>
    <row r="3553" spans="1:10" x14ac:dyDescent="0.25">
      <c r="A3553" s="1">
        <v>744</v>
      </c>
      <c r="B3553" t="s">
        <v>36</v>
      </c>
      <c r="C3553">
        <v>635</v>
      </c>
      <c r="D3553">
        <v>1</v>
      </c>
      <c r="E3553" t="s">
        <v>34</v>
      </c>
      <c r="F3553" t="s">
        <v>35</v>
      </c>
      <c r="G3553" t="str">
        <f>"2024-08-30 01:36:29.662"</f>
        <v>2024-08-30 01:36:29.662</v>
      </c>
      <c r="H3553" t="s">
        <v>21</v>
      </c>
      <c r="I3553">
        <v>8.02</v>
      </c>
      <c r="J3553" t="s">
        <v>37</v>
      </c>
    </row>
    <row r="3554" spans="1:10" x14ac:dyDescent="0.25">
      <c r="A3554" s="1">
        <v>745</v>
      </c>
      <c r="B3554" t="s">
        <v>56</v>
      </c>
      <c r="C3554">
        <v>33</v>
      </c>
      <c r="D3554">
        <v>1</v>
      </c>
      <c r="E3554" t="s">
        <v>76</v>
      </c>
      <c r="F3554" t="s">
        <v>77</v>
      </c>
      <c r="G3554" t="str">
        <f>"2024-08-30 01:05:37.715"</f>
        <v>2024-08-30 01:05:37.715</v>
      </c>
      <c r="H3554" t="s">
        <v>78</v>
      </c>
    </row>
    <row r="3555" spans="1:10" x14ac:dyDescent="0.25">
      <c r="A3555" s="1">
        <v>746</v>
      </c>
      <c r="B3555" t="s">
        <v>26</v>
      </c>
      <c r="C3555">
        <v>33</v>
      </c>
      <c r="D3555">
        <v>1</v>
      </c>
      <c r="E3555" t="s">
        <v>76</v>
      </c>
      <c r="F3555" t="s">
        <v>77</v>
      </c>
      <c r="G3555" t="str">
        <f>"2024-08-30 01:03:25.374"</f>
        <v>2024-08-30 01:03:25.374</v>
      </c>
      <c r="H3555" t="s">
        <v>78</v>
      </c>
      <c r="I3555">
        <v>8.57</v>
      </c>
      <c r="J3555" t="s">
        <v>37</v>
      </c>
    </row>
    <row r="3556" spans="1:10" x14ac:dyDescent="0.25">
      <c r="A3556" s="1">
        <v>747</v>
      </c>
      <c r="B3556" t="s">
        <v>56</v>
      </c>
      <c r="C3556">
        <v>33</v>
      </c>
      <c r="D3556">
        <v>1</v>
      </c>
      <c r="E3556" t="s">
        <v>76</v>
      </c>
      <c r="F3556" t="s">
        <v>77</v>
      </c>
      <c r="G3556" t="str">
        <f>"2024-08-29 13:07:31.262"</f>
        <v>2024-08-29 13:07:31.262</v>
      </c>
      <c r="H3556" t="s">
        <v>78</v>
      </c>
    </row>
    <row r="3557" spans="1:10" x14ac:dyDescent="0.25">
      <c r="A3557" s="1">
        <v>748</v>
      </c>
      <c r="B3557" t="s">
        <v>26</v>
      </c>
      <c r="C3557">
        <v>33</v>
      </c>
      <c r="D3557">
        <v>1</v>
      </c>
      <c r="E3557" t="s">
        <v>76</v>
      </c>
      <c r="F3557" t="s">
        <v>77</v>
      </c>
      <c r="G3557" t="str">
        <f>"2024-08-29 13:07:23.914"</f>
        <v>2024-08-29 13:07:23.914</v>
      </c>
      <c r="H3557" t="s">
        <v>78</v>
      </c>
      <c r="I3557">
        <v>7.95</v>
      </c>
      <c r="J3557" t="s">
        <v>37</v>
      </c>
    </row>
    <row r="3558" spans="1:10" x14ac:dyDescent="0.25">
      <c r="A3558" s="1">
        <v>749</v>
      </c>
      <c r="B3558" t="s">
        <v>19</v>
      </c>
      <c r="C3558">
        <v>700</v>
      </c>
      <c r="D3558">
        <v>0</v>
      </c>
      <c r="E3558" t="s">
        <v>20</v>
      </c>
      <c r="F3558" t="s">
        <v>20</v>
      </c>
      <c r="G3558" t="str">
        <f>"2024-08-29 12:54:58.693"</f>
        <v>2024-08-29 12:54:58.693</v>
      </c>
      <c r="H3558" t="s">
        <v>21</v>
      </c>
    </row>
    <row r="3559" spans="1:10" x14ac:dyDescent="0.25">
      <c r="A3559" s="1">
        <v>750</v>
      </c>
      <c r="B3559" t="s">
        <v>19</v>
      </c>
      <c r="C3559">
        <v>700</v>
      </c>
      <c r="D3559">
        <v>0</v>
      </c>
      <c r="E3559" t="s">
        <v>20</v>
      </c>
      <c r="F3559" t="s">
        <v>20</v>
      </c>
      <c r="G3559" t="str">
        <f>"2024-08-29 10:37:38.863"</f>
        <v>2024-08-29 10:37:38.863</v>
      </c>
      <c r="H3559" t="s">
        <v>21</v>
      </c>
    </row>
    <row r="3560" spans="1:10" x14ac:dyDescent="0.25">
      <c r="A3560" s="1">
        <v>751</v>
      </c>
      <c r="B3560" t="s">
        <v>19</v>
      </c>
      <c r="C3560">
        <v>700</v>
      </c>
      <c r="D3560">
        <v>0</v>
      </c>
      <c r="E3560" t="s">
        <v>20</v>
      </c>
      <c r="F3560" t="s">
        <v>20</v>
      </c>
      <c r="G3560" t="str">
        <f>"2024-08-28 14:58:08.703"</f>
        <v>2024-08-28 14:58:08.703</v>
      </c>
      <c r="H3560" t="s">
        <v>21</v>
      </c>
      <c r="I3560">
        <v>0</v>
      </c>
      <c r="J3560" t="s">
        <v>33</v>
      </c>
    </row>
    <row r="3561" spans="1:10" x14ac:dyDescent="0.25">
      <c r="A3561" s="1">
        <v>752</v>
      </c>
      <c r="B3561" t="s">
        <v>22</v>
      </c>
      <c r="C3561">
        <v>635</v>
      </c>
      <c r="D3561">
        <v>1</v>
      </c>
      <c r="E3561" t="s">
        <v>34</v>
      </c>
      <c r="F3561" t="s">
        <v>35</v>
      </c>
      <c r="G3561" t="str">
        <f>"2024-08-28 08:08:15.462"</f>
        <v>2024-08-28 08:08:15.462</v>
      </c>
      <c r="H3561" t="s">
        <v>21</v>
      </c>
    </row>
    <row r="3562" spans="1:10" x14ac:dyDescent="0.25">
      <c r="A3562" s="1">
        <v>753</v>
      </c>
      <c r="B3562" t="s">
        <v>36</v>
      </c>
      <c r="C3562">
        <v>635</v>
      </c>
      <c r="D3562">
        <v>1</v>
      </c>
      <c r="E3562" t="s">
        <v>34</v>
      </c>
      <c r="F3562" t="s">
        <v>35</v>
      </c>
      <c r="G3562" t="str">
        <f>"2024-08-28 08:05:42.462"</f>
        <v>2024-08-28 08:05:42.462</v>
      </c>
      <c r="H3562" t="s">
        <v>21</v>
      </c>
      <c r="I3562">
        <v>4.4800000000000004</v>
      </c>
      <c r="J3562" t="s">
        <v>37</v>
      </c>
    </row>
    <row r="3563" spans="1:10" s="3" customFormat="1" x14ac:dyDescent="0.25">
      <c r="A3563" s="2">
        <v>754</v>
      </c>
      <c r="B3563" s="3" t="s">
        <v>22</v>
      </c>
      <c r="C3563" s="3">
        <v>647</v>
      </c>
      <c r="D3563" s="3">
        <v>1</v>
      </c>
      <c r="E3563" s="3" t="s">
        <v>54</v>
      </c>
      <c r="F3563" s="3" t="s">
        <v>55</v>
      </c>
      <c r="G3563" s="3" t="str">
        <f>"2024-08-28 06:07:43.316"</f>
        <v>2024-08-28 06:07:43.316</v>
      </c>
      <c r="H3563" s="3" t="s">
        <v>21</v>
      </c>
    </row>
    <row r="3564" spans="1:10" s="3" customFormat="1" x14ac:dyDescent="0.25">
      <c r="A3564" s="2">
        <v>755</v>
      </c>
      <c r="B3564" s="3" t="s">
        <v>36</v>
      </c>
      <c r="C3564" s="3">
        <v>647</v>
      </c>
      <c r="D3564" s="3">
        <v>1</v>
      </c>
      <c r="E3564" s="3" t="s">
        <v>54</v>
      </c>
      <c r="F3564" s="3" t="s">
        <v>55</v>
      </c>
      <c r="G3564" s="3" t="str">
        <f>"2024-08-28 06:07:41.816"</f>
        <v>2024-08-28 06:07:41.816</v>
      </c>
      <c r="H3564" s="3" t="s">
        <v>21</v>
      </c>
      <c r="I3564" s="3">
        <v>8.14</v>
      </c>
      <c r="J3564" s="3" t="s">
        <v>27</v>
      </c>
    </row>
    <row r="3565" spans="1:10" x14ac:dyDescent="0.25">
      <c r="A3565" s="1">
        <v>756</v>
      </c>
      <c r="B3565" t="s">
        <v>22</v>
      </c>
      <c r="C3565">
        <v>635</v>
      </c>
      <c r="D3565">
        <v>1</v>
      </c>
      <c r="E3565" t="s">
        <v>34</v>
      </c>
      <c r="F3565" t="s">
        <v>35</v>
      </c>
      <c r="G3565" t="str">
        <f>"2024-08-28 05:23:56.262"</f>
        <v>2024-08-28 05:23:56.262</v>
      </c>
      <c r="H3565" t="s">
        <v>21</v>
      </c>
    </row>
    <row r="3566" spans="1:10" x14ac:dyDescent="0.25">
      <c r="A3566" s="1">
        <v>757</v>
      </c>
      <c r="B3566" t="s">
        <v>36</v>
      </c>
      <c r="C3566">
        <v>635</v>
      </c>
      <c r="D3566">
        <v>1</v>
      </c>
      <c r="E3566" t="s">
        <v>34</v>
      </c>
      <c r="F3566" t="s">
        <v>35</v>
      </c>
      <c r="G3566" t="str">
        <f>"2024-08-28 05:22:16.762"</f>
        <v>2024-08-28 05:22:16.762</v>
      </c>
      <c r="H3566" t="s">
        <v>21</v>
      </c>
      <c r="I3566">
        <v>6.74</v>
      </c>
      <c r="J3566" t="s">
        <v>37</v>
      </c>
    </row>
    <row r="3567" spans="1:10" s="3" customFormat="1" x14ac:dyDescent="0.25">
      <c r="A3567" s="2">
        <v>758</v>
      </c>
      <c r="B3567" s="3" t="s">
        <v>22</v>
      </c>
      <c r="C3567" s="3">
        <v>647</v>
      </c>
      <c r="D3567" s="3">
        <v>1</v>
      </c>
      <c r="E3567" s="3" t="s">
        <v>54</v>
      </c>
      <c r="F3567" s="3" t="s">
        <v>55</v>
      </c>
      <c r="G3567" s="3" t="str">
        <f>"2024-08-27 22:28:45.316"</f>
        <v>2024-08-27 22:28:45.316</v>
      </c>
      <c r="H3567" s="3" t="s">
        <v>21</v>
      </c>
    </row>
    <row r="3568" spans="1:10" s="3" customFormat="1" x14ac:dyDescent="0.25">
      <c r="A3568" s="2">
        <v>759</v>
      </c>
      <c r="B3568" s="3" t="s">
        <v>36</v>
      </c>
      <c r="C3568" s="3">
        <v>647</v>
      </c>
      <c r="D3568" s="3">
        <v>1</v>
      </c>
      <c r="E3568" s="3" t="s">
        <v>54</v>
      </c>
      <c r="F3568" s="3" t="s">
        <v>55</v>
      </c>
      <c r="G3568" s="3" t="str">
        <f>"2024-08-27 22:28:40.816"</f>
        <v>2024-08-27 22:28:40.816</v>
      </c>
      <c r="H3568" s="3" t="s">
        <v>21</v>
      </c>
      <c r="I3568" s="3">
        <v>18.579999999999998</v>
      </c>
      <c r="J3568" s="3" t="s">
        <v>27</v>
      </c>
    </row>
    <row r="3569" spans="1:10" x14ac:dyDescent="0.25">
      <c r="A3569" s="1">
        <v>760</v>
      </c>
      <c r="B3569" t="s">
        <v>19</v>
      </c>
      <c r="C3569">
        <v>700</v>
      </c>
      <c r="D3569">
        <v>0</v>
      </c>
      <c r="E3569" t="s">
        <v>20</v>
      </c>
      <c r="F3569" t="s">
        <v>20</v>
      </c>
      <c r="G3569" t="str">
        <f>"2024-08-27 22:22:50.694"</f>
        <v>2024-08-27 22:22:50.694</v>
      </c>
      <c r="H3569" t="s">
        <v>21</v>
      </c>
      <c r="I3569">
        <v>0</v>
      </c>
      <c r="J3569" t="s">
        <v>33</v>
      </c>
    </row>
    <row r="3570" spans="1:10" x14ac:dyDescent="0.25">
      <c r="A3570" s="1">
        <v>761</v>
      </c>
      <c r="B3570" t="s">
        <v>22</v>
      </c>
      <c r="C3570">
        <v>98</v>
      </c>
      <c r="D3570">
        <v>1</v>
      </c>
      <c r="E3570" t="s">
        <v>99</v>
      </c>
      <c r="F3570" t="s">
        <v>100</v>
      </c>
      <c r="G3570" t="str">
        <f>"2024-08-27 21:21:34.041"</f>
        <v>2024-08-27 21:21:34.041</v>
      </c>
      <c r="H3570" t="s">
        <v>21</v>
      </c>
    </row>
    <row r="3571" spans="1:10" x14ac:dyDescent="0.25">
      <c r="A3571" s="1">
        <v>762</v>
      </c>
      <c r="B3571" t="s">
        <v>36</v>
      </c>
      <c r="C3571">
        <v>98</v>
      </c>
      <c r="D3571">
        <v>1</v>
      </c>
      <c r="E3571" t="s">
        <v>99</v>
      </c>
      <c r="F3571" t="s">
        <v>100</v>
      </c>
      <c r="G3571" t="str">
        <f>"2024-08-27 21:21:33.041"</f>
        <v>2024-08-27 21:21:33.041</v>
      </c>
      <c r="H3571" t="s">
        <v>21</v>
      </c>
      <c r="I3571">
        <v>0</v>
      </c>
      <c r="J3571" t="s">
        <v>28</v>
      </c>
    </row>
    <row r="3572" spans="1:10" x14ac:dyDescent="0.25">
      <c r="A3572" s="1">
        <v>763</v>
      </c>
      <c r="B3572" t="s">
        <v>22</v>
      </c>
      <c r="C3572">
        <v>98</v>
      </c>
      <c r="D3572">
        <v>1</v>
      </c>
      <c r="E3572" t="s">
        <v>99</v>
      </c>
      <c r="F3572" t="s">
        <v>100</v>
      </c>
      <c r="G3572" t="str">
        <f>"2024-08-27 21:21:31.241"</f>
        <v>2024-08-27 21:21:31.241</v>
      </c>
      <c r="H3572" t="s">
        <v>21</v>
      </c>
    </row>
    <row r="3573" spans="1:10" x14ac:dyDescent="0.25">
      <c r="A3573" s="1">
        <v>764</v>
      </c>
      <c r="B3573" t="s">
        <v>36</v>
      </c>
      <c r="C3573">
        <v>98</v>
      </c>
      <c r="D3573">
        <v>1</v>
      </c>
      <c r="E3573" t="s">
        <v>99</v>
      </c>
      <c r="F3573" t="s">
        <v>100</v>
      </c>
      <c r="G3573" t="str">
        <f>"2024-08-27 21:21:30.242"</f>
        <v>2024-08-27 21:21:30.242</v>
      </c>
      <c r="H3573" t="s">
        <v>21</v>
      </c>
      <c r="I3573">
        <v>0</v>
      </c>
      <c r="J3573" t="s">
        <v>28</v>
      </c>
    </row>
    <row r="3574" spans="1:10" x14ac:dyDescent="0.25">
      <c r="A3574" s="1">
        <v>765</v>
      </c>
      <c r="B3574" t="s">
        <v>22</v>
      </c>
      <c r="C3574">
        <v>635</v>
      </c>
      <c r="D3574">
        <v>1</v>
      </c>
      <c r="E3574" t="s">
        <v>34</v>
      </c>
      <c r="F3574" t="s">
        <v>35</v>
      </c>
      <c r="G3574" t="str">
        <f>"2024-08-27 19:39:55.088"</f>
        <v>2024-08-27 19:39:55.088</v>
      </c>
      <c r="H3574" t="s">
        <v>21</v>
      </c>
    </row>
    <row r="3575" spans="1:10" x14ac:dyDescent="0.25">
      <c r="A3575" s="1">
        <v>766</v>
      </c>
      <c r="B3575" t="s">
        <v>36</v>
      </c>
      <c r="C3575">
        <v>635</v>
      </c>
      <c r="D3575">
        <v>1</v>
      </c>
      <c r="E3575" t="s">
        <v>34</v>
      </c>
      <c r="F3575" t="s">
        <v>35</v>
      </c>
      <c r="G3575" t="str">
        <f>"2024-08-27 19:37:04.088"</f>
        <v>2024-08-27 19:37:04.088</v>
      </c>
      <c r="H3575" t="s">
        <v>21</v>
      </c>
      <c r="I3575">
        <v>6.53</v>
      </c>
      <c r="J3575" t="s">
        <v>37</v>
      </c>
    </row>
    <row r="3576" spans="1:10" x14ac:dyDescent="0.25">
      <c r="A3576" s="1">
        <v>767</v>
      </c>
      <c r="B3576" t="s">
        <v>19</v>
      </c>
      <c r="C3576">
        <v>700</v>
      </c>
      <c r="D3576">
        <v>0</v>
      </c>
      <c r="E3576" t="s">
        <v>20</v>
      </c>
      <c r="F3576" t="s">
        <v>20</v>
      </c>
      <c r="G3576" t="str">
        <f>"2024-08-27 11:21:52.720"</f>
        <v>2024-08-27 11:21:52.720</v>
      </c>
      <c r="H3576" t="s">
        <v>21</v>
      </c>
      <c r="I3576">
        <v>0</v>
      </c>
      <c r="J3576" t="s">
        <v>33</v>
      </c>
    </row>
    <row r="3577" spans="1:10" s="3" customFormat="1" x14ac:dyDescent="0.25">
      <c r="A3577" s="2">
        <v>768</v>
      </c>
      <c r="B3577" s="3" t="s">
        <v>22</v>
      </c>
      <c r="C3577" s="3">
        <v>647</v>
      </c>
      <c r="D3577" s="3">
        <v>1</v>
      </c>
      <c r="E3577" s="3" t="s">
        <v>54</v>
      </c>
      <c r="F3577" s="3" t="s">
        <v>55</v>
      </c>
      <c r="G3577" s="3" t="str">
        <f>"2024-08-27 03:01:41.534"</f>
        <v>2024-08-27 03:01:41.534</v>
      </c>
      <c r="H3577" s="3" t="s">
        <v>21</v>
      </c>
    </row>
    <row r="3578" spans="1:10" s="3" customFormat="1" x14ac:dyDescent="0.25">
      <c r="A3578" s="2">
        <v>769</v>
      </c>
      <c r="B3578" s="3" t="s">
        <v>36</v>
      </c>
      <c r="C3578" s="3">
        <v>647</v>
      </c>
      <c r="D3578" s="3">
        <v>1</v>
      </c>
      <c r="E3578" s="3" t="s">
        <v>54</v>
      </c>
      <c r="F3578" s="3" t="s">
        <v>55</v>
      </c>
      <c r="G3578" s="3" t="str">
        <f>"2024-08-27 03:01:40.034"</f>
        <v>2024-08-27 03:01:40.034</v>
      </c>
      <c r="H3578" s="3" t="s">
        <v>21</v>
      </c>
      <c r="I3578" s="3">
        <v>25.53</v>
      </c>
      <c r="J3578" s="3" t="s">
        <v>27</v>
      </c>
    </row>
    <row r="3579" spans="1:10" s="3" customFormat="1" x14ac:dyDescent="0.25">
      <c r="A3579" s="2">
        <v>770</v>
      </c>
      <c r="B3579" s="3" t="s">
        <v>22</v>
      </c>
      <c r="C3579" s="3">
        <v>647</v>
      </c>
      <c r="D3579" s="3">
        <v>1</v>
      </c>
      <c r="E3579" s="3" t="s">
        <v>54</v>
      </c>
      <c r="F3579" s="3" t="s">
        <v>55</v>
      </c>
      <c r="G3579" s="3" t="str">
        <f>"2024-08-27 03:00:28.534"</f>
        <v>2024-08-27 03:00:28.534</v>
      </c>
      <c r="H3579" s="3" t="s">
        <v>21</v>
      </c>
    </row>
    <row r="3580" spans="1:10" s="3" customFormat="1" x14ac:dyDescent="0.25">
      <c r="A3580" s="2">
        <v>771</v>
      </c>
      <c r="B3580" s="3" t="s">
        <v>36</v>
      </c>
      <c r="C3580" s="3">
        <v>647</v>
      </c>
      <c r="D3580" s="3">
        <v>1</v>
      </c>
      <c r="E3580" s="3" t="s">
        <v>54</v>
      </c>
      <c r="F3580" s="3" t="s">
        <v>55</v>
      </c>
      <c r="G3580" s="3" t="str">
        <f>"2024-08-27 03:00:27.034"</f>
        <v>2024-08-27 03:00:27.034</v>
      </c>
      <c r="H3580" s="3" t="s">
        <v>21</v>
      </c>
      <c r="I3580" s="3">
        <v>20.37</v>
      </c>
      <c r="J3580" s="3" t="s">
        <v>27</v>
      </c>
    </row>
    <row r="3581" spans="1:10" x14ac:dyDescent="0.25">
      <c r="A3581" s="1">
        <v>772</v>
      </c>
      <c r="B3581" t="s">
        <v>22</v>
      </c>
      <c r="C3581">
        <v>635</v>
      </c>
      <c r="D3581">
        <v>1</v>
      </c>
      <c r="E3581" t="s">
        <v>34</v>
      </c>
      <c r="F3581" t="s">
        <v>35</v>
      </c>
      <c r="G3581" t="str">
        <f>"2024-08-26 19:41:07.885"</f>
        <v>2024-08-26 19:41:07.885</v>
      </c>
      <c r="H3581" t="s">
        <v>21</v>
      </c>
    </row>
    <row r="3582" spans="1:10" x14ac:dyDescent="0.25">
      <c r="A3582" s="1">
        <v>773</v>
      </c>
      <c r="B3582" t="s">
        <v>36</v>
      </c>
      <c r="C3582">
        <v>635</v>
      </c>
      <c r="D3582">
        <v>1</v>
      </c>
      <c r="E3582" t="s">
        <v>34</v>
      </c>
      <c r="F3582" t="s">
        <v>35</v>
      </c>
      <c r="G3582" t="str">
        <f>"2024-08-26 19:38:54.885"</f>
        <v>2024-08-26 19:38:54.885</v>
      </c>
      <c r="H3582" t="s">
        <v>21</v>
      </c>
      <c r="I3582">
        <v>0</v>
      </c>
      <c r="J3582" t="s">
        <v>28</v>
      </c>
    </row>
    <row r="3583" spans="1:10" x14ac:dyDescent="0.25">
      <c r="A3583" s="1">
        <v>774</v>
      </c>
      <c r="B3583" t="s">
        <v>19</v>
      </c>
      <c r="C3583">
        <v>700</v>
      </c>
      <c r="D3583">
        <v>0</v>
      </c>
      <c r="E3583" t="s">
        <v>20</v>
      </c>
      <c r="F3583" t="s">
        <v>20</v>
      </c>
      <c r="G3583" t="str">
        <f>"2024-08-26 13:34:14.703"</f>
        <v>2024-08-26 13:34:14.703</v>
      </c>
      <c r="H3583" t="s">
        <v>21</v>
      </c>
      <c r="I3583">
        <v>0</v>
      </c>
      <c r="J3583" t="s">
        <v>33</v>
      </c>
    </row>
    <row r="3584" spans="1:10" x14ac:dyDescent="0.25">
      <c r="A3584" s="1">
        <v>775</v>
      </c>
      <c r="B3584" t="s">
        <v>19</v>
      </c>
      <c r="C3584">
        <v>700</v>
      </c>
      <c r="D3584">
        <v>0</v>
      </c>
      <c r="E3584" t="s">
        <v>20</v>
      </c>
      <c r="F3584" t="s">
        <v>20</v>
      </c>
      <c r="G3584" t="str">
        <f>"2024-08-26 10:19:09.707"</f>
        <v>2024-08-26 10:19:09.707</v>
      </c>
      <c r="H3584" t="s">
        <v>21</v>
      </c>
      <c r="I3584">
        <v>0</v>
      </c>
      <c r="J3584" t="s">
        <v>33</v>
      </c>
    </row>
    <row r="3585" spans="1:10" x14ac:dyDescent="0.25">
      <c r="A3585" s="1">
        <v>776</v>
      </c>
      <c r="B3585" t="s">
        <v>22</v>
      </c>
      <c r="C3585">
        <v>635</v>
      </c>
      <c r="D3585">
        <v>1</v>
      </c>
      <c r="E3585" t="s">
        <v>34</v>
      </c>
      <c r="F3585" t="s">
        <v>35</v>
      </c>
      <c r="G3585" t="str">
        <f>"2024-08-26 06:41:40.462"</f>
        <v>2024-08-26 06:41:40.462</v>
      </c>
      <c r="H3585" t="s">
        <v>21</v>
      </c>
    </row>
    <row r="3586" spans="1:10" x14ac:dyDescent="0.25">
      <c r="A3586" s="1">
        <v>777</v>
      </c>
      <c r="B3586" t="s">
        <v>36</v>
      </c>
      <c r="C3586">
        <v>635</v>
      </c>
      <c r="D3586">
        <v>1</v>
      </c>
      <c r="E3586" t="s">
        <v>34</v>
      </c>
      <c r="F3586" t="s">
        <v>35</v>
      </c>
      <c r="G3586" t="str">
        <f>"2024-08-26 06:38:18.462"</f>
        <v>2024-08-26 06:38:18.462</v>
      </c>
      <c r="H3586" t="s">
        <v>21</v>
      </c>
      <c r="I3586">
        <v>0</v>
      </c>
      <c r="J3586" t="s">
        <v>28</v>
      </c>
    </row>
    <row r="3587" spans="1:10" x14ac:dyDescent="0.25">
      <c r="A3587" s="1">
        <v>778</v>
      </c>
      <c r="B3587" t="s">
        <v>22</v>
      </c>
      <c r="C3587">
        <v>635</v>
      </c>
      <c r="D3587">
        <v>1</v>
      </c>
      <c r="E3587" t="s">
        <v>34</v>
      </c>
      <c r="F3587" t="s">
        <v>35</v>
      </c>
      <c r="G3587" t="str">
        <f>"2024-08-26 06:00:31.062"</f>
        <v>2024-08-26 06:00:31.062</v>
      </c>
      <c r="H3587" t="s">
        <v>21</v>
      </c>
    </row>
    <row r="3588" spans="1:10" x14ac:dyDescent="0.25">
      <c r="A3588" s="1">
        <v>779</v>
      </c>
      <c r="B3588" t="s">
        <v>36</v>
      </c>
      <c r="C3588">
        <v>635</v>
      </c>
      <c r="D3588">
        <v>1</v>
      </c>
      <c r="E3588" t="s">
        <v>34</v>
      </c>
      <c r="F3588" t="s">
        <v>35</v>
      </c>
      <c r="G3588" t="str">
        <f>"2024-08-26 05:57:43.562"</f>
        <v>2024-08-26 05:57:43.562</v>
      </c>
      <c r="H3588" t="s">
        <v>21</v>
      </c>
      <c r="I3588">
        <v>0</v>
      </c>
      <c r="J3588" t="s">
        <v>28</v>
      </c>
    </row>
    <row r="3589" spans="1:10" x14ac:dyDescent="0.25">
      <c r="A3589" s="1">
        <v>780</v>
      </c>
      <c r="B3589" t="s">
        <v>22</v>
      </c>
      <c r="C3589">
        <v>635</v>
      </c>
      <c r="D3589">
        <v>1</v>
      </c>
      <c r="E3589" t="s">
        <v>34</v>
      </c>
      <c r="F3589" t="s">
        <v>35</v>
      </c>
      <c r="G3589" t="str">
        <f>"2024-08-26 03:47:00.762"</f>
        <v>2024-08-26 03:47:00.762</v>
      </c>
      <c r="H3589" t="s">
        <v>21</v>
      </c>
    </row>
    <row r="3590" spans="1:10" x14ac:dyDescent="0.25">
      <c r="A3590" s="1">
        <v>781</v>
      </c>
      <c r="B3590" t="s">
        <v>36</v>
      </c>
      <c r="C3590">
        <v>635</v>
      </c>
      <c r="D3590">
        <v>1</v>
      </c>
      <c r="E3590" t="s">
        <v>34</v>
      </c>
      <c r="F3590" t="s">
        <v>35</v>
      </c>
      <c r="G3590" t="str">
        <f>"2024-08-26 03:43:56.262"</f>
        <v>2024-08-26 03:43:56.262</v>
      </c>
      <c r="H3590" t="s">
        <v>21</v>
      </c>
      <c r="I3590">
        <v>0.01</v>
      </c>
      <c r="J3590" t="s">
        <v>28</v>
      </c>
    </row>
    <row r="3591" spans="1:10" x14ac:dyDescent="0.25">
      <c r="A3591" s="1">
        <v>782</v>
      </c>
      <c r="B3591" t="s">
        <v>19</v>
      </c>
      <c r="C3591">
        <v>700</v>
      </c>
      <c r="D3591">
        <v>0</v>
      </c>
      <c r="E3591" t="s">
        <v>20</v>
      </c>
      <c r="F3591" t="s">
        <v>20</v>
      </c>
      <c r="G3591" t="str">
        <f>"2024-08-25 11:03:05.671"</f>
        <v>2024-08-25 11:03:05.671</v>
      </c>
      <c r="H3591" t="s">
        <v>21</v>
      </c>
      <c r="I3591">
        <v>0</v>
      </c>
      <c r="J3591" t="s">
        <v>33</v>
      </c>
    </row>
    <row r="3592" spans="1:10" s="3" customFormat="1" x14ac:dyDescent="0.25">
      <c r="A3592" s="2">
        <v>783</v>
      </c>
      <c r="B3592" s="3" t="s">
        <v>22</v>
      </c>
      <c r="C3592" s="3">
        <v>647</v>
      </c>
      <c r="D3592" s="3">
        <v>1</v>
      </c>
      <c r="E3592" s="3" t="s">
        <v>54</v>
      </c>
      <c r="F3592" s="3" t="s">
        <v>55</v>
      </c>
      <c r="G3592" s="3" t="str">
        <f>"2024-08-25 03:20:42.245"</f>
        <v>2024-08-25 03:20:42.245</v>
      </c>
      <c r="H3592" s="3" t="s">
        <v>21</v>
      </c>
    </row>
    <row r="3593" spans="1:10" s="3" customFormat="1" x14ac:dyDescent="0.25">
      <c r="A3593" s="2">
        <v>784</v>
      </c>
      <c r="B3593" s="3" t="s">
        <v>36</v>
      </c>
      <c r="C3593" s="3">
        <v>647</v>
      </c>
      <c r="D3593" s="3">
        <v>1</v>
      </c>
      <c r="E3593" s="3" t="s">
        <v>54</v>
      </c>
      <c r="F3593" s="3" t="s">
        <v>55</v>
      </c>
      <c r="G3593" s="3" t="str">
        <f>"2024-08-25 03:20:38.746"</f>
        <v>2024-08-25 03:20:38.746</v>
      </c>
      <c r="H3593" s="3" t="s">
        <v>21</v>
      </c>
      <c r="I3593" s="3">
        <v>13.88</v>
      </c>
      <c r="J3593" s="3" t="s">
        <v>27</v>
      </c>
    </row>
    <row r="3594" spans="1:10" x14ac:dyDescent="0.25">
      <c r="A3594" s="1">
        <v>785</v>
      </c>
      <c r="B3594" t="s">
        <v>19</v>
      </c>
      <c r="C3594">
        <v>706</v>
      </c>
      <c r="D3594">
        <v>4</v>
      </c>
      <c r="E3594" t="s">
        <v>29</v>
      </c>
      <c r="F3594" t="s">
        <v>53</v>
      </c>
      <c r="G3594" t="str">
        <f>"2024-08-24 13:50:11.375"</f>
        <v>2024-08-24 13:50:11.375</v>
      </c>
      <c r="H3594" t="s">
        <v>21</v>
      </c>
      <c r="I3594">
        <v>0</v>
      </c>
      <c r="J3594" t="s">
        <v>31</v>
      </c>
    </row>
    <row r="3595" spans="1:10" x14ac:dyDescent="0.25">
      <c r="A3595" s="1">
        <v>786</v>
      </c>
      <c r="B3595" t="s">
        <v>19</v>
      </c>
      <c r="C3595">
        <v>700</v>
      </c>
      <c r="D3595">
        <v>0</v>
      </c>
      <c r="E3595" t="s">
        <v>20</v>
      </c>
      <c r="F3595" t="s">
        <v>20</v>
      </c>
      <c r="G3595" t="str">
        <f>"2024-08-24 13:07:41.715"</f>
        <v>2024-08-24 13:07:41.715</v>
      </c>
      <c r="H3595" t="s">
        <v>21</v>
      </c>
      <c r="I3595">
        <v>0</v>
      </c>
      <c r="J3595" t="s">
        <v>33</v>
      </c>
    </row>
    <row r="3596" spans="1:10" x14ac:dyDescent="0.25">
      <c r="A3596" s="1">
        <v>787</v>
      </c>
      <c r="B3596" t="s">
        <v>56</v>
      </c>
      <c r="C3596">
        <v>33</v>
      </c>
      <c r="D3596">
        <v>1</v>
      </c>
      <c r="E3596" t="s">
        <v>76</v>
      </c>
      <c r="F3596" t="s">
        <v>77</v>
      </c>
      <c r="G3596" t="str">
        <f>"2024-08-24 11:18:55.915"</f>
        <v>2024-08-24 11:18:55.915</v>
      </c>
      <c r="H3596" t="s">
        <v>78</v>
      </c>
    </row>
    <row r="3597" spans="1:10" x14ac:dyDescent="0.25">
      <c r="A3597" s="1">
        <v>788</v>
      </c>
      <c r="B3597" t="s">
        <v>26</v>
      </c>
      <c r="C3597">
        <v>33</v>
      </c>
      <c r="D3597">
        <v>1</v>
      </c>
      <c r="E3597" t="s">
        <v>76</v>
      </c>
      <c r="F3597" t="s">
        <v>77</v>
      </c>
      <c r="G3597" t="str">
        <f>"2024-08-24 11:18:46.673"</f>
        <v>2024-08-24 11:18:46.673</v>
      </c>
      <c r="H3597" t="s">
        <v>78</v>
      </c>
      <c r="I3597">
        <v>7.75</v>
      </c>
      <c r="J3597" t="s">
        <v>37</v>
      </c>
    </row>
    <row r="3598" spans="1:10" x14ac:dyDescent="0.25">
      <c r="A3598" s="1">
        <v>789</v>
      </c>
      <c r="B3598" t="s">
        <v>22</v>
      </c>
      <c r="C3598">
        <v>635</v>
      </c>
      <c r="D3598">
        <v>1</v>
      </c>
      <c r="E3598" t="s">
        <v>34</v>
      </c>
      <c r="F3598" t="s">
        <v>35</v>
      </c>
      <c r="G3598" t="str">
        <f>"2024-08-24 01:23:08.461"</f>
        <v>2024-08-24 01:23:08.461</v>
      </c>
      <c r="H3598" t="s">
        <v>21</v>
      </c>
    </row>
    <row r="3599" spans="1:10" x14ac:dyDescent="0.25">
      <c r="A3599" s="1">
        <v>790</v>
      </c>
      <c r="B3599" t="s">
        <v>36</v>
      </c>
      <c r="C3599">
        <v>635</v>
      </c>
      <c r="D3599">
        <v>1</v>
      </c>
      <c r="E3599" t="s">
        <v>34</v>
      </c>
      <c r="F3599" t="s">
        <v>35</v>
      </c>
      <c r="G3599" t="str">
        <f>"2024-08-24 01:15:07.961"</f>
        <v>2024-08-24 01:15:07.961</v>
      </c>
      <c r="H3599" t="s">
        <v>21</v>
      </c>
      <c r="I3599">
        <v>5.24</v>
      </c>
      <c r="J3599" t="s">
        <v>37</v>
      </c>
    </row>
    <row r="3600" spans="1:10" x14ac:dyDescent="0.25">
      <c r="A3600" s="1">
        <v>791</v>
      </c>
      <c r="B3600" t="s">
        <v>19</v>
      </c>
      <c r="C3600">
        <v>700</v>
      </c>
      <c r="D3600">
        <v>0</v>
      </c>
      <c r="E3600" t="s">
        <v>20</v>
      </c>
      <c r="F3600" t="s">
        <v>20</v>
      </c>
      <c r="G3600" t="str">
        <f>"2024-08-23 20:42:02.673"</f>
        <v>2024-08-23 20:42:02.673</v>
      </c>
      <c r="H3600" t="s">
        <v>21</v>
      </c>
      <c r="I3600">
        <v>0</v>
      </c>
      <c r="J3600" t="s">
        <v>33</v>
      </c>
    </row>
    <row r="3601" spans="1:10" x14ac:dyDescent="0.25">
      <c r="A3601" s="1">
        <v>792</v>
      </c>
      <c r="B3601" t="s">
        <v>19</v>
      </c>
      <c r="C3601">
        <v>700</v>
      </c>
      <c r="D3601">
        <v>0</v>
      </c>
      <c r="E3601" t="s">
        <v>20</v>
      </c>
      <c r="F3601" t="s">
        <v>20</v>
      </c>
      <c r="G3601" t="str">
        <f>"2024-08-23 20:24:43.674"</f>
        <v>2024-08-23 20:24:43.674</v>
      </c>
      <c r="H3601" t="s">
        <v>21</v>
      </c>
      <c r="I3601">
        <v>0</v>
      </c>
      <c r="J3601" t="s">
        <v>33</v>
      </c>
    </row>
    <row r="3602" spans="1:10" x14ac:dyDescent="0.25">
      <c r="A3602" s="1">
        <v>793</v>
      </c>
      <c r="B3602" t="s">
        <v>19</v>
      </c>
      <c r="C3602">
        <v>706</v>
      </c>
      <c r="D3602">
        <v>4</v>
      </c>
      <c r="E3602" t="s">
        <v>29</v>
      </c>
      <c r="F3602" t="s">
        <v>53</v>
      </c>
      <c r="G3602" t="str">
        <f>"2024-08-23 20:22:09.648"</f>
        <v>2024-08-23 20:22:09.648</v>
      </c>
      <c r="H3602" t="s">
        <v>21</v>
      </c>
      <c r="I3602">
        <v>0</v>
      </c>
      <c r="J3602" t="s">
        <v>31</v>
      </c>
    </row>
    <row r="3603" spans="1:10" x14ac:dyDescent="0.25">
      <c r="A3603" s="1">
        <v>794</v>
      </c>
      <c r="B3603" t="s">
        <v>19</v>
      </c>
      <c r="C3603">
        <v>700</v>
      </c>
      <c r="D3603">
        <v>0</v>
      </c>
      <c r="E3603" t="s">
        <v>20</v>
      </c>
      <c r="F3603" t="s">
        <v>20</v>
      </c>
      <c r="G3603" t="str">
        <f>"2024-08-23 20:17:02.668"</f>
        <v>2024-08-23 20:17:02.668</v>
      </c>
      <c r="H3603" t="s">
        <v>21</v>
      </c>
    </row>
    <row r="3604" spans="1:10" x14ac:dyDescent="0.25">
      <c r="A3604" s="1">
        <v>795</v>
      </c>
      <c r="B3604" t="s">
        <v>19</v>
      </c>
      <c r="C3604">
        <v>700</v>
      </c>
      <c r="D3604">
        <v>0</v>
      </c>
      <c r="E3604" t="s">
        <v>20</v>
      </c>
      <c r="F3604" t="s">
        <v>20</v>
      </c>
      <c r="G3604" t="str">
        <f>"2024-08-23 18:01:58.716"</f>
        <v>2024-08-23 18:01:58.716</v>
      </c>
      <c r="H3604" t="s">
        <v>21</v>
      </c>
      <c r="I3604">
        <v>0</v>
      </c>
      <c r="J3604" t="s">
        <v>33</v>
      </c>
    </row>
    <row r="3605" spans="1:10" x14ac:dyDescent="0.25">
      <c r="A3605" s="1">
        <v>796</v>
      </c>
      <c r="B3605" t="s">
        <v>22</v>
      </c>
      <c r="C3605">
        <v>635</v>
      </c>
      <c r="D3605">
        <v>1</v>
      </c>
      <c r="E3605" t="s">
        <v>34</v>
      </c>
      <c r="F3605" t="s">
        <v>35</v>
      </c>
      <c r="G3605" t="str">
        <f>"2024-08-23 16:18:00.747"</f>
        <v>2024-08-23 16:18:00.747</v>
      </c>
      <c r="H3605" t="s">
        <v>21</v>
      </c>
    </row>
    <row r="3606" spans="1:10" x14ac:dyDescent="0.25">
      <c r="A3606" s="1">
        <v>797</v>
      </c>
      <c r="B3606" t="s">
        <v>36</v>
      </c>
      <c r="C3606">
        <v>635</v>
      </c>
      <c r="D3606">
        <v>1</v>
      </c>
      <c r="E3606" t="s">
        <v>34</v>
      </c>
      <c r="F3606" t="s">
        <v>35</v>
      </c>
      <c r="G3606" t="str">
        <f>"2024-08-23 16:13:15.747"</f>
        <v>2024-08-23 16:13:15.747</v>
      </c>
      <c r="H3606" t="s">
        <v>21</v>
      </c>
      <c r="I3606">
        <v>0.89</v>
      </c>
      <c r="J3606" t="s">
        <v>37</v>
      </c>
    </row>
    <row r="3607" spans="1:10" x14ac:dyDescent="0.25">
      <c r="A3607" s="1">
        <v>798</v>
      </c>
      <c r="B3607" t="s">
        <v>19</v>
      </c>
      <c r="C3607">
        <v>700</v>
      </c>
      <c r="D3607">
        <v>0</v>
      </c>
      <c r="E3607" t="s">
        <v>20</v>
      </c>
      <c r="F3607" t="s">
        <v>20</v>
      </c>
      <c r="G3607" t="str">
        <f>"2024-08-23 08:42:48.720"</f>
        <v>2024-08-23 08:42:48.720</v>
      </c>
      <c r="H3607" t="s">
        <v>21</v>
      </c>
    </row>
    <row r="3608" spans="1:10" x14ac:dyDescent="0.25">
      <c r="A3608" s="1">
        <v>799</v>
      </c>
      <c r="B3608" t="s">
        <v>22</v>
      </c>
      <c r="C3608">
        <v>635</v>
      </c>
      <c r="D3608">
        <v>1</v>
      </c>
      <c r="E3608" t="s">
        <v>34</v>
      </c>
      <c r="F3608" t="s">
        <v>35</v>
      </c>
      <c r="G3608" t="str">
        <f>"2024-08-23 00:13:54.304"</f>
        <v>2024-08-23 00:13:54.304</v>
      </c>
      <c r="H3608" t="s">
        <v>21</v>
      </c>
    </row>
    <row r="3609" spans="1:10" x14ac:dyDescent="0.25">
      <c r="A3609" s="1">
        <v>800</v>
      </c>
      <c r="B3609" t="s">
        <v>36</v>
      </c>
      <c r="C3609">
        <v>635</v>
      </c>
      <c r="D3609">
        <v>1</v>
      </c>
      <c r="E3609" t="s">
        <v>34</v>
      </c>
      <c r="F3609" t="s">
        <v>35</v>
      </c>
      <c r="G3609" t="str">
        <f>"2024-08-23 00:06:55.904"</f>
        <v>2024-08-23 00:06:55.904</v>
      </c>
      <c r="H3609" t="s">
        <v>21</v>
      </c>
      <c r="I3609">
        <v>9.61</v>
      </c>
      <c r="J3609" t="s">
        <v>27</v>
      </c>
    </row>
    <row r="3610" spans="1:10" x14ac:dyDescent="0.25">
      <c r="A3610" s="1">
        <v>802</v>
      </c>
      <c r="B3610" t="s">
        <v>22</v>
      </c>
      <c r="C3610">
        <v>635</v>
      </c>
      <c r="D3610">
        <v>1</v>
      </c>
      <c r="E3610" t="s">
        <v>34</v>
      </c>
      <c r="F3610" t="s">
        <v>35</v>
      </c>
      <c r="G3610" t="str">
        <f>"2024-08-22 20:06:18.304"</f>
        <v>2024-08-22 20:06:18.304</v>
      </c>
      <c r="H3610" t="s">
        <v>21</v>
      </c>
    </row>
    <row r="3611" spans="1:10" x14ac:dyDescent="0.25">
      <c r="A3611" s="1">
        <v>803</v>
      </c>
      <c r="B3611" t="s">
        <v>36</v>
      </c>
      <c r="C3611">
        <v>635</v>
      </c>
      <c r="D3611">
        <v>1</v>
      </c>
      <c r="E3611" t="s">
        <v>34</v>
      </c>
      <c r="F3611" t="s">
        <v>35</v>
      </c>
      <c r="G3611" t="str">
        <f>"2024-08-22 20:00:42.304"</f>
        <v>2024-08-22 20:00:42.304</v>
      </c>
      <c r="H3611" t="s">
        <v>21</v>
      </c>
      <c r="I3611">
        <v>9.51</v>
      </c>
      <c r="J3611" t="s">
        <v>37</v>
      </c>
    </row>
    <row r="3612" spans="1:10" x14ac:dyDescent="0.25">
      <c r="A3612" s="1">
        <v>804</v>
      </c>
      <c r="B3612" t="s">
        <v>22</v>
      </c>
      <c r="C3612">
        <v>635</v>
      </c>
      <c r="D3612">
        <v>1</v>
      </c>
      <c r="E3612" t="s">
        <v>34</v>
      </c>
      <c r="F3612" t="s">
        <v>35</v>
      </c>
      <c r="G3612" t="str">
        <f>"2024-08-22 15:12:49.204"</f>
        <v>2024-08-22 15:12:49.204</v>
      </c>
      <c r="H3612" t="s">
        <v>21</v>
      </c>
    </row>
    <row r="3613" spans="1:10" x14ac:dyDescent="0.25">
      <c r="A3613" s="1">
        <v>805</v>
      </c>
      <c r="B3613" t="s">
        <v>36</v>
      </c>
      <c r="C3613">
        <v>635</v>
      </c>
      <c r="D3613">
        <v>1</v>
      </c>
      <c r="E3613" t="s">
        <v>34</v>
      </c>
      <c r="F3613" t="s">
        <v>35</v>
      </c>
      <c r="G3613" t="str">
        <f>"2024-08-22 15:08:31.304"</f>
        <v>2024-08-22 15:08:31.304</v>
      </c>
      <c r="H3613" t="s">
        <v>21</v>
      </c>
      <c r="I3613">
        <v>3.29</v>
      </c>
      <c r="J3613" t="s">
        <v>37</v>
      </c>
    </row>
    <row r="3614" spans="1:10" s="3" customFormat="1" x14ac:dyDescent="0.25">
      <c r="A3614" s="2">
        <v>806</v>
      </c>
      <c r="B3614" s="3" t="s">
        <v>22</v>
      </c>
      <c r="C3614" s="3">
        <v>647</v>
      </c>
      <c r="D3614" s="3">
        <v>1</v>
      </c>
      <c r="E3614" s="3" t="s">
        <v>54</v>
      </c>
      <c r="F3614" s="3" t="s">
        <v>55</v>
      </c>
      <c r="G3614" s="3" t="str">
        <f>"2024-08-22 13:44:11.105"</f>
        <v>2024-08-22 13:44:11.105</v>
      </c>
      <c r="H3614" s="3" t="s">
        <v>21</v>
      </c>
    </row>
    <row r="3615" spans="1:10" s="3" customFormat="1" x14ac:dyDescent="0.25">
      <c r="A3615" s="2">
        <v>807</v>
      </c>
      <c r="B3615" s="3" t="s">
        <v>36</v>
      </c>
      <c r="C3615" s="3">
        <v>647</v>
      </c>
      <c r="D3615" s="3">
        <v>1</v>
      </c>
      <c r="E3615" s="3" t="s">
        <v>54</v>
      </c>
      <c r="F3615" s="3" t="s">
        <v>55</v>
      </c>
      <c r="G3615" s="3" t="str">
        <f>"2024-08-22 13:44:05.905"</f>
        <v>2024-08-22 13:44:05.905</v>
      </c>
      <c r="H3615" s="3" t="s">
        <v>21</v>
      </c>
      <c r="I3615" s="3">
        <v>21.37</v>
      </c>
      <c r="J3615" s="3" t="s">
        <v>27</v>
      </c>
    </row>
    <row r="3616" spans="1:10" x14ac:dyDescent="0.25">
      <c r="A3616" s="1">
        <v>808</v>
      </c>
      <c r="B3616" t="s">
        <v>19</v>
      </c>
      <c r="C3616">
        <v>700</v>
      </c>
      <c r="D3616">
        <v>0</v>
      </c>
      <c r="E3616" t="s">
        <v>20</v>
      </c>
      <c r="F3616" t="s">
        <v>20</v>
      </c>
      <c r="G3616" t="str">
        <f>"2024-08-22 12:51:17.663"</f>
        <v>2024-08-22 12:51:17.663</v>
      </c>
      <c r="H3616" t="s">
        <v>21</v>
      </c>
    </row>
    <row r="3617" spans="1:10" x14ac:dyDescent="0.25">
      <c r="A3617" s="1">
        <v>809</v>
      </c>
      <c r="B3617" t="s">
        <v>19</v>
      </c>
      <c r="C3617">
        <v>700</v>
      </c>
      <c r="D3617">
        <v>0</v>
      </c>
      <c r="E3617" t="s">
        <v>20</v>
      </c>
      <c r="F3617" t="s">
        <v>20</v>
      </c>
      <c r="G3617" t="str">
        <f>"2024-08-22 07:51:14.695"</f>
        <v>2024-08-22 07:51:14.695</v>
      </c>
      <c r="H3617" t="s">
        <v>21</v>
      </c>
      <c r="I3617">
        <v>0</v>
      </c>
      <c r="J3617" t="s">
        <v>33</v>
      </c>
    </row>
    <row r="3618" spans="1:10" s="3" customFormat="1" x14ac:dyDescent="0.25">
      <c r="A3618" s="2">
        <v>810</v>
      </c>
      <c r="B3618" s="3" t="s">
        <v>22</v>
      </c>
      <c r="C3618" s="3">
        <v>647</v>
      </c>
      <c r="D3618" s="3">
        <v>1</v>
      </c>
      <c r="E3618" s="3" t="s">
        <v>54</v>
      </c>
      <c r="F3618" s="3" t="s">
        <v>55</v>
      </c>
      <c r="G3618" s="3" t="str">
        <f>"2024-08-22 07:05:51.714"</f>
        <v>2024-08-22 07:05:51.714</v>
      </c>
      <c r="H3618" s="3" t="s">
        <v>21</v>
      </c>
    </row>
    <row r="3619" spans="1:10" s="3" customFormat="1" x14ac:dyDescent="0.25">
      <c r="A3619" s="2">
        <v>811</v>
      </c>
      <c r="B3619" s="3" t="s">
        <v>36</v>
      </c>
      <c r="C3619" s="3">
        <v>647</v>
      </c>
      <c r="D3619" s="3">
        <v>1</v>
      </c>
      <c r="E3619" s="3" t="s">
        <v>54</v>
      </c>
      <c r="F3619" s="3" t="s">
        <v>55</v>
      </c>
      <c r="G3619" s="3" t="str">
        <f>"2024-08-22 07:05:50.214"</f>
        <v>2024-08-22 07:05:50.214</v>
      </c>
      <c r="H3619" s="3" t="s">
        <v>21</v>
      </c>
      <c r="I3619" s="3">
        <v>8.7100000000000009</v>
      </c>
      <c r="J3619" s="3" t="s">
        <v>27</v>
      </c>
    </row>
    <row r="3620" spans="1:10" x14ac:dyDescent="0.25">
      <c r="A3620" s="1">
        <v>812</v>
      </c>
      <c r="B3620" t="s">
        <v>22</v>
      </c>
      <c r="C3620">
        <v>635</v>
      </c>
      <c r="D3620">
        <v>1</v>
      </c>
      <c r="E3620" t="s">
        <v>34</v>
      </c>
      <c r="F3620" t="s">
        <v>35</v>
      </c>
      <c r="G3620" t="str">
        <f>"2024-08-22 05:35:00.860"</f>
        <v>2024-08-22 05:35:00.860</v>
      </c>
      <c r="H3620" t="s">
        <v>21</v>
      </c>
    </row>
    <row r="3621" spans="1:10" x14ac:dyDescent="0.25">
      <c r="A3621" s="1">
        <v>813</v>
      </c>
      <c r="B3621" t="s">
        <v>36</v>
      </c>
      <c r="C3621">
        <v>635</v>
      </c>
      <c r="D3621">
        <v>1</v>
      </c>
      <c r="E3621" t="s">
        <v>34</v>
      </c>
      <c r="F3621" t="s">
        <v>35</v>
      </c>
      <c r="G3621" t="str">
        <f>"2024-08-22 05:31:57.360"</f>
        <v>2024-08-22 05:31:57.360</v>
      </c>
      <c r="H3621" t="s">
        <v>21</v>
      </c>
      <c r="I3621">
        <v>0</v>
      </c>
      <c r="J3621" t="s">
        <v>28</v>
      </c>
    </row>
    <row r="3622" spans="1:10" x14ac:dyDescent="0.25">
      <c r="A3622" s="1">
        <v>814</v>
      </c>
      <c r="B3622" t="s">
        <v>19</v>
      </c>
      <c r="C3622">
        <v>700</v>
      </c>
      <c r="D3622">
        <v>0</v>
      </c>
      <c r="E3622" t="s">
        <v>20</v>
      </c>
      <c r="F3622" t="s">
        <v>20</v>
      </c>
      <c r="G3622" t="str">
        <f>"2024-08-21 08:56:50.672"</f>
        <v>2024-08-21 08:56:50.672</v>
      </c>
      <c r="H3622" t="s">
        <v>21</v>
      </c>
      <c r="I3622">
        <v>0</v>
      </c>
      <c r="J3622" t="s">
        <v>33</v>
      </c>
    </row>
    <row r="3623" spans="1:10" x14ac:dyDescent="0.25">
      <c r="A3623" s="1">
        <v>815</v>
      </c>
      <c r="B3623" t="s">
        <v>22</v>
      </c>
      <c r="C3623">
        <v>635</v>
      </c>
      <c r="D3623">
        <v>1</v>
      </c>
      <c r="E3623" t="s">
        <v>34</v>
      </c>
      <c r="F3623" t="s">
        <v>35</v>
      </c>
      <c r="G3623" t="str">
        <f>"2024-08-21 06:28:48.312"</f>
        <v>2024-08-21 06:28:48.312</v>
      </c>
      <c r="H3623" t="s">
        <v>21</v>
      </c>
    </row>
    <row r="3624" spans="1:10" x14ac:dyDescent="0.25">
      <c r="A3624" s="1">
        <v>816</v>
      </c>
      <c r="B3624" t="s">
        <v>36</v>
      </c>
      <c r="C3624">
        <v>635</v>
      </c>
      <c r="D3624">
        <v>1</v>
      </c>
      <c r="E3624" t="s">
        <v>34</v>
      </c>
      <c r="F3624" t="s">
        <v>35</v>
      </c>
      <c r="G3624" t="str">
        <f>"2024-08-21 06:26:03.813"</f>
        <v>2024-08-21 06:26:03.813</v>
      </c>
      <c r="H3624" t="s">
        <v>21</v>
      </c>
      <c r="I3624">
        <v>3.21</v>
      </c>
      <c r="J3624" t="s">
        <v>28</v>
      </c>
    </row>
    <row r="3625" spans="1:10" x14ac:dyDescent="0.25">
      <c r="A3625" s="1">
        <v>817</v>
      </c>
      <c r="B3625" t="s">
        <v>22</v>
      </c>
      <c r="C3625">
        <v>98</v>
      </c>
      <c r="D3625">
        <v>1</v>
      </c>
      <c r="E3625" t="s">
        <v>99</v>
      </c>
      <c r="F3625" t="s">
        <v>100</v>
      </c>
      <c r="G3625" t="str">
        <f>"2024-08-21 02:05:30.773"</f>
        <v>2024-08-21 02:05:30.773</v>
      </c>
      <c r="H3625" t="s">
        <v>21</v>
      </c>
    </row>
    <row r="3626" spans="1:10" x14ac:dyDescent="0.25">
      <c r="A3626" s="1">
        <v>818</v>
      </c>
      <c r="B3626" t="s">
        <v>36</v>
      </c>
      <c r="C3626">
        <v>98</v>
      </c>
      <c r="D3626">
        <v>1</v>
      </c>
      <c r="E3626" t="s">
        <v>99</v>
      </c>
      <c r="F3626" t="s">
        <v>100</v>
      </c>
      <c r="G3626" t="str">
        <f>"2024-08-21 02:05:29.774"</f>
        <v>2024-08-21 02:05:29.774</v>
      </c>
      <c r="H3626" t="s">
        <v>21</v>
      </c>
      <c r="I3626">
        <v>0</v>
      </c>
      <c r="J3626" t="s">
        <v>28</v>
      </c>
    </row>
    <row r="3627" spans="1:10" x14ac:dyDescent="0.25">
      <c r="A3627" s="1">
        <v>819</v>
      </c>
      <c r="B3627" t="s">
        <v>22</v>
      </c>
      <c r="C3627">
        <v>635</v>
      </c>
      <c r="D3627">
        <v>1</v>
      </c>
      <c r="E3627" t="s">
        <v>34</v>
      </c>
      <c r="F3627" t="s">
        <v>35</v>
      </c>
      <c r="G3627" t="str">
        <f>"2024-08-20 16:32:58.213"</f>
        <v>2024-08-20 16:32:58.213</v>
      </c>
      <c r="H3627" t="s">
        <v>21</v>
      </c>
    </row>
    <row r="3628" spans="1:10" x14ac:dyDescent="0.25">
      <c r="A3628" s="1">
        <v>820</v>
      </c>
      <c r="B3628" t="s">
        <v>36</v>
      </c>
      <c r="C3628">
        <v>635</v>
      </c>
      <c r="D3628">
        <v>1</v>
      </c>
      <c r="E3628" t="s">
        <v>34</v>
      </c>
      <c r="F3628" t="s">
        <v>35</v>
      </c>
      <c r="G3628" t="str">
        <f>"2024-08-20 16:30:12.214"</f>
        <v>2024-08-20 16:30:12.214</v>
      </c>
      <c r="H3628" t="s">
        <v>21</v>
      </c>
      <c r="I3628">
        <v>2.6</v>
      </c>
      <c r="J3628" t="s">
        <v>37</v>
      </c>
    </row>
    <row r="3629" spans="1:10" x14ac:dyDescent="0.25">
      <c r="A3629" s="1">
        <v>821</v>
      </c>
      <c r="B3629" t="s">
        <v>19</v>
      </c>
      <c r="C3629">
        <v>706</v>
      </c>
      <c r="D3629">
        <v>4</v>
      </c>
      <c r="E3629" t="s">
        <v>29</v>
      </c>
      <c r="F3629" t="s">
        <v>53</v>
      </c>
      <c r="G3629" t="str">
        <f>"2024-08-20 14:52:02.203"</f>
        <v>2024-08-20 14:52:02.203</v>
      </c>
      <c r="H3629" t="s">
        <v>21</v>
      </c>
      <c r="I3629">
        <v>0</v>
      </c>
      <c r="J3629" t="s">
        <v>31</v>
      </c>
    </row>
    <row r="3630" spans="1:10" x14ac:dyDescent="0.25">
      <c r="A3630" s="1">
        <v>822</v>
      </c>
      <c r="B3630" t="s">
        <v>19</v>
      </c>
      <c r="C3630">
        <v>706</v>
      </c>
      <c r="D3630">
        <v>4</v>
      </c>
      <c r="E3630" t="s">
        <v>29</v>
      </c>
      <c r="F3630" t="s">
        <v>53</v>
      </c>
      <c r="G3630" t="str">
        <f>"2024-08-20 14:22:34.463"</f>
        <v>2024-08-20 14:22:34.463</v>
      </c>
      <c r="H3630" t="s">
        <v>21</v>
      </c>
      <c r="I3630">
        <v>0</v>
      </c>
      <c r="J3630" t="s">
        <v>31</v>
      </c>
    </row>
    <row r="3631" spans="1:10" x14ac:dyDescent="0.25">
      <c r="A3631" s="1">
        <v>823</v>
      </c>
      <c r="B3631" t="s">
        <v>19</v>
      </c>
      <c r="C3631">
        <v>700</v>
      </c>
      <c r="D3631">
        <v>0</v>
      </c>
      <c r="E3631" t="s">
        <v>20</v>
      </c>
      <c r="F3631" t="s">
        <v>20</v>
      </c>
      <c r="G3631" t="str">
        <f>"2024-08-20 14:22:14.823"</f>
        <v>2024-08-20 14:22:14.823</v>
      </c>
      <c r="H3631" t="s">
        <v>21</v>
      </c>
      <c r="I3631">
        <v>0</v>
      </c>
      <c r="J3631" t="s">
        <v>33</v>
      </c>
    </row>
    <row r="3632" spans="1:10" x14ac:dyDescent="0.25">
      <c r="A3632" s="1">
        <v>824</v>
      </c>
      <c r="B3632" t="s">
        <v>22</v>
      </c>
      <c r="C3632">
        <v>635</v>
      </c>
      <c r="D3632">
        <v>1</v>
      </c>
      <c r="E3632" t="s">
        <v>34</v>
      </c>
      <c r="F3632" t="s">
        <v>35</v>
      </c>
      <c r="G3632" t="str">
        <f>"2024-08-20 10:26:05.665"</f>
        <v>2024-08-20 10:26:05.665</v>
      </c>
      <c r="H3632" t="s">
        <v>21</v>
      </c>
    </row>
    <row r="3633" spans="1:10" x14ac:dyDescent="0.25">
      <c r="A3633" s="1">
        <v>825</v>
      </c>
      <c r="B3633" t="s">
        <v>36</v>
      </c>
      <c r="C3633">
        <v>635</v>
      </c>
      <c r="D3633">
        <v>1</v>
      </c>
      <c r="E3633" t="s">
        <v>34</v>
      </c>
      <c r="F3633" t="s">
        <v>35</v>
      </c>
      <c r="G3633" t="str">
        <f>"2024-08-20 10:20:18.665"</f>
        <v>2024-08-20 10:20:18.665</v>
      </c>
      <c r="H3633" t="s">
        <v>21</v>
      </c>
      <c r="I3633">
        <v>6.65</v>
      </c>
      <c r="J3633" t="s">
        <v>37</v>
      </c>
    </row>
    <row r="3634" spans="1:10" x14ac:dyDescent="0.25">
      <c r="A3634" s="1">
        <v>826</v>
      </c>
      <c r="B3634" t="s">
        <v>19</v>
      </c>
      <c r="C3634">
        <v>700</v>
      </c>
      <c r="D3634">
        <v>0</v>
      </c>
      <c r="E3634" t="s">
        <v>20</v>
      </c>
      <c r="F3634" t="s">
        <v>20</v>
      </c>
      <c r="G3634" t="str">
        <f>"2024-08-19 21:32:21.697"</f>
        <v>2024-08-19 21:32:21.697</v>
      </c>
      <c r="H3634" t="s">
        <v>21</v>
      </c>
      <c r="I3634">
        <v>0</v>
      </c>
      <c r="J3634" t="s">
        <v>33</v>
      </c>
    </row>
    <row r="3635" spans="1:10" x14ac:dyDescent="0.25">
      <c r="A3635" s="1">
        <v>827</v>
      </c>
      <c r="B3635" t="s">
        <v>22</v>
      </c>
      <c r="C3635">
        <v>635</v>
      </c>
      <c r="D3635">
        <v>1</v>
      </c>
      <c r="E3635" t="s">
        <v>34</v>
      </c>
      <c r="F3635" t="s">
        <v>35</v>
      </c>
      <c r="G3635" t="str">
        <f>"2024-08-19 18:49:26.445"</f>
        <v>2024-08-19 18:49:26.445</v>
      </c>
      <c r="H3635" t="s">
        <v>21</v>
      </c>
    </row>
    <row r="3636" spans="1:10" x14ac:dyDescent="0.25">
      <c r="A3636" s="1">
        <v>828</v>
      </c>
      <c r="B3636" t="s">
        <v>36</v>
      </c>
      <c r="C3636">
        <v>635</v>
      </c>
      <c r="D3636">
        <v>1</v>
      </c>
      <c r="E3636" t="s">
        <v>34</v>
      </c>
      <c r="F3636" t="s">
        <v>35</v>
      </c>
      <c r="G3636" t="str">
        <f>"2024-08-19 18:46:19.545"</f>
        <v>2024-08-19 18:46:19.545</v>
      </c>
      <c r="H3636" t="s">
        <v>21</v>
      </c>
      <c r="I3636">
        <v>0.47</v>
      </c>
      <c r="J3636" t="s">
        <v>37</v>
      </c>
    </row>
    <row r="3637" spans="1:10" x14ac:dyDescent="0.25">
      <c r="A3637" s="1">
        <v>829</v>
      </c>
      <c r="B3637" t="s">
        <v>19</v>
      </c>
      <c r="C3637">
        <v>700</v>
      </c>
      <c r="D3637">
        <v>0</v>
      </c>
      <c r="E3637" t="s">
        <v>20</v>
      </c>
      <c r="F3637" t="s">
        <v>20</v>
      </c>
      <c r="G3637" t="str">
        <f>"2024-08-19 14:05:23.648"</f>
        <v>2024-08-19 14:05:23.648</v>
      </c>
      <c r="H3637" t="s">
        <v>21</v>
      </c>
      <c r="I3637">
        <v>0</v>
      </c>
      <c r="J3637" t="s">
        <v>33</v>
      </c>
    </row>
    <row r="3638" spans="1:10" x14ac:dyDescent="0.25">
      <c r="A3638" s="1">
        <v>830</v>
      </c>
      <c r="B3638" t="s">
        <v>19</v>
      </c>
      <c r="C3638">
        <v>700</v>
      </c>
      <c r="D3638">
        <v>0</v>
      </c>
      <c r="E3638" t="s">
        <v>20</v>
      </c>
      <c r="F3638" t="s">
        <v>20</v>
      </c>
      <c r="G3638" t="str">
        <f>"2024-08-19 04:38:10.656"</f>
        <v>2024-08-19 04:38:10.656</v>
      </c>
      <c r="H3638" t="s">
        <v>21</v>
      </c>
    </row>
    <row r="3639" spans="1:10" x14ac:dyDescent="0.25">
      <c r="A3639" s="1">
        <v>831</v>
      </c>
      <c r="B3639" t="s">
        <v>19</v>
      </c>
      <c r="C3639">
        <v>700</v>
      </c>
      <c r="D3639">
        <v>0</v>
      </c>
      <c r="E3639" t="s">
        <v>20</v>
      </c>
      <c r="F3639" t="s">
        <v>20</v>
      </c>
      <c r="G3639" t="str">
        <f>"2024-08-18 19:39:10.743"</f>
        <v>2024-08-18 19:39:10.743</v>
      </c>
      <c r="H3639" t="s">
        <v>21</v>
      </c>
      <c r="I3639">
        <v>0</v>
      </c>
      <c r="J3639" t="s">
        <v>33</v>
      </c>
    </row>
    <row r="3640" spans="1:10" x14ac:dyDescent="0.25">
      <c r="A3640" s="1">
        <v>832</v>
      </c>
      <c r="B3640" t="s">
        <v>19</v>
      </c>
      <c r="C3640">
        <v>706</v>
      </c>
      <c r="D3640">
        <v>4</v>
      </c>
      <c r="E3640" t="s">
        <v>29</v>
      </c>
      <c r="F3640" t="s">
        <v>53</v>
      </c>
      <c r="G3640" t="str">
        <f>"2024-08-18 04:58:48.914"</f>
        <v>2024-08-18 04:58:48.914</v>
      </c>
      <c r="H3640" t="s">
        <v>21</v>
      </c>
      <c r="I3640">
        <v>0</v>
      </c>
      <c r="J3640" t="s">
        <v>31</v>
      </c>
    </row>
    <row r="3641" spans="1:10" x14ac:dyDescent="0.25">
      <c r="A3641" s="1">
        <v>833</v>
      </c>
      <c r="B3641" t="s">
        <v>22</v>
      </c>
      <c r="C3641">
        <v>635</v>
      </c>
      <c r="D3641">
        <v>1</v>
      </c>
      <c r="E3641" t="s">
        <v>34</v>
      </c>
      <c r="F3641" t="s">
        <v>35</v>
      </c>
      <c r="G3641" t="str">
        <f>"2024-08-17 17:50:21.785"</f>
        <v>2024-08-17 17:50:21.785</v>
      </c>
      <c r="H3641" t="s">
        <v>21</v>
      </c>
    </row>
    <row r="3642" spans="1:10" x14ac:dyDescent="0.25">
      <c r="A3642" s="1">
        <v>834</v>
      </c>
      <c r="B3642" t="s">
        <v>36</v>
      </c>
      <c r="C3642">
        <v>635</v>
      </c>
      <c r="D3642">
        <v>1</v>
      </c>
      <c r="E3642" t="s">
        <v>34</v>
      </c>
      <c r="F3642" t="s">
        <v>35</v>
      </c>
      <c r="G3642" t="str">
        <f>"2024-08-17 17:48:13.285"</f>
        <v>2024-08-17 17:48:13.285</v>
      </c>
      <c r="H3642" t="s">
        <v>21</v>
      </c>
      <c r="I3642">
        <v>6.29</v>
      </c>
      <c r="J3642" t="s">
        <v>37</v>
      </c>
    </row>
    <row r="3643" spans="1:10" x14ac:dyDescent="0.25">
      <c r="A3643" s="1">
        <v>835</v>
      </c>
      <c r="B3643" t="s">
        <v>19</v>
      </c>
      <c r="C3643">
        <v>706</v>
      </c>
      <c r="D3643">
        <v>2</v>
      </c>
      <c r="E3643" t="s">
        <v>29</v>
      </c>
      <c r="F3643" t="s">
        <v>30</v>
      </c>
      <c r="G3643" t="str">
        <f>"2024-08-17 11:38:23.074"</f>
        <v>2024-08-17 11:38:23.074</v>
      </c>
      <c r="H3643" t="s">
        <v>21</v>
      </c>
      <c r="I3643">
        <v>0</v>
      </c>
      <c r="J3643" t="s">
        <v>31</v>
      </c>
    </row>
    <row r="3644" spans="1:10" x14ac:dyDescent="0.25">
      <c r="A3644" s="1">
        <v>836</v>
      </c>
      <c r="B3644" t="s">
        <v>19</v>
      </c>
      <c r="C3644">
        <v>700</v>
      </c>
      <c r="D3644">
        <v>0</v>
      </c>
      <c r="E3644" t="s">
        <v>20</v>
      </c>
      <c r="F3644" t="s">
        <v>20</v>
      </c>
      <c r="G3644" t="str">
        <f>"2024-08-17 11:35:40.664"</f>
        <v>2024-08-17 11:35:40.664</v>
      </c>
      <c r="H3644" t="s">
        <v>21</v>
      </c>
    </row>
    <row r="3645" spans="1:10" x14ac:dyDescent="0.25">
      <c r="A3645" s="1">
        <v>837</v>
      </c>
      <c r="B3645" t="s">
        <v>19</v>
      </c>
      <c r="C3645">
        <v>700</v>
      </c>
      <c r="D3645">
        <v>0</v>
      </c>
      <c r="E3645" t="s">
        <v>20</v>
      </c>
      <c r="F3645" t="s">
        <v>20</v>
      </c>
      <c r="G3645" t="str">
        <f>"2024-08-17 10:29:20.649"</f>
        <v>2024-08-17 10:29:20.649</v>
      </c>
      <c r="H3645" t="s">
        <v>21</v>
      </c>
      <c r="I3645">
        <v>0</v>
      </c>
      <c r="J3645" t="s">
        <v>33</v>
      </c>
    </row>
    <row r="3646" spans="1:10" x14ac:dyDescent="0.25">
      <c r="A3646" s="1">
        <v>838</v>
      </c>
      <c r="B3646" t="s">
        <v>19</v>
      </c>
      <c r="C3646">
        <v>700</v>
      </c>
      <c r="D3646">
        <v>0</v>
      </c>
      <c r="E3646" t="s">
        <v>20</v>
      </c>
      <c r="F3646" t="s">
        <v>20</v>
      </c>
      <c r="G3646" t="str">
        <f>"2024-08-17 10:24:17.681"</f>
        <v>2024-08-17 10:24:17.681</v>
      </c>
      <c r="H3646" t="s">
        <v>21</v>
      </c>
      <c r="I3646">
        <v>0</v>
      </c>
      <c r="J3646" t="s">
        <v>33</v>
      </c>
    </row>
    <row r="3647" spans="1:10" x14ac:dyDescent="0.25">
      <c r="A3647" s="1">
        <v>839</v>
      </c>
      <c r="B3647" t="s">
        <v>22</v>
      </c>
      <c r="C3647">
        <v>635</v>
      </c>
      <c r="D3647">
        <v>1</v>
      </c>
      <c r="E3647" t="s">
        <v>34</v>
      </c>
      <c r="F3647" t="s">
        <v>35</v>
      </c>
      <c r="G3647" t="str">
        <f>"2024-08-17 07:39:54.219"</f>
        <v>2024-08-17 07:39:54.219</v>
      </c>
      <c r="H3647" t="s">
        <v>21</v>
      </c>
    </row>
    <row r="3648" spans="1:10" x14ac:dyDescent="0.25">
      <c r="A3648" s="1">
        <v>840</v>
      </c>
      <c r="B3648" t="s">
        <v>36</v>
      </c>
      <c r="C3648">
        <v>635</v>
      </c>
      <c r="D3648">
        <v>1</v>
      </c>
      <c r="E3648" t="s">
        <v>34</v>
      </c>
      <c r="F3648" t="s">
        <v>35</v>
      </c>
      <c r="G3648" t="str">
        <f>"2024-08-17 07:37:04.719"</f>
        <v>2024-08-17 07:37:04.719</v>
      </c>
      <c r="H3648" t="s">
        <v>21</v>
      </c>
      <c r="I3648">
        <v>1.26</v>
      </c>
      <c r="J3648" t="s">
        <v>37</v>
      </c>
    </row>
    <row r="3649" spans="1:10" x14ac:dyDescent="0.25">
      <c r="A3649" s="1">
        <v>841</v>
      </c>
      <c r="B3649" t="s">
        <v>22</v>
      </c>
      <c r="C3649">
        <v>635</v>
      </c>
      <c r="D3649">
        <v>1</v>
      </c>
      <c r="E3649" t="s">
        <v>34</v>
      </c>
      <c r="F3649" t="s">
        <v>35</v>
      </c>
      <c r="G3649" t="str">
        <f>"2024-08-16 21:48:05.719"</f>
        <v>2024-08-16 21:48:05.719</v>
      </c>
      <c r="H3649" t="s">
        <v>21</v>
      </c>
    </row>
    <row r="3650" spans="1:10" x14ac:dyDescent="0.25">
      <c r="A3650" s="1">
        <v>842</v>
      </c>
      <c r="B3650" t="s">
        <v>36</v>
      </c>
      <c r="C3650">
        <v>635</v>
      </c>
      <c r="D3650">
        <v>1</v>
      </c>
      <c r="E3650" t="s">
        <v>34</v>
      </c>
      <c r="F3650" t="s">
        <v>35</v>
      </c>
      <c r="G3650" t="str">
        <f>"2024-08-16 21:43:50.719"</f>
        <v>2024-08-16 21:43:50.719</v>
      </c>
      <c r="H3650" t="s">
        <v>21</v>
      </c>
      <c r="I3650">
        <v>1.1599999999999999</v>
      </c>
      <c r="J3650" t="s">
        <v>37</v>
      </c>
    </row>
    <row r="3651" spans="1:10" x14ac:dyDescent="0.25">
      <c r="A3651" s="1">
        <v>843</v>
      </c>
      <c r="B3651" t="s">
        <v>22</v>
      </c>
      <c r="C3651">
        <v>635</v>
      </c>
      <c r="D3651">
        <v>1</v>
      </c>
      <c r="E3651" t="s">
        <v>34</v>
      </c>
      <c r="F3651" t="s">
        <v>35</v>
      </c>
      <c r="G3651" t="str">
        <f>"2024-08-16 21:09:33.319"</f>
        <v>2024-08-16 21:09:33.319</v>
      </c>
      <c r="H3651" t="s">
        <v>21</v>
      </c>
    </row>
    <row r="3652" spans="1:10" x14ac:dyDescent="0.25">
      <c r="A3652" s="1">
        <v>844</v>
      </c>
      <c r="B3652" t="s">
        <v>36</v>
      </c>
      <c r="C3652">
        <v>635</v>
      </c>
      <c r="D3652">
        <v>1</v>
      </c>
      <c r="E3652" t="s">
        <v>34</v>
      </c>
      <c r="F3652" t="s">
        <v>35</v>
      </c>
      <c r="G3652" t="str">
        <f>"2024-08-16 21:05:42.319"</f>
        <v>2024-08-16 21:05:42.319</v>
      </c>
      <c r="H3652" t="s">
        <v>21</v>
      </c>
      <c r="I3652">
        <v>5.62</v>
      </c>
      <c r="J3652" t="s">
        <v>37</v>
      </c>
    </row>
    <row r="3653" spans="1:10" x14ac:dyDescent="0.25">
      <c r="A3653" s="1">
        <v>845</v>
      </c>
      <c r="B3653" t="s">
        <v>22</v>
      </c>
      <c r="C3653">
        <v>635</v>
      </c>
      <c r="D3653">
        <v>1</v>
      </c>
      <c r="E3653" t="s">
        <v>34</v>
      </c>
      <c r="F3653" t="s">
        <v>35</v>
      </c>
      <c r="G3653" t="str">
        <f>"2024-08-16 18:28:52.019"</f>
        <v>2024-08-16 18:28:52.019</v>
      </c>
      <c r="H3653" t="s">
        <v>21</v>
      </c>
    </row>
    <row r="3654" spans="1:10" x14ac:dyDescent="0.25">
      <c r="A3654" s="1">
        <v>846</v>
      </c>
      <c r="B3654" t="s">
        <v>36</v>
      </c>
      <c r="C3654">
        <v>635</v>
      </c>
      <c r="D3654">
        <v>1</v>
      </c>
      <c r="E3654" t="s">
        <v>34</v>
      </c>
      <c r="F3654" t="s">
        <v>35</v>
      </c>
      <c r="G3654" t="str">
        <f>"2024-08-16 18:25:20.019"</f>
        <v>2024-08-16 18:25:20.019</v>
      </c>
      <c r="H3654" t="s">
        <v>21</v>
      </c>
      <c r="I3654">
        <v>0.5</v>
      </c>
      <c r="J3654" t="s">
        <v>27</v>
      </c>
    </row>
    <row r="3655" spans="1:10" x14ac:dyDescent="0.25">
      <c r="A3655" s="1">
        <v>847</v>
      </c>
      <c r="B3655" t="s">
        <v>22</v>
      </c>
      <c r="C3655">
        <v>635</v>
      </c>
      <c r="D3655">
        <v>1</v>
      </c>
      <c r="E3655" t="s">
        <v>34</v>
      </c>
      <c r="F3655" t="s">
        <v>35</v>
      </c>
      <c r="G3655" t="str">
        <f>"2024-08-16 17:45:32.119"</f>
        <v>2024-08-16 17:45:32.119</v>
      </c>
      <c r="H3655" t="s">
        <v>21</v>
      </c>
    </row>
    <row r="3656" spans="1:10" x14ac:dyDescent="0.25">
      <c r="A3656" s="1">
        <v>848</v>
      </c>
      <c r="B3656" t="s">
        <v>36</v>
      </c>
      <c r="C3656">
        <v>635</v>
      </c>
      <c r="D3656">
        <v>1</v>
      </c>
      <c r="E3656" t="s">
        <v>34</v>
      </c>
      <c r="F3656" t="s">
        <v>35</v>
      </c>
      <c r="G3656" t="str">
        <f>"2024-08-16 17:42:37.119"</f>
        <v>2024-08-16 17:42:37.119</v>
      </c>
      <c r="H3656" t="s">
        <v>21</v>
      </c>
      <c r="I3656">
        <v>1.66</v>
      </c>
      <c r="J3656" t="s">
        <v>27</v>
      </c>
    </row>
    <row r="3657" spans="1:10" x14ac:dyDescent="0.25">
      <c r="A3657" s="1">
        <v>849</v>
      </c>
      <c r="B3657" t="s">
        <v>22</v>
      </c>
      <c r="C3657">
        <v>635</v>
      </c>
      <c r="D3657">
        <v>1</v>
      </c>
      <c r="E3657" t="s">
        <v>34</v>
      </c>
      <c r="F3657" t="s">
        <v>35</v>
      </c>
      <c r="G3657" t="str">
        <f>"2024-08-16 10:24:51.419"</f>
        <v>2024-08-16 10:24:51.419</v>
      </c>
      <c r="H3657" t="s">
        <v>21</v>
      </c>
    </row>
    <row r="3658" spans="1:10" x14ac:dyDescent="0.25">
      <c r="A3658" s="1">
        <v>850</v>
      </c>
      <c r="B3658" t="s">
        <v>36</v>
      </c>
      <c r="C3658">
        <v>635</v>
      </c>
      <c r="D3658">
        <v>1</v>
      </c>
      <c r="E3658" t="s">
        <v>34</v>
      </c>
      <c r="F3658" t="s">
        <v>35</v>
      </c>
      <c r="G3658" t="str">
        <f>"2024-08-16 10:22:01.419"</f>
        <v>2024-08-16 10:22:01.419</v>
      </c>
      <c r="H3658" t="s">
        <v>21</v>
      </c>
      <c r="I3658">
        <v>0.4</v>
      </c>
      <c r="J3658" t="s">
        <v>27</v>
      </c>
    </row>
    <row r="3659" spans="1:10" x14ac:dyDescent="0.25">
      <c r="A3659" s="1">
        <v>851</v>
      </c>
      <c r="B3659" t="s">
        <v>22</v>
      </c>
      <c r="C3659">
        <v>635</v>
      </c>
      <c r="D3659">
        <v>1</v>
      </c>
      <c r="E3659" t="s">
        <v>34</v>
      </c>
      <c r="F3659" t="s">
        <v>35</v>
      </c>
      <c r="G3659" t="str">
        <f>"2024-08-16 05:25:00.919"</f>
        <v>2024-08-16 05:25:00.919</v>
      </c>
      <c r="H3659" t="s">
        <v>21</v>
      </c>
    </row>
    <row r="3660" spans="1:10" x14ac:dyDescent="0.25">
      <c r="A3660" s="1">
        <v>852</v>
      </c>
      <c r="B3660" t="s">
        <v>36</v>
      </c>
      <c r="C3660">
        <v>635</v>
      </c>
      <c r="D3660">
        <v>1</v>
      </c>
      <c r="E3660" t="s">
        <v>34</v>
      </c>
      <c r="F3660" t="s">
        <v>35</v>
      </c>
      <c r="G3660" t="str">
        <f>"2024-08-16 05:16:51.919"</f>
        <v>2024-08-16 05:16:51.919</v>
      </c>
      <c r="H3660" t="s">
        <v>21</v>
      </c>
      <c r="I3660">
        <v>5.57</v>
      </c>
      <c r="J3660" t="s">
        <v>37</v>
      </c>
    </row>
    <row r="3661" spans="1:10" x14ac:dyDescent="0.25">
      <c r="A3661" s="1">
        <v>853</v>
      </c>
      <c r="B3661" t="s">
        <v>19</v>
      </c>
      <c r="C3661">
        <v>700</v>
      </c>
      <c r="D3661">
        <v>0</v>
      </c>
      <c r="E3661" t="s">
        <v>20</v>
      </c>
      <c r="F3661" t="s">
        <v>20</v>
      </c>
      <c r="G3661" t="str">
        <f>"2024-08-16 04:45:32.667"</f>
        <v>2024-08-16 04:45:32.667</v>
      </c>
      <c r="H3661" t="s">
        <v>21</v>
      </c>
      <c r="I3661">
        <v>0</v>
      </c>
      <c r="J3661" t="s">
        <v>33</v>
      </c>
    </row>
    <row r="3662" spans="1:10" x14ac:dyDescent="0.25">
      <c r="A3662" s="1">
        <v>854</v>
      </c>
      <c r="B3662" t="s">
        <v>19</v>
      </c>
      <c r="C3662">
        <v>700</v>
      </c>
      <c r="D3662">
        <v>0</v>
      </c>
      <c r="E3662" t="s">
        <v>20</v>
      </c>
      <c r="F3662" t="s">
        <v>20</v>
      </c>
      <c r="G3662" t="str">
        <f>"2024-08-15 21:40:06.677"</f>
        <v>2024-08-15 21:40:06.677</v>
      </c>
      <c r="H3662" t="s">
        <v>21</v>
      </c>
      <c r="I3662">
        <v>0</v>
      </c>
      <c r="J3662" t="s">
        <v>33</v>
      </c>
    </row>
    <row r="3663" spans="1:10" x14ac:dyDescent="0.25">
      <c r="A3663" s="1">
        <v>855</v>
      </c>
      <c r="B3663" t="s">
        <v>22</v>
      </c>
      <c r="C3663">
        <v>42</v>
      </c>
      <c r="D3663">
        <v>1</v>
      </c>
      <c r="E3663" t="s">
        <v>68</v>
      </c>
      <c r="F3663" t="s">
        <v>69</v>
      </c>
      <c r="G3663" t="str">
        <f>"2024-08-15 01:04:33.576"</f>
        <v>2024-08-15 01:04:33.576</v>
      </c>
      <c r="H3663" t="s">
        <v>70</v>
      </c>
    </row>
    <row r="3664" spans="1:10" x14ac:dyDescent="0.25">
      <c r="A3664" s="1">
        <v>856</v>
      </c>
      <c r="B3664" t="s">
        <v>36</v>
      </c>
      <c r="C3664">
        <v>42</v>
      </c>
      <c r="D3664">
        <v>1</v>
      </c>
      <c r="E3664" t="s">
        <v>68</v>
      </c>
      <c r="F3664" t="s">
        <v>69</v>
      </c>
      <c r="G3664" t="str">
        <f>"2024-08-15 01:04:19.756"</f>
        <v>2024-08-15 01:04:19.756</v>
      </c>
      <c r="H3664" t="s">
        <v>70</v>
      </c>
      <c r="I3664">
        <v>0</v>
      </c>
      <c r="J3664" t="s">
        <v>31</v>
      </c>
    </row>
    <row r="3665" spans="1:10" x14ac:dyDescent="0.25">
      <c r="A3665" s="1">
        <v>857</v>
      </c>
      <c r="B3665" t="s">
        <v>22</v>
      </c>
      <c r="C3665">
        <v>635</v>
      </c>
      <c r="D3665">
        <v>1</v>
      </c>
      <c r="E3665" t="s">
        <v>34</v>
      </c>
      <c r="F3665" t="s">
        <v>35</v>
      </c>
      <c r="G3665" t="str">
        <f>"2024-08-14 09:34:23.678"</f>
        <v>2024-08-14 09:34:23.678</v>
      </c>
      <c r="H3665" t="s">
        <v>21</v>
      </c>
    </row>
    <row r="3666" spans="1:10" x14ac:dyDescent="0.25">
      <c r="A3666" s="1">
        <v>858</v>
      </c>
      <c r="B3666" t="s">
        <v>36</v>
      </c>
      <c r="C3666">
        <v>635</v>
      </c>
      <c r="D3666">
        <v>1</v>
      </c>
      <c r="E3666" t="s">
        <v>34</v>
      </c>
      <c r="F3666" t="s">
        <v>35</v>
      </c>
      <c r="G3666" t="str">
        <f>"2024-08-14 09:31:42.678"</f>
        <v>2024-08-14 09:31:42.678</v>
      </c>
      <c r="H3666" t="s">
        <v>21</v>
      </c>
      <c r="I3666">
        <v>-0.28999999999999998</v>
      </c>
      <c r="J3666" t="s">
        <v>28</v>
      </c>
    </row>
    <row r="3667" spans="1:10" x14ac:dyDescent="0.25">
      <c r="A3667" s="1">
        <v>859</v>
      </c>
      <c r="B3667" t="s">
        <v>22</v>
      </c>
      <c r="C3667">
        <v>635</v>
      </c>
      <c r="D3667">
        <v>1</v>
      </c>
      <c r="E3667" t="s">
        <v>34</v>
      </c>
      <c r="F3667" t="s">
        <v>35</v>
      </c>
      <c r="G3667" t="str">
        <f>"2024-08-14 00:48:16.078"</f>
        <v>2024-08-14 00:48:16.078</v>
      </c>
      <c r="H3667" t="s">
        <v>21</v>
      </c>
    </row>
    <row r="3668" spans="1:10" x14ac:dyDescent="0.25">
      <c r="A3668" s="1">
        <v>860</v>
      </c>
      <c r="B3668" t="s">
        <v>36</v>
      </c>
      <c r="C3668">
        <v>635</v>
      </c>
      <c r="D3668">
        <v>1</v>
      </c>
      <c r="E3668" t="s">
        <v>34</v>
      </c>
      <c r="F3668" t="s">
        <v>35</v>
      </c>
      <c r="G3668" t="str">
        <f>"2024-08-14 00:44:25.078"</f>
        <v>2024-08-14 00:44:25.078</v>
      </c>
      <c r="H3668" t="s">
        <v>21</v>
      </c>
      <c r="I3668">
        <v>7.43</v>
      </c>
      <c r="J3668" t="s">
        <v>37</v>
      </c>
    </row>
    <row r="3669" spans="1:10" x14ac:dyDescent="0.25">
      <c r="A3669" s="1">
        <v>861</v>
      </c>
      <c r="B3669" t="s">
        <v>22</v>
      </c>
      <c r="C3669">
        <v>635</v>
      </c>
      <c r="D3669">
        <v>1</v>
      </c>
      <c r="E3669" t="s">
        <v>34</v>
      </c>
      <c r="F3669" t="s">
        <v>35</v>
      </c>
      <c r="G3669" t="str">
        <f>"2024-08-13 15:22:52.978"</f>
        <v>2024-08-13 15:22:52.978</v>
      </c>
      <c r="H3669" t="s">
        <v>21</v>
      </c>
    </row>
    <row r="3670" spans="1:10" x14ac:dyDescent="0.25">
      <c r="A3670" s="1">
        <v>862</v>
      </c>
      <c r="B3670" t="s">
        <v>36</v>
      </c>
      <c r="C3670">
        <v>635</v>
      </c>
      <c r="D3670">
        <v>1</v>
      </c>
      <c r="E3670" t="s">
        <v>34</v>
      </c>
      <c r="F3670" t="s">
        <v>35</v>
      </c>
      <c r="G3670" t="str">
        <f>"2024-08-13 15:19:33.978"</f>
        <v>2024-08-13 15:19:33.978</v>
      </c>
      <c r="H3670" t="s">
        <v>21</v>
      </c>
      <c r="I3670">
        <v>0.83</v>
      </c>
      <c r="J3670" t="s">
        <v>27</v>
      </c>
    </row>
    <row r="3671" spans="1:10" x14ac:dyDescent="0.25">
      <c r="A3671" s="1">
        <v>863</v>
      </c>
      <c r="B3671" t="s">
        <v>22</v>
      </c>
      <c r="C3671">
        <v>635</v>
      </c>
      <c r="D3671">
        <v>1</v>
      </c>
      <c r="E3671" t="s">
        <v>34</v>
      </c>
      <c r="F3671" t="s">
        <v>35</v>
      </c>
      <c r="G3671" t="str">
        <f>"2024-08-13 09:49:35.078"</f>
        <v>2024-08-13 09:49:35.078</v>
      </c>
      <c r="H3671" t="s">
        <v>21</v>
      </c>
    </row>
    <row r="3672" spans="1:10" x14ac:dyDescent="0.25">
      <c r="A3672" s="1">
        <v>864</v>
      </c>
      <c r="B3672" t="s">
        <v>36</v>
      </c>
      <c r="C3672">
        <v>635</v>
      </c>
      <c r="D3672">
        <v>1</v>
      </c>
      <c r="E3672" t="s">
        <v>34</v>
      </c>
      <c r="F3672" t="s">
        <v>35</v>
      </c>
      <c r="G3672" t="str">
        <f>"2024-08-13 09:48:07.078"</f>
        <v>2024-08-13 09:48:07.078</v>
      </c>
      <c r="H3672" t="s">
        <v>21</v>
      </c>
      <c r="I3672">
        <v>4.92</v>
      </c>
      <c r="J3672" t="s">
        <v>37</v>
      </c>
    </row>
    <row r="3673" spans="1:10" x14ac:dyDescent="0.25">
      <c r="A3673" s="1">
        <v>865</v>
      </c>
      <c r="B3673" t="s">
        <v>19</v>
      </c>
      <c r="C3673">
        <v>706</v>
      </c>
      <c r="D3673">
        <v>4</v>
      </c>
      <c r="E3673" t="s">
        <v>29</v>
      </c>
      <c r="F3673" t="s">
        <v>53</v>
      </c>
      <c r="G3673" t="str">
        <f>"2024-08-13 03:14:50.477"</f>
        <v>2024-08-13 03:14:50.477</v>
      </c>
      <c r="H3673" t="s">
        <v>21</v>
      </c>
      <c r="I3673">
        <v>0</v>
      </c>
      <c r="J3673" t="s">
        <v>31</v>
      </c>
    </row>
    <row r="3674" spans="1:10" x14ac:dyDescent="0.25">
      <c r="A3674" s="1">
        <v>866</v>
      </c>
      <c r="B3674" t="s">
        <v>19</v>
      </c>
      <c r="C3674">
        <v>706</v>
      </c>
      <c r="D3674">
        <v>3</v>
      </c>
      <c r="E3674" t="s">
        <v>29</v>
      </c>
      <c r="F3674" t="s">
        <v>32</v>
      </c>
      <c r="G3674" t="str">
        <f>"2024-08-13 03:07:28.787"</f>
        <v>2024-08-13 03:07:28.787</v>
      </c>
      <c r="H3674" t="s">
        <v>21</v>
      </c>
      <c r="I3674">
        <v>0</v>
      </c>
      <c r="J3674" t="s">
        <v>31</v>
      </c>
    </row>
    <row r="3675" spans="1:10" x14ac:dyDescent="0.25">
      <c r="A3675" s="1">
        <v>867</v>
      </c>
      <c r="B3675" t="s">
        <v>19</v>
      </c>
      <c r="C3675">
        <v>706</v>
      </c>
      <c r="D3675">
        <v>2</v>
      </c>
      <c r="E3675" t="s">
        <v>29</v>
      </c>
      <c r="F3675" t="s">
        <v>30</v>
      </c>
      <c r="G3675" t="str">
        <f>"2024-08-13 02:29:16.467"</f>
        <v>2024-08-13 02:29:16.467</v>
      </c>
      <c r="H3675" t="s">
        <v>21</v>
      </c>
      <c r="I3675">
        <v>0</v>
      </c>
      <c r="J3675" t="s">
        <v>31</v>
      </c>
    </row>
    <row r="3676" spans="1:10" x14ac:dyDescent="0.25">
      <c r="A3676" s="1">
        <v>868</v>
      </c>
      <c r="B3676" t="s">
        <v>19</v>
      </c>
      <c r="C3676">
        <v>700</v>
      </c>
      <c r="D3676">
        <v>0</v>
      </c>
      <c r="E3676" t="s">
        <v>20</v>
      </c>
      <c r="F3676" t="s">
        <v>20</v>
      </c>
      <c r="G3676" t="str">
        <f>"2024-08-13 02:14:52.637"</f>
        <v>2024-08-13 02:14:52.637</v>
      </c>
      <c r="H3676" t="s">
        <v>21</v>
      </c>
    </row>
    <row r="3677" spans="1:10" x14ac:dyDescent="0.25">
      <c r="A3677" s="1">
        <v>869</v>
      </c>
      <c r="B3677" t="s">
        <v>19</v>
      </c>
      <c r="C3677">
        <v>706</v>
      </c>
      <c r="D3677">
        <v>4</v>
      </c>
      <c r="E3677" t="s">
        <v>29</v>
      </c>
      <c r="F3677" t="s">
        <v>53</v>
      </c>
      <c r="G3677" t="str">
        <f>"2024-08-13 00:59:30.656"</f>
        <v>2024-08-13 00:59:30.656</v>
      </c>
      <c r="H3677" t="s">
        <v>21</v>
      </c>
      <c r="I3677">
        <v>0</v>
      </c>
      <c r="J3677" t="s">
        <v>31</v>
      </c>
    </row>
    <row r="3678" spans="1:10" x14ac:dyDescent="0.25">
      <c r="A3678" s="1">
        <v>870</v>
      </c>
      <c r="B3678" t="s">
        <v>19</v>
      </c>
      <c r="C3678">
        <v>700</v>
      </c>
      <c r="D3678">
        <v>0</v>
      </c>
      <c r="E3678" t="s">
        <v>20</v>
      </c>
      <c r="F3678" t="s">
        <v>20</v>
      </c>
      <c r="G3678" t="str">
        <f>"2024-08-13 00:57:40.656"</f>
        <v>2024-08-13 00:57:40.656</v>
      </c>
      <c r="H3678" t="s">
        <v>21</v>
      </c>
      <c r="I3678">
        <v>0</v>
      </c>
      <c r="J3678" t="s">
        <v>33</v>
      </c>
    </row>
    <row r="3679" spans="1:10" x14ac:dyDescent="0.25">
      <c r="A3679" s="1">
        <v>871</v>
      </c>
      <c r="B3679" t="s">
        <v>19</v>
      </c>
      <c r="C3679">
        <v>700</v>
      </c>
      <c r="D3679">
        <v>0</v>
      </c>
      <c r="E3679" t="s">
        <v>20</v>
      </c>
      <c r="F3679" t="s">
        <v>20</v>
      </c>
      <c r="G3679" t="str">
        <f>"2024-08-13 00:19:02.667"</f>
        <v>2024-08-13 00:19:02.667</v>
      </c>
      <c r="H3679" t="s">
        <v>21</v>
      </c>
      <c r="I3679">
        <v>0</v>
      </c>
      <c r="J3679" t="s">
        <v>33</v>
      </c>
    </row>
    <row r="3680" spans="1:10" x14ac:dyDescent="0.25">
      <c r="A3680" s="1">
        <v>872</v>
      </c>
      <c r="B3680" t="s">
        <v>19</v>
      </c>
      <c r="C3680">
        <v>700</v>
      </c>
      <c r="D3680">
        <v>0</v>
      </c>
      <c r="E3680" t="s">
        <v>20</v>
      </c>
      <c r="F3680" t="s">
        <v>20</v>
      </c>
      <c r="G3680" t="str">
        <f>"2024-08-12 20:28:23.642"</f>
        <v>2024-08-12 20:28:23.642</v>
      </c>
      <c r="H3680" t="s">
        <v>21</v>
      </c>
      <c r="I3680">
        <v>0</v>
      </c>
      <c r="J3680" t="s">
        <v>33</v>
      </c>
    </row>
    <row r="3681" spans="1:10" x14ac:dyDescent="0.25">
      <c r="A3681" s="1">
        <v>873</v>
      </c>
      <c r="B3681" t="s">
        <v>19</v>
      </c>
      <c r="C3681">
        <v>700</v>
      </c>
      <c r="D3681">
        <v>0</v>
      </c>
      <c r="E3681" t="s">
        <v>20</v>
      </c>
      <c r="F3681" t="s">
        <v>20</v>
      </c>
      <c r="G3681" t="str">
        <f>"2024-08-12 20:07:11.640"</f>
        <v>2024-08-12 20:07:11.640</v>
      </c>
      <c r="H3681" t="s">
        <v>21</v>
      </c>
      <c r="I3681">
        <v>0</v>
      </c>
      <c r="J3681" t="s">
        <v>33</v>
      </c>
    </row>
    <row r="3682" spans="1:10" x14ac:dyDescent="0.25">
      <c r="A3682" s="1">
        <v>874</v>
      </c>
      <c r="B3682" t="s">
        <v>19</v>
      </c>
      <c r="C3682">
        <v>706</v>
      </c>
      <c r="D3682">
        <v>4</v>
      </c>
      <c r="E3682" t="s">
        <v>29</v>
      </c>
      <c r="F3682" t="s">
        <v>53</v>
      </c>
      <c r="G3682" t="str">
        <f>"2024-08-12 19:27:19.662"</f>
        <v>2024-08-12 19:27:19.662</v>
      </c>
      <c r="H3682" t="s">
        <v>21</v>
      </c>
      <c r="I3682">
        <v>0</v>
      </c>
      <c r="J3682" t="s">
        <v>31</v>
      </c>
    </row>
    <row r="3683" spans="1:10" x14ac:dyDescent="0.25">
      <c r="A3683" s="1">
        <v>875</v>
      </c>
      <c r="B3683" t="s">
        <v>19</v>
      </c>
      <c r="C3683">
        <v>700</v>
      </c>
      <c r="D3683">
        <v>0</v>
      </c>
      <c r="E3683" t="s">
        <v>20</v>
      </c>
      <c r="F3683" t="s">
        <v>20</v>
      </c>
      <c r="G3683" t="str">
        <f>"2024-08-12 19:26:34.732"</f>
        <v>2024-08-12 19:26:34.732</v>
      </c>
      <c r="H3683" t="s">
        <v>21</v>
      </c>
      <c r="I3683">
        <v>0</v>
      </c>
      <c r="J3683" t="s">
        <v>33</v>
      </c>
    </row>
    <row r="3684" spans="1:10" x14ac:dyDescent="0.25">
      <c r="A3684" s="1">
        <v>876</v>
      </c>
      <c r="B3684" t="s">
        <v>19</v>
      </c>
      <c r="C3684">
        <v>700</v>
      </c>
      <c r="D3684">
        <v>0</v>
      </c>
      <c r="E3684" t="s">
        <v>20</v>
      </c>
      <c r="F3684" t="s">
        <v>20</v>
      </c>
      <c r="G3684" t="str">
        <f>"2024-08-12 19:20:54.640"</f>
        <v>2024-08-12 19:20:54.640</v>
      </c>
      <c r="H3684" t="s">
        <v>21</v>
      </c>
      <c r="I3684">
        <v>0</v>
      </c>
      <c r="J3684" t="s">
        <v>33</v>
      </c>
    </row>
    <row r="3685" spans="1:10" x14ac:dyDescent="0.25">
      <c r="A3685" s="1">
        <v>877</v>
      </c>
      <c r="B3685" t="s">
        <v>19</v>
      </c>
      <c r="C3685">
        <v>706</v>
      </c>
      <c r="D3685">
        <v>4</v>
      </c>
      <c r="E3685" t="s">
        <v>29</v>
      </c>
      <c r="F3685" t="s">
        <v>53</v>
      </c>
      <c r="G3685" t="str">
        <f>"2024-08-12 18:20:26.702"</f>
        <v>2024-08-12 18:20:26.702</v>
      </c>
      <c r="H3685" t="s">
        <v>21</v>
      </c>
      <c r="I3685">
        <v>0</v>
      </c>
      <c r="J3685" t="s">
        <v>31</v>
      </c>
    </row>
    <row r="3686" spans="1:10" x14ac:dyDescent="0.25">
      <c r="A3686" s="1">
        <v>878</v>
      </c>
      <c r="B3686" t="s">
        <v>19</v>
      </c>
      <c r="C3686">
        <v>706</v>
      </c>
      <c r="D3686">
        <v>2</v>
      </c>
      <c r="E3686" t="s">
        <v>29</v>
      </c>
      <c r="F3686" t="s">
        <v>30</v>
      </c>
      <c r="G3686" t="str">
        <f>"2024-08-12 16:58:27.882"</f>
        <v>2024-08-12 16:58:27.882</v>
      </c>
      <c r="H3686" t="s">
        <v>21</v>
      </c>
      <c r="I3686">
        <v>0</v>
      </c>
      <c r="J3686" t="s">
        <v>31</v>
      </c>
    </row>
    <row r="3687" spans="1:10" x14ac:dyDescent="0.25">
      <c r="A3687" s="1">
        <v>879</v>
      </c>
      <c r="B3687" t="s">
        <v>19</v>
      </c>
      <c r="C3687">
        <v>706</v>
      </c>
      <c r="D3687">
        <v>2</v>
      </c>
      <c r="E3687" t="s">
        <v>29</v>
      </c>
      <c r="F3687" t="s">
        <v>30</v>
      </c>
      <c r="G3687" t="str">
        <f>"2024-08-12 16:57:12.282"</f>
        <v>2024-08-12 16:57:12.282</v>
      </c>
      <c r="H3687" t="s">
        <v>21</v>
      </c>
      <c r="I3687">
        <v>0</v>
      </c>
      <c r="J3687" t="s">
        <v>31</v>
      </c>
    </row>
    <row r="3688" spans="1:10" x14ac:dyDescent="0.25">
      <c r="A3688" s="1">
        <v>880</v>
      </c>
      <c r="B3688" t="s">
        <v>19</v>
      </c>
      <c r="C3688">
        <v>700</v>
      </c>
      <c r="D3688">
        <v>0</v>
      </c>
      <c r="E3688" t="s">
        <v>20</v>
      </c>
      <c r="F3688" t="s">
        <v>20</v>
      </c>
      <c r="G3688" t="str">
        <f>"2024-08-12 16:23:24.632"</f>
        <v>2024-08-12 16:23:24.632</v>
      </c>
      <c r="H3688" t="s">
        <v>21</v>
      </c>
    </row>
    <row r="3689" spans="1:10" x14ac:dyDescent="0.25">
      <c r="A3689" s="1">
        <v>881</v>
      </c>
      <c r="B3689" t="s">
        <v>19</v>
      </c>
      <c r="C3689">
        <v>700</v>
      </c>
      <c r="D3689">
        <v>0</v>
      </c>
      <c r="E3689" t="s">
        <v>20</v>
      </c>
      <c r="F3689" t="s">
        <v>20</v>
      </c>
      <c r="G3689" t="str">
        <f>"2024-08-12 16:20:59.632"</f>
        <v>2024-08-12 16:20:59.632</v>
      </c>
      <c r="H3689" t="s">
        <v>21</v>
      </c>
      <c r="I3689">
        <v>0</v>
      </c>
      <c r="J3689" t="s">
        <v>33</v>
      </c>
    </row>
    <row r="3690" spans="1:10" x14ac:dyDescent="0.25">
      <c r="A3690" s="1">
        <v>882</v>
      </c>
      <c r="B3690" t="s">
        <v>19</v>
      </c>
      <c r="C3690">
        <v>700</v>
      </c>
      <c r="D3690">
        <v>0</v>
      </c>
      <c r="E3690" t="s">
        <v>20</v>
      </c>
      <c r="F3690" t="s">
        <v>20</v>
      </c>
      <c r="G3690" t="str">
        <f>"2024-08-12 16:18:07.728"</f>
        <v>2024-08-12 16:18:07.728</v>
      </c>
      <c r="H3690" t="s">
        <v>21</v>
      </c>
    </row>
    <row r="3691" spans="1:10" x14ac:dyDescent="0.25">
      <c r="A3691" s="1">
        <v>883</v>
      </c>
      <c r="B3691" t="s">
        <v>19</v>
      </c>
      <c r="C3691">
        <v>700</v>
      </c>
      <c r="D3691">
        <v>0</v>
      </c>
      <c r="E3691" t="s">
        <v>20</v>
      </c>
      <c r="F3691" t="s">
        <v>20</v>
      </c>
      <c r="G3691" t="str">
        <f>"2024-08-12 16:16:50.643"</f>
        <v>2024-08-12 16:16:50.643</v>
      </c>
      <c r="H3691" t="s">
        <v>21</v>
      </c>
    </row>
    <row r="3692" spans="1:10" x14ac:dyDescent="0.25">
      <c r="A3692" s="1">
        <v>884</v>
      </c>
      <c r="B3692" t="s">
        <v>19</v>
      </c>
      <c r="C3692">
        <v>700</v>
      </c>
      <c r="D3692">
        <v>0</v>
      </c>
      <c r="E3692" t="s">
        <v>20</v>
      </c>
      <c r="F3692" t="s">
        <v>20</v>
      </c>
      <c r="G3692" t="str">
        <f>"2024-08-12 16:15:30.748"</f>
        <v>2024-08-12 16:15:30.748</v>
      </c>
      <c r="H3692" t="s">
        <v>21</v>
      </c>
      <c r="I3692">
        <v>0</v>
      </c>
      <c r="J3692" t="s">
        <v>33</v>
      </c>
    </row>
    <row r="3693" spans="1:10" x14ac:dyDescent="0.25">
      <c r="A3693" s="1">
        <v>885</v>
      </c>
      <c r="B3693" t="s">
        <v>19</v>
      </c>
      <c r="C3693">
        <v>700</v>
      </c>
      <c r="D3693">
        <v>0</v>
      </c>
      <c r="E3693" t="s">
        <v>20</v>
      </c>
      <c r="F3693" t="s">
        <v>20</v>
      </c>
      <c r="G3693" t="str">
        <f>"2024-08-12 16:08:43.636"</f>
        <v>2024-08-12 16:08:43.636</v>
      </c>
      <c r="H3693" t="s">
        <v>21</v>
      </c>
    </row>
    <row r="3694" spans="1:10" x14ac:dyDescent="0.25">
      <c r="A3694" s="1">
        <v>886</v>
      </c>
      <c r="B3694" t="s">
        <v>19</v>
      </c>
      <c r="C3694">
        <v>700</v>
      </c>
      <c r="D3694">
        <v>0</v>
      </c>
      <c r="E3694" t="s">
        <v>20</v>
      </c>
      <c r="F3694" t="s">
        <v>20</v>
      </c>
      <c r="G3694" t="str">
        <f>"2024-08-12 16:06:42.625"</f>
        <v>2024-08-12 16:06:42.625</v>
      </c>
      <c r="H3694" t="s">
        <v>21</v>
      </c>
    </row>
    <row r="3695" spans="1:10" x14ac:dyDescent="0.25">
      <c r="A3695" s="1">
        <v>887</v>
      </c>
      <c r="B3695" t="s">
        <v>19</v>
      </c>
      <c r="C3695">
        <v>700</v>
      </c>
      <c r="D3695">
        <v>0</v>
      </c>
      <c r="E3695" t="s">
        <v>20</v>
      </c>
      <c r="F3695" t="s">
        <v>20</v>
      </c>
      <c r="G3695" t="str">
        <f>"2024-08-12 16:05:30.644"</f>
        <v>2024-08-12 16:05:30.644</v>
      </c>
      <c r="H3695" t="s">
        <v>21</v>
      </c>
      <c r="I3695">
        <v>0</v>
      </c>
      <c r="J3695" t="s">
        <v>33</v>
      </c>
    </row>
    <row r="3696" spans="1:10" x14ac:dyDescent="0.25">
      <c r="A3696" s="1">
        <v>888</v>
      </c>
      <c r="B3696" t="s">
        <v>19</v>
      </c>
      <c r="C3696">
        <v>700</v>
      </c>
      <c r="D3696">
        <v>0</v>
      </c>
      <c r="E3696" t="s">
        <v>20</v>
      </c>
      <c r="F3696" t="s">
        <v>20</v>
      </c>
      <c r="G3696" t="str">
        <f>"2024-08-12 16:03:33.633"</f>
        <v>2024-08-12 16:03:33.633</v>
      </c>
      <c r="H3696" t="s">
        <v>21</v>
      </c>
      <c r="I3696">
        <v>0</v>
      </c>
      <c r="J3696" t="s">
        <v>33</v>
      </c>
    </row>
    <row r="3697" spans="1:10" x14ac:dyDescent="0.25">
      <c r="A3697" s="1">
        <v>889</v>
      </c>
      <c r="B3697" t="s">
        <v>19</v>
      </c>
      <c r="C3697">
        <v>700</v>
      </c>
      <c r="D3697">
        <v>0</v>
      </c>
      <c r="E3697" t="s">
        <v>20</v>
      </c>
      <c r="F3697" t="s">
        <v>20</v>
      </c>
      <c r="G3697" t="str">
        <f>"2024-08-12 16:00:58.634"</f>
        <v>2024-08-12 16:00:58.634</v>
      </c>
      <c r="H3697" t="s">
        <v>21</v>
      </c>
      <c r="I3697">
        <v>0</v>
      </c>
      <c r="J3697" t="s">
        <v>33</v>
      </c>
    </row>
    <row r="3698" spans="1:10" x14ac:dyDescent="0.25">
      <c r="A3698" s="1">
        <v>890</v>
      </c>
      <c r="B3698" t="s">
        <v>19</v>
      </c>
      <c r="C3698">
        <v>706</v>
      </c>
      <c r="D3698">
        <v>3</v>
      </c>
      <c r="E3698" t="s">
        <v>29</v>
      </c>
      <c r="F3698" t="s">
        <v>32</v>
      </c>
      <c r="G3698" t="str">
        <f>"2024-08-12 15:59:00.214"</f>
        <v>2024-08-12 15:59:00.214</v>
      </c>
      <c r="H3698" t="s">
        <v>21</v>
      </c>
      <c r="I3698">
        <v>0</v>
      </c>
      <c r="J3698" t="s">
        <v>31</v>
      </c>
    </row>
    <row r="3699" spans="1:10" x14ac:dyDescent="0.25">
      <c r="A3699" s="1">
        <v>891</v>
      </c>
      <c r="B3699" t="s">
        <v>19</v>
      </c>
      <c r="C3699">
        <v>700</v>
      </c>
      <c r="D3699">
        <v>0</v>
      </c>
      <c r="E3699" t="s">
        <v>20</v>
      </c>
      <c r="F3699" t="s">
        <v>20</v>
      </c>
      <c r="G3699" t="str">
        <f>"2024-08-12 15:51:58.634"</f>
        <v>2024-08-12 15:51:58.634</v>
      </c>
      <c r="H3699" t="s">
        <v>21</v>
      </c>
    </row>
    <row r="3700" spans="1:10" x14ac:dyDescent="0.25">
      <c r="A3700" s="1">
        <v>892</v>
      </c>
      <c r="B3700" t="s">
        <v>19</v>
      </c>
      <c r="C3700">
        <v>700</v>
      </c>
      <c r="D3700">
        <v>0</v>
      </c>
      <c r="E3700" t="s">
        <v>20</v>
      </c>
      <c r="F3700" t="s">
        <v>20</v>
      </c>
      <c r="G3700" t="str">
        <f>"2024-08-12 15:50:33.636"</f>
        <v>2024-08-12 15:50:33.636</v>
      </c>
      <c r="H3700" t="s">
        <v>21</v>
      </c>
    </row>
    <row r="3701" spans="1:10" x14ac:dyDescent="0.25">
      <c r="A3701" s="1">
        <v>893</v>
      </c>
      <c r="B3701" t="s">
        <v>19</v>
      </c>
      <c r="C3701">
        <v>706</v>
      </c>
      <c r="D3701">
        <v>3</v>
      </c>
      <c r="E3701" t="s">
        <v>29</v>
      </c>
      <c r="F3701" t="s">
        <v>32</v>
      </c>
      <c r="G3701" t="str">
        <f>"2024-08-12 15:48:50.226"</f>
        <v>2024-08-12 15:48:50.226</v>
      </c>
      <c r="H3701" t="s">
        <v>21</v>
      </c>
      <c r="I3701">
        <v>0</v>
      </c>
      <c r="J3701" t="s">
        <v>31</v>
      </c>
    </row>
    <row r="3702" spans="1:10" x14ac:dyDescent="0.25">
      <c r="A3702" s="1">
        <v>894</v>
      </c>
      <c r="B3702" t="s">
        <v>19</v>
      </c>
      <c r="C3702">
        <v>700</v>
      </c>
      <c r="D3702">
        <v>0</v>
      </c>
      <c r="E3702" t="s">
        <v>20</v>
      </c>
      <c r="F3702" t="s">
        <v>20</v>
      </c>
      <c r="G3702" t="str">
        <f>"2024-08-12 15:47:54.696"</f>
        <v>2024-08-12 15:47:54.696</v>
      </c>
      <c r="H3702" t="s">
        <v>21</v>
      </c>
      <c r="I3702">
        <v>0</v>
      </c>
      <c r="J3702" t="s">
        <v>33</v>
      </c>
    </row>
    <row r="3703" spans="1:10" x14ac:dyDescent="0.25">
      <c r="A3703" s="1">
        <v>895</v>
      </c>
      <c r="B3703" t="s">
        <v>19</v>
      </c>
      <c r="C3703">
        <v>706</v>
      </c>
      <c r="D3703">
        <v>3</v>
      </c>
      <c r="E3703" t="s">
        <v>29</v>
      </c>
      <c r="F3703" t="s">
        <v>32</v>
      </c>
      <c r="G3703" t="str">
        <f>"2024-08-12 15:46:27.333"</f>
        <v>2024-08-12 15:46:27.333</v>
      </c>
      <c r="H3703" t="s">
        <v>21</v>
      </c>
      <c r="I3703">
        <v>0</v>
      </c>
      <c r="J3703" t="s">
        <v>31</v>
      </c>
    </row>
    <row r="3704" spans="1:10" x14ac:dyDescent="0.25">
      <c r="A3704" s="1">
        <v>896</v>
      </c>
      <c r="B3704" t="s">
        <v>19</v>
      </c>
      <c r="C3704">
        <v>700</v>
      </c>
      <c r="D3704">
        <v>0</v>
      </c>
      <c r="E3704" t="s">
        <v>20</v>
      </c>
      <c r="F3704" t="s">
        <v>20</v>
      </c>
      <c r="G3704" t="str">
        <f>"2024-08-12 15:45:10.643"</f>
        <v>2024-08-12 15:45:10.643</v>
      </c>
      <c r="H3704" t="s">
        <v>21</v>
      </c>
      <c r="I3704">
        <v>0</v>
      </c>
      <c r="J3704" t="s">
        <v>33</v>
      </c>
    </row>
    <row r="3705" spans="1:10" x14ac:dyDescent="0.25">
      <c r="A3705" s="1">
        <v>897</v>
      </c>
      <c r="B3705" t="s">
        <v>19</v>
      </c>
      <c r="C3705">
        <v>700</v>
      </c>
      <c r="D3705">
        <v>0</v>
      </c>
      <c r="E3705" t="s">
        <v>20</v>
      </c>
      <c r="F3705" t="s">
        <v>20</v>
      </c>
      <c r="G3705" t="str">
        <f>"2024-08-12 15:30:48.646"</f>
        <v>2024-08-12 15:30:48.646</v>
      </c>
      <c r="H3705" t="s">
        <v>21</v>
      </c>
      <c r="I3705">
        <v>0</v>
      </c>
      <c r="J3705" t="s">
        <v>33</v>
      </c>
    </row>
    <row r="3706" spans="1:10" x14ac:dyDescent="0.25">
      <c r="A3706" s="1">
        <v>898</v>
      </c>
      <c r="B3706" t="s">
        <v>19</v>
      </c>
      <c r="C3706">
        <v>706</v>
      </c>
      <c r="D3706">
        <v>3</v>
      </c>
      <c r="E3706" t="s">
        <v>29</v>
      </c>
      <c r="F3706" t="s">
        <v>32</v>
      </c>
      <c r="G3706" t="str">
        <f>"2024-08-12 15:29:16.333"</f>
        <v>2024-08-12 15:29:16.333</v>
      </c>
      <c r="H3706" t="s">
        <v>21</v>
      </c>
      <c r="I3706">
        <v>0</v>
      </c>
      <c r="J3706" t="s">
        <v>31</v>
      </c>
    </row>
    <row r="3707" spans="1:10" x14ac:dyDescent="0.25">
      <c r="A3707" s="1">
        <v>899</v>
      </c>
      <c r="B3707" t="s">
        <v>19</v>
      </c>
      <c r="C3707">
        <v>700</v>
      </c>
      <c r="D3707">
        <v>0</v>
      </c>
      <c r="E3707" t="s">
        <v>20</v>
      </c>
      <c r="F3707" t="s">
        <v>20</v>
      </c>
      <c r="G3707" t="str">
        <f>"2024-08-12 15:28:14.623"</f>
        <v>2024-08-12 15:28:14.623</v>
      </c>
      <c r="H3707" t="s">
        <v>21</v>
      </c>
    </row>
    <row r="3708" spans="1:10" x14ac:dyDescent="0.25">
      <c r="A3708" s="1">
        <v>900</v>
      </c>
      <c r="B3708" t="s">
        <v>19</v>
      </c>
      <c r="C3708">
        <v>700</v>
      </c>
      <c r="D3708">
        <v>0</v>
      </c>
      <c r="E3708" t="s">
        <v>20</v>
      </c>
      <c r="F3708" t="s">
        <v>20</v>
      </c>
      <c r="G3708" t="str">
        <f>"2024-08-12 15:26:36.640"</f>
        <v>2024-08-12 15:26:36.640</v>
      </c>
      <c r="H3708" t="s">
        <v>21</v>
      </c>
      <c r="I3708">
        <v>0</v>
      </c>
      <c r="J3708" t="s">
        <v>33</v>
      </c>
    </row>
    <row r="3709" spans="1:10" x14ac:dyDescent="0.25">
      <c r="A3709" s="1">
        <v>901</v>
      </c>
      <c r="B3709" t="s">
        <v>19</v>
      </c>
      <c r="C3709">
        <v>700</v>
      </c>
      <c r="D3709">
        <v>0</v>
      </c>
      <c r="E3709" t="s">
        <v>20</v>
      </c>
      <c r="F3709" t="s">
        <v>20</v>
      </c>
      <c r="G3709" t="str">
        <f>"2024-08-12 15:24:58.641"</f>
        <v>2024-08-12 15:24:58.641</v>
      </c>
      <c r="H3709" t="s">
        <v>21</v>
      </c>
      <c r="I3709">
        <v>0</v>
      </c>
      <c r="J3709" t="s">
        <v>33</v>
      </c>
    </row>
    <row r="3710" spans="1:10" x14ac:dyDescent="0.25">
      <c r="A3710" s="1">
        <v>902</v>
      </c>
      <c r="B3710" t="s">
        <v>19</v>
      </c>
      <c r="C3710">
        <v>700</v>
      </c>
      <c r="D3710">
        <v>0</v>
      </c>
      <c r="E3710" t="s">
        <v>20</v>
      </c>
      <c r="F3710" t="s">
        <v>20</v>
      </c>
      <c r="G3710" t="str">
        <f>"2024-08-12 15:23:39.633"</f>
        <v>2024-08-12 15:23:39.633</v>
      </c>
      <c r="H3710" t="s">
        <v>21</v>
      </c>
      <c r="I3710">
        <v>0</v>
      </c>
      <c r="J3710" t="s">
        <v>33</v>
      </c>
    </row>
    <row r="3711" spans="1:10" x14ac:dyDescent="0.25">
      <c r="A3711" s="1">
        <v>903</v>
      </c>
      <c r="B3711" t="s">
        <v>19</v>
      </c>
      <c r="C3711">
        <v>700</v>
      </c>
      <c r="D3711">
        <v>0</v>
      </c>
      <c r="E3711" t="s">
        <v>20</v>
      </c>
      <c r="F3711" t="s">
        <v>20</v>
      </c>
      <c r="G3711" t="str">
        <f>"2024-08-12 15:00:57.629"</f>
        <v>2024-08-12 15:00:57.629</v>
      </c>
      <c r="H3711" t="s">
        <v>21</v>
      </c>
      <c r="I3711">
        <v>0</v>
      </c>
      <c r="J3711" t="s">
        <v>33</v>
      </c>
    </row>
    <row r="3712" spans="1:10" x14ac:dyDescent="0.25">
      <c r="A3712" s="1">
        <v>904</v>
      </c>
      <c r="B3712" t="s">
        <v>19</v>
      </c>
      <c r="C3712">
        <v>700</v>
      </c>
      <c r="D3712">
        <v>0</v>
      </c>
      <c r="E3712" t="s">
        <v>20</v>
      </c>
      <c r="F3712" t="s">
        <v>20</v>
      </c>
      <c r="G3712" t="str">
        <f>"2024-08-11 23:42:30.764"</f>
        <v>2024-08-11 23:42:30.764</v>
      </c>
      <c r="H3712" t="s">
        <v>21</v>
      </c>
    </row>
    <row r="3713" spans="1:10" x14ac:dyDescent="0.25">
      <c r="A3713" s="1">
        <v>905</v>
      </c>
      <c r="B3713" t="s">
        <v>22</v>
      </c>
      <c r="C3713">
        <v>635</v>
      </c>
      <c r="D3713">
        <v>1</v>
      </c>
      <c r="E3713" t="s">
        <v>34</v>
      </c>
      <c r="F3713" t="s">
        <v>35</v>
      </c>
      <c r="G3713" t="str">
        <f>"2024-08-11 10:37:49.633"</f>
        <v>2024-08-11 10:37:49.633</v>
      </c>
      <c r="H3713" t="s">
        <v>21</v>
      </c>
    </row>
    <row r="3714" spans="1:10" x14ac:dyDescent="0.25">
      <c r="A3714" s="1">
        <v>906</v>
      </c>
      <c r="B3714" t="s">
        <v>36</v>
      </c>
      <c r="C3714">
        <v>635</v>
      </c>
      <c r="D3714">
        <v>1</v>
      </c>
      <c r="E3714" t="s">
        <v>34</v>
      </c>
      <c r="F3714" t="s">
        <v>35</v>
      </c>
      <c r="G3714" t="str">
        <f>"2024-08-11 10:32:35.133"</f>
        <v>2024-08-11 10:32:35.133</v>
      </c>
      <c r="H3714" t="s">
        <v>21</v>
      </c>
      <c r="I3714">
        <v>7.38</v>
      </c>
      <c r="J3714" t="s">
        <v>37</v>
      </c>
    </row>
    <row r="3715" spans="1:10" x14ac:dyDescent="0.25">
      <c r="A3715" s="1">
        <v>907</v>
      </c>
      <c r="B3715" t="s">
        <v>22</v>
      </c>
      <c r="C3715">
        <v>635</v>
      </c>
      <c r="D3715">
        <v>1</v>
      </c>
      <c r="E3715" t="s">
        <v>34</v>
      </c>
      <c r="F3715" t="s">
        <v>35</v>
      </c>
      <c r="G3715" t="str">
        <f>"2024-08-11 02:15:05.533"</f>
        <v>2024-08-11 02:15:05.533</v>
      </c>
      <c r="H3715" t="s">
        <v>21</v>
      </c>
    </row>
    <row r="3716" spans="1:10" x14ac:dyDescent="0.25">
      <c r="A3716" s="1">
        <v>908</v>
      </c>
      <c r="B3716" t="s">
        <v>36</v>
      </c>
      <c r="C3716">
        <v>635</v>
      </c>
      <c r="D3716">
        <v>1</v>
      </c>
      <c r="E3716" t="s">
        <v>34</v>
      </c>
      <c r="F3716" t="s">
        <v>35</v>
      </c>
      <c r="G3716" t="str">
        <f>"2024-08-11 02:07:42.033"</f>
        <v>2024-08-11 02:07:42.033</v>
      </c>
      <c r="H3716" t="s">
        <v>21</v>
      </c>
      <c r="I3716">
        <v>3.99</v>
      </c>
      <c r="J3716" t="s">
        <v>37</v>
      </c>
    </row>
    <row r="3717" spans="1:10" x14ac:dyDescent="0.25">
      <c r="A3717" s="1">
        <v>909</v>
      </c>
      <c r="B3717" t="s">
        <v>22</v>
      </c>
      <c r="C3717">
        <v>635</v>
      </c>
      <c r="D3717">
        <v>1</v>
      </c>
      <c r="E3717" t="s">
        <v>34</v>
      </c>
      <c r="F3717" t="s">
        <v>35</v>
      </c>
      <c r="G3717" t="str">
        <f>"2024-08-10 22:18:17.933"</f>
        <v>2024-08-10 22:18:17.933</v>
      </c>
      <c r="H3717" t="s">
        <v>21</v>
      </c>
    </row>
    <row r="3718" spans="1:10" x14ac:dyDescent="0.25">
      <c r="A3718" s="1">
        <v>910</v>
      </c>
      <c r="B3718" t="s">
        <v>36</v>
      </c>
      <c r="C3718">
        <v>635</v>
      </c>
      <c r="D3718">
        <v>1</v>
      </c>
      <c r="E3718" t="s">
        <v>34</v>
      </c>
      <c r="F3718" t="s">
        <v>35</v>
      </c>
      <c r="G3718" t="str">
        <f>"2024-08-10 22:15:11.933"</f>
        <v>2024-08-10 22:15:11.933</v>
      </c>
      <c r="H3718" t="s">
        <v>21</v>
      </c>
      <c r="I3718">
        <v>4.8600000000000003</v>
      </c>
      <c r="J3718" t="s">
        <v>28</v>
      </c>
    </row>
    <row r="3719" spans="1:10" x14ac:dyDescent="0.25">
      <c r="A3719" s="1">
        <v>911</v>
      </c>
      <c r="B3719" t="s">
        <v>19</v>
      </c>
      <c r="C3719">
        <v>700</v>
      </c>
      <c r="D3719">
        <v>0</v>
      </c>
      <c r="E3719" t="s">
        <v>20</v>
      </c>
      <c r="F3719" t="s">
        <v>20</v>
      </c>
      <c r="G3719" t="str">
        <f>"2024-08-10 21:52:37.665"</f>
        <v>2024-08-10 21:52:37.665</v>
      </c>
      <c r="H3719" t="s">
        <v>21</v>
      </c>
    </row>
    <row r="3720" spans="1:10" x14ac:dyDescent="0.25">
      <c r="A3720" s="1">
        <v>912</v>
      </c>
      <c r="B3720" t="s">
        <v>22</v>
      </c>
      <c r="C3720">
        <v>635</v>
      </c>
      <c r="D3720">
        <v>1</v>
      </c>
      <c r="E3720" t="s">
        <v>34</v>
      </c>
      <c r="F3720" t="s">
        <v>35</v>
      </c>
      <c r="G3720" t="str">
        <f>"2024-08-10 13:46:49.112"</f>
        <v>2024-08-10 13:46:49.112</v>
      </c>
      <c r="H3720" t="s">
        <v>21</v>
      </c>
    </row>
    <row r="3721" spans="1:10" x14ac:dyDescent="0.25">
      <c r="A3721" s="1">
        <v>913</v>
      </c>
      <c r="B3721" t="s">
        <v>36</v>
      </c>
      <c r="C3721">
        <v>635</v>
      </c>
      <c r="D3721">
        <v>1</v>
      </c>
      <c r="E3721" t="s">
        <v>34</v>
      </c>
      <c r="F3721" t="s">
        <v>35</v>
      </c>
      <c r="G3721" t="str">
        <f>"2024-08-10 13:44:23.612"</f>
        <v>2024-08-10 13:44:23.612</v>
      </c>
      <c r="H3721" t="s">
        <v>21</v>
      </c>
      <c r="I3721">
        <v>7.33</v>
      </c>
      <c r="J3721" t="s">
        <v>37</v>
      </c>
    </row>
    <row r="3722" spans="1:10" x14ac:dyDescent="0.25">
      <c r="A3722" s="1">
        <v>915</v>
      </c>
      <c r="B3722" t="s">
        <v>19</v>
      </c>
      <c r="C3722">
        <v>700</v>
      </c>
      <c r="D3722">
        <v>0</v>
      </c>
      <c r="E3722" t="s">
        <v>20</v>
      </c>
      <c r="F3722" t="s">
        <v>20</v>
      </c>
      <c r="G3722" t="str">
        <f>"2024-08-10 10:42:08.718"</f>
        <v>2024-08-10 10:42:08.718</v>
      </c>
      <c r="H3722" t="s">
        <v>21</v>
      </c>
    </row>
    <row r="3723" spans="1:10" x14ac:dyDescent="0.25">
      <c r="A3723" s="1">
        <v>916</v>
      </c>
      <c r="B3723" t="s">
        <v>19</v>
      </c>
      <c r="C3723">
        <v>700</v>
      </c>
      <c r="D3723">
        <v>0</v>
      </c>
      <c r="E3723" t="s">
        <v>20</v>
      </c>
      <c r="F3723" t="s">
        <v>20</v>
      </c>
      <c r="G3723" t="str">
        <f>"2024-08-09 22:34:51.658"</f>
        <v>2024-08-09 22:34:51.658</v>
      </c>
      <c r="H3723" t="s">
        <v>21</v>
      </c>
      <c r="I3723">
        <v>0</v>
      </c>
      <c r="J3723" t="s">
        <v>33</v>
      </c>
    </row>
    <row r="3724" spans="1:10" s="3" customFormat="1" x14ac:dyDescent="0.25">
      <c r="A3724" s="2">
        <v>917</v>
      </c>
      <c r="B3724" s="3" t="s">
        <v>22</v>
      </c>
      <c r="C3724" s="3">
        <v>647</v>
      </c>
      <c r="D3724" s="3">
        <v>1</v>
      </c>
      <c r="E3724" s="3" t="s">
        <v>54</v>
      </c>
      <c r="F3724" s="3" t="s">
        <v>55</v>
      </c>
      <c r="G3724" s="3" t="str">
        <f>"2024-08-09 07:23:28.280"</f>
        <v>2024-08-09 07:23:28.280</v>
      </c>
      <c r="H3724" s="3" t="s">
        <v>21</v>
      </c>
    </row>
    <row r="3725" spans="1:10" s="3" customFormat="1" x14ac:dyDescent="0.25">
      <c r="A3725" s="2">
        <v>918</v>
      </c>
      <c r="B3725" s="3" t="s">
        <v>36</v>
      </c>
      <c r="C3725" s="3">
        <v>647</v>
      </c>
      <c r="D3725" s="3">
        <v>1</v>
      </c>
      <c r="E3725" s="3" t="s">
        <v>54</v>
      </c>
      <c r="F3725" s="3" t="s">
        <v>55</v>
      </c>
      <c r="G3725" s="3" t="str">
        <f>"2024-08-09 07:23:27.180"</f>
        <v>2024-08-09 07:23:27.180</v>
      </c>
      <c r="H3725" s="3" t="s">
        <v>21</v>
      </c>
      <c r="I3725" s="3">
        <v>22.58</v>
      </c>
      <c r="J3725" s="3" t="s">
        <v>27</v>
      </c>
    </row>
    <row r="3726" spans="1:10" s="3" customFormat="1" x14ac:dyDescent="0.25">
      <c r="A3726" s="2">
        <v>919</v>
      </c>
      <c r="B3726" s="3" t="s">
        <v>22</v>
      </c>
      <c r="C3726" s="3">
        <v>647</v>
      </c>
      <c r="D3726" s="3">
        <v>1</v>
      </c>
      <c r="E3726" s="3" t="s">
        <v>54</v>
      </c>
      <c r="F3726" s="3" t="s">
        <v>55</v>
      </c>
      <c r="G3726" s="3" t="str">
        <f>"2024-08-09 07:23:21.680"</f>
        <v>2024-08-09 07:23:21.680</v>
      </c>
      <c r="H3726" s="3" t="s">
        <v>21</v>
      </c>
    </row>
    <row r="3727" spans="1:10" x14ac:dyDescent="0.25">
      <c r="A3727" s="1">
        <v>920</v>
      </c>
      <c r="B3727" t="s">
        <v>22</v>
      </c>
      <c r="C3727">
        <v>61</v>
      </c>
      <c r="D3727">
        <v>2</v>
      </c>
      <c r="E3727" t="s">
        <v>66</v>
      </c>
      <c r="F3727" t="s">
        <v>67</v>
      </c>
      <c r="G3727" t="str">
        <f>"2024-08-09 07:23:17.693"</f>
        <v>2024-08-09 07:23:17.693</v>
      </c>
      <c r="H3727" t="s">
        <v>21</v>
      </c>
    </row>
    <row r="3728" spans="1:10" s="3" customFormat="1" x14ac:dyDescent="0.25">
      <c r="A3728" s="2">
        <v>921</v>
      </c>
      <c r="B3728" s="3" t="s">
        <v>36</v>
      </c>
      <c r="C3728" s="3">
        <v>647</v>
      </c>
      <c r="D3728" s="3">
        <v>1</v>
      </c>
      <c r="E3728" s="3" t="s">
        <v>54</v>
      </c>
      <c r="F3728" s="3" t="s">
        <v>55</v>
      </c>
      <c r="G3728" s="3" t="str">
        <f>"2024-08-09 07:23:15.381"</f>
        <v>2024-08-09 07:23:15.381</v>
      </c>
      <c r="H3728" s="3" t="s">
        <v>21</v>
      </c>
      <c r="I3728" s="3">
        <v>34.43</v>
      </c>
      <c r="J3728" s="3" t="s">
        <v>27</v>
      </c>
    </row>
    <row r="3729" spans="1:10" x14ac:dyDescent="0.25">
      <c r="A3729" s="1">
        <v>922</v>
      </c>
      <c r="B3729" t="s">
        <v>26</v>
      </c>
      <c r="C3729">
        <v>61</v>
      </c>
      <c r="D3729">
        <v>2</v>
      </c>
      <c r="E3729" t="s">
        <v>66</v>
      </c>
      <c r="F3729" t="s">
        <v>67</v>
      </c>
      <c r="G3729" t="str">
        <f>"2024-08-09 07:23:13.493"</f>
        <v>2024-08-09 07:23:13.493</v>
      </c>
      <c r="H3729" t="s">
        <v>21</v>
      </c>
      <c r="I3729">
        <v>37.119999999999997</v>
      </c>
      <c r="J3729" t="s">
        <v>27</v>
      </c>
    </row>
    <row r="3730" spans="1:10" x14ac:dyDescent="0.25">
      <c r="A3730" s="1">
        <v>923</v>
      </c>
      <c r="B3730" t="s">
        <v>56</v>
      </c>
      <c r="C3730">
        <v>33</v>
      </c>
      <c r="D3730">
        <v>1</v>
      </c>
      <c r="E3730" t="s">
        <v>76</v>
      </c>
      <c r="F3730" t="s">
        <v>77</v>
      </c>
      <c r="G3730" t="str">
        <f>"2024-08-09 03:00:02.333"</f>
        <v>2024-08-09 03:00:02.333</v>
      </c>
      <c r="H3730" t="s">
        <v>78</v>
      </c>
    </row>
    <row r="3731" spans="1:10" x14ac:dyDescent="0.25">
      <c r="A3731" s="1">
        <v>924</v>
      </c>
      <c r="B3731" t="s">
        <v>26</v>
      </c>
      <c r="C3731">
        <v>33</v>
      </c>
      <c r="D3731">
        <v>1</v>
      </c>
      <c r="E3731" t="s">
        <v>76</v>
      </c>
      <c r="F3731" t="s">
        <v>77</v>
      </c>
      <c r="G3731" t="str">
        <f>"2024-08-09 02:59:45.952"</f>
        <v>2024-08-09 02:59:45.952</v>
      </c>
      <c r="H3731" t="s">
        <v>78</v>
      </c>
      <c r="I3731">
        <v>11.11</v>
      </c>
      <c r="J3731" t="s">
        <v>37</v>
      </c>
    </row>
    <row r="3732" spans="1:10" x14ac:dyDescent="0.25">
      <c r="A3732" s="1">
        <v>925</v>
      </c>
      <c r="B3732" t="s">
        <v>19</v>
      </c>
      <c r="C3732">
        <v>700</v>
      </c>
      <c r="D3732">
        <v>0</v>
      </c>
      <c r="E3732" t="s">
        <v>20</v>
      </c>
      <c r="F3732" t="s">
        <v>20</v>
      </c>
      <c r="G3732" t="str">
        <f>"2024-08-09 02:44:13.623"</f>
        <v>2024-08-09 02:44:13.623</v>
      </c>
      <c r="H3732" t="s">
        <v>21</v>
      </c>
      <c r="I3732">
        <v>0</v>
      </c>
      <c r="J3732" t="s">
        <v>33</v>
      </c>
    </row>
    <row r="3733" spans="1:10" x14ac:dyDescent="0.25">
      <c r="A3733" s="1">
        <v>926</v>
      </c>
      <c r="B3733" t="s">
        <v>22</v>
      </c>
      <c r="C3733">
        <v>635</v>
      </c>
      <c r="D3733">
        <v>1</v>
      </c>
      <c r="E3733" t="s">
        <v>34</v>
      </c>
      <c r="F3733" t="s">
        <v>35</v>
      </c>
      <c r="G3733" t="str">
        <f>"2024-08-08 10:08:46.744"</f>
        <v>2024-08-08 10:08:46.744</v>
      </c>
      <c r="H3733" t="s">
        <v>21</v>
      </c>
    </row>
    <row r="3734" spans="1:10" x14ac:dyDescent="0.25">
      <c r="A3734" s="1">
        <v>927</v>
      </c>
      <c r="B3734" t="s">
        <v>36</v>
      </c>
      <c r="C3734">
        <v>635</v>
      </c>
      <c r="D3734">
        <v>1</v>
      </c>
      <c r="E3734" t="s">
        <v>34</v>
      </c>
      <c r="F3734" t="s">
        <v>35</v>
      </c>
      <c r="G3734" t="str">
        <f>"2024-08-08 10:06:25.744"</f>
        <v>2024-08-08 10:06:25.744</v>
      </c>
      <c r="H3734" t="s">
        <v>21</v>
      </c>
      <c r="I3734">
        <v>2.93</v>
      </c>
      <c r="J3734" t="s">
        <v>27</v>
      </c>
    </row>
    <row r="3735" spans="1:10" s="3" customFormat="1" x14ac:dyDescent="0.25">
      <c r="A3735" s="2">
        <v>928</v>
      </c>
      <c r="B3735" s="3" t="s">
        <v>22</v>
      </c>
      <c r="C3735" s="3">
        <v>647</v>
      </c>
      <c r="D3735" s="3">
        <v>1</v>
      </c>
      <c r="E3735" s="3" t="s">
        <v>54</v>
      </c>
      <c r="F3735" s="3" t="s">
        <v>55</v>
      </c>
      <c r="G3735" s="3" t="str">
        <f>"2024-08-08 08:11:40.244"</f>
        <v>2024-08-08 08:11:40.244</v>
      </c>
      <c r="H3735" s="3" t="s">
        <v>21</v>
      </c>
    </row>
    <row r="3736" spans="1:10" s="3" customFormat="1" x14ac:dyDescent="0.25">
      <c r="A3736" s="2">
        <v>929</v>
      </c>
      <c r="B3736" s="3" t="s">
        <v>36</v>
      </c>
      <c r="C3736" s="3">
        <v>647</v>
      </c>
      <c r="D3736" s="3">
        <v>1</v>
      </c>
      <c r="E3736" s="3" t="s">
        <v>54</v>
      </c>
      <c r="F3736" s="3" t="s">
        <v>55</v>
      </c>
      <c r="G3736" s="3" t="str">
        <f>"2024-08-08 08:11:34.544"</f>
        <v>2024-08-08 08:11:34.544</v>
      </c>
      <c r="H3736" s="3" t="s">
        <v>21</v>
      </c>
      <c r="I3736" s="3">
        <v>9.76</v>
      </c>
      <c r="J3736" s="3" t="s">
        <v>27</v>
      </c>
    </row>
    <row r="3737" spans="1:10" x14ac:dyDescent="0.25">
      <c r="A3737" s="1">
        <v>930</v>
      </c>
      <c r="B3737" t="s">
        <v>22</v>
      </c>
      <c r="C3737">
        <v>635</v>
      </c>
      <c r="D3737">
        <v>1</v>
      </c>
      <c r="E3737" t="s">
        <v>34</v>
      </c>
      <c r="F3737" t="s">
        <v>35</v>
      </c>
      <c r="G3737" t="str">
        <f>"2024-08-08 05:02:09.344"</f>
        <v>2024-08-08 05:02:09.344</v>
      </c>
      <c r="H3737" t="s">
        <v>21</v>
      </c>
    </row>
    <row r="3738" spans="1:10" x14ac:dyDescent="0.25">
      <c r="A3738" s="1">
        <v>932</v>
      </c>
      <c r="B3738" t="s">
        <v>36</v>
      </c>
      <c r="C3738">
        <v>635</v>
      </c>
      <c r="D3738">
        <v>1</v>
      </c>
      <c r="E3738" t="s">
        <v>34</v>
      </c>
      <c r="F3738" t="s">
        <v>35</v>
      </c>
      <c r="G3738" t="str">
        <f>"2024-08-08 04:59:16.344"</f>
        <v>2024-08-08 04:59:16.344</v>
      </c>
      <c r="H3738" t="s">
        <v>21</v>
      </c>
      <c r="I3738">
        <v>6.24</v>
      </c>
      <c r="J3738" t="s">
        <v>27</v>
      </c>
    </row>
    <row r="3739" spans="1:10" x14ac:dyDescent="0.25">
      <c r="A3739" s="1">
        <v>933</v>
      </c>
      <c r="B3739" t="s">
        <v>19</v>
      </c>
      <c r="C3739">
        <v>700</v>
      </c>
      <c r="D3739">
        <v>0</v>
      </c>
      <c r="E3739" t="s">
        <v>20</v>
      </c>
      <c r="F3739" t="s">
        <v>20</v>
      </c>
      <c r="G3739" t="str">
        <f>"2024-08-07 22:21:11.666"</f>
        <v>2024-08-07 22:21:11.666</v>
      </c>
      <c r="H3739" t="s">
        <v>21</v>
      </c>
    </row>
    <row r="3740" spans="1:10" x14ac:dyDescent="0.25">
      <c r="A3740" s="1">
        <v>934</v>
      </c>
      <c r="B3740" t="s">
        <v>22</v>
      </c>
      <c r="C3740">
        <v>635</v>
      </c>
      <c r="D3740">
        <v>1</v>
      </c>
      <c r="E3740" t="s">
        <v>34</v>
      </c>
      <c r="F3740" t="s">
        <v>35</v>
      </c>
      <c r="G3740" t="str">
        <f>"2024-08-07 02:01:55.508"</f>
        <v>2024-08-07 02:01:55.508</v>
      </c>
      <c r="H3740" t="s">
        <v>21</v>
      </c>
    </row>
    <row r="3741" spans="1:10" x14ac:dyDescent="0.25">
      <c r="A3741" s="1">
        <v>935</v>
      </c>
      <c r="B3741" t="s">
        <v>36</v>
      </c>
      <c r="C3741">
        <v>635</v>
      </c>
      <c r="D3741">
        <v>1</v>
      </c>
      <c r="E3741" t="s">
        <v>34</v>
      </c>
      <c r="F3741" t="s">
        <v>35</v>
      </c>
      <c r="G3741" t="str">
        <f>"2024-08-07 01:53:19.508"</f>
        <v>2024-08-07 01:53:19.508</v>
      </c>
      <c r="H3741" t="s">
        <v>21</v>
      </c>
      <c r="I3741">
        <v>0</v>
      </c>
      <c r="J3741" t="s">
        <v>28</v>
      </c>
    </row>
    <row r="3742" spans="1:10" x14ac:dyDescent="0.25">
      <c r="A3742" s="1">
        <v>936</v>
      </c>
      <c r="B3742" t="s">
        <v>56</v>
      </c>
      <c r="C3742">
        <v>33</v>
      </c>
      <c r="D3742">
        <v>1</v>
      </c>
      <c r="E3742" t="s">
        <v>76</v>
      </c>
      <c r="F3742" t="s">
        <v>77</v>
      </c>
      <c r="G3742" t="str">
        <f>"2024-08-06 22:51:47.308"</f>
        <v>2024-08-06 22:51:47.308</v>
      </c>
      <c r="H3742" t="s">
        <v>78</v>
      </c>
    </row>
    <row r="3743" spans="1:10" x14ac:dyDescent="0.25">
      <c r="A3743" s="1">
        <v>937</v>
      </c>
      <c r="B3743" t="s">
        <v>26</v>
      </c>
      <c r="C3743">
        <v>33</v>
      </c>
      <c r="D3743">
        <v>1</v>
      </c>
      <c r="E3743" t="s">
        <v>76</v>
      </c>
      <c r="F3743" t="s">
        <v>77</v>
      </c>
      <c r="G3743" t="str">
        <f>"2024-08-06 22:51:30.287"</f>
        <v>2024-08-06 22:51:30.287</v>
      </c>
      <c r="H3743" t="s">
        <v>78</v>
      </c>
      <c r="I3743">
        <v>8.4600000000000009</v>
      </c>
      <c r="J3743" t="s">
        <v>37</v>
      </c>
    </row>
    <row r="3744" spans="1:10" x14ac:dyDescent="0.25">
      <c r="A3744" s="1">
        <v>938</v>
      </c>
      <c r="B3744" t="s">
        <v>22</v>
      </c>
      <c r="C3744">
        <v>635</v>
      </c>
      <c r="D3744">
        <v>1</v>
      </c>
      <c r="E3744" t="s">
        <v>34</v>
      </c>
      <c r="F3744" t="s">
        <v>35</v>
      </c>
      <c r="G3744" t="str">
        <f>"2024-08-06 18:50:08.708"</f>
        <v>2024-08-06 18:50:08.708</v>
      </c>
      <c r="H3744" t="s">
        <v>21</v>
      </c>
    </row>
    <row r="3745" spans="1:10" x14ac:dyDescent="0.25">
      <c r="A3745" s="1">
        <v>939</v>
      </c>
      <c r="B3745" t="s">
        <v>36</v>
      </c>
      <c r="C3745">
        <v>635</v>
      </c>
      <c r="D3745">
        <v>1</v>
      </c>
      <c r="E3745" t="s">
        <v>34</v>
      </c>
      <c r="F3745" t="s">
        <v>35</v>
      </c>
      <c r="G3745" t="str">
        <f>"2024-08-06 18:46:12.208"</f>
        <v>2024-08-06 18:46:12.208</v>
      </c>
      <c r="H3745" t="s">
        <v>21</v>
      </c>
      <c r="I3745">
        <v>0.84</v>
      </c>
      <c r="J3745" t="s">
        <v>27</v>
      </c>
    </row>
    <row r="3746" spans="1:10" x14ac:dyDescent="0.25">
      <c r="A3746" s="1">
        <v>940</v>
      </c>
      <c r="B3746" t="s">
        <v>19</v>
      </c>
      <c r="C3746">
        <v>706</v>
      </c>
      <c r="D3746">
        <v>4</v>
      </c>
      <c r="E3746" t="s">
        <v>29</v>
      </c>
      <c r="F3746" t="s">
        <v>53</v>
      </c>
      <c r="G3746" t="str">
        <f>"2024-08-06 16:54:41.834"</f>
        <v>2024-08-06 16:54:41.834</v>
      </c>
      <c r="H3746" t="s">
        <v>21</v>
      </c>
      <c r="I3746">
        <v>0</v>
      </c>
      <c r="J3746" t="s">
        <v>31</v>
      </c>
    </row>
    <row r="3747" spans="1:10" x14ac:dyDescent="0.25">
      <c r="A3747" s="1">
        <v>941</v>
      </c>
      <c r="B3747" t="s">
        <v>19</v>
      </c>
      <c r="C3747">
        <v>700</v>
      </c>
      <c r="D3747">
        <v>0</v>
      </c>
      <c r="E3747" t="s">
        <v>20</v>
      </c>
      <c r="F3747" t="s">
        <v>20</v>
      </c>
      <c r="G3747" t="str">
        <f>"2024-08-06 16:45:57.624"</f>
        <v>2024-08-06 16:45:57.624</v>
      </c>
      <c r="H3747" t="s">
        <v>21</v>
      </c>
      <c r="I3747">
        <v>0</v>
      </c>
      <c r="J3747" t="s">
        <v>33</v>
      </c>
    </row>
    <row r="3748" spans="1:10" x14ac:dyDescent="0.25">
      <c r="A3748" s="1">
        <v>942</v>
      </c>
      <c r="B3748" t="s">
        <v>19</v>
      </c>
      <c r="C3748">
        <v>700</v>
      </c>
      <c r="D3748">
        <v>0</v>
      </c>
      <c r="E3748" t="s">
        <v>20</v>
      </c>
      <c r="F3748" t="s">
        <v>20</v>
      </c>
      <c r="G3748" t="str">
        <f>"2024-08-06 16:32:40.641"</f>
        <v>2024-08-06 16:32:40.641</v>
      </c>
      <c r="H3748" t="s">
        <v>21</v>
      </c>
    </row>
    <row r="3749" spans="1:10" x14ac:dyDescent="0.25">
      <c r="A3749" s="1">
        <v>943</v>
      </c>
      <c r="B3749" t="s">
        <v>19</v>
      </c>
      <c r="C3749">
        <v>700</v>
      </c>
      <c r="D3749">
        <v>0</v>
      </c>
      <c r="E3749" t="s">
        <v>20</v>
      </c>
      <c r="F3749" t="s">
        <v>20</v>
      </c>
      <c r="G3749" t="str">
        <f>"2024-08-06 08:12:52.610"</f>
        <v>2024-08-06 08:12:52.610</v>
      </c>
      <c r="H3749" t="s">
        <v>21</v>
      </c>
    </row>
    <row r="3750" spans="1:10" x14ac:dyDescent="0.25">
      <c r="A3750" s="1">
        <v>944</v>
      </c>
      <c r="B3750" t="s">
        <v>19</v>
      </c>
      <c r="C3750">
        <v>700</v>
      </c>
      <c r="D3750">
        <v>0</v>
      </c>
      <c r="E3750" t="s">
        <v>20</v>
      </c>
      <c r="F3750" t="s">
        <v>20</v>
      </c>
      <c r="G3750" t="str">
        <f>"2024-08-06 05:56:12.615"</f>
        <v>2024-08-06 05:56:12.615</v>
      </c>
      <c r="H3750" t="s">
        <v>21</v>
      </c>
      <c r="I3750">
        <v>0</v>
      </c>
      <c r="J3750" t="s">
        <v>33</v>
      </c>
    </row>
    <row r="3751" spans="1:10" x14ac:dyDescent="0.25">
      <c r="A3751" s="1">
        <v>945</v>
      </c>
      <c r="B3751" t="s">
        <v>19</v>
      </c>
      <c r="C3751">
        <v>706</v>
      </c>
      <c r="D3751">
        <v>2</v>
      </c>
      <c r="E3751" t="s">
        <v>29</v>
      </c>
      <c r="F3751" t="s">
        <v>30</v>
      </c>
      <c r="G3751" t="str">
        <f>"2024-08-06 05:53:50.535"</f>
        <v>2024-08-06 05:53:50.535</v>
      </c>
      <c r="H3751" t="s">
        <v>21</v>
      </c>
      <c r="I3751">
        <v>0</v>
      </c>
      <c r="J3751" t="s">
        <v>31</v>
      </c>
    </row>
    <row r="3752" spans="1:10" x14ac:dyDescent="0.25">
      <c r="A3752" s="1">
        <v>946</v>
      </c>
      <c r="B3752" t="s">
        <v>19</v>
      </c>
      <c r="C3752">
        <v>700</v>
      </c>
      <c r="D3752">
        <v>0</v>
      </c>
      <c r="E3752" t="s">
        <v>20</v>
      </c>
      <c r="F3752" t="s">
        <v>20</v>
      </c>
      <c r="G3752" t="str">
        <f>"2024-08-06 05:53:29.615"</f>
        <v>2024-08-06 05:53:29.615</v>
      </c>
      <c r="H3752" t="s">
        <v>21</v>
      </c>
      <c r="I3752">
        <v>0</v>
      </c>
      <c r="J3752" t="s">
        <v>33</v>
      </c>
    </row>
    <row r="3753" spans="1:10" x14ac:dyDescent="0.25">
      <c r="A3753" s="1">
        <v>947</v>
      </c>
      <c r="B3753" t="s">
        <v>19</v>
      </c>
      <c r="C3753">
        <v>700</v>
      </c>
      <c r="D3753">
        <v>0</v>
      </c>
      <c r="E3753" t="s">
        <v>20</v>
      </c>
      <c r="F3753" t="s">
        <v>20</v>
      </c>
      <c r="G3753" t="str">
        <f>"2024-08-06 05:49:12.611"</f>
        <v>2024-08-06 05:49:12.611</v>
      </c>
      <c r="H3753" t="s">
        <v>21</v>
      </c>
      <c r="I3753">
        <v>0</v>
      </c>
      <c r="J3753" t="s">
        <v>33</v>
      </c>
    </row>
    <row r="3754" spans="1:10" x14ac:dyDescent="0.25">
      <c r="A3754" s="1">
        <v>948</v>
      </c>
      <c r="B3754" t="s">
        <v>19</v>
      </c>
      <c r="C3754">
        <v>700</v>
      </c>
      <c r="D3754">
        <v>0</v>
      </c>
      <c r="E3754" t="s">
        <v>20</v>
      </c>
      <c r="F3754" t="s">
        <v>20</v>
      </c>
      <c r="G3754" t="str">
        <f>"2024-08-06 05:46:03.633"</f>
        <v>2024-08-06 05:46:03.633</v>
      </c>
      <c r="H3754" t="s">
        <v>21</v>
      </c>
      <c r="I3754">
        <v>0</v>
      </c>
      <c r="J3754" t="s">
        <v>33</v>
      </c>
    </row>
    <row r="3755" spans="1:10" x14ac:dyDescent="0.25">
      <c r="A3755" s="1">
        <v>949</v>
      </c>
      <c r="B3755" t="s">
        <v>22</v>
      </c>
      <c r="C3755">
        <v>635</v>
      </c>
      <c r="D3755">
        <v>1</v>
      </c>
      <c r="E3755" t="s">
        <v>34</v>
      </c>
      <c r="F3755" t="s">
        <v>35</v>
      </c>
      <c r="G3755" t="str">
        <f>"2024-08-06 04:08:31.770"</f>
        <v>2024-08-06 04:08:31.770</v>
      </c>
      <c r="H3755" t="s">
        <v>21</v>
      </c>
    </row>
    <row r="3756" spans="1:10" x14ac:dyDescent="0.25">
      <c r="A3756" s="1">
        <v>950</v>
      </c>
      <c r="B3756" t="s">
        <v>36</v>
      </c>
      <c r="C3756">
        <v>635</v>
      </c>
      <c r="D3756">
        <v>1</v>
      </c>
      <c r="E3756" t="s">
        <v>34</v>
      </c>
      <c r="F3756" t="s">
        <v>35</v>
      </c>
      <c r="G3756" t="str">
        <f>"2024-08-06 03:59:35.270"</f>
        <v>2024-08-06 03:59:35.270</v>
      </c>
      <c r="H3756" t="s">
        <v>21</v>
      </c>
      <c r="I3756">
        <v>1.89</v>
      </c>
      <c r="J3756" t="s">
        <v>27</v>
      </c>
    </row>
    <row r="3757" spans="1:10" x14ac:dyDescent="0.25">
      <c r="A3757" s="1">
        <v>951</v>
      </c>
      <c r="B3757" t="s">
        <v>22</v>
      </c>
      <c r="C3757">
        <v>635</v>
      </c>
      <c r="D3757">
        <v>1</v>
      </c>
      <c r="E3757" t="s">
        <v>34</v>
      </c>
      <c r="F3757" t="s">
        <v>35</v>
      </c>
      <c r="G3757" t="str">
        <f>"2024-08-06 03:31:48.370"</f>
        <v>2024-08-06 03:31:48.370</v>
      </c>
      <c r="H3757" t="s">
        <v>21</v>
      </c>
    </row>
    <row r="3758" spans="1:10" x14ac:dyDescent="0.25">
      <c r="A3758" s="1">
        <v>952</v>
      </c>
      <c r="B3758" t="s">
        <v>36</v>
      </c>
      <c r="C3758">
        <v>635</v>
      </c>
      <c r="D3758">
        <v>1</v>
      </c>
      <c r="E3758" t="s">
        <v>34</v>
      </c>
      <c r="F3758" t="s">
        <v>35</v>
      </c>
      <c r="G3758" t="str">
        <f>"2024-08-06 03:24:18.370"</f>
        <v>2024-08-06 03:24:18.370</v>
      </c>
      <c r="H3758" t="s">
        <v>21</v>
      </c>
      <c r="I3758">
        <v>4.2</v>
      </c>
      <c r="J3758" t="s">
        <v>27</v>
      </c>
    </row>
    <row r="3759" spans="1:10" x14ac:dyDescent="0.25">
      <c r="A3759" s="1">
        <v>953</v>
      </c>
      <c r="B3759" t="s">
        <v>22</v>
      </c>
      <c r="C3759">
        <v>635</v>
      </c>
      <c r="D3759">
        <v>1</v>
      </c>
      <c r="E3759" t="s">
        <v>34</v>
      </c>
      <c r="F3759" t="s">
        <v>35</v>
      </c>
      <c r="G3759" t="str">
        <f>"2024-08-05 23:54:25.270"</f>
        <v>2024-08-05 23:54:25.270</v>
      </c>
      <c r="H3759" t="s">
        <v>21</v>
      </c>
    </row>
    <row r="3760" spans="1:10" x14ac:dyDescent="0.25">
      <c r="A3760" s="1">
        <v>954</v>
      </c>
      <c r="B3760" t="s">
        <v>36</v>
      </c>
      <c r="C3760">
        <v>635</v>
      </c>
      <c r="D3760">
        <v>1</v>
      </c>
      <c r="E3760" t="s">
        <v>34</v>
      </c>
      <c r="F3760" t="s">
        <v>35</v>
      </c>
      <c r="G3760" t="str">
        <f>"2024-08-05 23:48:21.770"</f>
        <v>2024-08-05 23:48:21.770</v>
      </c>
      <c r="H3760" t="s">
        <v>21</v>
      </c>
      <c r="I3760">
        <v>2.13</v>
      </c>
      <c r="J3760" t="s">
        <v>27</v>
      </c>
    </row>
    <row r="3761" spans="1:10" x14ac:dyDescent="0.25">
      <c r="A3761" s="1">
        <v>955</v>
      </c>
      <c r="B3761" t="s">
        <v>19</v>
      </c>
      <c r="C3761">
        <v>700</v>
      </c>
      <c r="D3761">
        <v>0</v>
      </c>
      <c r="E3761" t="s">
        <v>20</v>
      </c>
      <c r="F3761" t="s">
        <v>20</v>
      </c>
      <c r="G3761" t="str">
        <f>"2024-08-05 21:29:14.640"</f>
        <v>2024-08-05 21:29:14.640</v>
      </c>
      <c r="H3761" t="s">
        <v>21</v>
      </c>
      <c r="I3761">
        <v>0</v>
      </c>
      <c r="J3761" t="s">
        <v>33</v>
      </c>
    </row>
    <row r="3762" spans="1:10" x14ac:dyDescent="0.25">
      <c r="A3762" s="1">
        <v>956</v>
      </c>
      <c r="B3762" t="s">
        <v>22</v>
      </c>
      <c r="C3762">
        <v>635</v>
      </c>
      <c r="D3762">
        <v>1</v>
      </c>
      <c r="E3762" t="s">
        <v>34</v>
      </c>
      <c r="F3762" t="s">
        <v>35</v>
      </c>
      <c r="G3762" t="str">
        <f>"2024-08-05 20:36:50.083"</f>
        <v>2024-08-05 20:36:50.083</v>
      </c>
      <c r="H3762" t="s">
        <v>21</v>
      </c>
    </row>
    <row r="3763" spans="1:10" x14ac:dyDescent="0.25">
      <c r="A3763" s="1">
        <v>957</v>
      </c>
      <c r="B3763" t="s">
        <v>36</v>
      </c>
      <c r="C3763">
        <v>635</v>
      </c>
      <c r="D3763">
        <v>1</v>
      </c>
      <c r="E3763" t="s">
        <v>34</v>
      </c>
      <c r="F3763" t="s">
        <v>35</v>
      </c>
      <c r="G3763" t="str">
        <f>"2024-08-05 20:30:39.083"</f>
        <v>2024-08-05 20:30:39.083</v>
      </c>
      <c r="H3763" t="s">
        <v>21</v>
      </c>
      <c r="I3763">
        <v>2.23</v>
      </c>
      <c r="J3763" t="s">
        <v>27</v>
      </c>
    </row>
    <row r="3764" spans="1:10" x14ac:dyDescent="0.25">
      <c r="A3764" s="1">
        <v>958</v>
      </c>
      <c r="B3764" t="s">
        <v>22</v>
      </c>
      <c r="C3764">
        <v>635</v>
      </c>
      <c r="D3764">
        <v>1</v>
      </c>
      <c r="E3764" t="s">
        <v>34</v>
      </c>
      <c r="F3764" t="s">
        <v>35</v>
      </c>
      <c r="G3764" t="str">
        <f>"2024-08-05 05:56:41.083"</f>
        <v>2024-08-05 05:56:41.083</v>
      </c>
      <c r="H3764" t="s">
        <v>21</v>
      </c>
    </row>
    <row r="3765" spans="1:10" x14ac:dyDescent="0.25">
      <c r="A3765" s="1">
        <v>959</v>
      </c>
      <c r="B3765" t="s">
        <v>36</v>
      </c>
      <c r="C3765">
        <v>635</v>
      </c>
      <c r="D3765">
        <v>1</v>
      </c>
      <c r="E3765" t="s">
        <v>34</v>
      </c>
      <c r="F3765" t="s">
        <v>35</v>
      </c>
      <c r="G3765" t="str">
        <f>"2024-08-05 05:51:58.583"</f>
        <v>2024-08-05 05:51:58.583</v>
      </c>
      <c r="H3765" t="s">
        <v>21</v>
      </c>
      <c r="I3765">
        <v>7.69</v>
      </c>
      <c r="J3765" t="s">
        <v>27</v>
      </c>
    </row>
    <row r="3766" spans="1:10" x14ac:dyDescent="0.25">
      <c r="A3766" s="1">
        <v>960</v>
      </c>
      <c r="B3766" t="s">
        <v>19</v>
      </c>
      <c r="C3766">
        <v>700</v>
      </c>
      <c r="D3766">
        <v>0</v>
      </c>
      <c r="E3766" t="s">
        <v>20</v>
      </c>
      <c r="F3766" t="s">
        <v>20</v>
      </c>
      <c r="G3766" t="str">
        <f>"2024-08-04 21:22:54.613"</f>
        <v>2024-08-04 21:22:54.613</v>
      </c>
      <c r="H3766" t="s">
        <v>21</v>
      </c>
      <c r="I3766">
        <v>0</v>
      </c>
      <c r="J3766" t="s">
        <v>33</v>
      </c>
    </row>
    <row r="3767" spans="1:10" x14ac:dyDescent="0.25">
      <c r="A3767" s="1">
        <v>961</v>
      </c>
      <c r="B3767" t="s">
        <v>22</v>
      </c>
      <c r="C3767">
        <v>635</v>
      </c>
      <c r="D3767">
        <v>1</v>
      </c>
      <c r="E3767" t="s">
        <v>34</v>
      </c>
      <c r="F3767" t="s">
        <v>35</v>
      </c>
      <c r="G3767" t="str">
        <f>"2024-08-04 17:24:44.890"</f>
        <v>2024-08-04 17:24:44.890</v>
      </c>
      <c r="H3767" t="s">
        <v>21</v>
      </c>
    </row>
    <row r="3768" spans="1:10" x14ac:dyDescent="0.25">
      <c r="A3768" s="1">
        <v>962</v>
      </c>
      <c r="B3768" t="s">
        <v>36</v>
      </c>
      <c r="C3768">
        <v>635</v>
      </c>
      <c r="D3768">
        <v>1</v>
      </c>
      <c r="E3768" t="s">
        <v>34</v>
      </c>
      <c r="F3768" t="s">
        <v>35</v>
      </c>
      <c r="G3768" t="str">
        <f>"2024-08-04 17:21:46.390"</f>
        <v>2024-08-04 17:21:46.390</v>
      </c>
      <c r="H3768" t="s">
        <v>21</v>
      </c>
      <c r="I3768">
        <v>6.23</v>
      </c>
      <c r="J3768" t="s">
        <v>37</v>
      </c>
    </row>
    <row r="3769" spans="1:10" x14ac:dyDescent="0.25">
      <c r="A3769" s="1">
        <v>963</v>
      </c>
      <c r="B3769" t="s">
        <v>22</v>
      </c>
      <c r="C3769">
        <v>635</v>
      </c>
      <c r="D3769">
        <v>1</v>
      </c>
      <c r="E3769" t="s">
        <v>34</v>
      </c>
      <c r="F3769" t="s">
        <v>35</v>
      </c>
      <c r="G3769" t="str">
        <f>"2024-08-04 15:19:13.590"</f>
        <v>2024-08-04 15:19:13.590</v>
      </c>
      <c r="H3769" t="s">
        <v>21</v>
      </c>
    </row>
    <row r="3770" spans="1:10" x14ac:dyDescent="0.25">
      <c r="A3770" s="1">
        <v>964</v>
      </c>
      <c r="B3770" t="s">
        <v>36</v>
      </c>
      <c r="C3770">
        <v>635</v>
      </c>
      <c r="D3770">
        <v>1</v>
      </c>
      <c r="E3770" t="s">
        <v>34</v>
      </c>
      <c r="F3770" t="s">
        <v>35</v>
      </c>
      <c r="G3770" t="str">
        <f>"2024-08-04 15:16:17.090"</f>
        <v>2024-08-04 15:16:17.090</v>
      </c>
      <c r="H3770" t="s">
        <v>21</v>
      </c>
      <c r="I3770">
        <v>6.25</v>
      </c>
      <c r="J3770" t="s">
        <v>37</v>
      </c>
    </row>
    <row r="3771" spans="1:10" x14ac:dyDescent="0.25">
      <c r="A3771" s="1">
        <v>965</v>
      </c>
      <c r="B3771" t="s">
        <v>22</v>
      </c>
      <c r="C3771">
        <v>635</v>
      </c>
      <c r="D3771">
        <v>1</v>
      </c>
      <c r="E3771" t="s">
        <v>34</v>
      </c>
      <c r="F3771" t="s">
        <v>35</v>
      </c>
      <c r="G3771" t="str">
        <f>"2024-08-04 13:49:59.290"</f>
        <v>2024-08-04 13:49:59.290</v>
      </c>
      <c r="H3771" t="s">
        <v>21</v>
      </c>
    </row>
    <row r="3772" spans="1:10" x14ac:dyDescent="0.25">
      <c r="A3772" s="1">
        <v>966</v>
      </c>
      <c r="B3772" t="s">
        <v>36</v>
      </c>
      <c r="C3772">
        <v>635</v>
      </c>
      <c r="D3772">
        <v>1</v>
      </c>
      <c r="E3772" t="s">
        <v>34</v>
      </c>
      <c r="F3772" t="s">
        <v>35</v>
      </c>
      <c r="G3772" t="str">
        <f>"2024-08-04 13:46:04.790"</f>
        <v>2024-08-04 13:46:04.790</v>
      </c>
      <c r="H3772" t="s">
        <v>21</v>
      </c>
      <c r="I3772">
        <v>7.48</v>
      </c>
      <c r="J3772" t="s">
        <v>37</v>
      </c>
    </row>
    <row r="3773" spans="1:10" x14ac:dyDescent="0.25">
      <c r="A3773" s="1">
        <v>967</v>
      </c>
      <c r="B3773" t="s">
        <v>19</v>
      </c>
      <c r="C3773">
        <v>700</v>
      </c>
      <c r="D3773">
        <v>0</v>
      </c>
      <c r="E3773" t="s">
        <v>20</v>
      </c>
      <c r="F3773" t="s">
        <v>20</v>
      </c>
      <c r="G3773" t="str">
        <f>"2024-08-03 20:56:13.608"</f>
        <v>2024-08-03 20:56:13.608</v>
      </c>
      <c r="H3773" t="s">
        <v>21</v>
      </c>
    </row>
    <row r="3774" spans="1:10" x14ac:dyDescent="0.25">
      <c r="A3774" s="1">
        <v>968</v>
      </c>
      <c r="B3774" t="s">
        <v>22</v>
      </c>
      <c r="C3774">
        <v>635</v>
      </c>
      <c r="D3774">
        <v>1</v>
      </c>
      <c r="E3774" t="s">
        <v>34</v>
      </c>
      <c r="F3774" t="s">
        <v>35</v>
      </c>
      <c r="G3774" t="str">
        <f>"2024-08-02 19:58:06.009"</f>
        <v>2024-08-02 19:58:06.009</v>
      </c>
      <c r="H3774" t="s">
        <v>21</v>
      </c>
    </row>
    <row r="3775" spans="1:10" x14ac:dyDescent="0.25">
      <c r="A3775" s="1">
        <v>969</v>
      </c>
      <c r="B3775" t="s">
        <v>36</v>
      </c>
      <c r="C3775">
        <v>635</v>
      </c>
      <c r="D3775">
        <v>1</v>
      </c>
      <c r="E3775" t="s">
        <v>34</v>
      </c>
      <c r="F3775" t="s">
        <v>35</v>
      </c>
      <c r="G3775" t="str">
        <f>"2024-08-02 19:55:46.010"</f>
        <v>2024-08-02 19:55:46.010</v>
      </c>
      <c r="H3775" t="s">
        <v>21</v>
      </c>
      <c r="I3775">
        <v>5.54</v>
      </c>
      <c r="J3775" t="s">
        <v>37</v>
      </c>
    </row>
    <row r="3776" spans="1:10" x14ac:dyDescent="0.25">
      <c r="A3776" s="1">
        <v>970</v>
      </c>
      <c r="B3776" t="s">
        <v>22</v>
      </c>
      <c r="C3776">
        <v>98</v>
      </c>
      <c r="D3776">
        <v>1</v>
      </c>
      <c r="E3776" t="s">
        <v>99</v>
      </c>
      <c r="F3776" t="s">
        <v>100</v>
      </c>
      <c r="G3776" t="str">
        <f>"2024-08-02 00:37:28.522"</f>
        <v>2024-08-02 00:37:28.522</v>
      </c>
      <c r="H3776" t="s">
        <v>21</v>
      </c>
    </row>
    <row r="3777" spans="1:10" x14ac:dyDescent="0.25">
      <c r="A3777" s="1">
        <v>971</v>
      </c>
      <c r="B3777" t="s">
        <v>36</v>
      </c>
      <c r="C3777">
        <v>98</v>
      </c>
      <c r="D3777">
        <v>1</v>
      </c>
      <c r="E3777" t="s">
        <v>99</v>
      </c>
      <c r="F3777" t="s">
        <v>100</v>
      </c>
      <c r="G3777" t="str">
        <f>"2024-08-02 00:37:27.522"</f>
        <v>2024-08-02 00:37:27.522</v>
      </c>
      <c r="H3777" t="s">
        <v>21</v>
      </c>
      <c r="I3777">
        <v>9.8699999999999992</v>
      </c>
      <c r="J3777" t="s">
        <v>37</v>
      </c>
    </row>
    <row r="3778" spans="1:10" x14ac:dyDescent="0.25">
      <c r="A3778" s="1">
        <v>972</v>
      </c>
      <c r="B3778" t="s">
        <v>19</v>
      </c>
      <c r="C3778">
        <v>700</v>
      </c>
      <c r="D3778">
        <v>0</v>
      </c>
      <c r="E3778" t="s">
        <v>20</v>
      </c>
      <c r="F3778" t="s">
        <v>20</v>
      </c>
      <c r="G3778" t="str">
        <f>"2024-08-02 00:16:10.621"</f>
        <v>2024-08-02 00:16:10.621</v>
      </c>
      <c r="H3778" t="s">
        <v>21</v>
      </c>
      <c r="I3778">
        <v>0</v>
      </c>
      <c r="J3778" t="s">
        <v>33</v>
      </c>
    </row>
    <row r="3779" spans="1:10" x14ac:dyDescent="0.25">
      <c r="A3779" s="1">
        <v>973</v>
      </c>
      <c r="B3779" t="s">
        <v>56</v>
      </c>
      <c r="C3779">
        <v>33</v>
      </c>
      <c r="D3779">
        <v>1</v>
      </c>
      <c r="E3779" t="s">
        <v>76</v>
      </c>
      <c r="F3779" t="s">
        <v>77</v>
      </c>
      <c r="G3779" t="str">
        <f>"2024-08-02 00:01:19.826"</f>
        <v>2024-08-02 00:01:19.826</v>
      </c>
      <c r="H3779" t="s">
        <v>78</v>
      </c>
    </row>
    <row r="3780" spans="1:10" x14ac:dyDescent="0.25">
      <c r="A3780" s="1">
        <v>974</v>
      </c>
      <c r="B3780" t="s">
        <v>26</v>
      </c>
      <c r="C3780">
        <v>33</v>
      </c>
      <c r="D3780">
        <v>1</v>
      </c>
      <c r="E3780" t="s">
        <v>76</v>
      </c>
      <c r="F3780" t="s">
        <v>77</v>
      </c>
      <c r="G3780" t="str">
        <f>"2024-08-02 00:00:59.718"</f>
        <v>2024-08-02 00:00:59.718</v>
      </c>
      <c r="H3780" t="s">
        <v>78</v>
      </c>
      <c r="I3780">
        <v>9.7799999999999994</v>
      </c>
      <c r="J3780" t="s">
        <v>37</v>
      </c>
    </row>
    <row r="3781" spans="1:10" x14ac:dyDescent="0.25">
      <c r="A3781" s="1">
        <v>975</v>
      </c>
      <c r="B3781" t="s">
        <v>19</v>
      </c>
      <c r="C3781">
        <v>706</v>
      </c>
      <c r="D3781">
        <v>2</v>
      </c>
      <c r="E3781" t="s">
        <v>29</v>
      </c>
      <c r="F3781" t="s">
        <v>30</v>
      </c>
      <c r="G3781" t="str">
        <f>"2024-08-01 17:45:29.634"</f>
        <v>2024-08-01 17:45:29.634</v>
      </c>
      <c r="H3781" t="s">
        <v>21</v>
      </c>
      <c r="I3781">
        <v>0</v>
      </c>
      <c r="J3781" t="s">
        <v>31</v>
      </c>
    </row>
    <row r="3782" spans="1:10" x14ac:dyDescent="0.25">
      <c r="A3782" s="1">
        <v>976</v>
      </c>
      <c r="B3782" t="s">
        <v>19</v>
      </c>
      <c r="C3782">
        <v>706</v>
      </c>
      <c r="D3782">
        <v>4</v>
      </c>
      <c r="E3782" t="s">
        <v>29</v>
      </c>
      <c r="F3782" t="s">
        <v>53</v>
      </c>
      <c r="G3782" t="str">
        <f>"2024-08-01 17:44:26.194"</f>
        <v>2024-08-01 17:44:26.194</v>
      </c>
      <c r="H3782" t="s">
        <v>21</v>
      </c>
      <c r="I3782">
        <v>0</v>
      </c>
      <c r="J3782" t="s">
        <v>31</v>
      </c>
    </row>
    <row r="3783" spans="1:10" x14ac:dyDescent="0.25">
      <c r="A3783" s="1">
        <v>977</v>
      </c>
      <c r="B3783" t="s">
        <v>19</v>
      </c>
      <c r="C3783">
        <v>706</v>
      </c>
      <c r="D3783">
        <v>4</v>
      </c>
      <c r="E3783" t="s">
        <v>29</v>
      </c>
      <c r="F3783" t="s">
        <v>53</v>
      </c>
      <c r="G3783" t="str">
        <f>"2024-08-01 17:42:59.664"</f>
        <v>2024-08-01 17:42:59.664</v>
      </c>
      <c r="H3783" t="s">
        <v>21</v>
      </c>
      <c r="I3783">
        <v>0</v>
      </c>
      <c r="J3783" t="s">
        <v>31</v>
      </c>
    </row>
    <row r="3784" spans="1:10" x14ac:dyDescent="0.25">
      <c r="A3784" s="1">
        <v>978</v>
      </c>
      <c r="B3784" t="s">
        <v>19</v>
      </c>
      <c r="C3784">
        <v>700</v>
      </c>
      <c r="D3784">
        <v>0</v>
      </c>
      <c r="E3784" t="s">
        <v>20</v>
      </c>
      <c r="F3784" t="s">
        <v>20</v>
      </c>
      <c r="G3784" t="str">
        <f>"2024-08-01 17:34:18.594"</f>
        <v>2024-08-01 17:34:18.594</v>
      </c>
      <c r="H3784" t="s">
        <v>21</v>
      </c>
      <c r="I3784">
        <v>0</v>
      </c>
      <c r="J3784" t="s">
        <v>33</v>
      </c>
    </row>
    <row r="3785" spans="1:10" x14ac:dyDescent="0.25">
      <c r="A3785" s="1">
        <v>979</v>
      </c>
      <c r="B3785" t="s">
        <v>19</v>
      </c>
      <c r="C3785">
        <v>700</v>
      </c>
      <c r="D3785">
        <v>0</v>
      </c>
      <c r="E3785" t="s">
        <v>20</v>
      </c>
      <c r="F3785" t="s">
        <v>20</v>
      </c>
      <c r="G3785" t="str">
        <f>"2024-08-01 17:31:50.595"</f>
        <v>2024-08-01 17:31:50.595</v>
      </c>
      <c r="H3785" t="s">
        <v>21</v>
      </c>
      <c r="I3785">
        <v>0</v>
      </c>
      <c r="J3785" t="s">
        <v>33</v>
      </c>
    </row>
    <row r="3786" spans="1:10" x14ac:dyDescent="0.25">
      <c r="A3786" s="1">
        <v>980</v>
      </c>
      <c r="B3786" t="s">
        <v>19</v>
      </c>
      <c r="C3786">
        <v>706</v>
      </c>
      <c r="D3786">
        <v>4</v>
      </c>
      <c r="E3786" t="s">
        <v>29</v>
      </c>
      <c r="F3786" t="s">
        <v>53</v>
      </c>
      <c r="G3786" t="str">
        <f>"2024-08-01 17:30:11.507"</f>
        <v>2024-08-01 17:30:11.507</v>
      </c>
      <c r="H3786" t="s">
        <v>21</v>
      </c>
      <c r="I3786">
        <v>0</v>
      </c>
      <c r="J3786" t="s">
        <v>31</v>
      </c>
    </row>
    <row r="3787" spans="1:10" x14ac:dyDescent="0.25">
      <c r="A3787" s="1">
        <v>981</v>
      </c>
      <c r="B3787" t="s">
        <v>19</v>
      </c>
      <c r="C3787">
        <v>706</v>
      </c>
      <c r="D3787">
        <v>2</v>
      </c>
      <c r="E3787" t="s">
        <v>29</v>
      </c>
      <c r="F3787" t="s">
        <v>30</v>
      </c>
      <c r="G3787" t="str">
        <f>"2024-08-01 17:29:19.877"</f>
        <v>2024-08-01 17:29:19.877</v>
      </c>
      <c r="H3787" t="s">
        <v>21</v>
      </c>
      <c r="I3787">
        <v>0</v>
      </c>
      <c r="J3787" t="s">
        <v>31</v>
      </c>
    </row>
    <row r="3788" spans="1:10" x14ac:dyDescent="0.25">
      <c r="A3788" s="1">
        <v>982</v>
      </c>
      <c r="B3788" t="s">
        <v>19</v>
      </c>
      <c r="C3788">
        <v>700</v>
      </c>
      <c r="D3788">
        <v>0</v>
      </c>
      <c r="E3788" t="s">
        <v>20</v>
      </c>
      <c r="F3788" t="s">
        <v>20</v>
      </c>
      <c r="G3788" t="str">
        <f>"2024-08-01 17:24:48.587"</f>
        <v>2024-08-01 17:24:48.587</v>
      </c>
      <c r="H3788" t="s">
        <v>21</v>
      </c>
    </row>
    <row r="3789" spans="1:10" x14ac:dyDescent="0.25">
      <c r="A3789" s="1">
        <v>983</v>
      </c>
      <c r="B3789" t="s">
        <v>19</v>
      </c>
      <c r="C3789">
        <v>700</v>
      </c>
      <c r="D3789">
        <v>0</v>
      </c>
      <c r="E3789" t="s">
        <v>20</v>
      </c>
      <c r="F3789" t="s">
        <v>20</v>
      </c>
      <c r="G3789" t="str">
        <f>"2024-08-01 16:23:32.621"</f>
        <v>2024-08-01 16:23:32.621</v>
      </c>
      <c r="H3789" t="s">
        <v>21</v>
      </c>
    </row>
    <row r="3790" spans="1:10" x14ac:dyDescent="0.25">
      <c r="A3790" s="1">
        <v>984</v>
      </c>
      <c r="B3790" t="s">
        <v>19</v>
      </c>
      <c r="C3790">
        <v>700</v>
      </c>
      <c r="D3790">
        <v>0</v>
      </c>
      <c r="E3790" t="s">
        <v>20</v>
      </c>
      <c r="F3790" t="s">
        <v>20</v>
      </c>
      <c r="G3790" t="str">
        <f>"2024-08-01 15:53:41.594"</f>
        <v>2024-08-01 15:53:41.594</v>
      </c>
      <c r="H3790" t="s">
        <v>21</v>
      </c>
    </row>
    <row r="3791" spans="1:10" x14ac:dyDescent="0.25">
      <c r="A3791" s="1">
        <v>985</v>
      </c>
      <c r="B3791" t="s">
        <v>19</v>
      </c>
      <c r="C3791">
        <v>700</v>
      </c>
      <c r="D3791">
        <v>0</v>
      </c>
      <c r="E3791" t="s">
        <v>20</v>
      </c>
      <c r="F3791" t="s">
        <v>20</v>
      </c>
      <c r="G3791" t="str">
        <f>"2024-08-01 15:48:47.598"</f>
        <v>2024-08-01 15:48:47.598</v>
      </c>
      <c r="H3791" t="s">
        <v>21</v>
      </c>
    </row>
    <row r="3792" spans="1:10" x14ac:dyDescent="0.25">
      <c r="A3792" s="1">
        <v>987</v>
      </c>
      <c r="B3792" t="s">
        <v>19</v>
      </c>
      <c r="C3792">
        <v>700</v>
      </c>
      <c r="D3792">
        <v>0</v>
      </c>
      <c r="E3792" t="s">
        <v>20</v>
      </c>
      <c r="F3792" t="s">
        <v>20</v>
      </c>
      <c r="G3792" t="str">
        <f>"2024-07-31 22:30:26.586"</f>
        <v>2024-07-31 22:30:26.586</v>
      </c>
      <c r="H3792" t="s">
        <v>21</v>
      </c>
    </row>
    <row r="3793" spans="1:10" x14ac:dyDescent="0.25">
      <c r="A3793" s="1">
        <v>988</v>
      </c>
      <c r="B3793" t="s">
        <v>22</v>
      </c>
      <c r="C3793">
        <v>635</v>
      </c>
      <c r="D3793">
        <v>1</v>
      </c>
      <c r="E3793" t="s">
        <v>34</v>
      </c>
      <c r="F3793" t="s">
        <v>35</v>
      </c>
      <c r="G3793" t="str">
        <f>"2024-07-31 17:15:10.976"</f>
        <v>2024-07-31 17:15:10.976</v>
      </c>
      <c r="H3793" t="s">
        <v>21</v>
      </c>
    </row>
    <row r="3794" spans="1:10" x14ac:dyDescent="0.25">
      <c r="A3794" s="1">
        <v>989</v>
      </c>
      <c r="B3794" t="s">
        <v>36</v>
      </c>
      <c r="C3794">
        <v>635</v>
      </c>
      <c r="D3794">
        <v>1</v>
      </c>
      <c r="E3794" t="s">
        <v>34</v>
      </c>
      <c r="F3794" t="s">
        <v>35</v>
      </c>
      <c r="G3794" t="str">
        <f>"2024-07-31 17:12:25.477"</f>
        <v>2024-07-31 17:12:25.477</v>
      </c>
      <c r="H3794" t="s">
        <v>21</v>
      </c>
      <c r="I3794">
        <v>2.11</v>
      </c>
      <c r="J3794" t="s">
        <v>27</v>
      </c>
    </row>
    <row r="3795" spans="1:10" x14ac:dyDescent="0.25">
      <c r="A3795" s="1">
        <v>990</v>
      </c>
      <c r="B3795" t="s">
        <v>19</v>
      </c>
      <c r="C3795">
        <v>700</v>
      </c>
      <c r="D3795">
        <v>0</v>
      </c>
      <c r="E3795" t="s">
        <v>20</v>
      </c>
      <c r="F3795" t="s">
        <v>20</v>
      </c>
      <c r="G3795" t="str">
        <f>"2024-07-30 21:49:35.583"</f>
        <v>2024-07-30 21:49:35.583</v>
      </c>
      <c r="H3795" t="s">
        <v>21</v>
      </c>
    </row>
    <row r="3796" spans="1:10" x14ac:dyDescent="0.25">
      <c r="A3796" s="1">
        <v>991</v>
      </c>
      <c r="B3796" t="s">
        <v>19</v>
      </c>
      <c r="C3796">
        <v>706</v>
      </c>
      <c r="D3796">
        <v>4</v>
      </c>
      <c r="E3796" t="s">
        <v>29</v>
      </c>
      <c r="F3796" t="s">
        <v>53</v>
      </c>
      <c r="G3796" t="str">
        <f>"2024-07-30 13:03:59.164"</f>
        <v>2024-07-30 13:03:59.164</v>
      </c>
      <c r="H3796" t="s">
        <v>21</v>
      </c>
      <c r="I3796">
        <v>0</v>
      </c>
      <c r="J3796" t="s">
        <v>31</v>
      </c>
    </row>
    <row r="3797" spans="1:10" x14ac:dyDescent="0.25">
      <c r="A3797" s="1">
        <v>992</v>
      </c>
      <c r="B3797" t="s">
        <v>19</v>
      </c>
      <c r="C3797">
        <v>706</v>
      </c>
      <c r="D3797">
        <v>3</v>
      </c>
      <c r="E3797" t="s">
        <v>29</v>
      </c>
      <c r="F3797" t="s">
        <v>32</v>
      </c>
      <c r="G3797" t="str">
        <f>"2024-07-30 13:03:46.644"</f>
        <v>2024-07-30 13:03:46.644</v>
      </c>
      <c r="H3797" t="s">
        <v>21</v>
      </c>
      <c r="I3797">
        <v>0</v>
      </c>
      <c r="J3797" t="s">
        <v>31</v>
      </c>
    </row>
    <row r="3798" spans="1:10" x14ac:dyDescent="0.25">
      <c r="A3798" s="1">
        <v>993</v>
      </c>
      <c r="B3798" t="s">
        <v>19</v>
      </c>
      <c r="C3798">
        <v>700</v>
      </c>
      <c r="D3798">
        <v>0</v>
      </c>
      <c r="E3798" t="s">
        <v>20</v>
      </c>
      <c r="F3798" t="s">
        <v>20</v>
      </c>
      <c r="G3798" t="str">
        <f>"2024-07-30 13:03:14.594"</f>
        <v>2024-07-30 13:03:14.594</v>
      </c>
      <c r="H3798" t="s">
        <v>21</v>
      </c>
      <c r="I3798">
        <v>0</v>
      </c>
      <c r="J3798" t="s">
        <v>33</v>
      </c>
    </row>
    <row r="3799" spans="1:10" x14ac:dyDescent="0.25">
      <c r="A3799" s="1">
        <v>994</v>
      </c>
      <c r="B3799" t="s">
        <v>19</v>
      </c>
      <c r="C3799">
        <v>700</v>
      </c>
      <c r="D3799">
        <v>0</v>
      </c>
      <c r="E3799" t="s">
        <v>20</v>
      </c>
      <c r="F3799" t="s">
        <v>20</v>
      </c>
      <c r="G3799" t="str">
        <f>"2024-07-30 03:36:17.588"</f>
        <v>2024-07-30 03:36:17.588</v>
      </c>
      <c r="H3799" t="s">
        <v>21</v>
      </c>
    </row>
    <row r="3800" spans="1:10" x14ac:dyDescent="0.25">
      <c r="A3800" s="1">
        <v>995</v>
      </c>
      <c r="B3800" t="s">
        <v>22</v>
      </c>
      <c r="C3800">
        <v>635</v>
      </c>
      <c r="D3800">
        <v>1</v>
      </c>
      <c r="E3800" t="s">
        <v>34</v>
      </c>
      <c r="F3800" t="s">
        <v>35</v>
      </c>
      <c r="G3800" t="str">
        <f>"2024-07-29 13:13:47.400"</f>
        <v>2024-07-29 13:13:47.400</v>
      </c>
      <c r="H3800" t="s">
        <v>21</v>
      </c>
    </row>
    <row r="3801" spans="1:10" x14ac:dyDescent="0.25">
      <c r="A3801" s="1">
        <v>996</v>
      </c>
      <c r="B3801" t="s">
        <v>36</v>
      </c>
      <c r="C3801">
        <v>635</v>
      </c>
      <c r="D3801">
        <v>1</v>
      </c>
      <c r="E3801" t="s">
        <v>34</v>
      </c>
      <c r="F3801" t="s">
        <v>35</v>
      </c>
      <c r="G3801" t="str">
        <f>"2024-07-29 13:11:04.847"</f>
        <v>2024-07-29 13:11:04.847</v>
      </c>
      <c r="H3801" t="s">
        <v>21</v>
      </c>
      <c r="I3801">
        <v>3.7</v>
      </c>
      <c r="J3801" t="s">
        <v>37</v>
      </c>
    </row>
    <row r="3802" spans="1:10" x14ac:dyDescent="0.25">
      <c r="A3802" s="1">
        <v>997</v>
      </c>
      <c r="B3802" t="s">
        <v>22</v>
      </c>
      <c r="C3802">
        <v>635</v>
      </c>
      <c r="D3802">
        <v>1</v>
      </c>
      <c r="E3802" t="s">
        <v>34</v>
      </c>
      <c r="F3802" t="s">
        <v>35</v>
      </c>
      <c r="G3802" t="str">
        <f>"2024-07-29 12:08:10.447"</f>
        <v>2024-07-29 12:08:10.447</v>
      </c>
      <c r="H3802" t="s">
        <v>21</v>
      </c>
    </row>
    <row r="3803" spans="1:10" x14ac:dyDescent="0.25">
      <c r="A3803" s="1">
        <v>998</v>
      </c>
      <c r="B3803" t="s">
        <v>36</v>
      </c>
      <c r="C3803">
        <v>635</v>
      </c>
      <c r="D3803">
        <v>1</v>
      </c>
      <c r="E3803" t="s">
        <v>34</v>
      </c>
      <c r="F3803" t="s">
        <v>35</v>
      </c>
      <c r="G3803" t="str">
        <f>"2024-07-29 12:05:35.947"</f>
        <v>2024-07-29 12:05:35.947</v>
      </c>
      <c r="H3803" t="s">
        <v>21</v>
      </c>
      <c r="I3803">
        <v>-0.01</v>
      </c>
      <c r="J3803" t="s">
        <v>28</v>
      </c>
    </row>
    <row r="3804" spans="1:10" x14ac:dyDescent="0.25">
      <c r="A3804" s="1">
        <v>999</v>
      </c>
      <c r="B3804" t="s">
        <v>22</v>
      </c>
      <c r="C3804">
        <v>635</v>
      </c>
      <c r="D3804">
        <v>1</v>
      </c>
      <c r="E3804" t="s">
        <v>34</v>
      </c>
      <c r="F3804" t="s">
        <v>35</v>
      </c>
      <c r="G3804" t="str">
        <f>"2024-07-29 02:12:12.447"</f>
        <v>2024-07-29 02:12:12.447</v>
      </c>
      <c r="H3804" t="s">
        <v>21</v>
      </c>
    </row>
  </sheetData>
  <autoFilter ref="A9:J3804" xr:uid="{1B06921C-1C6D-45C0-918D-9574577AD3FF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092246-2D1E-4241-AAC6-7E65D9FD67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events_ru_61_20260719-043441 85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2026-07-18T22:57:14Z</dcterms:modified>
</cp:coreProperties>
</file>
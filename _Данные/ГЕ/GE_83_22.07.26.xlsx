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569EF63-A3FB-4D4E-9DBF-D666A72281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3_20260722-155750 56" sheetId="2" r:id="rId1"/>
    <sheet name="Лист1" sheetId="1" r:id="rId2"/>
  </sheets>
  <definedNames>
    <definedName name="_xlnm._FilterDatabase" localSheetId="0" hidden="1">'events_ru_83_20260722-155750 56'!$C$1:$C$1031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C304EF-7D74-4BE4-A040-E5B594B8583C}" keepAlive="1" name="Запрос — events_ru_83_20260722-155750 563" description="Соединение с запросом &quot;events_ru_83_20260722-155750 563&quot; в книге." type="5" refreshedVersion="0" background="1">
    <dbPr connection="Provider=Microsoft.Mashup.OleDb.1;Data Source=$Workbook$;Location=&quot;events_ru_83_20260722-155750 563&quot;;Extended Properties=&quot;&quot;" command="SELECT * FROM [events_ru_83_20260722-155750 563]"/>
  </connection>
</connections>
</file>

<file path=xl/sharedStrings.xml><?xml version="1.0" encoding="utf-8"?>
<sst xmlns="http://schemas.openxmlformats.org/spreadsheetml/2006/main" count="4719" uniqueCount="87">
  <si>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</si>
  <si>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</si>
  <si>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</si>
  <si>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</si>
  <si>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</si>
  <si>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</si>
  <si>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</si>
  <si>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</si>
  <si>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</si>
  <si>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</si>
  <si>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</si>
  <si>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</si>
  <si>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</si>
  <si>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</si>
  <si>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</si>
  <si>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</si>
  <si>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</si>
  <si>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</si>
  <si>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</si>
  <si>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</si>
  <si>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</si>
  <si>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</si>
  <si>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</si>
  <si>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WRst</t>
  </si>
  <si>
    <t>Низкая мощность</t>
  </si>
  <si>
    <t>Регулировка мощности в отрицательной зоне</t>
  </si>
  <si>
    <t>SRst</t>
  </si>
  <si>
    <t>Сравнение CMD скорости вращения ДВС</t>
  </si>
  <si>
    <t>ОБ/МИН не соответствуют команде</t>
  </si>
  <si>
    <t xml:space="preserve">Log </t>
  </si>
  <si>
    <t>Propel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</si>
  <si>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</si>
  <si>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</si>
  <si>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</si>
  <si>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Команда сохранения данных PTU</t>
  </si>
  <si>
    <t>Инициированное водителем сохранение данных</t>
  </si>
  <si>
    <t>Log+</t>
  </si>
  <si>
    <t>Ready</t>
  </si>
  <si>
    <t>Самосвал перегружен - NR</t>
  </si>
  <si>
    <t>Не доступно</t>
  </si>
  <si>
    <t>Рабочий тормоз на ходу</t>
  </si>
  <si>
    <t>Рабочие тормоза использованы на ходу</t>
  </si>
  <si>
    <t>Retard</t>
  </si>
  <si>
    <t>Вход в безопасный режим файловой системы - Запуск двигателя</t>
  </si>
  <si>
    <t>Превышении скорости</t>
  </si>
  <si>
    <t>Управление скоростью - превышение</t>
  </si>
  <si>
    <t>Останов ДВС во время движения</t>
  </si>
  <si>
    <t>Запрет тяги</t>
  </si>
  <si>
    <t>Rest</t>
  </si>
  <si>
    <t>Reset All Faults</t>
  </si>
  <si>
    <t>Zero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</si>
  <si>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</si>
  <si>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</si>
  <si>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</si>
  <si>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</si>
  <si>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</si>
  <si>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</si>
  <si>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Инв2 Выкл</t>
  </si>
  <si>
    <t>Отключено питание гейт драйвера</t>
  </si>
  <si>
    <t>TMC1 Отказ GDPS1 [FM589]</t>
  </si>
  <si>
    <t>Инв1 Выкл</t>
  </si>
  <si>
    <t>ARst</t>
  </si>
  <si>
    <t>Тест VI не пройден</t>
  </si>
  <si>
    <t>Инвертор</t>
  </si>
  <si>
    <t>Нет питания</t>
  </si>
  <si>
    <t xml:space="preserve">TMC1 ИНВ Фаза А+ </t>
  </si>
  <si>
    <t>Модули фаз A+ и A- вкл.</t>
  </si>
  <si>
    <t>Модуль фазы А+ не выключился</t>
  </si>
  <si>
    <t>Самопроизвольный останов ДВС</t>
  </si>
  <si>
    <t>Unrequested Engine Speed Drop - While Stopped</t>
  </si>
  <si>
    <t>Вход в безопасный режим файловой системы - Ключ или CPS</t>
  </si>
  <si>
    <t>TMC2 Плата ИНВ В/О [C666155]</t>
  </si>
  <si>
    <t>Монитор источника питания оптоволоконной платы</t>
  </si>
  <si>
    <t>TMC1 Плата ИНВ В/О [C666155]</t>
  </si>
  <si>
    <t>Получено предупреждение ДВС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</si>
  <si>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</si>
  <si>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</si>
  <si>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</si>
  <si>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Установка часов реального времени</t>
  </si>
  <si>
    <t>через WebPTU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</si>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</sst>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AC77-54D8-4F4E-973A-46213BFCF222}">
  <dimension ref="A1:J1031"/>
  <sheetViews>
    <sheetView tabSelected="1" workbookViewId="0">
      <selection activeCell="E3" sqref="E3"/>
    </sheetView>
  </sheetViews>
  <sheetFormatPr defaultRowHeight="15" x14ac:dyDescent="0.25"/>
  <cols>
    <col min="1" max="1" width="16" bestFit="1" customWidth="1"/>
    <col min="5" max="5" width="38.57031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"2026-07-22 15:57:50.563"</f>
        <v>2026-07-22 15:57:50.563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"2026-07-22 15:56:11.891"</f>
        <v>2026-07-22 15:56:11.891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"2026-07-22 15:47:36.657"</f>
        <v>2026-07-22 15:47:36.657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"2026-07-22 13:25:42.644"</f>
        <v>2026-07-22 13:25:42.644</v>
      </c>
      <c r="H12" t="s">
        <v>21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"2026-07-22 12:49:01.671"</f>
        <v>2026-07-22 12:49:01.671</v>
      </c>
      <c r="H13" t="s">
        <v>21</v>
      </c>
    </row>
    <row r="14" spans="1:10" x14ac:dyDescent="0.25">
      <c r="A14" s="1"/>
      <c r="B14" t="s">
        <v>23</v>
      </c>
      <c r="C14">
        <v>87</v>
      </c>
      <c r="D14">
        <v>1</v>
      </c>
      <c r="E14" t="s">
        <v>24</v>
      </c>
      <c r="F14" t="s">
        <v>25</v>
      </c>
      <c r="G14" t="str">
        <f>"2026-07-22 01:19:45.144"</f>
        <v>2026-07-22 01:19:45.144</v>
      </c>
      <c r="H14" t="s">
        <v>21</v>
      </c>
    </row>
    <row r="15" spans="1:10" x14ac:dyDescent="0.25">
      <c r="A15" s="1"/>
      <c r="B15" t="s">
        <v>26</v>
      </c>
      <c r="C15">
        <v>89</v>
      </c>
      <c r="D15">
        <v>2</v>
      </c>
      <c r="E15" t="s">
        <v>27</v>
      </c>
      <c r="F15" t="s">
        <v>28</v>
      </c>
      <c r="G15" t="str">
        <f>"2026-07-22 01:19:25.464"</f>
        <v>2026-07-22 01:19:25.464</v>
      </c>
      <c r="H15" t="s">
        <v>21</v>
      </c>
    </row>
    <row r="16" spans="1:10" x14ac:dyDescent="0.25">
      <c r="A16" s="1"/>
      <c r="B16" t="s">
        <v>29</v>
      </c>
      <c r="C16">
        <v>89</v>
      </c>
      <c r="D16">
        <v>2</v>
      </c>
      <c r="E16" t="s">
        <v>27</v>
      </c>
      <c r="F16" t="s">
        <v>28</v>
      </c>
      <c r="G16" t="str">
        <f>"2026-07-22 01:17:55.164"</f>
        <v>2026-07-22 01:17:55.164</v>
      </c>
      <c r="H16" t="s">
        <v>21</v>
      </c>
      <c r="I16">
        <v>4.7</v>
      </c>
      <c r="J16" t="s">
        <v>30</v>
      </c>
    </row>
    <row r="17" spans="1:10" x14ac:dyDescent="0.25">
      <c r="A17" s="1"/>
      <c r="B17" t="s">
        <v>29</v>
      </c>
      <c r="C17">
        <v>87</v>
      </c>
      <c r="D17">
        <v>1</v>
      </c>
      <c r="E17" t="s">
        <v>24</v>
      </c>
      <c r="F17" t="s">
        <v>25</v>
      </c>
      <c r="G17" t="str">
        <f>"2026-07-22 01:14:40.103"</f>
        <v>2026-07-22 01:14:40.103</v>
      </c>
      <c r="H17" t="s">
        <v>21</v>
      </c>
      <c r="I17">
        <v>5.0999999999999996</v>
      </c>
      <c r="J17" t="s">
        <v>30</v>
      </c>
    </row>
    <row r="18" spans="1:10" x14ac:dyDescent="0.25">
      <c r="A18" s="1"/>
      <c r="B18" t="s">
        <v>26</v>
      </c>
      <c r="C18">
        <v>89</v>
      </c>
      <c r="D18">
        <v>2</v>
      </c>
      <c r="E18" t="s">
        <v>27</v>
      </c>
      <c r="F18" t="s">
        <v>28</v>
      </c>
      <c r="G18" t="str">
        <f>"2026-07-22 01:14:10.264"</f>
        <v>2026-07-22 01:14:10.264</v>
      </c>
      <c r="H18" t="s">
        <v>21</v>
      </c>
    </row>
    <row r="19" spans="1:10" x14ac:dyDescent="0.25">
      <c r="A19" s="1"/>
      <c r="B19" t="s">
        <v>29</v>
      </c>
      <c r="C19">
        <v>89</v>
      </c>
      <c r="D19">
        <v>2</v>
      </c>
      <c r="E19" t="s">
        <v>27</v>
      </c>
      <c r="F19" t="s">
        <v>28</v>
      </c>
      <c r="G19" t="str">
        <f>"2026-07-22 01:12:38.464"</f>
        <v>2026-07-22 01:12:38.464</v>
      </c>
      <c r="H19" t="s">
        <v>21</v>
      </c>
      <c r="I19">
        <v>5.36</v>
      </c>
      <c r="J19" t="s">
        <v>30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"2026-07-21 19:40:45.878"</f>
        <v>2026-07-21 19:40:45.878</v>
      </c>
      <c r="H20" t="s">
        <v>21</v>
      </c>
      <c r="I20">
        <v>0</v>
      </c>
      <c r="J20" t="s">
        <v>22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"2026-07-21 13:36:15.696"</f>
        <v>2026-07-21 13:36:15.696</v>
      </c>
      <c r="H21" t="s">
        <v>21</v>
      </c>
      <c r="I21">
        <v>0</v>
      </c>
      <c r="J21" t="s">
        <v>22</v>
      </c>
    </row>
    <row r="22" spans="1:10" x14ac:dyDescent="0.25">
      <c r="A22" s="1">
        <v>2</v>
      </c>
      <c r="B22" t="s">
        <v>23</v>
      </c>
      <c r="C22">
        <v>87</v>
      </c>
      <c r="D22">
        <v>1</v>
      </c>
      <c r="E22" t="s">
        <v>24</v>
      </c>
      <c r="F22" t="s">
        <v>25</v>
      </c>
      <c r="G22" t="str">
        <f>"2026-07-21 12:20:06.834"</f>
        <v>2026-07-21 12:20:06.834</v>
      </c>
      <c r="H22" t="s">
        <v>21</v>
      </c>
    </row>
    <row r="23" spans="1:10" x14ac:dyDescent="0.25">
      <c r="A23" s="1">
        <v>3</v>
      </c>
      <c r="B23" t="s">
        <v>29</v>
      </c>
      <c r="C23">
        <v>87</v>
      </c>
      <c r="D23">
        <v>1</v>
      </c>
      <c r="E23" t="s">
        <v>24</v>
      </c>
      <c r="F23" t="s">
        <v>25</v>
      </c>
      <c r="G23" t="str">
        <f>"2026-07-21 12:04:30.986"</f>
        <v>2026-07-21 12:04:30.986</v>
      </c>
      <c r="H23" t="s">
        <v>21</v>
      </c>
      <c r="I23">
        <v>5.27</v>
      </c>
      <c r="J23" t="s">
        <v>30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"2026-07-20 23:27:18.976"</f>
        <v>2026-07-20 23:27:18.976</v>
      </c>
      <c r="H24" t="s">
        <v>21</v>
      </c>
      <c r="I24">
        <v>0</v>
      </c>
      <c r="J24" t="s">
        <v>22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"2026-07-20 14:11:43.644"</f>
        <v>2026-07-20 14:11:43.644</v>
      </c>
      <c r="H25" t="s">
        <v>21</v>
      </c>
      <c r="I25">
        <v>0</v>
      </c>
      <c r="J25" t="s">
        <v>22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"2026-07-20 14:01:54.710"</f>
        <v>2026-07-20 14:01:54.710</v>
      </c>
      <c r="H26" t="s">
        <v>21</v>
      </c>
      <c r="I26">
        <v>0</v>
      </c>
      <c r="J26" t="s">
        <v>22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"2026-07-20 13:36:15.632"</f>
        <v>2026-07-20 13:36:15.632</v>
      </c>
      <c r="H27" t="s">
        <v>21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"2026-07-20 13:22:28.634"</f>
        <v>2026-07-20 13:22:28.634</v>
      </c>
      <c r="H28" t="s">
        <v>21</v>
      </c>
      <c r="I28">
        <v>0</v>
      </c>
      <c r="J28" t="s">
        <v>22</v>
      </c>
    </row>
    <row r="29" spans="1:10" x14ac:dyDescent="0.25">
      <c r="A29" s="1">
        <v>9</v>
      </c>
      <c r="B29" t="s">
        <v>19</v>
      </c>
      <c r="C29">
        <v>706</v>
      </c>
      <c r="D29">
        <v>4</v>
      </c>
      <c r="E29" t="s">
        <v>31</v>
      </c>
      <c r="F29" t="s">
        <v>32</v>
      </c>
      <c r="G29" t="str">
        <f>"2026-07-20 10:49:21.461"</f>
        <v>2026-07-20 10:49:21.461</v>
      </c>
      <c r="H29" t="s">
        <v>21</v>
      </c>
      <c r="I29">
        <v>0</v>
      </c>
      <c r="J29" t="s">
        <v>33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"2026-07-20 10:39:37.651"</f>
        <v>2026-07-20 10:39:37.651</v>
      </c>
      <c r="H30" t="s">
        <v>21</v>
      </c>
    </row>
    <row r="31" spans="1:10" x14ac:dyDescent="0.25">
      <c r="A31" s="1">
        <v>1</v>
      </c>
      <c r="B31" t="s">
        <v>19</v>
      </c>
      <c r="C31">
        <v>706</v>
      </c>
      <c r="D31">
        <v>4</v>
      </c>
      <c r="E31" t="s">
        <v>31</v>
      </c>
      <c r="F31" t="s">
        <v>32</v>
      </c>
      <c r="G31" t="str">
        <f>"2026-07-20 01:23:52.386"</f>
        <v>2026-07-20 01:23:52.386</v>
      </c>
      <c r="H31" t="s">
        <v>21</v>
      </c>
      <c r="I31">
        <v>0</v>
      </c>
      <c r="J31" t="s">
        <v>33</v>
      </c>
    </row>
    <row r="32" spans="1:10" x14ac:dyDescent="0.25">
      <c r="A32" s="1">
        <v>2</v>
      </c>
      <c r="B32" t="s">
        <v>26</v>
      </c>
      <c r="C32">
        <v>98</v>
      </c>
      <c r="D32">
        <v>1</v>
      </c>
      <c r="E32" t="s">
        <v>34</v>
      </c>
      <c r="F32" t="s">
        <v>35</v>
      </c>
      <c r="G32" t="str">
        <f>"2026-07-19 23:01:10.045"</f>
        <v>2026-07-19 23:01:10.045</v>
      </c>
      <c r="H32" t="s">
        <v>21</v>
      </c>
    </row>
    <row r="33" spans="1:10" x14ac:dyDescent="0.25">
      <c r="A33" s="1">
        <v>3</v>
      </c>
      <c r="B33" t="s">
        <v>36</v>
      </c>
      <c r="C33">
        <v>98</v>
      </c>
      <c r="D33">
        <v>1</v>
      </c>
      <c r="E33" t="s">
        <v>34</v>
      </c>
      <c r="F33" t="s">
        <v>35</v>
      </c>
      <c r="G33" t="str">
        <f>"2026-07-19 23:01:08.945"</f>
        <v>2026-07-19 23:01:08.945</v>
      </c>
      <c r="H33" t="s">
        <v>21</v>
      </c>
      <c r="I33">
        <v>0</v>
      </c>
      <c r="J33" t="s">
        <v>37</v>
      </c>
    </row>
    <row r="34" spans="1:10" x14ac:dyDescent="0.25">
      <c r="A34" s="1">
        <v>4</v>
      </c>
      <c r="B34" t="s">
        <v>26</v>
      </c>
      <c r="C34">
        <v>98</v>
      </c>
      <c r="D34">
        <v>1</v>
      </c>
      <c r="E34" t="s">
        <v>34</v>
      </c>
      <c r="F34" t="s">
        <v>35</v>
      </c>
      <c r="G34" t="str">
        <f>"2026-07-19 23:01:07.844"</f>
        <v>2026-07-19 23:01:07.844</v>
      </c>
      <c r="H34" t="s">
        <v>21</v>
      </c>
    </row>
    <row r="35" spans="1:10" x14ac:dyDescent="0.25">
      <c r="A35" s="1">
        <v>5</v>
      </c>
      <c r="B35" t="s">
        <v>36</v>
      </c>
      <c r="C35">
        <v>98</v>
      </c>
      <c r="D35">
        <v>1</v>
      </c>
      <c r="E35" t="s">
        <v>34</v>
      </c>
      <c r="F35" t="s">
        <v>35</v>
      </c>
      <c r="G35" t="str">
        <f>"2026-07-19 23:01:06.745"</f>
        <v>2026-07-19 23:01:06.745</v>
      </c>
      <c r="H35" t="s">
        <v>21</v>
      </c>
      <c r="I35">
        <v>0</v>
      </c>
      <c r="J35" t="s">
        <v>37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"2026-07-19 22:44:27.666"</f>
        <v>2026-07-19 22:44:27.666</v>
      </c>
      <c r="H36" t="s">
        <v>21</v>
      </c>
    </row>
    <row r="37" spans="1:10" x14ac:dyDescent="0.25">
      <c r="A37" s="1">
        <v>7</v>
      </c>
      <c r="B37" t="s">
        <v>19</v>
      </c>
      <c r="C37">
        <v>706</v>
      </c>
      <c r="D37">
        <v>4</v>
      </c>
      <c r="E37" t="s">
        <v>31</v>
      </c>
      <c r="F37" t="s">
        <v>32</v>
      </c>
      <c r="G37" t="str">
        <f>"2026-07-19 10:58:53.645"</f>
        <v>2026-07-19 10:58:53.645</v>
      </c>
      <c r="H37" t="s">
        <v>21</v>
      </c>
      <c r="I37">
        <v>0</v>
      </c>
      <c r="J37" t="s">
        <v>33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"2026-07-19 10:50:53.645"</f>
        <v>2026-07-19 10:50:53.645</v>
      </c>
      <c r="H38" t="s">
        <v>21</v>
      </c>
      <c r="I38">
        <v>0</v>
      </c>
      <c r="J38" t="s">
        <v>22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"2026-07-19 10:20:09.813"</f>
        <v>2026-07-19 10:20:09.813</v>
      </c>
      <c r="H39" t="s">
        <v>21</v>
      </c>
      <c r="I39">
        <v>0</v>
      </c>
      <c r="J39" t="s">
        <v>22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"2026-07-19 05:11:37.660"</f>
        <v>2026-07-19 05:11:37.660</v>
      </c>
      <c r="H40" t="s">
        <v>21</v>
      </c>
      <c r="I40">
        <v>0</v>
      </c>
      <c r="J40" t="s">
        <v>22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"2026-07-19 01:16:04.635"</f>
        <v>2026-07-19 01:16:04.635</v>
      </c>
      <c r="H41" t="s">
        <v>21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"2026-07-18 22:41:13.676"</f>
        <v>2026-07-18 22:41:13.676</v>
      </c>
      <c r="H42" t="s">
        <v>21</v>
      </c>
      <c r="I42">
        <v>0</v>
      </c>
      <c r="J42" t="s">
        <v>22</v>
      </c>
    </row>
    <row r="43" spans="1:10" x14ac:dyDescent="0.25">
      <c r="A43" s="1">
        <v>3</v>
      </c>
      <c r="B43" t="s">
        <v>26</v>
      </c>
      <c r="C43">
        <v>635</v>
      </c>
      <c r="D43">
        <v>1</v>
      </c>
      <c r="E43" t="s">
        <v>38</v>
      </c>
      <c r="F43" t="s">
        <v>39</v>
      </c>
      <c r="G43" t="str">
        <f>"2026-07-18 09:08:56.704"</f>
        <v>2026-07-18 09:08:56.704</v>
      </c>
      <c r="H43" t="s">
        <v>21</v>
      </c>
    </row>
    <row r="44" spans="1:10" x14ac:dyDescent="0.25">
      <c r="A44" s="1">
        <v>4</v>
      </c>
      <c r="B44" t="s">
        <v>36</v>
      </c>
      <c r="C44">
        <v>635</v>
      </c>
      <c r="D44">
        <v>1</v>
      </c>
      <c r="E44" t="s">
        <v>38</v>
      </c>
      <c r="F44" t="s">
        <v>39</v>
      </c>
      <c r="G44" t="str">
        <f>"2026-07-18 09:04:34.704"</f>
        <v>2026-07-18 09:04:34.704</v>
      </c>
      <c r="H44" t="s">
        <v>21</v>
      </c>
      <c r="I44">
        <v>0.03</v>
      </c>
      <c r="J44" t="s">
        <v>37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"2026-07-18 01:56:55.833"</f>
        <v>2026-07-18 01:56:55.833</v>
      </c>
      <c r="H45" t="s">
        <v>21</v>
      </c>
      <c r="I45">
        <v>0</v>
      </c>
      <c r="J45" t="s">
        <v>22</v>
      </c>
    </row>
    <row r="46" spans="1:10" x14ac:dyDescent="0.25">
      <c r="A46" s="1">
        <v>6</v>
      </c>
      <c r="B46" t="s">
        <v>19</v>
      </c>
      <c r="C46">
        <v>706</v>
      </c>
      <c r="D46">
        <v>4</v>
      </c>
      <c r="E46" t="s">
        <v>31</v>
      </c>
      <c r="F46" t="s">
        <v>32</v>
      </c>
      <c r="G46" t="str">
        <f>"2026-07-18 01:54:58.166"</f>
        <v>2026-07-18 01:54:58.166</v>
      </c>
      <c r="H46" t="s">
        <v>21</v>
      </c>
      <c r="I46">
        <v>0</v>
      </c>
      <c r="J46" t="s">
        <v>33</v>
      </c>
    </row>
    <row r="47" spans="1:10" x14ac:dyDescent="0.25">
      <c r="A47" s="1">
        <v>7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"2026-07-17 23:07:19.626"</f>
        <v>2026-07-17 23:07:19.626</v>
      </c>
      <c r="H47" t="s">
        <v>21</v>
      </c>
    </row>
    <row r="48" spans="1:10" x14ac:dyDescent="0.25">
      <c r="A48" s="1">
        <v>8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"2026-07-17 18:47:57.626"</f>
        <v>2026-07-17 18:47:57.626</v>
      </c>
      <c r="H48" t="s">
        <v>21</v>
      </c>
    </row>
    <row r="49" spans="1:10" x14ac:dyDescent="0.25">
      <c r="A49" s="1">
        <v>9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"2026-07-17 18:20:22.632"</f>
        <v>2026-07-17 18:20:22.632</v>
      </c>
      <c r="H49" t="s">
        <v>21</v>
      </c>
    </row>
    <row r="50" spans="1:10" x14ac:dyDescent="0.25">
      <c r="A50" s="1">
        <v>0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"2026-07-17 17:45:39.857"</f>
        <v>2026-07-17 17:45:39.857</v>
      </c>
      <c r="H50" t="s">
        <v>21</v>
      </c>
      <c r="I50">
        <v>0</v>
      </c>
      <c r="J50" t="s">
        <v>22</v>
      </c>
    </row>
    <row r="51" spans="1:10" s="3" customFormat="1" x14ac:dyDescent="0.25">
      <c r="A51" s="2">
        <v>1</v>
      </c>
      <c r="B51" s="3" t="s">
        <v>26</v>
      </c>
      <c r="C51" s="3">
        <v>647</v>
      </c>
      <c r="D51" s="3">
        <v>1</v>
      </c>
      <c r="E51" s="3" t="s">
        <v>40</v>
      </c>
      <c r="F51" s="3" t="s">
        <v>41</v>
      </c>
      <c r="G51" s="3" t="str">
        <f>"2026-07-17 10:09:52.106"</f>
        <v>2026-07-17 10:09:52.106</v>
      </c>
      <c r="H51" s="3" t="s">
        <v>21</v>
      </c>
    </row>
    <row r="52" spans="1:10" s="3" customFormat="1" x14ac:dyDescent="0.25">
      <c r="A52" s="2">
        <v>2</v>
      </c>
      <c r="B52" s="3" t="s">
        <v>36</v>
      </c>
      <c r="C52" s="3">
        <v>647</v>
      </c>
      <c r="D52" s="3">
        <v>1</v>
      </c>
      <c r="E52" s="3" t="s">
        <v>40</v>
      </c>
      <c r="F52" s="3" t="s">
        <v>41</v>
      </c>
      <c r="G52" s="3" t="str">
        <f>"2026-07-17 10:09:36.206"</f>
        <v>2026-07-17 10:09:36.206</v>
      </c>
      <c r="H52" s="3" t="s">
        <v>21</v>
      </c>
      <c r="I52" s="3">
        <v>17.36</v>
      </c>
      <c r="J52" s="3" t="s">
        <v>42</v>
      </c>
    </row>
    <row r="53" spans="1:10" x14ac:dyDescent="0.25">
      <c r="A53" s="1">
        <v>3</v>
      </c>
      <c r="B53" t="s">
        <v>19</v>
      </c>
      <c r="C53">
        <v>706</v>
      </c>
      <c r="D53">
        <v>2</v>
      </c>
      <c r="E53" t="s">
        <v>31</v>
      </c>
      <c r="F53" t="s">
        <v>43</v>
      </c>
      <c r="G53" t="str">
        <f>"2026-07-17 01:29:31.235"</f>
        <v>2026-07-17 01:29:31.235</v>
      </c>
      <c r="H53" t="s">
        <v>21</v>
      </c>
      <c r="I53">
        <v>0</v>
      </c>
      <c r="J53" t="s">
        <v>33</v>
      </c>
    </row>
    <row r="54" spans="1:10" x14ac:dyDescent="0.25">
      <c r="A54" s="1">
        <v>4</v>
      </c>
      <c r="B54" t="s">
        <v>26</v>
      </c>
      <c r="C54">
        <v>61</v>
      </c>
      <c r="D54">
        <v>2</v>
      </c>
      <c r="E54" t="s">
        <v>44</v>
      </c>
      <c r="F54" t="s">
        <v>45</v>
      </c>
      <c r="G54" t="str">
        <f>"2026-07-16 19:31:53.506"</f>
        <v>2026-07-16 19:31:53.506</v>
      </c>
      <c r="H54" t="s">
        <v>21</v>
      </c>
    </row>
    <row r="55" spans="1:10" x14ac:dyDescent="0.25">
      <c r="A55" s="1">
        <v>5</v>
      </c>
      <c r="B55" t="s">
        <v>29</v>
      </c>
      <c r="C55">
        <v>61</v>
      </c>
      <c r="D55">
        <v>2</v>
      </c>
      <c r="E55" t="s">
        <v>44</v>
      </c>
      <c r="F55" t="s">
        <v>45</v>
      </c>
      <c r="G55" t="str">
        <f>"2026-07-16 19:31:40.006"</f>
        <v>2026-07-16 19:31:40.006</v>
      </c>
      <c r="H55" t="s">
        <v>21</v>
      </c>
      <c r="I55">
        <v>30.64</v>
      </c>
      <c r="J55" t="s">
        <v>42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"2026-07-16 13:30:24.635"</f>
        <v>2026-07-16 13:30:24.635</v>
      </c>
      <c r="H56" t="s">
        <v>21</v>
      </c>
      <c r="I56">
        <v>0</v>
      </c>
      <c r="J56" t="s">
        <v>22</v>
      </c>
    </row>
    <row r="57" spans="1:10" x14ac:dyDescent="0.25">
      <c r="A57" s="1">
        <v>7</v>
      </c>
      <c r="B57" t="s">
        <v>19</v>
      </c>
      <c r="C57">
        <v>706</v>
      </c>
      <c r="D57">
        <v>4</v>
      </c>
      <c r="E57" t="s">
        <v>31</v>
      </c>
      <c r="F57" t="s">
        <v>32</v>
      </c>
      <c r="G57" t="str">
        <f>"2026-07-16 01:48:17.521"</f>
        <v>2026-07-16 01:48:17.521</v>
      </c>
      <c r="H57" t="s">
        <v>21</v>
      </c>
      <c r="I57">
        <v>0</v>
      </c>
      <c r="J57" t="s">
        <v>33</v>
      </c>
    </row>
    <row r="58" spans="1:10" x14ac:dyDescent="0.25">
      <c r="A58" s="1">
        <v>8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"2026-07-15 01:02:56.651"</f>
        <v>2026-07-15 01:02:56.651</v>
      </c>
      <c r="H58" t="s">
        <v>21</v>
      </c>
    </row>
    <row r="59" spans="1:10" x14ac:dyDescent="0.25">
      <c r="A59" s="1">
        <v>9</v>
      </c>
      <c r="B59" t="s">
        <v>26</v>
      </c>
      <c r="C59">
        <v>635</v>
      </c>
      <c r="D59">
        <v>1</v>
      </c>
      <c r="E59" t="s">
        <v>38</v>
      </c>
      <c r="F59" t="s">
        <v>39</v>
      </c>
      <c r="G59" t="str">
        <f>"2026-07-14 16:04:51.875"</f>
        <v>2026-07-14 16:04:51.875</v>
      </c>
      <c r="H59" t="s">
        <v>21</v>
      </c>
    </row>
    <row r="60" spans="1:10" x14ac:dyDescent="0.25">
      <c r="A60" s="1">
        <v>0</v>
      </c>
      <c r="B60" t="s">
        <v>36</v>
      </c>
      <c r="C60">
        <v>635</v>
      </c>
      <c r="D60">
        <v>1</v>
      </c>
      <c r="E60" t="s">
        <v>38</v>
      </c>
      <c r="F60" t="s">
        <v>39</v>
      </c>
      <c r="G60" t="str">
        <f>"2026-07-14 16:02:51.875"</f>
        <v>2026-07-14 16:02:51.875</v>
      </c>
      <c r="H60" t="s">
        <v>21</v>
      </c>
      <c r="I60">
        <v>4.13</v>
      </c>
      <c r="J60" t="s">
        <v>30</v>
      </c>
    </row>
    <row r="61" spans="1:10" x14ac:dyDescent="0.25">
      <c r="A61" s="1">
        <v>2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"2026-07-14 12:46:55.658"</f>
        <v>2026-07-14 12:46:55.658</v>
      </c>
      <c r="H61" t="s">
        <v>21</v>
      </c>
      <c r="I61">
        <v>0</v>
      </c>
      <c r="J61" t="s">
        <v>22</v>
      </c>
    </row>
    <row r="62" spans="1:10" x14ac:dyDescent="0.25">
      <c r="A62" s="1">
        <v>3</v>
      </c>
      <c r="B62" t="s">
        <v>26</v>
      </c>
      <c r="C62">
        <v>635</v>
      </c>
      <c r="D62">
        <v>1</v>
      </c>
      <c r="E62" t="s">
        <v>38</v>
      </c>
      <c r="F62" t="s">
        <v>39</v>
      </c>
      <c r="G62" t="str">
        <f>"2026-07-13 05:46:17.630"</f>
        <v>2026-07-13 05:46:17.630</v>
      </c>
      <c r="H62" t="s">
        <v>21</v>
      </c>
    </row>
    <row r="63" spans="1:10" x14ac:dyDescent="0.25">
      <c r="A63" s="1">
        <v>4</v>
      </c>
      <c r="B63" t="s">
        <v>36</v>
      </c>
      <c r="C63">
        <v>635</v>
      </c>
      <c r="D63">
        <v>1</v>
      </c>
      <c r="E63" t="s">
        <v>38</v>
      </c>
      <c r="F63" t="s">
        <v>39</v>
      </c>
      <c r="G63" t="str">
        <f>"2026-07-13 05:43:38.130"</f>
        <v>2026-07-13 05:43:38.130</v>
      </c>
      <c r="H63" t="s">
        <v>21</v>
      </c>
      <c r="I63">
        <v>2.02</v>
      </c>
      <c r="J63" t="s">
        <v>42</v>
      </c>
    </row>
    <row r="64" spans="1:10" x14ac:dyDescent="0.25">
      <c r="A64" s="1">
        <v>6</v>
      </c>
      <c r="B64" t="s">
        <v>19</v>
      </c>
      <c r="C64">
        <v>706</v>
      </c>
      <c r="D64">
        <v>2</v>
      </c>
      <c r="E64" t="s">
        <v>31</v>
      </c>
      <c r="F64" t="s">
        <v>43</v>
      </c>
      <c r="G64" t="str">
        <f>"2026-07-13 01:32:05.880"</f>
        <v>2026-07-13 01:32:05.880</v>
      </c>
      <c r="H64" t="s">
        <v>21</v>
      </c>
      <c r="I64">
        <v>0</v>
      </c>
      <c r="J64" t="s">
        <v>33</v>
      </c>
    </row>
    <row r="65" spans="1:10" x14ac:dyDescent="0.25">
      <c r="A65" s="1">
        <v>7</v>
      </c>
      <c r="B65" t="s">
        <v>26</v>
      </c>
      <c r="C65">
        <v>635</v>
      </c>
      <c r="D65">
        <v>1</v>
      </c>
      <c r="E65" t="s">
        <v>38</v>
      </c>
      <c r="F65" t="s">
        <v>39</v>
      </c>
      <c r="G65" t="str">
        <f>"2026-07-13 00:05:52.030"</f>
        <v>2026-07-13 00:05:52.030</v>
      </c>
      <c r="H65" t="s">
        <v>21</v>
      </c>
    </row>
    <row r="66" spans="1:10" x14ac:dyDescent="0.25">
      <c r="A66" s="1">
        <v>8</v>
      </c>
      <c r="B66" t="s">
        <v>36</v>
      </c>
      <c r="C66">
        <v>635</v>
      </c>
      <c r="D66">
        <v>1</v>
      </c>
      <c r="E66" t="s">
        <v>38</v>
      </c>
      <c r="F66" t="s">
        <v>39</v>
      </c>
      <c r="G66" t="str">
        <f>"2026-07-13 00:03:38.030"</f>
        <v>2026-07-13 00:03:38.030</v>
      </c>
      <c r="H66" t="s">
        <v>21</v>
      </c>
      <c r="I66">
        <v>-0.21</v>
      </c>
      <c r="J66" t="s">
        <v>37</v>
      </c>
    </row>
    <row r="67" spans="1:10" x14ac:dyDescent="0.25">
      <c r="A67" s="1">
        <v>9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"2026-07-12 04:28:15.650"</f>
        <v>2026-07-12 04:28:15.650</v>
      </c>
      <c r="H67" t="s">
        <v>21</v>
      </c>
      <c r="I67">
        <v>0</v>
      </c>
      <c r="J67" t="s">
        <v>22</v>
      </c>
    </row>
    <row r="68" spans="1:10" x14ac:dyDescent="0.25">
      <c r="A68" s="1">
        <v>0</v>
      </c>
      <c r="B68" t="s">
        <v>19</v>
      </c>
      <c r="C68">
        <v>706</v>
      </c>
      <c r="D68">
        <v>4</v>
      </c>
      <c r="E68" t="s">
        <v>31</v>
      </c>
      <c r="F68" t="s">
        <v>32</v>
      </c>
      <c r="G68" t="str">
        <f>"2026-07-12 01:41:13.046"</f>
        <v>2026-07-12 01:41:13.046</v>
      </c>
      <c r="H68" t="s">
        <v>21</v>
      </c>
      <c r="I68">
        <v>0</v>
      </c>
      <c r="J68" t="s">
        <v>33</v>
      </c>
    </row>
    <row r="69" spans="1:10" x14ac:dyDescent="0.25">
      <c r="A69" s="1">
        <v>1</v>
      </c>
      <c r="B69" t="s">
        <v>19</v>
      </c>
      <c r="C69">
        <v>706</v>
      </c>
      <c r="D69">
        <v>4</v>
      </c>
      <c r="E69" t="s">
        <v>31</v>
      </c>
      <c r="F69" t="s">
        <v>32</v>
      </c>
      <c r="G69" t="str">
        <f>"2026-07-11 09:58:11.456"</f>
        <v>2026-07-11 09:58:11.456</v>
      </c>
      <c r="H69" t="s">
        <v>21</v>
      </c>
      <c r="I69">
        <v>0</v>
      </c>
      <c r="J69" t="s">
        <v>33</v>
      </c>
    </row>
    <row r="70" spans="1:10" x14ac:dyDescent="0.25">
      <c r="A70" s="1">
        <v>2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"2026-07-11 09:57:56.656"</f>
        <v>2026-07-11 09:57:56.656</v>
      </c>
      <c r="H70" t="s">
        <v>21</v>
      </c>
      <c r="I70">
        <v>0</v>
      </c>
      <c r="J70" t="s">
        <v>22</v>
      </c>
    </row>
    <row r="71" spans="1:10" x14ac:dyDescent="0.25">
      <c r="A71" s="1">
        <v>3</v>
      </c>
      <c r="B71" t="s">
        <v>19</v>
      </c>
      <c r="C71">
        <v>706</v>
      </c>
      <c r="D71">
        <v>4</v>
      </c>
      <c r="E71" t="s">
        <v>31</v>
      </c>
      <c r="F71" t="s">
        <v>32</v>
      </c>
      <c r="G71" t="str">
        <f>"2026-07-11 01:16:03.743"</f>
        <v>2026-07-11 01:16:03.743</v>
      </c>
      <c r="H71" t="s">
        <v>21</v>
      </c>
      <c r="I71">
        <v>0</v>
      </c>
      <c r="J71" t="s">
        <v>33</v>
      </c>
    </row>
    <row r="72" spans="1:10" x14ac:dyDescent="0.25">
      <c r="A72" s="1">
        <v>4</v>
      </c>
      <c r="B72" t="s">
        <v>19</v>
      </c>
      <c r="C72">
        <v>706</v>
      </c>
      <c r="D72">
        <v>2</v>
      </c>
      <c r="E72" t="s">
        <v>31</v>
      </c>
      <c r="F72" t="s">
        <v>43</v>
      </c>
      <c r="G72" t="str">
        <f>"2026-07-10 20:01:01.133"</f>
        <v>2026-07-10 20:01:01.133</v>
      </c>
      <c r="H72" t="s">
        <v>21</v>
      </c>
      <c r="I72">
        <v>0</v>
      </c>
      <c r="J72" t="s">
        <v>33</v>
      </c>
    </row>
    <row r="73" spans="1:10" x14ac:dyDescent="0.25">
      <c r="A73" s="1">
        <v>5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"2026-07-10 19:59:48.623"</f>
        <v>2026-07-10 19:59:48.623</v>
      </c>
      <c r="H73" t="s">
        <v>21</v>
      </c>
    </row>
    <row r="74" spans="1:10" x14ac:dyDescent="0.25">
      <c r="A74" s="1">
        <v>6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"2026-07-10 17:17:58.621"</f>
        <v>2026-07-10 17:17:58.621</v>
      </c>
      <c r="H74" t="s">
        <v>21</v>
      </c>
    </row>
    <row r="75" spans="1:10" x14ac:dyDescent="0.25">
      <c r="A75" s="1">
        <v>7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"2026-07-10 09:10:42.751"</f>
        <v>2026-07-10 09:10:42.751</v>
      </c>
      <c r="H75" t="s">
        <v>21</v>
      </c>
    </row>
    <row r="76" spans="1:10" x14ac:dyDescent="0.25">
      <c r="A76" s="1">
        <v>8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"2026-07-10 05:47:25.869"</f>
        <v>2026-07-10 05:47:25.869</v>
      </c>
      <c r="H76" t="s">
        <v>21</v>
      </c>
      <c r="I76">
        <v>0</v>
      </c>
      <c r="J76" t="s">
        <v>22</v>
      </c>
    </row>
    <row r="77" spans="1:10" x14ac:dyDescent="0.25">
      <c r="A77" s="1">
        <v>9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"2026-07-10 05:37:29.650"</f>
        <v>2026-07-10 05:37:29.650</v>
      </c>
      <c r="H77" t="s">
        <v>21</v>
      </c>
      <c r="I77">
        <v>0</v>
      </c>
      <c r="J77" t="s">
        <v>22</v>
      </c>
    </row>
    <row r="78" spans="1:10" x14ac:dyDescent="0.25">
      <c r="A78" s="1">
        <v>0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"2026-07-10 00:24:30.669"</f>
        <v>2026-07-10 00:24:30.669</v>
      </c>
      <c r="H78" t="s">
        <v>21</v>
      </c>
      <c r="I78">
        <v>0</v>
      </c>
      <c r="J78" t="s">
        <v>22</v>
      </c>
    </row>
    <row r="79" spans="1:10" x14ac:dyDescent="0.25">
      <c r="A79" s="1">
        <v>1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"2026-07-09 13:59:44.632"</f>
        <v>2026-07-09 13:59:44.632</v>
      </c>
      <c r="H79" t="s">
        <v>21</v>
      </c>
      <c r="I79">
        <v>0</v>
      </c>
      <c r="J79" t="s">
        <v>22</v>
      </c>
    </row>
    <row r="80" spans="1:10" s="3" customFormat="1" x14ac:dyDescent="0.25">
      <c r="A80" s="2">
        <v>2</v>
      </c>
      <c r="B80" s="3" t="s">
        <v>26</v>
      </c>
      <c r="C80" s="3">
        <v>647</v>
      </c>
      <c r="D80" s="3">
        <v>1</v>
      </c>
      <c r="E80" s="3" t="s">
        <v>40</v>
      </c>
      <c r="F80" s="3" t="s">
        <v>41</v>
      </c>
      <c r="G80" s="3" t="str">
        <f>"2026-07-09 09:52:21.793"</f>
        <v>2026-07-09 09:52:21.793</v>
      </c>
      <c r="H80" s="3" t="s">
        <v>21</v>
      </c>
    </row>
    <row r="81" spans="1:10" s="3" customFormat="1" x14ac:dyDescent="0.25">
      <c r="A81" s="2">
        <v>3</v>
      </c>
      <c r="B81" s="3" t="s">
        <v>36</v>
      </c>
      <c r="C81" s="3">
        <v>647</v>
      </c>
      <c r="D81" s="3">
        <v>1</v>
      </c>
      <c r="E81" s="3" t="s">
        <v>40</v>
      </c>
      <c r="F81" s="3" t="s">
        <v>41</v>
      </c>
      <c r="G81" s="3" t="str">
        <f>"2026-07-09 09:52:06.394"</f>
        <v>2026-07-09 09:52:06.394</v>
      </c>
      <c r="H81" s="3" t="s">
        <v>21</v>
      </c>
      <c r="I81" s="3">
        <v>10.08</v>
      </c>
      <c r="J81" s="3" t="s">
        <v>37</v>
      </c>
    </row>
    <row r="82" spans="1:10" x14ac:dyDescent="0.25">
      <c r="A82" s="1">
        <v>4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"2026-07-09 00:27:33.616"</f>
        <v>2026-07-09 00:27:33.616</v>
      </c>
      <c r="H82" t="s">
        <v>21</v>
      </c>
      <c r="I82">
        <v>0</v>
      </c>
      <c r="J82" t="s">
        <v>22</v>
      </c>
    </row>
    <row r="83" spans="1:10" x14ac:dyDescent="0.25">
      <c r="A83" s="1">
        <v>5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"2026-07-08 00:36:11.699"</f>
        <v>2026-07-08 00:36:11.699</v>
      </c>
      <c r="H83" t="s">
        <v>21</v>
      </c>
      <c r="I83">
        <v>0</v>
      </c>
      <c r="J83" t="s">
        <v>22</v>
      </c>
    </row>
    <row r="84" spans="1:10" x14ac:dyDescent="0.25">
      <c r="A84" s="1">
        <v>6</v>
      </c>
      <c r="B84" t="s">
        <v>19</v>
      </c>
      <c r="C84">
        <v>706</v>
      </c>
      <c r="D84">
        <v>2</v>
      </c>
      <c r="E84" t="s">
        <v>31</v>
      </c>
      <c r="F84" t="s">
        <v>43</v>
      </c>
      <c r="G84" t="str">
        <f>"2026-07-07 17:08:18.911"</f>
        <v>2026-07-07 17:08:18.911</v>
      </c>
      <c r="H84" t="s">
        <v>21</v>
      </c>
      <c r="I84">
        <v>0</v>
      </c>
      <c r="J84" t="s">
        <v>33</v>
      </c>
    </row>
    <row r="85" spans="1:10" x14ac:dyDescent="0.25">
      <c r="A85" s="1">
        <v>7</v>
      </c>
      <c r="B85" t="s">
        <v>23</v>
      </c>
      <c r="C85">
        <v>620</v>
      </c>
      <c r="D85">
        <v>1</v>
      </c>
      <c r="E85" t="s">
        <v>46</v>
      </c>
      <c r="F85" t="s">
        <v>39</v>
      </c>
      <c r="G85" t="str">
        <f>"2026-07-07 17:08:03.632"</f>
        <v>2026-07-07 17:08:03.632</v>
      </c>
      <c r="H85" t="s">
        <v>47</v>
      </c>
    </row>
    <row r="86" spans="1:10" x14ac:dyDescent="0.25">
      <c r="A86" s="1">
        <v>8</v>
      </c>
      <c r="B86" t="s">
        <v>29</v>
      </c>
      <c r="C86">
        <v>620</v>
      </c>
      <c r="D86">
        <v>1</v>
      </c>
      <c r="E86" t="s">
        <v>46</v>
      </c>
      <c r="F86" t="s">
        <v>39</v>
      </c>
      <c r="G86" t="str">
        <f>"2026-07-07 17:07:45.911"</f>
        <v>2026-07-07 17:07:45.911</v>
      </c>
      <c r="H86" t="s">
        <v>47</v>
      </c>
      <c r="I86">
        <v>9.23</v>
      </c>
      <c r="J86" t="s">
        <v>37</v>
      </c>
    </row>
    <row r="87" spans="1:10" x14ac:dyDescent="0.25">
      <c r="A87" s="1">
        <v>9</v>
      </c>
      <c r="B87" t="s">
        <v>26</v>
      </c>
      <c r="C87">
        <v>635</v>
      </c>
      <c r="D87">
        <v>1</v>
      </c>
      <c r="E87" t="s">
        <v>38</v>
      </c>
      <c r="F87" t="s">
        <v>39</v>
      </c>
      <c r="G87" t="str">
        <f>"2026-07-07 16:03:38.532"</f>
        <v>2026-07-07 16:03:38.532</v>
      </c>
      <c r="H87" t="s">
        <v>21</v>
      </c>
    </row>
    <row r="88" spans="1:10" x14ac:dyDescent="0.25">
      <c r="A88" s="1">
        <v>0</v>
      </c>
      <c r="B88" t="s">
        <v>36</v>
      </c>
      <c r="C88">
        <v>635</v>
      </c>
      <c r="D88">
        <v>1</v>
      </c>
      <c r="E88" t="s">
        <v>38</v>
      </c>
      <c r="F88" t="s">
        <v>39</v>
      </c>
      <c r="G88" t="str">
        <f>"2026-07-07 16:01:23.532"</f>
        <v>2026-07-07 16:01:23.532</v>
      </c>
      <c r="H88" t="s">
        <v>21</v>
      </c>
      <c r="I88">
        <v>-0.01</v>
      </c>
      <c r="J88" t="s">
        <v>37</v>
      </c>
    </row>
    <row r="89" spans="1:10" x14ac:dyDescent="0.25">
      <c r="A89" s="1">
        <v>1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"2026-07-07 02:14:06.661"</f>
        <v>2026-07-07 02:14:06.661</v>
      </c>
      <c r="H89" t="s">
        <v>21</v>
      </c>
      <c r="I89">
        <v>0</v>
      </c>
      <c r="J89" t="s">
        <v>22</v>
      </c>
    </row>
    <row r="90" spans="1:10" x14ac:dyDescent="0.25">
      <c r="A90" s="1">
        <v>2</v>
      </c>
      <c r="B90" t="s">
        <v>26</v>
      </c>
      <c r="C90">
        <v>635</v>
      </c>
      <c r="D90">
        <v>1</v>
      </c>
      <c r="E90" t="s">
        <v>38</v>
      </c>
      <c r="F90" t="s">
        <v>39</v>
      </c>
      <c r="G90" t="str">
        <f>"2026-07-06 20:30:46.307"</f>
        <v>2026-07-06 20:30:46.307</v>
      </c>
      <c r="H90" t="s">
        <v>21</v>
      </c>
    </row>
    <row r="91" spans="1:10" x14ac:dyDescent="0.25">
      <c r="A91" s="1">
        <v>3</v>
      </c>
      <c r="B91" t="s">
        <v>36</v>
      </c>
      <c r="C91">
        <v>635</v>
      </c>
      <c r="D91">
        <v>1</v>
      </c>
      <c r="E91" t="s">
        <v>38</v>
      </c>
      <c r="F91" t="s">
        <v>39</v>
      </c>
      <c r="G91" t="str">
        <f>"2026-07-06 20:28:52.807"</f>
        <v>2026-07-06 20:28:52.807</v>
      </c>
      <c r="H91" t="s">
        <v>21</v>
      </c>
      <c r="I91">
        <v>1.84</v>
      </c>
      <c r="J91" t="s">
        <v>30</v>
      </c>
    </row>
    <row r="92" spans="1:10" s="3" customFormat="1" x14ac:dyDescent="0.25">
      <c r="A92" s="2">
        <v>4</v>
      </c>
      <c r="B92" s="3" t="s">
        <v>26</v>
      </c>
      <c r="C92" s="3">
        <v>647</v>
      </c>
      <c r="D92" s="3">
        <v>1</v>
      </c>
      <c r="E92" s="3" t="s">
        <v>40</v>
      </c>
      <c r="F92" s="3" t="s">
        <v>41</v>
      </c>
      <c r="G92" s="3" t="str">
        <f>"2026-07-06 16:37:41.508"</f>
        <v>2026-07-06 16:37:41.508</v>
      </c>
      <c r="H92" s="3" t="s">
        <v>21</v>
      </c>
    </row>
    <row r="93" spans="1:10" s="3" customFormat="1" x14ac:dyDescent="0.25">
      <c r="A93" s="2">
        <v>5</v>
      </c>
      <c r="B93" s="3" t="s">
        <v>36</v>
      </c>
      <c r="C93" s="3">
        <v>647</v>
      </c>
      <c r="D93" s="3">
        <v>1</v>
      </c>
      <c r="E93" s="3" t="s">
        <v>40</v>
      </c>
      <c r="F93" s="3" t="s">
        <v>41</v>
      </c>
      <c r="G93" s="3" t="str">
        <f>"2026-07-06 16:37:34.608"</f>
        <v>2026-07-06 16:37:34.608</v>
      </c>
      <c r="H93" s="3" t="s">
        <v>21</v>
      </c>
      <c r="I93" s="3">
        <v>16.71</v>
      </c>
      <c r="J93" s="3" t="s">
        <v>42</v>
      </c>
    </row>
    <row r="94" spans="1:10" x14ac:dyDescent="0.25">
      <c r="A94" s="1">
        <v>6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"2026-07-06 13:34:04.614"</f>
        <v>2026-07-06 13:34:04.614</v>
      </c>
      <c r="H94" t="s">
        <v>21</v>
      </c>
    </row>
    <row r="95" spans="1:10" s="3" customFormat="1" x14ac:dyDescent="0.25">
      <c r="A95" s="2">
        <v>7</v>
      </c>
      <c r="B95" s="3" t="s">
        <v>26</v>
      </c>
      <c r="C95" s="3">
        <v>647</v>
      </c>
      <c r="D95" s="3">
        <v>1</v>
      </c>
      <c r="E95" s="3" t="s">
        <v>40</v>
      </c>
      <c r="F95" s="3" t="s">
        <v>41</v>
      </c>
      <c r="G95" s="3" t="str">
        <f>"2026-07-06 07:58:25.307"</f>
        <v>2026-07-06 07:58:25.307</v>
      </c>
      <c r="H95" s="3" t="s">
        <v>21</v>
      </c>
    </row>
    <row r="96" spans="1:10" s="3" customFormat="1" x14ac:dyDescent="0.25">
      <c r="A96" s="2">
        <v>8</v>
      </c>
      <c r="B96" s="3" t="s">
        <v>36</v>
      </c>
      <c r="C96" s="3">
        <v>647</v>
      </c>
      <c r="D96" s="3">
        <v>1</v>
      </c>
      <c r="E96" s="3" t="s">
        <v>40</v>
      </c>
      <c r="F96" s="3" t="s">
        <v>41</v>
      </c>
      <c r="G96" s="3" t="str">
        <f>"2026-07-06 07:58:19.108"</f>
        <v>2026-07-06 07:58:19.108</v>
      </c>
      <c r="H96" s="3" t="s">
        <v>21</v>
      </c>
      <c r="I96" s="3">
        <v>8.19</v>
      </c>
      <c r="J96" s="3" t="s">
        <v>42</v>
      </c>
    </row>
    <row r="97" spans="1:10" x14ac:dyDescent="0.25">
      <c r="A97" s="1">
        <v>9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"2026-07-06 00:21:34.619"</f>
        <v>2026-07-06 00:21:34.619</v>
      </c>
      <c r="H97" t="s">
        <v>21</v>
      </c>
      <c r="I97">
        <v>0</v>
      </c>
      <c r="J97" t="s">
        <v>22</v>
      </c>
    </row>
    <row r="98" spans="1:10" x14ac:dyDescent="0.25">
      <c r="A98" s="1">
        <v>0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"2026-07-06 00:18:50.879"</f>
        <v>2026-07-06 00:18:50.879</v>
      </c>
      <c r="H98" t="s">
        <v>21</v>
      </c>
      <c r="I98">
        <v>0</v>
      </c>
      <c r="J98" t="s">
        <v>22</v>
      </c>
    </row>
    <row r="99" spans="1:10" x14ac:dyDescent="0.25">
      <c r="A99" s="1">
        <v>1</v>
      </c>
      <c r="B99" t="s">
        <v>19</v>
      </c>
      <c r="C99">
        <v>706</v>
      </c>
      <c r="D99">
        <v>4</v>
      </c>
      <c r="E99" t="s">
        <v>31</v>
      </c>
      <c r="F99" t="s">
        <v>32</v>
      </c>
      <c r="G99" t="str">
        <f>"2026-07-05 13:34:17.069"</f>
        <v>2026-07-05 13:34:17.069</v>
      </c>
      <c r="H99" t="s">
        <v>21</v>
      </c>
      <c r="I99">
        <v>0</v>
      </c>
      <c r="J99" t="s">
        <v>33</v>
      </c>
    </row>
    <row r="100" spans="1:10" x14ac:dyDescent="0.25">
      <c r="A100" s="1">
        <v>2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"2026-07-05 02:07:15.639"</f>
        <v>2026-07-05 02:07:15.639</v>
      </c>
      <c r="H100" t="s">
        <v>21</v>
      </c>
    </row>
    <row r="101" spans="1:10" x14ac:dyDescent="0.25">
      <c r="A101" s="1">
        <v>3</v>
      </c>
      <c r="B101" t="s">
        <v>26</v>
      </c>
      <c r="C101">
        <v>635</v>
      </c>
      <c r="D101">
        <v>1</v>
      </c>
      <c r="E101" t="s">
        <v>38</v>
      </c>
      <c r="F101" t="s">
        <v>39</v>
      </c>
      <c r="G101" t="str">
        <f>"2026-07-04 13:48:23.268"</f>
        <v>2026-07-04 13:48:23.268</v>
      </c>
      <c r="H101" t="s">
        <v>21</v>
      </c>
    </row>
    <row r="102" spans="1:10" x14ac:dyDescent="0.25">
      <c r="A102" s="1">
        <v>4</v>
      </c>
      <c r="B102" t="s">
        <v>36</v>
      </c>
      <c r="C102">
        <v>635</v>
      </c>
      <c r="D102">
        <v>1</v>
      </c>
      <c r="E102" t="s">
        <v>38</v>
      </c>
      <c r="F102" t="s">
        <v>39</v>
      </c>
      <c r="G102" t="str">
        <f>"2026-07-04 13:40:20.368"</f>
        <v>2026-07-04 13:40:20.368</v>
      </c>
      <c r="H102" t="s">
        <v>21</v>
      </c>
      <c r="I102">
        <v>1.8</v>
      </c>
      <c r="J102" t="s">
        <v>42</v>
      </c>
    </row>
    <row r="103" spans="1:10" x14ac:dyDescent="0.25">
      <c r="A103" s="1">
        <v>5</v>
      </c>
      <c r="B103" t="s">
        <v>19</v>
      </c>
      <c r="C103">
        <v>706</v>
      </c>
      <c r="D103">
        <v>2</v>
      </c>
      <c r="E103" t="s">
        <v>31</v>
      </c>
      <c r="F103" t="s">
        <v>43</v>
      </c>
      <c r="G103" t="str">
        <f>"2026-07-04 10:13:51.257"</f>
        <v>2026-07-04 10:13:51.257</v>
      </c>
      <c r="H103" t="s">
        <v>21</v>
      </c>
      <c r="I103">
        <v>0</v>
      </c>
      <c r="J103" t="s">
        <v>48</v>
      </c>
    </row>
    <row r="104" spans="1:10" x14ac:dyDescent="0.25">
      <c r="A104" s="1">
        <v>6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"2026-07-04 10:08:34.617"</f>
        <v>2026-07-04 10:08:34.617</v>
      </c>
      <c r="H104" t="s">
        <v>21</v>
      </c>
    </row>
    <row r="105" spans="1:10" x14ac:dyDescent="0.25">
      <c r="A105" s="1">
        <v>7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"2026-07-04 02:10:21.834"</f>
        <v>2026-07-04 02:10:21.834</v>
      </c>
      <c r="H105" t="s">
        <v>21</v>
      </c>
      <c r="I105">
        <v>0</v>
      </c>
      <c r="J105" t="s">
        <v>22</v>
      </c>
    </row>
    <row r="106" spans="1:10" x14ac:dyDescent="0.25">
      <c r="A106" s="1">
        <v>8</v>
      </c>
      <c r="B106" t="s">
        <v>26</v>
      </c>
      <c r="C106">
        <v>635</v>
      </c>
      <c r="D106">
        <v>1</v>
      </c>
      <c r="E106" t="s">
        <v>38</v>
      </c>
      <c r="F106" t="s">
        <v>39</v>
      </c>
      <c r="G106" t="str">
        <f>"2026-07-03 23:35:35.660"</f>
        <v>2026-07-03 23:35:35.660</v>
      </c>
      <c r="H106" t="s">
        <v>21</v>
      </c>
    </row>
    <row r="107" spans="1:10" x14ac:dyDescent="0.25">
      <c r="A107" s="1">
        <v>9</v>
      </c>
      <c r="B107" t="s">
        <v>36</v>
      </c>
      <c r="C107">
        <v>635</v>
      </c>
      <c r="D107">
        <v>1</v>
      </c>
      <c r="E107" t="s">
        <v>38</v>
      </c>
      <c r="F107" t="s">
        <v>39</v>
      </c>
      <c r="G107" t="str">
        <f>"2026-07-03 23:30:27.761"</f>
        <v>2026-07-03 23:30:27.761</v>
      </c>
      <c r="H107" t="s">
        <v>21</v>
      </c>
      <c r="I107">
        <v>1.38</v>
      </c>
      <c r="J107" t="s">
        <v>30</v>
      </c>
    </row>
    <row r="108" spans="1:10" x14ac:dyDescent="0.25">
      <c r="A108" s="1">
        <v>0</v>
      </c>
      <c r="B108" t="s">
        <v>19</v>
      </c>
      <c r="C108">
        <v>706</v>
      </c>
      <c r="D108">
        <v>2</v>
      </c>
      <c r="E108" t="s">
        <v>31</v>
      </c>
      <c r="F108" t="s">
        <v>43</v>
      </c>
      <c r="G108" t="str">
        <f>"2026-07-03 10:21:45.059"</f>
        <v>2026-07-03 10:21:45.059</v>
      </c>
      <c r="H108" t="s">
        <v>21</v>
      </c>
      <c r="I108">
        <v>0</v>
      </c>
      <c r="J108" t="s">
        <v>33</v>
      </c>
    </row>
    <row r="109" spans="1:10" x14ac:dyDescent="0.25">
      <c r="A109" s="1">
        <v>1</v>
      </c>
      <c r="B109" t="s">
        <v>19</v>
      </c>
      <c r="C109">
        <v>706</v>
      </c>
      <c r="D109">
        <v>2</v>
      </c>
      <c r="E109" t="s">
        <v>31</v>
      </c>
      <c r="F109" t="s">
        <v>43</v>
      </c>
      <c r="G109" t="str">
        <f>"2026-07-03 01:56:15.159"</f>
        <v>2026-07-03 01:56:15.159</v>
      </c>
      <c r="H109" t="s">
        <v>21</v>
      </c>
      <c r="I109">
        <v>0</v>
      </c>
      <c r="J109" t="s">
        <v>33</v>
      </c>
    </row>
    <row r="110" spans="1:10" x14ac:dyDescent="0.25">
      <c r="A110" s="1">
        <v>2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"2026-07-03 01:55:33.609"</f>
        <v>2026-07-03 01:55:33.609</v>
      </c>
      <c r="H110" t="s">
        <v>21</v>
      </c>
      <c r="I110">
        <v>0</v>
      </c>
      <c r="J110" t="s">
        <v>22</v>
      </c>
    </row>
    <row r="111" spans="1:10" x14ac:dyDescent="0.25">
      <c r="A111" s="1">
        <v>3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"2026-07-01 03:43:05.611"</f>
        <v>2026-07-01 03:43:05.611</v>
      </c>
      <c r="H111" t="s">
        <v>21</v>
      </c>
      <c r="I111">
        <v>0</v>
      </c>
      <c r="J111" t="s">
        <v>22</v>
      </c>
    </row>
    <row r="112" spans="1:10" x14ac:dyDescent="0.25">
      <c r="A112" s="1">
        <v>4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"2026-07-01 03:01:48.605"</f>
        <v>2026-07-01 03:01:48.605</v>
      </c>
      <c r="H112" t="s">
        <v>21</v>
      </c>
      <c r="I112">
        <v>0</v>
      </c>
      <c r="J112" t="s">
        <v>22</v>
      </c>
    </row>
    <row r="113" spans="1:10" x14ac:dyDescent="0.25">
      <c r="A113" s="1">
        <v>5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"2026-07-01 02:48:19.612"</f>
        <v>2026-07-01 02:48:19.612</v>
      </c>
      <c r="H113" t="s">
        <v>21</v>
      </c>
      <c r="I113">
        <v>0</v>
      </c>
      <c r="J113" t="s">
        <v>22</v>
      </c>
    </row>
    <row r="114" spans="1:10" x14ac:dyDescent="0.25">
      <c r="A114" s="1">
        <v>6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"2026-07-01 01:30:37.633"</f>
        <v>2026-07-01 01:30:37.633</v>
      </c>
      <c r="H114" t="s">
        <v>21</v>
      </c>
      <c r="I114">
        <v>0</v>
      </c>
      <c r="J114" t="s">
        <v>22</v>
      </c>
    </row>
    <row r="115" spans="1:10" x14ac:dyDescent="0.25">
      <c r="A115" s="1">
        <v>7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"2026-06-30 19:37:50.091"</f>
        <v>2026-06-30 19:37:50.091</v>
      </c>
      <c r="H115" t="s">
        <v>21</v>
      </c>
      <c r="I115">
        <v>0</v>
      </c>
      <c r="J115" t="s">
        <v>22</v>
      </c>
    </row>
    <row r="116" spans="1:10" x14ac:dyDescent="0.25">
      <c r="A116" s="1">
        <v>8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"2026-06-30 00:48:30.735"</f>
        <v>2026-06-30 00:48:30.735</v>
      </c>
      <c r="H116" t="s">
        <v>21</v>
      </c>
      <c r="I116">
        <v>0</v>
      </c>
      <c r="J116" t="s">
        <v>22</v>
      </c>
    </row>
    <row r="117" spans="1:10" x14ac:dyDescent="0.25">
      <c r="A117" s="1">
        <v>9</v>
      </c>
      <c r="B117" t="s">
        <v>19</v>
      </c>
      <c r="C117">
        <v>706</v>
      </c>
      <c r="D117">
        <v>4</v>
      </c>
      <c r="E117" t="s">
        <v>31</v>
      </c>
      <c r="F117" t="s">
        <v>32</v>
      </c>
      <c r="G117" t="str">
        <f>"2026-06-29 17:38:08.304"</f>
        <v>2026-06-29 17:38:08.304</v>
      </c>
      <c r="H117" t="s">
        <v>21</v>
      </c>
      <c r="I117">
        <v>0</v>
      </c>
      <c r="J117" t="s">
        <v>33</v>
      </c>
    </row>
    <row r="118" spans="1:10" x14ac:dyDescent="0.25">
      <c r="A118" s="1">
        <v>10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"2026-06-29 16:44:50.614"</f>
        <v>2026-06-29 16:44:50.614</v>
      </c>
      <c r="H118" t="s">
        <v>21</v>
      </c>
      <c r="I118">
        <v>0</v>
      </c>
      <c r="J118" t="s">
        <v>22</v>
      </c>
    </row>
    <row r="119" spans="1:10" x14ac:dyDescent="0.25">
      <c r="A119" s="1">
        <v>11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"2026-06-29 16:31:23.630"</f>
        <v>2026-06-29 16:31:23.630</v>
      </c>
      <c r="H119" t="s">
        <v>21</v>
      </c>
    </row>
    <row r="120" spans="1:10" x14ac:dyDescent="0.25">
      <c r="A120" s="1">
        <v>14</v>
      </c>
      <c r="B120" t="s">
        <v>19</v>
      </c>
      <c r="C120">
        <v>782</v>
      </c>
      <c r="D120">
        <v>7</v>
      </c>
      <c r="E120" t="s">
        <v>49</v>
      </c>
      <c r="F120" t="s">
        <v>50</v>
      </c>
      <c r="G120" t="str">
        <f>"2026-06-29 15:49:46.376"</f>
        <v>2026-06-29 15:49:46.376</v>
      </c>
      <c r="H120" t="s">
        <v>21</v>
      </c>
      <c r="I120">
        <v>0</v>
      </c>
      <c r="J120" t="s">
        <v>33</v>
      </c>
    </row>
    <row r="121" spans="1:10" x14ac:dyDescent="0.25">
      <c r="A121" s="1">
        <v>17</v>
      </c>
      <c r="B121" t="s">
        <v>26</v>
      </c>
      <c r="C121">
        <v>250</v>
      </c>
      <c r="D121">
        <v>7</v>
      </c>
      <c r="E121" t="s">
        <v>51</v>
      </c>
      <c r="F121" t="s">
        <v>52</v>
      </c>
      <c r="G121" t="str">
        <f>"2026-06-29 15:49:46.369"</f>
        <v>2026-06-29 15:49:46.369</v>
      </c>
      <c r="H121" t="s">
        <v>21</v>
      </c>
    </row>
    <row r="122" spans="1:10" x14ac:dyDescent="0.25">
      <c r="A122" s="1">
        <v>18</v>
      </c>
      <c r="B122" t="s">
        <v>26</v>
      </c>
      <c r="C122">
        <v>248</v>
      </c>
      <c r="D122">
        <v>7</v>
      </c>
      <c r="E122" t="s">
        <v>53</v>
      </c>
      <c r="F122" t="s">
        <v>54</v>
      </c>
      <c r="G122" t="str">
        <f>"2026-06-29 15:49:46.367"</f>
        <v>2026-06-29 15:49:46.367</v>
      </c>
      <c r="H122" t="s">
        <v>21</v>
      </c>
    </row>
    <row r="123" spans="1:10" x14ac:dyDescent="0.25">
      <c r="A123" s="1">
        <v>19</v>
      </c>
      <c r="B123" t="s">
        <v>26</v>
      </c>
      <c r="C123">
        <v>207</v>
      </c>
      <c r="D123">
        <v>2</v>
      </c>
      <c r="E123" t="s">
        <v>55</v>
      </c>
      <c r="F123" t="s">
        <v>56</v>
      </c>
      <c r="G123" t="str">
        <f>"2026-06-29 15:49:46.365"</f>
        <v>2026-06-29 15:49:46.365</v>
      </c>
      <c r="H123" t="s">
        <v>57</v>
      </c>
    </row>
    <row r="124" spans="1:10" x14ac:dyDescent="0.25">
      <c r="A124" s="1">
        <v>20</v>
      </c>
      <c r="B124" t="s">
        <v>26</v>
      </c>
      <c r="C124">
        <v>207</v>
      </c>
      <c r="D124">
        <v>1</v>
      </c>
      <c r="E124" t="s">
        <v>55</v>
      </c>
      <c r="F124" t="s">
        <v>58</v>
      </c>
      <c r="G124" t="str">
        <f>"2026-06-29 15:49:46.362"</f>
        <v>2026-06-29 15:49:46.362</v>
      </c>
      <c r="H124" t="s">
        <v>57</v>
      </c>
    </row>
    <row r="125" spans="1:10" x14ac:dyDescent="0.25">
      <c r="A125" s="1">
        <v>21</v>
      </c>
      <c r="B125" t="s">
        <v>26</v>
      </c>
      <c r="C125">
        <v>107</v>
      </c>
      <c r="D125">
        <v>2</v>
      </c>
      <c r="E125" t="s">
        <v>59</v>
      </c>
      <c r="F125" t="s">
        <v>56</v>
      </c>
      <c r="G125" t="str">
        <f>"2026-06-29 15:49:46.360"</f>
        <v>2026-06-29 15:49:46.360</v>
      </c>
      <c r="H125" t="s">
        <v>60</v>
      </c>
    </row>
    <row r="126" spans="1:10" x14ac:dyDescent="0.25">
      <c r="A126" s="1">
        <v>22</v>
      </c>
      <c r="B126" t="s">
        <v>26</v>
      </c>
      <c r="C126">
        <v>107</v>
      </c>
      <c r="D126">
        <v>1</v>
      </c>
      <c r="E126" t="s">
        <v>59</v>
      </c>
      <c r="F126" t="s">
        <v>58</v>
      </c>
      <c r="G126" t="str">
        <f>"2026-06-29 15:49:46.359"</f>
        <v>2026-06-29 15:49:46.359</v>
      </c>
      <c r="H126" t="s">
        <v>60</v>
      </c>
    </row>
    <row r="127" spans="1:10" x14ac:dyDescent="0.25">
      <c r="A127" s="1">
        <v>23</v>
      </c>
      <c r="B127" t="s">
        <v>19</v>
      </c>
      <c r="C127">
        <v>782</v>
      </c>
      <c r="D127">
        <v>7</v>
      </c>
      <c r="E127" t="s">
        <v>49</v>
      </c>
      <c r="F127" t="s">
        <v>50</v>
      </c>
      <c r="G127" t="str">
        <f>"2026-06-29 15:49:46.357"</f>
        <v>2026-06-29 15:49:46.357</v>
      </c>
      <c r="H127" t="s">
        <v>21</v>
      </c>
      <c r="I127">
        <v>0</v>
      </c>
      <c r="J127" t="s">
        <v>33</v>
      </c>
    </row>
    <row r="128" spans="1:10" x14ac:dyDescent="0.25">
      <c r="A128" s="1">
        <v>24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"2026-06-29 15:49:27.605"</f>
        <v>2026-06-29 15:49:27.605</v>
      </c>
      <c r="H128" t="s">
        <v>21</v>
      </c>
    </row>
    <row r="129" spans="1:10" x14ac:dyDescent="0.25">
      <c r="A129" s="1">
        <v>25</v>
      </c>
      <c r="B129" t="s">
        <v>36</v>
      </c>
      <c r="C129">
        <v>248</v>
      </c>
      <c r="D129">
        <v>7</v>
      </c>
      <c r="E129" t="s">
        <v>53</v>
      </c>
      <c r="F129" t="s">
        <v>54</v>
      </c>
      <c r="G129" t="str">
        <f>"2026-06-29 15:47:50.768"</f>
        <v>2026-06-29 15:47:50.768</v>
      </c>
      <c r="H129" t="s">
        <v>21</v>
      </c>
      <c r="I129">
        <v>0</v>
      </c>
      <c r="J129" t="s">
        <v>33</v>
      </c>
    </row>
    <row r="130" spans="1:10" x14ac:dyDescent="0.25">
      <c r="A130" s="1">
        <v>26</v>
      </c>
      <c r="B130" t="s">
        <v>36</v>
      </c>
      <c r="C130">
        <v>250</v>
      </c>
      <c r="D130">
        <v>7</v>
      </c>
      <c r="E130" t="s">
        <v>51</v>
      </c>
      <c r="F130" t="s">
        <v>52</v>
      </c>
      <c r="G130" t="str">
        <f>"2026-06-29 15:47:50.648"</f>
        <v>2026-06-29 15:47:50.648</v>
      </c>
      <c r="H130" t="s">
        <v>21</v>
      </c>
      <c r="I130">
        <v>0</v>
      </c>
      <c r="J130" t="s">
        <v>33</v>
      </c>
    </row>
    <row r="131" spans="1:10" x14ac:dyDescent="0.25">
      <c r="A131" s="1">
        <v>27</v>
      </c>
      <c r="B131" t="s">
        <v>61</v>
      </c>
      <c r="C131">
        <v>250</v>
      </c>
      <c r="D131">
        <v>7</v>
      </c>
      <c r="E131" t="s">
        <v>51</v>
      </c>
      <c r="F131" t="s">
        <v>52</v>
      </c>
      <c r="G131" t="str">
        <f>"2026-06-29 15:47:50.523"</f>
        <v>2026-06-29 15:47:50.523</v>
      </c>
      <c r="H131" t="s">
        <v>21</v>
      </c>
    </row>
    <row r="132" spans="1:10" x14ac:dyDescent="0.25">
      <c r="A132" s="1">
        <v>28</v>
      </c>
      <c r="B132" t="s">
        <v>61</v>
      </c>
      <c r="C132">
        <v>248</v>
      </c>
      <c r="D132">
        <v>7</v>
      </c>
      <c r="E132" t="s">
        <v>53</v>
      </c>
      <c r="F132" t="s">
        <v>54</v>
      </c>
      <c r="G132" t="str">
        <f>"2026-06-29 15:47:50.423"</f>
        <v>2026-06-29 15:47:50.423</v>
      </c>
      <c r="H132" t="s">
        <v>21</v>
      </c>
    </row>
    <row r="133" spans="1:10" x14ac:dyDescent="0.25">
      <c r="A133" s="1">
        <v>29</v>
      </c>
      <c r="B133" t="s">
        <v>61</v>
      </c>
      <c r="C133">
        <v>77</v>
      </c>
      <c r="D133">
        <v>1</v>
      </c>
      <c r="E133" t="s">
        <v>62</v>
      </c>
      <c r="F133" t="s">
        <v>63</v>
      </c>
      <c r="G133" t="str">
        <f>"2026-06-29 15:47:48.523"</f>
        <v>2026-06-29 15:47:48.523</v>
      </c>
      <c r="H133" t="s">
        <v>64</v>
      </c>
    </row>
    <row r="134" spans="1:10" x14ac:dyDescent="0.25">
      <c r="A134" s="1">
        <v>30</v>
      </c>
      <c r="B134" t="s">
        <v>29</v>
      </c>
      <c r="C134">
        <v>250</v>
      </c>
      <c r="D134">
        <v>7</v>
      </c>
      <c r="E134" t="s">
        <v>51</v>
      </c>
      <c r="F134" t="s">
        <v>52</v>
      </c>
      <c r="G134" t="str">
        <f>"2026-06-29 15:47:45.373"</f>
        <v>2026-06-29 15:47:45.373</v>
      </c>
      <c r="H134" t="s">
        <v>21</v>
      </c>
      <c r="I134">
        <v>0</v>
      </c>
      <c r="J134" t="s">
        <v>33</v>
      </c>
    </row>
    <row r="135" spans="1:10" x14ac:dyDescent="0.25">
      <c r="A135" s="1">
        <v>31</v>
      </c>
      <c r="B135" t="s">
        <v>29</v>
      </c>
      <c r="C135">
        <v>248</v>
      </c>
      <c r="D135">
        <v>7</v>
      </c>
      <c r="E135" t="s">
        <v>53</v>
      </c>
      <c r="F135" t="s">
        <v>54</v>
      </c>
      <c r="G135" t="str">
        <f>"2026-06-29 15:47:45.368"</f>
        <v>2026-06-29 15:47:45.368</v>
      </c>
      <c r="H135" t="s">
        <v>21</v>
      </c>
      <c r="I135">
        <v>0</v>
      </c>
      <c r="J135" t="s">
        <v>33</v>
      </c>
    </row>
    <row r="136" spans="1:10" x14ac:dyDescent="0.25">
      <c r="A136" s="1">
        <v>32</v>
      </c>
      <c r="B136" t="s">
        <v>36</v>
      </c>
      <c r="C136">
        <v>207</v>
      </c>
      <c r="D136">
        <v>2</v>
      </c>
      <c r="E136" t="s">
        <v>55</v>
      </c>
      <c r="F136" t="s">
        <v>56</v>
      </c>
      <c r="G136" t="str">
        <f>"2026-06-29 15:47:44.968"</f>
        <v>2026-06-29 15:47:44.968</v>
      </c>
      <c r="H136" t="s">
        <v>57</v>
      </c>
      <c r="I136">
        <v>0</v>
      </c>
      <c r="J136" t="s">
        <v>33</v>
      </c>
    </row>
    <row r="137" spans="1:10" x14ac:dyDescent="0.25">
      <c r="A137" s="1">
        <v>33</v>
      </c>
      <c r="B137" t="s">
        <v>36</v>
      </c>
      <c r="C137">
        <v>107</v>
      </c>
      <c r="D137">
        <v>2</v>
      </c>
      <c r="E137" t="s">
        <v>59</v>
      </c>
      <c r="F137" t="s">
        <v>56</v>
      </c>
      <c r="G137" t="str">
        <f>"2026-06-29 15:47:44.908"</f>
        <v>2026-06-29 15:47:44.908</v>
      </c>
      <c r="H137" t="s">
        <v>60</v>
      </c>
      <c r="I137">
        <v>0</v>
      </c>
      <c r="J137" t="s">
        <v>33</v>
      </c>
    </row>
    <row r="138" spans="1:10" x14ac:dyDescent="0.25">
      <c r="A138" s="1">
        <v>34</v>
      </c>
      <c r="B138" t="s">
        <v>36</v>
      </c>
      <c r="C138">
        <v>107</v>
      </c>
      <c r="D138">
        <v>1</v>
      </c>
      <c r="E138" t="s">
        <v>59</v>
      </c>
      <c r="F138" t="s">
        <v>58</v>
      </c>
      <c r="G138" t="str">
        <f>"2026-06-29 15:47:44.048"</f>
        <v>2026-06-29 15:47:44.048</v>
      </c>
      <c r="H138" t="s">
        <v>60</v>
      </c>
      <c r="I138">
        <v>0</v>
      </c>
      <c r="J138" t="s">
        <v>33</v>
      </c>
    </row>
    <row r="139" spans="1:10" x14ac:dyDescent="0.25">
      <c r="A139" s="1">
        <v>35</v>
      </c>
      <c r="B139" t="s">
        <v>36</v>
      </c>
      <c r="C139">
        <v>207</v>
      </c>
      <c r="D139">
        <v>1</v>
      </c>
      <c r="E139" t="s">
        <v>55</v>
      </c>
      <c r="F139" t="s">
        <v>58</v>
      </c>
      <c r="G139" t="str">
        <f>"2026-06-29 15:47:43.728"</f>
        <v>2026-06-29 15:47:43.728</v>
      </c>
      <c r="H139" t="s">
        <v>57</v>
      </c>
      <c r="I139">
        <v>0</v>
      </c>
      <c r="J139" t="s">
        <v>33</v>
      </c>
    </row>
    <row r="140" spans="1:10" x14ac:dyDescent="0.25">
      <c r="A140" s="1">
        <v>36</v>
      </c>
      <c r="B140" t="s">
        <v>29</v>
      </c>
      <c r="C140">
        <v>77</v>
      </c>
      <c r="D140">
        <v>1</v>
      </c>
      <c r="E140" t="s">
        <v>62</v>
      </c>
      <c r="F140" t="s">
        <v>63</v>
      </c>
      <c r="G140" t="str">
        <f>"2026-06-29 15:47:43.503"</f>
        <v>2026-06-29 15:47:43.503</v>
      </c>
      <c r="H140" t="s">
        <v>64</v>
      </c>
      <c r="I140">
        <v>0</v>
      </c>
      <c r="J140" t="s">
        <v>33</v>
      </c>
    </row>
    <row r="141" spans="1:10" x14ac:dyDescent="0.25">
      <c r="A141" s="1">
        <v>37</v>
      </c>
      <c r="B141" t="s">
        <v>19</v>
      </c>
      <c r="C141">
        <v>706</v>
      </c>
      <c r="D141">
        <v>4</v>
      </c>
      <c r="E141" t="s">
        <v>31</v>
      </c>
      <c r="F141" t="s">
        <v>32</v>
      </c>
      <c r="G141" t="str">
        <f>"2026-06-29 15:47:36.802"</f>
        <v>2026-06-29 15:47:36.802</v>
      </c>
      <c r="H141" t="s">
        <v>21</v>
      </c>
      <c r="I141">
        <v>0</v>
      </c>
      <c r="J141" t="s">
        <v>33</v>
      </c>
    </row>
    <row r="142" spans="1:10" x14ac:dyDescent="0.25">
      <c r="A142" s="1">
        <v>38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"2026-06-29 15:25:09.622"</f>
        <v>2026-06-29 15:25:09.622</v>
      </c>
      <c r="H142" t="s">
        <v>21</v>
      </c>
      <c r="I142">
        <v>0</v>
      </c>
      <c r="J142" t="s">
        <v>22</v>
      </c>
    </row>
    <row r="143" spans="1:10" x14ac:dyDescent="0.25">
      <c r="A143" s="1">
        <v>39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"2026-06-29 00:31:10.645"</f>
        <v>2026-06-29 00:31:10.645</v>
      </c>
      <c r="H143" t="s">
        <v>21</v>
      </c>
    </row>
    <row r="144" spans="1:10" x14ac:dyDescent="0.25">
      <c r="A144" s="1">
        <v>40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"2026-06-28 18:28:19.641"</f>
        <v>2026-06-28 18:28:19.641</v>
      </c>
      <c r="H144" t="s">
        <v>21</v>
      </c>
      <c r="I144">
        <v>0</v>
      </c>
      <c r="J144" t="s">
        <v>22</v>
      </c>
    </row>
    <row r="145" spans="1:10" x14ac:dyDescent="0.25">
      <c r="A145" s="1">
        <v>41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"2026-06-28 09:43:02.620"</f>
        <v>2026-06-28 09:43:02.620</v>
      </c>
      <c r="H145" t="s">
        <v>21</v>
      </c>
      <c r="I145">
        <v>0</v>
      </c>
      <c r="J145" t="s">
        <v>22</v>
      </c>
    </row>
    <row r="146" spans="1:10" x14ac:dyDescent="0.25">
      <c r="A146" s="1">
        <v>42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"2026-06-28 02:10:59.806"</f>
        <v>2026-06-28 02:10:59.806</v>
      </c>
      <c r="H146" t="s">
        <v>21</v>
      </c>
      <c r="I146">
        <v>0</v>
      </c>
      <c r="J146" t="s">
        <v>22</v>
      </c>
    </row>
    <row r="147" spans="1:10" x14ac:dyDescent="0.25">
      <c r="A147" s="1">
        <v>44</v>
      </c>
      <c r="B147" t="s">
        <v>26</v>
      </c>
      <c r="C147">
        <v>635</v>
      </c>
      <c r="D147">
        <v>1</v>
      </c>
      <c r="E147" t="s">
        <v>38</v>
      </c>
      <c r="F147" t="s">
        <v>39</v>
      </c>
      <c r="G147" t="str">
        <f>"2026-06-27 15:03:04.450"</f>
        <v>2026-06-27 15:03:04.450</v>
      </c>
      <c r="H147" t="s">
        <v>21</v>
      </c>
    </row>
    <row r="148" spans="1:10" x14ac:dyDescent="0.25">
      <c r="A148" s="1">
        <v>45</v>
      </c>
      <c r="B148" t="s">
        <v>36</v>
      </c>
      <c r="C148">
        <v>635</v>
      </c>
      <c r="D148">
        <v>1</v>
      </c>
      <c r="E148" t="s">
        <v>38</v>
      </c>
      <c r="F148" t="s">
        <v>39</v>
      </c>
      <c r="G148" t="str">
        <f>"2026-06-27 14:57:26.450"</f>
        <v>2026-06-27 14:57:26.450</v>
      </c>
      <c r="H148" t="s">
        <v>21</v>
      </c>
      <c r="I148">
        <v>3.37</v>
      </c>
      <c r="J148" t="s">
        <v>42</v>
      </c>
    </row>
    <row r="149" spans="1:10" x14ac:dyDescent="0.25">
      <c r="A149" s="1">
        <v>46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"2026-06-27 00:47:01.611"</f>
        <v>2026-06-27 00:47:01.611</v>
      </c>
      <c r="H149" t="s">
        <v>21</v>
      </c>
    </row>
    <row r="150" spans="1:10" x14ac:dyDescent="0.25">
      <c r="A150" s="1">
        <v>47</v>
      </c>
      <c r="B150" t="s">
        <v>26</v>
      </c>
      <c r="C150">
        <v>635</v>
      </c>
      <c r="D150">
        <v>1</v>
      </c>
      <c r="E150" t="s">
        <v>38</v>
      </c>
      <c r="F150" t="s">
        <v>39</v>
      </c>
      <c r="G150" t="str">
        <f>"2026-06-26 21:13:26.351"</f>
        <v>2026-06-26 21:13:26.351</v>
      </c>
      <c r="H150" t="s">
        <v>21</v>
      </c>
    </row>
    <row r="151" spans="1:10" x14ac:dyDescent="0.25">
      <c r="A151" s="1">
        <v>48</v>
      </c>
      <c r="B151" t="s">
        <v>36</v>
      </c>
      <c r="C151">
        <v>635</v>
      </c>
      <c r="D151">
        <v>1</v>
      </c>
      <c r="E151" t="s">
        <v>38</v>
      </c>
      <c r="F151" t="s">
        <v>39</v>
      </c>
      <c r="G151" t="str">
        <f>"2026-06-26 20:59:00.352"</f>
        <v>2026-06-26 20:59:00.352</v>
      </c>
      <c r="H151" t="s">
        <v>21</v>
      </c>
      <c r="I151">
        <v>5.07</v>
      </c>
      <c r="J151" t="s">
        <v>30</v>
      </c>
    </row>
    <row r="152" spans="1:10" x14ac:dyDescent="0.25">
      <c r="A152" s="1">
        <v>49</v>
      </c>
      <c r="B152" t="s">
        <v>26</v>
      </c>
      <c r="C152">
        <v>635</v>
      </c>
      <c r="D152">
        <v>1</v>
      </c>
      <c r="E152" t="s">
        <v>38</v>
      </c>
      <c r="F152" t="s">
        <v>39</v>
      </c>
      <c r="G152" t="str">
        <f>"2026-06-26 19:15:34.252"</f>
        <v>2026-06-26 19:15:34.252</v>
      </c>
      <c r="H152" t="s">
        <v>21</v>
      </c>
    </row>
    <row r="153" spans="1:10" x14ac:dyDescent="0.25">
      <c r="A153" s="1">
        <v>50</v>
      </c>
      <c r="B153" t="s">
        <v>36</v>
      </c>
      <c r="C153">
        <v>635</v>
      </c>
      <c r="D153">
        <v>1</v>
      </c>
      <c r="E153" t="s">
        <v>38</v>
      </c>
      <c r="F153" t="s">
        <v>39</v>
      </c>
      <c r="G153" t="str">
        <f>"2026-06-26 19:12:34.752"</f>
        <v>2026-06-26 19:12:34.752</v>
      </c>
      <c r="H153" t="s">
        <v>21</v>
      </c>
      <c r="I153">
        <v>4.8899999999999997</v>
      </c>
      <c r="J153" t="s">
        <v>42</v>
      </c>
    </row>
    <row r="154" spans="1:10" x14ac:dyDescent="0.25">
      <c r="A154" s="1">
        <v>51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"2026-06-26 00:33:26.730"</f>
        <v>2026-06-26 00:33:26.730</v>
      </c>
      <c r="H154" t="s">
        <v>21</v>
      </c>
      <c r="I154">
        <v>0</v>
      </c>
      <c r="J154" t="s">
        <v>22</v>
      </c>
    </row>
    <row r="155" spans="1:10" s="3" customFormat="1" x14ac:dyDescent="0.25">
      <c r="A155" s="2">
        <v>52</v>
      </c>
      <c r="B155" s="3" t="s">
        <v>26</v>
      </c>
      <c r="C155" s="3">
        <v>647</v>
      </c>
      <c r="D155" s="3">
        <v>1</v>
      </c>
      <c r="E155" s="3" t="s">
        <v>40</v>
      </c>
      <c r="F155" s="3" t="s">
        <v>41</v>
      </c>
      <c r="G155" s="3" t="str">
        <f>"2026-06-25 21:05:20.390"</f>
        <v>2026-06-25 21:05:20.390</v>
      </c>
      <c r="H155" s="3" t="s">
        <v>21</v>
      </c>
    </row>
    <row r="156" spans="1:10" s="3" customFormat="1" x14ac:dyDescent="0.25">
      <c r="A156" s="2">
        <v>53</v>
      </c>
      <c r="B156" s="3" t="s">
        <v>36</v>
      </c>
      <c r="C156" s="3">
        <v>647</v>
      </c>
      <c r="D156" s="3">
        <v>1</v>
      </c>
      <c r="E156" s="3" t="s">
        <v>40</v>
      </c>
      <c r="F156" s="3" t="s">
        <v>41</v>
      </c>
      <c r="G156" s="3" t="str">
        <f>"2026-06-25 21:05:09.690"</f>
        <v>2026-06-25 21:05:09.690</v>
      </c>
      <c r="H156" s="3" t="s">
        <v>21</v>
      </c>
      <c r="I156" s="3">
        <v>11.33</v>
      </c>
      <c r="J156" s="3" t="s">
        <v>42</v>
      </c>
    </row>
    <row r="157" spans="1:10" x14ac:dyDescent="0.25">
      <c r="A157" s="1">
        <v>54</v>
      </c>
      <c r="B157" t="s">
        <v>26</v>
      </c>
      <c r="C157">
        <v>98</v>
      </c>
      <c r="D157">
        <v>1</v>
      </c>
      <c r="E157" t="s">
        <v>34</v>
      </c>
      <c r="F157" t="s">
        <v>35</v>
      </c>
      <c r="G157" t="str">
        <f>"2026-06-25 07:46:34.210"</f>
        <v>2026-06-25 07:46:34.210</v>
      </c>
      <c r="H157" t="s">
        <v>21</v>
      </c>
    </row>
    <row r="158" spans="1:10" x14ac:dyDescent="0.25">
      <c r="A158" s="1">
        <v>55</v>
      </c>
      <c r="B158" t="s">
        <v>36</v>
      </c>
      <c r="C158">
        <v>98</v>
      </c>
      <c r="D158">
        <v>1</v>
      </c>
      <c r="E158" t="s">
        <v>34</v>
      </c>
      <c r="F158" t="s">
        <v>35</v>
      </c>
      <c r="G158" t="str">
        <f>"2026-06-25 07:46:33.210"</f>
        <v>2026-06-25 07:46:33.210</v>
      </c>
      <c r="H158" t="s">
        <v>21</v>
      </c>
      <c r="I158">
        <v>3.46</v>
      </c>
      <c r="J158" t="s">
        <v>37</v>
      </c>
    </row>
    <row r="159" spans="1:10" x14ac:dyDescent="0.25">
      <c r="A159" s="1">
        <v>56</v>
      </c>
      <c r="B159" t="s">
        <v>26</v>
      </c>
      <c r="C159">
        <v>635</v>
      </c>
      <c r="D159">
        <v>1</v>
      </c>
      <c r="E159" t="s">
        <v>38</v>
      </c>
      <c r="F159" t="s">
        <v>39</v>
      </c>
      <c r="G159" t="str">
        <f>"2026-06-25 04:06:23.137"</f>
        <v>2026-06-25 04:06:23.137</v>
      </c>
      <c r="H159" t="s">
        <v>21</v>
      </c>
    </row>
    <row r="160" spans="1:10" x14ac:dyDescent="0.25">
      <c r="A160" s="1">
        <v>57</v>
      </c>
      <c r="B160" t="s">
        <v>36</v>
      </c>
      <c r="C160">
        <v>635</v>
      </c>
      <c r="D160">
        <v>1</v>
      </c>
      <c r="E160" t="s">
        <v>38</v>
      </c>
      <c r="F160" t="s">
        <v>39</v>
      </c>
      <c r="G160" t="str">
        <f>"2026-06-25 04:03:13.137"</f>
        <v>2026-06-25 04:03:13.137</v>
      </c>
      <c r="H160" t="s">
        <v>21</v>
      </c>
      <c r="I160">
        <v>9.59</v>
      </c>
      <c r="J160" t="s">
        <v>42</v>
      </c>
    </row>
    <row r="161" spans="1:10" x14ac:dyDescent="0.25">
      <c r="A161" s="1">
        <v>58</v>
      </c>
      <c r="B161" t="s">
        <v>19</v>
      </c>
      <c r="C161">
        <v>706</v>
      </c>
      <c r="D161">
        <v>4</v>
      </c>
      <c r="E161" t="s">
        <v>31</v>
      </c>
      <c r="F161" t="s">
        <v>32</v>
      </c>
      <c r="G161" t="str">
        <f>"2026-06-25 00:19:54.109"</f>
        <v>2026-06-25 00:19:54.109</v>
      </c>
      <c r="H161" t="s">
        <v>21</v>
      </c>
      <c r="I161">
        <v>0</v>
      </c>
      <c r="J161" t="s">
        <v>33</v>
      </c>
    </row>
    <row r="162" spans="1:10" x14ac:dyDescent="0.25">
      <c r="A162" s="1">
        <v>59</v>
      </c>
      <c r="B162" t="s">
        <v>26</v>
      </c>
      <c r="C162">
        <v>635</v>
      </c>
      <c r="D162">
        <v>1</v>
      </c>
      <c r="E162" t="s">
        <v>38</v>
      </c>
      <c r="F162" t="s">
        <v>39</v>
      </c>
      <c r="G162" t="str">
        <f>"2026-06-24 23:16:46.437"</f>
        <v>2026-06-24 23:16:46.437</v>
      </c>
      <c r="H162" t="s">
        <v>21</v>
      </c>
    </row>
    <row r="163" spans="1:10" x14ac:dyDescent="0.25">
      <c r="A163" s="1">
        <v>60</v>
      </c>
      <c r="B163" t="s">
        <v>36</v>
      </c>
      <c r="C163">
        <v>635</v>
      </c>
      <c r="D163">
        <v>1</v>
      </c>
      <c r="E163" t="s">
        <v>38</v>
      </c>
      <c r="F163" t="s">
        <v>39</v>
      </c>
      <c r="G163" t="str">
        <f>"2026-06-24 23:15:06.937"</f>
        <v>2026-06-24 23:15:06.937</v>
      </c>
      <c r="H163" t="s">
        <v>21</v>
      </c>
      <c r="I163">
        <v>3.01</v>
      </c>
      <c r="J163" t="s">
        <v>30</v>
      </c>
    </row>
    <row r="164" spans="1:10" x14ac:dyDescent="0.25">
      <c r="A164" s="1">
        <v>61</v>
      </c>
      <c r="B164" t="s">
        <v>26</v>
      </c>
      <c r="C164">
        <v>635</v>
      </c>
      <c r="D164">
        <v>1</v>
      </c>
      <c r="E164" t="s">
        <v>38</v>
      </c>
      <c r="F164" t="s">
        <v>39</v>
      </c>
      <c r="G164" t="str">
        <f>"2026-06-24 19:16:27.637"</f>
        <v>2026-06-24 19:16:27.637</v>
      </c>
      <c r="H164" t="s">
        <v>21</v>
      </c>
    </row>
    <row r="165" spans="1:10" x14ac:dyDescent="0.25">
      <c r="A165" s="1">
        <v>62</v>
      </c>
      <c r="B165" t="s">
        <v>36</v>
      </c>
      <c r="C165">
        <v>635</v>
      </c>
      <c r="D165">
        <v>1</v>
      </c>
      <c r="E165" t="s">
        <v>38</v>
      </c>
      <c r="F165" t="s">
        <v>39</v>
      </c>
      <c r="G165" t="str">
        <f>"2026-06-24 19:10:23.737"</f>
        <v>2026-06-24 19:10:23.737</v>
      </c>
      <c r="H165" t="s">
        <v>21</v>
      </c>
      <c r="I165">
        <v>1.93</v>
      </c>
      <c r="J165" t="s">
        <v>30</v>
      </c>
    </row>
    <row r="166" spans="1:10" s="3" customFormat="1" x14ac:dyDescent="0.25">
      <c r="A166" s="2">
        <v>63</v>
      </c>
      <c r="B166" s="3" t="s">
        <v>26</v>
      </c>
      <c r="C166" s="3">
        <v>647</v>
      </c>
      <c r="D166" s="3">
        <v>1</v>
      </c>
      <c r="E166" s="3" t="s">
        <v>40</v>
      </c>
      <c r="F166" s="3" t="s">
        <v>41</v>
      </c>
      <c r="G166" s="3" t="str">
        <f>"2026-06-24 15:22:35.790"</f>
        <v>2026-06-24 15:22:35.790</v>
      </c>
      <c r="H166" s="3" t="s">
        <v>21</v>
      </c>
    </row>
    <row r="167" spans="1:10" s="3" customFormat="1" x14ac:dyDescent="0.25">
      <c r="A167" s="2">
        <v>64</v>
      </c>
      <c r="B167" s="3" t="s">
        <v>36</v>
      </c>
      <c r="C167" s="3">
        <v>647</v>
      </c>
      <c r="D167" s="3">
        <v>1</v>
      </c>
      <c r="E167" s="3" t="s">
        <v>40</v>
      </c>
      <c r="F167" s="3" t="s">
        <v>41</v>
      </c>
      <c r="G167" s="3" t="str">
        <f>"2026-06-24 15:22:14.690"</f>
        <v>2026-06-24 15:22:14.690</v>
      </c>
      <c r="H167" s="3" t="s">
        <v>21</v>
      </c>
      <c r="I167" s="3">
        <v>9.7200000000000006</v>
      </c>
      <c r="J167" s="3" t="s">
        <v>42</v>
      </c>
    </row>
    <row r="168" spans="1:10" s="3" customFormat="1" x14ac:dyDescent="0.25">
      <c r="A168" s="2">
        <v>65</v>
      </c>
      <c r="B168" s="3" t="s">
        <v>26</v>
      </c>
      <c r="C168" s="3">
        <v>647</v>
      </c>
      <c r="D168" s="3">
        <v>1</v>
      </c>
      <c r="E168" s="3" t="s">
        <v>40</v>
      </c>
      <c r="F168" s="3" t="s">
        <v>41</v>
      </c>
      <c r="G168" s="3" t="str">
        <f>"2026-06-24 14:13:12.190"</f>
        <v>2026-06-24 14:13:12.190</v>
      </c>
      <c r="H168" s="3" t="s">
        <v>21</v>
      </c>
    </row>
    <row r="169" spans="1:10" s="3" customFormat="1" x14ac:dyDescent="0.25">
      <c r="A169" s="2">
        <v>66</v>
      </c>
      <c r="B169" s="3" t="s">
        <v>36</v>
      </c>
      <c r="C169" s="3">
        <v>647</v>
      </c>
      <c r="D169" s="3">
        <v>1</v>
      </c>
      <c r="E169" s="3" t="s">
        <v>40</v>
      </c>
      <c r="F169" s="3" t="s">
        <v>41</v>
      </c>
      <c r="G169" s="3" t="str">
        <f>"2026-06-24 14:12:58.890"</f>
        <v>2026-06-24 14:12:58.890</v>
      </c>
      <c r="H169" s="3" t="s">
        <v>21</v>
      </c>
      <c r="I169" s="3">
        <v>9.07</v>
      </c>
      <c r="J169" s="3" t="s">
        <v>42</v>
      </c>
    </row>
    <row r="170" spans="1:10" x14ac:dyDescent="0.25">
      <c r="A170" s="1">
        <v>67</v>
      </c>
      <c r="B170" t="s">
        <v>26</v>
      </c>
      <c r="C170">
        <v>635</v>
      </c>
      <c r="D170">
        <v>1</v>
      </c>
      <c r="E170" t="s">
        <v>38</v>
      </c>
      <c r="F170" t="s">
        <v>39</v>
      </c>
      <c r="G170" t="str">
        <f>"2026-06-24 13:45:01.637"</f>
        <v>2026-06-24 13:45:01.637</v>
      </c>
      <c r="H170" t="s">
        <v>21</v>
      </c>
    </row>
    <row r="171" spans="1:10" x14ac:dyDescent="0.25">
      <c r="A171" s="1">
        <v>68</v>
      </c>
      <c r="B171" t="s">
        <v>36</v>
      </c>
      <c r="C171">
        <v>635</v>
      </c>
      <c r="D171">
        <v>1</v>
      </c>
      <c r="E171" t="s">
        <v>38</v>
      </c>
      <c r="F171" t="s">
        <v>39</v>
      </c>
      <c r="G171" t="str">
        <f>"2026-06-24 13:41:28.637"</f>
        <v>2026-06-24 13:41:28.637</v>
      </c>
      <c r="H171" t="s">
        <v>21</v>
      </c>
      <c r="I171">
        <v>3.59</v>
      </c>
      <c r="J171" t="s">
        <v>30</v>
      </c>
    </row>
    <row r="172" spans="1:10" x14ac:dyDescent="0.25">
      <c r="A172" s="1">
        <v>69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"2026-06-24 03:18:53.609"</f>
        <v>2026-06-24 03:18:53.609</v>
      </c>
      <c r="H172" t="s">
        <v>21</v>
      </c>
      <c r="I172">
        <v>0</v>
      </c>
      <c r="J172" t="s">
        <v>22</v>
      </c>
    </row>
    <row r="173" spans="1:10" s="3" customFormat="1" x14ac:dyDescent="0.25">
      <c r="A173" s="2">
        <v>70</v>
      </c>
      <c r="B173" s="3" t="s">
        <v>26</v>
      </c>
      <c r="C173" s="3">
        <v>647</v>
      </c>
      <c r="D173" s="3">
        <v>1</v>
      </c>
      <c r="E173" s="3" t="s">
        <v>40</v>
      </c>
      <c r="F173" s="3" t="s">
        <v>41</v>
      </c>
      <c r="G173" s="3" t="str">
        <f>"2026-06-24 02:39:42.109"</f>
        <v>2026-06-24 02:39:42.109</v>
      </c>
      <c r="H173" s="3" t="s">
        <v>21</v>
      </c>
    </row>
    <row r="174" spans="1:10" s="3" customFormat="1" x14ac:dyDescent="0.25">
      <c r="A174" s="2">
        <v>71</v>
      </c>
      <c r="B174" s="3" t="s">
        <v>36</v>
      </c>
      <c r="C174" s="3">
        <v>647</v>
      </c>
      <c r="D174" s="3">
        <v>1</v>
      </c>
      <c r="E174" s="3" t="s">
        <v>40</v>
      </c>
      <c r="F174" s="3" t="s">
        <v>41</v>
      </c>
      <c r="G174" s="3" t="str">
        <f>"2026-06-24 02:39:31.009"</f>
        <v>2026-06-24 02:39:31.009</v>
      </c>
      <c r="H174" s="3" t="s">
        <v>21</v>
      </c>
      <c r="I174" s="3">
        <v>10.42</v>
      </c>
      <c r="J174" s="3" t="s">
        <v>42</v>
      </c>
    </row>
    <row r="175" spans="1:10" x14ac:dyDescent="0.25">
      <c r="A175" s="1">
        <v>72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"2026-06-24 01:44:02.592"</f>
        <v>2026-06-24 01:44:02.592</v>
      </c>
      <c r="H175" t="s">
        <v>21</v>
      </c>
    </row>
    <row r="176" spans="1:10" x14ac:dyDescent="0.25">
      <c r="A176" s="1">
        <v>73</v>
      </c>
      <c r="B176" t="s">
        <v>19</v>
      </c>
      <c r="C176">
        <v>706</v>
      </c>
      <c r="D176">
        <v>4</v>
      </c>
      <c r="E176" t="s">
        <v>31</v>
      </c>
      <c r="F176" t="s">
        <v>32</v>
      </c>
      <c r="G176" t="str">
        <f>"2026-06-23 14:39:57.243"</f>
        <v>2026-06-23 14:39:57.243</v>
      </c>
      <c r="H176" t="s">
        <v>21</v>
      </c>
      <c r="I176">
        <v>0</v>
      </c>
      <c r="J176" t="s">
        <v>48</v>
      </c>
    </row>
    <row r="177" spans="1:10" x14ac:dyDescent="0.25">
      <c r="A177" s="1">
        <v>74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"2026-06-23 14:38:49.583"</f>
        <v>2026-06-23 14:38:49.583</v>
      </c>
      <c r="H177" t="s">
        <v>21</v>
      </c>
    </row>
    <row r="178" spans="1:10" x14ac:dyDescent="0.25">
      <c r="A178" s="1">
        <v>75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"2026-06-23 13:50:55.612"</f>
        <v>2026-06-23 13:50:55.612</v>
      </c>
      <c r="H178" t="s">
        <v>21</v>
      </c>
      <c r="I178">
        <v>0</v>
      </c>
      <c r="J178" t="s">
        <v>22</v>
      </c>
    </row>
    <row r="179" spans="1:10" x14ac:dyDescent="0.25">
      <c r="A179" s="1">
        <v>76</v>
      </c>
      <c r="B179" t="s">
        <v>26</v>
      </c>
      <c r="C179">
        <v>635</v>
      </c>
      <c r="D179">
        <v>1</v>
      </c>
      <c r="E179" t="s">
        <v>38</v>
      </c>
      <c r="F179" t="s">
        <v>39</v>
      </c>
      <c r="G179" t="str">
        <f>"2026-06-23 06:00:54.956"</f>
        <v>2026-06-23 06:00:54.956</v>
      </c>
      <c r="H179" t="s">
        <v>21</v>
      </c>
    </row>
    <row r="180" spans="1:10" x14ac:dyDescent="0.25">
      <c r="A180" s="1">
        <v>77</v>
      </c>
      <c r="B180" t="s">
        <v>36</v>
      </c>
      <c r="C180">
        <v>635</v>
      </c>
      <c r="D180">
        <v>1</v>
      </c>
      <c r="E180" t="s">
        <v>38</v>
      </c>
      <c r="F180" t="s">
        <v>39</v>
      </c>
      <c r="G180" t="str">
        <f>"2026-06-23 05:59:09.956"</f>
        <v>2026-06-23 05:59:09.956</v>
      </c>
      <c r="H180" t="s">
        <v>21</v>
      </c>
      <c r="I180">
        <v>5.0199999999999996</v>
      </c>
      <c r="J180" t="s">
        <v>30</v>
      </c>
    </row>
    <row r="181" spans="1:10" x14ac:dyDescent="0.25">
      <c r="A181" s="1">
        <v>78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"2026-06-23 00:19:33.814"</f>
        <v>2026-06-23 00:19:33.814</v>
      </c>
      <c r="H181" t="s">
        <v>21</v>
      </c>
      <c r="I181">
        <v>0</v>
      </c>
      <c r="J181" t="s">
        <v>22</v>
      </c>
    </row>
    <row r="182" spans="1:10" x14ac:dyDescent="0.25">
      <c r="A182" s="1">
        <v>80</v>
      </c>
      <c r="B182" t="s">
        <v>26</v>
      </c>
      <c r="C182">
        <v>635</v>
      </c>
      <c r="D182">
        <v>1</v>
      </c>
      <c r="E182" t="s">
        <v>38</v>
      </c>
      <c r="F182" t="s">
        <v>39</v>
      </c>
      <c r="G182" t="str">
        <f>"2026-06-22 01:28:48.356"</f>
        <v>2026-06-22 01:28:48.356</v>
      </c>
      <c r="H182" t="s">
        <v>21</v>
      </c>
    </row>
    <row r="183" spans="1:10" x14ac:dyDescent="0.25">
      <c r="A183" s="1">
        <v>81</v>
      </c>
      <c r="B183" t="s">
        <v>36</v>
      </c>
      <c r="C183">
        <v>635</v>
      </c>
      <c r="D183">
        <v>1</v>
      </c>
      <c r="E183" t="s">
        <v>38</v>
      </c>
      <c r="F183" t="s">
        <v>39</v>
      </c>
      <c r="G183" t="str">
        <f>"2026-06-22 01:24:50.456"</f>
        <v>2026-06-22 01:24:50.456</v>
      </c>
      <c r="H183" t="s">
        <v>21</v>
      </c>
      <c r="I183">
        <v>1.42</v>
      </c>
      <c r="J183" t="s">
        <v>30</v>
      </c>
    </row>
    <row r="184" spans="1:10" x14ac:dyDescent="0.25">
      <c r="A184" s="1">
        <v>82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"2026-06-22 01:03:42.588"</f>
        <v>2026-06-22 01:03:42.588</v>
      </c>
      <c r="H184" t="s">
        <v>21</v>
      </c>
    </row>
    <row r="185" spans="1:10" x14ac:dyDescent="0.25">
      <c r="A185" s="1">
        <v>83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"2026-06-21 02:09:39.597"</f>
        <v>2026-06-21 02:09:39.597</v>
      </c>
      <c r="H185" t="s">
        <v>21</v>
      </c>
      <c r="I185">
        <v>0</v>
      </c>
      <c r="J185" t="s">
        <v>22</v>
      </c>
    </row>
    <row r="186" spans="1:10" x14ac:dyDescent="0.25">
      <c r="A186" s="1">
        <v>84</v>
      </c>
      <c r="B186" t="s">
        <v>61</v>
      </c>
      <c r="C186">
        <v>117</v>
      </c>
      <c r="D186">
        <v>4</v>
      </c>
      <c r="E186" t="s">
        <v>65</v>
      </c>
      <c r="F186" t="s">
        <v>66</v>
      </c>
      <c r="G186" t="str">
        <f>"2026-06-20 15:52:52.385"</f>
        <v>2026-06-20 15:52:52.385</v>
      </c>
      <c r="H186" t="s">
        <v>60</v>
      </c>
    </row>
    <row r="187" spans="1:10" x14ac:dyDescent="0.25">
      <c r="A187" s="1">
        <v>85</v>
      </c>
      <c r="B187" t="s">
        <v>61</v>
      </c>
      <c r="C187">
        <v>117</v>
      </c>
      <c r="D187">
        <v>1</v>
      </c>
      <c r="E187" t="s">
        <v>65</v>
      </c>
      <c r="F187" t="s">
        <v>67</v>
      </c>
      <c r="G187" t="str">
        <f>"2026-06-20 15:52:52.383"</f>
        <v>2026-06-20 15:52:52.383</v>
      </c>
      <c r="H187" t="s">
        <v>60</v>
      </c>
    </row>
    <row r="188" spans="1:10" x14ac:dyDescent="0.25">
      <c r="A188" s="1">
        <v>86</v>
      </c>
      <c r="B188" t="s">
        <v>29</v>
      </c>
      <c r="C188">
        <v>117</v>
      </c>
      <c r="D188">
        <v>1</v>
      </c>
      <c r="E188" t="s">
        <v>65</v>
      </c>
      <c r="F188" t="s">
        <v>67</v>
      </c>
      <c r="G188" t="str">
        <f>"2026-06-20 15:52:47.295"</f>
        <v>2026-06-20 15:52:47.295</v>
      </c>
      <c r="H188" t="s">
        <v>60</v>
      </c>
      <c r="I188">
        <v>7.12</v>
      </c>
      <c r="J188" t="s">
        <v>30</v>
      </c>
    </row>
    <row r="189" spans="1:10" x14ac:dyDescent="0.25">
      <c r="A189" s="1">
        <v>87</v>
      </c>
      <c r="B189" t="s">
        <v>29</v>
      </c>
      <c r="C189">
        <v>117</v>
      </c>
      <c r="D189">
        <v>4</v>
      </c>
      <c r="E189" t="s">
        <v>65</v>
      </c>
      <c r="F189" t="s">
        <v>66</v>
      </c>
      <c r="G189" t="str">
        <f>"2026-06-20 15:52:47.289"</f>
        <v>2026-06-20 15:52:47.289</v>
      </c>
      <c r="H189" t="s">
        <v>60</v>
      </c>
      <c r="I189">
        <v>7.12</v>
      </c>
      <c r="J189" t="s">
        <v>30</v>
      </c>
    </row>
    <row r="190" spans="1:10" x14ac:dyDescent="0.25">
      <c r="A190" s="1">
        <v>88</v>
      </c>
      <c r="B190" t="s">
        <v>19</v>
      </c>
      <c r="C190">
        <v>706</v>
      </c>
      <c r="D190">
        <v>2</v>
      </c>
      <c r="E190" t="s">
        <v>31</v>
      </c>
      <c r="F190" t="s">
        <v>43</v>
      </c>
      <c r="G190" t="str">
        <f>"2026-06-20 11:18:06.172"</f>
        <v>2026-06-20 11:18:06.172</v>
      </c>
      <c r="H190" t="s">
        <v>21</v>
      </c>
      <c r="I190">
        <v>0</v>
      </c>
      <c r="J190" t="s">
        <v>48</v>
      </c>
    </row>
    <row r="191" spans="1:10" x14ac:dyDescent="0.25">
      <c r="A191" s="1">
        <v>89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"2026-06-20 02:22:35.602"</f>
        <v>2026-06-20 02:22:35.602</v>
      </c>
      <c r="H191" t="s">
        <v>21</v>
      </c>
      <c r="I191">
        <v>0</v>
      </c>
      <c r="J191" t="s">
        <v>22</v>
      </c>
    </row>
    <row r="192" spans="1:10" x14ac:dyDescent="0.25">
      <c r="A192" s="1">
        <v>90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"2026-06-19 19:02:46.812"</f>
        <v>2026-06-19 19:02:46.812</v>
      </c>
      <c r="H192" t="s">
        <v>21</v>
      </c>
      <c r="I192">
        <v>0</v>
      </c>
      <c r="J192" t="s">
        <v>22</v>
      </c>
    </row>
    <row r="193" spans="1:10" x14ac:dyDescent="0.25">
      <c r="A193" s="1">
        <v>91</v>
      </c>
      <c r="B193" t="s">
        <v>61</v>
      </c>
      <c r="C193">
        <v>117</v>
      </c>
      <c r="D193">
        <v>4</v>
      </c>
      <c r="E193" t="s">
        <v>65</v>
      </c>
      <c r="F193" t="s">
        <v>66</v>
      </c>
      <c r="G193" t="str">
        <f>"2026-06-19 19:00:44.813"</f>
        <v>2026-06-19 19:00:44.813</v>
      </c>
      <c r="H193" t="s">
        <v>60</v>
      </c>
    </row>
    <row r="194" spans="1:10" x14ac:dyDescent="0.25">
      <c r="A194" s="1">
        <v>92</v>
      </c>
      <c r="B194" t="s">
        <v>61</v>
      </c>
      <c r="C194">
        <v>117</v>
      </c>
      <c r="D194">
        <v>1</v>
      </c>
      <c r="E194" t="s">
        <v>65</v>
      </c>
      <c r="F194" t="s">
        <v>67</v>
      </c>
      <c r="G194" t="str">
        <f>"2026-06-19 19:00:44.812"</f>
        <v>2026-06-19 19:00:44.812</v>
      </c>
      <c r="H194" t="s">
        <v>60</v>
      </c>
    </row>
    <row r="195" spans="1:10" x14ac:dyDescent="0.25">
      <c r="A195" s="1">
        <v>93</v>
      </c>
      <c r="B195" t="s">
        <v>29</v>
      </c>
      <c r="C195">
        <v>117</v>
      </c>
      <c r="D195">
        <v>1</v>
      </c>
      <c r="E195" t="s">
        <v>65</v>
      </c>
      <c r="F195" t="s">
        <v>67</v>
      </c>
      <c r="G195" t="str">
        <f>"2026-06-19 19:00:39.787"</f>
        <v>2026-06-19 19:00:39.787</v>
      </c>
      <c r="H195" t="s">
        <v>60</v>
      </c>
      <c r="I195">
        <v>10.84</v>
      </c>
      <c r="J195" t="s">
        <v>30</v>
      </c>
    </row>
    <row r="196" spans="1:10" x14ac:dyDescent="0.25">
      <c r="A196" s="1">
        <v>94</v>
      </c>
      <c r="B196" t="s">
        <v>29</v>
      </c>
      <c r="C196">
        <v>117</v>
      </c>
      <c r="D196">
        <v>4</v>
      </c>
      <c r="E196" t="s">
        <v>65</v>
      </c>
      <c r="F196" t="s">
        <v>66</v>
      </c>
      <c r="G196" t="str">
        <f>"2026-06-19 19:00:39.781"</f>
        <v>2026-06-19 19:00:39.781</v>
      </c>
      <c r="H196" t="s">
        <v>60</v>
      </c>
      <c r="I196">
        <v>10.84</v>
      </c>
      <c r="J196" t="s">
        <v>30</v>
      </c>
    </row>
    <row r="197" spans="1:10" x14ac:dyDescent="0.25">
      <c r="A197" s="1">
        <v>95</v>
      </c>
      <c r="B197" t="s">
        <v>26</v>
      </c>
      <c r="C197">
        <v>635</v>
      </c>
      <c r="D197">
        <v>1</v>
      </c>
      <c r="E197" t="s">
        <v>38</v>
      </c>
      <c r="F197" t="s">
        <v>39</v>
      </c>
      <c r="G197" t="str">
        <f>"2026-06-18 22:37:43.825"</f>
        <v>2026-06-18 22:37:43.825</v>
      </c>
      <c r="H197" t="s">
        <v>21</v>
      </c>
    </row>
    <row r="198" spans="1:10" x14ac:dyDescent="0.25">
      <c r="A198" s="1">
        <v>96</v>
      </c>
      <c r="B198" t="s">
        <v>36</v>
      </c>
      <c r="C198">
        <v>635</v>
      </c>
      <c r="D198">
        <v>1</v>
      </c>
      <c r="E198" t="s">
        <v>38</v>
      </c>
      <c r="F198" t="s">
        <v>39</v>
      </c>
      <c r="G198" t="str">
        <f>"2026-06-18 22:33:07.325"</f>
        <v>2026-06-18 22:33:07.325</v>
      </c>
      <c r="H198" t="s">
        <v>21</v>
      </c>
      <c r="I198">
        <v>5.28</v>
      </c>
      <c r="J198" t="s">
        <v>30</v>
      </c>
    </row>
    <row r="199" spans="1:10" x14ac:dyDescent="0.25">
      <c r="A199" s="1">
        <v>97</v>
      </c>
      <c r="B199" t="s">
        <v>19</v>
      </c>
      <c r="C199">
        <v>706</v>
      </c>
      <c r="D199">
        <v>2</v>
      </c>
      <c r="E199" t="s">
        <v>31</v>
      </c>
      <c r="F199" t="s">
        <v>43</v>
      </c>
      <c r="G199" t="str">
        <f>"2026-06-18 21:38:44.998"</f>
        <v>2026-06-18 21:38:44.998</v>
      </c>
      <c r="H199" t="s">
        <v>21</v>
      </c>
      <c r="I199">
        <v>0</v>
      </c>
      <c r="J199" t="s">
        <v>33</v>
      </c>
    </row>
    <row r="200" spans="1:10" x14ac:dyDescent="0.25">
      <c r="A200" s="1">
        <v>98</v>
      </c>
      <c r="B200" t="s">
        <v>26</v>
      </c>
      <c r="C200">
        <v>98</v>
      </c>
      <c r="D200">
        <v>1</v>
      </c>
      <c r="E200" t="s">
        <v>34</v>
      </c>
      <c r="F200" t="s">
        <v>35</v>
      </c>
      <c r="G200" t="str">
        <f>"2026-06-18 19:38:52.158"</f>
        <v>2026-06-18 19:38:52.158</v>
      </c>
      <c r="H200" t="s">
        <v>21</v>
      </c>
    </row>
    <row r="201" spans="1:10" x14ac:dyDescent="0.25">
      <c r="A201" s="1">
        <v>99</v>
      </c>
      <c r="B201" t="s">
        <v>36</v>
      </c>
      <c r="C201">
        <v>98</v>
      </c>
      <c r="D201">
        <v>1</v>
      </c>
      <c r="E201" t="s">
        <v>34</v>
      </c>
      <c r="F201" t="s">
        <v>35</v>
      </c>
      <c r="G201" t="str">
        <f>"2026-06-18 19:38:51.158"</f>
        <v>2026-06-18 19:38:51.158</v>
      </c>
      <c r="H201" t="s">
        <v>21</v>
      </c>
      <c r="I201">
        <v>0</v>
      </c>
      <c r="J201" t="s">
        <v>37</v>
      </c>
    </row>
    <row r="202" spans="1:10" x14ac:dyDescent="0.25">
      <c r="A202" s="1">
        <v>0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"2026-06-18 16:28:45.808"</f>
        <v>2026-06-18 16:28:45.808</v>
      </c>
      <c r="H202" t="s">
        <v>21</v>
      </c>
    </row>
    <row r="203" spans="1:10" x14ac:dyDescent="0.25">
      <c r="A203" s="1">
        <v>1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"2026-06-18 16:24:00.829"</f>
        <v>2026-06-18 16:24:00.829</v>
      </c>
      <c r="H203" t="s">
        <v>21</v>
      </c>
      <c r="I203">
        <v>0</v>
      </c>
      <c r="J203" t="s">
        <v>22</v>
      </c>
    </row>
    <row r="204" spans="1:10" x14ac:dyDescent="0.25">
      <c r="A204" s="1">
        <v>2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"2026-06-18 15:42:34.769"</f>
        <v>2026-06-18 15:42:34.769</v>
      </c>
      <c r="H204" t="s">
        <v>21</v>
      </c>
      <c r="I204">
        <v>0</v>
      </c>
      <c r="J204" t="s">
        <v>22</v>
      </c>
    </row>
    <row r="205" spans="1:10" x14ac:dyDescent="0.25">
      <c r="A205" s="1">
        <v>3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"2026-06-18 12:57:25.055"</f>
        <v>2026-06-18 12:57:25.055</v>
      </c>
      <c r="H205" t="s">
        <v>21</v>
      </c>
    </row>
    <row r="206" spans="1:10" x14ac:dyDescent="0.25">
      <c r="A206" s="1">
        <v>4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"2026-06-18 08:17:25.588"</f>
        <v>2026-06-18 08:17:25.588</v>
      </c>
      <c r="H206" t="s">
        <v>21</v>
      </c>
    </row>
    <row r="207" spans="1:10" x14ac:dyDescent="0.25">
      <c r="A207" s="1">
        <v>5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"2026-06-18 06:39:16.591"</f>
        <v>2026-06-18 06:39:16.591</v>
      </c>
      <c r="H207" t="s">
        <v>21</v>
      </c>
      <c r="I207">
        <v>0</v>
      </c>
      <c r="J207" t="s">
        <v>22</v>
      </c>
    </row>
    <row r="208" spans="1:10" x14ac:dyDescent="0.25">
      <c r="A208" s="1">
        <v>6</v>
      </c>
      <c r="B208" t="s">
        <v>23</v>
      </c>
      <c r="C208">
        <v>47</v>
      </c>
      <c r="D208">
        <v>2</v>
      </c>
      <c r="E208" t="s">
        <v>68</v>
      </c>
      <c r="F208" t="s">
        <v>69</v>
      </c>
      <c r="G208" t="str">
        <f>"2026-06-18 05:44:35.402"</f>
        <v>2026-06-18 05:44:35.402</v>
      </c>
      <c r="H208" t="s">
        <v>64</v>
      </c>
    </row>
    <row r="209" spans="1:10" x14ac:dyDescent="0.25">
      <c r="A209" s="1">
        <v>7</v>
      </c>
      <c r="B209" t="s">
        <v>29</v>
      </c>
      <c r="C209">
        <v>47</v>
      </c>
      <c r="D209">
        <v>2</v>
      </c>
      <c r="E209" t="s">
        <v>68</v>
      </c>
      <c r="F209" t="s">
        <v>69</v>
      </c>
      <c r="G209" t="str">
        <f>"2026-06-18 05:44:32.603"</f>
        <v>2026-06-18 05:44:32.603</v>
      </c>
      <c r="H209" t="s">
        <v>64</v>
      </c>
      <c r="I209">
        <v>0</v>
      </c>
      <c r="J209" t="s">
        <v>33</v>
      </c>
    </row>
    <row r="210" spans="1:10" x14ac:dyDescent="0.25">
      <c r="A210" s="1">
        <v>8</v>
      </c>
      <c r="B210" t="s">
        <v>19</v>
      </c>
      <c r="C210">
        <v>706</v>
      </c>
      <c r="D210">
        <v>2</v>
      </c>
      <c r="E210" t="s">
        <v>31</v>
      </c>
      <c r="F210" t="s">
        <v>43</v>
      </c>
      <c r="G210" t="str">
        <f>"2026-06-18 05:44:27.100"</f>
        <v>2026-06-18 05:44:27.100</v>
      </c>
      <c r="H210" t="s">
        <v>21</v>
      </c>
      <c r="I210">
        <v>0</v>
      </c>
      <c r="J210" t="s">
        <v>33</v>
      </c>
    </row>
    <row r="211" spans="1:10" x14ac:dyDescent="0.25">
      <c r="A211" s="1">
        <v>9</v>
      </c>
      <c r="B211" t="s">
        <v>19</v>
      </c>
      <c r="C211">
        <v>706</v>
      </c>
      <c r="D211">
        <v>2</v>
      </c>
      <c r="E211" t="s">
        <v>31</v>
      </c>
      <c r="F211" t="s">
        <v>43</v>
      </c>
      <c r="G211" t="str">
        <f>"2026-06-18 05:37:53.500"</f>
        <v>2026-06-18 05:37:53.500</v>
      </c>
      <c r="H211" t="s">
        <v>21</v>
      </c>
      <c r="I211">
        <v>0</v>
      </c>
      <c r="J211" t="s">
        <v>33</v>
      </c>
    </row>
    <row r="212" spans="1:10" x14ac:dyDescent="0.25">
      <c r="A212" s="1">
        <v>10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"2026-06-18 05:31:55.580"</f>
        <v>2026-06-18 05:31:55.580</v>
      </c>
      <c r="H212" t="s">
        <v>21</v>
      </c>
    </row>
    <row r="213" spans="1:10" x14ac:dyDescent="0.25">
      <c r="A213" s="1">
        <v>11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"2026-06-18 04:31:50.861"</f>
        <v>2026-06-18 04:31:50.861</v>
      </c>
      <c r="H213" t="s">
        <v>21</v>
      </c>
    </row>
    <row r="214" spans="1:10" x14ac:dyDescent="0.25">
      <c r="A214" s="1">
        <v>12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"2026-06-17 19:36:01.857"</f>
        <v>2026-06-17 19:36:01.857</v>
      </c>
      <c r="H214" t="s">
        <v>21</v>
      </c>
    </row>
    <row r="215" spans="1:10" s="3" customFormat="1" x14ac:dyDescent="0.25">
      <c r="A215" s="2">
        <v>13</v>
      </c>
      <c r="B215" s="3" t="s">
        <v>26</v>
      </c>
      <c r="C215" s="3">
        <v>647</v>
      </c>
      <c r="D215" s="3">
        <v>1</v>
      </c>
      <c r="E215" s="3" t="s">
        <v>40</v>
      </c>
      <c r="F215" s="3" t="s">
        <v>41</v>
      </c>
      <c r="G215" s="3" t="str">
        <f>"2026-06-16 15:31:06.141"</f>
        <v>2026-06-16 15:31:06.141</v>
      </c>
      <c r="H215" s="3" t="s">
        <v>21</v>
      </c>
    </row>
    <row r="216" spans="1:10" s="3" customFormat="1" x14ac:dyDescent="0.25">
      <c r="A216" s="2">
        <v>14</v>
      </c>
      <c r="B216" s="3" t="s">
        <v>36</v>
      </c>
      <c r="C216" s="3">
        <v>647</v>
      </c>
      <c r="D216" s="3">
        <v>1</v>
      </c>
      <c r="E216" s="3" t="s">
        <v>40</v>
      </c>
      <c r="F216" s="3" t="s">
        <v>41</v>
      </c>
      <c r="G216" s="3" t="str">
        <f>"2026-06-16 15:31:02.041"</f>
        <v>2026-06-16 15:31:02.041</v>
      </c>
      <c r="H216" s="3" t="s">
        <v>21</v>
      </c>
      <c r="I216" s="3">
        <v>9.1300000000000008</v>
      </c>
      <c r="J216" s="3" t="s">
        <v>42</v>
      </c>
    </row>
    <row r="217" spans="1:10" x14ac:dyDescent="0.25">
      <c r="A217" s="1">
        <v>15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"2026-06-16 12:15:37.727"</f>
        <v>2026-06-16 12:15:37.727</v>
      </c>
      <c r="H217" t="s">
        <v>21</v>
      </c>
      <c r="I217">
        <v>0</v>
      </c>
      <c r="J217" t="s">
        <v>22</v>
      </c>
    </row>
    <row r="218" spans="1:10" x14ac:dyDescent="0.25">
      <c r="A218" s="1">
        <v>16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"2026-06-16 09:46:42.583"</f>
        <v>2026-06-16 09:46:42.583</v>
      </c>
      <c r="H218" t="s">
        <v>21</v>
      </c>
      <c r="I218">
        <v>0</v>
      </c>
      <c r="J218" t="s">
        <v>22</v>
      </c>
    </row>
    <row r="219" spans="1:10" x14ac:dyDescent="0.25">
      <c r="A219" s="1">
        <v>17</v>
      </c>
      <c r="B219" t="s">
        <v>19</v>
      </c>
      <c r="C219">
        <v>706</v>
      </c>
      <c r="D219">
        <v>2</v>
      </c>
      <c r="E219" t="s">
        <v>31</v>
      </c>
      <c r="F219" t="s">
        <v>43</v>
      </c>
      <c r="G219" t="str">
        <f>"2026-06-16 09:02:13.309"</f>
        <v>2026-06-16 09:02:13.309</v>
      </c>
      <c r="H219" t="s">
        <v>21</v>
      </c>
      <c r="I219">
        <v>0</v>
      </c>
      <c r="J219" t="s">
        <v>48</v>
      </c>
    </row>
    <row r="220" spans="1:10" x14ac:dyDescent="0.25">
      <c r="A220" s="1">
        <v>18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"2026-06-16 09:01:44.569"</f>
        <v>2026-06-16 09:01:44.569</v>
      </c>
      <c r="H220" t="s">
        <v>21</v>
      </c>
      <c r="I220">
        <v>0</v>
      </c>
      <c r="J220" t="s">
        <v>22</v>
      </c>
    </row>
    <row r="221" spans="1:10" x14ac:dyDescent="0.25">
      <c r="A221" s="1">
        <v>19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"2026-06-16 08:44:54.739"</f>
        <v>2026-06-16 08:44:54.739</v>
      </c>
      <c r="H221" t="s">
        <v>21</v>
      </c>
      <c r="I221">
        <v>0</v>
      </c>
      <c r="J221" t="s">
        <v>22</v>
      </c>
    </row>
    <row r="222" spans="1:10" x14ac:dyDescent="0.25">
      <c r="A222" s="1">
        <v>20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"2026-06-16 08:24:26.574"</f>
        <v>2026-06-16 08:24:26.574</v>
      </c>
      <c r="H222" t="s">
        <v>21</v>
      </c>
      <c r="I222">
        <v>0</v>
      </c>
      <c r="J222" t="s">
        <v>22</v>
      </c>
    </row>
    <row r="223" spans="1:10" x14ac:dyDescent="0.25">
      <c r="A223" s="1">
        <v>21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"2026-06-16 06:56:10.822"</f>
        <v>2026-06-16 06:56:10.822</v>
      </c>
      <c r="H223" t="s">
        <v>21</v>
      </c>
      <c r="I223">
        <v>0</v>
      </c>
      <c r="J223" t="s">
        <v>22</v>
      </c>
    </row>
    <row r="224" spans="1:10" x14ac:dyDescent="0.25">
      <c r="A224" s="1">
        <v>22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"2026-06-15 20:07:58.566"</f>
        <v>2026-06-15 20:07:58.566</v>
      </c>
      <c r="H224" t="s">
        <v>21</v>
      </c>
      <c r="I224">
        <v>0</v>
      </c>
      <c r="J224" t="s">
        <v>22</v>
      </c>
    </row>
    <row r="225" spans="1:10" x14ac:dyDescent="0.25">
      <c r="A225" s="1">
        <v>23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"2026-06-15 19:46:52.686"</f>
        <v>2026-06-15 19:46:52.686</v>
      </c>
      <c r="H225" t="s">
        <v>21</v>
      </c>
      <c r="I225">
        <v>0</v>
      </c>
      <c r="J225" t="s">
        <v>22</v>
      </c>
    </row>
    <row r="226" spans="1:10" x14ac:dyDescent="0.25">
      <c r="A226" s="1">
        <v>24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"2026-06-15 18:56:49.559"</f>
        <v>2026-06-15 18:56:49.559</v>
      </c>
      <c r="H226" t="s">
        <v>21</v>
      </c>
    </row>
    <row r="227" spans="1:10" x14ac:dyDescent="0.25">
      <c r="A227" s="1">
        <v>25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"2026-06-15 18:48:59.575"</f>
        <v>2026-06-15 18:48:59.575</v>
      </c>
      <c r="H227" t="s">
        <v>21</v>
      </c>
      <c r="I227">
        <v>0</v>
      </c>
      <c r="J227" t="s">
        <v>22</v>
      </c>
    </row>
    <row r="228" spans="1:10" x14ac:dyDescent="0.25">
      <c r="A228" s="1">
        <v>26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"2026-06-15 18:41:29.584"</f>
        <v>2026-06-15 18:41:29.584</v>
      </c>
      <c r="H228" t="s">
        <v>21</v>
      </c>
    </row>
    <row r="229" spans="1:10" x14ac:dyDescent="0.25">
      <c r="A229" s="1">
        <v>27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"2026-06-15 18:37:21.565"</f>
        <v>2026-06-15 18:37:21.565</v>
      </c>
      <c r="H229" t="s">
        <v>21</v>
      </c>
    </row>
    <row r="230" spans="1:10" x14ac:dyDescent="0.25">
      <c r="A230" s="1">
        <v>28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"2026-06-15 17:34:31.570"</f>
        <v>2026-06-15 17:34:31.570</v>
      </c>
      <c r="H230" t="s">
        <v>21</v>
      </c>
    </row>
    <row r="231" spans="1:10" x14ac:dyDescent="0.25">
      <c r="A231" s="1">
        <v>29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"2026-06-15 15:56:11.700"</f>
        <v>2026-06-15 15:56:11.700</v>
      </c>
      <c r="H231" t="s">
        <v>21</v>
      </c>
    </row>
    <row r="232" spans="1:10" x14ac:dyDescent="0.25">
      <c r="A232" s="1">
        <v>30</v>
      </c>
      <c r="B232" t="s">
        <v>19</v>
      </c>
      <c r="C232">
        <v>706</v>
      </c>
      <c r="D232">
        <v>4</v>
      </c>
      <c r="E232" t="s">
        <v>31</v>
      </c>
      <c r="F232" t="s">
        <v>32</v>
      </c>
      <c r="G232" t="str">
        <f>"2026-06-14 01:35:05.847"</f>
        <v>2026-06-14 01:35:05.847</v>
      </c>
      <c r="H232" t="s">
        <v>21</v>
      </c>
      <c r="I232">
        <v>0</v>
      </c>
      <c r="J232" t="s">
        <v>48</v>
      </c>
    </row>
    <row r="233" spans="1:10" x14ac:dyDescent="0.25">
      <c r="A233" s="1">
        <v>31</v>
      </c>
      <c r="B233" t="s">
        <v>19</v>
      </c>
      <c r="C233">
        <v>700</v>
      </c>
      <c r="D233">
        <v>0</v>
      </c>
      <c r="E233" t="s">
        <v>20</v>
      </c>
      <c r="F233" t="s">
        <v>20</v>
      </c>
      <c r="G233" t="str">
        <f>"2026-06-14 01:31:43.587"</f>
        <v>2026-06-14 01:31:43.587</v>
      </c>
      <c r="H233" t="s">
        <v>21</v>
      </c>
      <c r="I233">
        <v>0</v>
      </c>
      <c r="J233" t="s">
        <v>22</v>
      </c>
    </row>
    <row r="234" spans="1:10" x14ac:dyDescent="0.25">
      <c r="A234" s="1">
        <v>32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"2026-06-14 00:22:03.570"</f>
        <v>2026-06-14 00:22:03.570</v>
      </c>
      <c r="H234" t="s">
        <v>21</v>
      </c>
    </row>
    <row r="235" spans="1:10" x14ac:dyDescent="0.25">
      <c r="A235" s="1">
        <v>33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"2026-06-14 00:08:46.578"</f>
        <v>2026-06-14 00:08:46.578</v>
      </c>
      <c r="H235" t="s">
        <v>21</v>
      </c>
      <c r="I235">
        <v>0</v>
      </c>
      <c r="J235" t="s">
        <v>22</v>
      </c>
    </row>
    <row r="236" spans="1:10" s="3" customFormat="1" x14ac:dyDescent="0.25">
      <c r="A236" s="2">
        <v>34</v>
      </c>
      <c r="B236" s="3" t="s">
        <v>26</v>
      </c>
      <c r="C236" s="3">
        <v>647</v>
      </c>
      <c r="D236" s="3">
        <v>1</v>
      </c>
      <c r="E236" s="3" t="s">
        <v>40</v>
      </c>
      <c r="F236" s="3" t="s">
        <v>41</v>
      </c>
      <c r="G236" s="3" t="str">
        <f>"2026-06-14 00:04:27.338"</f>
        <v>2026-06-14 00:04:27.338</v>
      </c>
      <c r="H236" s="3" t="s">
        <v>21</v>
      </c>
    </row>
    <row r="237" spans="1:10" s="3" customFormat="1" x14ac:dyDescent="0.25">
      <c r="A237" s="2">
        <v>35</v>
      </c>
      <c r="B237" s="3" t="s">
        <v>36</v>
      </c>
      <c r="C237" s="3">
        <v>647</v>
      </c>
      <c r="D237" s="3">
        <v>1</v>
      </c>
      <c r="E237" s="3" t="s">
        <v>40</v>
      </c>
      <c r="F237" s="3" t="s">
        <v>41</v>
      </c>
      <c r="G237" s="3" t="str">
        <f>"2026-06-14 00:04:22.838"</f>
        <v>2026-06-14 00:04:22.838</v>
      </c>
      <c r="H237" s="3" t="s">
        <v>21</v>
      </c>
      <c r="I237" s="3">
        <v>12.05</v>
      </c>
      <c r="J237" s="3" t="s">
        <v>48</v>
      </c>
    </row>
    <row r="238" spans="1:10" x14ac:dyDescent="0.25">
      <c r="A238" s="1">
        <v>36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"2026-06-13 22:20:51.967"</f>
        <v>2026-06-13 22:20:51.967</v>
      </c>
      <c r="H238" t="s">
        <v>21</v>
      </c>
    </row>
    <row r="239" spans="1:10" x14ac:dyDescent="0.25">
      <c r="A239" s="1">
        <v>37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"2026-06-13 21:01:10.560"</f>
        <v>2026-06-13 21:01:10.560</v>
      </c>
      <c r="H239" t="s">
        <v>21</v>
      </c>
      <c r="I239">
        <v>0</v>
      </c>
      <c r="J239" t="s">
        <v>22</v>
      </c>
    </row>
    <row r="240" spans="1:10" x14ac:dyDescent="0.25">
      <c r="A240" s="1">
        <v>38</v>
      </c>
      <c r="B240" t="s">
        <v>19</v>
      </c>
      <c r="C240">
        <v>706</v>
      </c>
      <c r="D240">
        <v>2</v>
      </c>
      <c r="E240" t="s">
        <v>31</v>
      </c>
      <c r="F240" t="s">
        <v>43</v>
      </c>
      <c r="G240" t="str">
        <f>"2026-06-13 15:40:38.975"</f>
        <v>2026-06-13 15:40:38.975</v>
      </c>
      <c r="H240" t="s">
        <v>21</v>
      </c>
      <c r="I240">
        <v>0</v>
      </c>
      <c r="J240" t="s">
        <v>33</v>
      </c>
    </row>
    <row r="241" spans="1:10" x14ac:dyDescent="0.25">
      <c r="A241" s="1">
        <v>39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"2026-06-13 15:39:44.565"</f>
        <v>2026-06-13 15:39:44.565</v>
      </c>
      <c r="H241" t="s">
        <v>21</v>
      </c>
      <c r="I241">
        <v>0</v>
      </c>
      <c r="J241" t="s">
        <v>22</v>
      </c>
    </row>
    <row r="242" spans="1:10" x14ac:dyDescent="0.25">
      <c r="A242" s="1">
        <v>40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"2026-06-13 10:56:08.564"</f>
        <v>2026-06-13 10:56:08.564</v>
      </c>
      <c r="H242" t="s">
        <v>21</v>
      </c>
    </row>
    <row r="243" spans="1:10" x14ac:dyDescent="0.25">
      <c r="A243" s="1">
        <v>41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"2026-06-12 14:01:39.747"</f>
        <v>2026-06-12 14:01:39.747</v>
      </c>
      <c r="H243" t="s">
        <v>21</v>
      </c>
    </row>
    <row r="244" spans="1:10" s="3" customFormat="1" x14ac:dyDescent="0.25">
      <c r="A244" s="2">
        <v>42</v>
      </c>
      <c r="B244" s="3" t="s">
        <v>26</v>
      </c>
      <c r="C244" s="3">
        <v>647</v>
      </c>
      <c r="D244" s="3">
        <v>1</v>
      </c>
      <c r="E244" s="3" t="s">
        <v>40</v>
      </c>
      <c r="F244" s="3" t="s">
        <v>41</v>
      </c>
      <c r="G244" s="3" t="str">
        <f>"2026-06-12 06:38:52.008"</f>
        <v>2026-06-12 06:38:52.008</v>
      </c>
      <c r="H244" s="3" t="s">
        <v>21</v>
      </c>
    </row>
    <row r="245" spans="1:10" s="3" customFormat="1" x14ac:dyDescent="0.25">
      <c r="A245" s="2">
        <v>43</v>
      </c>
      <c r="B245" s="3" t="s">
        <v>36</v>
      </c>
      <c r="C245" s="3">
        <v>647</v>
      </c>
      <c r="D245" s="3">
        <v>1</v>
      </c>
      <c r="E245" s="3" t="s">
        <v>40</v>
      </c>
      <c r="F245" s="3" t="s">
        <v>41</v>
      </c>
      <c r="G245" s="3" t="str">
        <f>"2026-06-12 06:38:50.108"</f>
        <v>2026-06-12 06:38:50.108</v>
      </c>
      <c r="H245" s="3" t="s">
        <v>21</v>
      </c>
      <c r="I245" s="3">
        <v>8.44</v>
      </c>
      <c r="J245" s="3" t="s">
        <v>42</v>
      </c>
    </row>
    <row r="246" spans="1:10" x14ac:dyDescent="0.25">
      <c r="A246" s="1">
        <v>44</v>
      </c>
      <c r="B246" t="s">
        <v>26</v>
      </c>
      <c r="C246">
        <v>635</v>
      </c>
      <c r="D246">
        <v>1</v>
      </c>
      <c r="E246" t="s">
        <v>38</v>
      </c>
      <c r="F246" t="s">
        <v>39</v>
      </c>
      <c r="G246" t="str">
        <f>"2026-06-12 01:08:55.007"</f>
        <v>2026-06-12 01:08:55.007</v>
      </c>
      <c r="H246" t="s">
        <v>21</v>
      </c>
    </row>
    <row r="247" spans="1:10" x14ac:dyDescent="0.25">
      <c r="A247" s="1">
        <v>45</v>
      </c>
      <c r="B247" t="s">
        <v>36</v>
      </c>
      <c r="C247">
        <v>635</v>
      </c>
      <c r="D247">
        <v>1</v>
      </c>
      <c r="E247" t="s">
        <v>38</v>
      </c>
      <c r="F247" t="s">
        <v>39</v>
      </c>
      <c r="G247" t="str">
        <f>"2026-06-12 01:05:52.507"</f>
        <v>2026-06-12 01:05:52.507</v>
      </c>
      <c r="H247" t="s">
        <v>21</v>
      </c>
      <c r="I247">
        <v>1.42</v>
      </c>
      <c r="J247" t="s">
        <v>42</v>
      </c>
    </row>
    <row r="248" spans="1:10" x14ac:dyDescent="0.25">
      <c r="A248" s="1">
        <v>46</v>
      </c>
      <c r="B248" t="s">
        <v>19</v>
      </c>
      <c r="C248">
        <v>700</v>
      </c>
      <c r="D248">
        <v>0</v>
      </c>
      <c r="E248" t="s">
        <v>20</v>
      </c>
      <c r="F248" t="s">
        <v>20</v>
      </c>
      <c r="G248" t="str">
        <f>"2026-06-11 13:55:07.575"</f>
        <v>2026-06-11 13:55:07.575</v>
      </c>
      <c r="H248" t="s">
        <v>21</v>
      </c>
      <c r="I248">
        <v>0</v>
      </c>
      <c r="J248" t="s">
        <v>22</v>
      </c>
    </row>
    <row r="249" spans="1:10" x14ac:dyDescent="0.25">
      <c r="A249" s="1">
        <v>47</v>
      </c>
      <c r="B249" t="s">
        <v>26</v>
      </c>
      <c r="C249">
        <v>635</v>
      </c>
      <c r="D249">
        <v>1</v>
      </c>
      <c r="E249" t="s">
        <v>38</v>
      </c>
      <c r="F249" t="s">
        <v>39</v>
      </c>
      <c r="G249" t="str">
        <f>"2026-06-11 08:11:36.777"</f>
        <v>2026-06-11 08:11:36.777</v>
      </c>
      <c r="H249" t="s">
        <v>21</v>
      </c>
    </row>
    <row r="250" spans="1:10" x14ac:dyDescent="0.25">
      <c r="A250" s="1">
        <v>48</v>
      </c>
      <c r="B250" t="s">
        <v>36</v>
      </c>
      <c r="C250">
        <v>635</v>
      </c>
      <c r="D250">
        <v>1</v>
      </c>
      <c r="E250" t="s">
        <v>38</v>
      </c>
      <c r="F250" t="s">
        <v>39</v>
      </c>
      <c r="G250" t="str">
        <f>"2026-06-11 08:06:33.777"</f>
        <v>2026-06-11 08:06:33.777</v>
      </c>
      <c r="H250" t="s">
        <v>21</v>
      </c>
      <c r="I250">
        <v>5.67</v>
      </c>
      <c r="J250" t="s">
        <v>30</v>
      </c>
    </row>
    <row r="251" spans="1:10" x14ac:dyDescent="0.25">
      <c r="A251" s="1">
        <v>49</v>
      </c>
      <c r="B251" t="s">
        <v>26</v>
      </c>
      <c r="C251">
        <v>635</v>
      </c>
      <c r="D251">
        <v>1</v>
      </c>
      <c r="E251" t="s">
        <v>38</v>
      </c>
      <c r="F251" t="s">
        <v>39</v>
      </c>
      <c r="G251" t="str">
        <f>"2026-06-11 05:47:37.677"</f>
        <v>2026-06-11 05:47:37.677</v>
      </c>
      <c r="H251" t="s">
        <v>21</v>
      </c>
    </row>
    <row r="252" spans="1:10" x14ac:dyDescent="0.25">
      <c r="A252" s="1">
        <v>50</v>
      </c>
      <c r="B252" t="s">
        <v>36</v>
      </c>
      <c r="C252">
        <v>635</v>
      </c>
      <c r="D252">
        <v>1</v>
      </c>
      <c r="E252" t="s">
        <v>38</v>
      </c>
      <c r="F252" t="s">
        <v>39</v>
      </c>
      <c r="G252" t="str">
        <f>"2026-06-11 05:43:08.677"</f>
        <v>2026-06-11 05:43:08.677</v>
      </c>
      <c r="H252" t="s">
        <v>21</v>
      </c>
      <c r="I252">
        <v>0.08</v>
      </c>
      <c r="J252" t="s">
        <v>37</v>
      </c>
    </row>
    <row r="253" spans="1:10" x14ac:dyDescent="0.25">
      <c r="A253" s="1">
        <v>51</v>
      </c>
      <c r="B253" t="s">
        <v>26</v>
      </c>
      <c r="C253">
        <v>635</v>
      </c>
      <c r="D253">
        <v>1</v>
      </c>
      <c r="E253" t="s">
        <v>38</v>
      </c>
      <c r="F253" t="s">
        <v>39</v>
      </c>
      <c r="G253" t="str">
        <f>"2026-06-11 00:22:13.577"</f>
        <v>2026-06-11 00:22:13.577</v>
      </c>
      <c r="H253" t="s">
        <v>21</v>
      </c>
    </row>
    <row r="254" spans="1:10" x14ac:dyDescent="0.25">
      <c r="A254" s="1">
        <v>52</v>
      </c>
      <c r="B254" t="s">
        <v>36</v>
      </c>
      <c r="C254">
        <v>635</v>
      </c>
      <c r="D254">
        <v>1</v>
      </c>
      <c r="E254" t="s">
        <v>38</v>
      </c>
      <c r="F254" t="s">
        <v>39</v>
      </c>
      <c r="G254" t="str">
        <f>"2026-06-10 23:49:01.177"</f>
        <v>2026-06-10 23:49:01.177</v>
      </c>
      <c r="H254" t="s">
        <v>21</v>
      </c>
      <c r="I254">
        <v>0.32</v>
      </c>
      <c r="J254" t="s">
        <v>30</v>
      </c>
    </row>
    <row r="255" spans="1:10" x14ac:dyDescent="0.25">
      <c r="A255" s="1">
        <v>53</v>
      </c>
      <c r="B255" t="s">
        <v>26</v>
      </c>
      <c r="C255">
        <v>635</v>
      </c>
      <c r="D255">
        <v>1</v>
      </c>
      <c r="E255" t="s">
        <v>38</v>
      </c>
      <c r="F255" t="s">
        <v>39</v>
      </c>
      <c r="G255" t="str">
        <f>"2026-06-10 14:58:19.277"</f>
        <v>2026-06-10 14:58:19.277</v>
      </c>
      <c r="H255" t="s">
        <v>21</v>
      </c>
    </row>
    <row r="256" spans="1:10" x14ac:dyDescent="0.25">
      <c r="A256" s="1">
        <v>54</v>
      </c>
      <c r="B256" t="s">
        <v>36</v>
      </c>
      <c r="C256">
        <v>635</v>
      </c>
      <c r="D256">
        <v>1</v>
      </c>
      <c r="E256" t="s">
        <v>38</v>
      </c>
      <c r="F256" t="s">
        <v>39</v>
      </c>
      <c r="G256" t="str">
        <f>"2026-06-10 14:54:36.776"</f>
        <v>2026-06-10 14:54:36.776</v>
      </c>
      <c r="H256" t="s">
        <v>21</v>
      </c>
      <c r="I256">
        <v>1.69</v>
      </c>
      <c r="J256" t="s">
        <v>42</v>
      </c>
    </row>
    <row r="257" spans="1:10" x14ac:dyDescent="0.25">
      <c r="A257" s="1">
        <v>55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"2026-06-10 13:48:08.560"</f>
        <v>2026-06-10 13:48:08.560</v>
      </c>
      <c r="H257" t="s">
        <v>21</v>
      </c>
      <c r="I257">
        <v>0</v>
      </c>
      <c r="J257" t="s">
        <v>22</v>
      </c>
    </row>
    <row r="258" spans="1:10" x14ac:dyDescent="0.25">
      <c r="A258" s="1">
        <v>56</v>
      </c>
      <c r="B258" t="s">
        <v>26</v>
      </c>
      <c r="C258">
        <v>635</v>
      </c>
      <c r="D258">
        <v>1</v>
      </c>
      <c r="E258" t="s">
        <v>38</v>
      </c>
      <c r="F258" t="s">
        <v>39</v>
      </c>
      <c r="G258" t="str">
        <f>"2026-06-09 19:59:01.903"</f>
        <v>2026-06-09 19:59:01.903</v>
      </c>
      <c r="H258" t="s">
        <v>21</v>
      </c>
    </row>
    <row r="259" spans="1:10" x14ac:dyDescent="0.25">
      <c r="A259" s="1">
        <v>57</v>
      </c>
      <c r="B259" t="s">
        <v>36</v>
      </c>
      <c r="C259">
        <v>635</v>
      </c>
      <c r="D259">
        <v>1</v>
      </c>
      <c r="E259" t="s">
        <v>38</v>
      </c>
      <c r="F259" t="s">
        <v>39</v>
      </c>
      <c r="G259" t="str">
        <f>"2026-06-09 19:56:03.903"</f>
        <v>2026-06-09 19:56:03.903</v>
      </c>
      <c r="H259" t="s">
        <v>21</v>
      </c>
      <c r="I259">
        <v>0</v>
      </c>
      <c r="J259" t="s">
        <v>37</v>
      </c>
    </row>
    <row r="260" spans="1:10" x14ac:dyDescent="0.25">
      <c r="A260" s="1">
        <v>58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"2026-06-09 13:50:48.775"</f>
        <v>2026-06-09 13:50:48.775</v>
      </c>
      <c r="H260" t="s">
        <v>21</v>
      </c>
      <c r="I260">
        <v>0</v>
      </c>
      <c r="J260" t="s">
        <v>22</v>
      </c>
    </row>
    <row r="261" spans="1:10" x14ac:dyDescent="0.25">
      <c r="A261" s="1">
        <v>59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"2026-06-08 13:37:22.574"</f>
        <v>2026-06-08 13:37:22.574</v>
      </c>
      <c r="H261" t="s">
        <v>21</v>
      </c>
    </row>
    <row r="262" spans="1:10" x14ac:dyDescent="0.25">
      <c r="A262" s="1">
        <v>60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"2026-06-08 01:51:59.591"</f>
        <v>2026-06-08 01:51:59.591</v>
      </c>
      <c r="H262" t="s">
        <v>21</v>
      </c>
      <c r="I262">
        <v>0</v>
      </c>
      <c r="J262" t="s">
        <v>22</v>
      </c>
    </row>
    <row r="263" spans="1:10" x14ac:dyDescent="0.25">
      <c r="A263" s="1">
        <v>61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"2026-06-07 12:21:42.576"</f>
        <v>2026-06-07 12:21:42.576</v>
      </c>
      <c r="H263" t="s">
        <v>21</v>
      </c>
    </row>
    <row r="264" spans="1:10" x14ac:dyDescent="0.25">
      <c r="A264" s="1">
        <v>62</v>
      </c>
      <c r="B264" t="s">
        <v>26</v>
      </c>
      <c r="C264">
        <v>635</v>
      </c>
      <c r="D264">
        <v>1</v>
      </c>
      <c r="E264" t="s">
        <v>38</v>
      </c>
      <c r="F264" t="s">
        <v>39</v>
      </c>
      <c r="G264" t="str">
        <f>"2026-06-07 10:09:15.988"</f>
        <v>2026-06-07 10:09:15.988</v>
      </c>
      <c r="H264" t="s">
        <v>21</v>
      </c>
    </row>
    <row r="265" spans="1:10" x14ac:dyDescent="0.25">
      <c r="A265" s="1">
        <v>63</v>
      </c>
      <c r="B265" t="s">
        <v>36</v>
      </c>
      <c r="C265">
        <v>635</v>
      </c>
      <c r="D265">
        <v>1</v>
      </c>
      <c r="E265" t="s">
        <v>38</v>
      </c>
      <c r="F265" t="s">
        <v>39</v>
      </c>
      <c r="G265" t="str">
        <f>"2026-06-07 10:06:56.988"</f>
        <v>2026-06-07 10:06:56.988</v>
      </c>
      <c r="H265" t="s">
        <v>21</v>
      </c>
      <c r="I265">
        <v>4.8600000000000003</v>
      </c>
      <c r="J265" t="s">
        <v>30</v>
      </c>
    </row>
    <row r="266" spans="1:10" x14ac:dyDescent="0.25">
      <c r="A266" s="1">
        <v>64</v>
      </c>
      <c r="B266" t="s">
        <v>26</v>
      </c>
      <c r="C266">
        <v>635</v>
      </c>
      <c r="D266">
        <v>1</v>
      </c>
      <c r="E266" t="s">
        <v>38</v>
      </c>
      <c r="F266" t="s">
        <v>39</v>
      </c>
      <c r="G266" t="str">
        <f>"2026-06-07 02:53:10.288"</f>
        <v>2026-06-07 02:53:10.288</v>
      </c>
      <c r="H266" t="s">
        <v>21</v>
      </c>
    </row>
    <row r="267" spans="1:10" x14ac:dyDescent="0.25">
      <c r="A267" s="1">
        <v>65</v>
      </c>
      <c r="B267" t="s">
        <v>36</v>
      </c>
      <c r="C267">
        <v>635</v>
      </c>
      <c r="D267">
        <v>1</v>
      </c>
      <c r="E267" t="s">
        <v>38</v>
      </c>
      <c r="F267" t="s">
        <v>39</v>
      </c>
      <c r="G267" t="str">
        <f>"2026-06-07 02:49:47.788"</f>
        <v>2026-06-07 02:49:47.788</v>
      </c>
      <c r="H267" t="s">
        <v>21</v>
      </c>
      <c r="I267">
        <v>7.76</v>
      </c>
      <c r="J267" t="s">
        <v>30</v>
      </c>
    </row>
    <row r="268" spans="1:10" x14ac:dyDescent="0.25">
      <c r="A268" s="1">
        <v>66</v>
      </c>
      <c r="B268" t="s">
        <v>26</v>
      </c>
      <c r="C268">
        <v>635</v>
      </c>
      <c r="D268">
        <v>1</v>
      </c>
      <c r="E268" t="s">
        <v>38</v>
      </c>
      <c r="F268" t="s">
        <v>39</v>
      </c>
      <c r="G268" t="str">
        <f>"2026-06-06 04:41:24.188"</f>
        <v>2026-06-06 04:41:24.188</v>
      </c>
      <c r="H268" t="s">
        <v>21</v>
      </c>
    </row>
    <row r="269" spans="1:10" x14ac:dyDescent="0.25">
      <c r="A269" s="1">
        <v>67</v>
      </c>
      <c r="B269" t="s">
        <v>36</v>
      </c>
      <c r="C269">
        <v>635</v>
      </c>
      <c r="D269">
        <v>1</v>
      </c>
      <c r="E269" t="s">
        <v>38</v>
      </c>
      <c r="F269" t="s">
        <v>39</v>
      </c>
      <c r="G269" t="str">
        <f>"2026-06-06 04:34:52.188"</f>
        <v>2026-06-06 04:34:52.188</v>
      </c>
      <c r="H269" t="s">
        <v>21</v>
      </c>
      <c r="I269">
        <v>3.36</v>
      </c>
      <c r="J269" t="s">
        <v>30</v>
      </c>
    </row>
    <row r="270" spans="1:10" x14ac:dyDescent="0.25">
      <c r="A270" s="1">
        <v>68</v>
      </c>
      <c r="B270" t="s">
        <v>26</v>
      </c>
      <c r="C270">
        <v>635</v>
      </c>
      <c r="D270">
        <v>1</v>
      </c>
      <c r="E270" t="s">
        <v>38</v>
      </c>
      <c r="F270" t="s">
        <v>39</v>
      </c>
      <c r="G270" t="str">
        <f>"2026-06-05 23:27:57.588"</f>
        <v>2026-06-05 23:27:57.588</v>
      </c>
      <c r="H270" t="s">
        <v>21</v>
      </c>
    </row>
    <row r="271" spans="1:10" x14ac:dyDescent="0.25">
      <c r="A271" s="1">
        <v>69</v>
      </c>
      <c r="B271" t="s">
        <v>36</v>
      </c>
      <c r="C271">
        <v>635</v>
      </c>
      <c r="D271">
        <v>1</v>
      </c>
      <c r="E271" t="s">
        <v>38</v>
      </c>
      <c r="F271" t="s">
        <v>39</v>
      </c>
      <c r="G271" t="str">
        <f>"2026-06-05 23:24:54.088"</f>
        <v>2026-06-05 23:24:54.088</v>
      </c>
      <c r="H271" t="s">
        <v>21</v>
      </c>
      <c r="I271">
        <v>8.2100000000000009</v>
      </c>
      <c r="J271" t="s">
        <v>30</v>
      </c>
    </row>
    <row r="272" spans="1:10" x14ac:dyDescent="0.25">
      <c r="A272" s="1">
        <v>70</v>
      </c>
      <c r="B272" t="s">
        <v>26</v>
      </c>
      <c r="C272">
        <v>635</v>
      </c>
      <c r="D272">
        <v>1</v>
      </c>
      <c r="E272" t="s">
        <v>38</v>
      </c>
      <c r="F272" t="s">
        <v>39</v>
      </c>
      <c r="G272" t="str">
        <f>"2026-06-05 14:34:03.589"</f>
        <v>2026-06-05 14:34:03.589</v>
      </c>
      <c r="H272" t="s">
        <v>21</v>
      </c>
    </row>
    <row r="273" spans="1:10" x14ac:dyDescent="0.25">
      <c r="A273" s="1">
        <v>71</v>
      </c>
      <c r="B273" t="s">
        <v>36</v>
      </c>
      <c r="C273">
        <v>635</v>
      </c>
      <c r="D273">
        <v>1</v>
      </c>
      <c r="E273" t="s">
        <v>38</v>
      </c>
      <c r="F273" t="s">
        <v>39</v>
      </c>
      <c r="G273" t="str">
        <f>"2026-06-05 14:26:31.688"</f>
        <v>2026-06-05 14:26:31.688</v>
      </c>
      <c r="H273" t="s">
        <v>21</v>
      </c>
      <c r="I273">
        <v>0.3</v>
      </c>
      <c r="J273" t="s">
        <v>37</v>
      </c>
    </row>
    <row r="274" spans="1:10" x14ac:dyDescent="0.25">
      <c r="A274" s="1">
        <v>72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"2026-06-05 12:43:53.588"</f>
        <v>2026-06-05 12:43:53.588</v>
      </c>
      <c r="H274" t="s">
        <v>21</v>
      </c>
      <c r="I274">
        <v>0</v>
      </c>
      <c r="J274" t="s">
        <v>22</v>
      </c>
    </row>
    <row r="275" spans="1:10" x14ac:dyDescent="0.25">
      <c r="A275" s="1">
        <v>73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"2026-06-05 08:19:49.587"</f>
        <v>2026-06-05 08:19:49.587</v>
      </c>
      <c r="H275" t="s">
        <v>21</v>
      </c>
    </row>
    <row r="276" spans="1:10" x14ac:dyDescent="0.25">
      <c r="A276" s="1">
        <v>74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"2026-06-05 03:44:33.551"</f>
        <v>2026-06-05 03:44:33.551</v>
      </c>
      <c r="H276" t="s">
        <v>21</v>
      </c>
      <c r="I276">
        <v>0</v>
      </c>
      <c r="J276" t="s">
        <v>22</v>
      </c>
    </row>
    <row r="277" spans="1:10" x14ac:dyDescent="0.25">
      <c r="A277" s="1">
        <v>75</v>
      </c>
      <c r="B277" t="s">
        <v>19</v>
      </c>
      <c r="C277">
        <v>706</v>
      </c>
      <c r="D277">
        <v>2</v>
      </c>
      <c r="E277" t="s">
        <v>31</v>
      </c>
      <c r="F277" t="s">
        <v>43</v>
      </c>
      <c r="G277" t="str">
        <f>"2026-06-05 02:42:59.334"</f>
        <v>2026-06-05 02:42:59.334</v>
      </c>
      <c r="H277" t="s">
        <v>21</v>
      </c>
      <c r="I277">
        <v>0</v>
      </c>
      <c r="J277" t="s">
        <v>33</v>
      </c>
    </row>
    <row r="278" spans="1:10" x14ac:dyDescent="0.25">
      <c r="A278" s="1">
        <v>76</v>
      </c>
      <c r="B278" t="s">
        <v>19</v>
      </c>
      <c r="C278">
        <v>706</v>
      </c>
      <c r="D278">
        <v>2</v>
      </c>
      <c r="E278" t="s">
        <v>31</v>
      </c>
      <c r="F278" t="s">
        <v>43</v>
      </c>
      <c r="G278" t="str">
        <f>"2026-06-05 02:40:06.334"</f>
        <v>2026-06-05 02:40:06.334</v>
      </c>
      <c r="H278" t="s">
        <v>21</v>
      </c>
      <c r="I278">
        <v>0</v>
      </c>
      <c r="J278" t="s">
        <v>33</v>
      </c>
    </row>
    <row r="279" spans="1:10" x14ac:dyDescent="0.25">
      <c r="A279" s="1">
        <v>77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"2026-06-05 02:39:41.564"</f>
        <v>2026-06-05 02:39:41.564</v>
      </c>
      <c r="H279" t="s">
        <v>21</v>
      </c>
      <c r="I279">
        <v>0</v>
      </c>
      <c r="J279" t="s">
        <v>22</v>
      </c>
    </row>
    <row r="280" spans="1:10" x14ac:dyDescent="0.25">
      <c r="A280" s="1">
        <v>78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"2026-06-05 01:09:00.077"</f>
        <v>2026-06-05 01:09:00.077</v>
      </c>
      <c r="H280" t="s">
        <v>21</v>
      </c>
    </row>
    <row r="281" spans="1:10" x14ac:dyDescent="0.25">
      <c r="A281" s="1">
        <v>79</v>
      </c>
      <c r="B281" t="s">
        <v>19</v>
      </c>
      <c r="C281">
        <v>706</v>
      </c>
      <c r="D281">
        <v>4</v>
      </c>
      <c r="E281" t="s">
        <v>31</v>
      </c>
      <c r="F281" t="s">
        <v>32</v>
      </c>
      <c r="G281" t="str">
        <f>"2026-06-04 21:43:05.125"</f>
        <v>2026-06-04 21:43:05.125</v>
      </c>
      <c r="H281" t="s">
        <v>21</v>
      </c>
      <c r="I281">
        <v>0</v>
      </c>
      <c r="J281" t="s">
        <v>33</v>
      </c>
    </row>
    <row r="282" spans="1:10" x14ac:dyDescent="0.25">
      <c r="A282" s="1">
        <v>80</v>
      </c>
      <c r="B282" t="s">
        <v>19</v>
      </c>
      <c r="C282">
        <v>706</v>
      </c>
      <c r="D282">
        <v>2</v>
      </c>
      <c r="E282" t="s">
        <v>31</v>
      </c>
      <c r="F282" t="s">
        <v>43</v>
      </c>
      <c r="G282" t="str">
        <f>"2026-06-04 21:10:15.885"</f>
        <v>2026-06-04 21:10:15.885</v>
      </c>
      <c r="H282" t="s">
        <v>21</v>
      </c>
      <c r="I282">
        <v>0</v>
      </c>
      <c r="J282" t="s">
        <v>48</v>
      </c>
    </row>
    <row r="283" spans="1:10" x14ac:dyDescent="0.25">
      <c r="A283" s="1">
        <v>81</v>
      </c>
      <c r="B283" t="s">
        <v>19</v>
      </c>
      <c r="C283">
        <v>706</v>
      </c>
      <c r="D283">
        <v>4</v>
      </c>
      <c r="E283" t="s">
        <v>31</v>
      </c>
      <c r="F283" t="s">
        <v>32</v>
      </c>
      <c r="G283" t="str">
        <f>"2026-06-04 20:55:30.255"</f>
        <v>2026-06-04 20:55:30.255</v>
      </c>
      <c r="H283" t="s">
        <v>21</v>
      </c>
      <c r="I283">
        <v>0</v>
      </c>
      <c r="J283" t="s">
        <v>48</v>
      </c>
    </row>
    <row r="284" spans="1:10" x14ac:dyDescent="0.25">
      <c r="A284" s="1">
        <v>82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"2026-06-04 20:55:12.565"</f>
        <v>2026-06-04 20:55:12.565</v>
      </c>
      <c r="H284" t="s">
        <v>21</v>
      </c>
      <c r="I284">
        <v>0</v>
      </c>
      <c r="J284" t="s">
        <v>22</v>
      </c>
    </row>
    <row r="285" spans="1:10" x14ac:dyDescent="0.25">
      <c r="A285" s="1">
        <v>83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"2026-06-04 20:27:50.613"</f>
        <v>2026-06-04 20:27:50.613</v>
      </c>
      <c r="H285" t="s">
        <v>21</v>
      </c>
      <c r="I285">
        <v>0</v>
      </c>
      <c r="J285" t="s">
        <v>22</v>
      </c>
    </row>
    <row r="286" spans="1:10" x14ac:dyDescent="0.25">
      <c r="A286" s="1">
        <v>84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"2026-06-04 13:34:10.561"</f>
        <v>2026-06-04 13:34:10.561</v>
      </c>
      <c r="H286" t="s">
        <v>21</v>
      </c>
      <c r="I286">
        <v>0</v>
      </c>
      <c r="J286" t="s">
        <v>22</v>
      </c>
    </row>
    <row r="287" spans="1:10" x14ac:dyDescent="0.25">
      <c r="A287" s="1">
        <v>85</v>
      </c>
      <c r="B287" t="s">
        <v>26</v>
      </c>
      <c r="C287">
        <v>635</v>
      </c>
      <c r="D287">
        <v>1</v>
      </c>
      <c r="E287" t="s">
        <v>38</v>
      </c>
      <c r="F287" t="s">
        <v>39</v>
      </c>
      <c r="G287" t="str">
        <f>"2026-06-03 13:42:26.581"</f>
        <v>2026-06-03 13:42:26.581</v>
      </c>
      <c r="H287" t="s">
        <v>21</v>
      </c>
    </row>
    <row r="288" spans="1:10" x14ac:dyDescent="0.25">
      <c r="A288" s="1">
        <v>86</v>
      </c>
      <c r="B288" t="s">
        <v>36</v>
      </c>
      <c r="C288">
        <v>635</v>
      </c>
      <c r="D288">
        <v>1</v>
      </c>
      <c r="E288" t="s">
        <v>38</v>
      </c>
      <c r="F288" t="s">
        <v>39</v>
      </c>
      <c r="G288" t="str">
        <f>"2026-06-03 13:39:59.081"</f>
        <v>2026-06-03 13:39:59.081</v>
      </c>
      <c r="H288" t="s">
        <v>21</v>
      </c>
      <c r="I288">
        <v>0</v>
      </c>
      <c r="J288" t="s">
        <v>37</v>
      </c>
    </row>
    <row r="289" spans="1:10" x14ac:dyDescent="0.25">
      <c r="A289" s="1">
        <v>87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"2026-06-03 08:26:45.552"</f>
        <v>2026-06-03 08:26:45.552</v>
      </c>
      <c r="H289" t="s">
        <v>21</v>
      </c>
      <c r="I289">
        <v>0</v>
      </c>
      <c r="J289" t="s">
        <v>22</v>
      </c>
    </row>
    <row r="290" spans="1:10" x14ac:dyDescent="0.25">
      <c r="A290" s="1">
        <v>88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"2026-06-02 22:35:52.544"</f>
        <v>2026-06-02 22:35:52.544</v>
      </c>
      <c r="H290" t="s">
        <v>21</v>
      </c>
    </row>
    <row r="291" spans="1:10" x14ac:dyDescent="0.25">
      <c r="A291" s="1">
        <v>89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"2026-06-02 22:20:11.587"</f>
        <v>2026-06-02 22:20:11.587</v>
      </c>
      <c r="H291" t="s">
        <v>21</v>
      </c>
      <c r="I291">
        <v>0</v>
      </c>
      <c r="J291" t="s">
        <v>22</v>
      </c>
    </row>
    <row r="292" spans="1:10" x14ac:dyDescent="0.25">
      <c r="A292" s="1">
        <v>90</v>
      </c>
      <c r="B292" t="s">
        <v>26</v>
      </c>
      <c r="C292">
        <v>635</v>
      </c>
      <c r="D292">
        <v>1</v>
      </c>
      <c r="E292" t="s">
        <v>38</v>
      </c>
      <c r="F292" t="s">
        <v>39</v>
      </c>
      <c r="G292" t="str">
        <f>"2026-06-02 16:50:33.303"</f>
        <v>2026-06-02 16:50:33.303</v>
      </c>
      <c r="H292" t="s">
        <v>21</v>
      </c>
    </row>
    <row r="293" spans="1:10" x14ac:dyDescent="0.25">
      <c r="A293" s="1">
        <v>91</v>
      </c>
      <c r="B293" t="s">
        <v>36</v>
      </c>
      <c r="C293">
        <v>635</v>
      </c>
      <c r="D293">
        <v>1</v>
      </c>
      <c r="E293" t="s">
        <v>38</v>
      </c>
      <c r="F293" t="s">
        <v>39</v>
      </c>
      <c r="G293" t="str">
        <f>"2026-06-02 16:47:07.403"</f>
        <v>2026-06-02 16:47:07.403</v>
      </c>
      <c r="H293" t="s">
        <v>21</v>
      </c>
      <c r="I293">
        <v>4.16</v>
      </c>
      <c r="J293" t="s">
        <v>37</v>
      </c>
    </row>
    <row r="294" spans="1:10" x14ac:dyDescent="0.25">
      <c r="A294" s="1">
        <v>92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"2026-06-02 13:20:09.552"</f>
        <v>2026-06-02 13:20:09.552</v>
      </c>
      <c r="H294" t="s">
        <v>21</v>
      </c>
    </row>
    <row r="295" spans="1:10" x14ac:dyDescent="0.25">
      <c r="A295" s="1">
        <v>93</v>
      </c>
      <c r="B295" t="s">
        <v>26</v>
      </c>
      <c r="C295">
        <v>635</v>
      </c>
      <c r="D295">
        <v>1</v>
      </c>
      <c r="E295" t="s">
        <v>38</v>
      </c>
      <c r="F295" t="s">
        <v>39</v>
      </c>
      <c r="G295" t="str">
        <f>"2026-06-02 04:21:18.310"</f>
        <v>2026-06-02 04:21:18.310</v>
      </c>
      <c r="H295" t="s">
        <v>21</v>
      </c>
    </row>
    <row r="296" spans="1:10" x14ac:dyDescent="0.25">
      <c r="A296" s="1">
        <v>94</v>
      </c>
      <c r="B296" t="s">
        <v>36</v>
      </c>
      <c r="C296">
        <v>635</v>
      </c>
      <c r="D296">
        <v>1</v>
      </c>
      <c r="E296" t="s">
        <v>38</v>
      </c>
      <c r="F296" t="s">
        <v>39</v>
      </c>
      <c r="G296" t="str">
        <f>"2026-06-02 04:13:10.410"</f>
        <v>2026-06-02 04:13:10.410</v>
      </c>
      <c r="H296" t="s">
        <v>21</v>
      </c>
      <c r="I296">
        <v>1.27</v>
      </c>
      <c r="J296" t="s">
        <v>30</v>
      </c>
    </row>
    <row r="297" spans="1:10" x14ac:dyDescent="0.25">
      <c r="A297" s="1">
        <v>95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"2026-06-01 13:17:42.563"</f>
        <v>2026-06-01 13:17:42.563</v>
      </c>
      <c r="H297" t="s">
        <v>21</v>
      </c>
    </row>
    <row r="298" spans="1:10" x14ac:dyDescent="0.25">
      <c r="A298" s="1">
        <v>96</v>
      </c>
      <c r="B298" t="s">
        <v>26</v>
      </c>
      <c r="C298">
        <v>98</v>
      </c>
      <c r="D298">
        <v>1</v>
      </c>
      <c r="E298" t="s">
        <v>34</v>
      </c>
      <c r="F298" t="s">
        <v>35</v>
      </c>
      <c r="G298" t="str">
        <f>"2026-06-01 10:24:22.390"</f>
        <v>2026-06-01 10:24:22.390</v>
      </c>
      <c r="H298" t="s">
        <v>21</v>
      </c>
    </row>
    <row r="299" spans="1:10" x14ac:dyDescent="0.25">
      <c r="A299" s="1">
        <v>97</v>
      </c>
      <c r="B299" t="s">
        <v>36</v>
      </c>
      <c r="C299">
        <v>98</v>
      </c>
      <c r="D299">
        <v>1</v>
      </c>
      <c r="E299" t="s">
        <v>34</v>
      </c>
      <c r="F299" t="s">
        <v>35</v>
      </c>
      <c r="G299" t="str">
        <f>"2026-06-01 10:24:21.391"</f>
        <v>2026-06-01 10:24:21.391</v>
      </c>
      <c r="H299" t="s">
        <v>21</v>
      </c>
      <c r="I299">
        <v>0</v>
      </c>
      <c r="J299" t="s">
        <v>37</v>
      </c>
    </row>
    <row r="300" spans="1:10" x14ac:dyDescent="0.25">
      <c r="A300" s="1">
        <v>98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"2026-06-01 10:23:49.640"</f>
        <v>2026-06-01 10:23:49.640</v>
      </c>
      <c r="H300" t="s">
        <v>21</v>
      </c>
    </row>
    <row r="301" spans="1:10" x14ac:dyDescent="0.25">
      <c r="A301" s="1">
        <v>99</v>
      </c>
      <c r="B301" t="s">
        <v>19</v>
      </c>
      <c r="C301">
        <v>706</v>
      </c>
      <c r="D301">
        <v>4</v>
      </c>
      <c r="E301" t="s">
        <v>31</v>
      </c>
      <c r="F301" t="s">
        <v>32</v>
      </c>
      <c r="G301" t="str">
        <f>"2026-05-31 22:26:52.309"</f>
        <v>2026-05-31 22:26:52.309</v>
      </c>
      <c r="H301" t="s">
        <v>21</v>
      </c>
      <c r="I301">
        <v>0</v>
      </c>
      <c r="J301" t="s">
        <v>33</v>
      </c>
    </row>
    <row r="302" spans="1:10" x14ac:dyDescent="0.25">
      <c r="A302" s="1">
        <v>0</v>
      </c>
      <c r="B302" t="s">
        <v>26</v>
      </c>
      <c r="C302">
        <v>61</v>
      </c>
      <c r="D302">
        <v>2</v>
      </c>
      <c r="E302" t="s">
        <v>44</v>
      </c>
      <c r="F302" t="s">
        <v>45</v>
      </c>
      <c r="G302" t="str">
        <f>"2026-05-31 17:01:42.888"</f>
        <v>2026-05-31 17:01:42.888</v>
      </c>
      <c r="H302" t="s">
        <v>21</v>
      </c>
    </row>
    <row r="303" spans="1:10" x14ac:dyDescent="0.25">
      <c r="A303" s="1">
        <v>1</v>
      </c>
      <c r="B303" t="s">
        <v>29</v>
      </c>
      <c r="C303">
        <v>61</v>
      </c>
      <c r="D303">
        <v>2</v>
      </c>
      <c r="E303" t="s">
        <v>44</v>
      </c>
      <c r="F303" t="s">
        <v>45</v>
      </c>
      <c r="G303" t="str">
        <f>"2026-05-31 17:01:31.088"</f>
        <v>2026-05-31 17:01:31.088</v>
      </c>
      <c r="H303" t="s">
        <v>21</v>
      </c>
      <c r="I303">
        <v>29.28</v>
      </c>
      <c r="J303" t="s">
        <v>42</v>
      </c>
    </row>
    <row r="304" spans="1:10" x14ac:dyDescent="0.25">
      <c r="A304" s="1">
        <v>2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"2026-05-30 09:59:16.539"</f>
        <v>2026-05-30 09:59:16.539</v>
      </c>
      <c r="H304" t="s">
        <v>21</v>
      </c>
      <c r="I304">
        <v>0</v>
      </c>
      <c r="J304" t="s">
        <v>22</v>
      </c>
    </row>
    <row r="305" spans="1:10" x14ac:dyDescent="0.25">
      <c r="A305" s="1">
        <v>3</v>
      </c>
      <c r="B305" t="s">
        <v>26</v>
      </c>
      <c r="C305">
        <v>61</v>
      </c>
      <c r="D305">
        <v>2</v>
      </c>
      <c r="E305" t="s">
        <v>44</v>
      </c>
      <c r="F305" t="s">
        <v>45</v>
      </c>
      <c r="G305" t="str">
        <f>"2026-05-30 07:32:41.641"</f>
        <v>2026-05-30 07:32:41.641</v>
      </c>
      <c r="H305" t="s">
        <v>21</v>
      </c>
    </row>
    <row r="306" spans="1:10" x14ac:dyDescent="0.25">
      <c r="A306" s="1">
        <v>4</v>
      </c>
      <c r="B306" t="s">
        <v>29</v>
      </c>
      <c r="C306">
        <v>61</v>
      </c>
      <c r="D306">
        <v>2</v>
      </c>
      <c r="E306" t="s">
        <v>44</v>
      </c>
      <c r="F306" t="s">
        <v>45</v>
      </c>
      <c r="G306" t="str">
        <f>"2026-05-30 07:32:29.642"</f>
        <v>2026-05-30 07:32:29.642</v>
      </c>
      <c r="H306" t="s">
        <v>21</v>
      </c>
      <c r="I306">
        <v>29.27</v>
      </c>
      <c r="J306" t="s">
        <v>42</v>
      </c>
    </row>
    <row r="307" spans="1:10" x14ac:dyDescent="0.25">
      <c r="A307" s="1">
        <v>5</v>
      </c>
      <c r="B307" t="s">
        <v>26</v>
      </c>
      <c r="C307">
        <v>635</v>
      </c>
      <c r="D307">
        <v>1</v>
      </c>
      <c r="E307" t="s">
        <v>38</v>
      </c>
      <c r="F307" t="s">
        <v>39</v>
      </c>
      <c r="G307" t="str">
        <f>"2026-05-30 02:26:08.788"</f>
        <v>2026-05-30 02:26:08.788</v>
      </c>
      <c r="H307" t="s">
        <v>21</v>
      </c>
    </row>
    <row r="308" spans="1:10" x14ac:dyDescent="0.25">
      <c r="A308" s="1">
        <v>6</v>
      </c>
      <c r="B308" t="s">
        <v>36</v>
      </c>
      <c r="C308">
        <v>635</v>
      </c>
      <c r="D308">
        <v>1</v>
      </c>
      <c r="E308" t="s">
        <v>38</v>
      </c>
      <c r="F308" t="s">
        <v>39</v>
      </c>
      <c r="G308" t="str">
        <f>"2026-05-30 02:22:56.788"</f>
        <v>2026-05-30 02:22:56.788</v>
      </c>
      <c r="H308" t="s">
        <v>21</v>
      </c>
      <c r="I308">
        <v>0.05</v>
      </c>
      <c r="J308" t="s">
        <v>30</v>
      </c>
    </row>
    <row r="309" spans="1:10" x14ac:dyDescent="0.25">
      <c r="A309" s="1">
        <v>7</v>
      </c>
      <c r="B309" t="s">
        <v>26</v>
      </c>
      <c r="C309">
        <v>635</v>
      </c>
      <c r="D309">
        <v>1</v>
      </c>
      <c r="E309" t="s">
        <v>38</v>
      </c>
      <c r="F309" t="s">
        <v>39</v>
      </c>
      <c r="G309" t="str">
        <f>"2026-05-29 23:46:44.288"</f>
        <v>2026-05-29 23:46:44.288</v>
      </c>
      <c r="H309" t="s">
        <v>21</v>
      </c>
    </row>
    <row r="310" spans="1:10" x14ac:dyDescent="0.25">
      <c r="A310" s="1">
        <v>8</v>
      </c>
      <c r="B310" t="s">
        <v>36</v>
      </c>
      <c r="C310">
        <v>635</v>
      </c>
      <c r="D310">
        <v>1</v>
      </c>
      <c r="E310" t="s">
        <v>38</v>
      </c>
      <c r="F310" t="s">
        <v>39</v>
      </c>
      <c r="G310" t="str">
        <f>"2026-05-29 23:37:30.288"</f>
        <v>2026-05-29 23:37:30.288</v>
      </c>
      <c r="H310" t="s">
        <v>21</v>
      </c>
      <c r="I310">
        <v>2.85</v>
      </c>
      <c r="J310" t="s">
        <v>30</v>
      </c>
    </row>
    <row r="311" spans="1:10" x14ac:dyDescent="0.25">
      <c r="A311" s="1">
        <v>9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"2026-05-29 19:39:03.540"</f>
        <v>2026-05-29 19:39:03.540</v>
      </c>
      <c r="H311" t="s">
        <v>21</v>
      </c>
      <c r="I311">
        <v>0</v>
      </c>
      <c r="J311" t="s">
        <v>22</v>
      </c>
    </row>
    <row r="312" spans="1:10" x14ac:dyDescent="0.25">
      <c r="A312" s="1">
        <v>10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"2026-05-29 14:30:38.664"</f>
        <v>2026-05-29 14:30:38.664</v>
      </c>
      <c r="H312" t="s">
        <v>21</v>
      </c>
    </row>
    <row r="313" spans="1:10" x14ac:dyDescent="0.25">
      <c r="A313" s="1">
        <v>11</v>
      </c>
      <c r="B313" t="s">
        <v>23</v>
      </c>
      <c r="C313">
        <v>620</v>
      </c>
      <c r="D313">
        <v>1</v>
      </c>
      <c r="E313" t="s">
        <v>46</v>
      </c>
      <c r="F313" t="s">
        <v>39</v>
      </c>
      <c r="G313" t="str">
        <f>"2026-05-29 06:23:54.931"</f>
        <v>2026-05-29 06:23:54.931</v>
      </c>
      <c r="H313" t="s">
        <v>47</v>
      </c>
    </row>
    <row r="314" spans="1:10" x14ac:dyDescent="0.25">
      <c r="A314" s="1">
        <v>12</v>
      </c>
      <c r="B314" t="s">
        <v>29</v>
      </c>
      <c r="C314">
        <v>620</v>
      </c>
      <c r="D314">
        <v>1</v>
      </c>
      <c r="E314" t="s">
        <v>46</v>
      </c>
      <c r="F314" t="s">
        <v>39</v>
      </c>
      <c r="G314" t="str">
        <f>"2026-05-29 06:23:51.742"</f>
        <v>2026-05-29 06:23:51.742</v>
      </c>
      <c r="H314" t="s">
        <v>47</v>
      </c>
      <c r="I314">
        <v>6.91</v>
      </c>
      <c r="J314" t="s">
        <v>30</v>
      </c>
    </row>
    <row r="315" spans="1:10" x14ac:dyDescent="0.25">
      <c r="A315" s="1">
        <v>13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"2026-05-28 20:04:38.533"</f>
        <v>2026-05-28 20:04:38.533</v>
      </c>
      <c r="H315" t="s">
        <v>21</v>
      </c>
    </row>
    <row r="316" spans="1:10" x14ac:dyDescent="0.25">
      <c r="A316" s="1">
        <v>14</v>
      </c>
      <c r="B316" t="s">
        <v>19</v>
      </c>
      <c r="C316">
        <v>700</v>
      </c>
      <c r="D316">
        <v>0</v>
      </c>
      <c r="E316" t="s">
        <v>20</v>
      </c>
      <c r="F316" t="s">
        <v>20</v>
      </c>
      <c r="G316" t="str">
        <f>"2026-05-28 10:34:08.791"</f>
        <v>2026-05-28 10:34:08.791</v>
      </c>
      <c r="H316" t="s">
        <v>21</v>
      </c>
    </row>
    <row r="317" spans="1:10" x14ac:dyDescent="0.25">
      <c r="A317" s="1">
        <v>15</v>
      </c>
      <c r="B317" t="s">
        <v>19</v>
      </c>
      <c r="C317">
        <v>706</v>
      </c>
      <c r="D317">
        <v>4</v>
      </c>
      <c r="E317" t="s">
        <v>31</v>
      </c>
      <c r="F317" t="s">
        <v>32</v>
      </c>
      <c r="G317" t="str">
        <f>"2026-05-28 05:21:48.658"</f>
        <v>2026-05-28 05:21:48.658</v>
      </c>
      <c r="H317" t="s">
        <v>21</v>
      </c>
      <c r="I317">
        <v>0</v>
      </c>
      <c r="J317" t="s">
        <v>33</v>
      </c>
    </row>
    <row r="318" spans="1:10" x14ac:dyDescent="0.25">
      <c r="A318" s="1">
        <v>16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"2026-05-28 05:19:17.708"</f>
        <v>2026-05-28 05:19:17.708</v>
      </c>
      <c r="H318" t="s">
        <v>21</v>
      </c>
      <c r="I318">
        <v>0</v>
      </c>
      <c r="J318" t="s">
        <v>22</v>
      </c>
    </row>
    <row r="319" spans="1:10" x14ac:dyDescent="0.25">
      <c r="A319" s="1">
        <v>17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"2026-05-28 04:48:36.546"</f>
        <v>2026-05-28 04:48:36.546</v>
      </c>
      <c r="H319" t="s">
        <v>21</v>
      </c>
      <c r="I319">
        <v>0</v>
      </c>
      <c r="J319" t="s">
        <v>22</v>
      </c>
    </row>
    <row r="320" spans="1:10" x14ac:dyDescent="0.25">
      <c r="A320" s="1">
        <v>18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"2026-05-28 04:44:19.583"</f>
        <v>2026-05-28 04:44:19.583</v>
      </c>
      <c r="H320" t="s">
        <v>21</v>
      </c>
      <c r="I320">
        <v>0</v>
      </c>
      <c r="J320" t="s">
        <v>22</v>
      </c>
    </row>
    <row r="321" spans="1:10" s="3" customFormat="1" x14ac:dyDescent="0.25">
      <c r="A321" s="2">
        <v>19</v>
      </c>
      <c r="B321" s="3" t="s">
        <v>26</v>
      </c>
      <c r="C321" s="3">
        <v>647</v>
      </c>
      <c r="D321" s="3">
        <v>1</v>
      </c>
      <c r="E321" s="3" t="s">
        <v>40</v>
      </c>
      <c r="F321" s="3" t="s">
        <v>41</v>
      </c>
      <c r="G321" s="3" t="str">
        <f>"2026-05-28 02:13:41.390"</f>
        <v>2026-05-28 02:13:41.390</v>
      </c>
      <c r="H321" s="3" t="s">
        <v>21</v>
      </c>
    </row>
    <row r="322" spans="1:10" s="3" customFormat="1" x14ac:dyDescent="0.25">
      <c r="A322" s="2">
        <v>20</v>
      </c>
      <c r="B322" s="3" t="s">
        <v>36</v>
      </c>
      <c r="C322" s="3">
        <v>647</v>
      </c>
      <c r="D322" s="3">
        <v>1</v>
      </c>
      <c r="E322" s="3" t="s">
        <v>40</v>
      </c>
      <c r="F322" s="3" t="s">
        <v>41</v>
      </c>
      <c r="G322" s="3" t="str">
        <f>"2026-05-28 02:13:38.690"</f>
        <v>2026-05-28 02:13:38.690</v>
      </c>
      <c r="H322" s="3" t="s">
        <v>21</v>
      </c>
      <c r="I322" s="3">
        <v>11.53</v>
      </c>
      <c r="J322" s="3" t="s">
        <v>42</v>
      </c>
    </row>
    <row r="323" spans="1:10" x14ac:dyDescent="0.25">
      <c r="A323" s="1">
        <v>21</v>
      </c>
      <c r="B323" t="s">
        <v>26</v>
      </c>
      <c r="C323">
        <v>635</v>
      </c>
      <c r="D323">
        <v>1</v>
      </c>
      <c r="E323" t="s">
        <v>38</v>
      </c>
      <c r="F323" t="s">
        <v>39</v>
      </c>
      <c r="G323" t="str">
        <f>"2026-05-27 15:38:44.490"</f>
        <v>2026-05-27 15:38:44.490</v>
      </c>
      <c r="H323" t="s">
        <v>21</v>
      </c>
    </row>
    <row r="324" spans="1:10" x14ac:dyDescent="0.25">
      <c r="A324" s="1">
        <v>22</v>
      </c>
      <c r="B324" t="s">
        <v>36</v>
      </c>
      <c r="C324">
        <v>635</v>
      </c>
      <c r="D324">
        <v>1</v>
      </c>
      <c r="E324" t="s">
        <v>38</v>
      </c>
      <c r="F324" t="s">
        <v>39</v>
      </c>
      <c r="G324" t="str">
        <f>"2026-05-27 15:28:39.490"</f>
        <v>2026-05-27 15:28:39.490</v>
      </c>
      <c r="H324" t="s">
        <v>21</v>
      </c>
      <c r="I324">
        <v>8.58</v>
      </c>
      <c r="J324" t="s">
        <v>30</v>
      </c>
    </row>
    <row r="325" spans="1:10" s="3" customFormat="1" x14ac:dyDescent="0.25">
      <c r="A325" s="2">
        <v>23</v>
      </c>
      <c r="B325" s="3" t="s">
        <v>26</v>
      </c>
      <c r="C325" s="3">
        <v>647</v>
      </c>
      <c r="D325" s="3">
        <v>1</v>
      </c>
      <c r="E325" s="3" t="s">
        <v>40</v>
      </c>
      <c r="F325" s="3" t="s">
        <v>41</v>
      </c>
      <c r="G325" s="3" t="str">
        <f>"2026-05-27 13:07:10.690"</f>
        <v>2026-05-27 13:07:10.690</v>
      </c>
      <c r="H325" s="3" t="s">
        <v>21</v>
      </c>
    </row>
    <row r="326" spans="1:10" s="3" customFormat="1" x14ac:dyDescent="0.25">
      <c r="A326" s="2">
        <v>24</v>
      </c>
      <c r="B326" s="3" t="s">
        <v>36</v>
      </c>
      <c r="C326" s="3">
        <v>647</v>
      </c>
      <c r="D326" s="3">
        <v>1</v>
      </c>
      <c r="E326" s="3" t="s">
        <v>40</v>
      </c>
      <c r="F326" s="3" t="s">
        <v>41</v>
      </c>
      <c r="G326" s="3" t="str">
        <f>"2026-05-27 13:07:08.891"</f>
        <v>2026-05-27 13:07:08.891</v>
      </c>
      <c r="H326" s="3" t="s">
        <v>21</v>
      </c>
      <c r="I326" s="3">
        <v>14.01</v>
      </c>
      <c r="J326" s="3" t="s">
        <v>42</v>
      </c>
    </row>
    <row r="327" spans="1:10" x14ac:dyDescent="0.25">
      <c r="A327" s="1">
        <v>25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"2026-05-27 12:50:23.532"</f>
        <v>2026-05-27 12:50:23.532</v>
      </c>
      <c r="H327" t="s">
        <v>21</v>
      </c>
    </row>
    <row r="328" spans="1:10" x14ac:dyDescent="0.25">
      <c r="A328" s="1">
        <v>26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"2026-05-27 07:33:44.529"</f>
        <v>2026-05-27 07:33:44.529</v>
      </c>
      <c r="H328" t="s">
        <v>21</v>
      </c>
    </row>
    <row r="329" spans="1:10" x14ac:dyDescent="0.25">
      <c r="A329" s="1">
        <v>27</v>
      </c>
      <c r="B329" t="s">
        <v>19</v>
      </c>
      <c r="C329">
        <v>706</v>
      </c>
      <c r="D329">
        <v>4</v>
      </c>
      <c r="E329" t="s">
        <v>31</v>
      </c>
      <c r="F329" t="s">
        <v>32</v>
      </c>
      <c r="G329" t="str">
        <f>"2026-05-26 21:40:07.643"</f>
        <v>2026-05-26 21:40:07.643</v>
      </c>
      <c r="H329" t="s">
        <v>21</v>
      </c>
      <c r="I329">
        <v>0</v>
      </c>
      <c r="J329" t="s">
        <v>33</v>
      </c>
    </row>
    <row r="330" spans="1:10" x14ac:dyDescent="0.25">
      <c r="A330" s="1">
        <v>28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"2026-05-26 21:30:21.553"</f>
        <v>2026-05-26 21:30:21.553</v>
      </c>
      <c r="H330" t="s">
        <v>21</v>
      </c>
    </row>
    <row r="331" spans="1:10" x14ac:dyDescent="0.25">
      <c r="A331" s="1">
        <v>29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"2026-05-26 14:07:52.725"</f>
        <v>2026-05-26 14:07:52.725</v>
      </c>
      <c r="H331" t="s">
        <v>21</v>
      </c>
    </row>
    <row r="332" spans="1:10" x14ac:dyDescent="0.25">
      <c r="A332" s="1">
        <v>30</v>
      </c>
      <c r="B332" t="s">
        <v>26</v>
      </c>
      <c r="C332">
        <v>635</v>
      </c>
      <c r="D332">
        <v>1</v>
      </c>
      <c r="E332" t="s">
        <v>38</v>
      </c>
      <c r="F332" t="s">
        <v>39</v>
      </c>
      <c r="G332" t="str">
        <f>"2026-05-25 06:53:10.919"</f>
        <v>2026-05-25 06:53:10.919</v>
      </c>
      <c r="H332" t="s">
        <v>21</v>
      </c>
    </row>
    <row r="333" spans="1:10" x14ac:dyDescent="0.25">
      <c r="A333" s="1">
        <v>31</v>
      </c>
      <c r="B333" t="s">
        <v>36</v>
      </c>
      <c r="C333">
        <v>635</v>
      </c>
      <c r="D333">
        <v>1</v>
      </c>
      <c r="E333" t="s">
        <v>38</v>
      </c>
      <c r="F333" t="s">
        <v>39</v>
      </c>
      <c r="G333" t="str">
        <f>"2026-05-25 06:46:22.419"</f>
        <v>2026-05-25 06:46:22.419</v>
      </c>
      <c r="H333" t="s">
        <v>21</v>
      </c>
      <c r="I333">
        <v>0.36</v>
      </c>
      <c r="J333" t="s">
        <v>30</v>
      </c>
    </row>
    <row r="334" spans="1:10" x14ac:dyDescent="0.25">
      <c r="A334" s="1">
        <v>32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"2026-05-24 13:33:52.529"</f>
        <v>2026-05-24 13:33:52.529</v>
      </c>
      <c r="H334" t="s">
        <v>21</v>
      </c>
      <c r="I334">
        <v>0</v>
      </c>
      <c r="J334" t="s">
        <v>22</v>
      </c>
    </row>
    <row r="335" spans="1:10" x14ac:dyDescent="0.25">
      <c r="A335" s="1">
        <v>33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"2026-05-24 13:02:12.575"</f>
        <v>2026-05-24 13:02:12.575</v>
      </c>
      <c r="H335" t="s">
        <v>21</v>
      </c>
    </row>
    <row r="336" spans="1:10" x14ac:dyDescent="0.25">
      <c r="A336" s="1">
        <v>34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"2026-05-23 23:48:33.534"</f>
        <v>2026-05-23 23:48:33.534</v>
      </c>
      <c r="H336" t="s">
        <v>21</v>
      </c>
    </row>
    <row r="337" spans="1:10" x14ac:dyDescent="0.25">
      <c r="A337" s="1">
        <v>35</v>
      </c>
      <c r="B337" t="s">
        <v>19</v>
      </c>
      <c r="C337">
        <v>706</v>
      </c>
      <c r="D337">
        <v>3</v>
      </c>
      <c r="E337" t="s">
        <v>31</v>
      </c>
      <c r="F337" t="s">
        <v>70</v>
      </c>
      <c r="G337" t="str">
        <f>"2026-05-23 23:06:41.218"</f>
        <v>2026-05-23 23:06:41.218</v>
      </c>
      <c r="H337" t="s">
        <v>21</v>
      </c>
      <c r="I337">
        <v>0</v>
      </c>
      <c r="J337" t="s">
        <v>33</v>
      </c>
    </row>
    <row r="338" spans="1:10" x14ac:dyDescent="0.25">
      <c r="A338" s="1">
        <v>36</v>
      </c>
      <c r="B338" t="s">
        <v>19</v>
      </c>
      <c r="C338">
        <v>706</v>
      </c>
      <c r="D338">
        <v>2</v>
      </c>
      <c r="E338" t="s">
        <v>31</v>
      </c>
      <c r="F338" t="s">
        <v>43</v>
      </c>
      <c r="G338" t="str">
        <f>"2026-05-23 22:54:23.718"</f>
        <v>2026-05-23 22:54:23.718</v>
      </c>
      <c r="H338" t="s">
        <v>21</v>
      </c>
      <c r="I338">
        <v>0</v>
      </c>
      <c r="J338" t="s">
        <v>33</v>
      </c>
    </row>
    <row r="339" spans="1:10" x14ac:dyDescent="0.25">
      <c r="A339" s="1">
        <v>37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"2026-05-23 21:52:30.518"</f>
        <v>2026-05-23 21:52:30.518</v>
      </c>
      <c r="H339" t="s">
        <v>21</v>
      </c>
    </row>
    <row r="340" spans="1:10" x14ac:dyDescent="0.25">
      <c r="A340" s="1">
        <v>38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"2026-05-23 20:49:54.799"</f>
        <v>2026-05-23 20:49:54.799</v>
      </c>
      <c r="H340" t="s">
        <v>21</v>
      </c>
      <c r="I340">
        <v>0</v>
      </c>
      <c r="J340" t="s">
        <v>22</v>
      </c>
    </row>
    <row r="341" spans="1:10" s="3" customFormat="1" x14ac:dyDescent="0.25">
      <c r="A341" s="2">
        <v>39</v>
      </c>
      <c r="B341" s="3" t="s">
        <v>26</v>
      </c>
      <c r="C341" s="3">
        <v>647</v>
      </c>
      <c r="D341" s="3">
        <v>1</v>
      </c>
      <c r="E341" s="3" t="s">
        <v>40</v>
      </c>
      <c r="F341" s="3" t="s">
        <v>41</v>
      </c>
      <c r="G341" s="3" t="str">
        <f>"2026-05-23 02:26:10.307"</f>
        <v>2026-05-23 02:26:10.307</v>
      </c>
      <c r="H341" s="3" t="s">
        <v>21</v>
      </c>
    </row>
    <row r="342" spans="1:10" s="3" customFormat="1" x14ac:dyDescent="0.25">
      <c r="A342" s="2">
        <v>40</v>
      </c>
      <c r="B342" s="3" t="s">
        <v>36</v>
      </c>
      <c r="C342" s="3">
        <v>647</v>
      </c>
      <c r="D342" s="3">
        <v>1</v>
      </c>
      <c r="E342" s="3" t="s">
        <v>40</v>
      </c>
      <c r="F342" s="3" t="s">
        <v>41</v>
      </c>
      <c r="G342" s="3" t="str">
        <f>"2026-05-23 02:26:08.207"</f>
        <v>2026-05-23 02:26:08.207</v>
      </c>
      <c r="H342" s="3" t="s">
        <v>21</v>
      </c>
      <c r="I342" s="3">
        <v>16.28</v>
      </c>
      <c r="J342" s="3" t="s">
        <v>42</v>
      </c>
    </row>
    <row r="343" spans="1:10" s="3" customFormat="1" x14ac:dyDescent="0.25">
      <c r="A343" s="2">
        <v>41</v>
      </c>
      <c r="B343" s="3" t="s">
        <v>26</v>
      </c>
      <c r="C343" s="3">
        <v>647</v>
      </c>
      <c r="D343" s="3">
        <v>1</v>
      </c>
      <c r="E343" s="3" t="s">
        <v>40</v>
      </c>
      <c r="F343" s="3" t="s">
        <v>41</v>
      </c>
      <c r="G343" s="3" t="str">
        <f>"2026-05-23 02:15:09.307"</f>
        <v>2026-05-23 02:15:09.307</v>
      </c>
      <c r="H343" s="3" t="s">
        <v>21</v>
      </c>
    </row>
    <row r="344" spans="1:10" s="3" customFormat="1" x14ac:dyDescent="0.25">
      <c r="A344" s="2">
        <v>42</v>
      </c>
      <c r="B344" s="3" t="s">
        <v>36</v>
      </c>
      <c r="C344" s="3">
        <v>647</v>
      </c>
      <c r="D344" s="3">
        <v>1</v>
      </c>
      <c r="E344" s="3" t="s">
        <v>40</v>
      </c>
      <c r="F344" s="3" t="s">
        <v>41</v>
      </c>
      <c r="G344" s="3" t="str">
        <f>"2026-05-23 02:15:07.607"</f>
        <v>2026-05-23 02:15:07.607</v>
      </c>
      <c r="H344" s="3" t="s">
        <v>21</v>
      </c>
      <c r="I344" s="3">
        <v>17.260000000000002</v>
      </c>
      <c r="J344" s="3" t="s">
        <v>42</v>
      </c>
    </row>
    <row r="345" spans="1:10" x14ac:dyDescent="0.25">
      <c r="A345" s="1">
        <v>43</v>
      </c>
      <c r="B345" t="s">
        <v>26</v>
      </c>
      <c r="C345">
        <v>635</v>
      </c>
      <c r="D345">
        <v>1</v>
      </c>
      <c r="E345" t="s">
        <v>38</v>
      </c>
      <c r="F345" t="s">
        <v>39</v>
      </c>
      <c r="G345" t="str">
        <f>"2026-05-22 16:57:16.159"</f>
        <v>2026-05-22 16:57:16.159</v>
      </c>
      <c r="H345" t="s">
        <v>21</v>
      </c>
    </row>
    <row r="346" spans="1:10" x14ac:dyDescent="0.25">
      <c r="A346" s="1">
        <v>44</v>
      </c>
      <c r="B346" t="s">
        <v>36</v>
      </c>
      <c r="C346">
        <v>635</v>
      </c>
      <c r="D346">
        <v>1</v>
      </c>
      <c r="E346" t="s">
        <v>38</v>
      </c>
      <c r="F346" t="s">
        <v>39</v>
      </c>
      <c r="G346" t="str">
        <f>"2026-05-22 16:55:39.159"</f>
        <v>2026-05-22 16:55:39.159</v>
      </c>
      <c r="H346" t="s">
        <v>21</v>
      </c>
      <c r="I346">
        <v>5.1100000000000003</v>
      </c>
      <c r="J346" t="s">
        <v>30</v>
      </c>
    </row>
    <row r="347" spans="1:10" x14ac:dyDescent="0.25">
      <c r="A347" s="1">
        <v>47</v>
      </c>
      <c r="B347" t="s">
        <v>26</v>
      </c>
      <c r="C347">
        <v>635</v>
      </c>
      <c r="D347">
        <v>1</v>
      </c>
      <c r="E347" t="s">
        <v>38</v>
      </c>
      <c r="F347" t="s">
        <v>39</v>
      </c>
      <c r="G347" t="str">
        <f>"2026-05-22 14:09:14.159"</f>
        <v>2026-05-22 14:09:14.159</v>
      </c>
      <c r="H347" t="s">
        <v>21</v>
      </c>
    </row>
    <row r="348" spans="1:10" x14ac:dyDescent="0.25">
      <c r="A348" s="1">
        <v>48</v>
      </c>
      <c r="B348" t="s">
        <v>36</v>
      </c>
      <c r="C348">
        <v>635</v>
      </c>
      <c r="D348">
        <v>1</v>
      </c>
      <c r="E348" t="s">
        <v>38</v>
      </c>
      <c r="F348" t="s">
        <v>39</v>
      </c>
      <c r="G348" t="str">
        <f>"2026-05-22 13:51:08.259"</f>
        <v>2026-05-22 13:51:08.259</v>
      </c>
      <c r="H348" t="s">
        <v>21</v>
      </c>
      <c r="I348">
        <v>6.68</v>
      </c>
      <c r="J348" t="s">
        <v>30</v>
      </c>
    </row>
    <row r="349" spans="1:10" x14ac:dyDescent="0.25">
      <c r="A349" s="1">
        <v>49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"2026-05-21 13:28:20.549"</f>
        <v>2026-05-21 13:28:20.549</v>
      </c>
      <c r="H349" t="s">
        <v>21</v>
      </c>
    </row>
    <row r="350" spans="1:10" s="3" customFormat="1" x14ac:dyDescent="0.25">
      <c r="A350" s="2">
        <v>50</v>
      </c>
      <c r="B350" s="3" t="s">
        <v>26</v>
      </c>
      <c r="C350" s="3">
        <v>647</v>
      </c>
      <c r="D350" s="3">
        <v>1</v>
      </c>
      <c r="E350" s="3" t="s">
        <v>40</v>
      </c>
      <c r="F350" s="3" t="s">
        <v>41</v>
      </c>
      <c r="G350" s="3" t="str">
        <f>"2026-05-21 08:38:13.714"</f>
        <v>2026-05-21 08:38:13.714</v>
      </c>
      <c r="H350" s="3" t="s">
        <v>21</v>
      </c>
    </row>
    <row r="351" spans="1:10" s="3" customFormat="1" x14ac:dyDescent="0.25">
      <c r="A351" s="2">
        <v>51</v>
      </c>
      <c r="B351" s="3" t="s">
        <v>36</v>
      </c>
      <c r="C351" s="3">
        <v>647</v>
      </c>
      <c r="D351" s="3">
        <v>1</v>
      </c>
      <c r="E351" s="3" t="s">
        <v>40</v>
      </c>
      <c r="F351" s="3" t="s">
        <v>41</v>
      </c>
      <c r="G351" s="3" t="str">
        <f>"2026-05-21 08:38:05.015"</f>
        <v>2026-05-21 08:38:05.015</v>
      </c>
      <c r="H351" s="3" t="s">
        <v>21</v>
      </c>
      <c r="I351" s="3">
        <v>12.44</v>
      </c>
      <c r="J351" s="3" t="s">
        <v>42</v>
      </c>
    </row>
    <row r="352" spans="1:10" x14ac:dyDescent="0.25">
      <c r="A352" s="1">
        <v>52</v>
      </c>
      <c r="B352" t="s">
        <v>26</v>
      </c>
      <c r="C352">
        <v>61</v>
      </c>
      <c r="D352">
        <v>2</v>
      </c>
      <c r="E352" t="s">
        <v>44</v>
      </c>
      <c r="F352" t="s">
        <v>45</v>
      </c>
      <c r="G352" t="str">
        <f>"2026-05-21 05:16:58.607"</f>
        <v>2026-05-21 05:16:58.607</v>
      </c>
      <c r="H352" t="s">
        <v>21</v>
      </c>
    </row>
    <row r="353" spans="1:10" x14ac:dyDescent="0.25">
      <c r="A353" s="1">
        <v>53</v>
      </c>
      <c r="B353" t="s">
        <v>29</v>
      </c>
      <c r="C353">
        <v>61</v>
      </c>
      <c r="D353">
        <v>2</v>
      </c>
      <c r="E353" t="s">
        <v>44</v>
      </c>
      <c r="F353" t="s">
        <v>45</v>
      </c>
      <c r="G353" t="str">
        <f>"2026-05-21 05:16:46.507"</f>
        <v>2026-05-21 05:16:46.507</v>
      </c>
      <c r="H353" t="s">
        <v>21</v>
      </c>
      <c r="I353">
        <v>29.37</v>
      </c>
      <c r="J353" t="s">
        <v>42</v>
      </c>
    </row>
    <row r="354" spans="1:10" x14ac:dyDescent="0.25">
      <c r="A354" s="1">
        <v>54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"2026-05-21 01:02:39.666"</f>
        <v>2026-05-21 01:02:39.666</v>
      </c>
      <c r="H354" t="s">
        <v>21</v>
      </c>
      <c r="I354">
        <v>0</v>
      </c>
      <c r="J354" t="s">
        <v>22</v>
      </c>
    </row>
    <row r="355" spans="1:10" x14ac:dyDescent="0.25">
      <c r="A355" s="1">
        <v>55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"2026-05-19 13:38:13.555"</f>
        <v>2026-05-19 13:38:13.555</v>
      </c>
      <c r="H355" t="s">
        <v>21</v>
      </c>
      <c r="I355">
        <v>0</v>
      </c>
      <c r="J355" t="s">
        <v>22</v>
      </c>
    </row>
    <row r="356" spans="1:10" x14ac:dyDescent="0.25">
      <c r="A356" s="1">
        <v>56</v>
      </c>
      <c r="B356" t="s">
        <v>26</v>
      </c>
      <c r="C356">
        <v>635</v>
      </c>
      <c r="D356">
        <v>1</v>
      </c>
      <c r="E356" t="s">
        <v>38</v>
      </c>
      <c r="F356" t="s">
        <v>39</v>
      </c>
      <c r="G356" t="str">
        <f>"2026-05-19 04:32:46.428"</f>
        <v>2026-05-19 04:32:46.428</v>
      </c>
      <c r="H356" t="s">
        <v>21</v>
      </c>
    </row>
    <row r="357" spans="1:10" x14ac:dyDescent="0.25">
      <c r="A357" s="1">
        <v>57</v>
      </c>
      <c r="B357" t="s">
        <v>36</v>
      </c>
      <c r="C357">
        <v>635</v>
      </c>
      <c r="D357">
        <v>1</v>
      </c>
      <c r="E357" t="s">
        <v>38</v>
      </c>
      <c r="F357" t="s">
        <v>39</v>
      </c>
      <c r="G357" t="str">
        <f>"2026-05-19 04:25:35.928"</f>
        <v>2026-05-19 04:25:35.928</v>
      </c>
      <c r="H357" t="s">
        <v>21</v>
      </c>
      <c r="I357">
        <v>0.71</v>
      </c>
      <c r="J357" t="s">
        <v>37</v>
      </c>
    </row>
    <row r="358" spans="1:10" x14ac:dyDescent="0.25">
      <c r="A358" s="1">
        <v>58</v>
      </c>
      <c r="B358" t="s">
        <v>26</v>
      </c>
      <c r="C358">
        <v>635</v>
      </c>
      <c r="D358">
        <v>1</v>
      </c>
      <c r="E358" t="s">
        <v>38</v>
      </c>
      <c r="F358" t="s">
        <v>39</v>
      </c>
      <c r="G358" t="str">
        <f>"2026-05-18 06:46:50.628"</f>
        <v>2026-05-18 06:46:50.628</v>
      </c>
      <c r="H358" t="s">
        <v>21</v>
      </c>
    </row>
    <row r="359" spans="1:10" x14ac:dyDescent="0.25">
      <c r="A359" s="1">
        <v>59</v>
      </c>
      <c r="B359" t="s">
        <v>36</v>
      </c>
      <c r="C359">
        <v>635</v>
      </c>
      <c r="D359">
        <v>1</v>
      </c>
      <c r="E359" t="s">
        <v>38</v>
      </c>
      <c r="F359" t="s">
        <v>39</v>
      </c>
      <c r="G359" t="str">
        <f>"2026-05-18 06:41:54.129"</f>
        <v>2026-05-18 06:41:54.129</v>
      </c>
      <c r="H359" t="s">
        <v>21</v>
      </c>
      <c r="I359">
        <v>3.67</v>
      </c>
      <c r="J359" t="s">
        <v>42</v>
      </c>
    </row>
    <row r="360" spans="1:10" x14ac:dyDescent="0.25">
      <c r="A360" s="1">
        <v>60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"2026-05-17 11:01:54.529"</f>
        <v>2026-05-17 11:01:54.529</v>
      </c>
      <c r="H360" t="s">
        <v>21</v>
      </c>
      <c r="I360">
        <v>0</v>
      </c>
      <c r="J360" t="s">
        <v>22</v>
      </c>
    </row>
    <row r="361" spans="1:10" x14ac:dyDescent="0.25">
      <c r="A361" s="1">
        <v>61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"2026-05-17 09:51:57.530"</f>
        <v>2026-05-17 09:51:57.530</v>
      </c>
      <c r="H361" t="s">
        <v>21</v>
      </c>
      <c r="I361">
        <v>0</v>
      </c>
      <c r="J361" t="s">
        <v>22</v>
      </c>
    </row>
    <row r="362" spans="1:10" x14ac:dyDescent="0.25">
      <c r="A362" s="1">
        <v>62</v>
      </c>
      <c r="B362" t="s">
        <v>26</v>
      </c>
      <c r="C362">
        <v>635</v>
      </c>
      <c r="D362">
        <v>1</v>
      </c>
      <c r="E362" t="s">
        <v>38</v>
      </c>
      <c r="F362" t="s">
        <v>39</v>
      </c>
      <c r="G362" t="str">
        <f>"2026-05-17 04:57:58.688"</f>
        <v>2026-05-17 04:57:58.688</v>
      </c>
      <c r="H362" t="s">
        <v>21</v>
      </c>
    </row>
    <row r="363" spans="1:10" x14ac:dyDescent="0.25">
      <c r="A363" s="1">
        <v>63</v>
      </c>
      <c r="B363" t="s">
        <v>36</v>
      </c>
      <c r="C363">
        <v>635</v>
      </c>
      <c r="D363">
        <v>1</v>
      </c>
      <c r="E363" t="s">
        <v>38</v>
      </c>
      <c r="F363" t="s">
        <v>39</v>
      </c>
      <c r="G363" t="str">
        <f>"2026-05-17 04:41:29.788"</f>
        <v>2026-05-17 04:41:29.788</v>
      </c>
      <c r="H363" t="s">
        <v>21</v>
      </c>
      <c r="I363">
        <v>-0.03</v>
      </c>
      <c r="J363" t="s">
        <v>37</v>
      </c>
    </row>
    <row r="364" spans="1:10" s="3" customFormat="1" x14ac:dyDescent="0.25">
      <c r="A364" s="2">
        <v>64</v>
      </c>
      <c r="B364" s="3" t="s">
        <v>26</v>
      </c>
      <c r="C364" s="3">
        <v>647</v>
      </c>
      <c r="D364" s="3">
        <v>1</v>
      </c>
      <c r="E364" s="3" t="s">
        <v>40</v>
      </c>
      <c r="F364" s="3" t="s">
        <v>41</v>
      </c>
      <c r="G364" s="3" t="str">
        <f>"2026-05-17 01:46:37.888"</f>
        <v>2026-05-17 01:46:37.888</v>
      </c>
      <c r="H364" s="3" t="s">
        <v>21</v>
      </c>
    </row>
    <row r="365" spans="1:10" s="3" customFormat="1" x14ac:dyDescent="0.25">
      <c r="A365" s="2">
        <v>65</v>
      </c>
      <c r="B365" s="3" t="s">
        <v>36</v>
      </c>
      <c r="C365" s="3">
        <v>647</v>
      </c>
      <c r="D365" s="3">
        <v>1</v>
      </c>
      <c r="E365" s="3" t="s">
        <v>40</v>
      </c>
      <c r="F365" s="3" t="s">
        <v>41</v>
      </c>
      <c r="G365" s="3" t="str">
        <f>"2026-05-17 01:46:36.388"</f>
        <v>2026-05-17 01:46:36.388</v>
      </c>
      <c r="H365" s="3" t="s">
        <v>21</v>
      </c>
      <c r="I365" s="3">
        <v>22.38</v>
      </c>
      <c r="J365" s="3" t="s">
        <v>42</v>
      </c>
    </row>
    <row r="366" spans="1:10" x14ac:dyDescent="0.25">
      <c r="A366" s="1">
        <v>66</v>
      </c>
      <c r="B366" t="s">
        <v>26</v>
      </c>
      <c r="C366">
        <v>635</v>
      </c>
      <c r="D366">
        <v>1</v>
      </c>
      <c r="E366" t="s">
        <v>38</v>
      </c>
      <c r="F366" t="s">
        <v>39</v>
      </c>
      <c r="G366" t="str">
        <f>"2026-05-16 16:21:37.388"</f>
        <v>2026-05-16 16:21:37.388</v>
      </c>
      <c r="H366" t="s">
        <v>21</v>
      </c>
    </row>
    <row r="367" spans="1:10" x14ac:dyDescent="0.25">
      <c r="A367" s="1">
        <v>67</v>
      </c>
      <c r="B367" t="s">
        <v>36</v>
      </c>
      <c r="C367">
        <v>635</v>
      </c>
      <c r="D367">
        <v>1</v>
      </c>
      <c r="E367" t="s">
        <v>38</v>
      </c>
      <c r="F367" t="s">
        <v>39</v>
      </c>
      <c r="G367" t="str">
        <f>"2026-05-16 15:46:46.988"</f>
        <v>2026-05-16 15:46:46.988</v>
      </c>
      <c r="H367" t="s">
        <v>21</v>
      </c>
      <c r="I367">
        <v>0.65</v>
      </c>
      <c r="J367" t="s">
        <v>30</v>
      </c>
    </row>
    <row r="368" spans="1:10" x14ac:dyDescent="0.25">
      <c r="A368" s="1">
        <v>68</v>
      </c>
      <c r="B368" t="s">
        <v>26</v>
      </c>
      <c r="C368">
        <v>635</v>
      </c>
      <c r="D368">
        <v>1</v>
      </c>
      <c r="E368" t="s">
        <v>38</v>
      </c>
      <c r="F368" t="s">
        <v>39</v>
      </c>
      <c r="G368" t="str">
        <f>"2026-05-15 04:05:16.488"</f>
        <v>2026-05-15 04:05:16.488</v>
      </c>
      <c r="H368" t="s">
        <v>21</v>
      </c>
    </row>
    <row r="369" spans="1:10" x14ac:dyDescent="0.25">
      <c r="A369" s="1">
        <v>69</v>
      </c>
      <c r="B369" t="s">
        <v>36</v>
      </c>
      <c r="C369">
        <v>635</v>
      </c>
      <c r="D369">
        <v>1</v>
      </c>
      <c r="E369" t="s">
        <v>38</v>
      </c>
      <c r="F369" t="s">
        <v>39</v>
      </c>
      <c r="G369" t="str">
        <f>"2026-05-15 04:02:04.488"</f>
        <v>2026-05-15 04:02:04.488</v>
      </c>
      <c r="H369" t="s">
        <v>21</v>
      </c>
      <c r="I369">
        <v>1.49</v>
      </c>
      <c r="J369" t="s">
        <v>37</v>
      </c>
    </row>
    <row r="370" spans="1:10" x14ac:dyDescent="0.25">
      <c r="A370" s="1">
        <v>70</v>
      </c>
      <c r="B370" t="s">
        <v>26</v>
      </c>
      <c r="C370">
        <v>635</v>
      </c>
      <c r="D370">
        <v>1</v>
      </c>
      <c r="E370" t="s">
        <v>38</v>
      </c>
      <c r="F370" t="s">
        <v>39</v>
      </c>
      <c r="G370" t="str">
        <f>"2026-05-14 09:56:03.588"</f>
        <v>2026-05-14 09:56:03.588</v>
      </c>
      <c r="H370" t="s">
        <v>21</v>
      </c>
    </row>
    <row r="371" spans="1:10" x14ac:dyDescent="0.25">
      <c r="A371" s="1">
        <v>71</v>
      </c>
      <c r="B371" t="s">
        <v>36</v>
      </c>
      <c r="C371">
        <v>635</v>
      </c>
      <c r="D371">
        <v>1</v>
      </c>
      <c r="E371" t="s">
        <v>38</v>
      </c>
      <c r="F371" t="s">
        <v>39</v>
      </c>
      <c r="G371" t="str">
        <f>"2026-05-14 09:48:42.088"</f>
        <v>2026-05-14 09:48:42.088</v>
      </c>
      <c r="H371" t="s">
        <v>21</v>
      </c>
      <c r="I371">
        <v>1.1499999999999999</v>
      </c>
      <c r="J371" t="s">
        <v>42</v>
      </c>
    </row>
    <row r="372" spans="1:10" x14ac:dyDescent="0.25">
      <c r="A372" s="1">
        <v>72</v>
      </c>
      <c r="B372" t="s">
        <v>26</v>
      </c>
      <c r="C372">
        <v>635</v>
      </c>
      <c r="D372">
        <v>1</v>
      </c>
      <c r="E372" t="s">
        <v>38</v>
      </c>
      <c r="F372" t="s">
        <v>39</v>
      </c>
      <c r="G372" t="str">
        <f>"2026-05-14 07:17:08.488"</f>
        <v>2026-05-14 07:17:08.488</v>
      </c>
      <c r="H372" t="s">
        <v>21</v>
      </c>
    </row>
    <row r="373" spans="1:10" x14ac:dyDescent="0.25">
      <c r="A373" s="1">
        <v>73</v>
      </c>
      <c r="B373" t="s">
        <v>36</v>
      </c>
      <c r="C373">
        <v>635</v>
      </c>
      <c r="D373">
        <v>1</v>
      </c>
      <c r="E373" t="s">
        <v>38</v>
      </c>
      <c r="F373" t="s">
        <v>39</v>
      </c>
      <c r="G373" t="str">
        <f>"2026-05-14 07:13:36.488"</f>
        <v>2026-05-14 07:13:36.488</v>
      </c>
      <c r="H373" t="s">
        <v>21</v>
      </c>
      <c r="I373">
        <v>7.8</v>
      </c>
      <c r="J373" t="s">
        <v>30</v>
      </c>
    </row>
    <row r="374" spans="1:10" x14ac:dyDescent="0.25">
      <c r="A374" s="1">
        <v>74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"2026-05-13 14:10:34.716"</f>
        <v>2026-05-13 14:10:34.716</v>
      </c>
      <c r="H374" t="s">
        <v>21</v>
      </c>
      <c r="I374">
        <v>0</v>
      </c>
      <c r="J374" t="s">
        <v>22</v>
      </c>
    </row>
    <row r="375" spans="1:10" x14ac:dyDescent="0.25">
      <c r="A375" s="1">
        <v>75</v>
      </c>
      <c r="B375" t="s">
        <v>26</v>
      </c>
      <c r="C375">
        <v>635</v>
      </c>
      <c r="D375">
        <v>1</v>
      </c>
      <c r="E375" t="s">
        <v>38</v>
      </c>
      <c r="F375" t="s">
        <v>39</v>
      </c>
      <c r="G375" t="str">
        <f>"2026-05-13 12:55:09.633"</f>
        <v>2026-05-13 12:55:09.633</v>
      </c>
      <c r="H375" t="s">
        <v>21</v>
      </c>
    </row>
    <row r="376" spans="1:10" x14ac:dyDescent="0.25">
      <c r="A376" s="1">
        <v>76</v>
      </c>
      <c r="B376" t="s">
        <v>36</v>
      </c>
      <c r="C376">
        <v>635</v>
      </c>
      <c r="D376">
        <v>1</v>
      </c>
      <c r="E376" t="s">
        <v>38</v>
      </c>
      <c r="F376" t="s">
        <v>39</v>
      </c>
      <c r="G376" t="str">
        <f>"2026-05-13 12:30:09.733"</f>
        <v>2026-05-13 12:30:09.733</v>
      </c>
      <c r="H376" t="s">
        <v>21</v>
      </c>
      <c r="I376">
        <v>8.02</v>
      </c>
      <c r="J376" t="s">
        <v>30</v>
      </c>
    </row>
    <row r="377" spans="1:10" x14ac:dyDescent="0.25">
      <c r="A377" s="1">
        <v>77</v>
      </c>
      <c r="B377" t="s">
        <v>26</v>
      </c>
      <c r="C377">
        <v>635</v>
      </c>
      <c r="D377">
        <v>1</v>
      </c>
      <c r="E377" t="s">
        <v>38</v>
      </c>
      <c r="F377" t="s">
        <v>39</v>
      </c>
      <c r="G377" t="str">
        <f>"2026-05-13 07:09:59.633"</f>
        <v>2026-05-13 07:09:59.633</v>
      </c>
      <c r="H377" t="s">
        <v>21</v>
      </c>
    </row>
    <row r="378" spans="1:10" x14ac:dyDescent="0.25">
      <c r="A378" s="1">
        <v>78</v>
      </c>
      <c r="B378" t="s">
        <v>36</v>
      </c>
      <c r="C378">
        <v>635</v>
      </c>
      <c r="D378">
        <v>1</v>
      </c>
      <c r="E378" t="s">
        <v>38</v>
      </c>
      <c r="F378" t="s">
        <v>39</v>
      </c>
      <c r="G378" t="str">
        <f>"2026-05-13 07:05:26.133"</f>
        <v>2026-05-13 07:05:26.133</v>
      </c>
      <c r="H378" t="s">
        <v>21</v>
      </c>
      <c r="I378">
        <v>1.33</v>
      </c>
      <c r="J378" t="s">
        <v>42</v>
      </c>
    </row>
    <row r="379" spans="1:10" s="3" customFormat="1" x14ac:dyDescent="0.25">
      <c r="A379" s="2">
        <v>79</v>
      </c>
      <c r="B379" s="3" t="s">
        <v>26</v>
      </c>
      <c r="C379" s="3">
        <v>647</v>
      </c>
      <c r="D379" s="3">
        <v>1</v>
      </c>
      <c r="E379" s="3" t="s">
        <v>40</v>
      </c>
      <c r="F379" s="3" t="s">
        <v>41</v>
      </c>
      <c r="G379" s="3" t="str">
        <f>"2026-05-12 23:37:07.733"</f>
        <v>2026-05-12 23:37:07.733</v>
      </c>
      <c r="H379" s="3" t="s">
        <v>21</v>
      </c>
    </row>
    <row r="380" spans="1:10" s="3" customFormat="1" x14ac:dyDescent="0.25">
      <c r="A380" s="2">
        <v>80</v>
      </c>
      <c r="B380" s="3" t="s">
        <v>36</v>
      </c>
      <c r="C380" s="3">
        <v>647</v>
      </c>
      <c r="D380" s="3">
        <v>1</v>
      </c>
      <c r="E380" s="3" t="s">
        <v>40</v>
      </c>
      <c r="F380" s="3" t="s">
        <v>41</v>
      </c>
      <c r="G380" s="3" t="str">
        <f>"2026-05-12 23:37:03.934"</f>
        <v>2026-05-12 23:37:03.934</v>
      </c>
      <c r="H380" s="3" t="s">
        <v>21</v>
      </c>
      <c r="I380" s="3">
        <v>9.42</v>
      </c>
      <c r="J380" s="3" t="s">
        <v>42</v>
      </c>
    </row>
    <row r="381" spans="1:10" x14ac:dyDescent="0.25">
      <c r="A381" s="1">
        <v>81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"2026-05-12 23:32:15.585"</f>
        <v>2026-05-12 23:32:15.585</v>
      </c>
      <c r="H381" t="s">
        <v>21</v>
      </c>
      <c r="I381">
        <v>0</v>
      </c>
      <c r="J381" t="s">
        <v>22</v>
      </c>
    </row>
    <row r="382" spans="1:10" x14ac:dyDescent="0.25">
      <c r="A382" s="1">
        <v>82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"2026-05-12 23:10:39.505"</f>
        <v>2026-05-12 23:10:39.505</v>
      </c>
      <c r="H382" t="s">
        <v>21</v>
      </c>
    </row>
    <row r="383" spans="1:10" x14ac:dyDescent="0.25">
      <c r="A383" s="1">
        <v>83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"2026-05-12 22:41:40.519"</f>
        <v>2026-05-12 22:41:40.519</v>
      </c>
      <c r="H383" t="s">
        <v>21</v>
      </c>
      <c r="I383">
        <v>0</v>
      </c>
      <c r="J383" t="s">
        <v>22</v>
      </c>
    </row>
    <row r="384" spans="1:10" x14ac:dyDescent="0.25">
      <c r="A384" s="1">
        <v>84</v>
      </c>
      <c r="B384" t="s">
        <v>19</v>
      </c>
      <c r="C384">
        <v>700</v>
      </c>
      <c r="D384">
        <v>0</v>
      </c>
      <c r="E384" t="s">
        <v>20</v>
      </c>
      <c r="F384" t="s">
        <v>20</v>
      </c>
      <c r="G384" t="str">
        <f>"2026-05-12 22:37:24.518"</f>
        <v>2026-05-12 22:37:24.518</v>
      </c>
      <c r="H384" t="s">
        <v>21</v>
      </c>
      <c r="I384">
        <v>0</v>
      </c>
      <c r="J384" t="s">
        <v>22</v>
      </c>
    </row>
    <row r="385" spans="1:10" x14ac:dyDescent="0.25">
      <c r="A385" s="1">
        <v>85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"2026-05-12 22:35:53.512"</f>
        <v>2026-05-12 22:35:53.512</v>
      </c>
      <c r="H385" t="s">
        <v>21</v>
      </c>
      <c r="I385">
        <v>0</v>
      </c>
      <c r="J385" t="s">
        <v>22</v>
      </c>
    </row>
    <row r="386" spans="1:10" x14ac:dyDescent="0.25">
      <c r="A386" s="1">
        <v>86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"2026-05-12 22:33:11.512"</f>
        <v>2026-05-12 22:33:11.512</v>
      </c>
      <c r="H386" t="s">
        <v>21</v>
      </c>
      <c r="I386">
        <v>0</v>
      </c>
      <c r="J386" t="s">
        <v>22</v>
      </c>
    </row>
    <row r="387" spans="1:10" x14ac:dyDescent="0.25">
      <c r="A387" s="1">
        <v>87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"2026-05-12 22:29:03.515"</f>
        <v>2026-05-12 22:29:03.515</v>
      </c>
      <c r="H387" t="s">
        <v>21</v>
      </c>
      <c r="I387">
        <v>0</v>
      </c>
      <c r="J387" t="s">
        <v>22</v>
      </c>
    </row>
    <row r="388" spans="1:10" x14ac:dyDescent="0.25">
      <c r="A388" s="1">
        <v>88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"2026-05-12 22:26:59.523"</f>
        <v>2026-05-12 22:26:59.523</v>
      </c>
      <c r="H388" t="s">
        <v>21</v>
      </c>
      <c r="I388">
        <v>0</v>
      </c>
      <c r="J388" t="s">
        <v>22</v>
      </c>
    </row>
    <row r="389" spans="1:10" x14ac:dyDescent="0.25">
      <c r="A389" s="1">
        <v>89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"2026-05-12 22:22:55.522"</f>
        <v>2026-05-12 22:22:55.522</v>
      </c>
      <c r="H389" t="s">
        <v>21</v>
      </c>
      <c r="I389">
        <v>0</v>
      </c>
      <c r="J389" t="s">
        <v>22</v>
      </c>
    </row>
    <row r="390" spans="1:10" x14ac:dyDescent="0.25">
      <c r="A390" s="1">
        <v>90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"2026-05-12 22:17:32.521"</f>
        <v>2026-05-12 22:17:32.521</v>
      </c>
      <c r="H390" t="s">
        <v>21</v>
      </c>
      <c r="I390">
        <v>0</v>
      </c>
      <c r="J390" t="s">
        <v>22</v>
      </c>
    </row>
    <row r="391" spans="1:10" x14ac:dyDescent="0.25">
      <c r="A391" s="1">
        <v>91</v>
      </c>
      <c r="B391" t="s">
        <v>19</v>
      </c>
      <c r="C391">
        <v>700</v>
      </c>
      <c r="D391">
        <v>0</v>
      </c>
      <c r="E391" t="s">
        <v>20</v>
      </c>
      <c r="F391" t="s">
        <v>20</v>
      </c>
      <c r="G391" t="str">
        <f>"2026-05-12 22:15:48.738"</f>
        <v>2026-05-12 22:15:48.738</v>
      </c>
      <c r="H391" t="s">
        <v>21</v>
      </c>
      <c r="I391">
        <v>0</v>
      </c>
      <c r="J391" t="s">
        <v>22</v>
      </c>
    </row>
    <row r="392" spans="1:10" x14ac:dyDescent="0.25">
      <c r="A392" s="1">
        <v>92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"2026-05-12 22:08:39.577"</f>
        <v>2026-05-12 22:08:39.577</v>
      </c>
      <c r="H392" t="s">
        <v>21</v>
      </c>
      <c r="I392">
        <v>0</v>
      </c>
      <c r="J392" t="s">
        <v>22</v>
      </c>
    </row>
    <row r="393" spans="1:10" x14ac:dyDescent="0.25">
      <c r="A393" s="1">
        <v>93</v>
      </c>
      <c r="B393" t="s">
        <v>19</v>
      </c>
      <c r="C393">
        <v>706</v>
      </c>
      <c r="D393">
        <v>4</v>
      </c>
      <c r="E393" t="s">
        <v>31</v>
      </c>
      <c r="F393" t="s">
        <v>32</v>
      </c>
      <c r="G393" t="str">
        <f>"2026-05-12 21:00:54.991"</f>
        <v>2026-05-12 21:00:54.991</v>
      </c>
      <c r="H393" t="s">
        <v>21</v>
      </c>
      <c r="I393">
        <v>0</v>
      </c>
      <c r="J393" t="s">
        <v>33</v>
      </c>
    </row>
    <row r="394" spans="1:10" x14ac:dyDescent="0.25">
      <c r="A394" s="1">
        <v>94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"2026-05-11 22:23:10.511"</f>
        <v>2026-05-11 22:23:10.511</v>
      </c>
      <c r="H394" t="s">
        <v>21</v>
      </c>
      <c r="I394">
        <v>0</v>
      </c>
      <c r="J394" t="s">
        <v>22</v>
      </c>
    </row>
    <row r="395" spans="1:10" x14ac:dyDescent="0.25">
      <c r="A395" s="1">
        <v>95</v>
      </c>
      <c r="B395" t="s">
        <v>26</v>
      </c>
      <c r="C395">
        <v>635</v>
      </c>
      <c r="D395">
        <v>1</v>
      </c>
      <c r="E395" t="s">
        <v>38</v>
      </c>
      <c r="F395" t="s">
        <v>39</v>
      </c>
      <c r="G395" t="str">
        <f>"2026-05-11 01:12:04.872"</f>
        <v>2026-05-11 01:12:04.872</v>
      </c>
      <c r="H395" t="s">
        <v>21</v>
      </c>
    </row>
    <row r="396" spans="1:10" x14ac:dyDescent="0.25">
      <c r="A396" s="1">
        <v>96</v>
      </c>
      <c r="B396" t="s">
        <v>36</v>
      </c>
      <c r="C396">
        <v>635</v>
      </c>
      <c r="D396">
        <v>1</v>
      </c>
      <c r="E396" t="s">
        <v>38</v>
      </c>
      <c r="F396" t="s">
        <v>39</v>
      </c>
      <c r="G396" t="str">
        <f>"2026-05-11 01:08:05.972"</f>
        <v>2026-05-11 01:08:05.972</v>
      </c>
      <c r="H396" t="s">
        <v>21</v>
      </c>
      <c r="I396">
        <v>6.26</v>
      </c>
      <c r="J396" t="s">
        <v>30</v>
      </c>
    </row>
    <row r="397" spans="1:10" x14ac:dyDescent="0.25">
      <c r="A397" s="1">
        <v>97</v>
      </c>
      <c r="B397" t="s">
        <v>26</v>
      </c>
      <c r="C397">
        <v>635</v>
      </c>
      <c r="D397">
        <v>1</v>
      </c>
      <c r="E397" t="s">
        <v>38</v>
      </c>
      <c r="F397" t="s">
        <v>39</v>
      </c>
      <c r="G397" t="str">
        <f>"2026-05-10 09:35:26.572"</f>
        <v>2026-05-10 09:35:26.572</v>
      </c>
      <c r="H397" t="s">
        <v>21</v>
      </c>
    </row>
    <row r="398" spans="1:10" x14ac:dyDescent="0.25">
      <c r="A398" s="1">
        <v>98</v>
      </c>
      <c r="B398" t="s">
        <v>36</v>
      </c>
      <c r="C398">
        <v>635</v>
      </c>
      <c r="D398">
        <v>1</v>
      </c>
      <c r="E398" t="s">
        <v>38</v>
      </c>
      <c r="F398" t="s">
        <v>39</v>
      </c>
      <c r="G398" t="str">
        <f>"2026-05-10 09:28:44.572"</f>
        <v>2026-05-10 09:28:44.572</v>
      </c>
      <c r="H398" t="s">
        <v>21</v>
      </c>
      <c r="I398">
        <v>4.67</v>
      </c>
      <c r="J398" t="s">
        <v>37</v>
      </c>
    </row>
    <row r="399" spans="1:10" x14ac:dyDescent="0.25">
      <c r="A399" s="1">
        <v>99</v>
      </c>
      <c r="B399" t="s">
        <v>19</v>
      </c>
      <c r="C399">
        <v>706</v>
      </c>
      <c r="D399">
        <v>4</v>
      </c>
      <c r="E399" t="s">
        <v>31</v>
      </c>
      <c r="F399" t="s">
        <v>32</v>
      </c>
      <c r="G399" t="str">
        <f>"2026-05-09 13:41:30.275"</f>
        <v>2026-05-09 13:41:30.275</v>
      </c>
      <c r="H399" t="s">
        <v>21</v>
      </c>
      <c r="I399">
        <v>0</v>
      </c>
      <c r="J399" t="s">
        <v>33</v>
      </c>
    </row>
    <row r="400" spans="1:10" x14ac:dyDescent="0.25">
      <c r="A400" s="1">
        <v>0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"2026-05-09 13:40:36.515"</f>
        <v>2026-05-09 13:40:36.515</v>
      </c>
      <c r="H400" t="s">
        <v>21</v>
      </c>
    </row>
    <row r="401" spans="1:10" x14ac:dyDescent="0.25">
      <c r="A401" s="1">
        <v>1</v>
      </c>
      <c r="B401" t="s">
        <v>26</v>
      </c>
      <c r="C401">
        <v>635</v>
      </c>
      <c r="D401">
        <v>1</v>
      </c>
      <c r="E401" t="s">
        <v>38</v>
      </c>
      <c r="F401" t="s">
        <v>39</v>
      </c>
      <c r="G401" t="str">
        <f>"2026-05-08 21:01:26.315"</f>
        <v>2026-05-08 21:01:26.315</v>
      </c>
      <c r="H401" t="s">
        <v>21</v>
      </c>
    </row>
    <row r="402" spans="1:10" x14ac:dyDescent="0.25">
      <c r="A402" s="1">
        <v>2</v>
      </c>
      <c r="B402" t="s">
        <v>36</v>
      </c>
      <c r="C402">
        <v>635</v>
      </c>
      <c r="D402">
        <v>1</v>
      </c>
      <c r="E402" t="s">
        <v>38</v>
      </c>
      <c r="F402" t="s">
        <v>39</v>
      </c>
      <c r="G402" t="str">
        <f>"2026-05-08 20:54:24.315"</f>
        <v>2026-05-08 20:54:24.315</v>
      </c>
      <c r="H402" t="s">
        <v>21</v>
      </c>
      <c r="I402">
        <v>1.17</v>
      </c>
      <c r="J402" t="s">
        <v>37</v>
      </c>
    </row>
    <row r="403" spans="1:10" x14ac:dyDescent="0.25">
      <c r="A403" s="1">
        <v>3</v>
      </c>
      <c r="B403" t="s">
        <v>26</v>
      </c>
      <c r="C403">
        <v>635</v>
      </c>
      <c r="D403">
        <v>1</v>
      </c>
      <c r="E403" t="s">
        <v>38</v>
      </c>
      <c r="F403" t="s">
        <v>39</v>
      </c>
      <c r="G403" t="str">
        <f>"2026-05-07 09:44:56.315"</f>
        <v>2026-05-07 09:44:56.315</v>
      </c>
      <c r="H403" t="s">
        <v>21</v>
      </c>
    </row>
    <row r="404" spans="1:10" x14ac:dyDescent="0.25">
      <c r="A404" s="1">
        <v>4</v>
      </c>
      <c r="B404" t="s">
        <v>36</v>
      </c>
      <c r="C404">
        <v>635</v>
      </c>
      <c r="D404">
        <v>1</v>
      </c>
      <c r="E404" t="s">
        <v>38</v>
      </c>
      <c r="F404" t="s">
        <v>39</v>
      </c>
      <c r="G404" t="str">
        <f>"2026-05-07 09:38:49.815"</f>
        <v>2026-05-07 09:38:49.815</v>
      </c>
      <c r="H404" t="s">
        <v>21</v>
      </c>
      <c r="I404">
        <v>2.58</v>
      </c>
      <c r="J404" t="s">
        <v>30</v>
      </c>
    </row>
    <row r="405" spans="1:10" x14ac:dyDescent="0.25">
      <c r="A405" s="1">
        <v>5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"2026-05-04 21:25:53.535"</f>
        <v>2026-05-04 21:25:53.535</v>
      </c>
      <c r="H405" t="s">
        <v>21</v>
      </c>
    </row>
    <row r="406" spans="1:10" x14ac:dyDescent="0.25">
      <c r="A406" s="1">
        <v>6</v>
      </c>
      <c r="B406" t="s">
        <v>19</v>
      </c>
      <c r="C406">
        <v>706</v>
      </c>
      <c r="D406">
        <v>4</v>
      </c>
      <c r="E406" t="s">
        <v>31</v>
      </c>
      <c r="F406" t="s">
        <v>32</v>
      </c>
      <c r="G406" t="str">
        <f>"2026-05-04 16:57:37.729"</f>
        <v>2026-05-04 16:57:37.729</v>
      </c>
      <c r="H406" t="s">
        <v>21</v>
      </c>
      <c r="I406">
        <v>0</v>
      </c>
      <c r="J406" t="s">
        <v>33</v>
      </c>
    </row>
    <row r="407" spans="1:10" x14ac:dyDescent="0.25">
      <c r="A407" s="1">
        <v>7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"2026-05-04 16:55:16.499"</f>
        <v>2026-05-04 16:55:16.499</v>
      </c>
      <c r="H407" t="s">
        <v>21</v>
      </c>
      <c r="I407">
        <v>0</v>
      </c>
      <c r="J407" t="s">
        <v>22</v>
      </c>
    </row>
    <row r="408" spans="1:10" x14ac:dyDescent="0.25">
      <c r="A408" s="1">
        <v>8</v>
      </c>
      <c r="B408" t="s">
        <v>29</v>
      </c>
      <c r="C408">
        <v>204</v>
      </c>
      <c r="D408">
        <v>1</v>
      </c>
      <c r="E408" t="s">
        <v>71</v>
      </c>
      <c r="F408" t="s">
        <v>72</v>
      </c>
      <c r="G408" t="str">
        <f>"2026-05-04 14:16:11.197"</f>
        <v>2026-05-04 14:16:11.197</v>
      </c>
      <c r="H408" t="s">
        <v>57</v>
      </c>
      <c r="I408">
        <v>16.61</v>
      </c>
      <c r="J408" t="s">
        <v>42</v>
      </c>
    </row>
    <row r="409" spans="1:10" x14ac:dyDescent="0.25">
      <c r="A409" s="1">
        <v>9</v>
      </c>
      <c r="B409" t="s">
        <v>29</v>
      </c>
      <c r="C409">
        <v>104</v>
      </c>
      <c r="D409">
        <v>1</v>
      </c>
      <c r="E409" t="s">
        <v>73</v>
      </c>
      <c r="F409" t="s">
        <v>72</v>
      </c>
      <c r="G409" t="str">
        <f>"2026-05-04 14:16:11.191"</f>
        <v>2026-05-04 14:16:11.191</v>
      </c>
      <c r="H409" t="s">
        <v>60</v>
      </c>
      <c r="I409">
        <v>16.61</v>
      </c>
      <c r="J409" t="s">
        <v>42</v>
      </c>
    </row>
    <row r="410" spans="1:10" x14ac:dyDescent="0.25">
      <c r="A410" s="1">
        <v>10</v>
      </c>
      <c r="B410" t="s">
        <v>26</v>
      </c>
      <c r="C410">
        <v>635</v>
      </c>
      <c r="D410">
        <v>1</v>
      </c>
      <c r="E410" t="s">
        <v>38</v>
      </c>
      <c r="F410" t="s">
        <v>39</v>
      </c>
      <c r="G410" t="str">
        <f>"2026-05-04 11:21:56.055"</f>
        <v>2026-05-04 11:21:56.055</v>
      </c>
      <c r="H410" t="s">
        <v>21</v>
      </c>
    </row>
    <row r="411" spans="1:10" x14ac:dyDescent="0.25">
      <c r="A411" s="1">
        <v>11</v>
      </c>
      <c r="B411" t="s">
        <v>36</v>
      </c>
      <c r="C411">
        <v>635</v>
      </c>
      <c r="D411">
        <v>1</v>
      </c>
      <c r="E411" t="s">
        <v>38</v>
      </c>
      <c r="F411" t="s">
        <v>39</v>
      </c>
      <c r="G411" t="str">
        <f>"2026-05-04 11:17:45.055"</f>
        <v>2026-05-04 11:17:45.055</v>
      </c>
      <c r="H411" t="s">
        <v>21</v>
      </c>
      <c r="I411">
        <v>3.25</v>
      </c>
      <c r="J411" t="s">
        <v>37</v>
      </c>
    </row>
    <row r="412" spans="1:10" x14ac:dyDescent="0.25">
      <c r="A412" s="1">
        <v>12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"2026-05-04 09:01:09.538"</f>
        <v>2026-05-04 09:01:09.538</v>
      </c>
      <c r="H412" t="s">
        <v>21</v>
      </c>
      <c r="I412">
        <v>0</v>
      </c>
      <c r="J412" t="s">
        <v>22</v>
      </c>
    </row>
    <row r="413" spans="1:10" x14ac:dyDescent="0.25">
      <c r="A413" s="1">
        <v>13</v>
      </c>
      <c r="B413" t="s">
        <v>26</v>
      </c>
      <c r="C413">
        <v>635</v>
      </c>
      <c r="D413">
        <v>1</v>
      </c>
      <c r="E413" t="s">
        <v>38</v>
      </c>
      <c r="F413" t="s">
        <v>39</v>
      </c>
      <c r="G413" t="str">
        <f>"2026-05-04 03:20:04.153"</f>
        <v>2026-05-04 03:20:04.153</v>
      </c>
      <c r="H413" t="s">
        <v>21</v>
      </c>
    </row>
    <row r="414" spans="1:10" x14ac:dyDescent="0.25">
      <c r="A414" s="1">
        <v>14</v>
      </c>
      <c r="B414" t="s">
        <v>36</v>
      </c>
      <c r="C414">
        <v>635</v>
      </c>
      <c r="D414">
        <v>1</v>
      </c>
      <c r="E414" t="s">
        <v>38</v>
      </c>
      <c r="F414" t="s">
        <v>39</v>
      </c>
      <c r="G414" t="str">
        <f>"2026-05-04 03:06:50.153"</f>
        <v>2026-05-04 03:06:50.153</v>
      </c>
      <c r="H414" t="s">
        <v>21</v>
      </c>
      <c r="I414">
        <v>9.68</v>
      </c>
      <c r="J414" t="s">
        <v>42</v>
      </c>
    </row>
    <row r="415" spans="1:10" x14ac:dyDescent="0.25">
      <c r="A415" s="1">
        <v>15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"2026-05-03 13:54:17.536"</f>
        <v>2026-05-03 13:54:17.536</v>
      </c>
      <c r="H415" t="s">
        <v>21</v>
      </c>
      <c r="I415">
        <v>0</v>
      </c>
      <c r="J415" t="s">
        <v>22</v>
      </c>
    </row>
    <row r="416" spans="1:10" x14ac:dyDescent="0.25">
      <c r="A416" s="1">
        <v>16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"2026-05-02 05:31:40.664"</f>
        <v>2026-05-02 05:31:40.664</v>
      </c>
      <c r="H416" t="s">
        <v>21</v>
      </c>
      <c r="I416">
        <v>0</v>
      </c>
      <c r="J416" t="s">
        <v>22</v>
      </c>
    </row>
    <row r="417" spans="1:10" x14ac:dyDescent="0.25">
      <c r="A417" s="1">
        <v>17</v>
      </c>
      <c r="B417" t="s">
        <v>19</v>
      </c>
      <c r="C417">
        <v>706</v>
      </c>
      <c r="D417">
        <v>4</v>
      </c>
      <c r="E417" t="s">
        <v>31</v>
      </c>
      <c r="F417" t="s">
        <v>32</v>
      </c>
      <c r="G417" t="str">
        <f>"2026-05-02 05:08:53.247"</f>
        <v>2026-05-02 05:08:53.247</v>
      </c>
      <c r="H417" t="s">
        <v>21</v>
      </c>
      <c r="I417">
        <v>0</v>
      </c>
      <c r="J417" t="s">
        <v>33</v>
      </c>
    </row>
    <row r="418" spans="1:10" x14ac:dyDescent="0.25">
      <c r="A418" s="1">
        <v>18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"2026-05-02 05:01:59.497"</f>
        <v>2026-05-02 05:01:59.497</v>
      </c>
      <c r="H418" t="s">
        <v>21</v>
      </c>
      <c r="I418">
        <v>0</v>
      </c>
      <c r="J418" t="s">
        <v>22</v>
      </c>
    </row>
    <row r="419" spans="1:10" x14ac:dyDescent="0.25">
      <c r="A419" s="1">
        <v>19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"2026-05-02 02:43:40.572"</f>
        <v>2026-05-02 02:43:40.572</v>
      </c>
      <c r="H419" t="s">
        <v>21</v>
      </c>
    </row>
    <row r="420" spans="1:10" x14ac:dyDescent="0.25">
      <c r="A420" s="1">
        <v>20</v>
      </c>
      <c r="B420" t="s">
        <v>19</v>
      </c>
      <c r="C420">
        <v>700</v>
      </c>
      <c r="D420">
        <v>0</v>
      </c>
      <c r="E420" t="s">
        <v>20</v>
      </c>
      <c r="F420" t="s">
        <v>20</v>
      </c>
      <c r="G420" t="str">
        <f>"2026-05-02 02:37:09.553"</f>
        <v>2026-05-02 02:37:09.553</v>
      </c>
      <c r="H420" t="s">
        <v>21</v>
      </c>
    </row>
    <row r="421" spans="1:10" s="3" customFormat="1" x14ac:dyDescent="0.25">
      <c r="A421" s="2">
        <v>21</v>
      </c>
      <c r="B421" s="3" t="s">
        <v>26</v>
      </c>
      <c r="C421" s="3">
        <v>647</v>
      </c>
      <c r="D421" s="3">
        <v>1</v>
      </c>
      <c r="E421" s="3" t="s">
        <v>40</v>
      </c>
      <c r="F421" s="3" t="s">
        <v>41</v>
      </c>
      <c r="G421" s="3" t="str">
        <f>"2026-05-01 23:38:07.889"</f>
        <v>2026-05-01 23:38:07.889</v>
      </c>
      <c r="H421" s="3" t="s">
        <v>21</v>
      </c>
    </row>
    <row r="422" spans="1:10" s="3" customFormat="1" x14ac:dyDescent="0.25">
      <c r="A422" s="2">
        <v>22</v>
      </c>
      <c r="B422" s="3" t="s">
        <v>36</v>
      </c>
      <c r="C422" s="3">
        <v>647</v>
      </c>
      <c r="D422" s="3">
        <v>1</v>
      </c>
      <c r="E422" s="3" t="s">
        <v>40</v>
      </c>
      <c r="F422" s="3" t="s">
        <v>41</v>
      </c>
      <c r="G422" s="3" t="str">
        <f>"2026-05-01 23:38:06.189"</f>
        <v>2026-05-01 23:38:06.189</v>
      </c>
      <c r="H422" s="3" t="s">
        <v>21</v>
      </c>
      <c r="I422" s="3">
        <v>9.75</v>
      </c>
      <c r="J422" s="3" t="s">
        <v>42</v>
      </c>
    </row>
    <row r="423" spans="1:10" s="3" customFormat="1" x14ac:dyDescent="0.25">
      <c r="A423" s="2">
        <v>24</v>
      </c>
      <c r="B423" s="3" t="s">
        <v>26</v>
      </c>
      <c r="C423" s="3">
        <v>647</v>
      </c>
      <c r="D423" s="3">
        <v>1</v>
      </c>
      <c r="E423" s="3" t="s">
        <v>40</v>
      </c>
      <c r="F423" s="3" t="s">
        <v>41</v>
      </c>
      <c r="G423" s="3" t="str">
        <f>"2026-05-01 20:32:03.189"</f>
        <v>2026-05-01 20:32:03.189</v>
      </c>
      <c r="H423" s="3" t="s">
        <v>21</v>
      </c>
    </row>
    <row r="424" spans="1:10" s="3" customFormat="1" x14ac:dyDescent="0.25">
      <c r="A424" s="2">
        <v>25</v>
      </c>
      <c r="B424" s="3" t="s">
        <v>36</v>
      </c>
      <c r="C424" s="3">
        <v>647</v>
      </c>
      <c r="D424" s="3">
        <v>1</v>
      </c>
      <c r="E424" s="3" t="s">
        <v>40</v>
      </c>
      <c r="F424" s="3" t="s">
        <v>41</v>
      </c>
      <c r="G424" s="3" t="str">
        <f>"2026-05-01 20:32:00.289"</f>
        <v>2026-05-01 20:32:00.289</v>
      </c>
      <c r="H424" s="3" t="s">
        <v>21</v>
      </c>
      <c r="I424" s="3">
        <v>10.27</v>
      </c>
      <c r="J424" s="3" t="s">
        <v>42</v>
      </c>
    </row>
    <row r="425" spans="1:10" x14ac:dyDescent="0.25">
      <c r="A425" s="1">
        <v>26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"2026-05-01 20:12:42.497"</f>
        <v>2026-05-01 20:12:42.497</v>
      </c>
      <c r="H425" t="s">
        <v>21</v>
      </c>
      <c r="I425">
        <v>0</v>
      </c>
      <c r="J425" t="s">
        <v>22</v>
      </c>
    </row>
    <row r="426" spans="1:10" x14ac:dyDescent="0.25">
      <c r="A426" s="1">
        <v>27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"2026-05-01 19:50:02.492"</f>
        <v>2026-05-01 19:50:02.492</v>
      </c>
      <c r="H426" t="s">
        <v>21</v>
      </c>
      <c r="I426">
        <v>0</v>
      </c>
      <c r="J426" t="s">
        <v>22</v>
      </c>
    </row>
    <row r="427" spans="1:10" x14ac:dyDescent="0.25">
      <c r="A427" s="1">
        <v>28</v>
      </c>
      <c r="B427" t="s">
        <v>19</v>
      </c>
      <c r="C427">
        <v>706</v>
      </c>
      <c r="D427">
        <v>2</v>
      </c>
      <c r="E427" t="s">
        <v>31</v>
      </c>
      <c r="F427" t="s">
        <v>43</v>
      </c>
      <c r="G427" t="str">
        <f>"2026-05-01 17:17:40.708"</f>
        <v>2026-05-01 17:17:40.708</v>
      </c>
      <c r="H427" t="s">
        <v>21</v>
      </c>
      <c r="I427">
        <v>0</v>
      </c>
      <c r="J427" t="s">
        <v>33</v>
      </c>
    </row>
    <row r="428" spans="1:10" x14ac:dyDescent="0.25">
      <c r="A428" s="1">
        <v>29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"2026-05-01 17:17:18.698"</f>
        <v>2026-05-01 17:17:18.698</v>
      </c>
      <c r="H428" t="s">
        <v>21</v>
      </c>
    </row>
    <row r="429" spans="1:10" x14ac:dyDescent="0.25">
      <c r="A429" s="1">
        <v>30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"2026-05-01 16:32:54.500"</f>
        <v>2026-05-01 16:32:54.500</v>
      </c>
      <c r="H429" t="s">
        <v>21</v>
      </c>
    </row>
    <row r="430" spans="1:10" x14ac:dyDescent="0.25">
      <c r="A430" s="1">
        <v>31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"2026-05-01 14:55:08.499"</f>
        <v>2026-05-01 14:55:08.499</v>
      </c>
      <c r="H430" t="s">
        <v>21</v>
      </c>
    </row>
    <row r="431" spans="1:10" x14ac:dyDescent="0.25">
      <c r="A431" s="1">
        <v>32</v>
      </c>
      <c r="B431" t="s">
        <v>19</v>
      </c>
      <c r="C431">
        <v>706</v>
      </c>
      <c r="D431">
        <v>4</v>
      </c>
      <c r="E431" t="s">
        <v>31</v>
      </c>
      <c r="F431" t="s">
        <v>32</v>
      </c>
      <c r="G431" t="str">
        <f>"2026-05-01 14:02:36.050"</f>
        <v>2026-05-01 14:02:36.050</v>
      </c>
      <c r="H431" t="s">
        <v>21</v>
      </c>
      <c r="I431">
        <v>0</v>
      </c>
      <c r="J431" t="s">
        <v>33</v>
      </c>
    </row>
    <row r="432" spans="1:10" x14ac:dyDescent="0.25">
      <c r="A432" s="1">
        <v>33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"2026-05-01 13:58:02.490"</f>
        <v>2026-05-01 13:58:02.490</v>
      </c>
      <c r="H432" t="s">
        <v>21</v>
      </c>
      <c r="I432">
        <v>0</v>
      </c>
      <c r="J432" t="s">
        <v>22</v>
      </c>
    </row>
    <row r="433" spans="1:10" x14ac:dyDescent="0.25">
      <c r="A433" s="1">
        <v>34</v>
      </c>
      <c r="B433" t="s">
        <v>19</v>
      </c>
      <c r="C433">
        <v>706</v>
      </c>
      <c r="D433">
        <v>2</v>
      </c>
      <c r="E433" t="s">
        <v>31</v>
      </c>
      <c r="F433" t="s">
        <v>43</v>
      </c>
      <c r="G433" t="str">
        <f>"2026-05-01 12:48:43.621"</f>
        <v>2026-05-01 12:48:43.621</v>
      </c>
      <c r="H433" t="s">
        <v>21</v>
      </c>
      <c r="I433">
        <v>0</v>
      </c>
      <c r="J433" t="s">
        <v>33</v>
      </c>
    </row>
    <row r="434" spans="1:10" x14ac:dyDescent="0.25">
      <c r="A434" s="1">
        <v>35</v>
      </c>
      <c r="B434" t="s">
        <v>19</v>
      </c>
      <c r="C434">
        <v>706</v>
      </c>
      <c r="D434">
        <v>2</v>
      </c>
      <c r="E434" t="s">
        <v>31</v>
      </c>
      <c r="F434" t="s">
        <v>43</v>
      </c>
      <c r="G434" t="str">
        <f>"2026-05-01 12:29:34.921"</f>
        <v>2026-05-01 12:29:34.921</v>
      </c>
      <c r="H434" t="s">
        <v>21</v>
      </c>
      <c r="I434">
        <v>0</v>
      </c>
      <c r="J434" t="s">
        <v>33</v>
      </c>
    </row>
    <row r="435" spans="1:10" x14ac:dyDescent="0.25">
      <c r="A435" s="1">
        <v>36</v>
      </c>
      <c r="B435" t="s">
        <v>19</v>
      </c>
      <c r="C435">
        <v>706</v>
      </c>
      <c r="D435">
        <v>2</v>
      </c>
      <c r="E435" t="s">
        <v>31</v>
      </c>
      <c r="F435" t="s">
        <v>43</v>
      </c>
      <c r="G435" t="str">
        <f>"2026-05-01 12:16:55.121"</f>
        <v>2026-05-01 12:16:55.121</v>
      </c>
      <c r="H435" t="s">
        <v>21</v>
      </c>
      <c r="I435">
        <v>0</v>
      </c>
      <c r="J435" t="s">
        <v>33</v>
      </c>
    </row>
    <row r="436" spans="1:10" x14ac:dyDescent="0.25">
      <c r="A436" s="1">
        <v>37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"2026-05-01 12:09:53.491"</f>
        <v>2026-05-01 12:09:53.491</v>
      </c>
      <c r="H436" t="s">
        <v>21</v>
      </c>
    </row>
    <row r="437" spans="1:10" s="3" customFormat="1" x14ac:dyDescent="0.25">
      <c r="A437" s="2">
        <v>38</v>
      </c>
      <c r="B437" s="3" t="s">
        <v>26</v>
      </c>
      <c r="C437" s="3">
        <v>647</v>
      </c>
      <c r="D437" s="3">
        <v>1</v>
      </c>
      <c r="E437" s="3" t="s">
        <v>40</v>
      </c>
      <c r="F437" s="3" t="s">
        <v>41</v>
      </c>
      <c r="G437" s="3" t="str">
        <f>"2026-05-01 01:26:30.726"</f>
        <v>2026-05-01 01:26:30.726</v>
      </c>
      <c r="H437" s="3" t="s">
        <v>21</v>
      </c>
    </row>
    <row r="438" spans="1:10" s="3" customFormat="1" x14ac:dyDescent="0.25">
      <c r="A438" s="2">
        <v>39</v>
      </c>
      <c r="B438" s="3" t="s">
        <v>36</v>
      </c>
      <c r="C438" s="3">
        <v>647</v>
      </c>
      <c r="D438" s="3">
        <v>1</v>
      </c>
      <c r="E438" s="3" t="s">
        <v>40</v>
      </c>
      <c r="F438" s="3" t="s">
        <v>41</v>
      </c>
      <c r="G438" s="3" t="str">
        <f>"2026-05-01 01:26:22.926"</f>
        <v>2026-05-01 01:26:22.926</v>
      </c>
      <c r="H438" s="3" t="s">
        <v>21</v>
      </c>
      <c r="I438" s="3">
        <v>11.71</v>
      </c>
      <c r="J438" s="3" t="s">
        <v>42</v>
      </c>
    </row>
    <row r="439" spans="1:10" x14ac:dyDescent="0.25">
      <c r="A439" s="1">
        <v>40</v>
      </c>
      <c r="B439" t="s">
        <v>26</v>
      </c>
      <c r="C439">
        <v>635</v>
      </c>
      <c r="D439">
        <v>1</v>
      </c>
      <c r="E439" t="s">
        <v>38</v>
      </c>
      <c r="F439" t="s">
        <v>39</v>
      </c>
      <c r="G439" t="str">
        <f>"2026-04-30 23:24:01.678"</f>
        <v>2026-04-30 23:24:01.678</v>
      </c>
      <c r="H439" t="s">
        <v>21</v>
      </c>
    </row>
    <row r="440" spans="1:10" x14ac:dyDescent="0.25">
      <c r="A440" s="1">
        <v>41</v>
      </c>
      <c r="B440" t="s">
        <v>36</v>
      </c>
      <c r="C440">
        <v>635</v>
      </c>
      <c r="D440">
        <v>1</v>
      </c>
      <c r="E440" t="s">
        <v>38</v>
      </c>
      <c r="F440" t="s">
        <v>39</v>
      </c>
      <c r="G440" t="str">
        <f>"2026-04-30 23:21:31.178"</f>
        <v>2026-04-30 23:21:31.178</v>
      </c>
      <c r="H440" t="s">
        <v>21</v>
      </c>
      <c r="I440">
        <v>1.06</v>
      </c>
      <c r="J440" t="s">
        <v>30</v>
      </c>
    </row>
    <row r="441" spans="1:10" x14ac:dyDescent="0.25">
      <c r="A441" s="1">
        <v>42</v>
      </c>
      <c r="B441" t="s">
        <v>19</v>
      </c>
      <c r="C441">
        <v>706</v>
      </c>
      <c r="D441">
        <v>4</v>
      </c>
      <c r="E441" t="s">
        <v>31</v>
      </c>
      <c r="F441" t="s">
        <v>32</v>
      </c>
      <c r="G441" t="str">
        <f>"2026-04-30 21:33:11.149"</f>
        <v>2026-04-30 21:33:11.149</v>
      </c>
      <c r="H441" t="s">
        <v>21</v>
      </c>
      <c r="I441">
        <v>0</v>
      </c>
      <c r="J441" t="s">
        <v>33</v>
      </c>
    </row>
    <row r="442" spans="1:10" x14ac:dyDescent="0.25">
      <c r="A442" s="1">
        <v>43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"2026-04-30 21:30:03.499"</f>
        <v>2026-04-30 21:30:03.499</v>
      </c>
      <c r="H442" t="s">
        <v>21</v>
      </c>
      <c r="I442">
        <v>0</v>
      </c>
      <c r="J442" t="s">
        <v>22</v>
      </c>
    </row>
    <row r="443" spans="1:10" x14ac:dyDescent="0.25">
      <c r="A443" s="1">
        <v>44</v>
      </c>
      <c r="B443" t="s">
        <v>19</v>
      </c>
      <c r="C443">
        <v>706</v>
      </c>
      <c r="D443">
        <v>2</v>
      </c>
      <c r="E443" t="s">
        <v>31</v>
      </c>
      <c r="F443" t="s">
        <v>43</v>
      </c>
      <c r="G443" t="str">
        <f>"2026-04-30 21:11:23.255"</f>
        <v>2026-04-30 21:11:23.255</v>
      </c>
      <c r="H443" t="s">
        <v>21</v>
      </c>
      <c r="I443">
        <v>0</v>
      </c>
      <c r="J443" t="s">
        <v>33</v>
      </c>
    </row>
    <row r="444" spans="1:10" x14ac:dyDescent="0.25">
      <c r="A444" s="1">
        <v>45</v>
      </c>
      <c r="B444" t="s">
        <v>19</v>
      </c>
      <c r="C444">
        <v>700</v>
      </c>
      <c r="D444">
        <v>0</v>
      </c>
      <c r="E444" t="s">
        <v>20</v>
      </c>
      <c r="F444" t="s">
        <v>20</v>
      </c>
      <c r="G444" t="str">
        <f>"2026-04-30 21:01:10.765"</f>
        <v>2026-04-30 21:01:10.765</v>
      </c>
      <c r="H444" t="s">
        <v>21</v>
      </c>
      <c r="I444">
        <v>0</v>
      </c>
      <c r="J444" t="s">
        <v>22</v>
      </c>
    </row>
    <row r="445" spans="1:10" x14ac:dyDescent="0.25">
      <c r="A445" s="1">
        <v>46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"2026-04-30 08:31:58.498"</f>
        <v>2026-04-30 08:31:58.498</v>
      </c>
      <c r="H445" t="s">
        <v>21</v>
      </c>
      <c r="I445">
        <v>0</v>
      </c>
      <c r="J445" t="s">
        <v>22</v>
      </c>
    </row>
    <row r="446" spans="1:10" s="3" customFormat="1" x14ac:dyDescent="0.25">
      <c r="A446" s="2">
        <v>47</v>
      </c>
      <c r="B446" s="3" t="s">
        <v>26</v>
      </c>
      <c r="C446" s="3">
        <v>647</v>
      </c>
      <c r="D446" s="3">
        <v>1</v>
      </c>
      <c r="E446" s="3" t="s">
        <v>40</v>
      </c>
      <c r="F446" s="3" t="s">
        <v>41</v>
      </c>
      <c r="G446" s="3" t="str">
        <f>"2026-04-30 06:17:04.893"</f>
        <v>2026-04-30 06:17:04.893</v>
      </c>
      <c r="H446" s="3" t="s">
        <v>21</v>
      </c>
    </row>
    <row r="447" spans="1:10" s="3" customFormat="1" x14ac:dyDescent="0.25">
      <c r="A447" s="2">
        <v>48</v>
      </c>
      <c r="B447" s="3" t="s">
        <v>36</v>
      </c>
      <c r="C447" s="3">
        <v>647</v>
      </c>
      <c r="D447" s="3">
        <v>1</v>
      </c>
      <c r="E447" s="3" t="s">
        <v>40</v>
      </c>
      <c r="F447" s="3" t="s">
        <v>41</v>
      </c>
      <c r="G447" s="3" t="str">
        <f>"2026-04-30 06:16:50.993"</f>
        <v>2026-04-30 06:16:50.993</v>
      </c>
      <c r="H447" s="3" t="s">
        <v>21</v>
      </c>
      <c r="I447" s="3">
        <v>16.11</v>
      </c>
      <c r="J447" s="3" t="s">
        <v>37</v>
      </c>
    </row>
    <row r="448" spans="1:10" x14ac:dyDescent="0.25">
      <c r="A448" s="1">
        <v>49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"2026-04-29 13:21:05.512"</f>
        <v>2026-04-29 13:21:05.512</v>
      </c>
      <c r="H448" t="s">
        <v>21</v>
      </c>
      <c r="I448">
        <v>0</v>
      </c>
      <c r="J448" t="s">
        <v>22</v>
      </c>
    </row>
    <row r="449" spans="1:10" s="3" customFormat="1" x14ac:dyDescent="0.25">
      <c r="A449" s="2">
        <v>50</v>
      </c>
      <c r="B449" s="3" t="s">
        <v>26</v>
      </c>
      <c r="C449" s="3">
        <v>647</v>
      </c>
      <c r="D449" s="3">
        <v>1</v>
      </c>
      <c r="E449" s="3" t="s">
        <v>40</v>
      </c>
      <c r="F449" s="3" t="s">
        <v>41</v>
      </c>
      <c r="G449" s="3" t="str">
        <f>"2026-04-29 10:47:50.185"</f>
        <v>2026-04-29 10:47:50.185</v>
      </c>
      <c r="H449" s="3" t="s">
        <v>21</v>
      </c>
    </row>
    <row r="450" spans="1:10" s="3" customFormat="1" x14ac:dyDescent="0.25">
      <c r="A450" s="2">
        <v>51</v>
      </c>
      <c r="B450" s="3" t="s">
        <v>36</v>
      </c>
      <c r="C450" s="3">
        <v>647</v>
      </c>
      <c r="D450" s="3">
        <v>1</v>
      </c>
      <c r="E450" s="3" t="s">
        <v>40</v>
      </c>
      <c r="F450" s="3" t="s">
        <v>41</v>
      </c>
      <c r="G450" s="3" t="str">
        <f>"2026-04-29 10:47:45.085"</f>
        <v>2026-04-29 10:47:45.085</v>
      </c>
      <c r="H450" s="3" t="s">
        <v>21</v>
      </c>
      <c r="I450" s="3">
        <v>11.98</v>
      </c>
      <c r="J450" s="3" t="s">
        <v>42</v>
      </c>
    </row>
    <row r="451" spans="1:10" x14ac:dyDescent="0.25">
      <c r="A451" s="1">
        <v>52</v>
      </c>
      <c r="B451" t="s">
        <v>26</v>
      </c>
      <c r="C451">
        <v>635</v>
      </c>
      <c r="D451">
        <v>1</v>
      </c>
      <c r="E451" t="s">
        <v>38</v>
      </c>
      <c r="F451" t="s">
        <v>39</v>
      </c>
      <c r="G451" t="str">
        <f>"2026-04-29 10:07:16.584"</f>
        <v>2026-04-29 10:07:16.584</v>
      </c>
      <c r="H451" t="s">
        <v>21</v>
      </c>
    </row>
    <row r="452" spans="1:10" x14ac:dyDescent="0.25">
      <c r="A452" s="1">
        <v>53</v>
      </c>
      <c r="B452" t="s">
        <v>36</v>
      </c>
      <c r="C452">
        <v>635</v>
      </c>
      <c r="D452">
        <v>1</v>
      </c>
      <c r="E452" t="s">
        <v>38</v>
      </c>
      <c r="F452" t="s">
        <v>39</v>
      </c>
      <c r="G452" t="str">
        <f>"2026-04-29 10:04:21.584"</f>
        <v>2026-04-29 10:04:21.584</v>
      </c>
      <c r="H452" t="s">
        <v>21</v>
      </c>
      <c r="I452">
        <v>0.11</v>
      </c>
      <c r="J452" t="s">
        <v>30</v>
      </c>
    </row>
    <row r="453" spans="1:10" x14ac:dyDescent="0.25">
      <c r="A453" s="1">
        <v>54</v>
      </c>
      <c r="B453" t="s">
        <v>26</v>
      </c>
      <c r="C453">
        <v>635</v>
      </c>
      <c r="D453">
        <v>1</v>
      </c>
      <c r="E453" t="s">
        <v>38</v>
      </c>
      <c r="F453" t="s">
        <v>39</v>
      </c>
      <c r="G453" t="str">
        <f>"2026-04-28 13:22:55.084"</f>
        <v>2026-04-28 13:22:55.084</v>
      </c>
      <c r="H453" t="s">
        <v>21</v>
      </c>
    </row>
    <row r="454" spans="1:10" x14ac:dyDescent="0.25">
      <c r="A454" s="1">
        <v>55</v>
      </c>
      <c r="B454" t="s">
        <v>36</v>
      </c>
      <c r="C454">
        <v>635</v>
      </c>
      <c r="D454">
        <v>1</v>
      </c>
      <c r="E454" t="s">
        <v>38</v>
      </c>
      <c r="F454" t="s">
        <v>39</v>
      </c>
      <c r="G454" t="str">
        <f>"2026-04-28 13:20:45.584"</f>
        <v>2026-04-28 13:20:45.584</v>
      </c>
      <c r="H454" t="s">
        <v>21</v>
      </c>
      <c r="I454">
        <v>0.34</v>
      </c>
      <c r="J454" t="s">
        <v>30</v>
      </c>
    </row>
    <row r="455" spans="1:10" x14ac:dyDescent="0.25">
      <c r="A455" s="1">
        <v>56</v>
      </c>
      <c r="B455" t="s">
        <v>19</v>
      </c>
      <c r="C455">
        <v>706</v>
      </c>
      <c r="D455">
        <v>4</v>
      </c>
      <c r="E455" t="s">
        <v>31</v>
      </c>
      <c r="F455" t="s">
        <v>32</v>
      </c>
      <c r="G455" t="str">
        <f>"2026-04-28 12:34:05.933"</f>
        <v>2026-04-28 12:34:05.933</v>
      </c>
      <c r="H455" t="s">
        <v>21</v>
      </c>
      <c r="I455">
        <v>0</v>
      </c>
      <c r="J455" t="s">
        <v>33</v>
      </c>
    </row>
    <row r="456" spans="1:10" x14ac:dyDescent="0.25">
      <c r="A456" s="1">
        <v>57</v>
      </c>
      <c r="B456" t="s">
        <v>26</v>
      </c>
      <c r="C456">
        <v>635</v>
      </c>
      <c r="D456">
        <v>1</v>
      </c>
      <c r="E456" t="s">
        <v>38</v>
      </c>
      <c r="F456" t="s">
        <v>39</v>
      </c>
      <c r="G456" t="str">
        <f>"2026-04-26 18:25:34.284"</f>
        <v>2026-04-26 18:25:34.284</v>
      </c>
      <c r="H456" t="s">
        <v>21</v>
      </c>
    </row>
    <row r="457" spans="1:10" x14ac:dyDescent="0.25">
      <c r="A457" s="1">
        <v>58</v>
      </c>
      <c r="B457" t="s">
        <v>36</v>
      </c>
      <c r="C457">
        <v>635</v>
      </c>
      <c r="D457">
        <v>1</v>
      </c>
      <c r="E457" t="s">
        <v>38</v>
      </c>
      <c r="F457" t="s">
        <v>39</v>
      </c>
      <c r="G457" t="str">
        <f>"2026-04-26 18:22:08.785"</f>
        <v>2026-04-26 18:22:08.785</v>
      </c>
      <c r="H457" t="s">
        <v>21</v>
      </c>
      <c r="I457">
        <v>1.58</v>
      </c>
      <c r="J457" t="s">
        <v>37</v>
      </c>
    </row>
    <row r="458" spans="1:10" x14ac:dyDescent="0.25">
      <c r="A458" s="1">
        <v>60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"2026-04-26 14:15:56.493"</f>
        <v>2026-04-26 14:15:56.493</v>
      </c>
      <c r="H458" t="s">
        <v>21</v>
      </c>
    </row>
    <row r="459" spans="1:10" x14ac:dyDescent="0.25">
      <c r="A459" s="1">
        <v>61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"2026-04-26 13:22:45.511"</f>
        <v>2026-04-26 13:22:45.511</v>
      </c>
      <c r="H459" t="s">
        <v>21</v>
      </c>
    </row>
    <row r="460" spans="1:10" x14ac:dyDescent="0.25">
      <c r="A460" s="1">
        <v>62</v>
      </c>
      <c r="B460" t="s">
        <v>26</v>
      </c>
      <c r="C460">
        <v>635</v>
      </c>
      <c r="D460">
        <v>1</v>
      </c>
      <c r="E460" t="s">
        <v>38</v>
      </c>
      <c r="F460" t="s">
        <v>39</v>
      </c>
      <c r="G460" t="str">
        <f>"2026-04-26 07:04:18.509"</f>
        <v>2026-04-26 07:04:18.509</v>
      </c>
      <c r="H460" t="s">
        <v>21</v>
      </c>
    </row>
    <row r="461" spans="1:10" x14ac:dyDescent="0.25">
      <c r="A461" s="1">
        <v>63</v>
      </c>
      <c r="B461" t="s">
        <v>36</v>
      </c>
      <c r="C461">
        <v>635</v>
      </c>
      <c r="D461">
        <v>1</v>
      </c>
      <c r="E461" t="s">
        <v>38</v>
      </c>
      <c r="F461" t="s">
        <v>39</v>
      </c>
      <c r="G461" t="str">
        <f>"2026-04-26 07:00:32.509"</f>
        <v>2026-04-26 07:00:32.509</v>
      </c>
      <c r="H461" t="s">
        <v>21</v>
      </c>
      <c r="I461">
        <v>2.2599999999999998</v>
      </c>
      <c r="J461" t="s">
        <v>37</v>
      </c>
    </row>
    <row r="462" spans="1:10" x14ac:dyDescent="0.25">
      <c r="A462" s="1">
        <v>64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"2026-04-25 16:07:52.516"</f>
        <v>2026-04-25 16:07:52.516</v>
      </c>
      <c r="H462" t="s">
        <v>21</v>
      </c>
    </row>
    <row r="463" spans="1:10" x14ac:dyDescent="0.25">
      <c r="A463" s="1">
        <v>65</v>
      </c>
      <c r="B463" t="s">
        <v>26</v>
      </c>
      <c r="C463">
        <v>635</v>
      </c>
      <c r="D463">
        <v>1</v>
      </c>
      <c r="E463" t="s">
        <v>38</v>
      </c>
      <c r="F463" t="s">
        <v>39</v>
      </c>
      <c r="G463" t="str">
        <f>"2026-04-25 14:10:09.149"</f>
        <v>2026-04-25 14:10:09.149</v>
      </c>
      <c r="H463" t="s">
        <v>21</v>
      </c>
    </row>
    <row r="464" spans="1:10" x14ac:dyDescent="0.25">
      <c r="A464" s="1">
        <v>66</v>
      </c>
      <c r="B464" t="s">
        <v>36</v>
      </c>
      <c r="C464">
        <v>635</v>
      </c>
      <c r="D464">
        <v>1</v>
      </c>
      <c r="E464" t="s">
        <v>38</v>
      </c>
      <c r="F464" t="s">
        <v>39</v>
      </c>
      <c r="G464" t="str">
        <f>"2026-04-25 14:06:16.149"</f>
        <v>2026-04-25 14:06:16.149</v>
      </c>
      <c r="H464" t="s">
        <v>21</v>
      </c>
      <c r="I464">
        <v>3.08</v>
      </c>
      <c r="J464" t="s">
        <v>42</v>
      </c>
    </row>
    <row r="465" spans="1:10" x14ac:dyDescent="0.25">
      <c r="A465" s="1">
        <v>67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"2026-04-25 12:31:06.505"</f>
        <v>2026-04-25 12:31:06.505</v>
      </c>
      <c r="H465" t="s">
        <v>21</v>
      </c>
    </row>
    <row r="466" spans="1:10" x14ac:dyDescent="0.25">
      <c r="A466" s="1">
        <v>68</v>
      </c>
      <c r="B466" t="s">
        <v>19</v>
      </c>
      <c r="C466">
        <v>706</v>
      </c>
      <c r="D466">
        <v>4</v>
      </c>
      <c r="E466" t="s">
        <v>31</v>
      </c>
      <c r="F466" t="s">
        <v>32</v>
      </c>
      <c r="G466" t="str">
        <f>"2026-04-24 13:34:42.462"</f>
        <v>2026-04-24 13:34:42.462</v>
      </c>
      <c r="H466" t="s">
        <v>21</v>
      </c>
      <c r="I466">
        <v>0</v>
      </c>
      <c r="J466" t="s">
        <v>33</v>
      </c>
    </row>
    <row r="467" spans="1:10" x14ac:dyDescent="0.25">
      <c r="A467" s="1">
        <v>69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"2026-04-24 13:33:46.482"</f>
        <v>2026-04-24 13:33:46.482</v>
      </c>
      <c r="H467" t="s">
        <v>21</v>
      </c>
    </row>
    <row r="468" spans="1:10" x14ac:dyDescent="0.25">
      <c r="A468" s="1">
        <v>70</v>
      </c>
      <c r="B468" t="s">
        <v>26</v>
      </c>
      <c r="C468">
        <v>635</v>
      </c>
      <c r="D468">
        <v>1</v>
      </c>
      <c r="E468" t="s">
        <v>38</v>
      </c>
      <c r="F468" t="s">
        <v>39</v>
      </c>
      <c r="G468" t="str">
        <f>"2026-04-24 11:56:34.256"</f>
        <v>2026-04-24 11:56:34.256</v>
      </c>
      <c r="H468" t="s">
        <v>21</v>
      </c>
    </row>
    <row r="469" spans="1:10" x14ac:dyDescent="0.25">
      <c r="A469" s="1">
        <v>71</v>
      </c>
      <c r="B469" t="s">
        <v>36</v>
      </c>
      <c r="C469">
        <v>635</v>
      </c>
      <c r="D469">
        <v>1</v>
      </c>
      <c r="E469" t="s">
        <v>38</v>
      </c>
      <c r="F469" t="s">
        <v>39</v>
      </c>
      <c r="G469" t="str">
        <f>"2026-04-24 11:52:27.256"</f>
        <v>2026-04-24 11:52:27.256</v>
      </c>
      <c r="H469" t="s">
        <v>21</v>
      </c>
      <c r="I469">
        <v>2.95</v>
      </c>
      <c r="J469" t="s">
        <v>30</v>
      </c>
    </row>
    <row r="470" spans="1:10" x14ac:dyDescent="0.25">
      <c r="A470" s="1">
        <v>72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"2026-04-23 14:12:16.514"</f>
        <v>2026-04-23 14:12:16.514</v>
      </c>
      <c r="H470" t="s">
        <v>21</v>
      </c>
      <c r="I470">
        <v>0</v>
      </c>
      <c r="J470" t="s">
        <v>22</v>
      </c>
    </row>
    <row r="471" spans="1:10" x14ac:dyDescent="0.25">
      <c r="A471" s="1">
        <v>73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"2026-04-22 14:04:08.529"</f>
        <v>2026-04-22 14:04:08.529</v>
      </c>
      <c r="H471" t="s">
        <v>21</v>
      </c>
      <c r="I471">
        <v>0</v>
      </c>
      <c r="J471" t="s">
        <v>22</v>
      </c>
    </row>
    <row r="472" spans="1:10" x14ac:dyDescent="0.25">
      <c r="A472" s="1">
        <v>74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"2026-04-21 13:49:47.487"</f>
        <v>2026-04-21 13:49:47.487</v>
      </c>
      <c r="H472" t="s">
        <v>21</v>
      </c>
      <c r="I472">
        <v>0</v>
      </c>
      <c r="J472" t="s">
        <v>22</v>
      </c>
    </row>
    <row r="473" spans="1:10" x14ac:dyDescent="0.25">
      <c r="A473" s="1">
        <v>75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"2026-04-21 10:49:47.672"</f>
        <v>2026-04-21 10:49:47.672</v>
      </c>
      <c r="H473" t="s">
        <v>21</v>
      </c>
      <c r="I473">
        <v>0</v>
      </c>
      <c r="J473" t="s">
        <v>22</v>
      </c>
    </row>
    <row r="474" spans="1:10" x14ac:dyDescent="0.25">
      <c r="A474" s="1">
        <v>76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"2026-04-21 04:07:33.481"</f>
        <v>2026-04-21 04:07:33.481</v>
      </c>
      <c r="H474" t="s">
        <v>21</v>
      </c>
      <c r="I474">
        <v>0</v>
      </c>
      <c r="J474" t="s">
        <v>22</v>
      </c>
    </row>
    <row r="475" spans="1:10" x14ac:dyDescent="0.25">
      <c r="A475" s="1">
        <v>77</v>
      </c>
      <c r="B475" t="s">
        <v>19</v>
      </c>
      <c r="C475">
        <v>706</v>
      </c>
      <c r="D475">
        <v>4</v>
      </c>
      <c r="E475" t="s">
        <v>31</v>
      </c>
      <c r="F475" t="s">
        <v>32</v>
      </c>
      <c r="G475" t="str">
        <f>"2026-04-21 03:46:46.036"</f>
        <v>2026-04-21 03:46:46.036</v>
      </c>
      <c r="H475" t="s">
        <v>21</v>
      </c>
      <c r="I475">
        <v>0</v>
      </c>
      <c r="J475" t="s">
        <v>33</v>
      </c>
    </row>
    <row r="476" spans="1:10" x14ac:dyDescent="0.25">
      <c r="A476" s="1">
        <v>78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"2026-04-21 03:42:36.486"</f>
        <v>2026-04-21 03:42:36.486</v>
      </c>
      <c r="H476" t="s">
        <v>21</v>
      </c>
      <c r="I476">
        <v>0</v>
      </c>
      <c r="J476" t="s">
        <v>22</v>
      </c>
    </row>
    <row r="477" spans="1:10" x14ac:dyDescent="0.25">
      <c r="A477" s="1">
        <v>79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"2026-04-21 03:25:32.508"</f>
        <v>2026-04-21 03:25:32.508</v>
      </c>
      <c r="H477" t="s">
        <v>21</v>
      </c>
      <c r="I477">
        <v>0</v>
      </c>
      <c r="J477" t="s">
        <v>22</v>
      </c>
    </row>
    <row r="478" spans="1:10" x14ac:dyDescent="0.25">
      <c r="A478" s="1">
        <v>80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"2026-04-20 13:19:01.485"</f>
        <v>2026-04-20 13:19:01.485</v>
      </c>
      <c r="H478" t="s">
        <v>21</v>
      </c>
      <c r="I478">
        <v>0</v>
      </c>
      <c r="J478" t="s">
        <v>22</v>
      </c>
    </row>
    <row r="479" spans="1:10" x14ac:dyDescent="0.25">
      <c r="A479" s="1">
        <v>81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"2026-04-20 04:57:14.492"</f>
        <v>2026-04-20 04:57:14.492</v>
      </c>
      <c r="H479" t="s">
        <v>21</v>
      </c>
      <c r="I479">
        <v>0</v>
      </c>
      <c r="J479" t="s">
        <v>22</v>
      </c>
    </row>
    <row r="480" spans="1:10" s="3" customFormat="1" x14ac:dyDescent="0.25">
      <c r="A480" s="2">
        <v>82</v>
      </c>
      <c r="B480" s="3" t="s">
        <v>26</v>
      </c>
      <c r="C480" s="3">
        <v>647</v>
      </c>
      <c r="D480" s="3">
        <v>1</v>
      </c>
      <c r="E480" s="3" t="s">
        <v>40</v>
      </c>
      <c r="F480" s="3" t="s">
        <v>41</v>
      </c>
      <c r="G480" s="3" t="str">
        <f>"2026-04-19 18:53:22.375"</f>
        <v>2026-04-19 18:53:22.375</v>
      </c>
      <c r="H480" s="3" t="s">
        <v>21</v>
      </c>
    </row>
    <row r="481" spans="1:10" s="3" customFormat="1" x14ac:dyDescent="0.25">
      <c r="A481" s="2">
        <v>83</v>
      </c>
      <c r="B481" s="3" t="s">
        <v>36</v>
      </c>
      <c r="C481" s="3">
        <v>647</v>
      </c>
      <c r="D481" s="3">
        <v>1</v>
      </c>
      <c r="E481" s="3" t="s">
        <v>40</v>
      </c>
      <c r="F481" s="3" t="s">
        <v>41</v>
      </c>
      <c r="G481" s="3" t="str">
        <f>"2026-04-19 18:53:21.075"</f>
        <v>2026-04-19 18:53:21.075</v>
      </c>
      <c r="H481" s="3" t="s">
        <v>21</v>
      </c>
      <c r="I481" s="3">
        <v>16.88</v>
      </c>
      <c r="J481" s="3" t="s">
        <v>42</v>
      </c>
    </row>
    <row r="482" spans="1:10" x14ac:dyDescent="0.25">
      <c r="A482" s="1">
        <v>84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"2026-04-19 14:45:39.482"</f>
        <v>2026-04-19 14:45:39.482</v>
      </c>
      <c r="H482" t="s">
        <v>21</v>
      </c>
      <c r="I482">
        <v>0</v>
      </c>
      <c r="J482" t="s">
        <v>22</v>
      </c>
    </row>
    <row r="483" spans="1:10" x14ac:dyDescent="0.25">
      <c r="A483" s="1">
        <v>86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"2026-04-18 14:11:25.516"</f>
        <v>2026-04-18 14:11:25.516</v>
      </c>
      <c r="H483" t="s">
        <v>21</v>
      </c>
      <c r="I483">
        <v>0</v>
      </c>
      <c r="J483" t="s">
        <v>22</v>
      </c>
    </row>
    <row r="484" spans="1:10" x14ac:dyDescent="0.25">
      <c r="A484" s="1">
        <v>87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"2026-04-18 09:50:46.479"</f>
        <v>2026-04-18 09:50:46.479</v>
      </c>
      <c r="H484" t="s">
        <v>21</v>
      </c>
    </row>
    <row r="485" spans="1:10" x14ac:dyDescent="0.25">
      <c r="A485" s="1">
        <v>88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"2026-04-18 04:28:14.474"</f>
        <v>2026-04-18 04:28:14.474</v>
      </c>
      <c r="H485" t="s">
        <v>21</v>
      </c>
    </row>
    <row r="486" spans="1:10" x14ac:dyDescent="0.25">
      <c r="A486" s="1">
        <v>89</v>
      </c>
      <c r="B486" t="s">
        <v>19</v>
      </c>
      <c r="C486">
        <v>700</v>
      </c>
      <c r="D486">
        <v>0</v>
      </c>
      <c r="E486" t="s">
        <v>20</v>
      </c>
      <c r="F486" t="s">
        <v>20</v>
      </c>
      <c r="G486" t="str">
        <f>"2026-04-17 23:24:08.482"</f>
        <v>2026-04-17 23:24:08.482</v>
      </c>
      <c r="H486" t="s">
        <v>21</v>
      </c>
      <c r="I486">
        <v>0</v>
      </c>
      <c r="J486" t="s">
        <v>22</v>
      </c>
    </row>
    <row r="487" spans="1:10" x14ac:dyDescent="0.25">
      <c r="A487" s="1">
        <v>90</v>
      </c>
      <c r="B487" t="s">
        <v>19</v>
      </c>
      <c r="C487">
        <v>706</v>
      </c>
      <c r="D487">
        <v>2</v>
      </c>
      <c r="E487" t="s">
        <v>31</v>
      </c>
      <c r="F487" t="s">
        <v>43</v>
      </c>
      <c r="G487" t="str">
        <f>"2026-04-17 14:01:23.727"</f>
        <v>2026-04-17 14:01:23.727</v>
      </c>
      <c r="H487" t="s">
        <v>21</v>
      </c>
      <c r="I487">
        <v>0</v>
      </c>
      <c r="J487" t="s">
        <v>33</v>
      </c>
    </row>
    <row r="488" spans="1:10" x14ac:dyDescent="0.25">
      <c r="A488" s="1">
        <v>91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"2026-04-17 13:40:48.497"</f>
        <v>2026-04-17 13:40:48.497</v>
      </c>
      <c r="H488" t="s">
        <v>21</v>
      </c>
    </row>
    <row r="489" spans="1:10" x14ac:dyDescent="0.25">
      <c r="A489" s="1">
        <v>92</v>
      </c>
      <c r="B489" t="s">
        <v>26</v>
      </c>
      <c r="C489">
        <v>635</v>
      </c>
      <c r="D489">
        <v>1</v>
      </c>
      <c r="E489" t="s">
        <v>38</v>
      </c>
      <c r="F489" t="s">
        <v>39</v>
      </c>
      <c r="G489" t="str">
        <f>"2026-04-17 08:34:11.777"</f>
        <v>2026-04-17 08:34:11.777</v>
      </c>
      <c r="H489" t="s">
        <v>21</v>
      </c>
    </row>
    <row r="490" spans="1:10" x14ac:dyDescent="0.25">
      <c r="A490" s="1">
        <v>93</v>
      </c>
      <c r="B490" t="s">
        <v>36</v>
      </c>
      <c r="C490">
        <v>635</v>
      </c>
      <c r="D490">
        <v>1</v>
      </c>
      <c r="E490" t="s">
        <v>38</v>
      </c>
      <c r="F490" t="s">
        <v>39</v>
      </c>
      <c r="G490" t="str">
        <f>"2026-04-17 08:29:13.777"</f>
        <v>2026-04-17 08:29:13.777</v>
      </c>
      <c r="H490" t="s">
        <v>21</v>
      </c>
      <c r="I490">
        <v>5.73</v>
      </c>
      <c r="J490" t="s">
        <v>30</v>
      </c>
    </row>
    <row r="491" spans="1:10" x14ac:dyDescent="0.25">
      <c r="A491" s="1">
        <v>94</v>
      </c>
      <c r="B491" t="s">
        <v>19</v>
      </c>
      <c r="C491">
        <v>706</v>
      </c>
      <c r="D491">
        <v>2</v>
      </c>
      <c r="E491" t="s">
        <v>31</v>
      </c>
      <c r="F491" t="s">
        <v>43</v>
      </c>
      <c r="G491" t="str">
        <f>"2026-04-16 13:38:23.553"</f>
        <v>2026-04-16 13:38:23.553</v>
      </c>
      <c r="H491" t="s">
        <v>21</v>
      </c>
      <c r="I491">
        <v>0</v>
      </c>
      <c r="J491" t="s">
        <v>33</v>
      </c>
    </row>
    <row r="492" spans="1:10" x14ac:dyDescent="0.25">
      <c r="A492" s="1">
        <v>95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"2026-04-16 13:37:25.513"</f>
        <v>2026-04-16 13:37:25.513</v>
      </c>
      <c r="H492" t="s">
        <v>21</v>
      </c>
    </row>
    <row r="493" spans="1:10" x14ac:dyDescent="0.25">
      <c r="A493" s="1">
        <v>96</v>
      </c>
      <c r="B493" t="s">
        <v>26</v>
      </c>
      <c r="C493">
        <v>635</v>
      </c>
      <c r="D493">
        <v>1</v>
      </c>
      <c r="E493" t="s">
        <v>38</v>
      </c>
      <c r="F493" t="s">
        <v>39</v>
      </c>
      <c r="G493" t="str">
        <f>"2026-04-16 09:39:03.630"</f>
        <v>2026-04-16 09:39:03.630</v>
      </c>
      <c r="H493" t="s">
        <v>21</v>
      </c>
    </row>
    <row r="494" spans="1:10" x14ac:dyDescent="0.25">
      <c r="A494" s="1">
        <v>97</v>
      </c>
      <c r="B494" t="s">
        <v>36</v>
      </c>
      <c r="C494">
        <v>635</v>
      </c>
      <c r="D494">
        <v>1</v>
      </c>
      <c r="E494" t="s">
        <v>38</v>
      </c>
      <c r="F494" t="s">
        <v>39</v>
      </c>
      <c r="G494" t="str">
        <f>"2026-04-16 09:32:57.130"</f>
        <v>2026-04-16 09:32:57.130</v>
      </c>
      <c r="H494" t="s">
        <v>21</v>
      </c>
      <c r="I494">
        <v>7.17</v>
      </c>
      <c r="J494" t="s">
        <v>30</v>
      </c>
    </row>
    <row r="495" spans="1:10" x14ac:dyDescent="0.25">
      <c r="A495" s="1">
        <v>98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"2026-04-15 08:04:02.499"</f>
        <v>2026-04-15 08:04:02.499</v>
      </c>
      <c r="H495" t="s">
        <v>21</v>
      </c>
    </row>
    <row r="496" spans="1:10" x14ac:dyDescent="0.25">
      <c r="A496" s="1">
        <v>99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"2026-04-14 20:42:30.505"</f>
        <v>2026-04-14 20:42:30.505</v>
      </c>
      <c r="H496" t="s">
        <v>21</v>
      </c>
    </row>
    <row r="497" spans="1:10" x14ac:dyDescent="0.25">
      <c r="A497" s="1">
        <v>0</v>
      </c>
      <c r="B497" t="s">
        <v>19</v>
      </c>
      <c r="C497">
        <v>706</v>
      </c>
      <c r="D497">
        <v>2</v>
      </c>
      <c r="E497" t="s">
        <v>31</v>
      </c>
      <c r="F497" t="s">
        <v>43</v>
      </c>
      <c r="G497" t="str">
        <f>"2026-04-14 13:54:21.898"</f>
        <v>2026-04-14 13:54:21.898</v>
      </c>
      <c r="H497" t="s">
        <v>21</v>
      </c>
      <c r="I497">
        <v>0</v>
      </c>
      <c r="J497" t="s">
        <v>33</v>
      </c>
    </row>
    <row r="498" spans="1:10" x14ac:dyDescent="0.25">
      <c r="A498" s="1">
        <v>1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"2026-04-14 13:54:02.488"</f>
        <v>2026-04-14 13:54:02.488</v>
      </c>
      <c r="H498" t="s">
        <v>21</v>
      </c>
      <c r="I498">
        <v>0</v>
      </c>
      <c r="J498" t="s">
        <v>22</v>
      </c>
    </row>
    <row r="499" spans="1:10" x14ac:dyDescent="0.25">
      <c r="A499" s="1">
        <v>2</v>
      </c>
      <c r="B499" t="s">
        <v>19</v>
      </c>
      <c r="C499">
        <v>700</v>
      </c>
      <c r="D499">
        <v>0</v>
      </c>
      <c r="E499" t="s">
        <v>20</v>
      </c>
      <c r="F499" t="s">
        <v>20</v>
      </c>
      <c r="G499" t="str">
        <f>"2026-04-14 08:53:32.491"</f>
        <v>2026-04-14 08:53:32.491</v>
      </c>
      <c r="H499" t="s">
        <v>21</v>
      </c>
      <c r="I499">
        <v>0</v>
      </c>
      <c r="J499" t="s">
        <v>22</v>
      </c>
    </row>
    <row r="500" spans="1:10" x14ac:dyDescent="0.25">
      <c r="A500" s="1">
        <v>3</v>
      </c>
      <c r="B500" t="s">
        <v>26</v>
      </c>
      <c r="C500">
        <v>98</v>
      </c>
      <c r="D500">
        <v>1</v>
      </c>
      <c r="E500" t="s">
        <v>34</v>
      </c>
      <c r="F500" t="s">
        <v>35</v>
      </c>
      <c r="G500" t="str">
        <f>"2026-04-13 22:13:21.509"</f>
        <v>2026-04-13 22:13:21.509</v>
      </c>
      <c r="H500" t="s">
        <v>21</v>
      </c>
    </row>
    <row r="501" spans="1:10" x14ac:dyDescent="0.25">
      <c r="A501" s="1">
        <v>4</v>
      </c>
      <c r="B501" t="s">
        <v>36</v>
      </c>
      <c r="C501">
        <v>98</v>
      </c>
      <c r="D501">
        <v>1</v>
      </c>
      <c r="E501" t="s">
        <v>34</v>
      </c>
      <c r="F501" t="s">
        <v>35</v>
      </c>
      <c r="G501" t="str">
        <f>"2026-04-13 22:13:20.509"</f>
        <v>2026-04-13 22:13:20.509</v>
      </c>
      <c r="H501" t="s">
        <v>21</v>
      </c>
      <c r="I501">
        <v>0.02</v>
      </c>
      <c r="J501" t="s">
        <v>37</v>
      </c>
    </row>
    <row r="502" spans="1:10" x14ac:dyDescent="0.25">
      <c r="A502" s="1">
        <v>5</v>
      </c>
      <c r="B502" t="s">
        <v>26</v>
      </c>
      <c r="C502">
        <v>635</v>
      </c>
      <c r="D502">
        <v>1</v>
      </c>
      <c r="E502" t="s">
        <v>38</v>
      </c>
      <c r="F502" t="s">
        <v>39</v>
      </c>
      <c r="G502" t="str">
        <f>"2026-04-13 20:05:41.855"</f>
        <v>2026-04-13 20:05:41.855</v>
      </c>
      <c r="H502" t="s">
        <v>21</v>
      </c>
    </row>
    <row r="503" spans="1:10" x14ac:dyDescent="0.25">
      <c r="A503" s="1">
        <v>6</v>
      </c>
      <c r="B503" t="s">
        <v>36</v>
      </c>
      <c r="C503">
        <v>635</v>
      </c>
      <c r="D503">
        <v>1</v>
      </c>
      <c r="E503" t="s">
        <v>38</v>
      </c>
      <c r="F503" t="s">
        <v>39</v>
      </c>
      <c r="G503" t="str">
        <f>"2026-04-13 19:59:29.455"</f>
        <v>2026-04-13 19:59:29.455</v>
      </c>
      <c r="H503" t="s">
        <v>21</v>
      </c>
      <c r="I503">
        <v>7.17</v>
      </c>
      <c r="J503" t="s">
        <v>30</v>
      </c>
    </row>
    <row r="504" spans="1:10" x14ac:dyDescent="0.25">
      <c r="A504" s="1">
        <v>7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"2026-04-13 16:50:56.487"</f>
        <v>2026-04-13 16:50:56.487</v>
      </c>
      <c r="H504" t="s">
        <v>21</v>
      </c>
    </row>
    <row r="505" spans="1:10" x14ac:dyDescent="0.25">
      <c r="A505" s="1">
        <v>8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"2026-04-13 16:35:50.519"</f>
        <v>2026-04-13 16:35:50.519</v>
      </c>
      <c r="H505" t="s">
        <v>21</v>
      </c>
      <c r="I505">
        <v>0</v>
      </c>
      <c r="J505" t="s">
        <v>22</v>
      </c>
    </row>
    <row r="506" spans="1:10" x14ac:dyDescent="0.25">
      <c r="A506" s="1">
        <v>9</v>
      </c>
      <c r="B506" t="s">
        <v>26</v>
      </c>
      <c r="C506">
        <v>635</v>
      </c>
      <c r="D506">
        <v>1</v>
      </c>
      <c r="E506" t="s">
        <v>38</v>
      </c>
      <c r="F506" t="s">
        <v>39</v>
      </c>
      <c r="G506" t="str">
        <f>"2026-04-13 03:47:05.252"</f>
        <v>2026-04-13 03:47:05.252</v>
      </c>
      <c r="H506" t="s">
        <v>21</v>
      </c>
    </row>
    <row r="507" spans="1:10" x14ac:dyDescent="0.25">
      <c r="A507" s="1">
        <v>10</v>
      </c>
      <c r="B507" t="s">
        <v>36</v>
      </c>
      <c r="C507">
        <v>635</v>
      </c>
      <c r="D507">
        <v>1</v>
      </c>
      <c r="E507" t="s">
        <v>38</v>
      </c>
      <c r="F507" t="s">
        <v>39</v>
      </c>
      <c r="G507" t="str">
        <f>"2026-04-13 03:42:37.752"</f>
        <v>2026-04-13 03:42:37.752</v>
      </c>
      <c r="H507" t="s">
        <v>21</v>
      </c>
      <c r="I507">
        <v>5.65</v>
      </c>
      <c r="J507" t="s">
        <v>30</v>
      </c>
    </row>
    <row r="508" spans="1:10" x14ac:dyDescent="0.25">
      <c r="A508" s="1">
        <v>11</v>
      </c>
      <c r="B508" t="s">
        <v>26</v>
      </c>
      <c r="C508">
        <v>635</v>
      </c>
      <c r="D508">
        <v>1</v>
      </c>
      <c r="E508" t="s">
        <v>38</v>
      </c>
      <c r="F508" t="s">
        <v>39</v>
      </c>
      <c r="G508" t="str">
        <f>"2026-04-11 21:31:19.752"</f>
        <v>2026-04-11 21:31:19.752</v>
      </c>
      <c r="H508" t="s">
        <v>21</v>
      </c>
    </row>
    <row r="509" spans="1:10" x14ac:dyDescent="0.25">
      <c r="A509" s="1">
        <v>12</v>
      </c>
      <c r="B509" t="s">
        <v>36</v>
      </c>
      <c r="C509">
        <v>635</v>
      </c>
      <c r="D509">
        <v>1</v>
      </c>
      <c r="E509" t="s">
        <v>38</v>
      </c>
      <c r="F509" t="s">
        <v>39</v>
      </c>
      <c r="G509" t="str">
        <f>"2026-04-11 21:23:14.752"</f>
        <v>2026-04-11 21:23:14.752</v>
      </c>
      <c r="H509" t="s">
        <v>21</v>
      </c>
      <c r="I509">
        <v>4.13</v>
      </c>
      <c r="J509" t="s">
        <v>30</v>
      </c>
    </row>
    <row r="510" spans="1:10" x14ac:dyDescent="0.25">
      <c r="A510" s="1">
        <v>13</v>
      </c>
      <c r="B510" t="s">
        <v>19</v>
      </c>
      <c r="C510">
        <v>700</v>
      </c>
      <c r="D510">
        <v>0</v>
      </c>
      <c r="E510" t="s">
        <v>20</v>
      </c>
      <c r="F510" t="s">
        <v>20</v>
      </c>
      <c r="G510" t="str">
        <f>"2026-04-11 05:21:47.492"</f>
        <v>2026-04-11 05:21:47.492</v>
      </c>
      <c r="H510" t="s">
        <v>21</v>
      </c>
      <c r="I510">
        <v>0</v>
      </c>
      <c r="J510" t="s">
        <v>22</v>
      </c>
    </row>
    <row r="511" spans="1:10" x14ac:dyDescent="0.25">
      <c r="A511" s="1">
        <v>14</v>
      </c>
      <c r="B511" t="s">
        <v>19</v>
      </c>
      <c r="C511">
        <v>706</v>
      </c>
      <c r="D511">
        <v>2</v>
      </c>
      <c r="E511" t="s">
        <v>31</v>
      </c>
      <c r="F511" t="s">
        <v>43</v>
      </c>
      <c r="G511" t="str">
        <f>"2026-04-11 04:19:41.089"</f>
        <v>2026-04-11 04:19:41.089</v>
      </c>
      <c r="H511" t="s">
        <v>21</v>
      </c>
      <c r="I511">
        <v>0</v>
      </c>
      <c r="J511" t="s">
        <v>33</v>
      </c>
    </row>
    <row r="512" spans="1:10" x14ac:dyDescent="0.25">
      <c r="A512" s="1">
        <v>15</v>
      </c>
      <c r="B512" t="s">
        <v>19</v>
      </c>
      <c r="C512">
        <v>706</v>
      </c>
      <c r="D512">
        <v>3</v>
      </c>
      <c r="E512" t="s">
        <v>31</v>
      </c>
      <c r="F512" t="s">
        <v>70</v>
      </c>
      <c r="G512" t="str">
        <f>"2026-04-11 04:19:19.389"</f>
        <v>2026-04-11 04:19:19.389</v>
      </c>
      <c r="H512" t="s">
        <v>21</v>
      </c>
      <c r="I512">
        <v>0</v>
      </c>
      <c r="J512" t="s">
        <v>33</v>
      </c>
    </row>
    <row r="513" spans="1:10" x14ac:dyDescent="0.25">
      <c r="A513" s="1">
        <v>16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"2026-04-10 12:57:40.489"</f>
        <v>2026-04-10 12:57:40.489</v>
      </c>
      <c r="H513" t="s">
        <v>21</v>
      </c>
      <c r="I513">
        <v>0</v>
      </c>
      <c r="J513" t="s">
        <v>22</v>
      </c>
    </row>
    <row r="514" spans="1:10" x14ac:dyDescent="0.25">
      <c r="A514" s="1">
        <v>17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"2026-04-10 12:42:13.468"</f>
        <v>2026-04-10 12:42:13.468</v>
      </c>
      <c r="H514" t="s">
        <v>21</v>
      </c>
    </row>
    <row r="515" spans="1:10" x14ac:dyDescent="0.25">
      <c r="A515" s="1">
        <v>18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"2026-04-10 12:35:48.473"</f>
        <v>2026-04-10 12:35:48.473</v>
      </c>
      <c r="H515" t="s">
        <v>21</v>
      </c>
      <c r="I515">
        <v>0</v>
      </c>
      <c r="J515" t="s">
        <v>22</v>
      </c>
    </row>
    <row r="516" spans="1:10" x14ac:dyDescent="0.25">
      <c r="A516" s="1">
        <v>19</v>
      </c>
      <c r="B516" t="s">
        <v>19</v>
      </c>
      <c r="C516">
        <v>706</v>
      </c>
      <c r="D516">
        <v>4</v>
      </c>
      <c r="E516" t="s">
        <v>31</v>
      </c>
      <c r="F516" t="s">
        <v>32</v>
      </c>
      <c r="G516" t="str">
        <f>"2026-04-10 12:11:08.444"</f>
        <v>2026-04-10 12:11:08.444</v>
      </c>
      <c r="H516" t="s">
        <v>21</v>
      </c>
      <c r="I516">
        <v>0</v>
      </c>
      <c r="J516" t="s">
        <v>33</v>
      </c>
    </row>
    <row r="517" spans="1:10" x14ac:dyDescent="0.25">
      <c r="A517" s="1">
        <v>20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"2026-04-10 12:05:43.474"</f>
        <v>2026-04-10 12:05:43.474</v>
      </c>
      <c r="H517" t="s">
        <v>21</v>
      </c>
    </row>
    <row r="518" spans="1:10" x14ac:dyDescent="0.25">
      <c r="A518" s="1">
        <v>21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"2026-04-10 10:31:58.527"</f>
        <v>2026-04-10 10:31:58.527</v>
      </c>
      <c r="H518" t="s">
        <v>21</v>
      </c>
    </row>
    <row r="519" spans="1:10" x14ac:dyDescent="0.25">
      <c r="A519" s="1">
        <v>22</v>
      </c>
      <c r="B519" t="s">
        <v>26</v>
      </c>
      <c r="C519">
        <v>635</v>
      </c>
      <c r="D519">
        <v>1</v>
      </c>
      <c r="E519" t="s">
        <v>38</v>
      </c>
      <c r="F519" t="s">
        <v>39</v>
      </c>
      <c r="G519" t="str">
        <f>"2026-04-10 04:29:34.969"</f>
        <v>2026-04-10 04:29:34.969</v>
      </c>
      <c r="H519" t="s">
        <v>21</v>
      </c>
    </row>
    <row r="520" spans="1:10" x14ac:dyDescent="0.25">
      <c r="A520" s="1">
        <v>23</v>
      </c>
      <c r="B520" t="s">
        <v>36</v>
      </c>
      <c r="C520">
        <v>635</v>
      </c>
      <c r="D520">
        <v>1</v>
      </c>
      <c r="E520" t="s">
        <v>38</v>
      </c>
      <c r="F520" t="s">
        <v>39</v>
      </c>
      <c r="G520" t="str">
        <f>"2026-04-10 04:27:05.017"</f>
        <v>2026-04-10 04:27:05.017</v>
      </c>
      <c r="H520" t="s">
        <v>21</v>
      </c>
      <c r="I520">
        <v>5.49</v>
      </c>
      <c r="J520" t="s">
        <v>42</v>
      </c>
    </row>
    <row r="521" spans="1:10" x14ac:dyDescent="0.25">
      <c r="A521" s="1">
        <v>24</v>
      </c>
      <c r="B521" t="s">
        <v>26</v>
      </c>
      <c r="C521">
        <v>635</v>
      </c>
      <c r="D521">
        <v>1</v>
      </c>
      <c r="E521" t="s">
        <v>38</v>
      </c>
      <c r="F521" t="s">
        <v>39</v>
      </c>
      <c r="G521" t="str">
        <f>"2026-04-09 20:27:16.817"</f>
        <v>2026-04-09 20:27:16.817</v>
      </c>
      <c r="H521" t="s">
        <v>21</v>
      </c>
    </row>
    <row r="522" spans="1:10" x14ac:dyDescent="0.25">
      <c r="A522" s="1">
        <v>25</v>
      </c>
      <c r="B522" t="s">
        <v>36</v>
      </c>
      <c r="C522">
        <v>635</v>
      </c>
      <c r="D522">
        <v>1</v>
      </c>
      <c r="E522" t="s">
        <v>38</v>
      </c>
      <c r="F522" t="s">
        <v>39</v>
      </c>
      <c r="G522" t="str">
        <f>"2026-04-09 20:24:55.317"</f>
        <v>2026-04-09 20:24:55.317</v>
      </c>
      <c r="H522" t="s">
        <v>21</v>
      </c>
      <c r="I522">
        <v>4.9800000000000004</v>
      </c>
      <c r="J522" t="s">
        <v>30</v>
      </c>
    </row>
    <row r="523" spans="1:10" x14ac:dyDescent="0.25">
      <c r="A523" s="1">
        <v>26</v>
      </c>
      <c r="B523" t="s">
        <v>26</v>
      </c>
      <c r="C523">
        <v>635</v>
      </c>
      <c r="D523">
        <v>1</v>
      </c>
      <c r="E523" t="s">
        <v>38</v>
      </c>
      <c r="F523" t="s">
        <v>39</v>
      </c>
      <c r="G523" t="str">
        <f>"2026-04-09 11:44:11.717"</f>
        <v>2026-04-09 11:44:11.717</v>
      </c>
      <c r="H523" t="s">
        <v>21</v>
      </c>
    </row>
    <row r="524" spans="1:10" x14ac:dyDescent="0.25">
      <c r="A524" s="1">
        <v>27</v>
      </c>
      <c r="B524" t="s">
        <v>36</v>
      </c>
      <c r="C524">
        <v>635</v>
      </c>
      <c r="D524">
        <v>1</v>
      </c>
      <c r="E524" t="s">
        <v>38</v>
      </c>
      <c r="F524" t="s">
        <v>39</v>
      </c>
      <c r="G524" t="str">
        <f>"2026-04-09 11:40:35.717"</f>
        <v>2026-04-09 11:40:35.717</v>
      </c>
      <c r="H524" t="s">
        <v>21</v>
      </c>
      <c r="I524">
        <v>6.05</v>
      </c>
      <c r="J524" t="s">
        <v>30</v>
      </c>
    </row>
    <row r="525" spans="1:10" x14ac:dyDescent="0.25">
      <c r="A525" s="1">
        <v>28</v>
      </c>
      <c r="B525" t="s">
        <v>26</v>
      </c>
      <c r="C525">
        <v>635</v>
      </c>
      <c r="D525">
        <v>1</v>
      </c>
      <c r="E525" t="s">
        <v>38</v>
      </c>
      <c r="F525" t="s">
        <v>39</v>
      </c>
      <c r="G525" t="str">
        <f>"2026-04-08 16:07:40.517"</f>
        <v>2026-04-08 16:07:40.517</v>
      </c>
      <c r="H525" t="s">
        <v>21</v>
      </c>
    </row>
    <row r="526" spans="1:10" x14ac:dyDescent="0.25">
      <c r="A526" s="1">
        <v>29</v>
      </c>
      <c r="B526" t="s">
        <v>36</v>
      </c>
      <c r="C526">
        <v>635</v>
      </c>
      <c r="D526">
        <v>1</v>
      </c>
      <c r="E526" t="s">
        <v>38</v>
      </c>
      <c r="F526" t="s">
        <v>39</v>
      </c>
      <c r="G526" t="str">
        <f>"2026-04-08 16:03:12.518"</f>
        <v>2026-04-08 16:03:12.518</v>
      </c>
      <c r="H526" t="s">
        <v>21</v>
      </c>
      <c r="I526">
        <v>4.22</v>
      </c>
      <c r="J526" t="s">
        <v>30</v>
      </c>
    </row>
    <row r="527" spans="1:10" x14ac:dyDescent="0.25">
      <c r="A527" s="1">
        <v>30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"2026-04-07 01:20:04.507"</f>
        <v>2026-04-07 01:20:04.507</v>
      </c>
      <c r="H527" t="s">
        <v>21</v>
      </c>
      <c r="I527">
        <v>0</v>
      </c>
      <c r="J527" t="s">
        <v>22</v>
      </c>
    </row>
    <row r="528" spans="1:10" x14ac:dyDescent="0.25">
      <c r="A528" s="1">
        <v>31</v>
      </c>
      <c r="B528" t="s">
        <v>26</v>
      </c>
      <c r="C528">
        <v>635</v>
      </c>
      <c r="D528">
        <v>1</v>
      </c>
      <c r="E528" t="s">
        <v>38</v>
      </c>
      <c r="F528" t="s">
        <v>39</v>
      </c>
      <c r="G528" t="str">
        <f>"2026-04-06 15:43:39.949"</f>
        <v>2026-04-06 15:43:39.949</v>
      </c>
      <c r="H528" t="s">
        <v>21</v>
      </c>
    </row>
    <row r="529" spans="1:10" x14ac:dyDescent="0.25">
      <c r="A529" s="1">
        <v>32</v>
      </c>
      <c r="B529" t="s">
        <v>36</v>
      </c>
      <c r="C529">
        <v>635</v>
      </c>
      <c r="D529">
        <v>1</v>
      </c>
      <c r="E529" t="s">
        <v>38</v>
      </c>
      <c r="F529" t="s">
        <v>39</v>
      </c>
      <c r="G529" t="str">
        <f>"2026-04-06 15:38:54.448"</f>
        <v>2026-04-06 15:38:54.448</v>
      </c>
      <c r="H529" t="s">
        <v>21</v>
      </c>
      <c r="I529">
        <v>2.57</v>
      </c>
      <c r="J529" t="s">
        <v>30</v>
      </c>
    </row>
    <row r="530" spans="1:10" x14ac:dyDescent="0.25">
      <c r="A530" s="1">
        <v>33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"2026-04-06 09:32:16.478"</f>
        <v>2026-04-06 09:32:16.478</v>
      </c>
      <c r="H530" t="s">
        <v>21</v>
      </c>
    </row>
    <row r="531" spans="1:10" x14ac:dyDescent="0.25">
      <c r="A531" s="1">
        <v>34</v>
      </c>
      <c r="B531" t="s">
        <v>26</v>
      </c>
      <c r="C531">
        <v>635</v>
      </c>
      <c r="D531">
        <v>1</v>
      </c>
      <c r="E531" t="s">
        <v>38</v>
      </c>
      <c r="F531" t="s">
        <v>39</v>
      </c>
      <c r="G531" t="str">
        <f>"2026-04-06 05:02:53.415"</f>
        <v>2026-04-06 05:02:53.415</v>
      </c>
      <c r="H531" t="s">
        <v>21</v>
      </c>
    </row>
    <row r="532" spans="1:10" x14ac:dyDescent="0.25">
      <c r="A532" s="1">
        <v>35</v>
      </c>
      <c r="B532" t="s">
        <v>36</v>
      </c>
      <c r="C532">
        <v>635</v>
      </c>
      <c r="D532">
        <v>1</v>
      </c>
      <c r="E532" t="s">
        <v>38</v>
      </c>
      <c r="F532" t="s">
        <v>39</v>
      </c>
      <c r="G532" t="str">
        <f>"2026-04-06 04:58:51.415"</f>
        <v>2026-04-06 04:58:51.415</v>
      </c>
      <c r="H532" t="s">
        <v>21</v>
      </c>
      <c r="I532">
        <v>5.96</v>
      </c>
      <c r="J532" t="s">
        <v>30</v>
      </c>
    </row>
    <row r="533" spans="1:10" x14ac:dyDescent="0.25">
      <c r="A533" s="1">
        <v>37</v>
      </c>
      <c r="B533" t="s">
        <v>26</v>
      </c>
      <c r="C533">
        <v>635</v>
      </c>
      <c r="D533">
        <v>1</v>
      </c>
      <c r="E533" t="s">
        <v>38</v>
      </c>
      <c r="F533" t="s">
        <v>39</v>
      </c>
      <c r="G533" t="str">
        <f>"2026-04-04 20:50:57.815"</f>
        <v>2026-04-04 20:50:57.815</v>
      </c>
      <c r="H533" t="s">
        <v>21</v>
      </c>
    </row>
    <row r="534" spans="1:10" x14ac:dyDescent="0.25">
      <c r="A534" s="1">
        <v>38</v>
      </c>
      <c r="B534" t="s">
        <v>36</v>
      </c>
      <c r="C534">
        <v>635</v>
      </c>
      <c r="D534">
        <v>1</v>
      </c>
      <c r="E534" t="s">
        <v>38</v>
      </c>
      <c r="F534" t="s">
        <v>39</v>
      </c>
      <c r="G534" t="str">
        <f>"2026-04-04 20:46:26.815"</f>
        <v>2026-04-04 20:46:26.815</v>
      </c>
      <c r="H534" t="s">
        <v>21</v>
      </c>
      <c r="I534">
        <v>2.44</v>
      </c>
      <c r="J534" t="s">
        <v>37</v>
      </c>
    </row>
    <row r="535" spans="1:10" x14ac:dyDescent="0.25">
      <c r="A535" s="1">
        <v>39</v>
      </c>
      <c r="B535" t="s">
        <v>26</v>
      </c>
      <c r="C535">
        <v>61</v>
      </c>
      <c r="D535">
        <v>2</v>
      </c>
      <c r="E535" t="s">
        <v>44</v>
      </c>
      <c r="F535" t="s">
        <v>45</v>
      </c>
      <c r="G535" t="str">
        <f>"2026-04-03 06:52:37.816"</f>
        <v>2026-04-03 06:52:37.816</v>
      </c>
      <c r="H535" t="s">
        <v>21</v>
      </c>
    </row>
    <row r="536" spans="1:10" x14ac:dyDescent="0.25">
      <c r="A536" s="1">
        <v>40</v>
      </c>
      <c r="B536" t="s">
        <v>29</v>
      </c>
      <c r="C536">
        <v>61</v>
      </c>
      <c r="D536">
        <v>2</v>
      </c>
      <c r="E536" t="s">
        <v>44</v>
      </c>
      <c r="F536" t="s">
        <v>45</v>
      </c>
      <c r="G536" t="str">
        <f>"2026-04-03 06:52:26.116"</f>
        <v>2026-04-03 06:52:26.116</v>
      </c>
      <c r="H536" t="s">
        <v>21</v>
      </c>
      <c r="I536">
        <v>29.37</v>
      </c>
      <c r="J536" t="s">
        <v>42</v>
      </c>
    </row>
    <row r="537" spans="1:10" x14ac:dyDescent="0.25">
      <c r="A537" s="1">
        <v>41</v>
      </c>
      <c r="B537" t="s">
        <v>19</v>
      </c>
      <c r="C537">
        <v>706</v>
      </c>
      <c r="D537">
        <v>2</v>
      </c>
      <c r="E537" t="s">
        <v>31</v>
      </c>
      <c r="F537" t="s">
        <v>43</v>
      </c>
      <c r="G537" t="str">
        <f>"2026-04-02 20:20:46.903"</f>
        <v>2026-04-02 20:20:46.903</v>
      </c>
      <c r="H537" t="s">
        <v>21</v>
      </c>
      <c r="I537">
        <v>0</v>
      </c>
      <c r="J537" t="s">
        <v>33</v>
      </c>
    </row>
    <row r="538" spans="1:10" x14ac:dyDescent="0.25">
      <c r="A538" s="1">
        <v>42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"2026-04-02 20:20:30.483"</f>
        <v>2026-04-02 20:20:30.483</v>
      </c>
      <c r="H538" t="s">
        <v>21</v>
      </c>
    </row>
    <row r="539" spans="1:10" x14ac:dyDescent="0.25">
      <c r="A539" s="1">
        <v>43</v>
      </c>
      <c r="B539" t="s">
        <v>26</v>
      </c>
      <c r="C539">
        <v>635</v>
      </c>
      <c r="D539">
        <v>1</v>
      </c>
      <c r="E539" t="s">
        <v>38</v>
      </c>
      <c r="F539" t="s">
        <v>39</v>
      </c>
      <c r="G539" t="str">
        <f>"2026-04-02 06:10:25.312"</f>
        <v>2026-04-02 06:10:25.312</v>
      </c>
      <c r="H539" t="s">
        <v>21</v>
      </c>
    </row>
    <row r="540" spans="1:10" x14ac:dyDescent="0.25">
      <c r="A540" s="1">
        <v>44</v>
      </c>
      <c r="B540" t="s">
        <v>36</v>
      </c>
      <c r="C540">
        <v>635</v>
      </c>
      <c r="D540">
        <v>1</v>
      </c>
      <c r="E540" t="s">
        <v>38</v>
      </c>
      <c r="F540" t="s">
        <v>39</v>
      </c>
      <c r="G540" t="str">
        <f>"2026-04-02 06:06:36.312"</f>
        <v>2026-04-02 06:06:36.312</v>
      </c>
      <c r="H540" t="s">
        <v>21</v>
      </c>
      <c r="I540">
        <v>-0.18</v>
      </c>
      <c r="J540" t="s">
        <v>37</v>
      </c>
    </row>
    <row r="541" spans="1:10" x14ac:dyDescent="0.25">
      <c r="A541" s="1">
        <v>45</v>
      </c>
      <c r="B541" t="s">
        <v>19</v>
      </c>
      <c r="C541">
        <v>706</v>
      </c>
      <c r="D541">
        <v>2</v>
      </c>
      <c r="E541" t="s">
        <v>31</v>
      </c>
      <c r="F541" t="s">
        <v>43</v>
      </c>
      <c r="G541" t="str">
        <f>"2026-04-01 20:46:23.713"</f>
        <v>2026-04-01 20:46:23.713</v>
      </c>
      <c r="H541" t="s">
        <v>21</v>
      </c>
      <c r="I541">
        <v>0</v>
      </c>
      <c r="J541" t="s">
        <v>33</v>
      </c>
    </row>
    <row r="542" spans="1:10" x14ac:dyDescent="0.25">
      <c r="A542" s="1">
        <v>46</v>
      </c>
      <c r="B542" t="s">
        <v>19</v>
      </c>
      <c r="C542">
        <v>700</v>
      </c>
      <c r="D542">
        <v>0</v>
      </c>
      <c r="E542" t="s">
        <v>20</v>
      </c>
      <c r="F542" t="s">
        <v>20</v>
      </c>
      <c r="G542" t="str">
        <f>"2026-04-01 20:45:58.483"</f>
        <v>2026-04-01 20:45:58.483</v>
      </c>
      <c r="H542" t="s">
        <v>21</v>
      </c>
    </row>
    <row r="543" spans="1:10" s="3" customFormat="1" x14ac:dyDescent="0.25">
      <c r="A543" s="2">
        <v>47</v>
      </c>
      <c r="B543" s="3" t="s">
        <v>26</v>
      </c>
      <c r="C543" s="3">
        <v>647</v>
      </c>
      <c r="D543" s="3">
        <v>1</v>
      </c>
      <c r="E543" s="3" t="s">
        <v>40</v>
      </c>
      <c r="F543" s="3" t="s">
        <v>41</v>
      </c>
      <c r="G543" s="3" t="str">
        <f>"2026-04-01 15:36:58.690"</f>
        <v>2026-04-01 15:36:58.690</v>
      </c>
      <c r="H543" s="3" t="s">
        <v>21</v>
      </c>
    </row>
    <row r="544" spans="1:10" s="3" customFormat="1" x14ac:dyDescent="0.25">
      <c r="A544" s="2">
        <v>48</v>
      </c>
      <c r="B544" s="3" t="s">
        <v>36</v>
      </c>
      <c r="C544" s="3">
        <v>647</v>
      </c>
      <c r="D544" s="3">
        <v>1</v>
      </c>
      <c r="E544" s="3" t="s">
        <v>40</v>
      </c>
      <c r="F544" s="3" t="s">
        <v>41</v>
      </c>
      <c r="G544" s="3" t="str">
        <f>"2026-04-01 15:36:56.591"</f>
        <v>2026-04-01 15:36:56.591</v>
      </c>
      <c r="H544" s="3" t="s">
        <v>21</v>
      </c>
      <c r="I544" s="3">
        <v>8.86</v>
      </c>
      <c r="J544" s="3" t="s">
        <v>42</v>
      </c>
    </row>
    <row r="545" spans="1:10" x14ac:dyDescent="0.25">
      <c r="A545" s="1">
        <v>49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"2026-04-01 12:26:09.472"</f>
        <v>2026-04-01 12:26:09.472</v>
      </c>
      <c r="H545" t="s">
        <v>21</v>
      </c>
    </row>
    <row r="546" spans="1:10" x14ac:dyDescent="0.25">
      <c r="A546" s="1">
        <v>50</v>
      </c>
      <c r="B546" t="s">
        <v>19</v>
      </c>
      <c r="C546">
        <v>706</v>
      </c>
      <c r="D546">
        <v>4</v>
      </c>
      <c r="E546" t="s">
        <v>31</v>
      </c>
      <c r="F546" t="s">
        <v>32</v>
      </c>
      <c r="G546" t="str">
        <f>"2026-03-31 11:06:15.084"</f>
        <v>2026-03-31 11:06:15.084</v>
      </c>
      <c r="H546" t="s">
        <v>21</v>
      </c>
      <c r="I546">
        <v>0</v>
      </c>
      <c r="J546" t="s">
        <v>33</v>
      </c>
    </row>
    <row r="547" spans="1:10" x14ac:dyDescent="0.25">
      <c r="A547" s="1">
        <v>51</v>
      </c>
      <c r="B547" t="s">
        <v>19</v>
      </c>
      <c r="C547">
        <v>706</v>
      </c>
      <c r="D547">
        <v>4</v>
      </c>
      <c r="E547" t="s">
        <v>31</v>
      </c>
      <c r="F547" t="s">
        <v>32</v>
      </c>
      <c r="G547" t="str">
        <f>"2026-03-31 08:58:51.054"</f>
        <v>2026-03-31 08:58:51.054</v>
      </c>
      <c r="H547" t="s">
        <v>21</v>
      </c>
      <c r="I547">
        <v>0</v>
      </c>
      <c r="J547" t="s">
        <v>33</v>
      </c>
    </row>
    <row r="548" spans="1:10" x14ac:dyDescent="0.25">
      <c r="A548" s="1">
        <v>52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"2026-03-31 08:58:34.534"</f>
        <v>2026-03-31 08:58:34.534</v>
      </c>
      <c r="H548" t="s">
        <v>21</v>
      </c>
    </row>
    <row r="549" spans="1:10" x14ac:dyDescent="0.25">
      <c r="A549" s="1">
        <v>53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"2026-03-30 14:47:29.466"</f>
        <v>2026-03-30 14:47:29.466</v>
      </c>
      <c r="H549" t="s">
        <v>21</v>
      </c>
      <c r="I549">
        <v>0</v>
      </c>
      <c r="J549" t="s">
        <v>22</v>
      </c>
    </row>
    <row r="550" spans="1:10" x14ac:dyDescent="0.25">
      <c r="A550" s="1">
        <v>54</v>
      </c>
      <c r="B550" t="s">
        <v>19</v>
      </c>
      <c r="C550">
        <v>700</v>
      </c>
      <c r="D550">
        <v>0</v>
      </c>
      <c r="E550" t="s">
        <v>20</v>
      </c>
      <c r="F550" t="s">
        <v>20</v>
      </c>
      <c r="G550" t="str">
        <f>"2026-03-30 14:41:58.527"</f>
        <v>2026-03-30 14:41:58.527</v>
      </c>
      <c r="H550" t="s">
        <v>21</v>
      </c>
      <c r="I550">
        <v>0</v>
      </c>
      <c r="J550" t="s">
        <v>22</v>
      </c>
    </row>
    <row r="551" spans="1:10" x14ac:dyDescent="0.25">
      <c r="A551" s="1">
        <v>55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"2026-03-21 07:18:23.434"</f>
        <v>2026-03-21 07:18:23.434</v>
      </c>
      <c r="H551" t="s">
        <v>21</v>
      </c>
    </row>
    <row r="552" spans="1:10" x14ac:dyDescent="0.25">
      <c r="A552" s="1">
        <v>56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"2026-03-21 06:14:56.567"</f>
        <v>2026-03-21 06:14:56.567</v>
      </c>
      <c r="H552" t="s">
        <v>21</v>
      </c>
      <c r="I552">
        <v>0</v>
      </c>
      <c r="J552" t="s">
        <v>22</v>
      </c>
    </row>
    <row r="553" spans="1:10" x14ac:dyDescent="0.25">
      <c r="A553" s="1">
        <v>57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"2026-03-21 06:06:21.458"</f>
        <v>2026-03-21 06:06:21.458</v>
      </c>
      <c r="H553" t="s">
        <v>21</v>
      </c>
    </row>
    <row r="554" spans="1:10" x14ac:dyDescent="0.25">
      <c r="A554" s="1">
        <v>58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"2026-03-21 05:57:52.644"</f>
        <v>2026-03-21 05:57:52.644</v>
      </c>
      <c r="H554" t="s">
        <v>21</v>
      </c>
    </row>
    <row r="555" spans="1:10" x14ac:dyDescent="0.25">
      <c r="A555" s="1">
        <v>59</v>
      </c>
      <c r="B555" t="s">
        <v>26</v>
      </c>
      <c r="C555">
        <v>619</v>
      </c>
      <c r="D555">
        <v>1</v>
      </c>
      <c r="E555" t="s">
        <v>74</v>
      </c>
      <c r="F555" t="s">
        <v>39</v>
      </c>
      <c r="G555" t="str">
        <f>"2026-03-21 05:35:39.761"</f>
        <v>2026-03-21 05:35:39.761</v>
      </c>
      <c r="H555" t="s">
        <v>47</v>
      </c>
    </row>
    <row r="556" spans="1:10" x14ac:dyDescent="0.25">
      <c r="A556" s="1">
        <v>60</v>
      </c>
      <c r="B556" t="s">
        <v>36</v>
      </c>
      <c r="C556">
        <v>619</v>
      </c>
      <c r="D556">
        <v>1</v>
      </c>
      <c r="E556" t="s">
        <v>74</v>
      </c>
      <c r="F556" t="s">
        <v>39</v>
      </c>
      <c r="G556" t="str">
        <f>"2026-03-21 05:35:22.414"</f>
        <v>2026-03-21 05:35:22.414</v>
      </c>
      <c r="H556" t="s">
        <v>47</v>
      </c>
      <c r="I556">
        <v>0.1</v>
      </c>
      <c r="J556" t="s">
        <v>37</v>
      </c>
    </row>
    <row r="557" spans="1:10" x14ac:dyDescent="0.25">
      <c r="A557" s="1">
        <v>61</v>
      </c>
      <c r="B557" t="s">
        <v>26</v>
      </c>
      <c r="C557">
        <v>61</v>
      </c>
      <c r="D557">
        <v>2</v>
      </c>
      <c r="E557" t="s">
        <v>44</v>
      </c>
      <c r="F557" t="s">
        <v>45</v>
      </c>
      <c r="G557" t="str">
        <f>"2026-03-20 19:09:14.774"</f>
        <v>2026-03-20 19:09:14.774</v>
      </c>
      <c r="H557" t="s">
        <v>21</v>
      </c>
    </row>
    <row r="558" spans="1:10" x14ac:dyDescent="0.25">
      <c r="A558" s="1">
        <v>62</v>
      </c>
      <c r="B558" t="s">
        <v>29</v>
      </c>
      <c r="C558">
        <v>61</v>
      </c>
      <c r="D558">
        <v>2</v>
      </c>
      <c r="E558" t="s">
        <v>44</v>
      </c>
      <c r="F558" t="s">
        <v>45</v>
      </c>
      <c r="G558" t="str">
        <f>"2026-03-20 19:08:55.674"</f>
        <v>2026-03-20 19:08:55.674</v>
      </c>
      <c r="H558" t="s">
        <v>21</v>
      </c>
      <c r="I558">
        <v>30.23</v>
      </c>
      <c r="J558" t="s">
        <v>42</v>
      </c>
    </row>
    <row r="559" spans="1:10" x14ac:dyDescent="0.25">
      <c r="A559" s="1">
        <v>63</v>
      </c>
      <c r="B559" t="s">
        <v>19</v>
      </c>
      <c r="C559">
        <v>706</v>
      </c>
      <c r="D559">
        <v>2</v>
      </c>
      <c r="E559" t="s">
        <v>31</v>
      </c>
      <c r="F559" t="s">
        <v>43</v>
      </c>
      <c r="G559" t="str">
        <f>"2026-03-20 14:27:31.943"</f>
        <v>2026-03-20 14:27:31.943</v>
      </c>
      <c r="H559" t="s">
        <v>21</v>
      </c>
      <c r="I559">
        <v>0</v>
      </c>
      <c r="J559" t="s">
        <v>33</v>
      </c>
    </row>
    <row r="560" spans="1:10" x14ac:dyDescent="0.25">
      <c r="A560" s="1">
        <v>64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"2026-03-20 14:27:15.453"</f>
        <v>2026-03-20 14:27:15.453</v>
      </c>
      <c r="H560" t="s">
        <v>21</v>
      </c>
      <c r="I560">
        <v>0</v>
      </c>
      <c r="J560" t="s">
        <v>22</v>
      </c>
    </row>
    <row r="561" spans="1:10" x14ac:dyDescent="0.25">
      <c r="A561" s="1">
        <v>65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"2026-03-20 12:25:00.457"</f>
        <v>2026-03-20 12:25:00.457</v>
      </c>
      <c r="H561" t="s">
        <v>21</v>
      </c>
      <c r="I561">
        <v>0</v>
      </c>
      <c r="J561" t="s">
        <v>22</v>
      </c>
    </row>
    <row r="562" spans="1:10" x14ac:dyDescent="0.25">
      <c r="A562" s="1">
        <v>66</v>
      </c>
      <c r="B562" t="s">
        <v>19</v>
      </c>
      <c r="C562">
        <v>706</v>
      </c>
      <c r="D562">
        <v>4</v>
      </c>
      <c r="E562" t="s">
        <v>31</v>
      </c>
      <c r="F562" t="s">
        <v>32</v>
      </c>
      <c r="G562" t="str">
        <f>"2026-03-20 11:55:26.194"</f>
        <v>2026-03-20 11:55:26.194</v>
      </c>
      <c r="H562" t="s">
        <v>21</v>
      </c>
      <c r="I562">
        <v>0</v>
      </c>
      <c r="J562" t="s">
        <v>33</v>
      </c>
    </row>
    <row r="563" spans="1:10" x14ac:dyDescent="0.25">
      <c r="A563" s="1">
        <v>67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"2026-03-20 11:34:27.464"</f>
        <v>2026-03-20 11:34:27.464</v>
      </c>
      <c r="H563" t="s">
        <v>21</v>
      </c>
    </row>
    <row r="564" spans="1:10" x14ac:dyDescent="0.25">
      <c r="A564" s="1">
        <v>68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"2026-03-20 11:11:23.467"</f>
        <v>2026-03-20 11:11:23.467</v>
      </c>
      <c r="H564" t="s">
        <v>21</v>
      </c>
      <c r="I564">
        <v>0</v>
      </c>
      <c r="J564" t="s">
        <v>22</v>
      </c>
    </row>
    <row r="565" spans="1:10" x14ac:dyDescent="0.25">
      <c r="A565" s="1">
        <v>69</v>
      </c>
      <c r="B565" t="s">
        <v>23</v>
      </c>
      <c r="C565">
        <v>33</v>
      </c>
      <c r="D565">
        <v>1</v>
      </c>
      <c r="E565" t="s">
        <v>75</v>
      </c>
      <c r="F565" t="s">
        <v>76</v>
      </c>
      <c r="G565" t="str">
        <f>"2026-03-20 09:23:13.645"</f>
        <v>2026-03-20 09:23:13.645</v>
      </c>
      <c r="H565" t="s">
        <v>77</v>
      </c>
    </row>
    <row r="566" spans="1:10" x14ac:dyDescent="0.25">
      <c r="A566" s="1">
        <v>70</v>
      </c>
      <c r="B566" t="s">
        <v>29</v>
      </c>
      <c r="C566">
        <v>33</v>
      </c>
      <c r="D566">
        <v>1</v>
      </c>
      <c r="E566" t="s">
        <v>75</v>
      </c>
      <c r="F566" t="s">
        <v>76</v>
      </c>
      <c r="G566" t="str">
        <f>"2026-03-20 09:22:51.244"</f>
        <v>2026-03-20 09:22:51.244</v>
      </c>
      <c r="H566" t="s">
        <v>77</v>
      </c>
      <c r="I566">
        <v>8.16</v>
      </c>
      <c r="J566" t="s">
        <v>30</v>
      </c>
    </row>
    <row r="567" spans="1:10" x14ac:dyDescent="0.25">
      <c r="A567" s="1">
        <v>71</v>
      </c>
      <c r="B567" t="s">
        <v>19</v>
      </c>
      <c r="C567">
        <v>700</v>
      </c>
      <c r="D567">
        <v>0</v>
      </c>
      <c r="E567" t="s">
        <v>20</v>
      </c>
      <c r="F567" t="s">
        <v>20</v>
      </c>
      <c r="G567" t="str">
        <f>"2026-03-20 08:44:20.472"</f>
        <v>2026-03-20 08:44:20.472</v>
      </c>
      <c r="H567" t="s">
        <v>21</v>
      </c>
      <c r="I567">
        <v>0</v>
      </c>
      <c r="J567" t="s">
        <v>22</v>
      </c>
    </row>
    <row r="568" spans="1:10" x14ac:dyDescent="0.25">
      <c r="A568" s="1">
        <v>72</v>
      </c>
      <c r="B568" t="s">
        <v>19</v>
      </c>
      <c r="C568">
        <v>700</v>
      </c>
      <c r="D568">
        <v>0</v>
      </c>
      <c r="E568" t="s">
        <v>20</v>
      </c>
      <c r="F568" t="s">
        <v>20</v>
      </c>
      <c r="G568" t="str">
        <f>"2026-03-19 04:20:25.462"</f>
        <v>2026-03-19 04:20:25.462</v>
      </c>
      <c r="H568" t="s">
        <v>21</v>
      </c>
      <c r="I568">
        <v>0</v>
      </c>
      <c r="J568" t="s">
        <v>22</v>
      </c>
    </row>
    <row r="569" spans="1:10" x14ac:dyDescent="0.25">
      <c r="A569" s="1">
        <v>73</v>
      </c>
      <c r="B569" t="s">
        <v>26</v>
      </c>
      <c r="C569">
        <v>635</v>
      </c>
      <c r="D569">
        <v>1</v>
      </c>
      <c r="E569" t="s">
        <v>38</v>
      </c>
      <c r="F569" t="s">
        <v>39</v>
      </c>
      <c r="G569" t="str">
        <f>"2026-03-19 03:18:22.764"</f>
        <v>2026-03-19 03:18:22.764</v>
      </c>
      <c r="H569" t="s">
        <v>21</v>
      </c>
    </row>
    <row r="570" spans="1:10" x14ac:dyDescent="0.25">
      <c r="A570" s="1">
        <v>74</v>
      </c>
      <c r="B570" t="s">
        <v>36</v>
      </c>
      <c r="C570">
        <v>635</v>
      </c>
      <c r="D570">
        <v>1</v>
      </c>
      <c r="E570" t="s">
        <v>38</v>
      </c>
      <c r="F570" t="s">
        <v>39</v>
      </c>
      <c r="G570" t="str">
        <f>"2026-03-19 03:14:38.765"</f>
        <v>2026-03-19 03:14:38.765</v>
      </c>
      <c r="H570" t="s">
        <v>21</v>
      </c>
      <c r="I570">
        <v>2.9</v>
      </c>
      <c r="J570" t="s">
        <v>30</v>
      </c>
    </row>
    <row r="571" spans="1:10" x14ac:dyDescent="0.25">
      <c r="A571" s="1">
        <v>75</v>
      </c>
      <c r="B571" t="s">
        <v>19</v>
      </c>
      <c r="C571">
        <v>706</v>
      </c>
      <c r="D571">
        <v>4</v>
      </c>
      <c r="E571" t="s">
        <v>31</v>
      </c>
      <c r="F571" t="s">
        <v>32</v>
      </c>
      <c r="G571" t="str">
        <f>"2026-03-18 23:39:39.434"</f>
        <v>2026-03-18 23:39:39.434</v>
      </c>
      <c r="H571" t="s">
        <v>21</v>
      </c>
      <c r="I571">
        <v>0</v>
      </c>
      <c r="J571" t="s">
        <v>33</v>
      </c>
    </row>
    <row r="572" spans="1:10" x14ac:dyDescent="0.25">
      <c r="A572" s="1">
        <v>76</v>
      </c>
      <c r="B572" t="s">
        <v>19</v>
      </c>
      <c r="C572">
        <v>706</v>
      </c>
      <c r="D572">
        <v>3</v>
      </c>
      <c r="E572" t="s">
        <v>31</v>
      </c>
      <c r="F572" t="s">
        <v>70</v>
      </c>
      <c r="G572" t="str">
        <f>"2026-03-18 23:33:36.064"</f>
        <v>2026-03-18 23:33:36.064</v>
      </c>
      <c r="H572" t="s">
        <v>21</v>
      </c>
      <c r="I572">
        <v>0</v>
      </c>
      <c r="J572" t="s">
        <v>33</v>
      </c>
    </row>
    <row r="573" spans="1:10" x14ac:dyDescent="0.25">
      <c r="A573" s="1">
        <v>77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"2026-03-18 23:31:29.634"</f>
        <v>2026-03-18 23:31:29.634</v>
      </c>
      <c r="H573" t="s">
        <v>21</v>
      </c>
    </row>
    <row r="574" spans="1:10" x14ac:dyDescent="0.25">
      <c r="A574" s="1">
        <v>78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"2026-03-18 23:04:07.509"</f>
        <v>2026-03-18 23:04:07.509</v>
      </c>
      <c r="H574" t="s">
        <v>21</v>
      </c>
      <c r="I574">
        <v>0</v>
      </c>
      <c r="J574" t="s">
        <v>22</v>
      </c>
    </row>
    <row r="575" spans="1:10" x14ac:dyDescent="0.25">
      <c r="A575" s="1">
        <v>79</v>
      </c>
      <c r="B575" t="s">
        <v>19</v>
      </c>
      <c r="C575">
        <v>700</v>
      </c>
      <c r="D575">
        <v>0</v>
      </c>
      <c r="E575" t="s">
        <v>20</v>
      </c>
      <c r="F575" t="s">
        <v>20</v>
      </c>
      <c r="G575" t="str">
        <f>"2026-03-18 22:57:08.452"</f>
        <v>2026-03-18 22:57:08.452</v>
      </c>
      <c r="H575" t="s">
        <v>21</v>
      </c>
      <c r="I575">
        <v>0</v>
      </c>
      <c r="J575" t="s">
        <v>22</v>
      </c>
    </row>
    <row r="576" spans="1:10" x14ac:dyDescent="0.25">
      <c r="A576" s="1">
        <v>80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"2026-03-18 22:51:39.578"</f>
        <v>2026-03-18 22:51:39.578</v>
      </c>
      <c r="H576" t="s">
        <v>21</v>
      </c>
      <c r="I576">
        <v>0</v>
      </c>
      <c r="J576" t="s">
        <v>22</v>
      </c>
    </row>
    <row r="577" spans="1:10" x14ac:dyDescent="0.25">
      <c r="A577" s="1">
        <v>81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"2026-03-18 22:45:32.476"</f>
        <v>2026-03-18 22:45:32.476</v>
      </c>
      <c r="H577" t="s">
        <v>21</v>
      </c>
      <c r="I577">
        <v>0</v>
      </c>
      <c r="J577" t="s">
        <v>22</v>
      </c>
    </row>
    <row r="578" spans="1:10" x14ac:dyDescent="0.25">
      <c r="A578" s="1">
        <v>82</v>
      </c>
      <c r="B578" t="s">
        <v>26</v>
      </c>
      <c r="C578">
        <v>98</v>
      </c>
      <c r="D578">
        <v>1</v>
      </c>
      <c r="E578" t="s">
        <v>34</v>
      </c>
      <c r="F578" t="s">
        <v>35</v>
      </c>
      <c r="G578" t="str">
        <f>"2026-03-18 14:42:03.882"</f>
        <v>2026-03-18 14:42:03.882</v>
      </c>
      <c r="H578" t="s">
        <v>21</v>
      </c>
    </row>
    <row r="579" spans="1:10" x14ac:dyDescent="0.25">
      <c r="A579" s="1">
        <v>83</v>
      </c>
      <c r="B579" t="s">
        <v>36</v>
      </c>
      <c r="C579">
        <v>98</v>
      </c>
      <c r="D579">
        <v>1</v>
      </c>
      <c r="E579" t="s">
        <v>34</v>
      </c>
      <c r="F579" t="s">
        <v>35</v>
      </c>
      <c r="G579" t="str">
        <f>"2026-03-18 14:42:02.783"</f>
        <v>2026-03-18 14:42:02.783</v>
      </c>
      <c r="H579" t="s">
        <v>21</v>
      </c>
      <c r="I579">
        <v>0</v>
      </c>
      <c r="J579" t="s">
        <v>37</v>
      </c>
    </row>
    <row r="580" spans="1:10" x14ac:dyDescent="0.25">
      <c r="A580" s="1">
        <v>84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"2026-03-16 05:19:46.438"</f>
        <v>2026-03-16 05:19:46.438</v>
      </c>
      <c r="H580" t="s">
        <v>21</v>
      </c>
      <c r="I580">
        <v>0</v>
      </c>
      <c r="J580" t="s">
        <v>22</v>
      </c>
    </row>
    <row r="581" spans="1:10" x14ac:dyDescent="0.25">
      <c r="A581" s="1">
        <v>85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"2026-03-16 05:16:40.624"</f>
        <v>2026-03-16 05:16:40.624</v>
      </c>
      <c r="H581" t="s">
        <v>21</v>
      </c>
      <c r="I581">
        <v>0</v>
      </c>
      <c r="J581" t="s">
        <v>22</v>
      </c>
    </row>
    <row r="582" spans="1:10" x14ac:dyDescent="0.25">
      <c r="A582" s="1">
        <v>86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"2026-03-16 05:12:48.471"</f>
        <v>2026-03-16 05:12:48.471</v>
      </c>
      <c r="H582" t="s">
        <v>21</v>
      </c>
    </row>
    <row r="583" spans="1:10" x14ac:dyDescent="0.25">
      <c r="A583" s="1">
        <v>87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"2026-03-15 13:27:24.673"</f>
        <v>2026-03-15 13:27:24.673</v>
      </c>
      <c r="H583" t="s">
        <v>21</v>
      </c>
    </row>
    <row r="584" spans="1:10" x14ac:dyDescent="0.25">
      <c r="A584" s="1">
        <v>88</v>
      </c>
      <c r="B584" t="s">
        <v>26</v>
      </c>
      <c r="C584">
        <v>61</v>
      </c>
      <c r="D584">
        <v>2</v>
      </c>
      <c r="E584" t="s">
        <v>44</v>
      </c>
      <c r="F584" t="s">
        <v>45</v>
      </c>
      <c r="G584" t="str">
        <f>"2026-03-15 11:30:45.493"</f>
        <v>2026-03-15 11:30:45.493</v>
      </c>
      <c r="H584" t="s">
        <v>21</v>
      </c>
    </row>
    <row r="585" spans="1:10" x14ac:dyDescent="0.25">
      <c r="A585" s="1">
        <v>89</v>
      </c>
      <c r="B585" t="s">
        <v>29</v>
      </c>
      <c r="C585">
        <v>61</v>
      </c>
      <c r="D585">
        <v>2</v>
      </c>
      <c r="E585" t="s">
        <v>44</v>
      </c>
      <c r="F585" t="s">
        <v>45</v>
      </c>
      <c r="G585" t="str">
        <f>"2026-03-15 11:30:34.193"</f>
        <v>2026-03-15 11:30:34.193</v>
      </c>
      <c r="H585" t="s">
        <v>21</v>
      </c>
      <c r="I585">
        <v>30.08</v>
      </c>
      <c r="J585" t="s">
        <v>42</v>
      </c>
    </row>
    <row r="586" spans="1:10" x14ac:dyDescent="0.25">
      <c r="A586" s="1">
        <v>90</v>
      </c>
      <c r="B586" t="s">
        <v>26</v>
      </c>
      <c r="C586">
        <v>635</v>
      </c>
      <c r="D586">
        <v>1</v>
      </c>
      <c r="E586" t="s">
        <v>38</v>
      </c>
      <c r="F586" t="s">
        <v>39</v>
      </c>
      <c r="G586" t="str">
        <f>"2026-03-14 17:02:42.080"</f>
        <v>2026-03-14 17:02:42.080</v>
      </c>
      <c r="H586" t="s">
        <v>21</v>
      </c>
    </row>
    <row r="587" spans="1:10" x14ac:dyDescent="0.25">
      <c r="A587" s="1">
        <v>91</v>
      </c>
      <c r="B587" t="s">
        <v>36</v>
      </c>
      <c r="C587">
        <v>635</v>
      </c>
      <c r="D587">
        <v>1</v>
      </c>
      <c r="E587" t="s">
        <v>38</v>
      </c>
      <c r="F587" t="s">
        <v>39</v>
      </c>
      <c r="G587" t="str">
        <f>"2026-03-14 17:00:47.081"</f>
        <v>2026-03-14 17:00:47.081</v>
      </c>
      <c r="H587" t="s">
        <v>21</v>
      </c>
      <c r="I587">
        <v>9.68</v>
      </c>
      <c r="J587" t="s">
        <v>42</v>
      </c>
    </row>
    <row r="588" spans="1:10" x14ac:dyDescent="0.25">
      <c r="A588" s="1">
        <v>92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"2026-03-13 20:22:31.460"</f>
        <v>2026-03-13 20:22:31.460</v>
      </c>
      <c r="H588" t="s">
        <v>21</v>
      </c>
      <c r="I588">
        <v>0</v>
      </c>
      <c r="J588" t="s">
        <v>22</v>
      </c>
    </row>
    <row r="589" spans="1:10" x14ac:dyDescent="0.25">
      <c r="A589" s="1">
        <v>93</v>
      </c>
      <c r="B589" t="s">
        <v>26</v>
      </c>
      <c r="C589">
        <v>635</v>
      </c>
      <c r="D589">
        <v>1</v>
      </c>
      <c r="E589" t="s">
        <v>38</v>
      </c>
      <c r="F589" t="s">
        <v>39</v>
      </c>
      <c r="G589" t="str">
        <f>"2026-03-13 10:44:41.217"</f>
        <v>2026-03-13 10:44:41.217</v>
      </c>
      <c r="H589" t="s">
        <v>21</v>
      </c>
    </row>
    <row r="590" spans="1:10" x14ac:dyDescent="0.25">
      <c r="A590" s="1">
        <v>94</v>
      </c>
      <c r="B590" t="s">
        <v>36</v>
      </c>
      <c r="C590">
        <v>635</v>
      </c>
      <c r="D590">
        <v>1</v>
      </c>
      <c r="E590" t="s">
        <v>38</v>
      </c>
      <c r="F590" t="s">
        <v>39</v>
      </c>
      <c r="G590" t="str">
        <f>"2026-03-13 10:42:43.717"</f>
        <v>2026-03-13 10:42:43.717</v>
      </c>
      <c r="H590" t="s">
        <v>21</v>
      </c>
      <c r="I590">
        <v>-0.03</v>
      </c>
      <c r="J590" t="s">
        <v>37</v>
      </c>
    </row>
    <row r="591" spans="1:10" x14ac:dyDescent="0.25">
      <c r="A591" s="1">
        <v>95</v>
      </c>
      <c r="B591" t="s">
        <v>26</v>
      </c>
      <c r="C591">
        <v>635</v>
      </c>
      <c r="D591">
        <v>1</v>
      </c>
      <c r="E591" t="s">
        <v>38</v>
      </c>
      <c r="F591" t="s">
        <v>39</v>
      </c>
      <c r="G591" t="str">
        <f>"2026-03-11 08:31:10.917"</f>
        <v>2026-03-11 08:31:10.917</v>
      </c>
      <c r="H591" t="s">
        <v>21</v>
      </c>
    </row>
    <row r="592" spans="1:10" x14ac:dyDescent="0.25">
      <c r="A592" s="1">
        <v>96</v>
      </c>
      <c r="B592" t="s">
        <v>36</v>
      </c>
      <c r="C592">
        <v>635</v>
      </c>
      <c r="D592">
        <v>1</v>
      </c>
      <c r="E592" t="s">
        <v>38</v>
      </c>
      <c r="F592" t="s">
        <v>39</v>
      </c>
      <c r="G592" t="str">
        <f>"2026-03-11 08:26:26.017"</f>
        <v>2026-03-11 08:26:26.017</v>
      </c>
      <c r="H592" t="s">
        <v>21</v>
      </c>
      <c r="I592">
        <v>5.18</v>
      </c>
      <c r="J592" t="s">
        <v>30</v>
      </c>
    </row>
    <row r="593" spans="1:10" x14ac:dyDescent="0.25">
      <c r="A593" s="1">
        <v>97</v>
      </c>
      <c r="B593" t="s">
        <v>26</v>
      </c>
      <c r="C593">
        <v>635</v>
      </c>
      <c r="D593">
        <v>1</v>
      </c>
      <c r="E593" t="s">
        <v>38</v>
      </c>
      <c r="F593" t="s">
        <v>39</v>
      </c>
      <c r="G593" t="str">
        <f>"2026-03-11 07:03:56.717"</f>
        <v>2026-03-11 07:03:56.717</v>
      </c>
      <c r="H593" t="s">
        <v>21</v>
      </c>
    </row>
    <row r="594" spans="1:10" x14ac:dyDescent="0.25">
      <c r="A594" s="1">
        <v>98</v>
      </c>
      <c r="B594" t="s">
        <v>36</v>
      </c>
      <c r="C594">
        <v>635</v>
      </c>
      <c r="D594">
        <v>1</v>
      </c>
      <c r="E594" t="s">
        <v>38</v>
      </c>
      <c r="F594" t="s">
        <v>39</v>
      </c>
      <c r="G594" t="str">
        <f>"2026-03-11 06:52:52.217"</f>
        <v>2026-03-11 06:52:52.217</v>
      </c>
      <c r="H594" t="s">
        <v>21</v>
      </c>
      <c r="I594">
        <v>5.57</v>
      </c>
      <c r="J594" t="s">
        <v>30</v>
      </c>
    </row>
    <row r="595" spans="1:10" x14ac:dyDescent="0.25">
      <c r="A595" s="1">
        <v>99</v>
      </c>
      <c r="B595" t="s">
        <v>26</v>
      </c>
      <c r="C595">
        <v>98</v>
      </c>
      <c r="D595">
        <v>1</v>
      </c>
      <c r="E595" t="s">
        <v>34</v>
      </c>
      <c r="F595" t="s">
        <v>35</v>
      </c>
      <c r="G595" t="str">
        <f>"2026-03-10 19:32:37.090"</f>
        <v>2026-03-10 19:32:37.090</v>
      </c>
      <c r="H595" t="s">
        <v>21</v>
      </c>
    </row>
    <row r="596" spans="1:10" x14ac:dyDescent="0.25">
      <c r="A596" s="1">
        <v>0</v>
      </c>
      <c r="B596" t="s">
        <v>36</v>
      </c>
      <c r="C596">
        <v>98</v>
      </c>
      <c r="D596">
        <v>1</v>
      </c>
      <c r="E596" t="s">
        <v>34</v>
      </c>
      <c r="F596" t="s">
        <v>35</v>
      </c>
      <c r="G596" t="str">
        <f>"2026-03-10 19:32:35.991"</f>
        <v>2026-03-10 19:32:35.991</v>
      </c>
      <c r="H596" t="s">
        <v>21</v>
      </c>
      <c r="I596">
        <v>0</v>
      </c>
      <c r="J596" t="s">
        <v>37</v>
      </c>
    </row>
    <row r="597" spans="1:10" x14ac:dyDescent="0.25">
      <c r="A597" s="1">
        <v>1</v>
      </c>
      <c r="B597" t="s">
        <v>26</v>
      </c>
      <c r="C597">
        <v>635</v>
      </c>
      <c r="D597">
        <v>1</v>
      </c>
      <c r="E597" t="s">
        <v>38</v>
      </c>
      <c r="F597" t="s">
        <v>39</v>
      </c>
      <c r="G597" t="str">
        <f>"2026-03-10 00:11:16.717"</f>
        <v>2026-03-10 00:11:16.717</v>
      </c>
      <c r="H597" t="s">
        <v>21</v>
      </c>
    </row>
    <row r="598" spans="1:10" x14ac:dyDescent="0.25">
      <c r="A598" s="1">
        <v>2</v>
      </c>
      <c r="B598" t="s">
        <v>36</v>
      </c>
      <c r="C598">
        <v>635</v>
      </c>
      <c r="D598">
        <v>1</v>
      </c>
      <c r="E598" t="s">
        <v>38</v>
      </c>
      <c r="F598" t="s">
        <v>39</v>
      </c>
      <c r="G598" t="str">
        <f>"2026-03-10 00:07:26.817"</f>
        <v>2026-03-10 00:07:26.817</v>
      </c>
      <c r="H598" t="s">
        <v>21</v>
      </c>
      <c r="I598">
        <v>0.02</v>
      </c>
      <c r="J598" t="s">
        <v>37</v>
      </c>
    </row>
    <row r="599" spans="1:10" x14ac:dyDescent="0.25">
      <c r="A599" s="1">
        <v>3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"2026-03-09 23:02:05.450"</f>
        <v>2026-03-09 23:02:05.450</v>
      </c>
      <c r="H599" t="s">
        <v>21</v>
      </c>
      <c r="I599">
        <v>0</v>
      </c>
      <c r="J599" t="s">
        <v>22</v>
      </c>
    </row>
    <row r="600" spans="1:10" x14ac:dyDescent="0.25">
      <c r="A600" s="1">
        <v>4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"2026-03-09 22:05:40.437"</f>
        <v>2026-03-09 22:05:40.437</v>
      </c>
      <c r="H600" t="s">
        <v>21</v>
      </c>
      <c r="I600">
        <v>0</v>
      </c>
      <c r="J600" t="s">
        <v>22</v>
      </c>
    </row>
    <row r="601" spans="1:10" x14ac:dyDescent="0.25">
      <c r="A601" s="1">
        <v>5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"2026-03-09 22:02:33.435"</f>
        <v>2026-03-09 22:02:33.435</v>
      </c>
      <c r="H601" t="s">
        <v>21</v>
      </c>
    </row>
    <row r="602" spans="1:10" x14ac:dyDescent="0.25">
      <c r="A602" s="1">
        <v>6</v>
      </c>
      <c r="B602" t="s">
        <v>19</v>
      </c>
      <c r="C602">
        <v>706</v>
      </c>
      <c r="D602">
        <v>2</v>
      </c>
      <c r="E602" t="s">
        <v>31</v>
      </c>
      <c r="F602" t="s">
        <v>43</v>
      </c>
      <c r="G602" t="str">
        <f>"2026-03-09 21:58:31.845"</f>
        <v>2026-03-09 21:58:31.845</v>
      </c>
      <c r="H602" t="s">
        <v>21</v>
      </c>
      <c r="I602">
        <v>0</v>
      </c>
      <c r="J602" t="s">
        <v>33</v>
      </c>
    </row>
    <row r="603" spans="1:10" x14ac:dyDescent="0.25">
      <c r="A603" s="1">
        <v>7</v>
      </c>
      <c r="B603" t="s">
        <v>19</v>
      </c>
      <c r="C603">
        <v>700</v>
      </c>
      <c r="D603">
        <v>0</v>
      </c>
      <c r="E603" t="s">
        <v>20</v>
      </c>
      <c r="F603" t="s">
        <v>20</v>
      </c>
      <c r="G603" t="str">
        <f>"2026-03-09 21:18:12.455"</f>
        <v>2026-03-09 21:18:12.455</v>
      </c>
      <c r="H603" t="s">
        <v>21</v>
      </c>
      <c r="I603">
        <v>0</v>
      </c>
      <c r="J603" t="s">
        <v>22</v>
      </c>
    </row>
    <row r="604" spans="1:10" x14ac:dyDescent="0.25">
      <c r="A604" s="1">
        <v>8</v>
      </c>
      <c r="B604" t="s">
        <v>26</v>
      </c>
      <c r="C604">
        <v>98</v>
      </c>
      <c r="D604">
        <v>1</v>
      </c>
      <c r="E604" t="s">
        <v>34</v>
      </c>
      <c r="F604" t="s">
        <v>35</v>
      </c>
      <c r="G604" t="str">
        <f>"2026-03-09 19:31:26.885"</f>
        <v>2026-03-09 19:31:26.885</v>
      </c>
      <c r="H604" t="s">
        <v>21</v>
      </c>
    </row>
    <row r="605" spans="1:10" x14ac:dyDescent="0.25">
      <c r="A605" s="1">
        <v>9</v>
      </c>
      <c r="B605" t="s">
        <v>36</v>
      </c>
      <c r="C605">
        <v>98</v>
      </c>
      <c r="D605">
        <v>1</v>
      </c>
      <c r="E605" t="s">
        <v>34</v>
      </c>
      <c r="F605" t="s">
        <v>35</v>
      </c>
      <c r="G605" t="str">
        <f>"2026-03-09 19:31:25.885"</f>
        <v>2026-03-09 19:31:25.885</v>
      </c>
      <c r="H605" t="s">
        <v>21</v>
      </c>
      <c r="I605">
        <v>0</v>
      </c>
      <c r="J605" t="s">
        <v>37</v>
      </c>
    </row>
    <row r="606" spans="1:10" x14ac:dyDescent="0.25">
      <c r="A606" s="1">
        <v>10</v>
      </c>
      <c r="B606" t="s">
        <v>26</v>
      </c>
      <c r="C606">
        <v>98</v>
      </c>
      <c r="D606">
        <v>1</v>
      </c>
      <c r="E606" t="s">
        <v>34</v>
      </c>
      <c r="F606" t="s">
        <v>35</v>
      </c>
      <c r="G606" t="str">
        <f>"2026-03-09 19:31:23.485"</f>
        <v>2026-03-09 19:31:23.485</v>
      </c>
      <c r="H606" t="s">
        <v>21</v>
      </c>
    </row>
    <row r="607" spans="1:10" x14ac:dyDescent="0.25">
      <c r="A607" s="1">
        <v>11</v>
      </c>
      <c r="B607" t="s">
        <v>36</v>
      </c>
      <c r="C607">
        <v>98</v>
      </c>
      <c r="D607">
        <v>1</v>
      </c>
      <c r="E607" t="s">
        <v>34</v>
      </c>
      <c r="F607" t="s">
        <v>35</v>
      </c>
      <c r="G607" t="str">
        <f>"2026-03-09 19:31:22.485"</f>
        <v>2026-03-09 19:31:22.485</v>
      </c>
      <c r="H607" t="s">
        <v>21</v>
      </c>
      <c r="I607">
        <v>0</v>
      </c>
      <c r="J607" t="s">
        <v>37</v>
      </c>
    </row>
    <row r="608" spans="1:10" x14ac:dyDescent="0.25">
      <c r="A608" s="1">
        <v>12</v>
      </c>
      <c r="B608" t="s">
        <v>26</v>
      </c>
      <c r="C608">
        <v>635</v>
      </c>
      <c r="D608">
        <v>1</v>
      </c>
      <c r="E608" t="s">
        <v>38</v>
      </c>
      <c r="F608" t="s">
        <v>39</v>
      </c>
      <c r="G608" t="str">
        <f>"2026-03-09 15:54:46.665"</f>
        <v>2026-03-09 15:54:46.665</v>
      </c>
      <c r="H608" t="s">
        <v>21</v>
      </c>
    </row>
    <row r="609" spans="1:10" x14ac:dyDescent="0.25">
      <c r="A609" s="1">
        <v>13</v>
      </c>
      <c r="B609" t="s">
        <v>36</v>
      </c>
      <c r="C609">
        <v>635</v>
      </c>
      <c r="D609">
        <v>1</v>
      </c>
      <c r="E609" t="s">
        <v>38</v>
      </c>
      <c r="F609" t="s">
        <v>39</v>
      </c>
      <c r="G609" t="str">
        <f>"2026-03-09 15:50:23.165"</f>
        <v>2026-03-09 15:50:23.165</v>
      </c>
      <c r="H609" t="s">
        <v>21</v>
      </c>
      <c r="I609">
        <v>4.7</v>
      </c>
      <c r="J609" t="s">
        <v>30</v>
      </c>
    </row>
    <row r="610" spans="1:10" x14ac:dyDescent="0.25">
      <c r="A610" s="1">
        <v>14</v>
      </c>
      <c r="B610" t="s">
        <v>19</v>
      </c>
      <c r="C610">
        <v>706</v>
      </c>
      <c r="D610">
        <v>4</v>
      </c>
      <c r="E610" t="s">
        <v>31</v>
      </c>
      <c r="F610" t="s">
        <v>32</v>
      </c>
      <c r="G610" t="str">
        <f>"2026-03-08 13:37:15.651"</f>
        <v>2026-03-08 13:37:15.651</v>
      </c>
      <c r="H610" t="s">
        <v>21</v>
      </c>
      <c r="I610">
        <v>0</v>
      </c>
      <c r="J610" t="s">
        <v>33</v>
      </c>
    </row>
    <row r="611" spans="1:10" x14ac:dyDescent="0.25">
      <c r="A611" s="1">
        <v>15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"2026-03-08 13:36:07.451"</f>
        <v>2026-03-08 13:36:07.451</v>
      </c>
      <c r="H611" t="s">
        <v>21</v>
      </c>
      <c r="I611">
        <v>0</v>
      </c>
      <c r="J611" t="s">
        <v>22</v>
      </c>
    </row>
    <row r="612" spans="1:10" x14ac:dyDescent="0.25">
      <c r="A612" s="1">
        <v>16</v>
      </c>
      <c r="B612" t="s">
        <v>26</v>
      </c>
      <c r="C612">
        <v>61</v>
      </c>
      <c r="D612">
        <v>2</v>
      </c>
      <c r="E612" t="s">
        <v>44</v>
      </c>
      <c r="F612" t="s">
        <v>45</v>
      </c>
      <c r="G612" t="str">
        <f>"2026-03-08 09:40:09.069"</f>
        <v>2026-03-08 09:40:09.069</v>
      </c>
      <c r="H612" t="s">
        <v>21</v>
      </c>
    </row>
    <row r="613" spans="1:10" x14ac:dyDescent="0.25">
      <c r="A613" s="1">
        <v>17</v>
      </c>
      <c r="B613" t="s">
        <v>29</v>
      </c>
      <c r="C613">
        <v>61</v>
      </c>
      <c r="D613">
        <v>2</v>
      </c>
      <c r="E613" t="s">
        <v>44</v>
      </c>
      <c r="F613" t="s">
        <v>45</v>
      </c>
      <c r="G613" t="str">
        <f>"2026-03-08 09:39:46.568"</f>
        <v>2026-03-08 09:39:46.568</v>
      </c>
      <c r="H613" t="s">
        <v>21</v>
      </c>
      <c r="I613">
        <v>30.03</v>
      </c>
      <c r="J613" t="s">
        <v>42</v>
      </c>
    </row>
    <row r="614" spans="1:10" x14ac:dyDescent="0.25">
      <c r="A614" s="1">
        <v>18</v>
      </c>
      <c r="B614" t="s">
        <v>26</v>
      </c>
      <c r="C614">
        <v>61</v>
      </c>
      <c r="D614">
        <v>2</v>
      </c>
      <c r="E614" t="s">
        <v>44</v>
      </c>
      <c r="F614" t="s">
        <v>45</v>
      </c>
      <c r="G614" t="str">
        <f>"2026-03-07 19:36:20.368"</f>
        <v>2026-03-07 19:36:20.368</v>
      </c>
      <c r="H614" t="s">
        <v>21</v>
      </c>
    </row>
    <row r="615" spans="1:10" x14ac:dyDescent="0.25">
      <c r="A615" s="1">
        <v>19</v>
      </c>
      <c r="B615" t="s">
        <v>29</v>
      </c>
      <c r="C615">
        <v>61</v>
      </c>
      <c r="D615">
        <v>2</v>
      </c>
      <c r="E615" t="s">
        <v>44</v>
      </c>
      <c r="F615" t="s">
        <v>45</v>
      </c>
      <c r="G615" t="str">
        <f>"2026-03-07 19:36:00.769"</f>
        <v>2026-03-07 19:36:00.769</v>
      </c>
      <c r="H615" t="s">
        <v>21</v>
      </c>
      <c r="I615">
        <v>29.78</v>
      </c>
      <c r="J615" t="s">
        <v>42</v>
      </c>
    </row>
    <row r="616" spans="1:10" x14ac:dyDescent="0.25">
      <c r="A616" s="1">
        <v>20</v>
      </c>
      <c r="B616" t="s">
        <v>19</v>
      </c>
      <c r="C616">
        <v>706</v>
      </c>
      <c r="D616">
        <v>4</v>
      </c>
      <c r="E616" t="s">
        <v>31</v>
      </c>
      <c r="F616" t="s">
        <v>32</v>
      </c>
      <c r="G616" t="str">
        <f>"2026-03-07 07:08:25.649"</f>
        <v>2026-03-07 07:08:25.649</v>
      </c>
      <c r="H616" t="s">
        <v>21</v>
      </c>
      <c r="I616">
        <v>0</v>
      </c>
      <c r="J616" t="s">
        <v>33</v>
      </c>
    </row>
    <row r="617" spans="1:10" x14ac:dyDescent="0.25">
      <c r="A617" s="1">
        <v>21</v>
      </c>
      <c r="B617" t="s">
        <v>19</v>
      </c>
      <c r="C617">
        <v>700</v>
      </c>
      <c r="D617">
        <v>0</v>
      </c>
      <c r="E617" t="s">
        <v>20</v>
      </c>
      <c r="F617" t="s">
        <v>20</v>
      </c>
      <c r="G617" t="str">
        <f>"2026-03-07 07:07:59.439"</f>
        <v>2026-03-07 07:07:59.439</v>
      </c>
      <c r="H617" t="s">
        <v>21</v>
      </c>
    </row>
    <row r="618" spans="1:10" x14ac:dyDescent="0.25">
      <c r="A618" s="1">
        <v>22</v>
      </c>
      <c r="B618" t="s">
        <v>26</v>
      </c>
      <c r="C618">
        <v>61</v>
      </c>
      <c r="D618">
        <v>2</v>
      </c>
      <c r="E618" t="s">
        <v>44</v>
      </c>
      <c r="F618" t="s">
        <v>45</v>
      </c>
      <c r="G618" t="str">
        <f>"2026-03-06 19:31:58.373"</f>
        <v>2026-03-06 19:31:58.373</v>
      </c>
      <c r="H618" t="s">
        <v>21</v>
      </c>
    </row>
    <row r="619" spans="1:10" x14ac:dyDescent="0.25">
      <c r="A619" s="1">
        <v>23</v>
      </c>
      <c r="B619" t="s">
        <v>29</v>
      </c>
      <c r="C619">
        <v>61</v>
      </c>
      <c r="D619">
        <v>2</v>
      </c>
      <c r="E619" t="s">
        <v>44</v>
      </c>
      <c r="F619" t="s">
        <v>45</v>
      </c>
      <c r="G619" t="str">
        <f>"2026-03-06 19:31:45.574"</f>
        <v>2026-03-06 19:31:45.574</v>
      </c>
      <c r="H619" t="s">
        <v>21</v>
      </c>
      <c r="I619">
        <v>30.56</v>
      </c>
      <c r="J619" t="s">
        <v>42</v>
      </c>
    </row>
    <row r="620" spans="1:10" x14ac:dyDescent="0.25">
      <c r="A620" s="1">
        <v>24</v>
      </c>
      <c r="B620" t="s">
        <v>26</v>
      </c>
      <c r="C620">
        <v>635</v>
      </c>
      <c r="D620">
        <v>1</v>
      </c>
      <c r="E620" t="s">
        <v>38</v>
      </c>
      <c r="F620" t="s">
        <v>39</v>
      </c>
      <c r="G620" t="str">
        <f>"2026-03-06 00:43:39.881"</f>
        <v>2026-03-06 00:43:39.881</v>
      </c>
      <c r="H620" t="s">
        <v>21</v>
      </c>
    </row>
    <row r="621" spans="1:10" x14ac:dyDescent="0.25">
      <c r="A621" s="1">
        <v>25</v>
      </c>
      <c r="B621" t="s">
        <v>36</v>
      </c>
      <c r="C621">
        <v>635</v>
      </c>
      <c r="D621">
        <v>1</v>
      </c>
      <c r="E621" t="s">
        <v>38</v>
      </c>
      <c r="F621" t="s">
        <v>39</v>
      </c>
      <c r="G621" t="str">
        <f>"2026-03-06 00:37:47.381"</f>
        <v>2026-03-06 00:37:47.381</v>
      </c>
      <c r="H621" t="s">
        <v>21</v>
      </c>
      <c r="I621">
        <v>3.47</v>
      </c>
      <c r="J621" t="s">
        <v>30</v>
      </c>
    </row>
    <row r="622" spans="1:10" x14ac:dyDescent="0.25">
      <c r="A622" s="1">
        <v>26</v>
      </c>
      <c r="B622" t="s">
        <v>26</v>
      </c>
      <c r="C622">
        <v>635</v>
      </c>
      <c r="D622">
        <v>1</v>
      </c>
      <c r="E622" t="s">
        <v>38</v>
      </c>
      <c r="F622" t="s">
        <v>39</v>
      </c>
      <c r="G622" t="str">
        <f>"2026-03-05 11:59:40.881"</f>
        <v>2026-03-05 11:59:40.881</v>
      </c>
      <c r="H622" t="s">
        <v>21</v>
      </c>
    </row>
    <row r="623" spans="1:10" x14ac:dyDescent="0.25">
      <c r="A623" s="1">
        <v>27</v>
      </c>
      <c r="B623" t="s">
        <v>36</v>
      </c>
      <c r="C623">
        <v>635</v>
      </c>
      <c r="D623">
        <v>1</v>
      </c>
      <c r="E623" t="s">
        <v>38</v>
      </c>
      <c r="F623" t="s">
        <v>39</v>
      </c>
      <c r="G623" t="str">
        <f>"2026-03-05 11:55:59.382"</f>
        <v>2026-03-05 11:55:59.382</v>
      </c>
      <c r="H623" t="s">
        <v>21</v>
      </c>
      <c r="I623">
        <v>2.99</v>
      </c>
      <c r="J623" t="s">
        <v>37</v>
      </c>
    </row>
    <row r="624" spans="1:10" x14ac:dyDescent="0.25">
      <c r="A624" s="1">
        <v>28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"2026-03-05 11:36:14.433"</f>
        <v>2026-03-05 11:36:14.433</v>
      </c>
      <c r="H624" t="s">
        <v>21</v>
      </c>
    </row>
    <row r="625" spans="1:10" x14ac:dyDescent="0.25">
      <c r="A625" s="1">
        <v>29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"2026-03-04 08:39:10.601"</f>
        <v>2026-03-04 08:39:10.601</v>
      </c>
      <c r="H625" t="s">
        <v>21</v>
      </c>
    </row>
    <row r="626" spans="1:10" x14ac:dyDescent="0.25">
      <c r="A626" s="1">
        <v>31</v>
      </c>
      <c r="B626" t="s">
        <v>19</v>
      </c>
      <c r="C626">
        <v>706</v>
      </c>
      <c r="D626">
        <v>4</v>
      </c>
      <c r="E626" t="s">
        <v>31</v>
      </c>
      <c r="F626" t="s">
        <v>32</v>
      </c>
      <c r="G626" t="str">
        <f>"2026-03-02 14:22:43.468"</f>
        <v>2026-03-02 14:22:43.468</v>
      </c>
      <c r="H626" t="s">
        <v>21</v>
      </c>
      <c r="I626">
        <v>0</v>
      </c>
      <c r="J626" t="s">
        <v>33</v>
      </c>
    </row>
    <row r="627" spans="1:10" x14ac:dyDescent="0.25">
      <c r="A627" s="1">
        <v>32</v>
      </c>
      <c r="B627" t="s">
        <v>19</v>
      </c>
      <c r="C627">
        <v>700</v>
      </c>
      <c r="D627">
        <v>0</v>
      </c>
      <c r="E627" t="s">
        <v>20</v>
      </c>
      <c r="F627" t="s">
        <v>20</v>
      </c>
      <c r="G627" t="str">
        <f>"2026-03-02 14:22:19.638"</f>
        <v>2026-03-02 14:22:19.638</v>
      </c>
      <c r="H627" t="s">
        <v>21</v>
      </c>
      <c r="I627">
        <v>0</v>
      </c>
      <c r="J627" t="s">
        <v>22</v>
      </c>
    </row>
    <row r="628" spans="1:10" x14ac:dyDescent="0.25">
      <c r="A628" s="1">
        <v>33</v>
      </c>
      <c r="B628" t="s">
        <v>26</v>
      </c>
      <c r="C628">
        <v>635</v>
      </c>
      <c r="D628">
        <v>1</v>
      </c>
      <c r="E628" t="s">
        <v>38</v>
      </c>
      <c r="F628" t="s">
        <v>39</v>
      </c>
      <c r="G628" t="str">
        <f>"2026-03-01 05:03:49.492"</f>
        <v>2026-03-01 05:03:49.492</v>
      </c>
      <c r="H628" t="s">
        <v>21</v>
      </c>
    </row>
    <row r="629" spans="1:10" x14ac:dyDescent="0.25">
      <c r="A629" s="1">
        <v>34</v>
      </c>
      <c r="B629" t="s">
        <v>36</v>
      </c>
      <c r="C629">
        <v>635</v>
      </c>
      <c r="D629">
        <v>1</v>
      </c>
      <c r="E629" t="s">
        <v>38</v>
      </c>
      <c r="F629" t="s">
        <v>39</v>
      </c>
      <c r="G629" t="str">
        <f>"2026-03-01 05:00:42.092"</f>
        <v>2026-03-01 05:00:42.092</v>
      </c>
      <c r="H629" t="s">
        <v>21</v>
      </c>
      <c r="I629">
        <v>7.08</v>
      </c>
      <c r="J629" t="s">
        <v>30</v>
      </c>
    </row>
    <row r="630" spans="1:10" x14ac:dyDescent="0.25">
      <c r="A630" s="1">
        <v>35</v>
      </c>
      <c r="B630" t="s">
        <v>26</v>
      </c>
      <c r="C630">
        <v>635</v>
      </c>
      <c r="D630">
        <v>1</v>
      </c>
      <c r="E630" t="s">
        <v>38</v>
      </c>
      <c r="F630" t="s">
        <v>39</v>
      </c>
      <c r="G630" t="str">
        <f>"2026-02-28 10:31:48.592"</f>
        <v>2026-02-28 10:31:48.592</v>
      </c>
      <c r="H630" t="s">
        <v>21</v>
      </c>
    </row>
    <row r="631" spans="1:10" x14ac:dyDescent="0.25">
      <c r="A631" s="1">
        <v>36</v>
      </c>
      <c r="B631" t="s">
        <v>36</v>
      </c>
      <c r="C631">
        <v>635</v>
      </c>
      <c r="D631">
        <v>1</v>
      </c>
      <c r="E631" t="s">
        <v>38</v>
      </c>
      <c r="F631" t="s">
        <v>39</v>
      </c>
      <c r="G631" t="str">
        <f>"2026-02-28 10:27:10.092"</f>
        <v>2026-02-28 10:27:10.092</v>
      </c>
      <c r="H631" t="s">
        <v>21</v>
      </c>
      <c r="I631">
        <v>3.28</v>
      </c>
      <c r="J631" t="s">
        <v>42</v>
      </c>
    </row>
    <row r="632" spans="1:10" x14ac:dyDescent="0.25">
      <c r="A632" s="1">
        <v>37</v>
      </c>
      <c r="B632" t="s">
        <v>26</v>
      </c>
      <c r="C632">
        <v>635</v>
      </c>
      <c r="D632">
        <v>1</v>
      </c>
      <c r="E632" t="s">
        <v>38</v>
      </c>
      <c r="F632" t="s">
        <v>39</v>
      </c>
      <c r="G632" t="str">
        <f>"2026-02-27 23:31:00.392"</f>
        <v>2026-02-27 23:31:00.392</v>
      </c>
      <c r="H632" t="s">
        <v>21</v>
      </c>
    </row>
    <row r="633" spans="1:10" x14ac:dyDescent="0.25">
      <c r="A633" s="1">
        <v>38</v>
      </c>
      <c r="B633" t="s">
        <v>36</v>
      </c>
      <c r="C633">
        <v>635</v>
      </c>
      <c r="D633">
        <v>1</v>
      </c>
      <c r="E633" t="s">
        <v>38</v>
      </c>
      <c r="F633" t="s">
        <v>39</v>
      </c>
      <c r="G633" t="str">
        <f>"2026-02-27 23:28:33.892"</f>
        <v>2026-02-27 23:28:33.892</v>
      </c>
      <c r="H633" t="s">
        <v>21</v>
      </c>
      <c r="I633">
        <v>2.86</v>
      </c>
      <c r="J633" t="s">
        <v>37</v>
      </c>
    </row>
    <row r="634" spans="1:10" x14ac:dyDescent="0.25">
      <c r="A634" s="1">
        <v>39</v>
      </c>
      <c r="B634" t="s">
        <v>19</v>
      </c>
      <c r="C634">
        <v>700</v>
      </c>
      <c r="D634">
        <v>0</v>
      </c>
      <c r="E634" t="s">
        <v>20</v>
      </c>
      <c r="F634" t="s">
        <v>20</v>
      </c>
      <c r="G634" t="str">
        <f>"2026-02-27 20:04:57.464"</f>
        <v>2026-02-27 20:04:57.464</v>
      </c>
      <c r="H634" t="s">
        <v>21</v>
      </c>
      <c r="I634">
        <v>0</v>
      </c>
      <c r="J634" t="s">
        <v>22</v>
      </c>
    </row>
    <row r="635" spans="1:10" x14ac:dyDescent="0.25">
      <c r="A635" s="1">
        <v>40</v>
      </c>
      <c r="B635" t="s">
        <v>19</v>
      </c>
      <c r="C635">
        <v>700</v>
      </c>
      <c r="D635">
        <v>0</v>
      </c>
      <c r="E635" t="s">
        <v>20</v>
      </c>
      <c r="F635" t="s">
        <v>20</v>
      </c>
      <c r="G635" t="str">
        <f>"2026-02-27 15:07:47.418"</f>
        <v>2026-02-27 15:07:47.418</v>
      </c>
      <c r="H635" t="s">
        <v>21</v>
      </c>
    </row>
    <row r="636" spans="1:10" x14ac:dyDescent="0.25">
      <c r="A636" s="1">
        <v>41</v>
      </c>
      <c r="B636" t="s">
        <v>26</v>
      </c>
      <c r="C636">
        <v>635</v>
      </c>
      <c r="D636">
        <v>1</v>
      </c>
      <c r="E636" t="s">
        <v>38</v>
      </c>
      <c r="F636" t="s">
        <v>39</v>
      </c>
      <c r="G636" t="str">
        <f>"2026-02-27 04:23:15.063"</f>
        <v>2026-02-27 04:23:15.063</v>
      </c>
      <c r="H636" t="s">
        <v>21</v>
      </c>
    </row>
    <row r="637" spans="1:10" x14ac:dyDescent="0.25">
      <c r="A637" s="1">
        <v>42</v>
      </c>
      <c r="B637" t="s">
        <v>36</v>
      </c>
      <c r="C637">
        <v>635</v>
      </c>
      <c r="D637">
        <v>1</v>
      </c>
      <c r="E637" t="s">
        <v>38</v>
      </c>
      <c r="F637" t="s">
        <v>39</v>
      </c>
      <c r="G637" t="str">
        <f>"2026-02-27 04:17:48.563"</f>
        <v>2026-02-27 04:17:48.563</v>
      </c>
      <c r="H637" t="s">
        <v>21</v>
      </c>
      <c r="I637">
        <v>7</v>
      </c>
      <c r="J637" t="s">
        <v>30</v>
      </c>
    </row>
    <row r="638" spans="1:10" x14ac:dyDescent="0.25">
      <c r="A638" s="1">
        <v>43</v>
      </c>
      <c r="B638" t="s">
        <v>19</v>
      </c>
      <c r="C638">
        <v>700</v>
      </c>
      <c r="D638">
        <v>0</v>
      </c>
      <c r="E638" t="s">
        <v>20</v>
      </c>
      <c r="F638" t="s">
        <v>20</v>
      </c>
      <c r="G638" t="str">
        <f>"2026-02-26 16:53:24.432"</f>
        <v>2026-02-26 16:53:24.432</v>
      </c>
      <c r="H638" t="s">
        <v>21</v>
      </c>
      <c r="I638">
        <v>0</v>
      </c>
      <c r="J638" t="s">
        <v>22</v>
      </c>
    </row>
    <row r="639" spans="1:10" x14ac:dyDescent="0.25">
      <c r="A639" s="1">
        <v>44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"2026-02-26 14:20:52.418"</f>
        <v>2026-02-26 14:20:52.418</v>
      </c>
      <c r="H639" t="s">
        <v>21</v>
      </c>
    </row>
    <row r="640" spans="1:10" x14ac:dyDescent="0.25">
      <c r="A640" s="1">
        <v>45</v>
      </c>
      <c r="B640" t="s">
        <v>19</v>
      </c>
      <c r="C640">
        <v>706</v>
      </c>
      <c r="D640">
        <v>2</v>
      </c>
      <c r="E640" t="s">
        <v>31</v>
      </c>
      <c r="F640" t="s">
        <v>43</v>
      </c>
      <c r="G640" t="str">
        <f>"2026-02-26 14:03:03.274"</f>
        <v>2026-02-26 14:03:03.274</v>
      </c>
      <c r="H640" t="s">
        <v>21</v>
      </c>
      <c r="I640">
        <v>0</v>
      </c>
      <c r="J640" t="s">
        <v>33</v>
      </c>
    </row>
    <row r="641" spans="1:10" x14ac:dyDescent="0.25">
      <c r="A641" s="1">
        <v>46</v>
      </c>
      <c r="B641" t="s">
        <v>19</v>
      </c>
      <c r="C641">
        <v>700</v>
      </c>
      <c r="D641">
        <v>0</v>
      </c>
      <c r="E641" t="s">
        <v>20</v>
      </c>
      <c r="F641" t="s">
        <v>20</v>
      </c>
      <c r="G641" t="str">
        <f>"2026-02-26 12:26:39.424"</f>
        <v>2026-02-26 12:26:39.424</v>
      </c>
      <c r="H641" t="s">
        <v>21</v>
      </c>
    </row>
    <row r="642" spans="1:10" x14ac:dyDescent="0.25">
      <c r="A642" s="1">
        <v>47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"2026-02-26 12:00:42.574"</f>
        <v>2026-02-26 12:00:42.574</v>
      </c>
      <c r="H642" t="s">
        <v>21</v>
      </c>
      <c r="I642">
        <v>0</v>
      </c>
      <c r="J642" t="s">
        <v>22</v>
      </c>
    </row>
    <row r="643" spans="1:10" x14ac:dyDescent="0.25">
      <c r="A643" s="1">
        <v>48</v>
      </c>
      <c r="B643" t="s">
        <v>19</v>
      </c>
      <c r="C643">
        <v>700</v>
      </c>
      <c r="D643">
        <v>0</v>
      </c>
      <c r="E643" t="s">
        <v>20</v>
      </c>
      <c r="F643" t="s">
        <v>20</v>
      </c>
      <c r="G643" t="str">
        <f>"2026-02-26 11:43:52.416"</f>
        <v>2026-02-26 11:43:52.416</v>
      </c>
      <c r="H643" t="s">
        <v>21</v>
      </c>
    </row>
    <row r="644" spans="1:10" x14ac:dyDescent="0.25">
      <c r="A644" s="1">
        <v>49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"2026-02-26 11:39:42.418"</f>
        <v>2026-02-26 11:39:42.418</v>
      </c>
      <c r="H644" t="s">
        <v>21</v>
      </c>
    </row>
    <row r="645" spans="1:10" x14ac:dyDescent="0.25">
      <c r="A645" s="1">
        <v>50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"2026-02-26 11:38:13.428"</f>
        <v>2026-02-26 11:38:13.428</v>
      </c>
      <c r="H645" t="s">
        <v>21</v>
      </c>
    </row>
    <row r="646" spans="1:10" x14ac:dyDescent="0.25">
      <c r="A646" s="1">
        <v>51</v>
      </c>
      <c r="B646" t="s">
        <v>19</v>
      </c>
      <c r="C646">
        <v>700</v>
      </c>
      <c r="D646">
        <v>0</v>
      </c>
      <c r="E646" t="s">
        <v>20</v>
      </c>
      <c r="F646" t="s">
        <v>20</v>
      </c>
      <c r="G646" t="str">
        <f>"2026-02-26 11:33:27.700"</f>
        <v>2026-02-26 11:33:27.700</v>
      </c>
      <c r="H646" t="s">
        <v>21</v>
      </c>
    </row>
    <row r="647" spans="1:10" x14ac:dyDescent="0.25">
      <c r="A647" s="1">
        <v>52</v>
      </c>
      <c r="B647" t="s">
        <v>26</v>
      </c>
      <c r="C647">
        <v>61</v>
      </c>
      <c r="D647">
        <v>2</v>
      </c>
      <c r="E647" t="s">
        <v>44</v>
      </c>
      <c r="F647" t="s">
        <v>45</v>
      </c>
      <c r="G647" t="str">
        <f>"2026-02-25 19:34:12.494"</f>
        <v>2026-02-25 19:34:12.494</v>
      </c>
      <c r="H647" t="s">
        <v>21</v>
      </c>
    </row>
    <row r="648" spans="1:10" x14ac:dyDescent="0.25">
      <c r="A648" s="1">
        <v>53</v>
      </c>
      <c r="B648" t="s">
        <v>29</v>
      </c>
      <c r="C648">
        <v>61</v>
      </c>
      <c r="D648">
        <v>2</v>
      </c>
      <c r="E648" t="s">
        <v>44</v>
      </c>
      <c r="F648" t="s">
        <v>45</v>
      </c>
      <c r="G648" t="str">
        <f>"2026-02-25 19:33:59.694"</f>
        <v>2026-02-25 19:33:59.694</v>
      </c>
      <c r="H648" t="s">
        <v>21</v>
      </c>
      <c r="I648">
        <v>30.69</v>
      </c>
      <c r="J648" t="s">
        <v>42</v>
      </c>
    </row>
    <row r="649" spans="1:10" x14ac:dyDescent="0.25">
      <c r="A649" s="1">
        <v>54</v>
      </c>
      <c r="B649" t="s">
        <v>26</v>
      </c>
      <c r="C649">
        <v>635</v>
      </c>
      <c r="D649">
        <v>1</v>
      </c>
      <c r="E649" t="s">
        <v>38</v>
      </c>
      <c r="F649" t="s">
        <v>39</v>
      </c>
      <c r="G649" t="str">
        <f>"2026-02-25 16:44:24.093"</f>
        <v>2026-02-25 16:44:24.093</v>
      </c>
      <c r="H649" t="s">
        <v>21</v>
      </c>
    </row>
    <row r="650" spans="1:10" x14ac:dyDescent="0.25">
      <c r="A650" s="1">
        <v>55</v>
      </c>
      <c r="B650" t="s">
        <v>36</v>
      </c>
      <c r="C650">
        <v>635</v>
      </c>
      <c r="D650">
        <v>1</v>
      </c>
      <c r="E650" t="s">
        <v>38</v>
      </c>
      <c r="F650" t="s">
        <v>39</v>
      </c>
      <c r="G650" t="str">
        <f>"2026-02-25 16:39:23.093"</f>
        <v>2026-02-25 16:39:23.093</v>
      </c>
      <c r="H650" t="s">
        <v>21</v>
      </c>
      <c r="I650">
        <v>2.57</v>
      </c>
      <c r="J650" t="s">
        <v>30</v>
      </c>
    </row>
    <row r="651" spans="1:10" x14ac:dyDescent="0.25">
      <c r="A651" s="1">
        <v>56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"2026-02-25 11:23:59.443"</f>
        <v>2026-02-25 11:23:59.443</v>
      </c>
      <c r="H651" t="s">
        <v>21</v>
      </c>
    </row>
    <row r="652" spans="1:10" s="3" customFormat="1" x14ac:dyDescent="0.25">
      <c r="A652" s="2">
        <v>57</v>
      </c>
      <c r="B652" s="3" t="s">
        <v>26</v>
      </c>
      <c r="C652" s="3">
        <v>647</v>
      </c>
      <c r="D652" s="3">
        <v>1</v>
      </c>
      <c r="E652" s="3" t="s">
        <v>40</v>
      </c>
      <c r="F652" s="3" t="s">
        <v>41</v>
      </c>
      <c r="G652" s="3" t="str">
        <f>"2026-02-25 09:50:11.986"</f>
        <v>2026-02-25 09:50:11.986</v>
      </c>
      <c r="H652" s="3" t="s">
        <v>21</v>
      </c>
    </row>
    <row r="653" spans="1:10" s="3" customFormat="1" x14ac:dyDescent="0.25">
      <c r="A653" s="2">
        <v>58</v>
      </c>
      <c r="B653" s="3" t="s">
        <v>36</v>
      </c>
      <c r="C653" s="3">
        <v>647</v>
      </c>
      <c r="D653" s="3">
        <v>1</v>
      </c>
      <c r="E653" s="3" t="s">
        <v>40</v>
      </c>
      <c r="F653" s="3" t="s">
        <v>41</v>
      </c>
      <c r="G653" s="3" t="str">
        <f>"2026-02-25 09:50:10.087"</f>
        <v>2026-02-25 09:50:10.087</v>
      </c>
      <c r="H653" s="3" t="s">
        <v>21</v>
      </c>
      <c r="I653" s="3">
        <v>9.77</v>
      </c>
      <c r="J653" s="3" t="s">
        <v>42</v>
      </c>
    </row>
    <row r="654" spans="1:10" x14ac:dyDescent="0.25">
      <c r="A654" s="1">
        <v>59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"2026-02-24 10:49:31.657"</f>
        <v>2026-02-24 10:49:31.657</v>
      </c>
      <c r="H654" t="s">
        <v>21</v>
      </c>
      <c r="I654">
        <v>0</v>
      </c>
      <c r="J654" t="s">
        <v>22</v>
      </c>
    </row>
    <row r="655" spans="1:10" x14ac:dyDescent="0.25">
      <c r="A655" s="1">
        <v>60</v>
      </c>
      <c r="B655" t="s">
        <v>26</v>
      </c>
      <c r="C655">
        <v>635</v>
      </c>
      <c r="D655">
        <v>1</v>
      </c>
      <c r="E655" t="s">
        <v>38</v>
      </c>
      <c r="F655" t="s">
        <v>39</v>
      </c>
      <c r="G655" t="str">
        <f>"2026-02-24 02:56:55.066"</f>
        <v>2026-02-24 02:56:55.066</v>
      </c>
      <c r="H655" t="s">
        <v>21</v>
      </c>
    </row>
    <row r="656" spans="1:10" x14ac:dyDescent="0.25">
      <c r="A656" s="1">
        <v>61</v>
      </c>
      <c r="B656" t="s">
        <v>36</v>
      </c>
      <c r="C656">
        <v>635</v>
      </c>
      <c r="D656">
        <v>1</v>
      </c>
      <c r="E656" t="s">
        <v>38</v>
      </c>
      <c r="F656" t="s">
        <v>39</v>
      </c>
      <c r="G656" t="str">
        <f>"2026-02-24 02:43:58.167"</f>
        <v>2026-02-24 02:43:58.167</v>
      </c>
      <c r="H656" t="s">
        <v>21</v>
      </c>
      <c r="I656">
        <v>10.95</v>
      </c>
      <c r="J656" t="s">
        <v>42</v>
      </c>
    </row>
    <row r="657" spans="1:10" x14ac:dyDescent="0.25">
      <c r="A657" s="1">
        <v>62</v>
      </c>
      <c r="B657" t="s">
        <v>26</v>
      </c>
      <c r="C657">
        <v>635</v>
      </c>
      <c r="D657">
        <v>1</v>
      </c>
      <c r="E657" t="s">
        <v>38</v>
      </c>
      <c r="F657" t="s">
        <v>39</v>
      </c>
      <c r="G657" t="str">
        <f>"2026-02-23 23:22:48.167"</f>
        <v>2026-02-23 23:22:48.167</v>
      </c>
      <c r="H657" t="s">
        <v>21</v>
      </c>
    </row>
    <row r="658" spans="1:10" x14ac:dyDescent="0.25">
      <c r="A658" s="1">
        <v>63</v>
      </c>
      <c r="B658" t="s">
        <v>36</v>
      </c>
      <c r="C658">
        <v>635</v>
      </c>
      <c r="D658">
        <v>1</v>
      </c>
      <c r="E658" t="s">
        <v>38</v>
      </c>
      <c r="F658" t="s">
        <v>39</v>
      </c>
      <c r="G658" t="str">
        <f>"2026-02-23 23:09:54.767"</f>
        <v>2026-02-23 23:09:54.767</v>
      </c>
      <c r="H658" t="s">
        <v>21</v>
      </c>
      <c r="I658">
        <v>8.14</v>
      </c>
      <c r="J658" t="s">
        <v>42</v>
      </c>
    </row>
    <row r="659" spans="1:10" x14ac:dyDescent="0.25">
      <c r="A659" s="1">
        <v>64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"2026-02-23 09:34:10.548"</f>
        <v>2026-02-23 09:34:10.548</v>
      </c>
      <c r="H659" t="s">
        <v>21</v>
      </c>
      <c r="I659">
        <v>0</v>
      </c>
      <c r="J659" t="s">
        <v>22</v>
      </c>
    </row>
    <row r="660" spans="1:10" x14ac:dyDescent="0.25">
      <c r="A660" s="1">
        <v>65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"2026-02-22 23:13:09.450"</f>
        <v>2026-02-22 23:13:09.450</v>
      </c>
      <c r="H660" t="s">
        <v>21</v>
      </c>
      <c r="I660">
        <v>0</v>
      </c>
      <c r="J660" t="s">
        <v>22</v>
      </c>
    </row>
    <row r="661" spans="1:10" x14ac:dyDescent="0.25">
      <c r="A661" s="1">
        <v>67</v>
      </c>
      <c r="B661" t="s">
        <v>26</v>
      </c>
      <c r="C661">
        <v>635</v>
      </c>
      <c r="D661">
        <v>1</v>
      </c>
      <c r="E661" t="s">
        <v>38</v>
      </c>
      <c r="F661" t="s">
        <v>39</v>
      </c>
      <c r="G661" t="str">
        <f>"2026-02-20 23:39:33.916"</f>
        <v>2026-02-20 23:39:33.916</v>
      </c>
      <c r="H661" t="s">
        <v>21</v>
      </c>
    </row>
    <row r="662" spans="1:10" x14ac:dyDescent="0.25">
      <c r="A662" s="1">
        <v>68</v>
      </c>
      <c r="B662" t="s">
        <v>36</v>
      </c>
      <c r="C662">
        <v>635</v>
      </c>
      <c r="D662">
        <v>1</v>
      </c>
      <c r="E662" t="s">
        <v>38</v>
      </c>
      <c r="F662" t="s">
        <v>39</v>
      </c>
      <c r="G662" t="str">
        <f>"2026-02-20 23:28:37.016"</f>
        <v>2026-02-20 23:28:37.016</v>
      </c>
      <c r="H662" t="s">
        <v>21</v>
      </c>
      <c r="I662">
        <v>2.5099999999999998</v>
      </c>
      <c r="J662" t="s">
        <v>30</v>
      </c>
    </row>
    <row r="663" spans="1:10" x14ac:dyDescent="0.25">
      <c r="A663" s="1">
        <v>69</v>
      </c>
      <c r="B663" t="s">
        <v>19</v>
      </c>
      <c r="C663">
        <v>700</v>
      </c>
      <c r="D663">
        <v>0</v>
      </c>
      <c r="E663" t="s">
        <v>20</v>
      </c>
      <c r="F663" t="s">
        <v>20</v>
      </c>
      <c r="G663" t="str">
        <f>"2026-02-20 20:24:39.417"</f>
        <v>2026-02-20 20:24:39.417</v>
      </c>
      <c r="H663" t="s">
        <v>21</v>
      </c>
      <c r="I663">
        <v>0</v>
      </c>
      <c r="J663" t="s">
        <v>22</v>
      </c>
    </row>
    <row r="664" spans="1:10" x14ac:dyDescent="0.25">
      <c r="A664" s="1">
        <v>70</v>
      </c>
      <c r="B664" t="s">
        <v>26</v>
      </c>
      <c r="C664">
        <v>61</v>
      </c>
      <c r="D664">
        <v>2</v>
      </c>
      <c r="E664" t="s">
        <v>44</v>
      </c>
      <c r="F664" t="s">
        <v>45</v>
      </c>
      <c r="G664" t="str">
        <f>"2026-02-20 17:00:10.710"</f>
        <v>2026-02-20 17:00:10.710</v>
      </c>
      <c r="H664" t="s">
        <v>21</v>
      </c>
    </row>
    <row r="665" spans="1:10" x14ac:dyDescent="0.25">
      <c r="A665" s="1">
        <v>71</v>
      </c>
      <c r="B665" t="s">
        <v>29</v>
      </c>
      <c r="C665">
        <v>61</v>
      </c>
      <c r="D665">
        <v>2</v>
      </c>
      <c r="E665" t="s">
        <v>44</v>
      </c>
      <c r="F665" t="s">
        <v>45</v>
      </c>
      <c r="G665" t="str">
        <f>"2026-02-20 16:59:59.009"</f>
        <v>2026-02-20 16:59:59.009</v>
      </c>
      <c r="H665" t="s">
        <v>21</v>
      </c>
      <c r="I665">
        <v>29.68</v>
      </c>
      <c r="J665" t="s">
        <v>42</v>
      </c>
    </row>
    <row r="666" spans="1:10" x14ac:dyDescent="0.25">
      <c r="A666" s="1">
        <v>72</v>
      </c>
      <c r="B666" t="s">
        <v>26</v>
      </c>
      <c r="C666">
        <v>61</v>
      </c>
      <c r="D666">
        <v>2</v>
      </c>
      <c r="E666" t="s">
        <v>44</v>
      </c>
      <c r="F666" t="s">
        <v>45</v>
      </c>
      <c r="G666" t="str">
        <f>"2026-02-20 16:25:03.009"</f>
        <v>2026-02-20 16:25:03.009</v>
      </c>
      <c r="H666" t="s">
        <v>21</v>
      </c>
    </row>
    <row r="667" spans="1:10" x14ac:dyDescent="0.25">
      <c r="A667" s="1">
        <v>73</v>
      </c>
      <c r="B667" t="s">
        <v>29</v>
      </c>
      <c r="C667">
        <v>61</v>
      </c>
      <c r="D667">
        <v>2</v>
      </c>
      <c r="E667" t="s">
        <v>44</v>
      </c>
      <c r="F667" t="s">
        <v>45</v>
      </c>
      <c r="G667" t="str">
        <f>"2026-02-20 16:24:50.610"</f>
        <v>2026-02-20 16:24:50.610</v>
      </c>
      <c r="H667" t="s">
        <v>21</v>
      </c>
      <c r="I667">
        <v>30.11</v>
      </c>
      <c r="J667" t="s">
        <v>42</v>
      </c>
    </row>
    <row r="668" spans="1:10" x14ac:dyDescent="0.25">
      <c r="A668" s="1">
        <v>74</v>
      </c>
      <c r="B668" t="s">
        <v>26</v>
      </c>
      <c r="C668">
        <v>635</v>
      </c>
      <c r="D668">
        <v>1</v>
      </c>
      <c r="E668" t="s">
        <v>38</v>
      </c>
      <c r="F668" t="s">
        <v>39</v>
      </c>
      <c r="G668" t="str">
        <f>"2026-02-20 15:39:00.629"</f>
        <v>2026-02-20 15:39:00.629</v>
      </c>
      <c r="H668" t="s">
        <v>21</v>
      </c>
    </row>
    <row r="669" spans="1:10" x14ac:dyDescent="0.25">
      <c r="A669" s="1">
        <v>75</v>
      </c>
      <c r="B669" t="s">
        <v>36</v>
      </c>
      <c r="C669">
        <v>635</v>
      </c>
      <c r="D669">
        <v>1</v>
      </c>
      <c r="E669" t="s">
        <v>38</v>
      </c>
      <c r="F669" t="s">
        <v>39</v>
      </c>
      <c r="G669" t="str">
        <f>"2026-02-20 15:35:30.129"</f>
        <v>2026-02-20 15:35:30.129</v>
      </c>
      <c r="H669" t="s">
        <v>21</v>
      </c>
      <c r="I669">
        <v>3.03</v>
      </c>
      <c r="J669" t="s">
        <v>30</v>
      </c>
    </row>
    <row r="670" spans="1:10" x14ac:dyDescent="0.25">
      <c r="A670" s="1">
        <v>76</v>
      </c>
      <c r="B670" t="s">
        <v>26</v>
      </c>
      <c r="C670">
        <v>635</v>
      </c>
      <c r="D670">
        <v>1</v>
      </c>
      <c r="E670" t="s">
        <v>38</v>
      </c>
      <c r="F670" t="s">
        <v>39</v>
      </c>
      <c r="G670" t="str">
        <f>"2026-02-20 14:17:58.829"</f>
        <v>2026-02-20 14:17:58.829</v>
      </c>
      <c r="H670" t="s">
        <v>21</v>
      </c>
    </row>
    <row r="671" spans="1:10" x14ac:dyDescent="0.25">
      <c r="A671" s="1">
        <v>77</v>
      </c>
      <c r="B671" t="s">
        <v>36</v>
      </c>
      <c r="C671">
        <v>635</v>
      </c>
      <c r="D671">
        <v>1</v>
      </c>
      <c r="E671" t="s">
        <v>38</v>
      </c>
      <c r="F671" t="s">
        <v>39</v>
      </c>
      <c r="G671" t="str">
        <f>"2026-02-20 14:13:23.329"</f>
        <v>2026-02-20 14:13:23.329</v>
      </c>
      <c r="H671" t="s">
        <v>21</v>
      </c>
      <c r="I671">
        <v>5.43</v>
      </c>
      <c r="J671" t="s">
        <v>37</v>
      </c>
    </row>
    <row r="672" spans="1:10" x14ac:dyDescent="0.25">
      <c r="A672" s="1">
        <v>78</v>
      </c>
      <c r="B672" t="s">
        <v>26</v>
      </c>
      <c r="C672">
        <v>635</v>
      </c>
      <c r="D672">
        <v>1</v>
      </c>
      <c r="E672" t="s">
        <v>38</v>
      </c>
      <c r="F672" t="s">
        <v>39</v>
      </c>
      <c r="G672" t="str">
        <f>"2026-02-19 19:06:22.429"</f>
        <v>2026-02-19 19:06:22.429</v>
      </c>
      <c r="H672" t="s">
        <v>21</v>
      </c>
    </row>
    <row r="673" spans="1:10" x14ac:dyDescent="0.25">
      <c r="A673" s="1">
        <v>79</v>
      </c>
      <c r="B673" t="s">
        <v>36</v>
      </c>
      <c r="C673">
        <v>635</v>
      </c>
      <c r="D673">
        <v>1</v>
      </c>
      <c r="E673" t="s">
        <v>38</v>
      </c>
      <c r="F673" t="s">
        <v>39</v>
      </c>
      <c r="G673" t="str">
        <f>"2026-02-19 18:43:48.029"</f>
        <v>2026-02-19 18:43:48.029</v>
      </c>
      <c r="H673" t="s">
        <v>21</v>
      </c>
      <c r="I673">
        <v>6.4</v>
      </c>
      <c r="J673" t="s">
        <v>30</v>
      </c>
    </row>
    <row r="674" spans="1:10" x14ac:dyDescent="0.25">
      <c r="A674" s="1">
        <v>80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"2026-02-19 13:03:53.641"</f>
        <v>2026-02-19 13:03:53.641</v>
      </c>
      <c r="H674" t="s">
        <v>21</v>
      </c>
    </row>
    <row r="675" spans="1:10" x14ac:dyDescent="0.25">
      <c r="A675" s="1">
        <v>81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"2026-02-19 04:09:03.660"</f>
        <v>2026-02-19 04:09:03.660</v>
      </c>
      <c r="H675" t="s">
        <v>21</v>
      </c>
    </row>
    <row r="676" spans="1:10" x14ac:dyDescent="0.25">
      <c r="A676" s="1">
        <v>82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"2026-02-18 15:53:49.406"</f>
        <v>2026-02-18 15:53:49.406</v>
      </c>
      <c r="H676" t="s">
        <v>21</v>
      </c>
    </row>
    <row r="677" spans="1:10" x14ac:dyDescent="0.25">
      <c r="A677" s="1">
        <v>83</v>
      </c>
      <c r="B677" t="s">
        <v>19</v>
      </c>
      <c r="C677">
        <v>706</v>
      </c>
      <c r="D677">
        <v>4</v>
      </c>
      <c r="E677" t="s">
        <v>31</v>
      </c>
      <c r="F677" t="s">
        <v>32</v>
      </c>
      <c r="G677" t="str">
        <f>"2026-02-18 15:52:31.737"</f>
        <v>2026-02-18 15:52:31.737</v>
      </c>
      <c r="H677" t="s">
        <v>21</v>
      </c>
      <c r="I677">
        <v>0</v>
      </c>
      <c r="J677" t="s">
        <v>33</v>
      </c>
    </row>
    <row r="678" spans="1:10" x14ac:dyDescent="0.25">
      <c r="A678" s="1">
        <v>84</v>
      </c>
      <c r="B678" t="s">
        <v>19</v>
      </c>
      <c r="C678">
        <v>706</v>
      </c>
      <c r="D678">
        <v>2</v>
      </c>
      <c r="E678" t="s">
        <v>31</v>
      </c>
      <c r="F678" t="s">
        <v>43</v>
      </c>
      <c r="G678" t="str">
        <f>"2026-02-18 15:52:15.747"</f>
        <v>2026-02-18 15:52:15.747</v>
      </c>
      <c r="H678" t="s">
        <v>21</v>
      </c>
      <c r="I678">
        <v>0</v>
      </c>
      <c r="J678" t="s">
        <v>33</v>
      </c>
    </row>
    <row r="679" spans="1:10" x14ac:dyDescent="0.25">
      <c r="A679" s="1">
        <v>85</v>
      </c>
      <c r="B679" t="s">
        <v>19</v>
      </c>
      <c r="C679">
        <v>706</v>
      </c>
      <c r="D679">
        <v>4</v>
      </c>
      <c r="E679" t="s">
        <v>31</v>
      </c>
      <c r="F679" t="s">
        <v>32</v>
      </c>
      <c r="G679" t="str">
        <f>"2026-02-18 15:52:00.447"</f>
        <v>2026-02-18 15:52:00.447</v>
      </c>
      <c r="H679" t="s">
        <v>21</v>
      </c>
      <c r="I679">
        <v>0</v>
      </c>
      <c r="J679" t="s">
        <v>33</v>
      </c>
    </row>
    <row r="680" spans="1:10" x14ac:dyDescent="0.25">
      <c r="A680" s="1">
        <v>86</v>
      </c>
      <c r="B680" t="s">
        <v>19</v>
      </c>
      <c r="C680">
        <v>706</v>
      </c>
      <c r="D680">
        <v>4</v>
      </c>
      <c r="E680" t="s">
        <v>31</v>
      </c>
      <c r="F680" t="s">
        <v>32</v>
      </c>
      <c r="G680" t="str">
        <f>"2026-02-18 15:51:27.937"</f>
        <v>2026-02-18 15:51:27.937</v>
      </c>
      <c r="H680" t="s">
        <v>21</v>
      </c>
      <c r="I680">
        <v>0</v>
      </c>
      <c r="J680" t="s">
        <v>33</v>
      </c>
    </row>
    <row r="681" spans="1:10" x14ac:dyDescent="0.25">
      <c r="A681" s="1">
        <v>87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"2026-02-18 15:49:57.397"</f>
        <v>2026-02-18 15:49:57.397</v>
      </c>
      <c r="H681" t="s">
        <v>21</v>
      </c>
    </row>
    <row r="682" spans="1:10" x14ac:dyDescent="0.25">
      <c r="A682" s="1">
        <v>88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"2026-02-18 15:46:40.406"</f>
        <v>2026-02-18 15:46:40.406</v>
      </c>
      <c r="H682" t="s">
        <v>21</v>
      </c>
    </row>
    <row r="683" spans="1:10" x14ac:dyDescent="0.25">
      <c r="A683" s="1">
        <v>89</v>
      </c>
      <c r="B683" t="s">
        <v>19</v>
      </c>
      <c r="C683">
        <v>706</v>
      </c>
      <c r="D683">
        <v>2</v>
      </c>
      <c r="E683" t="s">
        <v>31</v>
      </c>
      <c r="F683" t="s">
        <v>43</v>
      </c>
      <c r="G683" t="str">
        <f>"2026-02-18 15:44:58.256"</f>
        <v>2026-02-18 15:44:58.256</v>
      </c>
      <c r="H683" t="s">
        <v>21</v>
      </c>
      <c r="I683">
        <v>0</v>
      </c>
      <c r="J683" t="s">
        <v>33</v>
      </c>
    </row>
    <row r="684" spans="1:10" x14ac:dyDescent="0.25">
      <c r="A684" s="1">
        <v>90</v>
      </c>
      <c r="B684" t="s">
        <v>26</v>
      </c>
      <c r="C684">
        <v>61</v>
      </c>
      <c r="D684">
        <v>2</v>
      </c>
      <c r="E684" t="s">
        <v>44</v>
      </c>
      <c r="F684" t="s">
        <v>45</v>
      </c>
      <c r="G684" t="str">
        <f>"2026-02-17 17:11:05.727"</f>
        <v>2026-02-17 17:11:05.727</v>
      </c>
      <c r="H684" t="s">
        <v>21</v>
      </c>
    </row>
    <row r="685" spans="1:10" x14ac:dyDescent="0.25">
      <c r="A685" s="1">
        <v>91</v>
      </c>
      <c r="B685" t="s">
        <v>29</v>
      </c>
      <c r="C685">
        <v>61</v>
      </c>
      <c r="D685">
        <v>2</v>
      </c>
      <c r="E685" t="s">
        <v>44</v>
      </c>
      <c r="F685" t="s">
        <v>45</v>
      </c>
      <c r="G685" t="str">
        <f>"2026-02-17 17:10:53.627"</f>
        <v>2026-02-17 17:10:53.627</v>
      </c>
      <c r="H685" t="s">
        <v>21</v>
      </c>
      <c r="I685">
        <v>29.98</v>
      </c>
      <c r="J685" t="s">
        <v>42</v>
      </c>
    </row>
    <row r="686" spans="1:10" x14ac:dyDescent="0.25">
      <c r="A686" s="1">
        <v>92</v>
      </c>
      <c r="B686" t="s">
        <v>26</v>
      </c>
      <c r="C686">
        <v>635</v>
      </c>
      <c r="D686">
        <v>1</v>
      </c>
      <c r="E686" t="s">
        <v>38</v>
      </c>
      <c r="F686" t="s">
        <v>39</v>
      </c>
      <c r="G686" t="str">
        <f>"2026-02-17 10:16:19.674"</f>
        <v>2026-02-17 10:16:19.674</v>
      </c>
      <c r="H686" t="s">
        <v>21</v>
      </c>
    </row>
    <row r="687" spans="1:10" x14ac:dyDescent="0.25">
      <c r="A687" s="1">
        <v>93</v>
      </c>
      <c r="B687" t="s">
        <v>36</v>
      </c>
      <c r="C687">
        <v>635</v>
      </c>
      <c r="D687">
        <v>1</v>
      </c>
      <c r="E687" t="s">
        <v>38</v>
      </c>
      <c r="F687" t="s">
        <v>39</v>
      </c>
      <c r="G687" t="str">
        <f>"2026-02-17 10:11:09.174"</f>
        <v>2026-02-17 10:11:09.174</v>
      </c>
      <c r="H687" t="s">
        <v>21</v>
      </c>
      <c r="I687">
        <v>6.8</v>
      </c>
      <c r="J687" t="s">
        <v>30</v>
      </c>
    </row>
    <row r="688" spans="1:10" x14ac:dyDescent="0.25">
      <c r="A688" s="1">
        <v>94</v>
      </c>
      <c r="B688" t="s">
        <v>26</v>
      </c>
      <c r="C688">
        <v>61</v>
      </c>
      <c r="D688">
        <v>2</v>
      </c>
      <c r="E688" t="s">
        <v>44</v>
      </c>
      <c r="F688" t="s">
        <v>45</v>
      </c>
      <c r="G688" t="str">
        <f>"2026-02-16 17:31:42.627"</f>
        <v>2026-02-16 17:31:42.627</v>
      </c>
      <c r="H688" t="s">
        <v>21</v>
      </c>
    </row>
    <row r="689" spans="1:10" x14ac:dyDescent="0.25">
      <c r="A689" s="1">
        <v>95</v>
      </c>
      <c r="B689" t="s">
        <v>29</v>
      </c>
      <c r="C689">
        <v>61</v>
      </c>
      <c r="D689">
        <v>2</v>
      </c>
      <c r="E689" t="s">
        <v>44</v>
      </c>
      <c r="F689" t="s">
        <v>45</v>
      </c>
      <c r="G689" t="str">
        <f>"2026-02-16 17:31:28.028"</f>
        <v>2026-02-16 17:31:28.028</v>
      </c>
      <c r="H689" t="s">
        <v>21</v>
      </c>
      <c r="I689">
        <v>30.17</v>
      </c>
      <c r="J689" t="s">
        <v>42</v>
      </c>
    </row>
    <row r="690" spans="1:10" x14ac:dyDescent="0.25">
      <c r="A690" s="1">
        <v>96</v>
      </c>
      <c r="B690" t="s">
        <v>19</v>
      </c>
      <c r="C690">
        <v>706</v>
      </c>
      <c r="D690">
        <v>4</v>
      </c>
      <c r="E690" t="s">
        <v>31</v>
      </c>
      <c r="F690" t="s">
        <v>32</v>
      </c>
      <c r="G690" t="str">
        <f>"2026-02-16 13:54:23.056"</f>
        <v>2026-02-16 13:54:23.056</v>
      </c>
      <c r="H690" t="s">
        <v>21</v>
      </c>
      <c r="I690">
        <v>0</v>
      </c>
      <c r="J690" t="s">
        <v>33</v>
      </c>
    </row>
    <row r="691" spans="1:10" x14ac:dyDescent="0.25">
      <c r="A691" s="1">
        <v>97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"2026-02-16 13:53:36.416"</f>
        <v>2026-02-16 13:53:36.416</v>
      </c>
      <c r="H691" t="s">
        <v>21</v>
      </c>
      <c r="I691">
        <v>0</v>
      </c>
      <c r="J691" t="s">
        <v>22</v>
      </c>
    </row>
    <row r="692" spans="1:10" x14ac:dyDescent="0.25">
      <c r="A692" s="1">
        <v>98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"2026-02-16 12:13:19.403"</f>
        <v>2026-02-16 12:13:19.403</v>
      </c>
      <c r="H692" t="s">
        <v>21</v>
      </c>
      <c r="I692">
        <v>0</v>
      </c>
      <c r="J692" t="s">
        <v>22</v>
      </c>
    </row>
    <row r="693" spans="1:10" x14ac:dyDescent="0.25">
      <c r="A693" s="1">
        <v>99</v>
      </c>
      <c r="B693" t="s">
        <v>19</v>
      </c>
      <c r="C693">
        <v>706</v>
      </c>
      <c r="D693">
        <v>2</v>
      </c>
      <c r="E693" t="s">
        <v>31</v>
      </c>
      <c r="F693" t="s">
        <v>43</v>
      </c>
      <c r="G693" t="str">
        <f>"2026-02-16 11:45:32.455"</f>
        <v>2026-02-16 11:45:32.455</v>
      </c>
      <c r="H693" t="s">
        <v>21</v>
      </c>
      <c r="I693">
        <v>0</v>
      </c>
      <c r="J693" t="s">
        <v>33</v>
      </c>
    </row>
    <row r="694" spans="1:10" x14ac:dyDescent="0.25">
      <c r="A694" s="1">
        <v>0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"2026-02-16 11:25:12.395"</f>
        <v>2026-02-16 11:25:12.395</v>
      </c>
      <c r="H694" t="s">
        <v>21</v>
      </c>
    </row>
    <row r="695" spans="1:10" x14ac:dyDescent="0.25">
      <c r="A695" s="1">
        <v>1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"2026-02-16 10:16:19.639"</f>
        <v>2026-02-16 10:16:19.639</v>
      </c>
      <c r="H695" t="s">
        <v>21</v>
      </c>
      <c r="I695">
        <v>0</v>
      </c>
      <c r="J695" t="s">
        <v>22</v>
      </c>
    </row>
    <row r="696" spans="1:10" x14ac:dyDescent="0.25">
      <c r="A696" s="1">
        <v>2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"2026-02-16 09:12:34.443"</f>
        <v>2026-02-16 09:12:34.443</v>
      </c>
      <c r="H696" t="s">
        <v>21</v>
      </c>
      <c r="I696">
        <v>0</v>
      </c>
      <c r="J696" t="s">
        <v>22</v>
      </c>
    </row>
    <row r="697" spans="1:10" x14ac:dyDescent="0.25">
      <c r="A697" s="1">
        <v>3</v>
      </c>
      <c r="B697" t="s">
        <v>26</v>
      </c>
      <c r="C697">
        <v>635</v>
      </c>
      <c r="D697">
        <v>1</v>
      </c>
      <c r="E697" t="s">
        <v>38</v>
      </c>
      <c r="F697" t="s">
        <v>39</v>
      </c>
      <c r="G697" t="str">
        <f>"2026-02-16 08:21:41.394"</f>
        <v>2026-02-16 08:21:41.394</v>
      </c>
      <c r="H697" t="s">
        <v>21</v>
      </c>
    </row>
    <row r="698" spans="1:10" x14ac:dyDescent="0.25">
      <c r="A698" s="1">
        <v>4</v>
      </c>
      <c r="B698" t="s">
        <v>36</v>
      </c>
      <c r="C698">
        <v>635</v>
      </c>
      <c r="D698">
        <v>1</v>
      </c>
      <c r="E698" t="s">
        <v>38</v>
      </c>
      <c r="F698" t="s">
        <v>39</v>
      </c>
      <c r="G698" t="str">
        <f>"2026-02-16 07:59:48.894"</f>
        <v>2026-02-16 07:59:48.894</v>
      </c>
      <c r="H698" t="s">
        <v>21</v>
      </c>
      <c r="I698">
        <v>4.75</v>
      </c>
      <c r="J698" t="s">
        <v>30</v>
      </c>
    </row>
    <row r="699" spans="1:10" x14ac:dyDescent="0.25">
      <c r="A699" s="1">
        <v>5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"2026-02-16 05:00:23.424"</f>
        <v>2026-02-16 05:00:23.424</v>
      </c>
      <c r="H699" t="s">
        <v>21</v>
      </c>
    </row>
    <row r="700" spans="1:10" x14ac:dyDescent="0.25">
      <c r="A700" s="1">
        <v>6</v>
      </c>
      <c r="B700" t="s">
        <v>26</v>
      </c>
      <c r="C700">
        <v>635</v>
      </c>
      <c r="D700">
        <v>1</v>
      </c>
      <c r="E700" t="s">
        <v>38</v>
      </c>
      <c r="F700" t="s">
        <v>39</v>
      </c>
      <c r="G700" t="str">
        <f>"2026-02-14 19:05:09.421"</f>
        <v>2026-02-14 19:05:09.421</v>
      </c>
      <c r="H700" t="s">
        <v>21</v>
      </c>
    </row>
    <row r="701" spans="1:10" x14ac:dyDescent="0.25">
      <c r="A701" s="1">
        <v>7</v>
      </c>
      <c r="B701" t="s">
        <v>36</v>
      </c>
      <c r="C701">
        <v>635</v>
      </c>
      <c r="D701">
        <v>1</v>
      </c>
      <c r="E701" t="s">
        <v>38</v>
      </c>
      <c r="F701" t="s">
        <v>39</v>
      </c>
      <c r="G701" t="str">
        <f>"2026-02-14 19:00:37.520"</f>
        <v>2026-02-14 19:00:37.520</v>
      </c>
      <c r="H701" t="s">
        <v>21</v>
      </c>
      <c r="I701">
        <v>4.57</v>
      </c>
      <c r="J701" t="s">
        <v>30</v>
      </c>
    </row>
    <row r="702" spans="1:10" x14ac:dyDescent="0.25">
      <c r="A702" s="1">
        <v>8</v>
      </c>
      <c r="B702" t="s">
        <v>26</v>
      </c>
      <c r="C702">
        <v>635</v>
      </c>
      <c r="D702">
        <v>1</v>
      </c>
      <c r="E702" t="s">
        <v>38</v>
      </c>
      <c r="F702" t="s">
        <v>39</v>
      </c>
      <c r="G702" t="str">
        <f>"2026-02-14 17:53:27.121"</f>
        <v>2026-02-14 17:53:27.121</v>
      </c>
      <c r="H702" t="s">
        <v>21</v>
      </c>
    </row>
    <row r="703" spans="1:10" x14ac:dyDescent="0.25">
      <c r="A703" s="1">
        <v>9</v>
      </c>
      <c r="B703" t="s">
        <v>36</v>
      </c>
      <c r="C703">
        <v>635</v>
      </c>
      <c r="D703">
        <v>1</v>
      </c>
      <c r="E703" t="s">
        <v>38</v>
      </c>
      <c r="F703" t="s">
        <v>39</v>
      </c>
      <c r="G703" t="str">
        <f>"2026-02-14 17:48:22.721"</f>
        <v>2026-02-14 17:48:22.721</v>
      </c>
      <c r="H703" t="s">
        <v>21</v>
      </c>
      <c r="I703">
        <v>5.57</v>
      </c>
      <c r="J703" t="s">
        <v>37</v>
      </c>
    </row>
    <row r="704" spans="1:10" x14ac:dyDescent="0.25">
      <c r="A704" s="1">
        <v>10</v>
      </c>
      <c r="B704" t="s">
        <v>26</v>
      </c>
      <c r="C704">
        <v>635</v>
      </c>
      <c r="D704">
        <v>1</v>
      </c>
      <c r="E704" t="s">
        <v>38</v>
      </c>
      <c r="F704" t="s">
        <v>39</v>
      </c>
      <c r="G704" t="str">
        <f>"2026-02-14 14:32:24.721"</f>
        <v>2026-02-14 14:32:24.721</v>
      </c>
      <c r="H704" t="s">
        <v>21</v>
      </c>
    </row>
    <row r="705" spans="1:10" x14ac:dyDescent="0.25">
      <c r="A705" s="1">
        <v>11</v>
      </c>
      <c r="B705" t="s">
        <v>36</v>
      </c>
      <c r="C705">
        <v>635</v>
      </c>
      <c r="D705">
        <v>1</v>
      </c>
      <c r="E705" t="s">
        <v>38</v>
      </c>
      <c r="F705" t="s">
        <v>39</v>
      </c>
      <c r="G705" t="str">
        <f>"2026-02-14 14:28:51.721"</f>
        <v>2026-02-14 14:28:51.721</v>
      </c>
      <c r="H705" t="s">
        <v>21</v>
      </c>
      <c r="I705">
        <v>7.21</v>
      </c>
      <c r="J705" t="s">
        <v>30</v>
      </c>
    </row>
    <row r="706" spans="1:10" x14ac:dyDescent="0.25">
      <c r="A706" s="1">
        <v>12</v>
      </c>
      <c r="B706" t="s">
        <v>26</v>
      </c>
      <c r="C706">
        <v>635</v>
      </c>
      <c r="D706">
        <v>1</v>
      </c>
      <c r="E706" t="s">
        <v>38</v>
      </c>
      <c r="F706" t="s">
        <v>39</v>
      </c>
      <c r="G706" t="str">
        <f>"2026-02-13 15:20:10.521"</f>
        <v>2026-02-13 15:20:10.521</v>
      </c>
      <c r="H706" t="s">
        <v>21</v>
      </c>
    </row>
    <row r="707" spans="1:10" x14ac:dyDescent="0.25">
      <c r="A707" s="1">
        <v>13</v>
      </c>
      <c r="B707" t="s">
        <v>36</v>
      </c>
      <c r="C707">
        <v>635</v>
      </c>
      <c r="D707">
        <v>1</v>
      </c>
      <c r="E707" t="s">
        <v>38</v>
      </c>
      <c r="F707" t="s">
        <v>39</v>
      </c>
      <c r="G707" t="str">
        <f>"2026-02-13 15:14:15.521"</f>
        <v>2026-02-13 15:14:15.521</v>
      </c>
      <c r="H707" t="s">
        <v>21</v>
      </c>
      <c r="I707">
        <v>6.24</v>
      </c>
      <c r="J707" t="s">
        <v>30</v>
      </c>
    </row>
    <row r="708" spans="1:10" x14ac:dyDescent="0.25">
      <c r="A708" s="1">
        <v>14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"2026-02-13 12:44:04.408"</f>
        <v>2026-02-13 12:44:04.408</v>
      </c>
      <c r="H708" t="s">
        <v>21</v>
      </c>
      <c r="I708">
        <v>0</v>
      </c>
      <c r="J708" t="s">
        <v>22</v>
      </c>
    </row>
    <row r="709" spans="1:10" x14ac:dyDescent="0.25">
      <c r="A709" s="1">
        <v>15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"2026-02-13 09:24:48.397"</f>
        <v>2026-02-13 09:24:48.397</v>
      </c>
      <c r="H709" t="s">
        <v>21</v>
      </c>
    </row>
    <row r="710" spans="1:10" x14ac:dyDescent="0.25">
      <c r="A710" s="1">
        <v>16</v>
      </c>
      <c r="B710" t="s">
        <v>26</v>
      </c>
      <c r="C710">
        <v>98</v>
      </c>
      <c r="D710">
        <v>1</v>
      </c>
      <c r="E710" t="s">
        <v>34</v>
      </c>
      <c r="F710" t="s">
        <v>35</v>
      </c>
      <c r="G710" t="str">
        <f>"2026-02-13 04:57:13.519"</f>
        <v>2026-02-13 04:57:13.519</v>
      </c>
      <c r="H710" t="s">
        <v>21</v>
      </c>
    </row>
    <row r="711" spans="1:10" x14ac:dyDescent="0.25">
      <c r="A711" s="1">
        <v>17</v>
      </c>
      <c r="B711" t="s">
        <v>36</v>
      </c>
      <c r="C711">
        <v>98</v>
      </c>
      <c r="D711">
        <v>1</v>
      </c>
      <c r="E711" t="s">
        <v>34</v>
      </c>
      <c r="F711" t="s">
        <v>35</v>
      </c>
      <c r="G711" t="str">
        <f>"2026-02-13 04:57:11.419"</f>
        <v>2026-02-13 04:57:11.419</v>
      </c>
      <c r="H711" t="s">
        <v>21</v>
      </c>
      <c r="I711">
        <v>0</v>
      </c>
      <c r="J711" t="s">
        <v>37</v>
      </c>
    </row>
    <row r="712" spans="1:10" x14ac:dyDescent="0.25">
      <c r="A712" s="1">
        <v>18</v>
      </c>
      <c r="B712" t="s">
        <v>26</v>
      </c>
      <c r="C712">
        <v>98</v>
      </c>
      <c r="D712">
        <v>1</v>
      </c>
      <c r="E712" t="s">
        <v>34</v>
      </c>
      <c r="F712" t="s">
        <v>35</v>
      </c>
      <c r="G712" t="str">
        <f>"2026-02-13 04:57:10.719"</f>
        <v>2026-02-13 04:57:10.719</v>
      </c>
      <c r="H712" t="s">
        <v>21</v>
      </c>
    </row>
    <row r="713" spans="1:10" x14ac:dyDescent="0.25">
      <c r="A713" s="1">
        <v>19</v>
      </c>
      <c r="B713" t="s">
        <v>36</v>
      </c>
      <c r="C713">
        <v>98</v>
      </c>
      <c r="D713">
        <v>1</v>
      </c>
      <c r="E713" t="s">
        <v>34</v>
      </c>
      <c r="F713" t="s">
        <v>35</v>
      </c>
      <c r="G713" t="str">
        <f>"2026-02-13 04:57:09.719"</f>
        <v>2026-02-13 04:57:09.719</v>
      </c>
      <c r="H713" t="s">
        <v>21</v>
      </c>
      <c r="I713">
        <v>0</v>
      </c>
      <c r="J713" t="s">
        <v>37</v>
      </c>
    </row>
    <row r="714" spans="1:10" x14ac:dyDescent="0.25">
      <c r="A714" s="1">
        <v>20</v>
      </c>
      <c r="B714" t="s">
        <v>26</v>
      </c>
      <c r="C714">
        <v>98</v>
      </c>
      <c r="D714">
        <v>1</v>
      </c>
      <c r="E714" t="s">
        <v>34</v>
      </c>
      <c r="F714" t="s">
        <v>35</v>
      </c>
      <c r="G714" t="str">
        <f>"2026-02-13 04:57:09.319"</f>
        <v>2026-02-13 04:57:09.319</v>
      </c>
      <c r="H714" t="s">
        <v>21</v>
      </c>
    </row>
    <row r="715" spans="1:10" x14ac:dyDescent="0.25">
      <c r="A715" s="1">
        <v>21</v>
      </c>
      <c r="B715" t="s">
        <v>36</v>
      </c>
      <c r="C715">
        <v>98</v>
      </c>
      <c r="D715">
        <v>1</v>
      </c>
      <c r="E715" t="s">
        <v>34</v>
      </c>
      <c r="F715" t="s">
        <v>35</v>
      </c>
      <c r="G715" t="str">
        <f>"2026-02-13 04:57:08.319"</f>
        <v>2026-02-13 04:57:08.319</v>
      </c>
      <c r="H715" t="s">
        <v>21</v>
      </c>
      <c r="I715">
        <v>0</v>
      </c>
      <c r="J715" t="s">
        <v>37</v>
      </c>
    </row>
    <row r="716" spans="1:10" x14ac:dyDescent="0.25">
      <c r="A716" s="1">
        <v>22</v>
      </c>
      <c r="B716" t="s">
        <v>26</v>
      </c>
      <c r="C716">
        <v>98</v>
      </c>
      <c r="D716">
        <v>1</v>
      </c>
      <c r="E716" t="s">
        <v>34</v>
      </c>
      <c r="F716" t="s">
        <v>35</v>
      </c>
      <c r="G716" t="str">
        <f>"2026-02-13 04:57:07.519"</f>
        <v>2026-02-13 04:57:07.519</v>
      </c>
      <c r="H716" t="s">
        <v>21</v>
      </c>
    </row>
    <row r="717" spans="1:10" x14ac:dyDescent="0.25">
      <c r="A717" s="1">
        <v>23</v>
      </c>
      <c r="B717" t="s">
        <v>36</v>
      </c>
      <c r="C717">
        <v>98</v>
      </c>
      <c r="D717">
        <v>1</v>
      </c>
      <c r="E717" t="s">
        <v>34</v>
      </c>
      <c r="F717" t="s">
        <v>35</v>
      </c>
      <c r="G717" t="str">
        <f>"2026-02-13 04:57:06.519"</f>
        <v>2026-02-13 04:57:06.519</v>
      </c>
      <c r="H717" t="s">
        <v>21</v>
      </c>
      <c r="I717">
        <v>0</v>
      </c>
      <c r="J717" t="s">
        <v>37</v>
      </c>
    </row>
    <row r="718" spans="1:10" x14ac:dyDescent="0.25">
      <c r="A718" s="1">
        <v>24</v>
      </c>
      <c r="B718" t="s">
        <v>26</v>
      </c>
      <c r="C718">
        <v>98</v>
      </c>
      <c r="D718">
        <v>1</v>
      </c>
      <c r="E718" t="s">
        <v>34</v>
      </c>
      <c r="F718" t="s">
        <v>35</v>
      </c>
      <c r="G718" t="str">
        <f>"2026-02-13 04:57:05.919"</f>
        <v>2026-02-13 04:57:05.919</v>
      </c>
      <c r="H718" t="s">
        <v>21</v>
      </c>
    </row>
    <row r="719" spans="1:10" x14ac:dyDescent="0.25">
      <c r="A719" s="1">
        <v>25</v>
      </c>
      <c r="B719" t="s">
        <v>36</v>
      </c>
      <c r="C719">
        <v>98</v>
      </c>
      <c r="D719">
        <v>1</v>
      </c>
      <c r="E719" t="s">
        <v>34</v>
      </c>
      <c r="F719" t="s">
        <v>35</v>
      </c>
      <c r="G719" t="str">
        <f>"2026-02-13 04:57:04.519"</f>
        <v>2026-02-13 04:57:04.519</v>
      </c>
      <c r="H719" t="s">
        <v>21</v>
      </c>
      <c r="I719">
        <v>0</v>
      </c>
      <c r="J719" t="s">
        <v>37</v>
      </c>
    </row>
    <row r="720" spans="1:10" x14ac:dyDescent="0.25">
      <c r="A720" s="1">
        <v>26</v>
      </c>
      <c r="B720" t="s">
        <v>26</v>
      </c>
      <c r="C720">
        <v>98</v>
      </c>
      <c r="D720">
        <v>1</v>
      </c>
      <c r="E720" t="s">
        <v>34</v>
      </c>
      <c r="F720" t="s">
        <v>35</v>
      </c>
      <c r="G720" t="str">
        <f>"2026-02-13 04:57:03.719"</f>
        <v>2026-02-13 04:57:03.719</v>
      </c>
      <c r="H720" t="s">
        <v>21</v>
      </c>
    </row>
    <row r="721" spans="1:10" x14ac:dyDescent="0.25">
      <c r="A721" s="1">
        <v>27</v>
      </c>
      <c r="B721" t="s">
        <v>36</v>
      </c>
      <c r="C721">
        <v>98</v>
      </c>
      <c r="D721">
        <v>1</v>
      </c>
      <c r="E721" t="s">
        <v>34</v>
      </c>
      <c r="F721" t="s">
        <v>35</v>
      </c>
      <c r="G721" t="str">
        <f>"2026-02-13 04:57:02.719"</f>
        <v>2026-02-13 04:57:02.719</v>
      </c>
      <c r="H721" t="s">
        <v>21</v>
      </c>
      <c r="I721">
        <v>0</v>
      </c>
      <c r="J721" t="s">
        <v>37</v>
      </c>
    </row>
    <row r="722" spans="1:10" x14ac:dyDescent="0.25">
      <c r="A722" s="1">
        <v>28</v>
      </c>
      <c r="B722" t="s">
        <v>26</v>
      </c>
      <c r="C722">
        <v>98</v>
      </c>
      <c r="D722">
        <v>1</v>
      </c>
      <c r="E722" t="s">
        <v>34</v>
      </c>
      <c r="F722" t="s">
        <v>35</v>
      </c>
      <c r="G722" t="str">
        <f>"2026-02-13 04:57:02.119"</f>
        <v>2026-02-13 04:57:02.119</v>
      </c>
      <c r="H722" t="s">
        <v>21</v>
      </c>
    </row>
    <row r="723" spans="1:10" x14ac:dyDescent="0.25">
      <c r="A723" s="1">
        <v>29</v>
      </c>
      <c r="B723" t="s">
        <v>36</v>
      </c>
      <c r="C723">
        <v>98</v>
      </c>
      <c r="D723">
        <v>1</v>
      </c>
      <c r="E723" t="s">
        <v>34</v>
      </c>
      <c r="F723" t="s">
        <v>35</v>
      </c>
      <c r="G723" t="str">
        <f>"2026-02-13 04:57:00.919"</f>
        <v>2026-02-13 04:57:00.919</v>
      </c>
      <c r="H723" t="s">
        <v>21</v>
      </c>
      <c r="I723">
        <v>0</v>
      </c>
      <c r="J723" t="s">
        <v>37</v>
      </c>
    </row>
    <row r="724" spans="1:10" x14ac:dyDescent="0.25">
      <c r="A724" s="1">
        <v>30</v>
      </c>
      <c r="B724" t="s">
        <v>26</v>
      </c>
      <c r="C724">
        <v>61</v>
      </c>
      <c r="D724">
        <v>2</v>
      </c>
      <c r="E724" t="s">
        <v>44</v>
      </c>
      <c r="F724" t="s">
        <v>45</v>
      </c>
      <c r="G724" t="str">
        <f>"2026-02-13 02:04:18.719"</f>
        <v>2026-02-13 02:04:18.719</v>
      </c>
      <c r="H724" t="s">
        <v>21</v>
      </c>
    </row>
    <row r="725" spans="1:10" x14ac:dyDescent="0.25">
      <c r="A725" s="1">
        <v>31</v>
      </c>
      <c r="B725" t="s">
        <v>29</v>
      </c>
      <c r="C725">
        <v>61</v>
      </c>
      <c r="D725">
        <v>2</v>
      </c>
      <c r="E725" t="s">
        <v>44</v>
      </c>
      <c r="F725" t="s">
        <v>45</v>
      </c>
      <c r="G725" t="str">
        <f>"2026-02-13 02:03:54.319"</f>
        <v>2026-02-13 02:03:54.319</v>
      </c>
      <c r="H725" t="s">
        <v>21</v>
      </c>
      <c r="I725">
        <v>30.3</v>
      </c>
      <c r="J725" t="s">
        <v>42</v>
      </c>
    </row>
    <row r="726" spans="1:10" x14ac:dyDescent="0.25">
      <c r="A726" s="1">
        <v>32</v>
      </c>
      <c r="B726" t="s">
        <v>26</v>
      </c>
      <c r="C726">
        <v>98</v>
      </c>
      <c r="D726">
        <v>1</v>
      </c>
      <c r="E726" t="s">
        <v>34</v>
      </c>
      <c r="F726" t="s">
        <v>35</v>
      </c>
      <c r="G726" t="str">
        <f>"2026-02-12 22:33:01.619"</f>
        <v>2026-02-12 22:33:01.619</v>
      </c>
      <c r="H726" t="s">
        <v>21</v>
      </c>
    </row>
    <row r="727" spans="1:10" x14ac:dyDescent="0.25">
      <c r="A727" s="1">
        <v>33</v>
      </c>
      <c r="B727" t="s">
        <v>36</v>
      </c>
      <c r="C727">
        <v>98</v>
      </c>
      <c r="D727">
        <v>1</v>
      </c>
      <c r="E727" t="s">
        <v>34</v>
      </c>
      <c r="F727" t="s">
        <v>35</v>
      </c>
      <c r="G727" t="str">
        <f>"2026-02-12 22:33:00.619"</f>
        <v>2026-02-12 22:33:00.619</v>
      </c>
      <c r="H727" t="s">
        <v>21</v>
      </c>
      <c r="I727">
        <v>-0.04</v>
      </c>
      <c r="J727" t="s">
        <v>37</v>
      </c>
    </row>
    <row r="728" spans="1:10" x14ac:dyDescent="0.25">
      <c r="A728" s="1">
        <v>34</v>
      </c>
      <c r="B728" t="s">
        <v>26</v>
      </c>
      <c r="C728">
        <v>98</v>
      </c>
      <c r="D728">
        <v>1</v>
      </c>
      <c r="E728" t="s">
        <v>34</v>
      </c>
      <c r="F728" t="s">
        <v>35</v>
      </c>
      <c r="G728" t="str">
        <f>"2026-02-12 22:33:00.019"</f>
        <v>2026-02-12 22:33:00.019</v>
      </c>
      <c r="H728" t="s">
        <v>21</v>
      </c>
    </row>
    <row r="729" spans="1:10" x14ac:dyDescent="0.25">
      <c r="A729" s="1">
        <v>35</v>
      </c>
      <c r="B729" t="s">
        <v>36</v>
      </c>
      <c r="C729">
        <v>98</v>
      </c>
      <c r="D729">
        <v>1</v>
      </c>
      <c r="E729" t="s">
        <v>34</v>
      </c>
      <c r="F729" t="s">
        <v>35</v>
      </c>
      <c r="G729" t="str">
        <f>"2026-02-12 22:32:59.019"</f>
        <v>2026-02-12 22:32:59.019</v>
      </c>
      <c r="H729" t="s">
        <v>21</v>
      </c>
      <c r="I729">
        <v>0</v>
      </c>
      <c r="J729" t="s">
        <v>37</v>
      </c>
    </row>
    <row r="730" spans="1:10" x14ac:dyDescent="0.25">
      <c r="A730" s="1">
        <v>36</v>
      </c>
      <c r="B730" t="s">
        <v>26</v>
      </c>
      <c r="C730">
        <v>98</v>
      </c>
      <c r="D730">
        <v>1</v>
      </c>
      <c r="E730" t="s">
        <v>34</v>
      </c>
      <c r="F730" t="s">
        <v>35</v>
      </c>
      <c r="G730" t="str">
        <f>"2026-02-12 22:32:55.819"</f>
        <v>2026-02-12 22:32:55.819</v>
      </c>
      <c r="H730" t="s">
        <v>21</v>
      </c>
    </row>
    <row r="731" spans="1:10" x14ac:dyDescent="0.25">
      <c r="A731" s="1">
        <v>37</v>
      </c>
      <c r="B731" t="s">
        <v>36</v>
      </c>
      <c r="C731">
        <v>98</v>
      </c>
      <c r="D731">
        <v>1</v>
      </c>
      <c r="E731" t="s">
        <v>34</v>
      </c>
      <c r="F731" t="s">
        <v>35</v>
      </c>
      <c r="G731" t="str">
        <f>"2026-02-12 22:32:54.819"</f>
        <v>2026-02-12 22:32:54.819</v>
      </c>
      <c r="H731" t="s">
        <v>21</v>
      </c>
      <c r="I731">
        <v>0</v>
      </c>
      <c r="J731" t="s">
        <v>37</v>
      </c>
    </row>
    <row r="732" spans="1:10" x14ac:dyDescent="0.25">
      <c r="A732" s="1">
        <v>38</v>
      </c>
      <c r="B732" t="s">
        <v>26</v>
      </c>
      <c r="C732">
        <v>98</v>
      </c>
      <c r="D732">
        <v>1</v>
      </c>
      <c r="E732" t="s">
        <v>34</v>
      </c>
      <c r="F732" t="s">
        <v>35</v>
      </c>
      <c r="G732" t="str">
        <f>"2026-02-12 22:32:54.619"</f>
        <v>2026-02-12 22:32:54.619</v>
      </c>
      <c r="H732" t="s">
        <v>21</v>
      </c>
    </row>
    <row r="733" spans="1:10" x14ac:dyDescent="0.25">
      <c r="A733" s="1">
        <v>39</v>
      </c>
      <c r="B733" t="s">
        <v>36</v>
      </c>
      <c r="C733">
        <v>98</v>
      </c>
      <c r="D733">
        <v>1</v>
      </c>
      <c r="E733" t="s">
        <v>34</v>
      </c>
      <c r="F733" t="s">
        <v>35</v>
      </c>
      <c r="G733" t="str">
        <f>"2026-02-12 22:32:53.419"</f>
        <v>2026-02-12 22:32:53.419</v>
      </c>
      <c r="H733" t="s">
        <v>21</v>
      </c>
      <c r="I733">
        <v>0</v>
      </c>
      <c r="J733" t="s">
        <v>37</v>
      </c>
    </row>
    <row r="734" spans="1:10" x14ac:dyDescent="0.25">
      <c r="A734" s="1">
        <v>40</v>
      </c>
      <c r="B734" t="s">
        <v>26</v>
      </c>
      <c r="C734">
        <v>98</v>
      </c>
      <c r="D734">
        <v>1</v>
      </c>
      <c r="E734" t="s">
        <v>34</v>
      </c>
      <c r="F734" t="s">
        <v>35</v>
      </c>
      <c r="G734" t="str">
        <f>"2026-02-12 22:32:52.419"</f>
        <v>2026-02-12 22:32:52.419</v>
      </c>
      <c r="H734" t="s">
        <v>21</v>
      </c>
    </row>
    <row r="735" spans="1:10" x14ac:dyDescent="0.25">
      <c r="A735" s="1">
        <v>41</v>
      </c>
      <c r="B735" t="s">
        <v>36</v>
      </c>
      <c r="C735">
        <v>98</v>
      </c>
      <c r="D735">
        <v>1</v>
      </c>
      <c r="E735" t="s">
        <v>34</v>
      </c>
      <c r="F735" t="s">
        <v>35</v>
      </c>
      <c r="G735" t="str">
        <f>"2026-02-12 22:32:51.219"</f>
        <v>2026-02-12 22:32:51.219</v>
      </c>
      <c r="H735" t="s">
        <v>21</v>
      </c>
      <c r="I735">
        <v>0</v>
      </c>
      <c r="J735" t="s">
        <v>37</v>
      </c>
    </row>
    <row r="736" spans="1:10" x14ac:dyDescent="0.25">
      <c r="A736" s="1">
        <v>42</v>
      </c>
      <c r="B736" t="s">
        <v>26</v>
      </c>
      <c r="C736">
        <v>635</v>
      </c>
      <c r="D736">
        <v>1</v>
      </c>
      <c r="E736" t="s">
        <v>38</v>
      </c>
      <c r="F736" t="s">
        <v>39</v>
      </c>
      <c r="G736" t="str">
        <f>"2026-02-12 18:46:38.719"</f>
        <v>2026-02-12 18:46:38.719</v>
      </c>
      <c r="H736" t="s">
        <v>21</v>
      </c>
    </row>
    <row r="737" spans="1:10" x14ac:dyDescent="0.25">
      <c r="A737" s="1">
        <v>43</v>
      </c>
      <c r="B737" t="s">
        <v>36</v>
      </c>
      <c r="C737">
        <v>635</v>
      </c>
      <c r="D737">
        <v>1</v>
      </c>
      <c r="E737" t="s">
        <v>38</v>
      </c>
      <c r="F737" t="s">
        <v>39</v>
      </c>
      <c r="G737" t="str">
        <f>"2026-02-12 18:29:04.719"</f>
        <v>2026-02-12 18:29:04.719</v>
      </c>
      <c r="H737" t="s">
        <v>21</v>
      </c>
      <c r="I737">
        <v>8.7899999999999991</v>
      </c>
      <c r="J737" t="s">
        <v>30</v>
      </c>
    </row>
    <row r="738" spans="1:10" x14ac:dyDescent="0.25">
      <c r="A738" s="1">
        <v>44</v>
      </c>
      <c r="B738" t="s">
        <v>26</v>
      </c>
      <c r="C738">
        <v>635</v>
      </c>
      <c r="D738">
        <v>1</v>
      </c>
      <c r="E738" t="s">
        <v>38</v>
      </c>
      <c r="F738" t="s">
        <v>39</v>
      </c>
      <c r="G738" t="str">
        <f>"2026-02-12 08:48:35.319"</f>
        <v>2026-02-12 08:48:35.319</v>
      </c>
      <c r="H738" t="s">
        <v>21</v>
      </c>
    </row>
    <row r="739" spans="1:10" x14ac:dyDescent="0.25">
      <c r="A739" s="1">
        <v>45</v>
      </c>
      <c r="B739" t="s">
        <v>36</v>
      </c>
      <c r="C739">
        <v>635</v>
      </c>
      <c r="D739">
        <v>1</v>
      </c>
      <c r="E739" t="s">
        <v>38</v>
      </c>
      <c r="F739" t="s">
        <v>39</v>
      </c>
      <c r="G739" t="str">
        <f>"2026-02-12 08:43:21.319"</f>
        <v>2026-02-12 08:43:21.319</v>
      </c>
      <c r="H739" t="s">
        <v>21</v>
      </c>
      <c r="I739">
        <v>6.41</v>
      </c>
      <c r="J739" t="s">
        <v>37</v>
      </c>
    </row>
    <row r="740" spans="1:10" x14ac:dyDescent="0.25">
      <c r="A740" s="1">
        <v>46</v>
      </c>
      <c r="B740" t="s">
        <v>26</v>
      </c>
      <c r="C740">
        <v>61</v>
      </c>
      <c r="D740">
        <v>2</v>
      </c>
      <c r="E740" t="s">
        <v>44</v>
      </c>
      <c r="F740" t="s">
        <v>45</v>
      </c>
      <c r="G740" t="str">
        <f>"2026-02-11 17:22:13.419"</f>
        <v>2026-02-11 17:22:13.419</v>
      </c>
      <c r="H740" t="s">
        <v>21</v>
      </c>
    </row>
    <row r="741" spans="1:10" x14ac:dyDescent="0.25">
      <c r="A741" s="1">
        <v>47</v>
      </c>
      <c r="B741" t="s">
        <v>29</v>
      </c>
      <c r="C741">
        <v>61</v>
      </c>
      <c r="D741">
        <v>2</v>
      </c>
      <c r="E741" t="s">
        <v>44</v>
      </c>
      <c r="F741" t="s">
        <v>45</v>
      </c>
      <c r="G741" t="str">
        <f>"2026-02-11 17:22:01.819"</f>
        <v>2026-02-11 17:22:01.819</v>
      </c>
      <c r="H741" t="s">
        <v>21</v>
      </c>
      <c r="I741">
        <v>29.42</v>
      </c>
      <c r="J741" t="s">
        <v>42</v>
      </c>
    </row>
    <row r="742" spans="1:10" x14ac:dyDescent="0.25">
      <c r="A742" s="1">
        <v>48</v>
      </c>
      <c r="B742" t="s">
        <v>26</v>
      </c>
      <c r="C742">
        <v>61</v>
      </c>
      <c r="D742">
        <v>2</v>
      </c>
      <c r="E742" t="s">
        <v>44</v>
      </c>
      <c r="F742" t="s">
        <v>45</v>
      </c>
      <c r="G742" t="str">
        <f>"2026-02-11 07:17:03.519"</f>
        <v>2026-02-11 07:17:03.519</v>
      </c>
      <c r="H742" t="s">
        <v>21</v>
      </c>
    </row>
    <row r="743" spans="1:10" x14ac:dyDescent="0.25">
      <c r="A743" s="1">
        <v>49</v>
      </c>
      <c r="B743" t="s">
        <v>29</v>
      </c>
      <c r="C743">
        <v>61</v>
      </c>
      <c r="D743">
        <v>2</v>
      </c>
      <c r="E743" t="s">
        <v>44</v>
      </c>
      <c r="F743" t="s">
        <v>45</v>
      </c>
      <c r="G743" t="str">
        <f>"2026-02-11 07:16:51.620"</f>
        <v>2026-02-11 07:16:51.620</v>
      </c>
      <c r="H743" t="s">
        <v>21</v>
      </c>
      <c r="I743">
        <v>29.84</v>
      </c>
      <c r="J743" t="s">
        <v>42</v>
      </c>
    </row>
    <row r="744" spans="1:10" x14ac:dyDescent="0.25">
      <c r="A744" s="1">
        <v>50</v>
      </c>
      <c r="B744" t="s">
        <v>26</v>
      </c>
      <c r="C744">
        <v>635</v>
      </c>
      <c r="D744">
        <v>1</v>
      </c>
      <c r="E744" t="s">
        <v>38</v>
      </c>
      <c r="F744" t="s">
        <v>39</v>
      </c>
      <c r="G744" t="str">
        <f>"2026-02-10 23:21:30.819"</f>
        <v>2026-02-10 23:21:30.819</v>
      </c>
      <c r="H744" t="s">
        <v>21</v>
      </c>
    </row>
    <row r="745" spans="1:10" x14ac:dyDescent="0.25">
      <c r="A745" s="1">
        <v>51</v>
      </c>
      <c r="B745" t="s">
        <v>36</v>
      </c>
      <c r="C745">
        <v>635</v>
      </c>
      <c r="D745">
        <v>1</v>
      </c>
      <c r="E745" t="s">
        <v>38</v>
      </c>
      <c r="F745" t="s">
        <v>39</v>
      </c>
      <c r="G745" t="str">
        <f>"2026-02-10 23:19:04.819"</f>
        <v>2026-02-10 23:19:04.819</v>
      </c>
      <c r="H745" t="s">
        <v>21</v>
      </c>
      <c r="I745">
        <v>-0.33</v>
      </c>
      <c r="J745" t="s">
        <v>30</v>
      </c>
    </row>
    <row r="746" spans="1:10" x14ac:dyDescent="0.25">
      <c r="A746" s="1">
        <v>52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"2026-02-10 13:28:57.434"</f>
        <v>2026-02-10 13:28:57.434</v>
      </c>
      <c r="H746" t="s">
        <v>21</v>
      </c>
    </row>
    <row r="747" spans="1:10" x14ac:dyDescent="0.25">
      <c r="A747" s="1">
        <v>53</v>
      </c>
      <c r="B747" t="s">
        <v>26</v>
      </c>
      <c r="C747">
        <v>61</v>
      </c>
      <c r="D747">
        <v>2</v>
      </c>
      <c r="E747" t="s">
        <v>44</v>
      </c>
      <c r="F747" t="s">
        <v>45</v>
      </c>
      <c r="G747" t="str">
        <f>"2026-02-10 12:34:29.116"</f>
        <v>2026-02-10 12:34:29.116</v>
      </c>
      <c r="H747" t="s">
        <v>21</v>
      </c>
    </row>
    <row r="748" spans="1:10" x14ac:dyDescent="0.25">
      <c r="A748" s="1">
        <v>54</v>
      </c>
      <c r="B748" t="s">
        <v>29</v>
      </c>
      <c r="C748">
        <v>61</v>
      </c>
      <c r="D748">
        <v>2</v>
      </c>
      <c r="E748" t="s">
        <v>44</v>
      </c>
      <c r="F748" t="s">
        <v>45</v>
      </c>
      <c r="G748" t="str">
        <f>"2026-02-10 12:34:15.316"</f>
        <v>2026-02-10 12:34:15.316</v>
      </c>
      <c r="H748" t="s">
        <v>21</v>
      </c>
      <c r="I748">
        <v>30.63</v>
      </c>
      <c r="J748" t="s">
        <v>42</v>
      </c>
    </row>
    <row r="749" spans="1:10" x14ac:dyDescent="0.25">
      <c r="A749" s="1">
        <v>56</v>
      </c>
      <c r="B749" t="s">
        <v>26</v>
      </c>
      <c r="C749">
        <v>61</v>
      </c>
      <c r="D749">
        <v>2</v>
      </c>
      <c r="E749" t="s">
        <v>44</v>
      </c>
      <c r="F749" t="s">
        <v>45</v>
      </c>
      <c r="G749" t="str">
        <f>"2026-02-10 05:38:26.516"</f>
        <v>2026-02-10 05:38:26.516</v>
      </c>
      <c r="H749" t="s">
        <v>21</v>
      </c>
    </row>
    <row r="750" spans="1:10" x14ac:dyDescent="0.25">
      <c r="A750" s="1">
        <v>57</v>
      </c>
      <c r="B750" t="s">
        <v>29</v>
      </c>
      <c r="C750">
        <v>61</v>
      </c>
      <c r="D750">
        <v>2</v>
      </c>
      <c r="E750" t="s">
        <v>44</v>
      </c>
      <c r="F750" t="s">
        <v>45</v>
      </c>
      <c r="G750" t="str">
        <f>"2026-02-10 05:38:09.616"</f>
        <v>2026-02-10 05:38:09.616</v>
      </c>
      <c r="H750" t="s">
        <v>21</v>
      </c>
      <c r="I750">
        <v>29.94</v>
      </c>
      <c r="J750" t="s">
        <v>42</v>
      </c>
    </row>
    <row r="751" spans="1:10" x14ac:dyDescent="0.25">
      <c r="A751" s="1">
        <v>58</v>
      </c>
      <c r="B751" t="s">
        <v>26</v>
      </c>
      <c r="C751">
        <v>61</v>
      </c>
      <c r="D751">
        <v>2</v>
      </c>
      <c r="E751" t="s">
        <v>44</v>
      </c>
      <c r="F751" t="s">
        <v>45</v>
      </c>
      <c r="G751" t="str">
        <f>"2026-02-10 04:06:34.515"</f>
        <v>2026-02-10 04:06:34.515</v>
      </c>
      <c r="H751" t="s">
        <v>21</v>
      </c>
    </row>
    <row r="752" spans="1:10" x14ac:dyDescent="0.25">
      <c r="A752" s="1">
        <v>59</v>
      </c>
      <c r="B752" t="s">
        <v>29</v>
      </c>
      <c r="C752">
        <v>61</v>
      </c>
      <c r="D752">
        <v>2</v>
      </c>
      <c r="E752" t="s">
        <v>44</v>
      </c>
      <c r="F752" t="s">
        <v>45</v>
      </c>
      <c r="G752" t="str">
        <f>"2026-02-10 04:06:20.515"</f>
        <v>2026-02-10 04:06:20.515</v>
      </c>
      <c r="H752" t="s">
        <v>21</v>
      </c>
      <c r="I752">
        <v>30.49</v>
      </c>
      <c r="J752" t="s">
        <v>42</v>
      </c>
    </row>
    <row r="753" spans="1:10" x14ac:dyDescent="0.25">
      <c r="A753" s="1">
        <v>60</v>
      </c>
      <c r="B753" t="s">
        <v>19</v>
      </c>
      <c r="C753">
        <v>706</v>
      </c>
      <c r="D753">
        <v>4</v>
      </c>
      <c r="E753" t="s">
        <v>31</v>
      </c>
      <c r="F753" t="s">
        <v>32</v>
      </c>
      <c r="G753" t="str">
        <f>"2026-02-08 12:57:48.666"</f>
        <v>2026-02-08 12:57:48.666</v>
      </c>
      <c r="H753" t="s">
        <v>21</v>
      </c>
      <c r="I753">
        <v>0</v>
      </c>
      <c r="J753" t="s">
        <v>33</v>
      </c>
    </row>
    <row r="754" spans="1:10" x14ac:dyDescent="0.25">
      <c r="A754" s="1">
        <v>61</v>
      </c>
      <c r="B754" t="s">
        <v>26</v>
      </c>
      <c r="C754">
        <v>61</v>
      </c>
      <c r="D754">
        <v>2</v>
      </c>
      <c r="E754" t="s">
        <v>44</v>
      </c>
      <c r="F754" t="s">
        <v>45</v>
      </c>
      <c r="G754" t="str">
        <f>"2026-02-08 09:57:06.516"</f>
        <v>2026-02-08 09:57:06.516</v>
      </c>
      <c r="H754" t="s">
        <v>21</v>
      </c>
    </row>
    <row r="755" spans="1:10" x14ac:dyDescent="0.25">
      <c r="A755" s="1">
        <v>62</v>
      </c>
      <c r="B755" t="s">
        <v>29</v>
      </c>
      <c r="C755">
        <v>61</v>
      </c>
      <c r="D755">
        <v>2</v>
      </c>
      <c r="E755" t="s">
        <v>44</v>
      </c>
      <c r="F755" t="s">
        <v>45</v>
      </c>
      <c r="G755" t="str">
        <f>"2026-02-08 09:56:46.416"</f>
        <v>2026-02-08 09:56:46.416</v>
      </c>
      <c r="H755" t="s">
        <v>21</v>
      </c>
      <c r="I755">
        <v>29.94</v>
      </c>
      <c r="J755" t="s">
        <v>42</v>
      </c>
    </row>
    <row r="756" spans="1:10" x14ac:dyDescent="0.25">
      <c r="A756" s="1">
        <v>63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"2026-02-08 00:43:14.346"</f>
        <v>2026-02-08 00:43:14.346</v>
      </c>
      <c r="H756" t="s">
        <v>21</v>
      </c>
      <c r="I756">
        <v>0</v>
      </c>
      <c r="J756" t="s">
        <v>22</v>
      </c>
    </row>
    <row r="757" spans="1:10" x14ac:dyDescent="0.25">
      <c r="A757" s="1">
        <v>64</v>
      </c>
      <c r="B757" t="s">
        <v>26</v>
      </c>
      <c r="C757">
        <v>61</v>
      </c>
      <c r="D757">
        <v>2</v>
      </c>
      <c r="E757" t="s">
        <v>44</v>
      </c>
      <c r="F757" t="s">
        <v>45</v>
      </c>
      <c r="G757" t="str">
        <f>"2026-02-07 19:39:30.241"</f>
        <v>2026-02-07 19:39:30.241</v>
      </c>
      <c r="H757" t="s">
        <v>21</v>
      </c>
    </row>
    <row r="758" spans="1:10" x14ac:dyDescent="0.25">
      <c r="A758" s="1">
        <v>65</v>
      </c>
      <c r="B758" t="s">
        <v>29</v>
      </c>
      <c r="C758">
        <v>61</v>
      </c>
      <c r="D758">
        <v>2</v>
      </c>
      <c r="E758" t="s">
        <v>44</v>
      </c>
      <c r="F758" t="s">
        <v>45</v>
      </c>
      <c r="G758" t="str">
        <f>"2026-02-07 19:39:10.841"</f>
        <v>2026-02-07 19:39:10.841</v>
      </c>
      <c r="H758" t="s">
        <v>21</v>
      </c>
      <c r="I758">
        <v>29.94</v>
      </c>
      <c r="J758" t="s">
        <v>42</v>
      </c>
    </row>
    <row r="759" spans="1:10" x14ac:dyDescent="0.25">
      <c r="A759" s="1">
        <v>66</v>
      </c>
      <c r="B759" t="s">
        <v>26</v>
      </c>
      <c r="C759">
        <v>635</v>
      </c>
      <c r="D759">
        <v>1</v>
      </c>
      <c r="E759" t="s">
        <v>38</v>
      </c>
      <c r="F759" t="s">
        <v>39</v>
      </c>
      <c r="G759" t="str">
        <f>"2026-02-07 16:20:07.780"</f>
        <v>2026-02-07 16:20:07.780</v>
      </c>
      <c r="H759" t="s">
        <v>21</v>
      </c>
    </row>
    <row r="760" spans="1:10" x14ac:dyDescent="0.25">
      <c r="A760" s="1">
        <v>67</v>
      </c>
      <c r="B760" t="s">
        <v>36</v>
      </c>
      <c r="C760">
        <v>635</v>
      </c>
      <c r="D760">
        <v>1</v>
      </c>
      <c r="E760" t="s">
        <v>38</v>
      </c>
      <c r="F760" t="s">
        <v>39</v>
      </c>
      <c r="G760" t="str">
        <f>"2026-02-07 15:51:56.880"</f>
        <v>2026-02-07 15:51:56.880</v>
      </c>
      <c r="H760" t="s">
        <v>21</v>
      </c>
      <c r="I760">
        <v>2.89</v>
      </c>
      <c r="J760" t="s">
        <v>30</v>
      </c>
    </row>
    <row r="761" spans="1:10" x14ac:dyDescent="0.25">
      <c r="A761" s="1">
        <v>68</v>
      </c>
      <c r="B761" t="s">
        <v>26</v>
      </c>
      <c r="C761">
        <v>635</v>
      </c>
      <c r="D761">
        <v>1</v>
      </c>
      <c r="E761" t="s">
        <v>38</v>
      </c>
      <c r="F761" t="s">
        <v>39</v>
      </c>
      <c r="G761" t="str">
        <f>"2026-02-07 14:31:28.080"</f>
        <v>2026-02-07 14:31:28.080</v>
      </c>
      <c r="H761" t="s">
        <v>21</v>
      </c>
    </row>
    <row r="762" spans="1:10" x14ac:dyDescent="0.25">
      <c r="A762" s="1">
        <v>69</v>
      </c>
      <c r="B762" t="s">
        <v>36</v>
      </c>
      <c r="C762">
        <v>635</v>
      </c>
      <c r="D762">
        <v>1</v>
      </c>
      <c r="E762" t="s">
        <v>38</v>
      </c>
      <c r="F762" t="s">
        <v>39</v>
      </c>
      <c r="G762" t="str">
        <f>"2026-02-07 14:27:06.580"</f>
        <v>2026-02-07 14:27:06.580</v>
      </c>
      <c r="H762" t="s">
        <v>21</v>
      </c>
      <c r="I762">
        <v>6.71</v>
      </c>
      <c r="J762" t="s">
        <v>30</v>
      </c>
    </row>
    <row r="763" spans="1:10" x14ac:dyDescent="0.25">
      <c r="A763" s="1">
        <v>70</v>
      </c>
      <c r="B763" t="s">
        <v>26</v>
      </c>
      <c r="C763">
        <v>635</v>
      </c>
      <c r="D763">
        <v>1</v>
      </c>
      <c r="E763" t="s">
        <v>38</v>
      </c>
      <c r="F763" t="s">
        <v>39</v>
      </c>
      <c r="G763" t="str">
        <f>"2026-02-07 12:58:08.380"</f>
        <v>2026-02-07 12:58:08.380</v>
      </c>
      <c r="H763" t="s">
        <v>21</v>
      </c>
    </row>
    <row r="764" spans="1:10" x14ac:dyDescent="0.25">
      <c r="A764" s="1">
        <v>71</v>
      </c>
      <c r="B764" t="s">
        <v>36</v>
      </c>
      <c r="C764">
        <v>635</v>
      </c>
      <c r="D764">
        <v>1</v>
      </c>
      <c r="E764" t="s">
        <v>38</v>
      </c>
      <c r="F764" t="s">
        <v>39</v>
      </c>
      <c r="G764" t="str">
        <f>"2026-02-07 12:53:43.880"</f>
        <v>2026-02-07 12:53:43.880</v>
      </c>
      <c r="H764" t="s">
        <v>21</v>
      </c>
      <c r="I764">
        <v>5.9</v>
      </c>
      <c r="J764" t="s">
        <v>30</v>
      </c>
    </row>
    <row r="765" spans="1:10" x14ac:dyDescent="0.25">
      <c r="A765" s="1">
        <v>72</v>
      </c>
      <c r="B765" t="s">
        <v>26</v>
      </c>
      <c r="C765">
        <v>61</v>
      </c>
      <c r="D765">
        <v>2</v>
      </c>
      <c r="E765" t="s">
        <v>44</v>
      </c>
      <c r="F765" t="s">
        <v>45</v>
      </c>
      <c r="G765" t="str">
        <f>"2026-02-06 19:26:29.141"</f>
        <v>2026-02-06 19:26:29.141</v>
      </c>
      <c r="H765" t="s">
        <v>21</v>
      </c>
    </row>
    <row r="766" spans="1:10" x14ac:dyDescent="0.25">
      <c r="A766" s="1">
        <v>73</v>
      </c>
      <c r="B766" t="s">
        <v>29</v>
      </c>
      <c r="C766">
        <v>61</v>
      </c>
      <c r="D766">
        <v>2</v>
      </c>
      <c r="E766" t="s">
        <v>44</v>
      </c>
      <c r="F766" t="s">
        <v>45</v>
      </c>
      <c r="G766" t="str">
        <f>"2026-02-06 19:26:09.641"</f>
        <v>2026-02-06 19:26:09.641</v>
      </c>
      <c r="H766" t="s">
        <v>21</v>
      </c>
      <c r="I766">
        <v>29.94</v>
      </c>
      <c r="J766" t="s">
        <v>42</v>
      </c>
    </row>
    <row r="767" spans="1:10" x14ac:dyDescent="0.25">
      <c r="A767" s="1">
        <v>74</v>
      </c>
      <c r="B767" t="s">
        <v>26</v>
      </c>
      <c r="C767">
        <v>635</v>
      </c>
      <c r="D767">
        <v>1</v>
      </c>
      <c r="E767" t="s">
        <v>38</v>
      </c>
      <c r="F767" t="s">
        <v>39</v>
      </c>
      <c r="G767" t="str">
        <f>"2026-02-06 11:19:58.580"</f>
        <v>2026-02-06 11:19:58.580</v>
      </c>
      <c r="H767" t="s">
        <v>21</v>
      </c>
    </row>
    <row r="768" spans="1:10" x14ac:dyDescent="0.25">
      <c r="A768" s="1">
        <v>75</v>
      </c>
      <c r="B768" t="s">
        <v>36</v>
      </c>
      <c r="C768">
        <v>635</v>
      </c>
      <c r="D768">
        <v>1</v>
      </c>
      <c r="E768" t="s">
        <v>38</v>
      </c>
      <c r="F768" t="s">
        <v>39</v>
      </c>
      <c r="G768" t="str">
        <f>"2026-02-06 11:18:07.080"</f>
        <v>2026-02-06 11:18:07.080</v>
      </c>
      <c r="H768" t="s">
        <v>21</v>
      </c>
      <c r="I768">
        <v>4.75</v>
      </c>
      <c r="J768" t="s">
        <v>30</v>
      </c>
    </row>
    <row r="769" spans="1:10" x14ac:dyDescent="0.25">
      <c r="A769" s="1">
        <v>76</v>
      </c>
      <c r="B769" t="s">
        <v>26</v>
      </c>
      <c r="C769">
        <v>635</v>
      </c>
      <c r="D769">
        <v>1</v>
      </c>
      <c r="E769" t="s">
        <v>38</v>
      </c>
      <c r="F769" t="s">
        <v>39</v>
      </c>
      <c r="G769" t="str">
        <f>"2026-02-05 18:47:00.380"</f>
        <v>2026-02-05 18:47:00.380</v>
      </c>
      <c r="H769" t="s">
        <v>21</v>
      </c>
    </row>
    <row r="770" spans="1:10" x14ac:dyDescent="0.25">
      <c r="A770" s="1">
        <v>77</v>
      </c>
      <c r="B770" t="s">
        <v>36</v>
      </c>
      <c r="C770">
        <v>635</v>
      </c>
      <c r="D770">
        <v>1</v>
      </c>
      <c r="E770" t="s">
        <v>38</v>
      </c>
      <c r="F770" t="s">
        <v>39</v>
      </c>
      <c r="G770" t="str">
        <f>"2026-02-05 18:25:49.380"</f>
        <v>2026-02-05 18:25:49.380</v>
      </c>
      <c r="H770" t="s">
        <v>21</v>
      </c>
      <c r="I770">
        <v>7.5</v>
      </c>
      <c r="J770" t="s">
        <v>30</v>
      </c>
    </row>
    <row r="771" spans="1:10" x14ac:dyDescent="0.25">
      <c r="A771" s="1">
        <v>78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"2026-02-05 12:07:17.337"</f>
        <v>2026-02-05 12:07:17.337</v>
      </c>
      <c r="H771" t="s">
        <v>21</v>
      </c>
    </row>
    <row r="772" spans="1:10" x14ac:dyDescent="0.25">
      <c r="A772" s="1">
        <v>79</v>
      </c>
      <c r="B772" t="s">
        <v>19</v>
      </c>
      <c r="C772">
        <v>706</v>
      </c>
      <c r="D772">
        <v>4</v>
      </c>
      <c r="E772" t="s">
        <v>31</v>
      </c>
      <c r="F772" t="s">
        <v>32</v>
      </c>
      <c r="G772" t="str">
        <f>"2026-02-05 11:44:46.228"</f>
        <v>2026-02-05 11:44:46.228</v>
      </c>
      <c r="H772" t="s">
        <v>21</v>
      </c>
      <c r="I772">
        <v>0</v>
      </c>
      <c r="J772" t="s">
        <v>33</v>
      </c>
    </row>
    <row r="773" spans="1:10" x14ac:dyDescent="0.25">
      <c r="A773" s="1">
        <v>80</v>
      </c>
      <c r="B773" t="s">
        <v>19</v>
      </c>
      <c r="C773">
        <v>700</v>
      </c>
      <c r="D773">
        <v>0</v>
      </c>
      <c r="E773" t="s">
        <v>20</v>
      </c>
      <c r="F773" t="s">
        <v>20</v>
      </c>
      <c r="G773" t="str">
        <f>"2026-02-05 11:44:12.318"</f>
        <v>2026-02-05 11:44:12.318</v>
      </c>
      <c r="H773" t="s">
        <v>21</v>
      </c>
      <c r="I773">
        <v>0</v>
      </c>
      <c r="J773" t="s">
        <v>22</v>
      </c>
    </row>
    <row r="774" spans="1:10" x14ac:dyDescent="0.25">
      <c r="A774" s="1">
        <v>81</v>
      </c>
      <c r="B774" t="s">
        <v>19</v>
      </c>
      <c r="C774">
        <v>700</v>
      </c>
      <c r="D774">
        <v>0</v>
      </c>
      <c r="E774" t="s">
        <v>20</v>
      </c>
      <c r="F774" t="s">
        <v>20</v>
      </c>
      <c r="G774" t="str">
        <f>"2026-02-05 11:03:21.334"</f>
        <v>2026-02-05 11:03:21.334</v>
      </c>
      <c r="H774" t="s">
        <v>21</v>
      </c>
      <c r="I774">
        <v>0</v>
      </c>
      <c r="J774" t="s">
        <v>22</v>
      </c>
    </row>
    <row r="775" spans="1:10" x14ac:dyDescent="0.25">
      <c r="A775" s="1">
        <v>82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"2026-02-05 10:58:11.590"</f>
        <v>2026-02-05 10:58:11.590</v>
      </c>
      <c r="H775" t="s">
        <v>21</v>
      </c>
      <c r="I775">
        <v>0</v>
      </c>
      <c r="J775" t="s">
        <v>22</v>
      </c>
    </row>
    <row r="776" spans="1:10" x14ac:dyDescent="0.25">
      <c r="A776" s="1">
        <v>83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"2026-02-05 10:25:14.889"</f>
        <v>2026-02-05 10:25:14.889</v>
      </c>
      <c r="H776" t="s">
        <v>21</v>
      </c>
      <c r="I776">
        <v>0</v>
      </c>
      <c r="J776" t="s">
        <v>22</v>
      </c>
    </row>
    <row r="777" spans="1:10" x14ac:dyDescent="0.25">
      <c r="A777" s="1">
        <v>84</v>
      </c>
      <c r="B777" t="s">
        <v>26</v>
      </c>
      <c r="C777">
        <v>98</v>
      </c>
      <c r="D777">
        <v>1</v>
      </c>
      <c r="E777" t="s">
        <v>34</v>
      </c>
      <c r="F777" t="s">
        <v>35</v>
      </c>
      <c r="G777" t="str">
        <f>"2026-02-05 04:06:58.235"</f>
        <v>2026-02-05 04:06:58.235</v>
      </c>
      <c r="H777" t="s">
        <v>21</v>
      </c>
    </row>
    <row r="778" spans="1:10" x14ac:dyDescent="0.25">
      <c r="A778" s="1">
        <v>85</v>
      </c>
      <c r="B778" t="s">
        <v>36</v>
      </c>
      <c r="C778">
        <v>98</v>
      </c>
      <c r="D778">
        <v>1</v>
      </c>
      <c r="E778" t="s">
        <v>34</v>
      </c>
      <c r="F778" t="s">
        <v>35</v>
      </c>
      <c r="G778" t="str">
        <f>"2026-02-05 04:06:57.235"</f>
        <v>2026-02-05 04:06:57.235</v>
      </c>
      <c r="H778" t="s">
        <v>21</v>
      </c>
      <c r="I778">
        <v>0</v>
      </c>
      <c r="J778" t="s">
        <v>37</v>
      </c>
    </row>
    <row r="779" spans="1:10" x14ac:dyDescent="0.25">
      <c r="A779" s="1">
        <v>86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"2026-02-04 12:54:27.341"</f>
        <v>2026-02-04 12:54:27.341</v>
      </c>
      <c r="H779" t="s">
        <v>21</v>
      </c>
      <c r="I779">
        <v>0</v>
      </c>
      <c r="J779" t="s">
        <v>22</v>
      </c>
    </row>
    <row r="780" spans="1:10" x14ac:dyDescent="0.25">
      <c r="A780" s="1">
        <v>87</v>
      </c>
      <c r="B780" t="s">
        <v>26</v>
      </c>
      <c r="C780">
        <v>635</v>
      </c>
      <c r="D780">
        <v>1</v>
      </c>
      <c r="E780" t="s">
        <v>38</v>
      </c>
      <c r="F780" t="s">
        <v>39</v>
      </c>
      <c r="G780" t="str">
        <f>"2026-02-03 08:50:19.412"</f>
        <v>2026-02-03 08:50:19.412</v>
      </c>
      <c r="H780" t="s">
        <v>21</v>
      </c>
    </row>
    <row r="781" spans="1:10" x14ac:dyDescent="0.25">
      <c r="A781" s="1">
        <v>88</v>
      </c>
      <c r="B781" t="s">
        <v>36</v>
      </c>
      <c r="C781">
        <v>635</v>
      </c>
      <c r="D781">
        <v>1</v>
      </c>
      <c r="E781" t="s">
        <v>38</v>
      </c>
      <c r="F781" t="s">
        <v>39</v>
      </c>
      <c r="G781" t="str">
        <f>"2026-02-03 08:12:26.012"</f>
        <v>2026-02-03 08:12:26.012</v>
      </c>
      <c r="H781" t="s">
        <v>21</v>
      </c>
      <c r="I781">
        <v>5.4</v>
      </c>
      <c r="J781" t="s">
        <v>30</v>
      </c>
    </row>
    <row r="782" spans="1:10" x14ac:dyDescent="0.25">
      <c r="A782" s="1">
        <v>89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"2026-02-02 20:12:55.330"</f>
        <v>2026-02-02 20:12:55.330</v>
      </c>
      <c r="H782" t="s">
        <v>21</v>
      </c>
      <c r="I782">
        <v>0</v>
      </c>
      <c r="J782" t="s">
        <v>22</v>
      </c>
    </row>
    <row r="783" spans="1:10" s="3" customFormat="1" x14ac:dyDescent="0.25">
      <c r="A783" s="2">
        <v>90</v>
      </c>
      <c r="B783" s="3" t="s">
        <v>26</v>
      </c>
      <c r="C783" s="3">
        <v>647</v>
      </c>
      <c r="D783" s="3">
        <v>1</v>
      </c>
      <c r="E783" s="3" t="s">
        <v>40</v>
      </c>
      <c r="F783" s="3" t="s">
        <v>41</v>
      </c>
      <c r="G783" s="3" t="str">
        <f>"2026-02-01 20:45:32.629"</f>
        <v>2026-02-01 20:45:32.629</v>
      </c>
      <c r="H783" s="3" t="s">
        <v>21</v>
      </c>
    </row>
    <row r="784" spans="1:10" s="3" customFormat="1" x14ac:dyDescent="0.25">
      <c r="A784" s="2">
        <v>91</v>
      </c>
      <c r="B784" s="3" t="s">
        <v>36</v>
      </c>
      <c r="C784" s="3">
        <v>647</v>
      </c>
      <c r="D784" s="3">
        <v>1</v>
      </c>
      <c r="E784" s="3" t="s">
        <v>40</v>
      </c>
      <c r="F784" s="3" t="s">
        <v>41</v>
      </c>
      <c r="G784" s="3" t="str">
        <f>"2026-02-01 20:45:23.729"</f>
        <v>2026-02-01 20:45:23.729</v>
      </c>
      <c r="H784" s="3" t="s">
        <v>21</v>
      </c>
      <c r="I784" s="3">
        <v>12.67</v>
      </c>
      <c r="J784" s="3" t="s">
        <v>42</v>
      </c>
    </row>
    <row r="785" spans="1:10" s="3" customFormat="1" x14ac:dyDescent="0.25">
      <c r="A785" s="2">
        <v>92</v>
      </c>
      <c r="B785" s="3" t="s">
        <v>26</v>
      </c>
      <c r="C785" s="3">
        <v>647</v>
      </c>
      <c r="D785" s="3">
        <v>1</v>
      </c>
      <c r="E785" s="3" t="s">
        <v>40</v>
      </c>
      <c r="F785" s="3" t="s">
        <v>41</v>
      </c>
      <c r="G785" s="3" t="str">
        <f>"2026-01-31 22:41:17.429"</f>
        <v>2026-01-31 22:41:17.429</v>
      </c>
      <c r="H785" s="3" t="s">
        <v>21</v>
      </c>
    </row>
    <row r="786" spans="1:10" s="3" customFormat="1" x14ac:dyDescent="0.25">
      <c r="A786" s="2">
        <v>93</v>
      </c>
      <c r="B786" s="3" t="s">
        <v>36</v>
      </c>
      <c r="C786" s="3">
        <v>647</v>
      </c>
      <c r="D786" s="3">
        <v>1</v>
      </c>
      <c r="E786" s="3" t="s">
        <v>40</v>
      </c>
      <c r="F786" s="3" t="s">
        <v>41</v>
      </c>
      <c r="G786" s="3" t="str">
        <f>"2026-01-31 22:41:12.829"</f>
        <v>2026-01-31 22:41:12.829</v>
      </c>
      <c r="H786" s="3" t="s">
        <v>21</v>
      </c>
      <c r="I786" s="3">
        <v>9.17</v>
      </c>
      <c r="J786" s="3" t="s">
        <v>42</v>
      </c>
    </row>
    <row r="787" spans="1:10" x14ac:dyDescent="0.25">
      <c r="A787" s="1">
        <v>94</v>
      </c>
      <c r="B787" t="s">
        <v>26</v>
      </c>
      <c r="C787">
        <v>61</v>
      </c>
      <c r="D787">
        <v>2</v>
      </c>
      <c r="E787" t="s">
        <v>44</v>
      </c>
      <c r="F787" t="s">
        <v>45</v>
      </c>
      <c r="G787" t="str">
        <f>"2026-01-31 00:34:36.042"</f>
        <v>2026-01-31 00:34:36.042</v>
      </c>
      <c r="H787" t="s">
        <v>21</v>
      </c>
    </row>
    <row r="788" spans="1:10" x14ac:dyDescent="0.25">
      <c r="A788" s="1">
        <v>95</v>
      </c>
      <c r="B788" t="s">
        <v>29</v>
      </c>
      <c r="C788">
        <v>61</v>
      </c>
      <c r="D788">
        <v>2</v>
      </c>
      <c r="E788" t="s">
        <v>44</v>
      </c>
      <c r="F788" t="s">
        <v>45</v>
      </c>
      <c r="G788" t="str">
        <f>"2026-01-31 00:34:24.342"</f>
        <v>2026-01-31 00:34:24.342</v>
      </c>
      <c r="H788" t="s">
        <v>21</v>
      </c>
      <c r="I788">
        <v>29.43</v>
      </c>
      <c r="J788" t="s">
        <v>42</v>
      </c>
    </row>
    <row r="789" spans="1:10" x14ac:dyDescent="0.25">
      <c r="A789" s="1">
        <v>96</v>
      </c>
      <c r="B789" t="s">
        <v>26</v>
      </c>
      <c r="C789">
        <v>635</v>
      </c>
      <c r="D789">
        <v>1</v>
      </c>
      <c r="E789" t="s">
        <v>38</v>
      </c>
      <c r="F789" t="s">
        <v>39</v>
      </c>
      <c r="G789" t="str">
        <f>"2026-01-30 03:29:26.681"</f>
        <v>2026-01-30 03:29:26.681</v>
      </c>
      <c r="H789" t="s">
        <v>21</v>
      </c>
    </row>
    <row r="790" spans="1:10" x14ac:dyDescent="0.25">
      <c r="A790" s="1">
        <v>97</v>
      </c>
      <c r="B790" t="s">
        <v>36</v>
      </c>
      <c r="C790">
        <v>635</v>
      </c>
      <c r="D790">
        <v>1</v>
      </c>
      <c r="E790" t="s">
        <v>38</v>
      </c>
      <c r="F790" t="s">
        <v>39</v>
      </c>
      <c r="G790" t="str">
        <f>"2026-01-30 03:23:39.181"</f>
        <v>2026-01-30 03:23:39.181</v>
      </c>
      <c r="H790" t="s">
        <v>21</v>
      </c>
      <c r="I790">
        <v>8.8699999999999992</v>
      </c>
      <c r="J790" t="s">
        <v>30</v>
      </c>
    </row>
    <row r="791" spans="1:10" x14ac:dyDescent="0.25">
      <c r="A791" s="1">
        <v>98</v>
      </c>
      <c r="B791" t="s">
        <v>26</v>
      </c>
      <c r="C791">
        <v>635</v>
      </c>
      <c r="D791">
        <v>1</v>
      </c>
      <c r="E791" t="s">
        <v>38</v>
      </c>
      <c r="F791" t="s">
        <v>39</v>
      </c>
      <c r="G791" t="str">
        <f>"2026-01-28 16:01:58.481"</f>
        <v>2026-01-28 16:01:58.481</v>
      </c>
      <c r="H791" t="s">
        <v>21</v>
      </c>
    </row>
    <row r="792" spans="1:10" x14ac:dyDescent="0.25">
      <c r="A792" s="1">
        <v>99</v>
      </c>
      <c r="B792" t="s">
        <v>36</v>
      </c>
      <c r="C792">
        <v>635</v>
      </c>
      <c r="D792">
        <v>1</v>
      </c>
      <c r="E792" t="s">
        <v>38</v>
      </c>
      <c r="F792" t="s">
        <v>39</v>
      </c>
      <c r="G792" t="str">
        <f>"2026-01-28 15:59:15.481"</f>
        <v>2026-01-28 15:59:15.481</v>
      </c>
      <c r="H792" t="s">
        <v>21</v>
      </c>
      <c r="I792">
        <v>2.16</v>
      </c>
      <c r="J792" t="s">
        <v>30</v>
      </c>
    </row>
    <row r="793" spans="1:10" x14ac:dyDescent="0.25">
      <c r="A793" s="1">
        <v>0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"2026-01-27 09:20:26.346"</f>
        <v>2026-01-27 09:20:26.346</v>
      </c>
      <c r="H793" t="s">
        <v>21</v>
      </c>
      <c r="I793">
        <v>0</v>
      </c>
      <c r="J793" t="s">
        <v>22</v>
      </c>
    </row>
    <row r="794" spans="1:10" x14ac:dyDescent="0.25">
      <c r="A794" s="1">
        <v>1</v>
      </c>
      <c r="B794" t="s">
        <v>26</v>
      </c>
      <c r="C794">
        <v>635</v>
      </c>
      <c r="D794">
        <v>1</v>
      </c>
      <c r="E794" t="s">
        <v>38</v>
      </c>
      <c r="F794" t="s">
        <v>39</v>
      </c>
      <c r="G794" t="str">
        <f>"2026-01-26 19:18:45.568"</f>
        <v>2026-01-26 19:18:45.568</v>
      </c>
      <c r="H794" t="s">
        <v>21</v>
      </c>
    </row>
    <row r="795" spans="1:10" x14ac:dyDescent="0.25">
      <c r="A795" s="1">
        <v>2</v>
      </c>
      <c r="B795" t="s">
        <v>36</v>
      </c>
      <c r="C795">
        <v>635</v>
      </c>
      <c r="D795">
        <v>1</v>
      </c>
      <c r="E795" t="s">
        <v>38</v>
      </c>
      <c r="F795" t="s">
        <v>39</v>
      </c>
      <c r="G795" t="str">
        <f>"2026-01-26 19:14:47.168"</f>
        <v>2026-01-26 19:14:47.168</v>
      </c>
      <c r="H795" t="s">
        <v>21</v>
      </c>
      <c r="I795">
        <v>6.99</v>
      </c>
      <c r="J795" t="s">
        <v>30</v>
      </c>
    </row>
    <row r="796" spans="1:10" x14ac:dyDescent="0.25">
      <c r="A796" s="1">
        <v>3</v>
      </c>
      <c r="B796" t="s">
        <v>19</v>
      </c>
      <c r="C796">
        <v>700</v>
      </c>
      <c r="D796">
        <v>0</v>
      </c>
      <c r="E796" t="s">
        <v>20</v>
      </c>
      <c r="F796" t="s">
        <v>20</v>
      </c>
      <c r="G796" t="str">
        <f>"2026-01-26 08:13:47.333"</f>
        <v>2026-01-26 08:13:47.333</v>
      </c>
      <c r="H796" t="s">
        <v>21</v>
      </c>
      <c r="I796">
        <v>0</v>
      </c>
      <c r="J796" t="s">
        <v>22</v>
      </c>
    </row>
    <row r="797" spans="1:10" x14ac:dyDescent="0.25">
      <c r="A797" s="1">
        <v>4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"2026-01-26 02:55:56.344"</f>
        <v>2026-01-26 02:55:56.344</v>
      </c>
      <c r="H797" t="s">
        <v>21</v>
      </c>
    </row>
    <row r="798" spans="1:10" x14ac:dyDescent="0.25">
      <c r="A798" s="1">
        <v>5</v>
      </c>
      <c r="B798" t="s">
        <v>19</v>
      </c>
      <c r="C798">
        <v>706</v>
      </c>
      <c r="D798">
        <v>4</v>
      </c>
      <c r="E798" t="s">
        <v>31</v>
      </c>
      <c r="F798" t="s">
        <v>32</v>
      </c>
      <c r="G798" t="str">
        <f>"2026-01-26 00:21:59.556"</f>
        <v>2026-01-26 00:21:59.556</v>
      </c>
      <c r="H798" t="s">
        <v>21</v>
      </c>
      <c r="I798">
        <v>0</v>
      </c>
      <c r="J798" t="s">
        <v>33</v>
      </c>
    </row>
    <row r="799" spans="1:10" x14ac:dyDescent="0.25">
      <c r="A799" s="1">
        <v>6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"2026-01-25 23:41:18.336"</f>
        <v>2026-01-25 23:41:18.336</v>
      </c>
      <c r="H799" t="s">
        <v>21</v>
      </c>
      <c r="I799">
        <v>0</v>
      </c>
      <c r="J799" t="s">
        <v>22</v>
      </c>
    </row>
    <row r="800" spans="1:10" x14ac:dyDescent="0.25">
      <c r="A800" s="1">
        <v>7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"2026-01-25 22:42:19.606"</f>
        <v>2026-01-25 22:42:19.606</v>
      </c>
      <c r="H800" t="s">
        <v>21</v>
      </c>
    </row>
    <row r="801" spans="1:10" x14ac:dyDescent="0.25">
      <c r="A801" s="1">
        <v>8</v>
      </c>
      <c r="B801" t="s">
        <v>26</v>
      </c>
      <c r="C801">
        <v>635</v>
      </c>
      <c r="D801">
        <v>1</v>
      </c>
      <c r="E801" t="s">
        <v>38</v>
      </c>
      <c r="F801" t="s">
        <v>39</v>
      </c>
      <c r="G801" t="str">
        <f>"2026-01-25 18:03:10.895"</f>
        <v>2026-01-25 18:03:10.895</v>
      </c>
      <c r="H801" t="s">
        <v>21</v>
      </c>
    </row>
    <row r="802" spans="1:10" x14ac:dyDescent="0.25">
      <c r="A802" s="1">
        <v>9</v>
      </c>
      <c r="B802" t="s">
        <v>36</v>
      </c>
      <c r="C802">
        <v>635</v>
      </c>
      <c r="D802">
        <v>1</v>
      </c>
      <c r="E802" t="s">
        <v>38</v>
      </c>
      <c r="F802" t="s">
        <v>39</v>
      </c>
      <c r="G802" t="str">
        <f>"2026-01-25 17:59:55.495"</f>
        <v>2026-01-25 17:59:55.495</v>
      </c>
      <c r="H802" t="s">
        <v>21</v>
      </c>
      <c r="I802">
        <v>3.46</v>
      </c>
      <c r="J802" t="s">
        <v>30</v>
      </c>
    </row>
    <row r="803" spans="1:10" x14ac:dyDescent="0.25">
      <c r="A803" s="1">
        <v>10</v>
      </c>
      <c r="B803" t="s">
        <v>26</v>
      </c>
      <c r="C803">
        <v>635</v>
      </c>
      <c r="D803">
        <v>1</v>
      </c>
      <c r="E803" t="s">
        <v>38</v>
      </c>
      <c r="F803" t="s">
        <v>39</v>
      </c>
      <c r="G803" t="str">
        <f>"2026-01-25 11:54:46.395"</f>
        <v>2026-01-25 11:54:46.395</v>
      </c>
      <c r="H803" t="s">
        <v>21</v>
      </c>
    </row>
    <row r="804" spans="1:10" x14ac:dyDescent="0.25">
      <c r="A804" s="1">
        <v>11</v>
      </c>
      <c r="B804" t="s">
        <v>36</v>
      </c>
      <c r="C804">
        <v>635</v>
      </c>
      <c r="D804">
        <v>1</v>
      </c>
      <c r="E804" t="s">
        <v>38</v>
      </c>
      <c r="F804" t="s">
        <v>39</v>
      </c>
      <c r="G804" t="str">
        <f>"2026-01-25 11:51:50.996"</f>
        <v>2026-01-25 11:51:50.996</v>
      </c>
      <c r="H804" t="s">
        <v>21</v>
      </c>
      <c r="I804">
        <v>5.18</v>
      </c>
      <c r="J804" t="s">
        <v>30</v>
      </c>
    </row>
    <row r="805" spans="1:10" x14ac:dyDescent="0.25">
      <c r="A805" s="1">
        <v>12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"2026-01-25 08:45:47.360"</f>
        <v>2026-01-25 08:45:47.360</v>
      </c>
      <c r="H805" t="s">
        <v>21</v>
      </c>
      <c r="I805">
        <v>0</v>
      </c>
      <c r="J805" t="s">
        <v>22</v>
      </c>
    </row>
    <row r="806" spans="1:10" x14ac:dyDescent="0.25">
      <c r="A806" s="1">
        <v>13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"2026-01-24 13:07:21.540"</f>
        <v>2026-01-24 13:07:21.540</v>
      </c>
      <c r="H806" t="s">
        <v>21</v>
      </c>
    </row>
    <row r="807" spans="1:10" x14ac:dyDescent="0.25">
      <c r="A807" s="1">
        <v>14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"2026-01-22 13:29:40.330"</f>
        <v>2026-01-22 13:29:40.330</v>
      </c>
      <c r="H807" t="s">
        <v>21</v>
      </c>
    </row>
    <row r="808" spans="1:10" x14ac:dyDescent="0.25">
      <c r="A808" s="1">
        <v>15</v>
      </c>
      <c r="B808" t="s">
        <v>19</v>
      </c>
      <c r="C808">
        <v>700</v>
      </c>
      <c r="D808">
        <v>0</v>
      </c>
      <c r="E808" t="s">
        <v>20</v>
      </c>
      <c r="F808" t="s">
        <v>20</v>
      </c>
      <c r="G808" t="str">
        <f>"2026-01-21 22:23:13.344"</f>
        <v>2026-01-21 22:23:13.344</v>
      </c>
      <c r="H808" t="s">
        <v>21</v>
      </c>
      <c r="I808">
        <v>0</v>
      </c>
      <c r="J808" t="s">
        <v>22</v>
      </c>
    </row>
    <row r="809" spans="1:10" x14ac:dyDescent="0.25">
      <c r="A809" s="1">
        <v>16</v>
      </c>
      <c r="B809" t="s">
        <v>26</v>
      </c>
      <c r="C809">
        <v>635</v>
      </c>
      <c r="D809">
        <v>1</v>
      </c>
      <c r="E809" t="s">
        <v>38</v>
      </c>
      <c r="F809" t="s">
        <v>39</v>
      </c>
      <c r="G809" t="str">
        <f>"2026-01-21 17:07:58.773"</f>
        <v>2026-01-21 17:07:58.773</v>
      </c>
      <c r="H809" t="s">
        <v>21</v>
      </c>
    </row>
    <row r="810" spans="1:10" x14ac:dyDescent="0.25">
      <c r="A810" s="1">
        <v>17</v>
      </c>
      <c r="B810" t="s">
        <v>36</v>
      </c>
      <c r="C810">
        <v>635</v>
      </c>
      <c r="D810">
        <v>1</v>
      </c>
      <c r="E810" t="s">
        <v>38</v>
      </c>
      <c r="F810" t="s">
        <v>39</v>
      </c>
      <c r="G810" t="str">
        <f>"2026-01-21 17:04:41.773"</f>
        <v>2026-01-21 17:04:41.773</v>
      </c>
      <c r="H810" t="s">
        <v>21</v>
      </c>
      <c r="I810">
        <v>1.74</v>
      </c>
      <c r="J810" t="s">
        <v>30</v>
      </c>
    </row>
    <row r="811" spans="1:10" x14ac:dyDescent="0.25">
      <c r="A811" s="1">
        <v>18</v>
      </c>
      <c r="B811" t="s">
        <v>26</v>
      </c>
      <c r="C811">
        <v>635</v>
      </c>
      <c r="D811">
        <v>1</v>
      </c>
      <c r="E811" t="s">
        <v>38</v>
      </c>
      <c r="F811" t="s">
        <v>39</v>
      </c>
      <c r="G811" t="str">
        <f>"2026-01-20 17:19:36.673"</f>
        <v>2026-01-20 17:19:36.673</v>
      </c>
      <c r="H811" t="s">
        <v>21</v>
      </c>
    </row>
    <row r="812" spans="1:10" x14ac:dyDescent="0.25">
      <c r="A812" s="1">
        <v>19</v>
      </c>
      <c r="B812" t="s">
        <v>36</v>
      </c>
      <c r="C812">
        <v>635</v>
      </c>
      <c r="D812">
        <v>1</v>
      </c>
      <c r="E812" t="s">
        <v>38</v>
      </c>
      <c r="F812" t="s">
        <v>39</v>
      </c>
      <c r="G812" t="str">
        <f>"2026-01-20 17:15:07.173"</f>
        <v>2026-01-20 17:15:07.173</v>
      </c>
      <c r="H812" t="s">
        <v>21</v>
      </c>
      <c r="I812">
        <v>4.21</v>
      </c>
      <c r="J812" t="s">
        <v>37</v>
      </c>
    </row>
    <row r="813" spans="1:10" x14ac:dyDescent="0.25">
      <c r="A813" s="1">
        <v>20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"2026-01-20 09:11:06.328"</f>
        <v>2026-01-20 09:11:06.328</v>
      </c>
      <c r="H813" t="s">
        <v>21</v>
      </c>
      <c r="I813">
        <v>0</v>
      </c>
      <c r="J813" t="s">
        <v>22</v>
      </c>
    </row>
    <row r="814" spans="1:10" x14ac:dyDescent="0.25">
      <c r="A814" s="1">
        <v>21</v>
      </c>
      <c r="B814" t="s">
        <v>26</v>
      </c>
      <c r="C814">
        <v>635</v>
      </c>
      <c r="D814">
        <v>1</v>
      </c>
      <c r="E814" t="s">
        <v>38</v>
      </c>
      <c r="F814" t="s">
        <v>39</v>
      </c>
      <c r="G814" t="str">
        <f>"2026-01-20 06:05:15.873"</f>
        <v>2026-01-20 06:05:15.873</v>
      </c>
      <c r="H814" t="s">
        <v>21</v>
      </c>
    </row>
    <row r="815" spans="1:10" x14ac:dyDescent="0.25">
      <c r="A815" s="1">
        <v>22</v>
      </c>
      <c r="B815" t="s">
        <v>36</v>
      </c>
      <c r="C815">
        <v>635</v>
      </c>
      <c r="D815">
        <v>1</v>
      </c>
      <c r="E815" t="s">
        <v>38</v>
      </c>
      <c r="F815" t="s">
        <v>39</v>
      </c>
      <c r="G815" t="str">
        <f>"2026-01-20 06:01:05.973"</f>
        <v>2026-01-20 06:01:05.973</v>
      </c>
      <c r="H815" t="s">
        <v>21</v>
      </c>
      <c r="I815">
        <v>5.58</v>
      </c>
      <c r="J815" t="s">
        <v>30</v>
      </c>
    </row>
    <row r="816" spans="1:10" x14ac:dyDescent="0.25">
      <c r="A816" s="1">
        <v>23</v>
      </c>
      <c r="B816" t="s">
        <v>26</v>
      </c>
      <c r="C816">
        <v>635</v>
      </c>
      <c r="D816">
        <v>1</v>
      </c>
      <c r="E816" t="s">
        <v>38</v>
      </c>
      <c r="F816" t="s">
        <v>39</v>
      </c>
      <c r="G816" t="str">
        <f>"2026-01-20 05:40:20.473"</f>
        <v>2026-01-20 05:40:20.473</v>
      </c>
      <c r="H816" t="s">
        <v>21</v>
      </c>
    </row>
    <row r="817" spans="1:10" x14ac:dyDescent="0.25">
      <c r="A817" s="1">
        <v>24</v>
      </c>
      <c r="B817" t="s">
        <v>36</v>
      </c>
      <c r="C817">
        <v>635</v>
      </c>
      <c r="D817">
        <v>1</v>
      </c>
      <c r="E817" t="s">
        <v>38</v>
      </c>
      <c r="F817" t="s">
        <v>39</v>
      </c>
      <c r="G817" t="str">
        <f>"2026-01-20 05:36:47.473"</f>
        <v>2026-01-20 05:36:47.473</v>
      </c>
      <c r="H817" t="s">
        <v>21</v>
      </c>
      <c r="I817">
        <v>5.7</v>
      </c>
      <c r="J817" t="s">
        <v>30</v>
      </c>
    </row>
    <row r="818" spans="1:10" x14ac:dyDescent="0.25">
      <c r="A818" s="1">
        <v>25</v>
      </c>
      <c r="B818" t="s">
        <v>26</v>
      </c>
      <c r="C818">
        <v>635</v>
      </c>
      <c r="D818">
        <v>1</v>
      </c>
      <c r="E818" t="s">
        <v>38</v>
      </c>
      <c r="F818" t="s">
        <v>39</v>
      </c>
      <c r="G818" t="str">
        <f>"2026-01-20 04:52:58.573"</f>
        <v>2026-01-20 04:52:58.573</v>
      </c>
      <c r="H818" t="s">
        <v>21</v>
      </c>
    </row>
    <row r="819" spans="1:10" x14ac:dyDescent="0.25">
      <c r="A819" s="1">
        <v>26</v>
      </c>
      <c r="B819" t="s">
        <v>36</v>
      </c>
      <c r="C819">
        <v>635</v>
      </c>
      <c r="D819">
        <v>1</v>
      </c>
      <c r="E819" t="s">
        <v>38</v>
      </c>
      <c r="F819" t="s">
        <v>39</v>
      </c>
      <c r="G819" t="str">
        <f>"2026-01-20 04:48:46.173"</f>
        <v>2026-01-20 04:48:46.173</v>
      </c>
      <c r="H819" t="s">
        <v>21</v>
      </c>
      <c r="I819">
        <v>6.07</v>
      </c>
      <c r="J819" t="s">
        <v>30</v>
      </c>
    </row>
    <row r="820" spans="1:10" x14ac:dyDescent="0.25">
      <c r="A820" s="1">
        <v>27</v>
      </c>
      <c r="B820" t="s">
        <v>19</v>
      </c>
      <c r="C820">
        <v>706</v>
      </c>
      <c r="D820">
        <v>4</v>
      </c>
      <c r="E820" t="s">
        <v>31</v>
      </c>
      <c r="F820" t="s">
        <v>32</v>
      </c>
      <c r="G820" t="str">
        <f>"2026-01-18 23:16:29.043"</f>
        <v>2026-01-18 23:16:29.043</v>
      </c>
      <c r="H820" t="s">
        <v>21</v>
      </c>
      <c r="I820">
        <v>0</v>
      </c>
      <c r="J820" t="s">
        <v>33</v>
      </c>
    </row>
    <row r="821" spans="1:10" x14ac:dyDescent="0.25">
      <c r="A821" s="1">
        <v>28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"2026-01-18 23:14:11.313"</f>
        <v>2026-01-18 23:14:11.313</v>
      </c>
      <c r="H821" t="s">
        <v>21</v>
      </c>
    </row>
    <row r="822" spans="1:10" x14ac:dyDescent="0.25">
      <c r="A822" s="1">
        <v>29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"2026-01-18 23:03:29.395"</f>
        <v>2026-01-18 23:03:29.395</v>
      </c>
      <c r="H822" t="s">
        <v>21</v>
      </c>
    </row>
    <row r="823" spans="1:10" x14ac:dyDescent="0.25">
      <c r="A823" s="1">
        <v>30</v>
      </c>
      <c r="B823" t="s">
        <v>19</v>
      </c>
      <c r="C823">
        <v>700</v>
      </c>
      <c r="D823">
        <v>0</v>
      </c>
      <c r="E823" t="s">
        <v>20</v>
      </c>
      <c r="F823" t="s">
        <v>20</v>
      </c>
      <c r="G823" t="str">
        <f>"2026-01-18 22:24:14.323"</f>
        <v>2026-01-18 22:24:14.323</v>
      </c>
      <c r="H823" t="s">
        <v>21</v>
      </c>
    </row>
    <row r="824" spans="1:10" x14ac:dyDescent="0.25">
      <c r="A824" s="1">
        <v>31</v>
      </c>
      <c r="B824" t="s">
        <v>26</v>
      </c>
      <c r="C824">
        <v>61</v>
      </c>
      <c r="D824">
        <v>2</v>
      </c>
      <c r="E824" t="s">
        <v>44</v>
      </c>
      <c r="F824" t="s">
        <v>45</v>
      </c>
      <c r="G824" t="str">
        <f>"2026-01-18 14:28:01.226"</f>
        <v>2026-01-18 14:28:01.226</v>
      </c>
      <c r="H824" t="s">
        <v>21</v>
      </c>
    </row>
    <row r="825" spans="1:10" x14ac:dyDescent="0.25">
      <c r="A825" s="1">
        <v>32</v>
      </c>
      <c r="B825" t="s">
        <v>29</v>
      </c>
      <c r="C825">
        <v>61</v>
      </c>
      <c r="D825">
        <v>2</v>
      </c>
      <c r="E825" t="s">
        <v>44</v>
      </c>
      <c r="F825" t="s">
        <v>45</v>
      </c>
      <c r="G825" t="str">
        <f>"2026-01-18 14:27:55.726"</f>
        <v>2026-01-18 14:27:55.726</v>
      </c>
      <c r="H825" t="s">
        <v>21</v>
      </c>
      <c r="I825">
        <v>29.94</v>
      </c>
      <c r="J825" t="s">
        <v>42</v>
      </c>
    </row>
    <row r="826" spans="1:10" x14ac:dyDescent="0.25">
      <c r="A826" s="1">
        <v>33</v>
      </c>
      <c r="B826" t="s">
        <v>26</v>
      </c>
      <c r="C826">
        <v>635</v>
      </c>
      <c r="D826">
        <v>1</v>
      </c>
      <c r="E826" t="s">
        <v>38</v>
      </c>
      <c r="F826" t="s">
        <v>39</v>
      </c>
      <c r="G826" t="str">
        <f>"2026-01-16 03:52:18.765"</f>
        <v>2026-01-16 03:52:18.765</v>
      </c>
      <c r="H826" t="s">
        <v>21</v>
      </c>
    </row>
    <row r="827" spans="1:10" x14ac:dyDescent="0.25">
      <c r="A827" s="1">
        <v>34</v>
      </c>
      <c r="B827" t="s">
        <v>36</v>
      </c>
      <c r="C827">
        <v>635</v>
      </c>
      <c r="D827">
        <v>1</v>
      </c>
      <c r="E827" t="s">
        <v>38</v>
      </c>
      <c r="F827" t="s">
        <v>39</v>
      </c>
      <c r="G827" t="str">
        <f>"2026-01-16 03:49:51.765"</f>
        <v>2026-01-16 03:49:51.765</v>
      </c>
      <c r="H827" t="s">
        <v>21</v>
      </c>
      <c r="I827">
        <v>7.45</v>
      </c>
      <c r="J827" t="s">
        <v>30</v>
      </c>
    </row>
    <row r="828" spans="1:10" x14ac:dyDescent="0.25">
      <c r="A828" s="1">
        <v>35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"2026-01-15 14:22:01.313"</f>
        <v>2026-01-15 14:22:01.313</v>
      </c>
      <c r="H828" t="s">
        <v>21</v>
      </c>
    </row>
    <row r="829" spans="1:10" x14ac:dyDescent="0.25">
      <c r="A829" s="1">
        <v>36</v>
      </c>
      <c r="B829" t="s">
        <v>19</v>
      </c>
      <c r="C829">
        <v>700</v>
      </c>
      <c r="D829">
        <v>0</v>
      </c>
      <c r="E829" t="s">
        <v>20</v>
      </c>
      <c r="F829" t="s">
        <v>20</v>
      </c>
      <c r="G829" t="str">
        <f>"2026-01-15 12:44:01.319"</f>
        <v>2026-01-15 12:44:01.319</v>
      </c>
      <c r="H829" t="s">
        <v>21</v>
      </c>
    </row>
    <row r="830" spans="1:10" x14ac:dyDescent="0.25">
      <c r="A830" s="1">
        <v>37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"2026-01-15 11:24:35.320"</f>
        <v>2026-01-15 11:24:35.320</v>
      </c>
      <c r="H830" t="s">
        <v>21</v>
      </c>
      <c r="I830">
        <v>0</v>
      </c>
      <c r="J830" t="s">
        <v>22</v>
      </c>
    </row>
    <row r="831" spans="1:10" x14ac:dyDescent="0.25">
      <c r="A831" s="1">
        <v>38</v>
      </c>
      <c r="B831" t="s">
        <v>26</v>
      </c>
      <c r="C831">
        <v>635</v>
      </c>
      <c r="D831">
        <v>1</v>
      </c>
      <c r="E831" t="s">
        <v>38</v>
      </c>
      <c r="F831" t="s">
        <v>39</v>
      </c>
      <c r="G831" t="str">
        <f>"2026-01-15 09:18:47.322"</f>
        <v>2026-01-15 09:18:47.322</v>
      </c>
      <c r="H831" t="s">
        <v>21</v>
      </c>
    </row>
    <row r="832" spans="1:10" x14ac:dyDescent="0.25">
      <c r="A832" s="1">
        <v>39</v>
      </c>
      <c r="B832" t="s">
        <v>36</v>
      </c>
      <c r="C832">
        <v>635</v>
      </c>
      <c r="D832">
        <v>1</v>
      </c>
      <c r="E832" t="s">
        <v>38</v>
      </c>
      <c r="F832" t="s">
        <v>39</v>
      </c>
      <c r="G832" t="str">
        <f>"2026-01-15 09:15:26.322"</f>
        <v>2026-01-15 09:15:26.322</v>
      </c>
      <c r="H832" t="s">
        <v>21</v>
      </c>
      <c r="I832">
        <v>6.95</v>
      </c>
      <c r="J832" t="s">
        <v>30</v>
      </c>
    </row>
    <row r="833" spans="1:10" x14ac:dyDescent="0.25">
      <c r="A833" s="1">
        <v>40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"2026-01-14 10:58:45.318"</f>
        <v>2026-01-14 10:58:45.318</v>
      </c>
      <c r="H833" t="s">
        <v>21</v>
      </c>
      <c r="I833">
        <v>0</v>
      </c>
      <c r="J833" t="s">
        <v>22</v>
      </c>
    </row>
    <row r="834" spans="1:10" x14ac:dyDescent="0.25">
      <c r="A834" s="1">
        <v>41</v>
      </c>
      <c r="B834" t="s">
        <v>26</v>
      </c>
      <c r="C834">
        <v>635</v>
      </c>
      <c r="D834">
        <v>1</v>
      </c>
      <c r="E834" t="s">
        <v>38</v>
      </c>
      <c r="F834" t="s">
        <v>39</v>
      </c>
      <c r="G834" t="str">
        <f>"2026-01-14 03:45:46.237"</f>
        <v>2026-01-14 03:45:46.237</v>
      </c>
      <c r="H834" t="s">
        <v>21</v>
      </c>
    </row>
    <row r="835" spans="1:10" x14ac:dyDescent="0.25">
      <c r="A835" s="1">
        <v>42</v>
      </c>
      <c r="B835" t="s">
        <v>36</v>
      </c>
      <c r="C835">
        <v>635</v>
      </c>
      <c r="D835">
        <v>1</v>
      </c>
      <c r="E835" t="s">
        <v>38</v>
      </c>
      <c r="F835" t="s">
        <v>39</v>
      </c>
      <c r="G835" t="str">
        <f>"2026-01-14 03:42:13.737"</f>
        <v>2026-01-14 03:42:13.737</v>
      </c>
      <c r="H835" t="s">
        <v>21</v>
      </c>
      <c r="I835">
        <v>2.98</v>
      </c>
      <c r="J835" t="s">
        <v>30</v>
      </c>
    </row>
    <row r="836" spans="1:10" x14ac:dyDescent="0.25">
      <c r="A836" s="1">
        <v>43</v>
      </c>
      <c r="B836" t="s">
        <v>26</v>
      </c>
      <c r="C836">
        <v>635</v>
      </c>
      <c r="D836">
        <v>1</v>
      </c>
      <c r="E836" t="s">
        <v>38</v>
      </c>
      <c r="F836" t="s">
        <v>39</v>
      </c>
      <c r="G836" t="str">
        <f>"2026-01-13 21:43:52.637"</f>
        <v>2026-01-13 21:43:52.637</v>
      </c>
      <c r="H836" t="s">
        <v>21</v>
      </c>
    </row>
    <row r="837" spans="1:10" x14ac:dyDescent="0.25">
      <c r="A837" s="1">
        <v>44</v>
      </c>
      <c r="B837" t="s">
        <v>36</v>
      </c>
      <c r="C837">
        <v>635</v>
      </c>
      <c r="D837">
        <v>1</v>
      </c>
      <c r="E837" t="s">
        <v>38</v>
      </c>
      <c r="F837" t="s">
        <v>39</v>
      </c>
      <c r="G837" t="str">
        <f>"2026-01-13 21:39:39.737"</f>
        <v>2026-01-13 21:39:39.737</v>
      </c>
      <c r="H837" t="s">
        <v>21</v>
      </c>
      <c r="I837">
        <v>3.83</v>
      </c>
      <c r="J837" t="s">
        <v>37</v>
      </c>
    </row>
    <row r="838" spans="1:10" x14ac:dyDescent="0.25">
      <c r="A838" s="1">
        <v>45</v>
      </c>
      <c r="B838" t="s">
        <v>26</v>
      </c>
      <c r="C838">
        <v>61</v>
      </c>
      <c r="D838">
        <v>2</v>
      </c>
      <c r="E838" t="s">
        <v>44</v>
      </c>
      <c r="F838" t="s">
        <v>45</v>
      </c>
      <c r="G838" t="str">
        <f>"2026-01-13 18:37:33.298"</f>
        <v>2026-01-13 18:37:33.298</v>
      </c>
      <c r="H838" t="s">
        <v>21</v>
      </c>
    </row>
    <row r="839" spans="1:10" x14ac:dyDescent="0.25">
      <c r="A839" s="1">
        <v>46</v>
      </c>
      <c r="B839" t="s">
        <v>29</v>
      </c>
      <c r="C839">
        <v>61</v>
      </c>
      <c r="D839">
        <v>2</v>
      </c>
      <c r="E839" t="s">
        <v>44</v>
      </c>
      <c r="F839" t="s">
        <v>45</v>
      </c>
      <c r="G839" t="str">
        <f>"2026-01-13 18:37:26.598"</f>
        <v>2026-01-13 18:37:26.598</v>
      </c>
      <c r="H839" t="s">
        <v>21</v>
      </c>
      <c r="I839">
        <v>30.5</v>
      </c>
      <c r="J839" t="s">
        <v>42</v>
      </c>
    </row>
    <row r="840" spans="1:10" x14ac:dyDescent="0.25">
      <c r="A840" s="1">
        <v>47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"2026-01-12 10:30:48.484"</f>
        <v>2026-01-12 10:30:48.484</v>
      </c>
      <c r="H840" t="s">
        <v>21</v>
      </c>
      <c r="I840">
        <v>0</v>
      </c>
      <c r="J840" t="s">
        <v>22</v>
      </c>
    </row>
    <row r="841" spans="1:10" x14ac:dyDescent="0.25">
      <c r="A841" s="1">
        <v>48</v>
      </c>
      <c r="B841" t="s">
        <v>26</v>
      </c>
      <c r="C841">
        <v>635</v>
      </c>
      <c r="D841">
        <v>1</v>
      </c>
      <c r="E841" t="s">
        <v>38</v>
      </c>
      <c r="F841" t="s">
        <v>39</v>
      </c>
      <c r="G841" t="str">
        <f>"2026-01-10 09:18:54.622"</f>
        <v>2026-01-10 09:18:54.622</v>
      </c>
      <c r="H841" t="s">
        <v>21</v>
      </c>
    </row>
    <row r="842" spans="1:10" x14ac:dyDescent="0.25">
      <c r="A842" s="1">
        <v>49</v>
      </c>
      <c r="B842" t="s">
        <v>36</v>
      </c>
      <c r="C842">
        <v>635</v>
      </c>
      <c r="D842">
        <v>1</v>
      </c>
      <c r="E842" t="s">
        <v>38</v>
      </c>
      <c r="F842" t="s">
        <v>39</v>
      </c>
      <c r="G842" t="str">
        <f>"2026-01-10 09:15:27.122"</f>
        <v>2026-01-10 09:15:27.122</v>
      </c>
      <c r="H842" t="s">
        <v>21</v>
      </c>
      <c r="I842">
        <v>5.96</v>
      </c>
      <c r="J842" t="s">
        <v>30</v>
      </c>
    </row>
    <row r="843" spans="1:10" x14ac:dyDescent="0.25">
      <c r="A843" s="1">
        <v>50</v>
      </c>
      <c r="B843" t="s">
        <v>26</v>
      </c>
      <c r="C843">
        <v>635</v>
      </c>
      <c r="D843">
        <v>1</v>
      </c>
      <c r="E843" t="s">
        <v>38</v>
      </c>
      <c r="F843" t="s">
        <v>39</v>
      </c>
      <c r="G843" t="str">
        <f>"2026-01-10 07:01:52.022"</f>
        <v>2026-01-10 07:01:52.022</v>
      </c>
      <c r="H843" t="s">
        <v>21</v>
      </c>
    </row>
    <row r="844" spans="1:10" x14ac:dyDescent="0.25">
      <c r="A844" s="1">
        <v>51</v>
      </c>
      <c r="B844" t="s">
        <v>36</v>
      </c>
      <c r="C844">
        <v>635</v>
      </c>
      <c r="D844">
        <v>1</v>
      </c>
      <c r="E844" t="s">
        <v>38</v>
      </c>
      <c r="F844" t="s">
        <v>39</v>
      </c>
      <c r="G844" t="str">
        <f>"2026-01-10 06:56:44.022"</f>
        <v>2026-01-10 06:56:44.022</v>
      </c>
      <c r="H844" t="s">
        <v>21</v>
      </c>
      <c r="I844">
        <v>4.34</v>
      </c>
      <c r="J844" t="s">
        <v>30</v>
      </c>
    </row>
    <row r="845" spans="1:10" x14ac:dyDescent="0.25">
      <c r="A845" s="1">
        <v>56</v>
      </c>
      <c r="B845" t="s">
        <v>26</v>
      </c>
      <c r="C845">
        <v>635</v>
      </c>
      <c r="D845">
        <v>1</v>
      </c>
      <c r="E845" t="s">
        <v>38</v>
      </c>
      <c r="F845" t="s">
        <v>39</v>
      </c>
      <c r="G845" t="str">
        <f>"2026-01-08 23:20:36.622"</f>
        <v>2026-01-08 23:20:36.622</v>
      </c>
      <c r="H845" t="s">
        <v>21</v>
      </c>
    </row>
    <row r="846" spans="1:10" x14ac:dyDescent="0.25">
      <c r="A846" s="1">
        <v>57</v>
      </c>
      <c r="B846" t="s">
        <v>36</v>
      </c>
      <c r="C846">
        <v>635</v>
      </c>
      <c r="D846">
        <v>1</v>
      </c>
      <c r="E846" t="s">
        <v>38</v>
      </c>
      <c r="F846" t="s">
        <v>39</v>
      </c>
      <c r="G846" t="str">
        <f>"2026-01-08 23:17:47.222"</f>
        <v>2026-01-08 23:17:47.222</v>
      </c>
      <c r="H846" t="s">
        <v>21</v>
      </c>
      <c r="I846">
        <v>0.82</v>
      </c>
      <c r="J846" t="s">
        <v>30</v>
      </c>
    </row>
    <row r="847" spans="1:10" x14ac:dyDescent="0.25">
      <c r="A847" s="1">
        <v>58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"2026-01-08 09:33:05.310"</f>
        <v>2026-01-08 09:33:05.310</v>
      </c>
      <c r="H847" t="s">
        <v>21</v>
      </c>
    </row>
    <row r="848" spans="1:10" x14ac:dyDescent="0.25">
      <c r="A848" s="1">
        <v>59</v>
      </c>
      <c r="B848" t="s">
        <v>19</v>
      </c>
      <c r="C848">
        <v>706</v>
      </c>
      <c r="D848">
        <v>4</v>
      </c>
      <c r="E848" t="s">
        <v>31</v>
      </c>
      <c r="F848" t="s">
        <v>32</v>
      </c>
      <c r="G848" t="str">
        <f>"2026-01-08 04:55:51.526"</f>
        <v>2026-01-08 04:55:51.526</v>
      </c>
      <c r="H848" t="s">
        <v>21</v>
      </c>
      <c r="I848">
        <v>0</v>
      </c>
      <c r="J848" t="s">
        <v>33</v>
      </c>
    </row>
    <row r="849" spans="1:10" x14ac:dyDescent="0.25">
      <c r="A849" s="1">
        <v>60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"2026-01-06 22:58:41.526"</f>
        <v>2026-01-06 22:58:41.526</v>
      </c>
      <c r="H849" t="s">
        <v>21</v>
      </c>
    </row>
    <row r="850" spans="1:10" x14ac:dyDescent="0.25">
      <c r="A850" s="1">
        <v>61</v>
      </c>
      <c r="B850" t="s">
        <v>26</v>
      </c>
      <c r="C850">
        <v>635</v>
      </c>
      <c r="D850">
        <v>1</v>
      </c>
      <c r="E850" t="s">
        <v>38</v>
      </c>
      <c r="F850" t="s">
        <v>39</v>
      </c>
      <c r="G850" t="str">
        <f>"2026-01-06 15:43:36.719"</f>
        <v>2026-01-06 15:43:36.719</v>
      </c>
      <c r="H850" t="s">
        <v>21</v>
      </c>
    </row>
    <row r="851" spans="1:10" x14ac:dyDescent="0.25">
      <c r="A851" s="1">
        <v>62</v>
      </c>
      <c r="B851" t="s">
        <v>36</v>
      </c>
      <c r="C851">
        <v>635</v>
      </c>
      <c r="D851">
        <v>1</v>
      </c>
      <c r="E851" t="s">
        <v>38</v>
      </c>
      <c r="F851" t="s">
        <v>39</v>
      </c>
      <c r="G851" t="str">
        <f>"2026-01-06 15:35:54.219"</f>
        <v>2026-01-06 15:35:54.219</v>
      </c>
      <c r="H851" t="s">
        <v>21</v>
      </c>
      <c r="I851">
        <v>9.15</v>
      </c>
      <c r="J851" t="s">
        <v>42</v>
      </c>
    </row>
    <row r="852" spans="1:10" x14ac:dyDescent="0.25">
      <c r="A852" s="1">
        <v>63</v>
      </c>
      <c r="B852" t="s">
        <v>26</v>
      </c>
      <c r="C852">
        <v>61</v>
      </c>
      <c r="D852">
        <v>2</v>
      </c>
      <c r="E852" t="s">
        <v>44</v>
      </c>
      <c r="F852" t="s">
        <v>45</v>
      </c>
      <c r="G852" t="str">
        <f>"2026-01-06 14:26:16.412"</f>
        <v>2026-01-06 14:26:16.412</v>
      </c>
      <c r="H852" t="s">
        <v>21</v>
      </c>
    </row>
    <row r="853" spans="1:10" x14ac:dyDescent="0.25">
      <c r="A853" s="1">
        <v>64</v>
      </c>
      <c r="B853" t="s">
        <v>29</v>
      </c>
      <c r="C853">
        <v>61</v>
      </c>
      <c r="D853">
        <v>2</v>
      </c>
      <c r="E853" t="s">
        <v>44</v>
      </c>
      <c r="F853" t="s">
        <v>45</v>
      </c>
      <c r="G853" t="str">
        <f>"2026-01-06 14:26:01.412"</f>
        <v>2026-01-06 14:26:01.412</v>
      </c>
      <c r="H853" t="s">
        <v>21</v>
      </c>
      <c r="I853">
        <v>30.11</v>
      </c>
      <c r="J853" t="s">
        <v>42</v>
      </c>
    </row>
    <row r="854" spans="1:10" x14ac:dyDescent="0.25">
      <c r="A854" s="1">
        <v>66</v>
      </c>
      <c r="B854" t="s">
        <v>19</v>
      </c>
      <c r="C854">
        <v>700</v>
      </c>
      <c r="D854">
        <v>0</v>
      </c>
      <c r="E854" t="s">
        <v>20</v>
      </c>
      <c r="F854" t="s">
        <v>20</v>
      </c>
      <c r="G854" t="str">
        <f>"2026-01-05 04:54:53.311"</f>
        <v>2026-01-05 04:54:53.311</v>
      </c>
      <c r="H854" t="s">
        <v>21</v>
      </c>
      <c r="I854">
        <v>0</v>
      </c>
      <c r="J854" t="s">
        <v>22</v>
      </c>
    </row>
    <row r="855" spans="1:10" x14ac:dyDescent="0.25">
      <c r="A855" s="1">
        <v>67</v>
      </c>
      <c r="B855" t="s">
        <v>19</v>
      </c>
      <c r="C855">
        <v>706</v>
      </c>
      <c r="D855">
        <v>4</v>
      </c>
      <c r="E855" t="s">
        <v>31</v>
      </c>
      <c r="F855" t="s">
        <v>32</v>
      </c>
      <c r="G855" t="str">
        <f>"2026-01-05 03:50:27.946"</f>
        <v>2026-01-05 03:50:27.946</v>
      </c>
      <c r="H855" t="s">
        <v>21</v>
      </c>
      <c r="I855">
        <v>0</v>
      </c>
      <c r="J855" t="s">
        <v>33</v>
      </c>
    </row>
    <row r="856" spans="1:10" x14ac:dyDescent="0.25">
      <c r="A856" s="1">
        <v>68</v>
      </c>
      <c r="B856" t="s">
        <v>19</v>
      </c>
      <c r="C856">
        <v>706</v>
      </c>
      <c r="D856">
        <v>4</v>
      </c>
      <c r="E856" t="s">
        <v>31</v>
      </c>
      <c r="F856" t="s">
        <v>32</v>
      </c>
      <c r="G856" t="str">
        <f>"2026-01-05 03:50:17.156"</f>
        <v>2026-01-05 03:50:17.156</v>
      </c>
      <c r="H856" t="s">
        <v>21</v>
      </c>
      <c r="I856">
        <v>0</v>
      </c>
      <c r="J856" t="s">
        <v>33</v>
      </c>
    </row>
    <row r="857" spans="1:10" x14ac:dyDescent="0.25">
      <c r="A857" s="1">
        <v>69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"2026-01-05 03:11:17.306"</f>
        <v>2026-01-05 03:11:17.306</v>
      </c>
      <c r="H857" t="s">
        <v>21</v>
      </c>
    </row>
    <row r="858" spans="1:10" x14ac:dyDescent="0.25">
      <c r="A858" s="1">
        <v>70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"2026-01-05 02:10:24.744"</f>
        <v>2026-01-05 02:10:24.744</v>
      </c>
      <c r="H858" t="s">
        <v>21</v>
      </c>
    </row>
    <row r="859" spans="1:10" x14ac:dyDescent="0.25">
      <c r="A859" s="1">
        <v>71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"2026-01-04 09:36:30.371"</f>
        <v>2026-01-04 09:36:30.371</v>
      </c>
      <c r="H859" t="s">
        <v>21</v>
      </c>
      <c r="I859">
        <v>0</v>
      </c>
      <c r="J859" t="s">
        <v>22</v>
      </c>
    </row>
    <row r="860" spans="1:10" x14ac:dyDescent="0.25">
      <c r="A860" s="1">
        <v>72</v>
      </c>
      <c r="B860" t="s">
        <v>26</v>
      </c>
      <c r="C860">
        <v>635</v>
      </c>
      <c r="D860">
        <v>1</v>
      </c>
      <c r="E860" t="s">
        <v>38</v>
      </c>
      <c r="F860" t="s">
        <v>39</v>
      </c>
      <c r="G860" t="str">
        <f>"2026-01-02 15:56:03.614"</f>
        <v>2026-01-02 15:56:03.614</v>
      </c>
      <c r="H860" t="s">
        <v>21</v>
      </c>
    </row>
    <row r="861" spans="1:10" x14ac:dyDescent="0.25">
      <c r="A861" s="1">
        <v>73</v>
      </c>
      <c r="B861" t="s">
        <v>36</v>
      </c>
      <c r="C861">
        <v>635</v>
      </c>
      <c r="D861">
        <v>1</v>
      </c>
      <c r="E861" t="s">
        <v>38</v>
      </c>
      <c r="F861" t="s">
        <v>39</v>
      </c>
      <c r="G861" t="str">
        <f>"2026-01-02 15:50:40.214"</f>
        <v>2026-01-02 15:50:40.214</v>
      </c>
      <c r="H861" t="s">
        <v>21</v>
      </c>
      <c r="I861">
        <v>1.83</v>
      </c>
      <c r="J861" t="s">
        <v>42</v>
      </c>
    </row>
    <row r="862" spans="1:10" x14ac:dyDescent="0.25">
      <c r="A862" s="1">
        <v>74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"2026-01-02 11:11:53.306"</f>
        <v>2026-01-02 11:11:53.306</v>
      </c>
      <c r="H862" t="s">
        <v>21</v>
      </c>
      <c r="I862">
        <v>0</v>
      </c>
      <c r="J862" t="s">
        <v>22</v>
      </c>
    </row>
    <row r="863" spans="1:10" x14ac:dyDescent="0.25">
      <c r="A863" s="1">
        <v>75</v>
      </c>
      <c r="B863" t="s">
        <v>26</v>
      </c>
      <c r="C863">
        <v>635</v>
      </c>
      <c r="D863">
        <v>1</v>
      </c>
      <c r="E863" t="s">
        <v>38</v>
      </c>
      <c r="F863" t="s">
        <v>39</v>
      </c>
      <c r="G863" t="str">
        <f>"2025-12-31 03:35:09.173"</f>
        <v>2025-12-31 03:35:09.173</v>
      </c>
      <c r="H863" t="s">
        <v>21</v>
      </c>
    </row>
    <row r="864" spans="1:10" x14ac:dyDescent="0.25">
      <c r="A864" s="1">
        <v>76</v>
      </c>
      <c r="B864" t="s">
        <v>36</v>
      </c>
      <c r="C864">
        <v>635</v>
      </c>
      <c r="D864">
        <v>1</v>
      </c>
      <c r="E864" t="s">
        <v>38</v>
      </c>
      <c r="F864" t="s">
        <v>39</v>
      </c>
      <c r="G864" t="str">
        <f>"2025-12-31 03:16:18.673"</f>
        <v>2025-12-31 03:16:18.673</v>
      </c>
      <c r="H864" t="s">
        <v>21</v>
      </c>
      <c r="I864">
        <v>7.98</v>
      </c>
      <c r="J864" t="s">
        <v>30</v>
      </c>
    </row>
    <row r="865" spans="1:10" x14ac:dyDescent="0.25">
      <c r="A865" s="1">
        <v>77</v>
      </c>
      <c r="B865" t="s">
        <v>26</v>
      </c>
      <c r="C865">
        <v>635</v>
      </c>
      <c r="D865">
        <v>1</v>
      </c>
      <c r="E865" t="s">
        <v>38</v>
      </c>
      <c r="F865" t="s">
        <v>39</v>
      </c>
      <c r="G865" t="str">
        <f>"2025-12-29 03:01:37.074"</f>
        <v>2025-12-29 03:01:37.074</v>
      </c>
      <c r="H865" t="s">
        <v>21</v>
      </c>
    </row>
    <row r="866" spans="1:10" x14ac:dyDescent="0.25">
      <c r="A866" s="1">
        <v>78</v>
      </c>
      <c r="B866" t="s">
        <v>36</v>
      </c>
      <c r="C866">
        <v>635</v>
      </c>
      <c r="D866">
        <v>1</v>
      </c>
      <c r="E866" t="s">
        <v>38</v>
      </c>
      <c r="F866" t="s">
        <v>39</v>
      </c>
      <c r="G866" t="str">
        <f>"2025-12-29 02:58:18.074"</f>
        <v>2025-12-29 02:58:18.074</v>
      </c>
      <c r="H866" t="s">
        <v>21</v>
      </c>
      <c r="I866">
        <v>3.52</v>
      </c>
      <c r="J866" t="s">
        <v>37</v>
      </c>
    </row>
    <row r="867" spans="1:10" x14ac:dyDescent="0.25">
      <c r="A867" s="1">
        <v>79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"2025-12-28 09:21:52.312"</f>
        <v>2025-12-28 09:21:52.312</v>
      </c>
      <c r="H867" t="s">
        <v>21</v>
      </c>
      <c r="I867">
        <v>0</v>
      </c>
      <c r="J867" t="s">
        <v>22</v>
      </c>
    </row>
    <row r="868" spans="1:10" x14ac:dyDescent="0.25">
      <c r="A868" s="1">
        <v>80</v>
      </c>
      <c r="B868" t="s">
        <v>26</v>
      </c>
      <c r="C868">
        <v>61</v>
      </c>
      <c r="D868">
        <v>2</v>
      </c>
      <c r="E868" t="s">
        <v>44</v>
      </c>
      <c r="F868" t="s">
        <v>45</v>
      </c>
      <c r="G868" t="str">
        <f>"2025-12-27 12:41:58.222"</f>
        <v>2025-12-27 12:41:58.222</v>
      </c>
      <c r="H868" t="s">
        <v>21</v>
      </c>
    </row>
    <row r="869" spans="1:10" x14ac:dyDescent="0.25">
      <c r="A869" s="1">
        <v>81</v>
      </c>
      <c r="B869" t="s">
        <v>29</v>
      </c>
      <c r="C869">
        <v>61</v>
      </c>
      <c r="D869">
        <v>2</v>
      </c>
      <c r="E869" t="s">
        <v>44</v>
      </c>
      <c r="F869" t="s">
        <v>45</v>
      </c>
      <c r="G869" t="str">
        <f>"2025-12-27 12:41:45.523"</f>
        <v>2025-12-27 12:41:45.523</v>
      </c>
      <c r="H869" t="s">
        <v>21</v>
      </c>
      <c r="I869">
        <v>30.6</v>
      </c>
      <c r="J869" t="s">
        <v>42</v>
      </c>
    </row>
    <row r="870" spans="1:10" x14ac:dyDescent="0.25">
      <c r="A870" s="1">
        <v>82</v>
      </c>
      <c r="B870" t="s">
        <v>26</v>
      </c>
      <c r="C870">
        <v>635</v>
      </c>
      <c r="D870">
        <v>1</v>
      </c>
      <c r="E870" t="s">
        <v>38</v>
      </c>
      <c r="F870" t="s">
        <v>39</v>
      </c>
      <c r="G870" t="str">
        <f>"2025-12-26 06:40:57.722"</f>
        <v>2025-12-26 06:40:57.722</v>
      </c>
      <c r="H870" t="s">
        <v>21</v>
      </c>
    </row>
    <row r="871" spans="1:10" x14ac:dyDescent="0.25">
      <c r="A871" s="1">
        <v>83</v>
      </c>
      <c r="B871" t="s">
        <v>36</v>
      </c>
      <c r="C871">
        <v>635</v>
      </c>
      <c r="D871">
        <v>1</v>
      </c>
      <c r="E871" t="s">
        <v>38</v>
      </c>
      <c r="F871" t="s">
        <v>39</v>
      </c>
      <c r="G871" t="str">
        <f>"2025-12-26 06:36:55.722"</f>
        <v>2025-12-26 06:36:55.722</v>
      </c>
      <c r="H871" t="s">
        <v>21</v>
      </c>
      <c r="I871">
        <v>7.55</v>
      </c>
      <c r="J871" t="s">
        <v>30</v>
      </c>
    </row>
    <row r="872" spans="1:10" x14ac:dyDescent="0.25">
      <c r="A872" s="1">
        <v>84</v>
      </c>
      <c r="B872" t="s">
        <v>19</v>
      </c>
      <c r="C872">
        <v>706</v>
      </c>
      <c r="D872">
        <v>4</v>
      </c>
      <c r="E872" t="s">
        <v>31</v>
      </c>
      <c r="F872" t="s">
        <v>32</v>
      </c>
      <c r="G872" t="str">
        <f>"2025-12-25 14:04:52.051"</f>
        <v>2025-12-25 14:04:52.051</v>
      </c>
      <c r="H872" t="s">
        <v>21</v>
      </c>
      <c r="I872">
        <v>0</v>
      </c>
      <c r="J872" t="s">
        <v>48</v>
      </c>
    </row>
    <row r="873" spans="1:10" x14ac:dyDescent="0.25">
      <c r="A873" s="1">
        <v>85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"2025-12-25 13:59:24.431"</f>
        <v>2025-12-25 13:59:24.431</v>
      </c>
      <c r="H873" t="s">
        <v>21</v>
      </c>
    </row>
    <row r="874" spans="1:10" x14ac:dyDescent="0.25">
      <c r="A874" s="1">
        <v>86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"2025-12-25 11:53:44.281"</f>
        <v>2025-12-25 11:53:44.281</v>
      </c>
      <c r="H874" t="s">
        <v>21</v>
      </c>
    </row>
    <row r="875" spans="1:10" x14ac:dyDescent="0.25">
      <c r="A875" s="1">
        <v>87</v>
      </c>
      <c r="B875" t="s">
        <v>19</v>
      </c>
      <c r="C875">
        <v>700</v>
      </c>
      <c r="D875">
        <v>0</v>
      </c>
      <c r="E875" t="s">
        <v>20</v>
      </c>
      <c r="F875" t="s">
        <v>20</v>
      </c>
      <c r="G875" t="str">
        <f>"2025-12-25 11:25:39.346"</f>
        <v>2025-12-25 11:25:39.346</v>
      </c>
      <c r="H875" t="s">
        <v>21</v>
      </c>
    </row>
    <row r="876" spans="1:10" x14ac:dyDescent="0.25">
      <c r="A876" s="1">
        <v>88</v>
      </c>
      <c r="B876" t="s">
        <v>26</v>
      </c>
      <c r="C876">
        <v>635</v>
      </c>
      <c r="D876">
        <v>1</v>
      </c>
      <c r="E876" t="s">
        <v>38</v>
      </c>
      <c r="F876" t="s">
        <v>39</v>
      </c>
      <c r="G876" t="str">
        <f>"2025-12-25 04:57:59.117"</f>
        <v>2025-12-25 04:57:59.117</v>
      </c>
      <c r="H876" t="s">
        <v>21</v>
      </c>
    </row>
    <row r="877" spans="1:10" x14ac:dyDescent="0.25">
      <c r="A877" s="1">
        <v>89</v>
      </c>
      <c r="B877" t="s">
        <v>36</v>
      </c>
      <c r="C877">
        <v>635</v>
      </c>
      <c r="D877">
        <v>1</v>
      </c>
      <c r="E877" t="s">
        <v>38</v>
      </c>
      <c r="F877" t="s">
        <v>39</v>
      </c>
      <c r="G877" t="str">
        <f>"2025-12-25 04:50:34.117"</f>
        <v>2025-12-25 04:50:34.117</v>
      </c>
      <c r="H877" t="s">
        <v>21</v>
      </c>
      <c r="I877">
        <v>4.3099999999999996</v>
      </c>
      <c r="J877" t="s">
        <v>30</v>
      </c>
    </row>
    <row r="878" spans="1:10" x14ac:dyDescent="0.25">
      <c r="A878" s="1">
        <v>90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"2025-12-23 11:38:25.299"</f>
        <v>2025-12-23 11:38:25.299</v>
      </c>
      <c r="H878" t="s">
        <v>21</v>
      </c>
      <c r="I878">
        <v>0</v>
      </c>
      <c r="J878" t="s">
        <v>22</v>
      </c>
    </row>
    <row r="879" spans="1:10" x14ac:dyDescent="0.25">
      <c r="A879" s="1">
        <v>92</v>
      </c>
      <c r="B879" t="s">
        <v>26</v>
      </c>
      <c r="C879">
        <v>98</v>
      </c>
      <c r="D879">
        <v>1</v>
      </c>
      <c r="E879" t="s">
        <v>34</v>
      </c>
      <c r="F879" t="s">
        <v>35</v>
      </c>
      <c r="G879" t="str">
        <f>"2025-12-21 18:52:36.015"</f>
        <v>2025-12-21 18:52:36.015</v>
      </c>
      <c r="H879" t="s">
        <v>21</v>
      </c>
    </row>
    <row r="880" spans="1:10" x14ac:dyDescent="0.25">
      <c r="A880" s="1">
        <v>93</v>
      </c>
      <c r="B880" t="s">
        <v>36</v>
      </c>
      <c r="C880">
        <v>98</v>
      </c>
      <c r="D880">
        <v>1</v>
      </c>
      <c r="E880" t="s">
        <v>34</v>
      </c>
      <c r="F880" t="s">
        <v>35</v>
      </c>
      <c r="G880" t="str">
        <f>"2025-12-21 18:52:35.016"</f>
        <v>2025-12-21 18:52:35.016</v>
      </c>
      <c r="H880" t="s">
        <v>21</v>
      </c>
      <c r="I880">
        <v>0</v>
      </c>
      <c r="J880" t="s">
        <v>37</v>
      </c>
    </row>
    <row r="881" spans="1:10" x14ac:dyDescent="0.25">
      <c r="A881" s="1">
        <v>94</v>
      </c>
      <c r="B881" t="s">
        <v>26</v>
      </c>
      <c r="C881">
        <v>635</v>
      </c>
      <c r="D881">
        <v>1</v>
      </c>
      <c r="E881" t="s">
        <v>38</v>
      </c>
      <c r="F881" t="s">
        <v>39</v>
      </c>
      <c r="G881" t="str">
        <f>"2025-12-20 13:02:44.515"</f>
        <v>2025-12-20 13:02:44.515</v>
      </c>
      <c r="H881" t="s">
        <v>21</v>
      </c>
    </row>
    <row r="882" spans="1:10" x14ac:dyDescent="0.25">
      <c r="A882" s="1">
        <v>95</v>
      </c>
      <c r="B882" t="s">
        <v>36</v>
      </c>
      <c r="C882">
        <v>635</v>
      </c>
      <c r="D882">
        <v>1</v>
      </c>
      <c r="E882" t="s">
        <v>38</v>
      </c>
      <c r="F882" t="s">
        <v>39</v>
      </c>
      <c r="G882" t="str">
        <f>"2025-12-20 13:01:00.515"</f>
        <v>2025-12-20 13:01:00.515</v>
      </c>
      <c r="H882" t="s">
        <v>21</v>
      </c>
      <c r="I882">
        <v>4.51</v>
      </c>
      <c r="J882" t="s">
        <v>42</v>
      </c>
    </row>
    <row r="883" spans="1:10" x14ac:dyDescent="0.25">
      <c r="A883" s="1">
        <v>96</v>
      </c>
      <c r="B883" t="s">
        <v>26</v>
      </c>
      <c r="C883">
        <v>635</v>
      </c>
      <c r="D883">
        <v>1</v>
      </c>
      <c r="E883" t="s">
        <v>38</v>
      </c>
      <c r="F883" t="s">
        <v>39</v>
      </c>
      <c r="G883" t="str">
        <f>"2025-12-19 19:15:21.015"</f>
        <v>2025-12-19 19:15:21.015</v>
      </c>
      <c r="H883" t="s">
        <v>21</v>
      </c>
    </row>
    <row r="884" spans="1:10" x14ac:dyDescent="0.25">
      <c r="A884" s="1">
        <v>97</v>
      </c>
      <c r="B884" t="s">
        <v>36</v>
      </c>
      <c r="C884">
        <v>635</v>
      </c>
      <c r="D884">
        <v>1</v>
      </c>
      <c r="E884" t="s">
        <v>38</v>
      </c>
      <c r="F884" t="s">
        <v>39</v>
      </c>
      <c r="G884" t="str">
        <f>"2025-12-19 19:07:30.015"</f>
        <v>2025-12-19 19:07:30.015</v>
      </c>
      <c r="H884" t="s">
        <v>21</v>
      </c>
      <c r="I884">
        <v>6.07</v>
      </c>
      <c r="J884" t="s">
        <v>30</v>
      </c>
    </row>
    <row r="885" spans="1:10" x14ac:dyDescent="0.25">
      <c r="A885" s="1">
        <v>98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"2025-12-19 13:23:12.274"</f>
        <v>2025-12-19 13:23:12.274</v>
      </c>
      <c r="H885" t="s">
        <v>21</v>
      </c>
    </row>
    <row r="886" spans="1:10" x14ac:dyDescent="0.25">
      <c r="A886" s="1">
        <v>99</v>
      </c>
      <c r="B886" t="s">
        <v>19</v>
      </c>
      <c r="C886">
        <v>706</v>
      </c>
      <c r="D886">
        <v>4</v>
      </c>
      <c r="E886" t="s">
        <v>31</v>
      </c>
      <c r="F886" t="s">
        <v>32</v>
      </c>
      <c r="G886" t="str">
        <f>"2025-12-19 13:21:08.488"</f>
        <v>2025-12-19 13:21:08.488</v>
      </c>
      <c r="H886" t="s">
        <v>21</v>
      </c>
      <c r="I886">
        <v>0</v>
      </c>
      <c r="J886" t="s">
        <v>33</v>
      </c>
    </row>
    <row r="887" spans="1:10" x14ac:dyDescent="0.25">
      <c r="A887" s="1">
        <v>0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"2025-12-19 12:58:57.278"</f>
        <v>2025-12-19 12:58:57.278</v>
      </c>
      <c r="H887" t="s">
        <v>21</v>
      </c>
    </row>
    <row r="888" spans="1:10" x14ac:dyDescent="0.25">
      <c r="A888" s="1">
        <v>1</v>
      </c>
      <c r="B888" t="s">
        <v>23</v>
      </c>
      <c r="C888">
        <v>620</v>
      </c>
      <c r="D888">
        <v>1</v>
      </c>
      <c r="E888" t="s">
        <v>46</v>
      </c>
      <c r="F888" t="s">
        <v>39</v>
      </c>
      <c r="G888" t="str">
        <f>"2025-12-19 11:47:31.107"</f>
        <v>2025-12-19 11:47:31.107</v>
      </c>
      <c r="H888" t="s">
        <v>47</v>
      </c>
    </row>
    <row r="889" spans="1:10" x14ac:dyDescent="0.25">
      <c r="A889" s="1">
        <v>2</v>
      </c>
      <c r="B889" t="s">
        <v>29</v>
      </c>
      <c r="C889">
        <v>620</v>
      </c>
      <c r="D889">
        <v>1</v>
      </c>
      <c r="E889" t="s">
        <v>46</v>
      </c>
      <c r="F889" t="s">
        <v>39</v>
      </c>
      <c r="G889" t="str">
        <f>"2025-12-19 11:47:27.385"</f>
        <v>2025-12-19 11:47:27.385</v>
      </c>
      <c r="H889" t="s">
        <v>47</v>
      </c>
      <c r="I889">
        <v>7.46</v>
      </c>
      <c r="J889" t="s">
        <v>30</v>
      </c>
    </row>
    <row r="890" spans="1:10" x14ac:dyDescent="0.25">
      <c r="A890" s="1">
        <v>3</v>
      </c>
      <c r="B890" t="s">
        <v>26</v>
      </c>
      <c r="C890">
        <v>635</v>
      </c>
      <c r="D890">
        <v>1</v>
      </c>
      <c r="E890" t="s">
        <v>38</v>
      </c>
      <c r="F890" t="s">
        <v>39</v>
      </c>
      <c r="G890" t="str">
        <f>"2025-12-18 10:26:34.906"</f>
        <v>2025-12-18 10:26:34.906</v>
      </c>
      <c r="H890" t="s">
        <v>21</v>
      </c>
    </row>
    <row r="891" spans="1:10" x14ac:dyDescent="0.25">
      <c r="A891" s="1">
        <v>4</v>
      </c>
      <c r="B891" t="s">
        <v>36</v>
      </c>
      <c r="C891">
        <v>635</v>
      </c>
      <c r="D891">
        <v>1</v>
      </c>
      <c r="E891" t="s">
        <v>38</v>
      </c>
      <c r="F891" t="s">
        <v>39</v>
      </c>
      <c r="G891" t="str">
        <f>"2025-12-18 10:13:26.005"</f>
        <v>2025-12-18 10:13:26.005</v>
      </c>
      <c r="H891" t="s">
        <v>21</v>
      </c>
      <c r="I891">
        <v>7.35</v>
      </c>
      <c r="J891" t="s">
        <v>30</v>
      </c>
    </row>
    <row r="892" spans="1:10" x14ac:dyDescent="0.25">
      <c r="A892" s="1">
        <v>6</v>
      </c>
      <c r="B892" t="s">
        <v>19</v>
      </c>
      <c r="C892">
        <v>706</v>
      </c>
      <c r="D892">
        <v>2</v>
      </c>
      <c r="E892" t="s">
        <v>31</v>
      </c>
      <c r="F892" t="s">
        <v>43</v>
      </c>
      <c r="G892" t="str">
        <f>"2025-12-17 11:02:04.275"</f>
        <v>2025-12-17 11:02:04.275</v>
      </c>
      <c r="H892" t="s">
        <v>21</v>
      </c>
      <c r="I892">
        <v>0</v>
      </c>
      <c r="J892" t="s">
        <v>33</v>
      </c>
    </row>
    <row r="893" spans="1:10" x14ac:dyDescent="0.25">
      <c r="A893" s="1">
        <v>7</v>
      </c>
      <c r="B893" t="s">
        <v>26</v>
      </c>
      <c r="C893">
        <v>635</v>
      </c>
      <c r="D893">
        <v>1</v>
      </c>
      <c r="E893" t="s">
        <v>38</v>
      </c>
      <c r="F893" t="s">
        <v>39</v>
      </c>
      <c r="G893" t="str">
        <f>"2025-12-16 16:25:16.306"</f>
        <v>2025-12-16 16:25:16.306</v>
      </c>
      <c r="H893" t="s">
        <v>21</v>
      </c>
    </row>
    <row r="894" spans="1:10" x14ac:dyDescent="0.25">
      <c r="A894" s="1">
        <v>8</v>
      </c>
      <c r="B894" t="s">
        <v>36</v>
      </c>
      <c r="C894">
        <v>635</v>
      </c>
      <c r="D894">
        <v>1</v>
      </c>
      <c r="E894" t="s">
        <v>38</v>
      </c>
      <c r="F894" t="s">
        <v>39</v>
      </c>
      <c r="G894" t="str">
        <f>"2025-12-16 16:21:59.806"</f>
        <v>2025-12-16 16:21:59.806</v>
      </c>
      <c r="H894" t="s">
        <v>21</v>
      </c>
      <c r="I894">
        <v>2.0299999999999998</v>
      </c>
      <c r="J894" t="s">
        <v>30</v>
      </c>
    </row>
    <row r="895" spans="1:10" x14ac:dyDescent="0.25">
      <c r="A895" s="1">
        <v>9</v>
      </c>
      <c r="B895" t="s">
        <v>26</v>
      </c>
      <c r="C895">
        <v>635</v>
      </c>
      <c r="D895">
        <v>1</v>
      </c>
      <c r="E895" t="s">
        <v>38</v>
      </c>
      <c r="F895" t="s">
        <v>39</v>
      </c>
      <c r="G895" t="str">
        <f>"2025-12-15 04:32:55.606"</f>
        <v>2025-12-15 04:32:55.606</v>
      </c>
      <c r="H895" t="s">
        <v>21</v>
      </c>
    </row>
    <row r="896" spans="1:10" x14ac:dyDescent="0.25">
      <c r="A896" s="1">
        <v>10</v>
      </c>
      <c r="B896" t="s">
        <v>36</v>
      </c>
      <c r="C896">
        <v>635</v>
      </c>
      <c r="D896">
        <v>1</v>
      </c>
      <c r="E896" t="s">
        <v>38</v>
      </c>
      <c r="F896" t="s">
        <v>39</v>
      </c>
      <c r="G896" t="str">
        <f>"2025-12-15 04:29:10.606"</f>
        <v>2025-12-15 04:29:10.606</v>
      </c>
      <c r="H896" t="s">
        <v>21</v>
      </c>
      <c r="I896">
        <v>6.33</v>
      </c>
      <c r="J896" t="s">
        <v>30</v>
      </c>
    </row>
    <row r="897" spans="1:10" x14ac:dyDescent="0.25">
      <c r="A897" s="1">
        <v>11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"2025-12-14 14:00:21.265"</f>
        <v>2025-12-14 14:00:21.265</v>
      </c>
      <c r="H897" t="s">
        <v>21</v>
      </c>
    </row>
    <row r="898" spans="1:10" x14ac:dyDescent="0.25">
      <c r="A898" s="1">
        <v>12</v>
      </c>
      <c r="B898" t="s">
        <v>19</v>
      </c>
      <c r="C898">
        <v>706</v>
      </c>
      <c r="D898">
        <v>4</v>
      </c>
      <c r="E898" t="s">
        <v>31</v>
      </c>
      <c r="F898" t="s">
        <v>32</v>
      </c>
      <c r="G898" t="str">
        <f>"2025-12-14 12:02:20.044"</f>
        <v>2025-12-14 12:02:20.044</v>
      </c>
      <c r="H898" t="s">
        <v>21</v>
      </c>
      <c r="I898">
        <v>0</v>
      </c>
      <c r="J898" t="s">
        <v>33</v>
      </c>
    </row>
    <row r="899" spans="1:10" x14ac:dyDescent="0.25">
      <c r="A899" s="1">
        <v>13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"2025-12-14 11:57:32.264"</f>
        <v>2025-12-14 11:57:32.264</v>
      </c>
      <c r="H899" t="s">
        <v>21</v>
      </c>
      <c r="I899">
        <v>0</v>
      </c>
      <c r="J899" t="s">
        <v>22</v>
      </c>
    </row>
    <row r="900" spans="1:10" x14ac:dyDescent="0.25">
      <c r="A900" s="1">
        <v>14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"2025-12-14 09:46:04.283"</f>
        <v>2025-12-14 09:46:04.283</v>
      </c>
      <c r="H900" t="s">
        <v>21</v>
      </c>
      <c r="I900">
        <v>0</v>
      </c>
      <c r="J900" t="s">
        <v>22</v>
      </c>
    </row>
    <row r="901" spans="1:10" x14ac:dyDescent="0.25">
      <c r="A901" s="1">
        <v>15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"2025-12-14 09:40:40.277"</f>
        <v>2025-12-14 09:40:40.277</v>
      </c>
      <c r="H901" t="s">
        <v>21</v>
      </c>
      <c r="I901">
        <v>0</v>
      </c>
      <c r="J901" t="s">
        <v>22</v>
      </c>
    </row>
    <row r="902" spans="1:10" x14ac:dyDescent="0.25">
      <c r="A902" s="1">
        <v>16</v>
      </c>
      <c r="B902" t="s">
        <v>26</v>
      </c>
      <c r="C902">
        <v>61</v>
      </c>
      <c r="D902">
        <v>2</v>
      </c>
      <c r="E902" t="s">
        <v>44</v>
      </c>
      <c r="F902" t="s">
        <v>45</v>
      </c>
      <c r="G902" t="str">
        <f>"2025-12-13 19:38:35.623"</f>
        <v>2025-12-13 19:38:35.623</v>
      </c>
      <c r="H902" t="s">
        <v>21</v>
      </c>
    </row>
    <row r="903" spans="1:10" x14ac:dyDescent="0.25">
      <c r="A903" s="1">
        <v>17</v>
      </c>
      <c r="B903" t="s">
        <v>29</v>
      </c>
      <c r="C903">
        <v>61</v>
      </c>
      <c r="D903">
        <v>2</v>
      </c>
      <c r="E903" t="s">
        <v>44</v>
      </c>
      <c r="F903" t="s">
        <v>45</v>
      </c>
      <c r="G903" t="str">
        <f>"2025-12-13 19:38:05.223"</f>
        <v>2025-12-13 19:38:05.223</v>
      </c>
      <c r="H903" t="s">
        <v>21</v>
      </c>
      <c r="I903">
        <v>29.88</v>
      </c>
      <c r="J903" t="s">
        <v>42</v>
      </c>
    </row>
    <row r="904" spans="1:10" x14ac:dyDescent="0.25">
      <c r="A904" s="1">
        <v>18</v>
      </c>
      <c r="B904" t="s">
        <v>19</v>
      </c>
      <c r="C904">
        <v>706</v>
      </c>
      <c r="D904">
        <v>4</v>
      </c>
      <c r="E904" t="s">
        <v>31</v>
      </c>
      <c r="F904" t="s">
        <v>32</v>
      </c>
      <c r="G904" t="str">
        <f>"2025-12-13 14:14:45.702"</f>
        <v>2025-12-13 14:14:45.702</v>
      </c>
      <c r="H904" t="s">
        <v>21</v>
      </c>
      <c r="I904">
        <v>0</v>
      </c>
      <c r="J904" t="s">
        <v>33</v>
      </c>
    </row>
    <row r="905" spans="1:10" x14ac:dyDescent="0.25">
      <c r="A905" s="1">
        <v>19</v>
      </c>
      <c r="B905" t="s">
        <v>19</v>
      </c>
      <c r="C905">
        <v>706</v>
      </c>
      <c r="D905">
        <v>2</v>
      </c>
      <c r="E905" t="s">
        <v>31</v>
      </c>
      <c r="F905" t="s">
        <v>43</v>
      </c>
      <c r="G905" t="str">
        <f>"2025-12-11 10:31:03.062"</f>
        <v>2025-12-11 10:31:03.062</v>
      </c>
      <c r="H905" t="s">
        <v>21</v>
      </c>
      <c r="I905">
        <v>0</v>
      </c>
      <c r="J905" t="s">
        <v>33</v>
      </c>
    </row>
    <row r="906" spans="1:10" x14ac:dyDescent="0.25">
      <c r="A906" s="1">
        <v>20</v>
      </c>
      <c r="B906" t="s">
        <v>19</v>
      </c>
      <c r="C906">
        <v>706</v>
      </c>
      <c r="D906">
        <v>4</v>
      </c>
      <c r="E906" t="s">
        <v>31</v>
      </c>
      <c r="F906" t="s">
        <v>32</v>
      </c>
      <c r="G906" t="str">
        <f>"2025-12-10 23:35:02.012"</f>
        <v>2025-12-10 23:35:02.012</v>
      </c>
      <c r="H906" t="s">
        <v>21</v>
      </c>
      <c r="I906">
        <v>0</v>
      </c>
      <c r="J906" t="s">
        <v>33</v>
      </c>
    </row>
    <row r="907" spans="1:10" x14ac:dyDescent="0.25">
      <c r="A907" s="1">
        <v>21</v>
      </c>
      <c r="B907" t="s">
        <v>19</v>
      </c>
      <c r="C907">
        <v>706</v>
      </c>
      <c r="D907">
        <v>4</v>
      </c>
      <c r="E907" t="s">
        <v>31</v>
      </c>
      <c r="F907" t="s">
        <v>32</v>
      </c>
      <c r="G907" t="str">
        <f>"2025-12-09 12:58:57.182"</f>
        <v>2025-12-09 12:58:57.182</v>
      </c>
      <c r="H907" t="s">
        <v>21</v>
      </c>
      <c r="I907">
        <v>0</v>
      </c>
      <c r="J907" t="s">
        <v>33</v>
      </c>
    </row>
    <row r="908" spans="1:10" x14ac:dyDescent="0.25">
      <c r="A908" s="1">
        <v>23</v>
      </c>
      <c r="B908" t="s">
        <v>19</v>
      </c>
      <c r="C908">
        <v>706</v>
      </c>
      <c r="D908">
        <v>4</v>
      </c>
      <c r="E908" t="s">
        <v>31</v>
      </c>
      <c r="F908" t="s">
        <v>32</v>
      </c>
      <c r="G908" t="str">
        <f>"2025-12-09 02:45:17.242"</f>
        <v>2025-12-09 02:45:17.242</v>
      </c>
      <c r="H908" t="s">
        <v>21</v>
      </c>
      <c r="I908">
        <v>0</v>
      </c>
      <c r="J908" t="s">
        <v>33</v>
      </c>
    </row>
    <row r="909" spans="1:10" x14ac:dyDescent="0.25">
      <c r="A909" s="1">
        <v>24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"2025-12-09 02:42:40.262"</f>
        <v>2025-12-09 02:42:40.262</v>
      </c>
      <c r="H909" t="s">
        <v>21</v>
      </c>
      <c r="I909">
        <v>0</v>
      </c>
      <c r="J909" t="s">
        <v>22</v>
      </c>
    </row>
    <row r="910" spans="1:10" x14ac:dyDescent="0.25">
      <c r="A910" s="1">
        <v>25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"2025-12-09 02:36:38.254"</f>
        <v>2025-12-09 02:36:38.254</v>
      </c>
      <c r="H910" t="s">
        <v>21</v>
      </c>
      <c r="I910">
        <v>0</v>
      </c>
      <c r="J910" t="s">
        <v>22</v>
      </c>
    </row>
    <row r="911" spans="1:10" x14ac:dyDescent="0.25">
      <c r="A911" s="1">
        <v>26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"2025-12-09 02:03:44.285"</f>
        <v>2025-12-09 02:03:44.285</v>
      </c>
      <c r="H911" t="s">
        <v>21</v>
      </c>
      <c r="I911">
        <v>0</v>
      </c>
      <c r="J911" t="s">
        <v>22</v>
      </c>
    </row>
    <row r="912" spans="1:10" x14ac:dyDescent="0.25">
      <c r="A912" s="1">
        <v>27</v>
      </c>
      <c r="B912" t="s">
        <v>26</v>
      </c>
      <c r="C912">
        <v>635</v>
      </c>
      <c r="D912">
        <v>1</v>
      </c>
      <c r="E912" t="s">
        <v>38</v>
      </c>
      <c r="F912" t="s">
        <v>39</v>
      </c>
      <c r="G912" t="str">
        <f>"2025-12-08 17:04:21.160"</f>
        <v>2025-12-08 17:04:21.160</v>
      </c>
      <c r="H912" t="s">
        <v>21</v>
      </c>
    </row>
    <row r="913" spans="1:10" x14ac:dyDescent="0.25">
      <c r="A913" s="1">
        <v>28</v>
      </c>
      <c r="B913" t="s">
        <v>36</v>
      </c>
      <c r="C913">
        <v>635</v>
      </c>
      <c r="D913">
        <v>1</v>
      </c>
      <c r="E913" t="s">
        <v>38</v>
      </c>
      <c r="F913" t="s">
        <v>39</v>
      </c>
      <c r="G913" t="str">
        <f>"2025-12-08 17:00:55.160"</f>
        <v>2025-12-08 17:00:55.160</v>
      </c>
      <c r="H913" t="s">
        <v>21</v>
      </c>
      <c r="I913">
        <v>2.75</v>
      </c>
      <c r="J913" t="s">
        <v>30</v>
      </c>
    </row>
    <row r="914" spans="1:10" x14ac:dyDescent="0.25">
      <c r="A914" s="1">
        <v>29</v>
      </c>
      <c r="B914" t="s">
        <v>19</v>
      </c>
      <c r="C914">
        <v>700</v>
      </c>
      <c r="D914">
        <v>0</v>
      </c>
      <c r="E914" t="s">
        <v>20</v>
      </c>
      <c r="F914" t="s">
        <v>20</v>
      </c>
      <c r="G914" t="str">
        <f>"2025-12-07 20:49:25.262"</f>
        <v>2025-12-07 20:49:25.262</v>
      </c>
      <c r="H914" t="s">
        <v>21</v>
      </c>
      <c r="I914">
        <v>0</v>
      </c>
      <c r="J914" t="s">
        <v>22</v>
      </c>
    </row>
    <row r="915" spans="1:10" x14ac:dyDescent="0.25">
      <c r="A915" s="1">
        <v>30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"2025-12-07 14:55:24.245"</f>
        <v>2025-12-07 14:55:24.245</v>
      </c>
      <c r="H915" t="s">
        <v>21</v>
      </c>
      <c r="I915">
        <v>0</v>
      </c>
      <c r="J915" t="s">
        <v>22</v>
      </c>
    </row>
    <row r="916" spans="1:10" x14ac:dyDescent="0.25">
      <c r="A916" s="1">
        <v>31</v>
      </c>
      <c r="B916" t="s">
        <v>19</v>
      </c>
      <c r="C916">
        <v>700</v>
      </c>
      <c r="D916">
        <v>0</v>
      </c>
      <c r="E916" t="s">
        <v>20</v>
      </c>
      <c r="F916" t="s">
        <v>20</v>
      </c>
      <c r="G916" t="str">
        <f>"2025-12-07 14:17:08.251"</f>
        <v>2025-12-07 14:17:08.251</v>
      </c>
      <c r="H916" t="s">
        <v>21</v>
      </c>
    </row>
    <row r="917" spans="1:10" x14ac:dyDescent="0.25">
      <c r="A917" s="1">
        <v>32</v>
      </c>
      <c r="B917" t="s">
        <v>19</v>
      </c>
      <c r="C917">
        <v>706</v>
      </c>
      <c r="D917">
        <v>3</v>
      </c>
      <c r="E917" t="s">
        <v>31</v>
      </c>
      <c r="F917" t="s">
        <v>70</v>
      </c>
      <c r="G917" t="str">
        <f>"2025-12-07 14:15:45.117"</f>
        <v>2025-12-07 14:15:45.117</v>
      </c>
      <c r="H917" t="s">
        <v>21</v>
      </c>
      <c r="I917">
        <v>0</v>
      </c>
      <c r="J917" t="s">
        <v>33</v>
      </c>
    </row>
    <row r="918" spans="1:10" x14ac:dyDescent="0.25">
      <c r="A918" s="1">
        <v>33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"2025-12-07 14:14:44.377"</f>
        <v>2025-12-07 14:14:44.377</v>
      </c>
      <c r="H918" t="s">
        <v>21</v>
      </c>
      <c r="I918">
        <v>0</v>
      </c>
      <c r="J918" t="s">
        <v>22</v>
      </c>
    </row>
    <row r="919" spans="1:10" x14ac:dyDescent="0.25">
      <c r="A919" s="1">
        <v>34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"2025-12-07 14:13:19.256"</f>
        <v>2025-12-07 14:13:19.256</v>
      </c>
      <c r="H919" t="s">
        <v>21</v>
      </c>
      <c r="I919">
        <v>0</v>
      </c>
      <c r="J919" t="s">
        <v>22</v>
      </c>
    </row>
    <row r="920" spans="1:10" x14ac:dyDescent="0.25">
      <c r="A920" s="1">
        <v>35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"2025-12-07 14:07:10.251"</f>
        <v>2025-12-07 14:07:10.251</v>
      </c>
      <c r="H920" t="s">
        <v>21</v>
      </c>
    </row>
    <row r="921" spans="1:10" x14ac:dyDescent="0.25">
      <c r="A921" s="1">
        <v>36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"2025-12-07 14:03:21.267"</f>
        <v>2025-12-07 14:03:21.267</v>
      </c>
      <c r="H921" t="s">
        <v>21</v>
      </c>
      <c r="I921">
        <v>0</v>
      </c>
      <c r="J921" t="s">
        <v>22</v>
      </c>
    </row>
    <row r="922" spans="1:10" x14ac:dyDescent="0.25">
      <c r="A922" s="1">
        <v>37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"2025-12-07 14:00:46.478"</f>
        <v>2025-12-07 14:00:46.478</v>
      </c>
      <c r="H922" t="s">
        <v>21</v>
      </c>
      <c r="I922">
        <v>0</v>
      </c>
      <c r="J922" t="s">
        <v>22</v>
      </c>
    </row>
    <row r="923" spans="1:10" x14ac:dyDescent="0.25">
      <c r="A923" s="1">
        <v>38</v>
      </c>
      <c r="B923" t="s">
        <v>19</v>
      </c>
      <c r="C923">
        <v>700</v>
      </c>
      <c r="D923">
        <v>0</v>
      </c>
      <c r="E923" t="s">
        <v>20</v>
      </c>
      <c r="F923" t="s">
        <v>20</v>
      </c>
      <c r="G923" t="str">
        <f>"2025-12-07 13:44:10.247"</f>
        <v>2025-12-07 13:44:10.247</v>
      </c>
      <c r="H923" t="s">
        <v>21</v>
      </c>
    </row>
    <row r="924" spans="1:10" x14ac:dyDescent="0.25">
      <c r="A924" s="1">
        <v>39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"2025-12-07 13:42:23.246"</f>
        <v>2025-12-07 13:42:23.246</v>
      </c>
      <c r="H924" t="s">
        <v>21</v>
      </c>
      <c r="I924">
        <v>0</v>
      </c>
      <c r="J924" t="s">
        <v>22</v>
      </c>
    </row>
    <row r="925" spans="1:10" x14ac:dyDescent="0.25">
      <c r="A925" s="1">
        <v>40</v>
      </c>
      <c r="B925" t="s">
        <v>19</v>
      </c>
      <c r="C925">
        <v>700</v>
      </c>
      <c r="D925">
        <v>0</v>
      </c>
      <c r="E925" t="s">
        <v>20</v>
      </c>
      <c r="F925" t="s">
        <v>20</v>
      </c>
      <c r="G925" t="str">
        <f>"2025-12-07 13:39:18.251"</f>
        <v>2025-12-07 13:39:18.251</v>
      </c>
      <c r="H925" t="s">
        <v>21</v>
      </c>
      <c r="I925">
        <v>0</v>
      </c>
      <c r="J925" t="s">
        <v>22</v>
      </c>
    </row>
    <row r="926" spans="1:10" x14ac:dyDescent="0.25">
      <c r="A926" s="1">
        <v>41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"2025-12-07 13:36:53.239"</f>
        <v>2025-12-07 13:36:53.239</v>
      </c>
      <c r="H926" t="s">
        <v>21</v>
      </c>
    </row>
    <row r="927" spans="1:10" x14ac:dyDescent="0.25">
      <c r="A927" s="1">
        <v>42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"2025-12-07 13:31:46.249"</f>
        <v>2025-12-07 13:31:46.249</v>
      </c>
      <c r="H927" t="s">
        <v>21</v>
      </c>
    </row>
    <row r="928" spans="1:10" x14ac:dyDescent="0.25">
      <c r="A928" s="1">
        <v>43</v>
      </c>
      <c r="B928" t="s">
        <v>19</v>
      </c>
      <c r="C928">
        <v>700</v>
      </c>
      <c r="D928">
        <v>0</v>
      </c>
      <c r="E928" t="s">
        <v>20</v>
      </c>
      <c r="F928" t="s">
        <v>20</v>
      </c>
      <c r="G928" t="str">
        <f>"2025-12-07 13:28:15.457"</f>
        <v>2025-12-07 13:28:15.457</v>
      </c>
      <c r="H928" t="s">
        <v>21</v>
      </c>
      <c r="I928">
        <v>0</v>
      </c>
      <c r="J928" t="s">
        <v>22</v>
      </c>
    </row>
    <row r="929" spans="1:10" x14ac:dyDescent="0.25">
      <c r="A929" s="1">
        <v>44</v>
      </c>
      <c r="B929" t="s">
        <v>19</v>
      </c>
      <c r="C929">
        <v>700</v>
      </c>
      <c r="D929">
        <v>0</v>
      </c>
      <c r="E929" t="s">
        <v>20</v>
      </c>
      <c r="F929" t="s">
        <v>20</v>
      </c>
      <c r="G929" t="str">
        <f>"2025-12-07 13:24:38.354"</f>
        <v>2025-12-07 13:24:38.354</v>
      </c>
      <c r="H929" t="s">
        <v>21</v>
      </c>
    </row>
    <row r="930" spans="1:10" x14ac:dyDescent="0.25">
      <c r="A930" s="1">
        <v>45</v>
      </c>
      <c r="B930" t="s">
        <v>19</v>
      </c>
      <c r="C930">
        <v>706</v>
      </c>
      <c r="D930">
        <v>3</v>
      </c>
      <c r="E930" t="s">
        <v>31</v>
      </c>
      <c r="F930" t="s">
        <v>70</v>
      </c>
      <c r="G930" t="str">
        <f>"2025-12-07 13:21:25.800"</f>
        <v>2025-12-07 13:21:25.800</v>
      </c>
      <c r="H930" t="s">
        <v>21</v>
      </c>
      <c r="I930">
        <v>0</v>
      </c>
      <c r="J930" t="s">
        <v>33</v>
      </c>
    </row>
    <row r="931" spans="1:10" x14ac:dyDescent="0.25">
      <c r="A931" s="1">
        <v>46</v>
      </c>
      <c r="B931" t="s">
        <v>26</v>
      </c>
      <c r="C931">
        <v>635</v>
      </c>
      <c r="D931">
        <v>1</v>
      </c>
      <c r="E931" t="s">
        <v>38</v>
      </c>
      <c r="F931" t="s">
        <v>39</v>
      </c>
      <c r="G931" t="str">
        <f>"2025-12-06 09:31:26.197"</f>
        <v>2025-12-06 09:31:26.197</v>
      </c>
      <c r="H931" t="s">
        <v>21</v>
      </c>
    </row>
    <row r="932" spans="1:10" x14ac:dyDescent="0.25">
      <c r="A932" s="1">
        <v>47</v>
      </c>
      <c r="B932" t="s">
        <v>36</v>
      </c>
      <c r="C932">
        <v>635</v>
      </c>
      <c r="D932">
        <v>1</v>
      </c>
      <c r="E932" t="s">
        <v>38</v>
      </c>
      <c r="F932" t="s">
        <v>39</v>
      </c>
      <c r="G932" t="str">
        <f>"2025-12-06 09:25:03.297"</f>
        <v>2025-12-06 09:25:03.297</v>
      </c>
      <c r="H932" t="s">
        <v>21</v>
      </c>
      <c r="I932">
        <v>5.3</v>
      </c>
      <c r="J932" t="s">
        <v>30</v>
      </c>
    </row>
    <row r="933" spans="1:10" x14ac:dyDescent="0.25">
      <c r="A933" s="1">
        <v>48</v>
      </c>
      <c r="B933" t="s">
        <v>26</v>
      </c>
      <c r="C933">
        <v>635</v>
      </c>
      <c r="D933">
        <v>1</v>
      </c>
      <c r="E933" t="s">
        <v>38</v>
      </c>
      <c r="F933" t="s">
        <v>39</v>
      </c>
      <c r="G933" t="str">
        <f>"2025-12-05 14:07:51.397"</f>
        <v>2025-12-05 14:07:51.397</v>
      </c>
      <c r="H933" t="s">
        <v>21</v>
      </c>
    </row>
    <row r="934" spans="1:10" x14ac:dyDescent="0.25">
      <c r="A934" s="1">
        <v>49</v>
      </c>
      <c r="B934" t="s">
        <v>36</v>
      </c>
      <c r="C934">
        <v>635</v>
      </c>
      <c r="D934">
        <v>1</v>
      </c>
      <c r="E934" t="s">
        <v>38</v>
      </c>
      <c r="F934" t="s">
        <v>39</v>
      </c>
      <c r="G934" t="str">
        <f>"2025-12-05 14:01:52.397"</f>
        <v>2025-12-05 14:01:52.397</v>
      </c>
      <c r="H934" t="s">
        <v>21</v>
      </c>
      <c r="I934">
        <v>7.48</v>
      </c>
      <c r="J934" t="s">
        <v>37</v>
      </c>
    </row>
    <row r="935" spans="1:10" x14ac:dyDescent="0.25">
      <c r="A935" s="1">
        <v>50</v>
      </c>
      <c r="B935" t="s">
        <v>19</v>
      </c>
      <c r="C935">
        <v>706</v>
      </c>
      <c r="D935">
        <v>2</v>
      </c>
      <c r="E935" t="s">
        <v>31</v>
      </c>
      <c r="F935" t="s">
        <v>43</v>
      </c>
      <c r="G935" t="str">
        <f>"2025-12-05 08:27:49.880"</f>
        <v>2025-12-05 08:27:49.880</v>
      </c>
      <c r="H935" t="s">
        <v>21</v>
      </c>
      <c r="I935">
        <v>0</v>
      </c>
      <c r="J935" t="s">
        <v>33</v>
      </c>
    </row>
    <row r="936" spans="1:10" x14ac:dyDescent="0.25">
      <c r="A936" s="1">
        <v>51</v>
      </c>
      <c r="B936" t="s">
        <v>26</v>
      </c>
      <c r="C936">
        <v>61</v>
      </c>
      <c r="D936">
        <v>2</v>
      </c>
      <c r="E936" t="s">
        <v>44</v>
      </c>
      <c r="F936" t="s">
        <v>45</v>
      </c>
      <c r="G936" t="str">
        <f>"2025-12-05 07:39:48.189"</f>
        <v>2025-12-05 07:39:48.189</v>
      </c>
      <c r="H936" t="s">
        <v>21</v>
      </c>
    </row>
    <row r="937" spans="1:10" x14ac:dyDescent="0.25">
      <c r="A937" s="1">
        <v>52</v>
      </c>
      <c r="B937" t="s">
        <v>29</v>
      </c>
      <c r="C937">
        <v>61</v>
      </c>
      <c r="D937">
        <v>2</v>
      </c>
      <c r="E937" t="s">
        <v>44</v>
      </c>
      <c r="F937" t="s">
        <v>45</v>
      </c>
      <c r="G937" t="str">
        <f>"2025-12-05 07:39:36.490"</f>
        <v>2025-12-05 07:39:36.490</v>
      </c>
      <c r="H937" t="s">
        <v>21</v>
      </c>
      <c r="I937">
        <v>29.51</v>
      </c>
      <c r="J937" t="s">
        <v>42</v>
      </c>
    </row>
    <row r="938" spans="1:10" x14ac:dyDescent="0.25">
      <c r="A938" s="1">
        <v>53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"2025-12-04 03:55:07.230"</f>
        <v>2025-12-04 03:55:07.230</v>
      </c>
      <c r="H938" t="s">
        <v>21</v>
      </c>
    </row>
    <row r="939" spans="1:10" x14ac:dyDescent="0.25">
      <c r="A939" s="1">
        <v>54</v>
      </c>
      <c r="B939" t="s">
        <v>19</v>
      </c>
      <c r="C939">
        <v>706</v>
      </c>
      <c r="D939">
        <v>4</v>
      </c>
      <c r="E939" t="s">
        <v>31</v>
      </c>
      <c r="F939" t="s">
        <v>32</v>
      </c>
      <c r="G939" t="str">
        <f>"2025-12-04 03:38:02.745"</f>
        <v>2025-12-04 03:38:02.745</v>
      </c>
      <c r="H939" t="s">
        <v>21</v>
      </c>
      <c r="I939">
        <v>0</v>
      </c>
      <c r="J939" t="s">
        <v>33</v>
      </c>
    </row>
    <row r="940" spans="1:10" x14ac:dyDescent="0.25">
      <c r="A940" s="1">
        <v>55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"2025-12-04 03:36:19.265"</f>
        <v>2025-12-04 03:36:19.265</v>
      </c>
      <c r="H940" t="s">
        <v>21</v>
      </c>
      <c r="I940">
        <v>0</v>
      </c>
      <c r="J940" t="s">
        <v>22</v>
      </c>
    </row>
    <row r="941" spans="1:10" x14ac:dyDescent="0.25">
      <c r="A941" s="1">
        <v>56</v>
      </c>
      <c r="B941" t="s">
        <v>19</v>
      </c>
      <c r="C941">
        <v>700</v>
      </c>
      <c r="D941">
        <v>0</v>
      </c>
      <c r="E941" t="s">
        <v>20</v>
      </c>
      <c r="F941" t="s">
        <v>20</v>
      </c>
      <c r="G941" t="str">
        <f>"2025-12-03 16:07:08.229"</f>
        <v>2025-12-03 16:07:08.229</v>
      </c>
      <c r="H941" t="s">
        <v>21</v>
      </c>
      <c r="I941">
        <v>0</v>
      </c>
      <c r="J941" t="s">
        <v>22</v>
      </c>
    </row>
    <row r="942" spans="1:10" x14ac:dyDescent="0.25">
      <c r="A942" s="1">
        <v>57</v>
      </c>
      <c r="B942" t="s">
        <v>19</v>
      </c>
      <c r="C942">
        <v>706</v>
      </c>
      <c r="D942">
        <v>2</v>
      </c>
      <c r="E942" t="s">
        <v>31</v>
      </c>
      <c r="F942" t="s">
        <v>43</v>
      </c>
      <c r="G942" t="str">
        <f>"2025-12-03 16:04:51.788"</f>
        <v>2025-12-03 16:04:51.788</v>
      </c>
      <c r="H942" t="s">
        <v>21</v>
      </c>
      <c r="I942">
        <v>0</v>
      </c>
      <c r="J942" t="s">
        <v>33</v>
      </c>
    </row>
    <row r="943" spans="1:10" x14ac:dyDescent="0.25">
      <c r="A943" s="1">
        <v>58</v>
      </c>
      <c r="B943" t="s">
        <v>19</v>
      </c>
      <c r="C943">
        <v>706</v>
      </c>
      <c r="D943">
        <v>2</v>
      </c>
      <c r="E943" t="s">
        <v>31</v>
      </c>
      <c r="F943" t="s">
        <v>43</v>
      </c>
      <c r="G943" t="str">
        <f>"2025-12-03 16:04:15.988"</f>
        <v>2025-12-03 16:04:15.988</v>
      </c>
      <c r="H943" t="s">
        <v>21</v>
      </c>
      <c r="I943">
        <v>0</v>
      </c>
      <c r="J943" t="s">
        <v>33</v>
      </c>
    </row>
    <row r="944" spans="1:10" x14ac:dyDescent="0.25">
      <c r="A944" s="1">
        <v>59</v>
      </c>
      <c r="B944" t="s">
        <v>19</v>
      </c>
      <c r="C944">
        <v>706</v>
      </c>
      <c r="D944">
        <v>4</v>
      </c>
      <c r="E944" t="s">
        <v>31</v>
      </c>
      <c r="F944" t="s">
        <v>32</v>
      </c>
      <c r="G944" t="str">
        <f>"2025-12-03 15:56:46.578"</f>
        <v>2025-12-03 15:56:46.578</v>
      </c>
      <c r="H944" t="s">
        <v>21</v>
      </c>
      <c r="I944">
        <v>0</v>
      </c>
      <c r="J944" t="s">
        <v>33</v>
      </c>
    </row>
    <row r="945" spans="1:10" x14ac:dyDescent="0.25">
      <c r="A945" s="1">
        <v>60</v>
      </c>
      <c r="B945" t="s">
        <v>19</v>
      </c>
      <c r="C945">
        <v>706</v>
      </c>
      <c r="D945">
        <v>2</v>
      </c>
      <c r="E945" t="s">
        <v>31</v>
      </c>
      <c r="F945" t="s">
        <v>43</v>
      </c>
      <c r="G945" t="str">
        <f>"2025-12-03 15:54:06.088"</f>
        <v>2025-12-03 15:54:06.088</v>
      </c>
      <c r="H945" t="s">
        <v>21</v>
      </c>
      <c r="I945">
        <v>0</v>
      </c>
      <c r="J945" t="s">
        <v>33</v>
      </c>
    </row>
    <row r="946" spans="1:10" x14ac:dyDescent="0.25">
      <c r="A946" s="1">
        <v>61</v>
      </c>
      <c r="B946" t="s">
        <v>19</v>
      </c>
      <c r="C946">
        <v>706</v>
      </c>
      <c r="D946">
        <v>2</v>
      </c>
      <c r="E946" t="s">
        <v>31</v>
      </c>
      <c r="F946" t="s">
        <v>43</v>
      </c>
      <c r="G946" t="str">
        <f>"2025-12-03 15:47:52.288"</f>
        <v>2025-12-03 15:47:52.288</v>
      </c>
      <c r="H946" t="s">
        <v>21</v>
      </c>
      <c r="I946">
        <v>0</v>
      </c>
      <c r="J946" t="s">
        <v>33</v>
      </c>
    </row>
    <row r="947" spans="1:10" x14ac:dyDescent="0.25">
      <c r="A947" s="1">
        <v>62</v>
      </c>
      <c r="B947" t="s">
        <v>19</v>
      </c>
      <c r="C947">
        <v>706</v>
      </c>
      <c r="D947">
        <v>2</v>
      </c>
      <c r="E947" t="s">
        <v>31</v>
      </c>
      <c r="F947" t="s">
        <v>43</v>
      </c>
      <c r="G947" t="str">
        <f>"2025-12-03 15:47:39.488"</f>
        <v>2025-12-03 15:47:39.488</v>
      </c>
      <c r="H947" t="s">
        <v>21</v>
      </c>
      <c r="I947">
        <v>0</v>
      </c>
      <c r="J947" t="s">
        <v>33</v>
      </c>
    </row>
    <row r="948" spans="1:10" x14ac:dyDescent="0.25">
      <c r="A948" s="1">
        <v>63</v>
      </c>
      <c r="B948" t="s">
        <v>19</v>
      </c>
      <c r="C948">
        <v>719</v>
      </c>
      <c r="D948">
        <v>5</v>
      </c>
      <c r="E948" t="s">
        <v>78</v>
      </c>
      <c r="F948" t="s">
        <v>79</v>
      </c>
      <c r="G948" t="str">
        <f>"2025-12-03 15:35:00.853"</f>
        <v>2025-12-03 15:35:00.853</v>
      </c>
      <c r="H948" t="s">
        <v>21</v>
      </c>
      <c r="I948">
        <v>0</v>
      </c>
      <c r="J948" t="s">
        <v>33</v>
      </c>
    </row>
    <row r="949" spans="1:10" x14ac:dyDescent="0.25">
      <c r="A949" s="1">
        <v>64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"2025-12-03 12:30:41.369"</f>
        <v>2025-12-03 12:30:41.369</v>
      </c>
      <c r="H949" t="s">
        <v>21</v>
      </c>
      <c r="I949">
        <v>0</v>
      </c>
      <c r="J949" t="s">
        <v>22</v>
      </c>
    </row>
    <row r="950" spans="1:10" x14ac:dyDescent="0.25">
      <c r="A950" s="1">
        <v>65</v>
      </c>
      <c r="B950" t="s">
        <v>19</v>
      </c>
      <c r="C950">
        <v>700</v>
      </c>
      <c r="D950">
        <v>0</v>
      </c>
      <c r="E950" t="s">
        <v>20</v>
      </c>
      <c r="F950" t="s">
        <v>20</v>
      </c>
      <c r="G950" t="str">
        <f>"2025-12-03 11:18:51.445"</f>
        <v>2025-12-03 11:18:51.445</v>
      </c>
      <c r="H950" t="s">
        <v>21</v>
      </c>
      <c r="I950">
        <v>0</v>
      </c>
      <c r="J950" t="s">
        <v>22</v>
      </c>
    </row>
    <row r="951" spans="1:10" x14ac:dyDescent="0.25">
      <c r="A951" s="1">
        <v>66</v>
      </c>
      <c r="B951" t="s">
        <v>19</v>
      </c>
      <c r="C951">
        <v>706</v>
      </c>
      <c r="D951">
        <v>4</v>
      </c>
      <c r="E951" t="s">
        <v>31</v>
      </c>
      <c r="F951" t="s">
        <v>32</v>
      </c>
      <c r="G951" t="str">
        <f>"2025-12-03 11:13:49.741"</f>
        <v>2025-12-03 11:13:49.741</v>
      </c>
      <c r="H951" t="s">
        <v>21</v>
      </c>
      <c r="I951">
        <v>0</v>
      </c>
      <c r="J951" t="s">
        <v>33</v>
      </c>
    </row>
    <row r="952" spans="1:10" x14ac:dyDescent="0.25">
      <c r="A952" s="1">
        <v>67</v>
      </c>
      <c r="B952" t="s">
        <v>19</v>
      </c>
      <c r="C952">
        <v>706</v>
      </c>
      <c r="D952">
        <v>4</v>
      </c>
      <c r="E952" t="s">
        <v>31</v>
      </c>
      <c r="F952" t="s">
        <v>32</v>
      </c>
      <c r="G952" t="str">
        <f>"2025-12-03 08:19:54.611"</f>
        <v>2025-12-03 08:19:54.611</v>
      </c>
      <c r="H952" t="s">
        <v>21</v>
      </c>
      <c r="I952">
        <v>0</v>
      </c>
      <c r="J952" t="s">
        <v>33</v>
      </c>
    </row>
    <row r="953" spans="1:10" x14ac:dyDescent="0.25">
      <c r="A953" s="1">
        <v>68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"2025-12-03 08:10:06.241"</f>
        <v>2025-12-03 08:10:06.241</v>
      </c>
      <c r="H953" t="s">
        <v>21</v>
      </c>
      <c r="I953">
        <v>0</v>
      </c>
      <c r="J953" t="s">
        <v>22</v>
      </c>
    </row>
    <row r="954" spans="1:10" x14ac:dyDescent="0.25">
      <c r="A954" s="1">
        <v>69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"2025-12-03 02:03:50.502"</f>
        <v>2025-12-03 02:03:50.502</v>
      </c>
      <c r="H954" t="s">
        <v>21</v>
      </c>
      <c r="I954">
        <v>0</v>
      </c>
      <c r="J954" t="s">
        <v>22</v>
      </c>
    </row>
    <row r="955" spans="1:10" x14ac:dyDescent="0.25">
      <c r="A955" s="1">
        <v>70</v>
      </c>
      <c r="B955" t="s">
        <v>19</v>
      </c>
      <c r="C955">
        <v>706</v>
      </c>
      <c r="D955">
        <v>2</v>
      </c>
      <c r="E955" t="s">
        <v>31</v>
      </c>
      <c r="F955" t="s">
        <v>43</v>
      </c>
      <c r="G955" t="str">
        <f>"2025-12-01 10:19:31.687"</f>
        <v>2025-12-01 10:19:31.687</v>
      </c>
      <c r="H955" t="s">
        <v>21</v>
      </c>
      <c r="I955">
        <v>0</v>
      </c>
      <c r="J955" t="s">
        <v>33</v>
      </c>
    </row>
    <row r="956" spans="1:10" x14ac:dyDescent="0.25">
      <c r="A956" s="1">
        <v>71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"2025-11-30 19:15:18.227"</f>
        <v>2025-11-30 19:15:18.227</v>
      </c>
      <c r="H956" t="s">
        <v>21</v>
      </c>
    </row>
    <row r="957" spans="1:10" x14ac:dyDescent="0.25">
      <c r="A957" s="1">
        <v>73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"2025-11-30 18:10:41.334"</f>
        <v>2025-11-30 18:10:41.334</v>
      </c>
      <c r="H957" t="s">
        <v>21</v>
      </c>
    </row>
    <row r="958" spans="1:10" x14ac:dyDescent="0.25">
      <c r="A958" s="1">
        <v>74</v>
      </c>
      <c r="B958" t="s">
        <v>19</v>
      </c>
      <c r="C958">
        <v>706</v>
      </c>
      <c r="D958">
        <v>2</v>
      </c>
      <c r="E958" t="s">
        <v>31</v>
      </c>
      <c r="F958" t="s">
        <v>43</v>
      </c>
      <c r="G958" t="str">
        <f>"2025-11-30 18:07:36.866"</f>
        <v>2025-11-30 18:07:36.866</v>
      </c>
      <c r="H958" t="s">
        <v>21</v>
      </c>
      <c r="I958">
        <v>0</v>
      </c>
      <c r="J958" t="s">
        <v>33</v>
      </c>
    </row>
    <row r="959" spans="1:10" x14ac:dyDescent="0.25">
      <c r="A959" s="1">
        <v>76</v>
      </c>
      <c r="B959" t="s">
        <v>26</v>
      </c>
      <c r="C959">
        <v>61</v>
      </c>
      <c r="D959">
        <v>2</v>
      </c>
      <c r="E959" t="s">
        <v>44</v>
      </c>
      <c r="F959" t="s">
        <v>45</v>
      </c>
      <c r="G959" t="str">
        <f>"2025-11-30 11:20:37.100"</f>
        <v>2025-11-30 11:20:37.100</v>
      </c>
      <c r="H959" t="s">
        <v>21</v>
      </c>
    </row>
    <row r="960" spans="1:10" x14ac:dyDescent="0.25">
      <c r="A960" s="1">
        <v>77</v>
      </c>
      <c r="B960" t="s">
        <v>29</v>
      </c>
      <c r="C960">
        <v>61</v>
      </c>
      <c r="D960">
        <v>2</v>
      </c>
      <c r="E960" t="s">
        <v>44</v>
      </c>
      <c r="F960" t="s">
        <v>45</v>
      </c>
      <c r="G960" t="str">
        <f>"2025-11-30 11:20:20.800"</f>
        <v>2025-11-30 11:20:20.800</v>
      </c>
      <c r="H960" t="s">
        <v>21</v>
      </c>
      <c r="I960">
        <v>30.04</v>
      </c>
      <c r="J960" t="s">
        <v>42</v>
      </c>
    </row>
    <row r="961" spans="1:10" x14ac:dyDescent="0.25">
      <c r="A961" s="1">
        <v>78</v>
      </c>
      <c r="B961" t="s">
        <v>26</v>
      </c>
      <c r="C961">
        <v>61</v>
      </c>
      <c r="D961">
        <v>2</v>
      </c>
      <c r="E961" t="s">
        <v>44</v>
      </c>
      <c r="F961" t="s">
        <v>45</v>
      </c>
      <c r="G961" t="str">
        <f>"2025-11-30 08:49:43.400"</f>
        <v>2025-11-30 08:49:43.400</v>
      </c>
      <c r="H961" t="s">
        <v>21</v>
      </c>
    </row>
    <row r="962" spans="1:10" x14ac:dyDescent="0.25">
      <c r="A962" s="1">
        <v>79</v>
      </c>
      <c r="B962" t="s">
        <v>29</v>
      </c>
      <c r="C962">
        <v>61</v>
      </c>
      <c r="D962">
        <v>2</v>
      </c>
      <c r="E962" t="s">
        <v>44</v>
      </c>
      <c r="F962" t="s">
        <v>45</v>
      </c>
      <c r="G962" t="str">
        <f>"2025-11-30 08:49:29.700"</f>
        <v>2025-11-30 08:49:29.700</v>
      </c>
      <c r="H962" t="s">
        <v>21</v>
      </c>
      <c r="I962">
        <v>30.5</v>
      </c>
      <c r="J962" t="s">
        <v>42</v>
      </c>
    </row>
    <row r="963" spans="1:10" x14ac:dyDescent="0.25">
      <c r="A963" s="1">
        <v>80</v>
      </c>
      <c r="B963" t="s">
        <v>26</v>
      </c>
      <c r="C963">
        <v>98</v>
      </c>
      <c r="D963">
        <v>1</v>
      </c>
      <c r="E963" t="s">
        <v>34</v>
      </c>
      <c r="F963" t="s">
        <v>35</v>
      </c>
      <c r="G963" t="str">
        <f>"2025-11-28 17:05:08.699"</f>
        <v>2025-11-28 17:05:08.699</v>
      </c>
      <c r="H963" t="s">
        <v>21</v>
      </c>
    </row>
    <row r="964" spans="1:10" x14ac:dyDescent="0.25">
      <c r="A964" s="1">
        <v>81</v>
      </c>
      <c r="B964" t="s">
        <v>36</v>
      </c>
      <c r="C964">
        <v>98</v>
      </c>
      <c r="D964">
        <v>1</v>
      </c>
      <c r="E964" t="s">
        <v>34</v>
      </c>
      <c r="F964" t="s">
        <v>35</v>
      </c>
      <c r="G964" t="str">
        <f>"2025-11-28 17:05:07.700"</f>
        <v>2025-11-28 17:05:07.700</v>
      </c>
      <c r="H964" t="s">
        <v>21</v>
      </c>
      <c r="I964">
        <v>0</v>
      </c>
      <c r="J964" t="s">
        <v>37</v>
      </c>
    </row>
    <row r="965" spans="1:10" x14ac:dyDescent="0.25">
      <c r="A965" s="1">
        <v>82</v>
      </c>
      <c r="B965" t="s">
        <v>26</v>
      </c>
      <c r="C965">
        <v>635</v>
      </c>
      <c r="D965">
        <v>1</v>
      </c>
      <c r="E965" t="s">
        <v>38</v>
      </c>
      <c r="F965" t="s">
        <v>39</v>
      </c>
      <c r="G965" t="str">
        <f>"2025-11-28 14:24:48.287"</f>
        <v>2025-11-28 14:24:48.287</v>
      </c>
      <c r="H965" t="s">
        <v>21</v>
      </c>
    </row>
    <row r="966" spans="1:10" x14ac:dyDescent="0.25">
      <c r="A966" s="1">
        <v>83</v>
      </c>
      <c r="B966" t="s">
        <v>36</v>
      </c>
      <c r="C966">
        <v>635</v>
      </c>
      <c r="D966">
        <v>1</v>
      </c>
      <c r="E966" t="s">
        <v>38</v>
      </c>
      <c r="F966" t="s">
        <v>39</v>
      </c>
      <c r="G966" t="str">
        <f>"2025-11-28 14:21:37.888"</f>
        <v>2025-11-28 14:21:37.888</v>
      </c>
      <c r="H966" t="s">
        <v>21</v>
      </c>
      <c r="I966">
        <v>6.59</v>
      </c>
      <c r="J966" t="s">
        <v>37</v>
      </c>
    </row>
    <row r="967" spans="1:10" x14ac:dyDescent="0.25">
      <c r="A967" s="1">
        <v>84</v>
      </c>
      <c r="B967" t="s">
        <v>19</v>
      </c>
      <c r="C967">
        <v>706</v>
      </c>
      <c r="D967">
        <v>2</v>
      </c>
      <c r="E967" t="s">
        <v>31</v>
      </c>
      <c r="F967" t="s">
        <v>43</v>
      </c>
      <c r="G967" t="str">
        <f>"2025-11-26 21:33:39.156"</f>
        <v>2025-11-26 21:33:39.156</v>
      </c>
      <c r="H967" t="s">
        <v>21</v>
      </c>
      <c r="I967">
        <v>0</v>
      </c>
      <c r="J967" t="s">
        <v>33</v>
      </c>
    </row>
    <row r="968" spans="1:10" x14ac:dyDescent="0.25">
      <c r="A968" s="1">
        <v>85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"2025-11-26 21:32:01.196"</f>
        <v>2025-11-26 21:32:01.196</v>
      </c>
      <c r="H968" t="s">
        <v>21</v>
      </c>
      <c r="I968">
        <v>0</v>
      </c>
      <c r="J968" t="s">
        <v>22</v>
      </c>
    </row>
    <row r="969" spans="1:10" x14ac:dyDescent="0.25">
      <c r="A969" s="1">
        <v>86</v>
      </c>
      <c r="B969" t="s">
        <v>26</v>
      </c>
      <c r="C969">
        <v>98</v>
      </c>
      <c r="D969">
        <v>1</v>
      </c>
      <c r="E969" t="s">
        <v>34</v>
      </c>
      <c r="F969" t="s">
        <v>35</v>
      </c>
      <c r="G969" t="str">
        <f>"2025-11-26 21:09:18.415"</f>
        <v>2025-11-26 21:09:18.415</v>
      </c>
      <c r="H969" t="s">
        <v>21</v>
      </c>
    </row>
    <row r="970" spans="1:10" x14ac:dyDescent="0.25">
      <c r="A970" s="1">
        <v>87</v>
      </c>
      <c r="B970" t="s">
        <v>36</v>
      </c>
      <c r="C970">
        <v>98</v>
      </c>
      <c r="D970">
        <v>1</v>
      </c>
      <c r="E970" t="s">
        <v>34</v>
      </c>
      <c r="F970" t="s">
        <v>35</v>
      </c>
      <c r="G970" t="str">
        <f>"2025-11-26 21:09:17.415"</f>
        <v>2025-11-26 21:09:17.415</v>
      </c>
      <c r="H970" t="s">
        <v>21</v>
      </c>
      <c r="I970">
        <v>0</v>
      </c>
      <c r="J970" t="s">
        <v>37</v>
      </c>
    </row>
    <row r="971" spans="1:10" x14ac:dyDescent="0.25">
      <c r="A971" s="1">
        <v>88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"2025-11-26 15:21:56.184"</f>
        <v>2025-11-26 15:21:56.184</v>
      </c>
      <c r="H971" t="s">
        <v>21</v>
      </c>
      <c r="I971">
        <v>0</v>
      </c>
      <c r="J971" t="s">
        <v>22</v>
      </c>
    </row>
    <row r="972" spans="1:10" x14ac:dyDescent="0.25">
      <c r="A972" s="1">
        <v>89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"2025-11-26 14:38:25.187"</f>
        <v>2025-11-26 14:38:25.187</v>
      </c>
      <c r="H972" t="s">
        <v>21</v>
      </c>
      <c r="I972">
        <v>0</v>
      </c>
      <c r="J972" t="s">
        <v>22</v>
      </c>
    </row>
    <row r="973" spans="1:10" x14ac:dyDescent="0.25">
      <c r="A973" s="1">
        <v>90</v>
      </c>
      <c r="B973" t="s">
        <v>19</v>
      </c>
      <c r="C973">
        <v>700</v>
      </c>
      <c r="D973">
        <v>0</v>
      </c>
      <c r="E973" t="s">
        <v>20</v>
      </c>
      <c r="F973" t="s">
        <v>20</v>
      </c>
      <c r="G973" t="str">
        <f>"2025-11-26 14:04:51.180"</f>
        <v>2025-11-26 14:04:51.180</v>
      </c>
      <c r="H973" t="s">
        <v>21</v>
      </c>
      <c r="I973">
        <v>0</v>
      </c>
      <c r="J973" t="s">
        <v>22</v>
      </c>
    </row>
    <row r="974" spans="1:10" x14ac:dyDescent="0.25">
      <c r="A974" s="1">
        <v>91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"2025-11-26 14:03:30.195"</f>
        <v>2025-11-26 14:03:30.195</v>
      </c>
      <c r="H974" t="s">
        <v>21</v>
      </c>
      <c r="I974">
        <v>0</v>
      </c>
      <c r="J974" t="s">
        <v>22</v>
      </c>
    </row>
    <row r="975" spans="1:10" x14ac:dyDescent="0.25">
      <c r="A975" s="1">
        <v>92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"2025-11-26 00:38:19.226"</f>
        <v>2025-11-26 00:38:19.226</v>
      </c>
      <c r="H975" t="s">
        <v>21</v>
      </c>
      <c r="I975">
        <v>0</v>
      </c>
      <c r="J975" t="s">
        <v>22</v>
      </c>
    </row>
    <row r="976" spans="1:10" x14ac:dyDescent="0.25">
      <c r="A976" s="1">
        <v>93</v>
      </c>
      <c r="B976" t="s">
        <v>26</v>
      </c>
      <c r="C976">
        <v>98</v>
      </c>
      <c r="D976">
        <v>1</v>
      </c>
      <c r="E976" t="s">
        <v>34</v>
      </c>
      <c r="F976" t="s">
        <v>35</v>
      </c>
      <c r="G976" t="str">
        <f>"2025-11-25 13:42:35.794"</f>
        <v>2025-11-25 13:42:35.794</v>
      </c>
      <c r="H976" t="s">
        <v>21</v>
      </c>
    </row>
    <row r="977" spans="1:10" x14ac:dyDescent="0.25">
      <c r="A977" s="1">
        <v>94</v>
      </c>
      <c r="B977" t="s">
        <v>36</v>
      </c>
      <c r="C977">
        <v>98</v>
      </c>
      <c r="D977">
        <v>1</v>
      </c>
      <c r="E977" t="s">
        <v>34</v>
      </c>
      <c r="F977" t="s">
        <v>35</v>
      </c>
      <c r="G977" t="str">
        <f>"2025-11-25 13:42:34.795"</f>
        <v>2025-11-25 13:42:34.795</v>
      </c>
      <c r="H977" t="s">
        <v>21</v>
      </c>
      <c r="I977">
        <v>0</v>
      </c>
      <c r="J977" t="s">
        <v>37</v>
      </c>
    </row>
    <row r="978" spans="1:10" x14ac:dyDescent="0.25">
      <c r="A978" s="1">
        <v>95</v>
      </c>
      <c r="B978" t="s">
        <v>19</v>
      </c>
      <c r="C978">
        <v>700</v>
      </c>
      <c r="D978">
        <v>0</v>
      </c>
      <c r="E978" t="s">
        <v>20</v>
      </c>
      <c r="F978" t="s">
        <v>20</v>
      </c>
      <c r="G978" t="str">
        <f>"2025-11-24 11:43:04.174"</f>
        <v>2025-11-24 11:43:04.174</v>
      </c>
      <c r="H978" t="s">
        <v>21</v>
      </c>
      <c r="I978">
        <v>0</v>
      </c>
      <c r="J978" t="s">
        <v>22</v>
      </c>
    </row>
    <row r="979" spans="1:10" x14ac:dyDescent="0.25">
      <c r="A979" s="1">
        <v>96</v>
      </c>
      <c r="B979" t="s">
        <v>19</v>
      </c>
      <c r="C979">
        <v>700</v>
      </c>
      <c r="D979">
        <v>0</v>
      </c>
      <c r="E979" t="s">
        <v>20</v>
      </c>
      <c r="F979" t="s">
        <v>20</v>
      </c>
      <c r="G979" t="str">
        <f>"2025-11-24 11:08:20.289"</f>
        <v>2025-11-24 11:08:20.289</v>
      </c>
      <c r="H979" t="s">
        <v>21</v>
      </c>
    </row>
    <row r="980" spans="1:10" x14ac:dyDescent="0.25">
      <c r="A980" s="1">
        <v>97</v>
      </c>
      <c r="B980" t="s">
        <v>19</v>
      </c>
      <c r="C980">
        <v>706</v>
      </c>
      <c r="D980">
        <v>4</v>
      </c>
      <c r="E980" t="s">
        <v>31</v>
      </c>
      <c r="F980" t="s">
        <v>32</v>
      </c>
      <c r="G980" t="str">
        <f>"2025-11-24 10:52:54.213"</f>
        <v>2025-11-24 10:52:54.213</v>
      </c>
      <c r="H980" t="s">
        <v>21</v>
      </c>
      <c r="I980">
        <v>0</v>
      </c>
      <c r="J980" t="s">
        <v>33</v>
      </c>
    </row>
    <row r="981" spans="1:10" x14ac:dyDescent="0.25">
      <c r="A981" s="1">
        <v>98</v>
      </c>
      <c r="B981" t="s">
        <v>19</v>
      </c>
      <c r="C981">
        <v>700</v>
      </c>
      <c r="D981">
        <v>0</v>
      </c>
      <c r="E981" t="s">
        <v>20</v>
      </c>
      <c r="F981" t="s">
        <v>20</v>
      </c>
      <c r="G981" t="str">
        <f>"2025-11-24 09:23:57.163"</f>
        <v>2025-11-24 09:23:57.163</v>
      </c>
      <c r="H981" t="s">
        <v>21</v>
      </c>
      <c r="I981">
        <v>0</v>
      </c>
      <c r="J981" t="s">
        <v>22</v>
      </c>
    </row>
    <row r="982" spans="1:10" x14ac:dyDescent="0.25">
      <c r="A982" s="1">
        <v>99</v>
      </c>
      <c r="B982" t="s">
        <v>19</v>
      </c>
      <c r="C982">
        <v>700</v>
      </c>
      <c r="D982">
        <v>0</v>
      </c>
      <c r="E982" t="s">
        <v>20</v>
      </c>
      <c r="F982" t="s">
        <v>20</v>
      </c>
      <c r="G982" t="str">
        <f>"2025-11-24 05:33:45.159"</f>
        <v>2025-11-24 05:33:45.159</v>
      </c>
      <c r="H982" t="s">
        <v>21</v>
      </c>
    </row>
    <row r="983" spans="1:10" x14ac:dyDescent="0.25">
      <c r="A983" s="1">
        <v>0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"2025-11-23 06:17:48.183"</f>
        <v>2025-11-23 06:17:48.183</v>
      </c>
      <c r="H983" t="s">
        <v>21</v>
      </c>
      <c r="I983">
        <v>0</v>
      </c>
      <c r="J983" t="s">
        <v>22</v>
      </c>
    </row>
    <row r="984" spans="1:10" x14ac:dyDescent="0.25">
      <c r="A984" s="1">
        <v>1</v>
      </c>
      <c r="B984" t="s">
        <v>19</v>
      </c>
      <c r="C984">
        <v>706</v>
      </c>
      <c r="D984">
        <v>4</v>
      </c>
      <c r="E984" t="s">
        <v>31</v>
      </c>
      <c r="F984" t="s">
        <v>32</v>
      </c>
      <c r="G984" t="str">
        <f>"2025-11-22 14:28:30.381"</f>
        <v>2025-11-22 14:28:30.381</v>
      </c>
      <c r="H984" t="s">
        <v>21</v>
      </c>
      <c r="I984">
        <v>0</v>
      </c>
      <c r="J984" t="s">
        <v>33</v>
      </c>
    </row>
    <row r="985" spans="1:10" x14ac:dyDescent="0.25">
      <c r="A985" s="1">
        <v>2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"2025-11-22 12:47:12.121"</f>
        <v>2025-11-22 12:47:12.121</v>
      </c>
      <c r="H985" t="s">
        <v>21</v>
      </c>
    </row>
    <row r="986" spans="1:10" x14ac:dyDescent="0.25">
      <c r="A986" s="1">
        <v>3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"2025-11-22 11:31:20.122"</f>
        <v>2025-11-22 11:31:20.122</v>
      </c>
      <c r="H986" t="s">
        <v>21</v>
      </c>
      <c r="I986">
        <v>0</v>
      </c>
      <c r="J986" t="s">
        <v>22</v>
      </c>
    </row>
    <row r="987" spans="1:10" x14ac:dyDescent="0.25">
      <c r="A987" s="1">
        <v>4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"2025-11-22 09:01:37.092"</f>
        <v>2025-11-22 09:01:37.092</v>
      </c>
      <c r="H987" t="s">
        <v>21</v>
      </c>
      <c r="I987">
        <v>0</v>
      </c>
      <c r="J987" t="s">
        <v>22</v>
      </c>
    </row>
    <row r="988" spans="1:10" x14ac:dyDescent="0.25">
      <c r="A988" s="1">
        <v>5</v>
      </c>
      <c r="B988" t="s">
        <v>19</v>
      </c>
      <c r="C988">
        <v>706</v>
      </c>
      <c r="D988">
        <v>4</v>
      </c>
      <c r="E988" t="s">
        <v>31</v>
      </c>
      <c r="F988" t="s">
        <v>32</v>
      </c>
      <c r="G988" t="str">
        <f>"2025-11-22 06:25:20.209"</f>
        <v>2025-11-22 06:25:20.209</v>
      </c>
      <c r="H988" t="s">
        <v>21</v>
      </c>
      <c r="I988">
        <v>0</v>
      </c>
      <c r="J988" t="s">
        <v>33</v>
      </c>
    </row>
    <row r="989" spans="1:10" x14ac:dyDescent="0.25">
      <c r="A989" s="1">
        <v>6</v>
      </c>
      <c r="B989" t="s">
        <v>19</v>
      </c>
      <c r="C989">
        <v>700</v>
      </c>
      <c r="D989">
        <v>0</v>
      </c>
      <c r="E989" t="s">
        <v>20</v>
      </c>
      <c r="F989" t="s">
        <v>20</v>
      </c>
      <c r="G989" t="str">
        <f>"2025-11-22 06:00:59.069"</f>
        <v>2025-11-22 06:00:59.069</v>
      </c>
      <c r="H989" t="s">
        <v>21</v>
      </c>
    </row>
    <row r="990" spans="1:10" x14ac:dyDescent="0.25">
      <c r="A990" s="1">
        <v>7</v>
      </c>
      <c r="B990" t="s">
        <v>19</v>
      </c>
      <c r="C990">
        <v>706</v>
      </c>
      <c r="D990">
        <v>4</v>
      </c>
      <c r="E990" t="s">
        <v>31</v>
      </c>
      <c r="F990" t="s">
        <v>32</v>
      </c>
      <c r="G990" t="str">
        <f>"2025-11-21 12:25:49.449"</f>
        <v>2025-11-21 12:25:49.449</v>
      </c>
      <c r="H990" t="s">
        <v>21</v>
      </c>
      <c r="I990">
        <v>0</v>
      </c>
      <c r="J990" t="s">
        <v>33</v>
      </c>
    </row>
    <row r="991" spans="1:10" x14ac:dyDescent="0.25">
      <c r="A991" s="1">
        <v>8</v>
      </c>
      <c r="B991" t="s">
        <v>19</v>
      </c>
      <c r="C991">
        <v>700</v>
      </c>
      <c r="D991">
        <v>0</v>
      </c>
      <c r="E991" t="s">
        <v>20</v>
      </c>
      <c r="F991" t="s">
        <v>20</v>
      </c>
      <c r="G991" t="str">
        <f>"2025-11-21 12:24:39.069"</f>
        <v>2025-11-21 12:24:39.069</v>
      </c>
      <c r="H991" t="s">
        <v>21</v>
      </c>
      <c r="I991">
        <v>0</v>
      </c>
      <c r="J991" t="s">
        <v>22</v>
      </c>
    </row>
    <row r="992" spans="1:10" x14ac:dyDescent="0.25">
      <c r="A992" s="1">
        <v>9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"2025-11-21 12:22:37.060"</f>
        <v>2025-11-21 12:22:37.060</v>
      </c>
      <c r="H992" t="s">
        <v>21</v>
      </c>
    </row>
    <row r="993" spans="1:10" x14ac:dyDescent="0.25">
      <c r="A993" s="1">
        <v>10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"2025-11-21 12:04:58.074"</f>
        <v>2025-11-21 12:04:58.074</v>
      </c>
      <c r="H993" t="s">
        <v>21</v>
      </c>
      <c r="I993">
        <v>0</v>
      </c>
      <c r="J993" t="s">
        <v>22</v>
      </c>
    </row>
    <row r="994" spans="1:10" x14ac:dyDescent="0.25">
      <c r="A994" s="1">
        <v>11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"2025-11-21 11:49:50.083"</f>
        <v>2025-11-21 11:49:50.083</v>
      </c>
      <c r="H994" t="s">
        <v>21</v>
      </c>
      <c r="I994">
        <v>0</v>
      </c>
      <c r="J994" t="s">
        <v>22</v>
      </c>
    </row>
    <row r="995" spans="1:10" x14ac:dyDescent="0.25">
      <c r="A995" s="1">
        <v>12</v>
      </c>
      <c r="B995" t="s">
        <v>19</v>
      </c>
      <c r="C995">
        <v>700</v>
      </c>
      <c r="D995">
        <v>0</v>
      </c>
      <c r="E995" t="s">
        <v>20</v>
      </c>
      <c r="F995" t="s">
        <v>20</v>
      </c>
      <c r="G995" t="str">
        <f>"2025-11-19 14:49:50.057"</f>
        <v>2025-11-19 14:49:50.057</v>
      </c>
      <c r="H995" t="s">
        <v>21</v>
      </c>
    </row>
    <row r="996" spans="1:10" x14ac:dyDescent="0.25">
      <c r="A996" s="1">
        <v>13</v>
      </c>
      <c r="B996" t="s">
        <v>19</v>
      </c>
      <c r="C996">
        <v>706</v>
      </c>
      <c r="D996">
        <v>4</v>
      </c>
      <c r="E996" t="s">
        <v>31</v>
      </c>
      <c r="F996" t="s">
        <v>32</v>
      </c>
      <c r="G996" t="str">
        <f>"2025-11-19 14:22:23.450"</f>
        <v>2025-11-19 14:22:23.450</v>
      </c>
      <c r="H996" t="s">
        <v>21</v>
      </c>
      <c r="I996">
        <v>0</v>
      </c>
      <c r="J996" t="s">
        <v>33</v>
      </c>
    </row>
    <row r="997" spans="1:10" x14ac:dyDescent="0.25">
      <c r="A997" s="1">
        <v>14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"2025-11-19 14:22:00.070"</f>
        <v>2025-11-19 14:22:00.070</v>
      </c>
      <c r="H997" t="s">
        <v>21</v>
      </c>
      <c r="I997">
        <v>0</v>
      </c>
      <c r="J997" t="s">
        <v>22</v>
      </c>
    </row>
    <row r="998" spans="1:10" x14ac:dyDescent="0.25">
      <c r="A998" s="1">
        <v>15</v>
      </c>
      <c r="B998" t="s">
        <v>19</v>
      </c>
      <c r="C998">
        <v>706</v>
      </c>
      <c r="D998">
        <v>4</v>
      </c>
      <c r="E998" t="s">
        <v>31</v>
      </c>
      <c r="F998" t="s">
        <v>32</v>
      </c>
      <c r="G998" t="str">
        <f>"2025-11-19 08:48:07.962"</f>
        <v>2025-11-19 08:48:07.962</v>
      </c>
      <c r="H998" t="s">
        <v>21</v>
      </c>
      <c r="I998">
        <v>0</v>
      </c>
      <c r="J998" t="s">
        <v>33</v>
      </c>
    </row>
    <row r="999" spans="1:10" x14ac:dyDescent="0.25">
      <c r="A999" s="1">
        <v>16</v>
      </c>
      <c r="B999" t="s">
        <v>19</v>
      </c>
      <c r="C999">
        <v>700</v>
      </c>
      <c r="D999">
        <v>0</v>
      </c>
      <c r="E999" t="s">
        <v>20</v>
      </c>
      <c r="F999" t="s">
        <v>20</v>
      </c>
      <c r="G999" t="str">
        <f>"2025-11-19 08:47:31.072"</f>
        <v>2025-11-19 08:47:31.072</v>
      </c>
      <c r="H999" t="s">
        <v>21</v>
      </c>
    </row>
    <row r="1000" spans="1:10" x14ac:dyDescent="0.25">
      <c r="A1000" s="1">
        <v>17</v>
      </c>
      <c r="B1000" t="s">
        <v>19</v>
      </c>
      <c r="C1000">
        <v>700</v>
      </c>
      <c r="D1000">
        <v>0</v>
      </c>
      <c r="E1000" t="s">
        <v>20</v>
      </c>
      <c r="F1000" t="s">
        <v>20</v>
      </c>
      <c r="G1000" t="str">
        <f>"2025-11-18 11:55:52.051"</f>
        <v>2025-11-18 11:55:52.051</v>
      </c>
      <c r="H1000" t="s">
        <v>21</v>
      </c>
      <c r="I1000">
        <v>0</v>
      </c>
      <c r="J1000" t="s">
        <v>22</v>
      </c>
    </row>
    <row r="1001" spans="1:10" x14ac:dyDescent="0.25">
      <c r="A1001" s="1">
        <v>18</v>
      </c>
      <c r="B1001" t="s">
        <v>19</v>
      </c>
      <c r="C1001">
        <v>706</v>
      </c>
      <c r="D1001">
        <v>4</v>
      </c>
      <c r="E1001" t="s">
        <v>31</v>
      </c>
      <c r="F1001" t="s">
        <v>32</v>
      </c>
      <c r="G1001" t="str">
        <f>"2025-11-18 11:47:46.855"</f>
        <v>2025-11-18 11:47:46.855</v>
      </c>
      <c r="H1001" t="s">
        <v>21</v>
      </c>
      <c r="I1001">
        <v>0</v>
      </c>
      <c r="J1001" t="s">
        <v>33</v>
      </c>
    </row>
    <row r="1002" spans="1:10" x14ac:dyDescent="0.25">
      <c r="A1002" s="1">
        <v>19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"2025-11-18 11:47:20.045"</f>
        <v>2025-11-18 11:47:20.045</v>
      </c>
      <c r="H1002" t="s">
        <v>21</v>
      </c>
      <c r="I1002">
        <v>0</v>
      </c>
      <c r="J1002" t="s">
        <v>22</v>
      </c>
    </row>
    <row r="1003" spans="1:10" x14ac:dyDescent="0.25">
      <c r="A1003" s="1">
        <v>20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"2025-11-18 11:39:15.038"</f>
        <v>2025-11-18 11:39:15.038</v>
      </c>
      <c r="H1003" t="s">
        <v>21</v>
      </c>
      <c r="I1003">
        <v>0</v>
      </c>
      <c r="J1003" t="s">
        <v>22</v>
      </c>
    </row>
    <row r="1004" spans="1:10" x14ac:dyDescent="0.25">
      <c r="A1004" s="1">
        <v>21</v>
      </c>
      <c r="B1004" t="s">
        <v>19</v>
      </c>
      <c r="C1004">
        <v>706</v>
      </c>
      <c r="D1004">
        <v>2</v>
      </c>
      <c r="E1004" t="s">
        <v>31</v>
      </c>
      <c r="F1004" t="s">
        <v>43</v>
      </c>
      <c r="G1004" t="str">
        <f>"2025-11-18 08:23:01.116"</f>
        <v>2025-11-18 08:23:01.116</v>
      </c>
      <c r="H1004" t="s">
        <v>21</v>
      </c>
      <c r="I1004">
        <v>0</v>
      </c>
      <c r="J1004" t="s">
        <v>33</v>
      </c>
    </row>
    <row r="1005" spans="1:10" x14ac:dyDescent="0.25">
      <c r="A1005" s="1">
        <v>22</v>
      </c>
      <c r="B1005" t="s">
        <v>19</v>
      </c>
      <c r="C1005">
        <v>706</v>
      </c>
      <c r="D1005">
        <v>4</v>
      </c>
      <c r="E1005" t="s">
        <v>31</v>
      </c>
      <c r="F1005" t="s">
        <v>32</v>
      </c>
      <c r="G1005" t="str">
        <f>"2025-11-18 08:22:41.616"</f>
        <v>2025-11-18 08:22:41.616</v>
      </c>
      <c r="H1005" t="s">
        <v>21</v>
      </c>
      <c r="I1005">
        <v>0</v>
      </c>
      <c r="J1005" t="s">
        <v>33</v>
      </c>
    </row>
    <row r="1006" spans="1:10" x14ac:dyDescent="0.25">
      <c r="A1006" s="1">
        <v>23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"2025-11-18 08:22:06.026"</f>
        <v>2025-11-18 08:22:06.026</v>
      </c>
      <c r="H1006" t="s">
        <v>21</v>
      </c>
    </row>
    <row r="1007" spans="1:10" x14ac:dyDescent="0.25">
      <c r="A1007" s="1">
        <v>24</v>
      </c>
      <c r="B1007" t="s">
        <v>19</v>
      </c>
      <c r="C1007">
        <v>706</v>
      </c>
      <c r="D1007">
        <v>2</v>
      </c>
      <c r="E1007" t="s">
        <v>31</v>
      </c>
      <c r="F1007" t="s">
        <v>43</v>
      </c>
      <c r="G1007" t="str">
        <f>"2025-11-18 08:21:13.743"</f>
        <v>2025-11-18 08:21:13.743</v>
      </c>
      <c r="H1007" t="s">
        <v>21</v>
      </c>
      <c r="I1007">
        <v>0</v>
      </c>
      <c r="J1007" t="s">
        <v>33</v>
      </c>
    </row>
    <row r="1008" spans="1:10" x14ac:dyDescent="0.25">
      <c r="A1008" s="1">
        <v>25</v>
      </c>
      <c r="B1008" t="s">
        <v>19</v>
      </c>
      <c r="C1008">
        <v>700</v>
      </c>
      <c r="D1008">
        <v>0</v>
      </c>
      <c r="E1008" t="s">
        <v>20</v>
      </c>
      <c r="F1008" t="s">
        <v>20</v>
      </c>
      <c r="G1008" t="str">
        <f>"2025-11-18 08:20:49.033"</f>
        <v>2025-11-18 08:20:49.033</v>
      </c>
      <c r="H1008" t="s">
        <v>21</v>
      </c>
    </row>
    <row r="1009" spans="1:10" x14ac:dyDescent="0.25">
      <c r="A1009" s="1">
        <v>26</v>
      </c>
      <c r="B1009" t="s">
        <v>26</v>
      </c>
      <c r="C1009">
        <v>98</v>
      </c>
      <c r="D1009">
        <v>1</v>
      </c>
      <c r="E1009" t="s">
        <v>34</v>
      </c>
      <c r="F1009" t="s">
        <v>35</v>
      </c>
      <c r="G1009" t="str">
        <f>"2025-11-18 07:37:34.556"</f>
        <v>2025-11-18 07:37:34.556</v>
      </c>
      <c r="H1009" t="s">
        <v>21</v>
      </c>
    </row>
    <row r="1010" spans="1:10" x14ac:dyDescent="0.25">
      <c r="A1010" s="1">
        <v>27</v>
      </c>
      <c r="B1010" t="s">
        <v>36</v>
      </c>
      <c r="C1010">
        <v>98</v>
      </c>
      <c r="D1010">
        <v>1</v>
      </c>
      <c r="E1010" t="s">
        <v>34</v>
      </c>
      <c r="F1010" t="s">
        <v>35</v>
      </c>
      <c r="G1010" t="str">
        <f>"2025-11-18 07:37:33.556"</f>
        <v>2025-11-18 07:37:33.556</v>
      </c>
      <c r="H1010" t="s">
        <v>21</v>
      </c>
      <c r="I1010">
        <v>0</v>
      </c>
      <c r="J1010" t="s">
        <v>33</v>
      </c>
    </row>
    <row r="1011" spans="1:10" x14ac:dyDescent="0.25">
      <c r="A1011" s="1">
        <v>28</v>
      </c>
      <c r="B1011" t="s">
        <v>26</v>
      </c>
      <c r="C1011">
        <v>98</v>
      </c>
      <c r="D1011">
        <v>1</v>
      </c>
      <c r="E1011" t="s">
        <v>34</v>
      </c>
      <c r="F1011" t="s">
        <v>35</v>
      </c>
      <c r="G1011" t="str">
        <f>"2025-11-18 07:37:30.156"</f>
        <v>2025-11-18 07:37:30.156</v>
      </c>
      <c r="H1011" t="s">
        <v>21</v>
      </c>
    </row>
    <row r="1012" spans="1:10" x14ac:dyDescent="0.25">
      <c r="A1012" s="1">
        <v>29</v>
      </c>
      <c r="B1012" t="s">
        <v>36</v>
      </c>
      <c r="C1012">
        <v>98</v>
      </c>
      <c r="D1012">
        <v>1</v>
      </c>
      <c r="E1012" t="s">
        <v>34</v>
      </c>
      <c r="F1012" t="s">
        <v>35</v>
      </c>
      <c r="G1012" t="str">
        <f>"2025-11-18 07:37:29.156"</f>
        <v>2025-11-18 07:37:29.156</v>
      </c>
      <c r="H1012" t="s">
        <v>21</v>
      </c>
      <c r="I1012">
        <v>0</v>
      </c>
      <c r="J1012" t="s">
        <v>33</v>
      </c>
    </row>
    <row r="1013" spans="1:10" x14ac:dyDescent="0.25">
      <c r="A1013" s="1">
        <v>30</v>
      </c>
      <c r="B1013" t="s">
        <v>26</v>
      </c>
      <c r="C1013">
        <v>98</v>
      </c>
      <c r="D1013">
        <v>1</v>
      </c>
      <c r="E1013" t="s">
        <v>34</v>
      </c>
      <c r="F1013" t="s">
        <v>35</v>
      </c>
      <c r="G1013" t="str">
        <f>"2025-11-18 07:37:27.356"</f>
        <v>2025-11-18 07:37:27.356</v>
      </c>
      <c r="H1013" t="s">
        <v>21</v>
      </c>
    </row>
    <row r="1014" spans="1:10" x14ac:dyDescent="0.25">
      <c r="A1014" s="1">
        <v>31</v>
      </c>
      <c r="B1014" t="s">
        <v>36</v>
      </c>
      <c r="C1014">
        <v>98</v>
      </c>
      <c r="D1014">
        <v>1</v>
      </c>
      <c r="E1014" t="s">
        <v>34</v>
      </c>
      <c r="F1014" t="s">
        <v>35</v>
      </c>
      <c r="G1014" t="str">
        <f>"2025-11-18 07:37:26.357"</f>
        <v>2025-11-18 07:37:26.357</v>
      </c>
      <c r="H1014" t="s">
        <v>21</v>
      </c>
      <c r="I1014">
        <v>0</v>
      </c>
      <c r="J1014" t="s">
        <v>33</v>
      </c>
    </row>
    <row r="1015" spans="1:10" x14ac:dyDescent="0.25">
      <c r="A1015" s="1">
        <v>32</v>
      </c>
      <c r="B1015" t="s">
        <v>19</v>
      </c>
      <c r="C1015">
        <v>700</v>
      </c>
      <c r="D1015">
        <v>0</v>
      </c>
      <c r="E1015" t="s">
        <v>20</v>
      </c>
      <c r="F1015" t="s">
        <v>20</v>
      </c>
      <c r="G1015" t="str">
        <f>"2025-11-18 07:36:04.027"</f>
        <v>2025-11-18 07:36:04.027</v>
      </c>
      <c r="H1015" t="s">
        <v>21</v>
      </c>
      <c r="I1015">
        <v>0</v>
      </c>
      <c r="J1015" t="s">
        <v>22</v>
      </c>
    </row>
    <row r="1016" spans="1:10" x14ac:dyDescent="0.25">
      <c r="A1016" s="1">
        <v>33</v>
      </c>
      <c r="B1016" t="s">
        <v>19</v>
      </c>
      <c r="C1016">
        <v>700</v>
      </c>
      <c r="D1016">
        <v>0</v>
      </c>
      <c r="E1016" t="s">
        <v>20</v>
      </c>
      <c r="F1016" t="s">
        <v>20</v>
      </c>
      <c r="G1016" t="str">
        <f>"2025-11-18 07:28:00.025"</f>
        <v>2025-11-18 07:28:00.025</v>
      </c>
      <c r="H1016" t="s">
        <v>21</v>
      </c>
      <c r="I1016">
        <v>0</v>
      </c>
      <c r="J1016" t="s">
        <v>22</v>
      </c>
    </row>
    <row r="1017" spans="1:10" x14ac:dyDescent="0.25">
      <c r="A1017" s="1">
        <v>34</v>
      </c>
      <c r="B1017" t="s">
        <v>19</v>
      </c>
      <c r="C1017">
        <v>700</v>
      </c>
      <c r="D1017">
        <v>0</v>
      </c>
      <c r="E1017" t="s">
        <v>20</v>
      </c>
      <c r="F1017" t="s">
        <v>20</v>
      </c>
      <c r="G1017" t="str">
        <f>"2025-11-18 07:25:28.023"</f>
        <v>2025-11-18 07:25:28.023</v>
      </c>
      <c r="H1017" t="s">
        <v>21</v>
      </c>
    </row>
    <row r="1018" spans="1:10" x14ac:dyDescent="0.25">
      <c r="A1018" s="1">
        <v>35</v>
      </c>
      <c r="B1018" t="s">
        <v>19</v>
      </c>
      <c r="C1018">
        <v>700</v>
      </c>
      <c r="D1018">
        <v>0</v>
      </c>
      <c r="E1018" t="s">
        <v>20</v>
      </c>
      <c r="F1018" t="s">
        <v>20</v>
      </c>
      <c r="G1018" t="str">
        <f>"2025-11-18 07:20:00.030"</f>
        <v>2025-11-18 07:20:00.030</v>
      </c>
      <c r="H1018" t="s">
        <v>21</v>
      </c>
      <c r="I1018">
        <v>0</v>
      </c>
      <c r="J1018" t="s">
        <v>22</v>
      </c>
    </row>
    <row r="1019" spans="1:10" x14ac:dyDescent="0.25">
      <c r="A1019" s="1">
        <v>38</v>
      </c>
      <c r="B1019" t="s">
        <v>19</v>
      </c>
      <c r="C1019">
        <v>782</v>
      </c>
      <c r="D1019">
        <v>7</v>
      </c>
      <c r="E1019" t="s">
        <v>49</v>
      </c>
      <c r="F1019" t="s">
        <v>50</v>
      </c>
      <c r="G1019" t="str">
        <f>"2025-11-18 07:16:18.260"</f>
        <v>2025-11-18 07:16:18.260</v>
      </c>
      <c r="H1019" t="s">
        <v>21</v>
      </c>
      <c r="I1019">
        <v>0</v>
      </c>
      <c r="J1019" t="s">
        <v>33</v>
      </c>
    </row>
    <row r="1020" spans="1:10" x14ac:dyDescent="0.25">
      <c r="A1020" s="1">
        <v>41</v>
      </c>
      <c r="B1020" t="s">
        <v>26</v>
      </c>
      <c r="C1020">
        <v>12</v>
      </c>
      <c r="D1020">
        <v>2</v>
      </c>
      <c r="E1020" t="s">
        <v>80</v>
      </c>
      <c r="F1020" t="s">
        <v>81</v>
      </c>
      <c r="G1020" t="str">
        <f>"2025-11-18 07:16:18.254"</f>
        <v>2025-11-18 07:16:18.254</v>
      </c>
      <c r="H1020" t="s">
        <v>21</v>
      </c>
    </row>
    <row r="1021" spans="1:10" x14ac:dyDescent="0.25">
      <c r="A1021" s="1">
        <v>42</v>
      </c>
      <c r="B1021" t="s">
        <v>26</v>
      </c>
      <c r="C1021">
        <v>12</v>
      </c>
      <c r="D1021">
        <v>1</v>
      </c>
      <c r="E1021" t="s">
        <v>80</v>
      </c>
      <c r="F1021" t="s">
        <v>82</v>
      </c>
      <c r="G1021" t="str">
        <f>"2025-11-18 07:16:18.253"</f>
        <v>2025-11-18 07:16:18.253</v>
      </c>
      <c r="H1021" t="s">
        <v>21</v>
      </c>
    </row>
    <row r="1022" spans="1:10" x14ac:dyDescent="0.25">
      <c r="A1022" s="1">
        <v>43</v>
      </c>
      <c r="B1022" t="s">
        <v>19</v>
      </c>
      <c r="C1022">
        <v>782</v>
      </c>
      <c r="D1022">
        <v>7</v>
      </c>
      <c r="E1022" t="s">
        <v>49</v>
      </c>
      <c r="F1022" t="s">
        <v>50</v>
      </c>
      <c r="G1022" t="str">
        <f>"2025-11-18 07:16:18.252"</f>
        <v>2025-11-18 07:16:18.252</v>
      </c>
      <c r="H1022" t="s">
        <v>21</v>
      </c>
      <c r="I1022">
        <v>0</v>
      </c>
      <c r="J1022" t="s">
        <v>33</v>
      </c>
    </row>
    <row r="1023" spans="1:10" x14ac:dyDescent="0.25">
      <c r="A1023" s="1">
        <v>44</v>
      </c>
      <c r="B1023" t="s">
        <v>26</v>
      </c>
      <c r="C1023">
        <v>650</v>
      </c>
      <c r="D1023">
        <v>4</v>
      </c>
      <c r="E1023" t="s">
        <v>83</v>
      </c>
      <c r="F1023" t="s">
        <v>84</v>
      </c>
      <c r="G1023" t="str">
        <f>"2025-11-18 07:15:48.901"</f>
        <v>2025-11-18 07:15:48.901</v>
      </c>
      <c r="H1023" t="s">
        <v>21</v>
      </c>
    </row>
    <row r="1024" spans="1:10" x14ac:dyDescent="0.25">
      <c r="A1024" s="1">
        <v>45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"2025-11-18 07:12:02.032"</f>
        <v>2025-11-18 07:12:02.032</v>
      </c>
      <c r="H1024" t="s">
        <v>21</v>
      </c>
      <c r="I1024">
        <v>0</v>
      </c>
      <c r="J1024" t="s">
        <v>22</v>
      </c>
    </row>
    <row r="1025" spans="1:10" x14ac:dyDescent="0.25">
      <c r="A1025" s="1">
        <v>46</v>
      </c>
      <c r="B1025" t="s">
        <v>19</v>
      </c>
      <c r="C1025">
        <v>706</v>
      </c>
      <c r="D1025">
        <v>3</v>
      </c>
      <c r="E1025" t="s">
        <v>31</v>
      </c>
      <c r="F1025" t="s">
        <v>70</v>
      </c>
      <c r="G1025" t="str">
        <f>"2025-11-18 07:06:25.515"</f>
        <v>2025-11-18 07:06:25.515</v>
      </c>
      <c r="H1025" t="s">
        <v>21</v>
      </c>
      <c r="I1025">
        <v>0</v>
      </c>
      <c r="J1025" t="s">
        <v>33</v>
      </c>
    </row>
    <row r="1026" spans="1:10" x14ac:dyDescent="0.25">
      <c r="A1026" s="1">
        <v>49</v>
      </c>
      <c r="B1026" t="s">
        <v>29</v>
      </c>
      <c r="C1026">
        <v>641</v>
      </c>
      <c r="D1026">
        <v>1</v>
      </c>
      <c r="E1026" t="s">
        <v>85</v>
      </c>
      <c r="F1026" t="s">
        <v>81</v>
      </c>
      <c r="G1026" t="str">
        <f>"2025-11-18 07:05:24.078"</f>
        <v>2025-11-18 07:05:24.078</v>
      </c>
      <c r="H1026" t="s">
        <v>21</v>
      </c>
      <c r="I1026">
        <v>0</v>
      </c>
      <c r="J1026" t="s">
        <v>33</v>
      </c>
    </row>
    <row r="1027" spans="1:10" x14ac:dyDescent="0.25">
      <c r="A1027" s="1">
        <v>50</v>
      </c>
      <c r="B1027" t="s">
        <v>29</v>
      </c>
      <c r="C1027">
        <v>640</v>
      </c>
      <c r="D1027">
        <v>1</v>
      </c>
      <c r="E1027" t="s">
        <v>86</v>
      </c>
      <c r="F1027" t="s">
        <v>82</v>
      </c>
      <c r="G1027" t="str">
        <f>"2025-11-18 07:05:24.072"</f>
        <v>2025-11-18 07:05:24.072</v>
      </c>
      <c r="H1027" t="s">
        <v>47</v>
      </c>
      <c r="I1027">
        <v>0</v>
      </c>
      <c r="J1027" t="s">
        <v>33</v>
      </c>
    </row>
    <row r="1028" spans="1:10" x14ac:dyDescent="0.25">
      <c r="A1028" s="1">
        <v>51</v>
      </c>
      <c r="B1028" t="s">
        <v>36</v>
      </c>
      <c r="C1028">
        <v>12</v>
      </c>
      <c r="D1028">
        <v>1</v>
      </c>
      <c r="E1028" t="s">
        <v>80</v>
      </c>
      <c r="F1028" t="s">
        <v>82</v>
      </c>
      <c r="G1028" t="str">
        <f>"2025-11-18 07:05:17.925"</f>
        <v>2025-11-18 07:05:17.925</v>
      </c>
      <c r="H1028" t="s">
        <v>21</v>
      </c>
      <c r="I1028">
        <v>0</v>
      </c>
      <c r="J1028" t="s">
        <v>33</v>
      </c>
    </row>
    <row r="1029" spans="1:10" x14ac:dyDescent="0.25">
      <c r="A1029" s="1">
        <v>52</v>
      </c>
      <c r="B1029" t="s">
        <v>36</v>
      </c>
      <c r="C1029">
        <v>12</v>
      </c>
      <c r="D1029">
        <v>2</v>
      </c>
      <c r="E1029" t="s">
        <v>80</v>
      </c>
      <c r="F1029" t="s">
        <v>81</v>
      </c>
      <c r="G1029" t="str">
        <f>"2025-11-18 07:05:17.830"</f>
        <v>2025-11-18 07:05:17.830</v>
      </c>
      <c r="H1029" t="s">
        <v>21</v>
      </c>
      <c r="I1029">
        <v>0</v>
      </c>
      <c r="J1029" t="s">
        <v>33</v>
      </c>
    </row>
    <row r="1030" spans="1:10" x14ac:dyDescent="0.25">
      <c r="A1030" s="1">
        <v>53</v>
      </c>
      <c r="B1030" t="s">
        <v>36</v>
      </c>
      <c r="C1030">
        <v>650</v>
      </c>
      <c r="D1030">
        <v>4</v>
      </c>
      <c r="E1030" t="s">
        <v>83</v>
      </c>
      <c r="F1030" t="s">
        <v>84</v>
      </c>
      <c r="G1030" t="str">
        <f>"2025-11-18 07:05:16.538"</f>
        <v>2025-11-18 07:05:16.538</v>
      </c>
      <c r="H1030" t="s">
        <v>21</v>
      </c>
      <c r="I1030">
        <v>0</v>
      </c>
      <c r="J1030" t="s">
        <v>22</v>
      </c>
    </row>
    <row r="1031" spans="1:10" x14ac:dyDescent="0.25">
      <c r="A1031" s="1">
        <v>54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"2025-11-18 07:05:13.945"</f>
        <v>2025-11-18 07:05:13.945</v>
      </c>
      <c r="H1031" t="s">
        <v>21</v>
      </c>
      <c r="I1031">
        <v>0</v>
      </c>
      <c r="J1031" t="s">
        <v>22</v>
      </c>
    </row>
  </sheetData>
  <autoFilter ref="C1:C1031" xr:uid="{5128AC77-54D8-4F4E-973A-46213BFCF222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1E3EC7-A358-4EC8-A341-DEC7D94AA7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events_ru_83_20260722-155750 56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2026-07-22T06:24:36Z</dcterms:modified>
</cp:coreProperties>
</file>
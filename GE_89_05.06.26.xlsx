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F55DBDE-F698-4D01-B364-43EDF0E4DD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9_20260605-183240 66" sheetId="2" r:id="rId1"/>
    <sheet name="Лист1" sheetId="1" r:id="rId2"/>
  </sheets>
  <definedNames>
    <definedName name="_xlnm._FilterDatabase" localSheetId="0" hidden="1">'events_ru_89_20260605-183240 66'!$C$1:$C$1237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C5D218-2D7A-46AA-B1C8-7E3436618CD3}" keepAlive="1" name="Запрос — events_ru_89_20260605-183240 667" description="Соединение с запросом &quot;events_ru_89_20260605-183240 667&quot; в книге." type="5" refreshedVersion="0" background="1">
    <dbPr connection="Provider=Microsoft.Mashup.OleDb.1;Data Source=$Workbook$;Location=&quot;events_ru_89_20260605-183240 667&quot;;Extended Properties=&quot;&quot;" command="SELECT * FROM [events_ru_89_20260605-183240 667]"/>
  </connection>
</connections>
</file>

<file path=xl/sharedStrings.xml><?xml version="1.0" encoding="utf-8"?>
<sst xmlns="http://schemas.openxmlformats.org/spreadsheetml/2006/main" count="5633" uniqueCount="72">
  <si>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</si>
  <si>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</si>
  <si>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</si>
  <si>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</si>
  <si>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</si>
  <si>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</si>
  <si>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</si>
  <si>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</si>
  <si>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</si>
  <si>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</si>
  <si>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</si>
  <si>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</si>
  <si>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</si>
  <si>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</si>
  <si>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</si>
  <si>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</si>
  <si>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</si>
  <si>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</si>
  <si>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</si>
  <si>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</si>
  <si>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</si>
  <si>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</si>
  <si>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</si>
  <si>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</si>
  <si>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</si>
  <si>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</si>
  <si>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</si>
  <si>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Test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</si>
  <si>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</si>
  <si>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</si>
  <si>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</si>
  <si>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</si>
  <si>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</si>
  <si>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</si>
  <si>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</si>
  <si>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</si>
  <si>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Ready</t>
  </si>
  <si>
    <t>Превышении скорости</t>
  </si>
  <si>
    <t>Управление скоростью - превышение</t>
  </si>
  <si>
    <t>Система в безопасном режиме</t>
  </si>
  <si>
    <t>Введен безопасный режим файловой системы - Низкий заряд батареи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</si>
  <si>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</si>
  <si>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</si>
  <si>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</si>
  <si>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</si>
  <si>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</si>
  <si>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</si>
  <si>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</si>
  <si>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</si>
  <si>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</si>
  <si>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WRst</t>
  </si>
  <si>
    <t>Rest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</si>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</sst>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2E67-93BB-408C-BEC9-CD76F4D5353B}">
  <dimension ref="A1:J1237"/>
  <sheetViews>
    <sheetView tabSelected="1" workbookViewId="0">
      <selection activeCell="A19" sqref="A19:XFD1233"/>
    </sheetView>
  </sheetViews>
  <sheetFormatPr defaultRowHeight="15" x14ac:dyDescent="0.25"/>
  <cols>
    <col min="1" max="1" width="16" bestFit="1" customWidth="1"/>
    <col min="5" max="5" width="32.140625" customWidth="1"/>
    <col min="6" max="6" width="44.71093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"2026-06-05 18:32:40.667"</f>
        <v>2026-06-05 18:32:40.667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"2026-06-05 18:07:02.767"</f>
        <v>2026-06-05 18:07:02.767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"2026-06-05 17:28:22.752"</f>
        <v>2026-06-05 17:28:22.752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"2026-06-05 15:08:34.762"</f>
        <v>2026-06-05 15:08:34.762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"2026-06-05 14:53:46.754"</f>
        <v>2026-06-05 14:53:46.754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23</v>
      </c>
      <c r="C14">
        <v>47</v>
      </c>
      <c r="D14">
        <v>2</v>
      </c>
      <c r="E14" t="s">
        <v>24</v>
      </c>
      <c r="F14" t="s">
        <v>25</v>
      </c>
      <c r="G14" t="str">
        <f>"2026-06-05 14:50:10.748"</f>
        <v>2026-06-05 14:50:10.748</v>
      </c>
      <c r="H14" t="s">
        <v>26</v>
      </c>
      <c r="I14">
        <v>0</v>
      </c>
      <c r="J14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"2026-06-05 14:50:04.846"</f>
        <v>2026-06-05 14:50:04.846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28</v>
      </c>
      <c r="C16">
        <v>635</v>
      </c>
      <c r="D16">
        <v>1</v>
      </c>
      <c r="E16" t="s">
        <v>29</v>
      </c>
      <c r="F16" t="s">
        <v>30</v>
      </c>
      <c r="G16" t="str">
        <f>"2026-06-05 14:30:08.285"</f>
        <v>2026-06-05 14:30:08.285</v>
      </c>
      <c r="H16" t="s">
        <v>21</v>
      </c>
    </row>
    <row r="17" spans="1:10" x14ac:dyDescent="0.25">
      <c r="A17" s="1"/>
      <c r="B17" t="s">
        <v>31</v>
      </c>
      <c r="C17">
        <v>635</v>
      </c>
      <c r="D17">
        <v>1</v>
      </c>
      <c r="E17" t="s">
        <v>29</v>
      </c>
      <c r="F17" t="s">
        <v>30</v>
      </c>
      <c r="G17" t="str">
        <f>"2026-06-05 13:58:18.285"</f>
        <v>2026-06-05 13:58:18.285</v>
      </c>
      <c r="H17" t="s">
        <v>21</v>
      </c>
      <c r="I17">
        <v>1.45</v>
      </c>
      <c r="J17" t="s">
        <v>32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"2026-06-05 12:44:33.786"</f>
        <v>2026-06-05 12:44:33.786</v>
      </c>
      <c r="H18" t="s">
        <v>21</v>
      </c>
      <c r="I18">
        <v>0</v>
      </c>
      <c r="J18" t="s">
        <v>22</v>
      </c>
    </row>
    <row r="19" spans="1:10" s="3" customFormat="1" x14ac:dyDescent="0.25">
      <c r="A19" s="2"/>
      <c r="B19" s="3" t="s">
        <v>28</v>
      </c>
      <c r="C19" s="3">
        <v>647</v>
      </c>
      <c r="D19" s="3">
        <v>1</v>
      </c>
      <c r="E19" s="3" t="s">
        <v>33</v>
      </c>
      <c r="F19" s="3" t="s">
        <v>34</v>
      </c>
      <c r="G19" s="3" t="str">
        <f>"2026-06-05 02:19:53.337"</f>
        <v>2026-06-05 02:19:53.337</v>
      </c>
      <c r="H19" s="3" t="s">
        <v>21</v>
      </c>
    </row>
    <row r="20" spans="1:10" s="3" customFormat="1" x14ac:dyDescent="0.25">
      <c r="A20" s="2">
        <v>0</v>
      </c>
      <c r="B20" s="3" t="s">
        <v>31</v>
      </c>
      <c r="C20" s="3">
        <v>647</v>
      </c>
      <c r="D20" s="3">
        <v>1</v>
      </c>
      <c r="E20" s="3" t="s">
        <v>33</v>
      </c>
      <c r="F20" s="3" t="s">
        <v>34</v>
      </c>
      <c r="G20" s="3" t="str">
        <f>"2026-06-05 02:19:51.437"</f>
        <v>2026-06-05 02:19:51.437</v>
      </c>
      <c r="H20" s="3" t="s">
        <v>21</v>
      </c>
      <c r="I20" s="3">
        <v>9.07</v>
      </c>
      <c r="J20" s="3" t="s">
        <v>35</v>
      </c>
    </row>
    <row r="21" spans="1:10" x14ac:dyDescent="0.25">
      <c r="A21" s="1">
        <v>2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"2026-06-04 21:15:06.947"</f>
        <v>2026-06-04 21:15:06.947</v>
      </c>
      <c r="H21" t="s">
        <v>21</v>
      </c>
      <c r="I21">
        <v>0</v>
      </c>
      <c r="J21" t="s">
        <v>22</v>
      </c>
    </row>
    <row r="22" spans="1:10" x14ac:dyDescent="0.25">
      <c r="A22" s="1">
        <v>3</v>
      </c>
      <c r="B22" t="s">
        <v>28</v>
      </c>
      <c r="C22">
        <v>635</v>
      </c>
      <c r="D22">
        <v>1</v>
      </c>
      <c r="E22" t="s">
        <v>29</v>
      </c>
      <c r="F22" t="s">
        <v>30</v>
      </c>
      <c r="G22" t="str">
        <f>"2026-06-04 20:03:08.649"</f>
        <v>2026-06-04 20:03:08.649</v>
      </c>
      <c r="H22" t="s">
        <v>21</v>
      </c>
    </row>
    <row r="23" spans="1:10" x14ac:dyDescent="0.25">
      <c r="A23" s="1">
        <v>4</v>
      </c>
      <c r="B23" t="s">
        <v>31</v>
      </c>
      <c r="C23">
        <v>635</v>
      </c>
      <c r="D23">
        <v>1</v>
      </c>
      <c r="E23" t="s">
        <v>29</v>
      </c>
      <c r="F23" t="s">
        <v>30</v>
      </c>
      <c r="G23" t="str">
        <f>"2026-06-04 19:58:49.650"</f>
        <v>2026-06-04 19:58:49.650</v>
      </c>
      <c r="H23" t="s">
        <v>21</v>
      </c>
      <c r="I23">
        <v>3.39</v>
      </c>
      <c r="J23" t="s">
        <v>36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"2026-06-04 13:42:26.748"</f>
        <v>2026-06-04 13:42:26.748</v>
      </c>
      <c r="H24" t="s">
        <v>21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"2026-06-04 12:57:01.753"</f>
        <v>2026-06-04 12:57:01.753</v>
      </c>
      <c r="H25" t="s">
        <v>21</v>
      </c>
      <c r="I25">
        <v>0</v>
      </c>
      <c r="J25" t="s">
        <v>22</v>
      </c>
    </row>
    <row r="26" spans="1:10" x14ac:dyDescent="0.25">
      <c r="A26" s="1">
        <v>7</v>
      </c>
      <c r="B26" t="s">
        <v>28</v>
      </c>
      <c r="C26">
        <v>635</v>
      </c>
      <c r="D26">
        <v>1</v>
      </c>
      <c r="E26" t="s">
        <v>29</v>
      </c>
      <c r="F26" t="s">
        <v>30</v>
      </c>
      <c r="G26" t="str">
        <f>"2026-06-04 10:22:57.285"</f>
        <v>2026-06-04 10:22:57.285</v>
      </c>
      <c r="H26" t="s">
        <v>21</v>
      </c>
    </row>
    <row r="27" spans="1:10" x14ac:dyDescent="0.25">
      <c r="A27" s="1">
        <v>8</v>
      </c>
      <c r="B27" t="s">
        <v>31</v>
      </c>
      <c r="C27">
        <v>635</v>
      </c>
      <c r="D27">
        <v>1</v>
      </c>
      <c r="E27" t="s">
        <v>29</v>
      </c>
      <c r="F27" t="s">
        <v>30</v>
      </c>
      <c r="G27" t="str">
        <f>"2026-06-04 10:17:45.285"</f>
        <v>2026-06-04 10:17:45.285</v>
      </c>
      <c r="H27" t="s">
        <v>21</v>
      </c>
      <c r="I27">
        <v>-0.12</v>
      </c>
      <c r="J27" t="s">
        <v>32</v>
      </c>
    </row>
    <row r="28" spans="1:10" s="3" customFormat="1" x14ac:dyDescent="0.25">
      <c r="A28" s="2">
        <v>9</v>
      </c>
      <c r="B28" s="3" t="s">
        <v>28</v>
      </c>
      <c r="C28" s="3">
        <v>647</v>
      </c>
      <c r="D28" s="3">
        <v>1</v>
      </c>
      <c r="E28" s="3" t="s">
        <v>33</v>
      </c>
      <c r="F28" s="3" t="s">
        <v>34</v>
      </c>
      <c r="G28" s="3" t="str">
        <f>"2026-06-04 10:05:08.586"</f>
        <v>2026-06-04 10:05:08.586</v>
      </c>
      <c r="H28" s="3" t="s">
        <v>21</v>
      </c>
    </row>
    <row r="29" spans="1:10" s="3" customFormat="1" x14ac:dyDescent="0.25">
      <c r="A29" s="2">
        <v>0</v>
      </c>
      <c r="B29" s="3" t="s">
        <v>31</v>
      </c>
      <c r="C29" s="3">
        <v>647</v>
      </c>
      <c r="D29" s="3">
        <v>1</v>
      </c>
      <c r="E29" s="3" t="s">
        <v>33</v>
      </c>
      <c r="F29" s="3" t="s">
        <v>34</v>
      </c>
      <c r="G29" s="3" t="str">
        <f>"2026-06-04 10:05:06.486"</f>
        <v>2026-06-04 10:05:06.486</v>
      </c>
      <c r="H29" s="3" t="s">
        <v>21</v>
      </c>
      <c r="I29" s="3">
        <v>8.66</v>
      </c>
      <c r="J29" s="3" t="s">
        <v>35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"2026-06-03 18:47:02.785"</f>
        <v>2026-06-03 18:47:02.785</v>
      </c>
      <c r="H30" t="s">
        <v>21</v>
      </c>
      <c r="I30">
        <v>0</v>
      </c>
      <c r="J30" t="s">
        <v>22</v>
      </c>
    </row>
    <row r="31" spans="1:10" x14ac:dyDescent="0.25">
      <c r="A31" s="1">
        <v>2</v>
      </c>
      <c r="B31" t="s">
        <v>28</v>
      </c>
      <c r="C31">
        <v>635</v>
      </c>
      <c r="D31">
        <v>1</v>
      </c>
      <c r="E31" t="s">
        <v>29</v>
      </c>
      <c r="F31" t="s">
        <v>30</v>
      </c>
      <c r="G31" t="str">
        <f>"2026-06-03 15:28:00.067"</f>
        <v>2026-06-03 15:28:00.067</v>
      </c>
      <c r="H31" t="s">
        <v>21</v>
      </c>
    </row>
    <row r="32" spans="1:10" x14ac:dyDescent="0.25">
      <c r="A32" s="1">
        <v>3</v>
      </c>
      <c r="B32" t="s">
        <v>31</v>
      </c>
      <c r="C32">
        <v>635</v>
      </c>
      <c r="D32">
        <v>1</v>
      </c>
      <c r="E32" t="s">
        <v>29</v>
      </c>
      <c r="F32" t="s">
        <v>30</v>
      </c>
      <c r="G32" t="str">
        <f>"2026-06-03 15:00:44.167"</f>
        <v>2026-06-03 15:00:44.167</v>
      </c>
      <c r="H32" t="s">
        <v>21</v>
      </c>
      <c r="I32">
        <v>4.16</v>
      </c>
      <c r="J32" t="s">
        <v>32</v>
      </c>
    </row>
    <row r="33" spans="1:10" s="3" customFormat="1" x14ac:dyDescent="0.25">
      <c r="A33" s="2">
        <v>4</v>
      </c>
      <c r="B33" s="3" t="s">
        <v>28</v>
      </c>
      <c r="C33" s="3">
        <v>647</v>
      </c>
      <c r="D33" s="3">
        <v>1</v>
      </c>
      <c r="E33" s="3" t="s">
        <v>33</v>
      </c>
      <c r="F33" s="3" t="s">
        <v>34</v>
      </c>
      <c r="G33" s="3" t="str">
        <f>"2026-06-03 13:25:30.567"</f>
        <v>2026-06-03 13:25:30.567</v>
      </c>
      <c r="H33" s="3" t="s">
        <v>21</v>
      </c>
    </row>
    <row r="34" spans="1:10" s="3" customFormat="1" x14ac:dyDescent="0.25">
      <c r="A34" s="2">
        <v>5</v>
      </c>
      <c r="B34" s="3" t="s">
        <v>31</v>
      </c>
      <c r="C34" s="3">
        <v>647</v>
      </c>
      <c r="D34" s="3">
        <v>1</v>
      </c>
      <c r="E34" s="3" t="s">
        <v>33</v>
      </c>
      <c r="F34" s="3" t="s">
        <v>34</v>
      </c>
      <c r="G34" s="3" t="str">
        <f>"2026-06-03 13:25:28.468"</f>
        <v>2026-06-03 13:25:28.468</v>
      </c>
      <c r="H34" s="3" t="s">
        <v>21</v>
      </c>
      <c r="I34" s="3">
        <v>19.96</v>
      </c>
      <c r="J34" s="3" t="s">
        <v>35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"2026-06-03 12:47:12.754"</f>
        <v>2026-06-03 12:47:12.754</v>
      </c>
      <c r="H35" t="s">
        <v>21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"2026-06-03 10:47:52.750"</f>
        <v>2026-06-03 10:47:52.750</v>
      </c>
      <c r="H36" t="s">
        <v>21</v>
      </c>
      <c r="I36">
        <v>0</v>
      </c>
      <c r="J36" t="s">
        <v>22</v>
      </c>
    </row>
    <row r="37" spans="1:10" x14ac:dyDescent="0.25">
      <c r="A37" s="1">
        <v>8</v>
      </c>
      <c r="B37" t="s">
        <v>28</v>
      </c>
      <c r="C37">
        <v>635</v>
      </c>
      <c r="D37">
        <v>1</v>
      </c>
      <c r="E37" t="s">
        <v>29</v>
      </c>
      <c r="F37" t="s">
        <v>30</v>
      </c>
      <c r="G37" t="str">
        <f>"2026-06-03 09:58:26.256"</f>
        <v>2026-06-03 09:58:26.256</v>
      </c>
      <c r="H37" t="s">
        <v>21</v>
      </c>
    </row>
    <row r="38" spans="1:10" x14ac:dyDescent="0.25">
      <c r="A38" s="1">
        <v>9</v>
      </c>
      <c r="B38" t="s">
        <v>31</v>
      </c>
      <c r="C38">
        <v>635</v>
      </c>
      <c r="D38">
        <v>1</v>
      </c>
      <c r="E38" t="s">
        <v>29</v>
      </c>
      <c r="F38" t="s">
        <v>30</v>
      </c>
      <c r="G38" t="str">
        <f>"2026-06-03 09:54:58.756"</f>
        <v>2026-06-03 09:54:58.756</v>
      </c>
      <c r="H38" t="s">
        <v>21</v>
      </c>
      <c r="I38">
        <v>0.28999999999999998</v>
      </c>
      <c r="J38" t="s">
        <v>32</v>
      </c>
    </row>
    <row r="39" spans="1:10" s="3" customFormat="1" x14ac:dyDescent="0.25">
      <c r="A39" s="2">
        <v>0</v>
      </c>
      <c r="B39" s="3" t="s">
        <v>28</v>
      </c>
      <c r="C39" s="3">
        <v>647</v>
      </c>
      <c r="D39" s="3">
        <v>1</v>
      </c>
      <c r="E39" s="3" t="s">
        <v>33</v>
      </c>
      <c r="F39" s="3" t="s">
        <v>34</v>
      </c>
      <c r="G39" s="3" t="str">
        <f>"2026-06-03 09:00:12.056"</f>
        <v>2026-06-03 09:00:12.056</v>
      </c>
      <c r="H39" s="3" t="s">
        <v>21</v>
      </c>
    </row>
    <row r="40" spans="1:10" s="3" customFormat="1" x14ac:dyDescent="0.25">
      <c r="A40" s="2">
        <v>1</v>
      </c>
      <c r="B40" s="3" t="s">
        <v>31</v>
      </c>
      <c r="C40" s="3">
        <v>647</v>
      </c>
      <c r="D40" s="3">
        <v>1</v>
      </c>
      <c r="E40" s="3" t="s">
        <v>33</v>
      </c>
      <c r="F40" s="3" t="s">
        <v>34</v>
      </c>
      <c r="G40" s="3" t="str">
        <f>"2026-06-03 09:00:05.356"</f>
        <v>2026-06-03 09:00:05.356</v>
      </c>
      <c r="H40" s="3" t="s">
        <v>21</v>
      </c>
      <c r="I40" s="3">
        <v>19.309999999999999</v>
      </c>
      <c r="J40" s="3" t="s">
        <v>35</v>
      </c>
    </row>
    <row r="41" spans="1:10" x14ac:dyDescent="0.25">
      <c r="A41" s="1">
        <v>2</v>
      </c>
      <c r="B41" t="s">
        <v>28</v>
      </c>
      <c r="C41">
        <v>635</v>
      </c>
      <c r="D41">
        <v>1</v>
      </c>
      <c r="E41" t="s">
        <v>29</v>
      </c>
      <c r="F41" t="s">
        <v>30</v>
      </c>
      <c r="G41" t="str">
        <f>"2026-06-03 08:18:40.456"</f>
        <v>2026-06-03 08:18:40.456</v>
      </c>
      <c r="H41" t="s">
        <v>21</v>
      </c>
    </row>
    <row r="42" spans="1:10" x14ac:dyDescent="0.25">
      <c r="A42" s="1">
        <v>3</v>
      </c>
      <c r="B42" t="s">
        <v>31</v>
      </c>
      <c r="C42">
        <v>635</v>
      </c>
      <c r="D42">
        <v>1</v>
      </c>
      <c r="E42" t="s">
        <v>29</v>
      </c>
      <c r="F42" t="s">
        <v>30</v>
      </c>
      <c r="G42" t="str">
        <f>"2026-06-03 07:58:08.456"</f>
        <v>2026-06-03 07:58:08.456</v>
      </c>
      <c r="H42" t="s">
        <v>21</v>
      </c>
      <c r="I42">
        <v>5.97</v>
      </c>
      <c r="J42" t="s">
        <v>32</v>
      </c>
    </row>
    <row r="43" spans="1:10" x14ac:dyDescent="0.25">
      <c r="A43" s="1">
        <v>4</v>
      </c>
      <c r="B43" t="s">
        <v>28</v>
      </c>
      <c r="C43">
        <v>635</v>
      </c>
      <c r="D43">
        <v>1</v>
      </c>
      <c r="E43" t="s">
        <v>29</v>
      </c>
      <c r="F43" t="s">
        <v>30</v>
      </c>
      <c r="G43" t="str">
        <f>"2026-06-03 02:57:22.656"</f>
        <v>2026-06-03 02:57:22.656</v>
      </c>
      <c r="H43" t="s">
        <v>21</v>
      </c>
    </row>
    <row r="44" spans="1:10" x14ac:dyDescent="0.25">
      <c r="A44" s="1">
        <v>5</v>
      </c>
      <c r="B44" t="s">
        <v>31</v>
      </c>
      <c r="C44">
        <v>635</v>
      </c>
      <c r="D44">
        <v>1</v>
      </c>
      <c r="E44" t="s">
        <v>29</v>
      </c>
      <c r="F44" t="s">
        <v>30</v>
      </c>
      <c r="G44" t="str">
        <f>"2026-06-03 02:52:43.656"</f>
        <v>2026-06-03 02:52:43.656</v>
      </c>
      <c r="H44" t="s">
        <v>21</v>
      </c>
      <c r="I44">
        <v>3.4</v>
      </c>
      <c r="J44" t="s">
        <v>32</v>
      </c>
    </row>
    <row r="45" spans="1:10" x14ac:dyDescent="0.25">
      <c r="A45" s="1">
        <v>6</v>
      </c>
      <c r="B45" t="s">
        <v>28</v>
      </c>
      <c r="C45">
        <v>61</v>
      </c>
      <c r="D45">
        <v>2</v>
      </c>
      <c r="E45" t="s">
        <v>37</v>
      </c>
      <c r="F45" t="s">
        <v>38</v>
      </c>
      <c r="G45" t="str">
        <f>"2026-06-03 01:37:29.368"</f>
        <v>2026-06-03 01:37:29.368</v>
      </c>
      <c r="H45" t="s">
        <v>21</v>
      </c>
    </row>
    <row r="46" spans="1:10" x14ac:dyDescent="0.25">
      <c r="A46" s="1">
        <v>7</v>
      </c>
      <c r="B46" t="s">
        <v>23</v>
      </c>
      <c r="C46">
        <v>61</v>
      </c>
      <c r="D46">
        <v>2</v>
      </c>
      <c r="E46" t="s">
        <v>37</v>
      </c>
      <c r="F46" t="s">
        <v>38</v>
      </c>
      <c r="G46" t="str">
        <f>"2026-06-03 01:37:11.569"</f>
        <v>2026-06-03 01:37:11.569</v>
      </c>
      <c r="H46" t="s">
        <v>21</v>
      </c>
      <c r="I46">
        <v>30.66</v>
      </c>
      <c r="J46" t="s">
        <v>35</v>
      </c>
    </row>
    <row r="47" spans="1:10" x14ac:dyDescent="0.25">
      <c r="A47" s="1">
        <v>8</v>
      </c>
      <c r="B47" t="s">
        <v>28</v>
      </c>
      <c r="C47">
        <v>635</v>
      </c>
      <c r="D47">
        <v>1</v>
      </c>
      <c r="E47" t="s">
        <v>29</v>
      </c>
      <c r="F47" t="s">
        <v>30</v>
      </c>
      <c r="G47" t="str">
        <f>"2026-06-02 23:29:08.656"</f>
        <v>2026-06-02 23:29:08.656</v>
      </c>
      <c r="H47" t="s">
        <v>21</v>
      </c>
    </row>
    <row r="48" spans="1:10" x14ac:dyDescent="0.25">
      <c r="A48" s="1">
        <v>9</v>
      </c>
      <c r="B48" t="s">
        <v>31</v>
      </c>
      <c r="C48">
        <v>635</v>
      </c>
      <c r="D48">
        <v>1</v>
      </c>
      <c r="E48" t="s">
        <v>29</v>
      </c>
      <c r="F48" t="s">
        <v>30</v>
      </c>
      <c r="G48" t="str">
        <f>"2026-06-02 23:26:35.656"</f>
        <v>2026-06-02 23:26:35.656</v>
      </c>
      <c r="H48" t="s">
        <v>21</v>
      </c>
      <c r="I48">
        <v>3.91</v>
      </c>
      <c r="J48" t="s">
        <v>36</v>
      </c>
    </row>
    <row r="49" spans="1:10" x14ac:dyDescent="0.25">
      <c r="A49" s="1">
        <v>0</v>
      </c>
      <c r="B49" t="s">
        <v>28</v>
      </c>
      <c r="C49">
        <v>635</v>
      </c>
      <c r="D49">
        <v>1</v>
      </c>
      <c r="E49" t="s">
        <v>29</v>
      </c>
      <c r="F49" t="s">
        <v>30</v>
      </c>
      <c r="G49" t="str">
        <f>"2026-06-02 15:04:00.356"</f>
        <v>2026-06-02 15:04:00.356</v>
      </c>
      <c r="H49" t="s">
        <v>21</v>
      </c>
    </row>
    <row r="50" spans="1:10" x14ac:dyDescent="0.25">
      <c r="A50" s="1">
        <v>1</v>
      </c>
      <c r="B50" t="s">
        <v>31</v>
      </c>
      <c r="C50">
        <v>635</v>
      </c>
      <c r="D50">
        <v>1</v>
      </c>
      <c r="E50" t="s">
        <v>29</v>
      </c>
      <c r="F50" t="s">
        <v>30</v>
      </c>
      <c r="G50" t="str">
        <f>"2026-06-02 14:52:09.356"</f>
        <v>2026-06-02 14:52:09.356</v>
      </c>
      <c r="H50" t="s">
        <v>21</v>
      </c>
      <c r="I50">
        <v>7.47</v>
      </c>
      <c r="J50" t="s">
        <v>32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"2026-06-02 14:04:02.743"</f>
        <v>2026-06-02 14:04:02.743</v>
      </c>
      <c r="H51" t="s">
        <v>21</v>
      </c>
      <c r="I51">
        <v>0</v>
      </c>
      <c r="J51" t="s">
        <v>22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"2026-06-02 13:47:31.778"</f>
        <v>2026-06-02 13:47:31.778</v>
      </c>
      <c r="H52" t="s">
        <v>21</v>
      </c>
    </row>
    <row r="53" spans="1:10" s="3" customFormat="1" x14ac:dyDescent="0.25">
      <c r="A53" s="2">
        <v>4</v>
      </c>
      <c r="B53" s="3" t="s">
        <v>28</v>
      </c>
      <c r="C53" s="3">
        <v>647</v>
      </c>
      <c r="D53" s="3">
        <v>1</v>
      </c>
      <c r="E53" s="3" t="s">
        <v>33</v>
      </c>
      <c r="F53" s="3" t="s">
        <v>34</v>
      </c>
      <c r="G53" s="3" t="str">
        <f>"2026-06-02 09:18:38.662"</f>
        <v>2026-06-02 09:18:38.662</v>
      </c>
      <c r="H53" s="3" t="s">
        <v>21</v>
      </c>
    </row>
    <row r="54" spans="1:10" s="3" customFormat="1" x14ac:dyDescent="0.25">
      <c r="A54" s="2">
        <v>5</v>
      </c>
      <c r="B54" s="3" t="s">
        <v>31</v>
      </c>
      <c r="C54" s="3">
        <v>647</v>
      </c>
      <c r="D54" s="3">
        <v>1</v>
      </c>
      <c r="E54" s="3" t="s">
        <v>33</v>
      </c>
      <c r="F54" s="3" t="s">
        <v>34</v>
      </c>
      <c r="G54" s="3" t="str">
        <f>"2026-06-02 09:18:32.963"</f>
        <v>2026-06-02 09:18:32.963</v>
      </c>
      <c r="H54" s="3" t="s">
        <v>21</v>
      </c>
      <c r="I54" s="3">
        <v>14.39</v>
      </c>
      <c r="J54" s="3" t="s">
        <v>35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"2026-06-01 23:59:07.739"</f>
        <v>2026-06-01 23:59:07.739</v>
      </c>
      <c r="H55" t="s">
        <v>21</v>
      </c>
      <c r="I55">
        <v>0</v>
      </c>
      <c r="J55" t="s">
        <v>22</v>
      </c>
    </row>
    <row r="56" spans="1:10" x14ac:dyDescent="0.25">
      <c r="A56" s="1">
        <v>7</v>
      </c>
      <c r="B56" t="s">
        <v>28</v>
      </c>
      <c r="C56">
        <v>635</v>
      </c>
      <c r="D56">
        <v>1</v>
      </c>
      <c r="E56" t="s">
        <v>29</v>
      </c>
      <c r="F56" t="s">
        <v>30</v>
      </c>
      <c r="G56" t="str">
        <f>"2026-06-01 21:16:16.215"</f>
        <v>2026-06-01 21:16:16.215</v>
      </c>
      <c r="H56" t="s">
        <v>21</v>
      </c>
    </row>
    <row r="57" spans="1:10" x14ac:dyDescent="0.25">
      <c r="A57" s="1">
        <v>8</v>
      </c>
      <c r="B57" t="s">
        <v>31</v>
      </c>
      <c r="C57">
        <v>635</v>
      </c>
      <c r="D57">
        <v>1</v>
      </c>
      <c r="E57" t="s">
        <v>29</v>
      </c>
      <c r="F57" t="s">
        <v>30</v>
      </c>
      <c r="G57" t="str">
        <f>"2026-06-01 21:13:46.215"</f>
        <v>2026-06-01 21:13:46.215</v>
      </c>
      <c r="H57" t="s">
        <v>21</v>
      </c>
      <c r="I57">
        <v>2.65</v>
      </c>
      <c r="J57" t="s">
        <v>32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"2026-06-01 12:36:22.742"</f>
        <v>2026-06-01 12:36:22.742</v>
      </c>
      <c r="H58" t="s">
        <v>21</v>
      </c>
      <c r="I58">
        <v>0</v>
      </c>
      <c r="J58" t="s">
        <v>22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"2026-06-01 10:52:54.738"</f>
        <v>2026-06-01 10:52:54.738</v>
      </c>
      <c r="H59" t="s">
        <v>21</v>
      </c>
      <c r="I59">
        <v>0</v>
      </c>
      <c r="J59" t="s">
        <v>22</v>
      </c>
    </row>
    <row r="60" spans="1:10" x14ac:dyDescent="0.25">
      <c r="A60" s="1">
        <v>1</v>
      </c>
      <c r="B60" t="s">
        <v>28</v>
      </c>
      <c r="C60">
        <v>635</v>
      </c>
      <c r="D60">
        <v>1</v>
      </c>
      <c r="E60" t="s">
        <v>29</v>
      </c>
      <c r="F60" t="s">
        <v>30</v>
      </c>
      <c r="G60" t="str">
        <f>"2026-06-01 08:20:17.300"</f>
        <v>2026-06-01 08:20:17.300</v>
      </c>
      <c r="H60" t="s">
        <v>21</v>
      </c>
    </row>
    <row r="61" spans="1:10" x14ac:dyDescent="0.25">
      <c r="A61" s="1">
        <v>2</v>
      </c>
      <c r="B61" t="s">
        <v>31</v>
      </c>
      <c r="C61">
        <v>635</v>
      </c>
      <c r="D61">
        <v>1</v>
      </c>
      <c r="E61" t="s">
        <v>29</v>
      </c>
      <c r="F61" t="s">
        <v>30</v>
      </c>
      <c r="G61" t="str">
        <f>"2026-06-01 07:54:53.300"</f>
        <v>2026-06-01 07:54:53.300</v>
      </c>
      <c r="H61" t="s">
        <v>21</v>
      </c>
      <c r="I61">
        <v>0.53</v>
      </c>
      <c r="J61" t="s">
        <v>35</v>
      </c>
    </row>
    <row r="62" spans="1:10" x14ac:dyDescent="0.25">
      <c r="A62" s="1">
        <v>3</v>
      </c>
      <c r="B62" t="s">
        <v>28</v>
      </c>
      <c r="C62">
        <v>635</v>
      </c>
      <c r="D62">
        <v>1</v>
      </c>
      <c r="E62" t="s">
        <v>29</v>
      </c>
      <c r="F62" t="s">
        <v>30</v>
      </c>
      <c r="G62" t="str">
        <f>"2026-05-31 15:11:46.200"</f>
        <v>2026-05-31 15:11:46.200</v>
      </c>
      <c r="H62" t="s">
        <v>21</v>
      </c>
    </row>
    <row r="63" spans="1:10" x14ac:dyDescent="0.25">
      <c r="A63" s="1">
        <v>4</v>
      </c>
      <c r="B63" t="s">
        <v>31</v>
      </c>
      <c r="C63">
        <v>635</v>
      </c>
      <c r="D63">
        <v>1</v>
      </c>
      <c r="E63" t="s">
        <v>29</v>
      </c>
      <c r="F63" t="s">
        <v>30</v>
      </c>
      <c r="G63" t="str">
        <f>"2026-05-31 15:06:09.700"</f>
        <v>2026-05-31 15:06:09.700</v>
      </c>
      <c r="H63" t="s">
        <v>21</v>
      </c>
      <c r="I63">
        <v>2.3199999999999998</v>
      </c>
      <c r="J63" t="s">
        <v>32</v>
      </c>
    </row>
    <row r="64" spans="1:10" s="3" customFormat="1" x14ac:dyDescent="0.25">
      <c r="A64" s="2">
        <v>5</v>
      </c>
      <c r="B64" s="3" t="s">
        <v>28</v>
      </c>
      <c r="C64" s="3">
        <v>647</v>
      </c>
      <c r="D64" s="3">
        <v>1</v>
      </c>
      <c r="E64" s="3" t="s">
        <v>33</v>
      </c>
      <c r="F64" s="3" t="s">
        <v>34</v>
      </c>
      <c r="G64" s="3" t="str">
        <f>"2026-05-31 14:59:45.649"</f>
        <v>2026-05-31 14:59:45.649</v>
      </c>
      <c r="H64" s="3" t="s">
        <v>21</v>
      </c>
    </row>
    <row r="65" spans="1:10" s="3" customFormat="1" x14ac:dyDescent="0.25">
      <c r="A65" s="2">
        <v>6</v>
      </c>
      <c r="B65" s="3" t="s">
        <v>31</v>
      </c>
      <c r="C65" s="3">
        <v>647</v>
      </c>
      <c r="D65" s="3">
        <v>1</v>
      </c>
      <c r="E65" s="3" t="s">
        <v>33</v>
      </c>
      <c r="F65" s="3" t="s">
        <v>34</v>
      </c>
      <c r="G65" s="3" t="str">
        <f>"2026-05-31 14:59:42.349"</f>
        <v>2026-05-31 14:59:42.349</v>
      </c>
      <c r="H65" s="3" t="s">
        <v>21</v>
      </c>
      <c r="I65" s="3">
        <v>9.49</v>
      </c>
      <c r="J65" s="3" t="s">
        <v>35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"2026-05-31 13:10:48.727"</f>
        <v>2026-05-31 13:10:48.727</v>
      </c>
      <c r="H66" t="s">
        <v>21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"2026-05-31 11:52:53.737"</f>
        <v>2026-05-31 11:52:53.737</v>
      </c>
      <c r="H67" t="s">
        <v>21</v>
      </c>
      <c r="I67">
        <v>0</v>
      </c>
      <c r="J67" t="s">
        <v>22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"2026-05-31 10:12:39.752"</f>
        <v>2026-05-31 10:12:39.752</v>
      </c>
      <c r="H68" t="s">
        <v>21</v>
      </c>
      <c r="I68">
        <v>0</v>
      </c>
      <c r="J68" t="s">
        <v>22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"2026-05-31 09:35:23.739"</f>
        <v>2026-05-31 09:35:23.739</v>
      </c>
      <c r="H69" t="s">
        <v>21</v>
      </c>
      <c r="I69">
        <v>0</v>
      </c>
      <c r="J69" t="s">
        <v>22</v>
      </c>
    </row>
    <row r="70" spans="1:10" x14ac:dyDescent="0.25">
      <c r="A70" s="1">
        <v>1</v>
      </c>
      <c r="B70" t="s">
        <v>19</v>
      </c>
      <c r="C70">
        <v>706</v>
      </c>
      <c r="D70">
        <v>4</v>
      </c>
      <c r="E70" t="s">
        <v>39</v>
      </c>
      <c r="F70" t="s">
        <v>40</v>
      </c>
      <c r="G70" t="str">
        <f>"2026-05-31 08:39:15.644"</f>
        <v>2026-05-31 08:39:15.644</v>
      </c>
      <c r="H70" t="s">
        <v>21</v>
      </c>
      <c r="I70">
        <v>0</v>
      </c>
      <c r="J70" t="s">
        <v>27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"2026-05-31 08:24:56.744"</f>
        <v>2026-05-31 08:24:56.744</v>
      </c>
      <c r="H71" t="s">
        <v>21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"2026-05-31 08:04:13.719"</f>
        <v>2026-05-31 08:04:13.719</v>
      </c>
      <c r="H72" t="s">
        <v>21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"2026-05-31 07:49:49.731"</f>
        <v>2026-05-31 07:49:49.731</v>
      </c>
      <c r="H73" t="s">
        <v>21</v>
      </c>
      <c r="I73">
        <v>0</v>
      </c>
      <c r="J73" t="s">
        <v>22</v>
      </c>
    </row>
    <row r="74" spans="1:10" x14ac:dyDescent="0.25">
      <c r="A74" s="1">
        <v>5</v>
      </c>
      <c r="B74" t="s">
        <v>28</v>
      </c>
      <c r="C74">
        <v>98</v>
      </c>
      <c r="D74">
        <v>1</v>
      </c>
      <c r="E74" t="s">
        <v>41</v>
      </c>
      <c r="F74" t="s">
        <v>42</v>
      </c>
      <c r="G74" t="str">
        <f>"2026-05-31 07:45:20.549"</f>
        <v>2026-05-31 07:45:20.549</v>
      </c>
      <c r="H74" t="s">
        <v>21</v>
      </c>
    </row>
    <row r="75" spans="1:10" x14ac:dyDescent="0.25">
      <c r="A75" s="1">
        <v>6</v>
      </c>
      <c r="B75" t="s">
        <v>31</v>
      </c>
      <c r="C75">
        <v>98</v>
      </c>
      <c r="D75">
        <v>1</v>
      </c>
      <c r="E75" t="s">
        <v>41</v>
      </c>
      <c r="F75" t="s">
        <v>42</v>
      </c>
      <c r="G75" t="str">
        <f>"2026-05-31 07:45:19.550"</f>
        <v>2026-05-31 07:45:19.550</v>
      </c>
      <c r="H75" t="s">
        <v>21</v>
      </c>
      <c r="I75">
        <v>0</v>
      </c>
      <c r="J75" t="s">
        <v>27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"2026-05-31 07:39:15.728"</f>
        <v>2026-05-31 07:39:15.728</v>
      </c>
      <c r="H76" t="s">
        <v>21</v>
      </c>
    </row>
    <row r="77" spans="1:10" x14ac:dyDescent="0.25">
      <c r="A77" s="1">
        <v>8</v>
      </c>
      <c r="B77" t="s">
        <v>28</v>
      </c>
      <c r="C77">
        <v>61</v>
      </c>
      <c r="D77">
        <v>2</v>
      </c>
      <c r="E77" t="s">
        <v>37</v>
      </c>
      <c r="F77" t="s">
        <v>38</v>
      </c>
      <c r="G77" t="str">
        <f>"2026-05-31 06:31:49.089"</f>
        <v>2026-05-31 06:31:49.089</v>
      </c>
      <c r="H77" t="s">
        <v>21</v>
      </c>
    </row>
    <row r="78" spans="1:10" x14ac:dyDescent="0.25">
      <c r="A78" s="1">
        <v>9</v>
      </c>
      <c r="B78" t="s">
        <v>23</v>
      </c>
      <c r="C78">
        <v>61</v>
      </c>
      <c r="D78">
        <v>2</v>
      </c>
      <c r="E78" t="s">
        <v>37</v>
      </c>
      <c r="F78" t="s">
        <v>38</v>
      </c>
      <c r="G78" t="str">
        <f>"2026-05-31 06:31:31.789"</f>
        <v>2026-05-31 06:31:31.789</v>
      </c>
      <c r="H78" t="s">
        <v>21</v>
      </c>
      <c r="I78">
        <v>29.21</v>
      </c>
      <c r="J78" t="s">
        <v>35</v>
      </c>
    </row>
    <row r="79" spans="1:10" s="3" customFormat="1" x14ac:dyDescent="0.25">
      <c r="A79" s="2">
        <v>0</v>
      </c>
      <c r="B79" s="3" t="s">
        <v>28</v>
      </c>
      <c r="C79" s="3">
        <v>647</v>
      </c>
      <c r="D79" s="3">
        <v>1</v>
      </c>
      <c r="E79" s="3" t="s">
        <v>33</v>
      </c>
      <c r="F79" s="3" t="s">
        <v>34</v>
      </c>
      <c r="G79" s="3" t="str">
        <f>"2026-05-30 19:28:13.349"</f>
        <v>2026-05-30 19:28:13.349</v>
      </c>
      <c r="H79" s="3" t="s">
        <v>21</v>
      </c>
    </row>
    <row r="80" spans="1:10" s="3" customFormat="1" x14ac:dyDescent="0.25">
      <c r="A80" s="2">
        <v>1</v>
      </c>
      <c r="B80" s="3" t="s">
        <v>31</v>
      </c>
      <c r="C80" s="3">
        <v>647</v>
      </c>
      <c r="D80" s="3">
        <v>1</v>
      </c>
      <c r="E80" s="3" t="s">
        <v>33</v>
      </c>
      <c r="F80" s="3" t="s">
        <v>34</v>
      </c>
      <c r="G80" s="3" t="str">
        <f>"2026-05-30 19:28:10.249"</f>
        <v>2026-05-30 19:28:10.249</v>
      </c>
      <c r="H80" s="3" t="s">
        <v>21</v>
      </c>
      <c r="I80" s="3">
        <v>8.4499999999999993</v>
      </c>
      <c r="J80" s="3" t="s">
        <v>35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"2026-05-30 12:58:37.877"</f>
        <v>2026-05-30 12:58:37.877</v>
      </c>
      <c r="H81" t="s">
        <v>21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"2026-05-30 10:27:26.761"</f>
        <v>2026-05-30 10:27:26.761</v>
      </c>
      <c r="H82" t="s">
        <v>21</v>
      </c>
      <c r="I82">
        <v>0</v>
      </c>
      <c r="J82" t="s">
        <v>22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"2026-05-29 16:17:48.732"</f>
        <v>2026-05-29 16:17:48.732</v>
      </c>
      <c r="H83" t="s">
        <v>21</v>
      </c>
      <c r="I83">
        <v>0</v>
      </c>
      <c r="J83" t="s">
        <v>22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"2026-05-29 15:45:56.727"</f>
        <v>2026-05-29 15:45:56.727</v>
      </c>
      <c r="H84" t="s">
        <v>21</v>
      </c>
      <c r="I84">
        <v>0</v>
      </c>
      <c r="J84" t="s">
        <v>22</v>
      </c>
    </row>
    <row r="85" spans="1:10" s="3" customFormat="1" x14ac:dyDescent="0.25">
      <c r="A85" s="2">
        <v>6</v>
      </c>
      <c r="B85" s="3" t="s">
        <v>28</v>
      </c>
      <c r="C85" s="3">
        <v>647</v>
      </c>
      <c r="D85" s="3">
        <v>1</v>
      </c>
      <c r="E85" s="3" t="s">
        <v>33</v>
      </c>
      <c r="F85" s="3" t="s">
        <v>34</v>
      </c>
      <c r="G85" s="3" t="str">
        <f>"2026-05-29 14:05:23.714"</f>
        <v>2026-05-29 14:05:23.714</v>
      </c>
      <c r="H85" s="3" t="s">
        <v>21</v>
      </c>
    </row>
    <row r="86" spans="1:10" s="3" customFormat="1" x14ac:dyDescent="0.25">
      <c r="A86" s="2">
        <v>7</v>
      </c>
      <c r="B86" s="3" t="s">
        <v>31</v>
      </c>
      <c r="C86" s="3">
        <v>647</v>
      </c>
      <c r="D86" s="3">
        <v>1</v>
      </c>
      <c r="E86" s="3" t="s">
        <v>33</v>
      </c>
      <c r="F86" s="3" t="s">
        <v>34</v>
      </c>
      <c r="G86" s="3" t="str">
        <f>"2026-05-29 14:05:12.414"</f>
        <v>2026-05-29 14:05:12.414</v>
      </c>
      <c r="H86" s="3" t="s">
        <v>21</v>
      </c>
      <c r="I86" s="3">
        <v>9.5500000000000007</v>
      </c>
      <c r="J86" s="3" t="s">
        <v>35</v>
      </c>
    </row>
    <row r="87" spans="1:10" s="3" customFormat="1" x14ac:dyDescent="0.25">
      <c r="A87" s="2">
        <v>8</v>
      </c>
      <c r="B87" s="3" t="s">
        <v>28</v>
      </c>
      <c r="C87" s="3">
        <v>647</v>
      </c>
      <c r="D87" s="3">
        <v>1</v>
      </c>
      <c r="E87" s="3" t="s">
        <v>33</v>
      </c>
      <c r="F87" s="3" t="s">
        <v>34</v>
      </c>
      <c r="G87" s="3" t="str">
        <f>"2026-05-29 12:51:07.114"</f>
        <v>2026-05-29 12:51:07.114</v>
      </c>
      <c r="H87" s="3" t="s">
        <v>21</v>
      </c>
    </row>
    <row r="88" spans="1:10" s="3" customFormat="1" x14ac:dyDescent="0.25">
      <c r="A88" s="2">
        <v>9</v>
      </c>
      <c r="B88" s="3" t="s">
        <v>31</v>
      </c>
      <c r="C88" s="3">
        <v>647</v>
      </c>
      <c r="D88" s="3">
        <v>1</v>
      </c>
      <c r="E88" s="3" t="s">
        <v>33</v>
      </c>
      <c r="F88" s="3" t="s">
        <v>34</v>
      </c>
      <c r="G88" s="3" t="str">
        <f>"2026-05-29 12:50:59.614"</f>
        <v>2026-05-29 12:50:59.614</v>
      </c>
      <c r="H88" s="3" t="s">
        <v>21</v>
      </c>
      <c r="I88" s="3">
        <v>26.69</v>
      </c>
      <c r="J88" s="3" t="s">
        <v>35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"2026-05-29 09:31:27.731"</f>
        <v>2026-05-29 09:31:27.731</v>
      </c>
      <c r="H89" t="s">
        <v>21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"2026-05-29 09:11:48.706"</f>
        <v>2026-05-29 09:11:48.706</v>
      </c>
      <c r="H90" t="s">
        <v>21</v>
      </c>
    </row>
    <row r="91" spans="1:10" x14ac:dyDescent="0.25">
      <c r="A91" s="1">
        <v>2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"2026-05-29 08:28:00.728"</f>
        <v>2026-05-29 08:28:00.728</v>
      </c>
      <c r="H91" t="s">
        <v>21</v>
      </c>
      <c r="I91">
        <v>0</v>
      </c>
      <c r="J91" t="s">
        <v>22</v>
      </c>
    </row>
    <row r="92" spans="1:10" x14ac:dyDescent="0.25">
      <c r="A92" s="1">
        <v>3</v>
      </c>
      <c r="B92" t="s">
        <v>28</v>
      </c>
      <c r="C92">
        <v>619</v>
      </c>
      <c r="D92">
        <v>1</v>
      </c>
      <c r="E92" t="s">
        <v>43</v>
      </c>
      <c r="F92" t="s">
        <v>30</v>
      </c>
      <c r="G92" t="str">
        <f>"2026-05-29 08:01:59.333"</f>
        <v>2026-05-29 08:01:59.333</v>
      </c>
      <c r="H92" t="s">
        <v>44</v>
      </c>
    </row>
    <row r="93" spans="1:10" x14ac:dyDescent="0.25">
      <c r="A93" s="1">
        <v>4</v>
      </c>
      <c r="B93" t="s">
        <v>31</v>
      </c>
      <c r="C93">
        <v>619</v>
      </c>
      <c r="D93">
        <v>1</v>
      </c>
      <c r="E93" t="s">
        <v>43</v>
      </c>
      <c r="F93" t="s">
        <v>30</v>
      </c>
      <c r="G93" t="str">
        <f>"2026-05-29 08:00:50.285"</f>
        <v>2026-05-29 08:00:50.285</v>
      </c>
      <c r="H93" t="s">
        <v>44</v>
      </c>
      <c r="I93">
        <v>0</v>
      </c>
      <c r="J93" t="s">
        <v>27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"2026-05-29 08:00:20.824"</f>
        <v>2026-05-29 08:00:20.824</v>
      </c>
      <c r="H94" t="s">
        <v>21</v>
      </c>
      <c r="I94">
        <v>0</v>
      </c>
      <c r="J94" t="s">
        <v>22</v>
      </c>
    </row>
    <row r="95" spans="1:10" x14ac:dyDescent="0.25">
      <c r="A95" s="1">
        <v>6</v>
      </c>
      <c r="B95" t="s">
        <v>28</v>
      </c>
      <c r="C95">
        <v>619</v>
      </c>
      <c r="D95">
        <v>1</v>
      </c>
      <c r="E95" t="s">
        <v>43</v>
      </c>
      <c r="F95" t="s">
        <v>30</v>
      </c>
      <c r="G95" t="str">
        <f>"2026-05-29 07:57:28.999"</f>
        <v>2026-05-29 07:57:28.999</v>
      </c>
      <c r="H95" t="s">
        <v>44</v>
      </c>
    </row>
    <row r="96" spans="1:10" x14ac:dyDescent="0.25">
      <c r="A96" s="1">
        <v>7</v>
      </c>
      <c r="B96" t="s">
        <v>31</v>
      </c>
      <c r="C96">
        <v>619</v>
      </c>
      <c r="D96">
        <v>1</v>
      </c>
      <c r="E96" t="s">
        <v>43</v>
      </c>
      <c r="F96" t="s">
        <v>30</v>
      </c>
      <c r="G96" t="str">
        <f>"2026-05-29 07:56:20.499"</f>
        <v>2026-05-29 07:56:20.499</v>
      </c>
      <c r="H96" t="s">
        <v>44</v>
      </c>
      <c r="I96">
        <v>0</v>
      </c>
      <c r="J96" t="s">
        <v>27</v>
      </c>
    </row>
    <row r="97" spans="1:10" x14ac:dyDescent="0.25">
      <c r="A97" s="1">
        <v>8</v>
      </c>
      <c r="B97" t="s">
        <v>19</v>
      </c>
      <c r="C97">
        <v>706</v>
      </c>
      <c r="D97">
        <v>4</v>
      </c>
      <c r="E97" t="s">
        <v>39</v>
      </c>
      <c r="F97" t="s">
        <v>40</v>
      </c>
      <c r="G97" t="str">
        <f>"2026-05-29 07:56:10.768"</f>
        <v>2026-05-29 07:56:10.768</v>
      </c>
      <c r="H97" t="s">
        <v>21</v>
      </c>
      <c r="I97">
        <v>0</v>
      </c>
      <c r="J97" t="s">
        <v>27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"2026-05-29 07:55:17.728"</f>
        <v>2026-05-29 07:55:17.728</v>
      </c>
      <c r="H98" t="s">
        <v>21</v>
      </c>
      <c r="I98">
        <v>0</v>
      </c>
      <c r="J98" t="s">
        <v>22</v>
      </c>
    </row>
    <row r="99" spans="1:10" x14ac:dyDescent="0.25">
      <c r="A99" s="1">
        <v>0</v>
      </c>
      <c r="B99" t="s">
        <v>28</v>
      </c>
      <c r="C99">
        <v>619</v>
      </c>
      <c r="D99">
        <v>1</v>
      </c>
      <c r="E99" t="s">
        <v>43</v>
      </c>
      <c r="F99" t="s">
        <v>30</v>
      </c>
      <c r="G99" t="str">
        <f>"2026-05-29 07:52:47.836"</f>
        <v>2026-05-29 07:52:47.836</v>
      </c>
      <c r="H99" t="s">
        <v>44</v>
      </c>
    </row>
    <row r="100" spans="1:10" x14ac:dyDescent="0.25">
      <c r="A100" s="1">
        <v>1</v>
      </c>
      <c r="B100" t="s">
        <v>31</v>
      </c>
      <c r="C100">
        <v>619</v>
      </c>
      <c r="D100">
        <v>1</v>
      </c>
      <c r="E100" t="s">
        <v>43</v>
      </c>
      <c r="F100" t="s">
        <v>30</v>
      </c>
      <c r="G100" t="str">
        <f>"2026-05-29 07:51:49.588"</f>
        <v>2026-05-29 07:51:49.588</v>
      </c>
      <c r="H100" t="s">
        <v>44</v>
      </c>
      <c r="I100">
        <v>0</v>
      </c>
      <c r="J100" t="s">
        <v>36</v>
      </c>
    </row>
    <row r="101" spans="1:10" s="3" customFormat="1" x14ac:dyDescent="0.25">
      <c r="A101" s="2">
        <v>2</v>
      </c>
      <c r="B101" s="3" t="s">
        <v>28</v>
      </c>
      <c r="C101" s="3">
        <v>647</v>
      </c>
      <c r="D101" s="3">
        <v>1</v>
      </c>
      <c r="E101" s="3" t="s">
        <v>33</v>
      </c>
      <c r="F101" s="3" t="s">
        <v>34</v>
      </c>
      <c r="G101" s="3" t="str">
        <f>"2026-05-29 02:33:41.136"</f>
        <v>2026-05-29 02:33:41.136</v>
      </c>
      <c r="H101" s="3" t="s">
        <v>21</v>
      </c>
    </row>
    <row r="102" spans="1:10" s="3" customFormat="1" x14ac:dyDescent="0.25">
      <c r="A102" s="2">
        <v>3</v>
      </c>
      <c r="B102" s="3" t="s">
        <v>31</v>
      </c>
      <c r="C102" s="3">
        <v>647</v>
      </c>
      <c r="D102" s="3">
        <v>1</v>
      </c>
      <c r="E102" s="3" t="s">
        <v>33</v>
      </c>
      <c r="F102" s="3" t="s">
        <v>34</v>
      </c>
      <c r="G102" s="3" t="str">
        <f>"2026-05-29 02:33:38.036"</f>
        <v>2026-05-29 02:33:38.036</v>
      </c>
      <c r="H102" s="3" t="s">
        <v>21</v>
      </c>
      <c r="I102" s="3">
        <v>24.05</v>
      </c>
      <c r="J102" s="3" t="s">
        <v>35</v>
      </c>
    </row>
    <row r="103" spans="1:10" x14ac:dyDescent="0.25">
      <c r="A103" s="1">
        <v>4</v>
      </c>
      <c r="B103" t="s">
        <v>28</v>
      </c>
      <c r="C103">
        <v>635</v>
      </c>
      <c r="D103">
        <v>1</v>
      </c>
      <c r="E103" t="s">
        <v>29</v>
      </c>
      <c r="F103" t="s">
        <v>30</v>
      </c>
      <c r="G103" t="str">
        <f>"2026-05-28 16:08:44.088"</f>
        <v>2026-05-28 16:08:44.088</v>
      </c>
      <c r="H103" t="s">
        <v>21</v>
      </c>
    </row>
    <row r="104" spans="1:10" x14ac:dyDescent="0.25">
      <c r="A104" s="1">
        <v>5</v>
      </c>
      <c r="B104" t="s">
        <v>31</v>
      </c>
      <c r="C104">
        <v>635</v>
      </c>
      <c r="D104">
        <v>1</v>
      </c>
      <c r="E104" t="s">
        <v>29</v>
      </c>
      <c r="F104" t="s">
        <v>30</v>
      </c>
      <c r="G104" t="str">
        <f>"2026-05-28 16:04:58.088"</f>
        <v>2026-05-28 16:04:58.088</v>
      </c>
      <c r="H104" t="s">
        <v>21</v>
      </c>
      <c r="I104">
        <v>1.61</v>
      </c>
      <c r="J104" t="s">
        <v>35</v>
      </c>
    </row>
    <row r="105" spans="1:10" x14ac:dyDescent="0.25">
      <c r="A105" s="1">
        <v>6</v>
      </c>
      <c r="B105" t="s">
        <v>28</v>
      </c>
      <c r="C105">
        <v>635</v>
      </c>
      <c r="D105">
        <v>1</v>
      </c>
      <c r="E105" t="s">
        <v>29</v>
      </c>
      <c r="F105" t="s">
        <v>30</v>
      </c>
      <c r="G105" t="str">
        <f>"2026-05-28 15:55:47.188"</f>
        <v>2026-05-28 15:55:47.188</v>
      </c>
      <c r="H105" t="s">
        <v>21</v>
      </c>
    </row>
    <row r="106" spans="1:10" x14ac:dyDescent="0.25">
      <c r="A106" s="1">
        <v>7</v>
      </c>
      <c r="B106" t="s">
        <v>31</v>
      </c>
      <c r="C106">
        <v>635</v>
      </c>
      <c r="D106">
        <v>1</v>
      </c>
      <c r="E106" t="s">
        <v>29</v>
      </c>
      <c r="F106" t="s">
        <v>30</v>
      </c>
      <c r="G106" t="str">
        <f>"2026-05-28 15:32:34.188"</f>
        <v>2026-05-28 15:32:34.188</v>
      </c>
      <c r="H106" t="s">
        <v>21</v>
      </c>
      <c r="I106">
        <v>5.96</v>
      </c>
      <c r="J106" t="s">
        <v>32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"2026-05-28 13:31:46.728"</f>
        <v>2026-05-28 13:31:46.728</v>
      </c>
      <c r="H107" t="s">
        <v>21</v>
      </c>
      <c r="I107">
        <v>0</v>
      </c>
      <c r="J107" t="s">
        <v>22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"2026-05-28 12:46:53.758"</f>
        <v>2026-05-28 12:46:53.758</v>
      </c>
      <c r="H108" t="s">
        <v>21</v>
      </c>
      <c r="I108">
        <v>0</v>
      </c>
      <c r="J108" t="s">
        <v>22</v>
      </c>
    </row>
    <row r="109" spans="1:10" s="3" customFormat="1" x14ac:dyDescent="0.25">
      <c r="A109" s="2">
        <v>0</v>
      </c>
      <c r="B109" s="3" t="s">
        <v>28</v>
      </c>
      <c r="C109" s="3">
        <v>647</v>
      </c>
      <c r="D109" s="3">
        <v>1</v>
      </c>
      <c r="E109" s="3" t="s">
        <v>33</v>
      </c>
      <c r="F109" s="3" t="s">
        <v>34</v>
      </c>
      <c r="G109" s="3" t="str">
        <f>"2026-05-28 11:00:09.332"</f>
        <v>2026-05-28 11:00:09.332</v>
      </c>
      <c r="H109" s="3" t="s">
        <v>21</v>
      </c>
    </row>
    <row r="110" spans="1:10" s="3" customFormat="1" x14ac:dyDescent="0.25">
      <c r="A110" s="2">
        <v>1</v>
      </c>
      <c r="B110" s="3" t="s">
        <v>31</v>
      </c>
      <c r="C110" s="3">
        <v>647</v>
      </c>
      <c r="D110" s="3">
        <v>1</v>
      </c>
      <c r="E110" s="3" t="s">
        <v>33</v>
      </c>
      <c r="F110" s="3" t="s">
        <v>34</v>
      </c>
      <c r="G110" s="3" t="str">
        <f>"2026-05-28 11:00:02.632"</f>
        <v>2026-05-28 11:00:02.632</v>
      </c>
      <c r="H110" s="3" t="s">
        <v>21</v>
      </c>
      <c r="I110" s="3">
        <v>16.77</v>
      </c>
      <c r="J110" s="3" t="s">
        <v>35</v>
      </c>
    </row>
    <row r="111" spans="1:10" s="3" customFormat="1" x14ac:dyDescent="0.25">
      <c r="A111" s="2">
        <v>2</v>
      </c>
      <c r="B111" s="3" t="s">
        <v>28</v>
      </c>
      <c r="C111" s="3">
        <v>647</v>
      </c>
      <c r="D111" s="3">
        <v>1</v>
      </c>
      <c r="E111" s="3" t="s">
        <v>33</v>
      </c>
      <c r="F111" s="3" t="s">
        <v>34</v>
      </c>
      <c r="G111" s="3" t="str">
        <f>"2026-05-28 10:59:51.132"</f>
        <v>2026-05-28 10:59:51.132</v>
      </c>
      <c r="H111" s="3" t="s">
        <v>21</v>
      </c>
    </row>
    <row r="112" spans="1:10" s="3" customFormat="1" x14ac:dyDescent="0.25">
      <c r="A112" s="2">
        <v>3</v>
      </c>
      <c r="B112" s="3" t="s">
        <v>31</v>
      </c>
      <c r="C112" s="3">
        <v>647</v>
      </c>
      <c r="D112" s="3">
        <v>1</v>
      </c>
      <c r="E112" s="3" t="s">
        <v>33</v>
      </c>
      <c r="F112" s="3" t="s">
        <v>34</v>
      </c>
      <c r="G112" s="3" t="str">
        <f>"2026-05-28 10:59:48.532"</f>
        <v>2026-05-28 10:59:48.532</v>
      </c>
      <c r="H112" s="3" t="s">
        <v>21</v>
      </c>
      <c r="I112" s="3">
        <v>8.17</v>
      </c>
      <c r="J112" s="3" t="s">
        <v>35</v>
      </c>
    </row>
    <row r="113" spans="1:10" s="3" customFormat="1" x14ac:dyDescent="0.25">
      <c r="A113" s="2">
        <v>4</v>
      </c>
      <c r="B113" s="3" t="s">
        <v>28</v>
      </c>
      <c r="C113" s="3">
        <v>647</v>
      </c>
      <c r="D113" s="3">
        <v>1</v>
      </c>
      <c r="E113" s="3" t="s">
        <v>33</v>
      </c>
      <c r="F113" s="3" t="s">
        <v>34</v>
      </c>
      <c r="G113" s="3" t="str">
        <f>"2026-05-28 10:59:07.332"</f>
        <v>2026-05-28 10:59:07.332</v>
      </c>
      <c r="H113" s="3" t="s">
        <v>21</v>
      </c>
    </row>
    <row r="114" spans="1:10" s="3" customFormat="1" x14ac:dyDescent="0.25">
      <c r="A114" s="2">
        <v>5</v>
      </c>
      <c r="B114" s="3" t="s">
        <v>31</v>
      </c>
      <c r="C114" s="3">
        <v>647</v>
      </c>
      <c r="D114" s="3">
        <v>1</v>
      </c>
      <c r="E114" s="3" t="s">
        <v>33</v>
      </c>
      <c r="F114" s="3" t="s">
        <v>34</v>
      </c>
      <c r="G114" s="3" t="str">
        <f>"2026-05-28 10:58:55.832"</f>
        <v>2026-05-28 10:58:55.832</v>
      </c>
      <c r="H114" s="3" t="s">
        <v>21</v>
      </c>
      <c r="I114" s="3">
        <v>14.21</v>
      </c>
      <c r="J114" s="3" t="s">
        <v>35</v>
      </c>
    </row>
    <row r="115" spans="1:10" s="3" customFormat="1" x14ac:dyDescent="0.25">
      <c r="A115" s="2">
        <v>6</v>
      </c>
      <c r="B115" s="3" t="s">
        <v>28</v>
      </c>
      <c r="C115" s="3">
        <v>647</v>
      </c>
      <c r="D115" s="3">
        <v>1</v>
      </c>
      <c r="E115" s="3" t="s">
        <v>33</v>
      </c>
      <c r="F115" s="3" t="s">
        <v>34</v>
      </c>
      <c r="G115" s="3" t="str">
        <f>"2026-05-28 10:11:56.232"</f>
        <v>2026-05-28 10:11:56.232</v>
      </c>
      <c r="H115" s="3" t="s">
        <v>21</v>
      </c>
    </row>
    <row r="116" spans="1:10" s="3" customFormat="1" x14ac:dyDescent="0.25">
      <c r="A116" s="2">
        <v>7</v>
      </c>
      <c r="B116" s="3" t="s">
        <v>31</v>
      </c>
      <c r="C116" s="3">
        <v>647</v>
      </c>
      <c r="D116" s="3">
        <v>1</v>
      </c>
      <c r="E116" s="3" t="s">
        <v>33</v>
      </c>
      <c r="F116" s="3" t="s">
        <v>34</v>
      </c>
      <c r="G116" s="3" t="str">
        <f>"2026-05-28 10:11:54.932"</f>
        <v>2026-05-28 10:11:54.932</v>
      </c>
      <c r="H116" s="3" t="s">
        <v>21</v>
      </c>
      <c r="I116" s="3">
        <v>9.82</v>
      </c>
      <c r="J116" s="3" t="s">
        <v>35</v>
      </c>
    </row>
    <row r="117" spans="1:10" s="3" customFormat="1" x14ac:dyDescent="0.25">
      <c r="A117" s="2">
        <v>8</v>
      </c>
      <c r="B117" s="3" t="s">
        <v>28</v>
      </c>
      <c r="C117" s="3">
        <v>647</v>
      </c>
      <c r="D117" s="3">
        <v>1</v>
      </c>
      <c r="E117" s="3" t="s">
        <v>33</v>
      </c>
      <c r="F117" s="3" t="s">
        <v>34</v>
      </c>
      <c r="G117" s="3" t="str">
        <f>"2026-05-28 10:11:46.232"</f>
        <v>2026-05-28 10:11:46.232</v>
      </c>
      <c r="H117" s="3" t="s">
        <v>21</v>
      </c>
    </row>
    <row r="118" spans="1:10" s="3" customFormat="1" x14ac:dyDescent="0.25">
      <c r="A118" s="2">
        <v>9</v>
      </c>
      <c r="B118" s="3" t="s">
        <v>31</v>
      </c>
      <c r="C118" s="3">
        <v>647</v>
      </c>
      <c r="D118" s="3">
        <v>1</v>
      </c>
      <c r="E118" s="3" t="s">
        <v>33</v>
      </c>
      <c r="F118" s="3" t="s">
        <v>34</v>
      </c>
      <c r="G118" s="3" t="str">
        <f>"2026-05-28 10:11:41.932"</f>
        <v>2026-05-28 10:11:41.932</v>
      </c>
      <c r="H118" s="3" t="s">
        <v>21</v>
      </c>
      <c r="I118" s="3">
        <v>9.92</v>
      </c>
      <c r="J118" s="3" t="s">
        <v>35</v>
      </c>
    </row>
    <row r="119" spans="1:10" x14ac:dyDescent="0.25">
      <c r="A119" s="1">
        <v>10</v>
      </c>
      <c r="B119" t="s">
        <v>28</v>
      </c>
      <c r="C119">
        <v>635</v>
      </c>
      <c r="D119">
        <v>1</v>
      </c>
      <c r="E119" t="s">
        <v>29</v>
      </c>
      <c r="F119" t="s">
        <v>30</v>
      </c>
      <c r="G119" t="str">
        <f>"2026-05-28 03:38:01.531"</f>
        <v>2026-05-28 03:38:01.531</v>
      </c>
      <c r="H119" t="s">
        <v>21</v>
      </c>
    </row>
    <row r="120" spans="1:10" x14ac:dyDescent="0.25">
      <c r="A120" s="1">
        <v>11</v>
      </c>
      <c r="B120" t="s">
        <v>31</v>
      </c>
      <c r="C120">
        <v>635</v>
      </c>
      <c r="D120">
        <v>1</v>
      </c>
      <c r="E120" t="s">
        <v>29</v>
      </c>
      <c r="F120" t="s">
        <v>30</v>
      </c>
      <c r="G120" t="str">
        <f>"2026-05-28 03:35:07.031"</f>
        <v>2026-05-28 03:35:07.031</v>
      </c>
      <c r="H120" t="s">
        <v>21</v>
      </c>
      <c r="I120">
        <v>1.72</v>
      </c>
      <c r="J120" t="s">
        <v>32</v>
      </c>
    </row>
    <row r="121" spans="1:10" x14ac:dyDescent="0.25">
      <c r="A121" s="1">
        <v>12</v>
      </c>
      <c r="B121" t="s">
        <v>28</v>
      </c>
      <c r="C121">
        <v>635</v>
      </c>
      <c r="D121">
        <v>1</v>
      </c>
      <c r="E121" t="s">
        <v>29</v>
      </c>
      <c r="F121" t="s">
        <v>30</v>
      </c>
      <c r="G121" t="str">
        <f>"2026-05-27 16:46:58.531"</f>
        <v>2026-05-27 16:46:58.531</v>
      </c>
      <c r="H121" t="s">
        <v>21</v>
      </c>
    </row>
    <row r="122" spans="1:10" x14ac:dyDescent="0.25">
      <c r="A122" s="1">
        <v>13</v>
      </c>
      <c r="B122" t="s">
        <v>31</v>
      </c>
      <c r="C122">
        <v>635</v>
      </c>
      <c r="D122">
        <v>1</v>
      </c>
      <c r="E122" t="s">
        <v>29</v>
      </c>
      <c r="F122" t="s">
        <v>30</v>
      </c>
      <c r="G122" t="str">
        <f>"2026-05-27 16:44:15.531"</f>
        <v>2026-05-27 16:44:15.531</v>
      </c>
      <c r="H122" t="s">
        <v>21</v>
      </c>
      <c r="I122">
        <v>1.47</v>
      </c>
      <c r="J122" t="s">
        <v>35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"2026-05-27 13:21:02.711"</f>
        <v>2026-05-27 13:21:02.711</v>
      </c>
      <c r="H123" t="s">
        <v>21</v>
      </c>
      <c r="I123">
        <v>0</v>
      </c>
      <c r="J123" t="s">
        <v>22</v>
      </c>
    </row>
    <row r="124" spans="1:10" x14ac:dyDescent="0.25">
      <c r="A124" s="1">
        <v>15</v>
      </c>
      <c r="B124" t="s">
        <v>45</v>
      </c>
      <c r="C124">
        <v>86</v>
      </c>
      <c r="D124">
        <v>17</v>
      </c>
      <c r="E124" t="s">
        <v>46</v>
      </c>
      <c r="F124" t="s">
        <v>47</v>
      </c>
      <c r="G124" t="str">
        <f>"2026-05-27 11:21:20.417"</f>
        <v>2026-05-27 11:21:20.417</v>
      </c>
      <c r="H124" t="s">
        <v>21</v>
      </c>
    </row>
    <row r="125" spans="1:10" x14ac:dyDescent="0.25">
      <c r="A125" s="1">
        <v>16</v>
      </c>
      <c r="B125" t="s">
        <v>23</v>
      </c>
      <c r="C125">
        <v>86</v>
      </c>
      <c r="D125">
        <v>17</v>
      </c>
      <c r="E125" t="s">
        <v>46</v>
      </c>
      <c r="F125" t="s">
        <v>47</v>
      </c>
      <c r="G125" t="str">
        <f>"2026-05-27 11:20:50.358"</f>
        <v>2026-05-27 11:20:50.358</v>
      </c>
      <c r="H125" t="s">
        <v>21</v>
      </c>
      <c r="I125">
        <v>-0.68</v>
      </c>
      <c r="J125" t="s">
        <v>27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"2026-05-27 11:20:42.717"</f>
        <v>2026-05-27 11:20:42.717</v>
      </c>
      <c r="H126" t="s">
        <v>21</v>
      </c>
      <c r="I126">
        <v>0</v>
      </c>
      <c r="J126" t="s">
        <v>22</v>
      </c>
    </row>
    <row r="127" spans="1:10" x14ac:dyDescent="0.25">
      <c r="A127" s="1">
        <v>18</v>
      </c>
      <c r="B127" t="s">
        <v>28</v>
      </c>
      <c r="C127">
        <v>61</v>
      </c>
      <c r="D127">
        <v>2</v>
      </c>
      <c r="E127" t="s">
        <v>37</v>
      </c>
      <c r="F127" t="s">
        <v>38</v>
      </c>
      <c r="G127" t="str">
        <f>"2026-05-27 06:02:54.134"</f>
        <v>2026-05-27 06:02:54.134</v>
      </c>
      <c r="H127" t="s">
        <v>21</v>
      </c>
    </row>
    <row r="128" spans="1:10" x14ac:dyDescent="0.25">
      <c r="A128" s="1">
        <v>19</v>
      </c>
      <c r="B128" t="s">
        <v>23</v>
      </c>
      <c r="C128">
        <v>61</v>
      </c>
      <c r="D128">
        <v>2</v>
      </c>
      <c r="E128" t="s">
        <v>37</v>
      </c>
      <c r="F128" t="s">
        <v>38</v>
      </c>
      <c r="G128" t="str">
        <f>"2026-05-27 06:02:33.834"</f>
        <v>2026-05-27 06:02:33.834</v>
      </c>
      <c r="H128" t="s">
        <v>21</v>
      </c>
      <c r="I128">
        <v>29.79</v>
      </c>
      <c r="J128" t="s">
        <v>35</v>
      </c>
    </row>
    <row r="129" spans="1:10" x14ac:dyDescent="0.25">
      <c r="A129" s="1">
        <v>20</v>
      </c>
      <c r="B129" t="s">
        <v>28</v>
      </c>
      <c r="C129">
        <v>61</v>
      </c>
      <c r="D129">
        <v>2</v>
      </c>
      <c r="E129" t="s">
        <v>37</v>
      </c>
      <c r="F129" t="s">
        <v>38</v>
      </c>
      <c r="G129" t="str">
        <f>"2026-05-27 02:18:34.034"</f>
        <v>2026-05-27 02:18:34.034</v>
      </c>
      <c r="H129" t="s">
        <v>21</v>
      </c>
    </row>
    <row r="130" spans="1:10" x14ac:dyDescent="0.25">
      <c r="A130" s="1">
        <v>21</v>
      </c>
      <c r="B130" t="s">
        <v>23</v>
      </c>
      <c r="C130">
        <v>61</v>
      </c>
      <c r="D130">
        <v>2</v>
      </c>
      <c r="E130" t="s">
        <v>37</v>
      </c>
      <c r="F130" t="s">
        <v>38</v>
      </c>
      <c r="G130" t="str">
        <f>"2026-05-27 02:18:16.434"</f>
        <v>2026-05-27 02:18:16.434</v>
      </c>
      <c r="H130" t="s">
        <v>21</v>
      </c>
      <c r="I130">
        <v>30.81</v>
      </c>
      <c r="J130" t="s">
        <v>35</v>
      </c>
    </row>
    <row r="131" spans="1:10" x14ac:dyDescent="0.25">
      <c r="A131" s="1">
        <v>22</v>
      </c>
      <c r="B131" t="s">
        <v>28</v>
      </c>
      <c r="C131">
        <v>635</v>
      </c>
      <c r="D131">
        <v>1</v>
      </c>
      <c r="E131" t="s">
        <v>29</v>
      </c>
      <c r="F131" t="s">
        <v>30</v>
      </c>
      <c r="G131" t="str">
        <f>"2026-05-26 22:38:04.673"</f>
        <v>2026-05-26 22:38:04.673</v>
      </c>
      <c r="H131" t="s">
        <v>21</v>
      </c>
    </row>
    <row r="132" spans="1:10" x14ac:dyDescent="0.25">
      <c r="A132" s="1">
        <v>23</v>
      </c>
      <c r="B132" t="s">
        <v>31</v>
      </c>
      <c r="C132">
        <v>635</v>
      </c>
      <c r="D132">
        <v>1</v>
      </c>
      <c r="E132" t="s">
        <v>29</v>
      </c>
      <c r="F132" t="s">
        <v>30</v>
      </c>
      <c r="G132" t="str">
        <f>"2026-05-26 22:35:46.173"</f>
        <v>2026-05-26 22:35:46.173</v>
      </c>
      <c r="H132" t="s">
        <v>21</v>
      </c>
      <c r="I132">
        <v>2.75</v>
      </c>
      <c r="J132" t="s">
        <v>35</v>
      </c>
    </row>
    <row r="133" spans="1:10" x14ac:dyDescent="0.25">
      <c r="A133" s="1">
        <v>24</v>
      </c>
      <c r="B133" t="s">
        <v>28</v>
      </c>
      <c r="C133">
        <v>619</v>
      </c>
      <c r="D133">
        <v>1</v>
      </c>
      <c r="E133" t="s">
        <v>43</v>
      </c>
      <c r="F133" t="s">
        <v>30</v>
      </c>
      <c r="G133" t="str">
        <f>"2026-05-26 13:38:34.721"</f>
        <v>2026-05-26 13:38:34.721</v>
      </c>
      <c r="H133" t="s">
        <v>44</v>
      </c>
    </row>
    <row r="134" spans="1:10" x14ac:dyDescent="0.25">
      <c r="A134" s="1">
        <v>25</v>
      </c>
      <c r="B134" t="s">
        <v>31</v>
      </c>
      <c r="C134">
        <v>619</v>
      </c>
      <c r="D134">
        <v>1</v>
      </c>
      <c r="E134" t="s">
        <v>43</v>
      </c>
      <c r="F134" t="s">
        <v>30</v>
      </c>
      <c r="G134" t="str">
        <f>"2026-05-26 13:38:24.921"</f>
        <v>2026-05-26 13:38:24.921</v>
      </c>
      <c r="H134" t="s">
        <v>44</v>
      </c>
      <c r="I134">
        <v>0</v>
      </c>
      <c r="J134" t="s">
        <v>27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"2026-05-26 13:38:01.701"</f>
        <v>2026-05-26 13:38:01.701</v>
      </c>
      <c r="H135" t="s">
        <v>21</v>
      </c>
      <c r="I135">
        <v>0</v>
      </c>
      <c r="J135" t="s">
        <v>22</v>
      </c>
    </row>
    <row r="136" spans="1:10" x14ac:dyDescent="0.25">
      <c r="A136" s="1">
        <v>27</v>
      </c>
      <c r="B136" t="s">
        <v>19</v>
      </c>
      <c r="C136">
        <v>706</v>
      </c>
      <c r="D136">
        <v>2</v>
      </c>
      <c r="E136" t="s">
        <v>39</v>
      </c>
      <c r="F136" t="s">
        <v>48</v>
      </c>
      <c r="G136" t="str">
        <f>"2026-05-26 10:37:12.699"</f>
        <v>2026-05-26 10:37:12.699</v>
      </c>
      <c r="H136" t="s">
        <v>21</v>
      </c>
      <c r="I136">
        <v>0</v>
      </c>
      <c r="J136" t="s">
        <v>27</v>
      </c>
    </row>
    <row r="137" spans="1:10" x14ac:dyDescent="0.25">
      <c r="A137" s="1">
        <v>28</v>
      </c>
      <c r="B137" t="s">
        <v>28</v>
      </c>
      <c r="C137">
        <v>61</v>
      </c>
      <c r="D137">
        <v>2</v>
      </c>
      <c r="E137" t="s">
        <v>37</v>
      </c>
      <c r="F137" t="s">
        <v>38</v>
      </c>
      <c r="G137" t="str">
        <f>"2026-05-26 07:27:48.669"</f>
        <v>2026-05-26 07:27:48.669</v>
      </c>
      <c r="H137" t="s">
        <v>21</v>
      </c>
    </row>
    <row r="138" spans="1:10" x14ac:dyDescent="0.25">
      <c r="A138" s="1">
        <v>29</v>
      </c>
      <c r="B138" t="s">
        <v>23</v>
      </c>
      <c r="C138">
        <v>61</v>
      </c>
      <c r="D138">
        <v>2</v>
      </c>
      <c r="E138" t="s">
        <v>37</v>
      </c>
      <c r="F138" t="s">
        <v>38</v>
      </c>
      <c r="G138" t="str">
        <f>"2026-05-26 07:27:36.470"</f>
        <v>2026-05-26 07:27:36.470</v>
      </c>
      <c r="H138" t="s">
        <v>21</v>
      </c>
      <c r="I138">
        <v>29.37</v>
      </c>
      <c r="J138" t="s">
        <v>35</v>
      </c>
    </row>
    <row r="139" spans="1:10" x14ac:dyDescent="0.25">
      <c r="A139" s="1">
        <v>30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"2026-05-26 00:20:50.839"</f>
        <v>2026-05-26 00:20:50.839</v>
      </c>
      <c r="H139" t="s">
        <v>21</v>
      </c>
    </row>
    <row r="140" spans="1:10" x14ac:dyDescent="0.25">
      <c r="A140" s="1">
        <v>31</v>
      </c>
      <c r="B140" t="s">
        <v>28</v>
      </c>
      <c r="C140">
        <v>635</v>
      </c>
      <c r="D140">
        <v>1</v>
      </c>
      <c r="E140" t="s">
        <v>29</v>
      </c>
      <c r="F140" t="s">
        <v>30</v>
      </c>
      <c r="G140" t="str">
        <f>"2026-05-25 14:11:01.561"</f>
        <v>2026-05-25 14:11:01.561</v>
      </c>
      <c r="H140" t="s">
        <v>21</v>
      </c>
    </row>
    <row r="141" spans="1:10" x14ac:dyDescent="0.25">
      <c r="A141" s="1">
        <v>32</v>
      </c>
      <c r="B141" t="s">
        <v>31</v>
      </c>
      <c r="C141">
        <v>635</v>
      </c>
      <c r="D141">
        <v>1</v>
      </c>
      <c r="E141" t="s">
        <v>29</v>
      </c>
      <c r="F141" t="s">
        <v>30</v>
      </c>
      <c r="G141" t="str">
        <f>"2026-05-25 13:36:08.561"</f>
        <v>2026-05-25 13:36:08.561</v>
      </c>
      <c r="H141" t="s">
        <v>21</v>
      </c>
      <c r="I141">
        <v>3.65</v>
      </c>
      <c r="J141" t="s">
        <v>32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"2026-05-25 11:08:21.776"</f>
        <v>2026-05-25 11:08:21.776</v>
      </c>
      <c r="H142" t="s">
        <v>21</v>
      </c>
    </row>
    <row r="143" spans="1:10" x14ac:dyDescent="0.25">
      <c r="A143" s="1">
        <v>34</v>
      </c>
      <c r="B143" t="s">
        <v>19</v>
      </c>
      <c r="C143">
        <v>706</v>
      </c>
      <c r="D143">
        <v>4</v>
      </c>
      <c r="E143" t="s">
        <v>39</v>
      </c>
      <c r="F143" t="s">
        <v>40</v>
      </c>
      <c r="G143" t="str">
        <f>"2026-05-25 09:56:49.057"</f>
        <v>2026-05-25 09:56:49.057</v>
      </c>
      <c r="H143" t="s">
        <v>21</v>
      </c>
      <c r="I143">
        <v>0</v>
      </c>
      <c r="J143" t="s">
        <v>27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"2026-05-25 09:53:45.717"</f>
        <v>2026-05-25 09:53:45.717</v>
      </c>
      <c r="H144" t="s">
        <v>21</v>
      </c>
    </row>
    <row r="145" spans="1:10" x14ac:dyDescent="0.25">
      <c r="A145" s="1">
        <v>36</v>
      </c>
      <c r="B145" t="s">
        <v>19</v>
      </c>
      <c r="C145">
        <v>706</v>
      </c>
      <c r="D145">
        <v>4</v>
      </c>
      <c r="E145" t="s">
        <v>39</v>
      </c>
      <c r="F145" t="s">
        <v>40</v>
      </c>
      <c r="G145" t="str">
        <f>"2026-05-25 09:14:32.236"</f>
        <v>2026-05-25 09:14:32.236</v>
      </c>
      <c r="H145" t="s">
        <v>21</v>
      </c>
      <c r="I145">
        <v>0</v>
      </c>
      <c r="J145" t="s">
        <v>27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"2026-05-25 08:57:31.696"</f>
        <v>2026-05-25 08:57:31.696</v>
      </c>
      <c r="H146" t="s">
        <v>21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"2026-05-25 08:18:46.707"</f>
        <v>2026-05-25 08:18:46.707</v>
      </c>
      <c r="H147" t="s">
        <v>21</v>
      </c>
      <c r="I147">
        <v>0</v>
      </c>
      <c r="J147" t="s">
        <v>22</v>
      </c>
    </row>
    <row r="148" spans="1:10" x14ac:dyDescent="0.25">
      <c r="A148" s="1">
        <v>39</v>
      </c>
      <c r="B148" t="s">
        <v>19</v>
      </c>
      <c r="C148">
        <v>706</v>
      </c>
      <c r="D148">
        <v>3</v>
      </c>
      <c r="E148" t="s">
        <v>39</v>
      </c>
      <c r="F148" t="s">
        <v>49</v>
      </c>
      <c r="G148" t="str">
        <f>"2026-05-25 04:46:13.109"</f>
        <v>2026-05-25 04:46:13.109</v>
      </c>
      <c r="H148" t="s">
        <v>21</v>
      </c>
      <c r="I148">
        <v>0</v>
      </c>
      <c r="J148" t="s">
        <v>27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"2026-05-25 04:28:21.699"</f>
        <v>2026-05-25 04:28:21.699</v>
      </c>
      <c r="H149" t="s">
        <v>21</v>
      </c>
      <c r="I149">
        <v>0</v>
      </c>
      <c r="J149" t="s">
        <v>22</v>
      </c>
    </row>
    <row r="150" spans="1:10" x14ac:dyDescent="0.25">
      <c r="A150" s="1">
        <v>41</v>
      </c>
      <c r="B150" t="s">
        <v>28</v>
      </c>
      <c r="C150">
        <v>619</v>
      </c>
      <c r="D150">
        <v>1</v>
      </c>
      <c r="E150" t="s">
        <v>43</v>
      </c>
      <c r="F150" t="s">
        <v>30</v>
      </c>
      <c r="G150" t="str">
        <f>"2026-05-25 04:26:42.264"</f>
        <v>2026-05-25 04:26:42.264</v>
      </c>
      <c r="H150" t="s">
        <v>44</v>
      </c>
    </row>
    <row r="151" spans="1:10" x14ac:dyDescent="0.25">
      <c r="A151" s="1">
        <v>42</v>
      </c>
      <c r="B151" t="s">
        <v>31</v>
      </c>
      <c r="C151">
        <v>619</v>
      </c>
      <c r="D151">
        <v>1</v>
      </c>
      <c r="E151" t="s">
        <v>43</v>
      </c>
      <c r="F151" t="s">
        <v>30</v>
      </c>
      <c r="G151" t="str">
        <f>"2026-05-25 04:26:29.565"</f>
        <v>2026-05-25 04:26:29.565</v>
      </c>
      <c r="H151" t="s">
        <v>44</v>
      </c>
      <c r="I151">
        <v>0</v>
      </c>
      <c r="J151" t="s">
        <v>36</v>
      </c>
    </row>
    <row r="152" spans="1:10" x14ac:dyDescent="0.25">
      <c r="A152" s="1">
        <v>43</v>
      </c>
      <c r="B152" t="s">
        <v>19</v>
      </c>
      <c r="C152">
        <v>706</v>
      </c>
      <c r="D152">
        <v>4</v>
      </c>
      <c r="E152" t="s">
        <v>39</v>
      </c>
      <c r="F152" t="s">
        <v>40</v>
      </c>
      <c r="G152" t="str">
        <f>"2026-05-25 04:25:38.984"</f>
        <v>2026-05-25 04:25:38.984</v>
      </c>
      <c r="H152" t="s">
        <v>21</v>
      </c>
      <c r="I152">
        <v>0</v>
      </c>
      <c r="J152" t="s">
        <v>27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"2026-05-25 03:51:35.694"</f>
        <v>2026-05-25 03:51:35.694</v>
      </c>
      <c r="H153" t="s">
        <v>21</v>
      </c>
      <c r="I153">
        <v>0</v>
      </c>
      <c r="J153" t="s">
        <v>22</v>
      </c>
    </row>
    <row r="154" spans="1:10" x14ac:dyDescent="0.25">
      <c r="A154" s="1">
        <v>45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"2026-05-25 03:30:04.715"</f>
        <v>2026-05-25 03:30:04.715</v>
      </c>
      <c r="H154" t="s">
        <v>21</v>
      </c>
      <c r="I154">
        <v>0</v>
      </c>
      <c r="J154" t="s">
        <v>22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"2026-05-25 03:18:49.962"</f>
        <v>2026-05-25 03:18:49.962</v>
      </c>
      <c r="H155" t="s">
        <v>21</v>
      </c>
    </row>
    <row r="156" spans="1:10" x14ac:dyDescent="0.25">
      <c r="A156" s="1">
        <v>47</v>
      </c>
      <c r="B156" t="s">
        <v>28</v>
      </c>
      <c r="C156">
        <v>619</v>
      </c>
      <c r="D156">
        <v>1</v>
      </c>
      <c r="E156" t="s">
        <v>43</v>
      </c>
      <c r="F156" t="s">
        <v>30</v>
      </c>
      <c r="G156" t="str">
        <f>"2026-05-25 02:36:12.324"</f>
        <v>2026-05-25 02:36:12.324</v>
      </c>
      <c r="H156" t="s">
        <v>44</v>
      </c>
    </row>
    <row r="157" spans="1:10" x14ac:dyDescent="0.25">
      <c r="A157" s="1">
        <v>48</v>
      </c>
      <c r="B157" t="s">
        <v>31</v>
      </c>
      <c r="C157">
        <v>619</v>
      </c>
      <c r="D157">
        <v>1</v>
      </c>
      <c r="E157" t="s">
        <v>43</v>
      </c>
      <c r="F157" t="s">
        <v>30</v>
      </c>
      <c r="G157" t="str">
        <f>"2026-05-25 02:36:01.476"</f>
        <v>2026-05-25 02:36:01.476</v>
      </c>
      <c r="H157" t="s">
        <v>44</v>
      </c>
      <c r="I157">
        <v>0</v>
      </c>
      <c r="J157" t="s">
        <v>36</v>
      </c>
    </row>
    <row r="158" spans="1:10" x14ac:dyDescent="0.25">
      <c r="A158" s="1">
        <v>49</v>
      </c>
      <c r="B158" t="s">
        <v>28</v>
      </c>
      <c r="C158">
        <v>635</v>
      </c>
      <c r="D158">
        <v>1</v>
      </c>
      <c r="E158" t="s">
        <v>29</v>
      </c>
      <c r="F158" t="s">
        <v>30</v>
      </c>
      <c r="G158" t="str">
        <f>"2026-05-24 23:17:22.576"</f>
        <v>2026-05-24 23:17:22.576</v>
      </c>
      <c r="H158" t="s">
        <v>21</v>
      </c>
    </row>
    <row r="159" spans="1:10" x14ac:dyDescent="0.25">
      <c r="A159" s="1">
        <v>50</v>
      </c>
      <c r="B159" t="s">
        <v>31</v>
      </c>
      <c r="C159">
        <v>635</v>
      </c>
      <c r="D159">
        <v>1</v>
      </c>
      <c r="E159" t="s">
        <v>29</v>
      </c>
      <c r="F159" t="s">
        <v>30</v>
      </c>
      <c r="G159" t="str">
        <f>"2026-05-24 23:12:48.077"</f>
        <v>2026-05-24 23:12:48.077</v>
      </c>
      <c r="H159" t="s">
        <v>21</v>
      </c>
      <c r="I159">
        <v>0.81</v>
      </c>
      <c r="J159" t="s">
        <v>35</v>
      </c>
    </row>
    <row r="160" spans="1:10" x14ac:dyDescent="0.25">
      <c r="A160" s="1">
        <v>51</v>
      </c>
      <c r="B160" t="s">
        <v>28</v>
      </c>
      <c r="C160">
        <v>635</v>
      </c>
      <c r="D160">
        <v>1</v>
      </c>
      <c r="E160" t="s">
        <v>29</v>
      </c>
      <c r="F160" t="s">
        <v>30</v>
      </c>
      <c r="G160" t="str">
        <f>"2026-05-24 20:36:40.476"</f>
        <v>2026-05-24 20:36:40.476</v>
      </c>
      <c r="H160" t="s">
        <v>21</v>
      </c>
    </row>
    <row r="161" spans="1:10" x14ac:dyDescent="0.25">
      <c r="A161" s="1">
        <v>52</v>
      </c>
      <c r="B161" t="s">
        <v>31</v>
      </c>
      <c r="C161">
        <v>635</v>
      </c>
      <c r="D161">
        <v>1</v>
      </c>
      <c r="E161" t="s">
        <v>29</v>
      </c>
      <c r="F161" t="s">
        <v>30</v>
      </c>
      <c r="G161" t="str">
        <f>"2026-05-24 20:30:52.977"</f>
        <v>2026-05-24 20:30:52.977</v>
      </c>
      <c r="H161" t="s">
        <v>21</v>
      </c>
      <c r="I161">
        <v>0.53</v>
      </c>
      <c r="J161" t="s">
        <v>36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"2026-05-24 20:18:49.706"</f>
        <v>2026-05-24 20:18:49.706</v>
      </c>
      <c r="H162" t="s">
        <v>21</v>
      </c>
      <c r="I162">
        <v>0</v>
      </c>
      <c r="J162" t="s">
        <v>22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"2026-05-24 19:45:32.921"</f>
        <v>2026-05-24 19:45:32.921</v>
      </c>
      <c r="H163" t="s">
        <v>21</v>
      </c>
      <c r="I163">
        <v>0</v>
      </c>
      <c r="J163" t="s">
        <v>22</v>
      </c>
    </row>
    <row r="164" spans="1:10" s="3" customFormat="1" x14ac:dyDescent="0.25">
      <c r="A164" s="2">
        <v>55</v>
      </c>
      <c r="B164" s="3" t="s">
        <v>28</v>
      </c>
      <c r="C164" s="3">
        <v>647</v>
      </c>
      <c r="D164" s="3">
        <v>1</v>
      </c>
      <c r="E164" s="3" t="s">
        <v>33</v>
      </c>
      <c r="F164" s="3" t="s">
        <v>34</v>
      </c>
      <c r="G164" s="3" t="str">
        <f>"2026-05-24 17:09:56.428"</f>
        <v>2026-05-24 17:09:56.428</v>
      </c>
      <c r="H164" s="3" t="s">
        <v>21</v>
      </c>
    </row>
    <row r="165" spans="1:10" s="3" customFormat="1" x14ac:dyDescent="0.25">
      <c r="A165" s="2">
        <v>56</v>
      </c>
      <c r="B165" s="3" t="s">
        <v>31</v>
      </c>
      <c r="C165" s="3">
        <v>647</v>
      </c>
      <c r="D165" s="3">
        <v>1</v>
      </c>
      <c r="E165" s="3" t="s">
        <v>33</v>
      </c>
      <c r="F165" s="3" t="s">
        <v>34</v>
      </c>
      <c r="G165" s="3" t="str">
        <f>"2026-05-24 17:09:53.129"</f>
        <v>2026-05-24 17:09:53.129</v>
      </c>
      <c r="H165" s="3" t="s">
        <v>21</v>
      </c>
      <c r="I165" s="3">
        <v>10.31</v>
      </c>
      <c r="J165" s="3" t="s">
        <v>35</v>
      </c>
    </row>
    <row r="166" spans="1:10" x14ac:dyDescent="0.25">
      <c r="A166" s="1">
        <v>57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"2026-05-24 14:01:53.705"</f>
        <v>2026-05-24 14:01:53.705</v>
      </c>
      <c r="H166" t="s">
        <v>21</v>
      </c>
    </row>
    <row r="167" spans="1:10" x14ac:dyDescent="0.25">
      <c r="A167" s="1">
        <v>58</v>
      </c>
      <c r="B167" t="s">
        <v>19</v>
      </c>
      <c r="C167">
        <v>706</v>
      </c>
      <c r="D167">
        <v>2</v>
      </c>
      <c r="E167" t="s">
        <v>39</v>
      </c>
      <c r="F167" t="s">
        <v>48</v>
      </c>
      <c r="G167" t="str">
        <f>"2026-05-24 05:13:49.049"</f>
        <v>2026-05-24 05:13:49.049</v>
      </c>
      <c r="H167" t="s">
        <v>21</v>
      </c>
      <c r="I167">
        <v>0</v>
      </c>
      <c r="J167" t="s">
        <v>27</v>
      </c>
    </row>
    <row r="168" spans="1:10" x14ac:dyDescent="0.25">
      <c r="A168" s="1">
        <v>59</v>
      </c>
      <c r="B168" t="s">
        <v>28</v>
      </c>
      <c r="C168">
        <v>619</v>
      </c>
      <c r="D168">
        <v>1</v>
      </c>
      <c r="E168" t="s">
        <v>43</v>
      </c>
      <c r="F168" t="s">
        <v>30</v>
      </c>
      <c r="G168" t="str">
        <f>"2026-05-24 05:13:40.676"</f>
        <v>2026-05-24 05:13:40.676</v>
      </c>
      <c r="H168" t="s">
        <v>44</v>
      </c>
    </row>
    <row r="169" spans="1:10" x14ac:dyDescent="0.25">
      <c r="A169" s="1">
        <v>60</v>
      </c>
      <c r="B169" t="s">
        <v>31</v>
      </c>
      <c r="C169">
        <v>619</v>
      </c>
      <c r="D169">
        <v>1</v>
      </c>
      <c r="E169" t="s">
        <v>43</v>
      </c>
      <c r="F169" t="s">
        <v>30</v>
      </c>
      <c r="G169" t="str">
        <f>"2026-05-24 05:13:23.928"</f>
        <v>2026-05-24 05:13:23.928</v>
      </c>
      <c r="H169" t="s">
        <v>44</v>
      </c>
      <c r="I169">
        <v>0</v>
      </c>
      <c r="J169" t="s">
        <v>36</v>
      </c>
    </row>
    <row r="170" spans="1:10" x14ac:dyDescent="0.25">
      <c r="A170" s="1">
        <v>61</v>
      </c>
      <c r="B170" t="s">
        <v>28</v>
      </c>
      <c r="C170">
        <v>619</v>
      </c>
      <c r="D170">
        <v>1</v>
      </c>
      <c r="E170" t="s">
        <v>43</v>
      </c>
      <c r="F170" t="s">
        <v>30</v>
      </c>
      <c r="G170" t="str">
        <f>"2026-05-24 05:13:09.776"</f>
        <v>2026-05-24 05:13:09.776</v>
      </c>
      <c r="H170" t="s">
        <v>44</v>
      </c>
    </row>
    <row r="171" spans="1:10" x14ac:dyDescent="0.25">
      <c r="A171" s="1">
        <v>62</v>
      </c>
      <c r="B171" t="s">
        <v>31</v>
      </c>
      <c r="C171">
        <v>619</v>
      </c>
      <c r="D171">
        <v>1</v>
      </c>
      <c r="E171" t="s">
        <v>43</v>
      </c>
      <c r="F171" t="s">
        <v>30</v>
      </c>
      <c r="G171" t="str">
        <f>"2026-05-24 05:11:38.876"</f>
        <v>2026-05-24 05:11:38.876</v>
      </c>
      <c r="H171" t="s">
        <v>44</v>
      </c>
      <c r="I171">
        <v>10.63</v>
      </c>
      <c r="J171" t="s">
        <v>35</v>
      </c>
    </row>
    <row r="172" spans="1:10" x14ac:dyDescent="0.25">
      <c r="A172" s="1">
        <v>63</v>
      </c>
      <c r="B172" t="s">
        <v>28</v>
      </c>
      <c r="C172">
        <v>619</v>
      </c>
      <c r="D172">
        <v>1</v>
      </c>
      <c r="E172" t="s">
        <v>43</v>
      </c>
      <c r="F172" t="s">
        <v>30</v>
      </c>
      <c r="G172" t="str">
        <f>"2026-05-24 05:08:38.328"</f>
        <v>2026-05-24 05:08:38.328</v>
      </c>
      <c r="H172" t="s">
        <v>44</v>
      </c>
    </row>
    <row r="173" spans="1:10" x14ac:dyDescent="0.25">
      <c r="A173" s="1">
        <v>64</v>
      </c>
      <c r="B173" t="s">
        <v>31</v>
      </c>
      <c r="C173">
        <v>619</v>
      </c>
      <c r="D173">
        <v>1</v>
      </c>
      <c r="E173" t="s">
        <v>43</v>
      </c>
      <c r="F173" t="s">
        <v>30</v>
      </c>
      <c r="G173" t="str">
        <f>"2026-05-24 05:08:24.428"</f>
        <v>2026-05-24 05:08:24.428</v>
      </c>
      <c r="H173" t="s">
        <v>44</v>
      </c>
      <c r="I173">
        <v>22.91</v>
      </c>
      <c r="J173" t="s">
        <v>32</v>
      </c>
    </row>
    <row r="174" spans="1:10" x14ac:dyDescent="0.25">
      <c r="A174" s="1">
        <v>65</v>
      </c>
      <c r="B174" t="s">
        <v>28</v>
      </c>
      <c r="C174">
        <v>619</v>
      </c>
      <c r="D174">
        <v>1</v>
      </c>
      <c r="E174" t="s">
        <v>43</v>
      </c>
      <c r="F174" t="s">
        <v>30</v>
      </c>
      <c r="G174" t="str">
        <f>"2026-05-24 05:06:51.228"</f>
        <v>2026-05-24 05:06:51.228</v>
      </c>
      <c r="H174" t="s">
        <v>44</v>
      </c>
    </row>
    <row r="175" spans="1:10" x14ac:dyDescent="0.25">
      <c r="A175" s="1">
        <v>66</v>
      </c>
      <c r="B175" t="s">
        <v>31</v>
      </c>
      <c r="C175">
        <v>619</v>
      </c>
      <c r="D175">
        <v>1</v>
      </c>
      <c r="E175" t="s">
        <v>43</v>
      </c>
      <c r="F175" t="s">
        <v>30</v>
      </c>
      <c r="G175" t="str">
        <f>"2026-05-24 05:06:15.476"</f>
        <v>2026-05-24 05:06:15.476</v>
      </c>
      <c r="H175" t="s">
        <v>44</v>
      </c>
      <c r="I175">
        <v>12.84</v>
      </c>
      <c r="J175" t="s">
        <v>35</v>
      </c>
    </row>
    <row r="176" spans="1:10" x14ac:dyDescent="0.25">
      <c r="A176" s="1">
        <v>67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"2026-05-24 04:50:55.829"</f>
        <v>2026-05-24 04:50:55.829</v>
      </c>
      <c r="H176" t="s">
        <v>21</v>
      </c>
    </row>
    <row r="177" spans="1:10" x14ac:dyDescent="0.25">
      <c r="A177" s="1">
        <v>68</v>
      </c>
      <c r="B177" t="s">
        <v>28</v>
      </c>
      <c r="C177">
        <v>619</v>
      </c>
      <c r="D177">
        <v>1</v>
      </c>
      <c r="E177" t="s">
        <v>43</v>
      </c>
      <c r="F177" t="s">
        <v>30</v>
      </c>
      <c r="G177" t="str">
        <f>"2026-05-24 04:42:12.730"</f>
        <v>2026-05-24 04:42:12.730</v>
      </c>
      <c r="H177" t="s">
        <v>44</v>
      </c>
    </row>
    <row r="178" spans="1:10" x14ac:dyDescent="0.25">
      <c r="A178" s="1">
        <v>69</v>
      </c>
      <c r="B178" t="s">
        <v>31</v>
      </c>
      <c r="C178">
        <v>619</v>
      </c>
      <c r="D178">
        <v>1</v>
      </c>
      <c r="E178" t="s">
        <v>43</v>
      </c>
      <c r="F178" t="s">
        <v>30</v>
      </c>
      <c r="G178" t="str">
        <f>"2026-05-24 04:42:04.030"</f>
        <v>2026-05-24 04:42:04.030</v>
      </c>
      <c r="H178" t="s">
        <v>44</v>
      </c>
      <c r="I178">
        <v>0</v>
      </c>
      <c r="J178" t="s">
        <v>36</v>
      </c>
    </row>
    <row r="179" spans="1:10" x14ac:dyDescent="0.25">
      <c r="A179" s="1">
        <v>70</v>
      </c>
      <c r="B179" t="s">
        <v>28</v>
      </c>
      <c r="C179">
        <v>619</v>
      </c>
      <c r="D179">
        <v>1</v>
      </c>
      <c r="E179" t="s">
        <v>43</v>
      </c>
      <c r="F179" t="s">
        <v>30</v>
      </c>
      <c r="G179" t="str">
        <f>"2026-05-24 04:40:17.277"</f>
        <v>2026-05-24 04:40:17.277</v>
      </c>
      <c r="H179" t="s">
        <v>44</v>
      </c>
    </row>
    <row r="180" spans="1:10" x14ac:dyDescent="0.25">
      <c r="A180" s="1">
        <v>71</v>
      </c>
      <c r="B180" t="s">
        <v>31</v>
      </c>
      <c r="C180">
        <v>619</v>
      </c>
      <c r="D180">
        <v>1</v>
      </c>
      <c r="E180" t="s">
        <v>43</v>
      </c>
      <c r="F180" t="s">
        <v>30</v>
      </c>
      <c r="G180" t="str">
        <f>"2026-05-24 04:40:02.330"</f>
        <v>2026-05-24 04:40:02.330</v>
      </c>
      <c r="H180" t="s">
        <v>44</v>
      </c>
      <c r="I180">
        <v>0</v>
      </c>
      <c r="J180" t="s">
        <v>36</v>
      </c>
    </row>
    <row r="181" spans="1:10" x14ac:dyDescent="0.25">
      <c r="A181" s="1">
        <v>72</v>
      </c>
      <c r="B181" t="s">
        <v>28</v>
      </c>
      <c r="C181">
        <v>619</v>
      </c>
      <c r="D181">
        <v>1</v>
      </c>
      <c r="E181" t="s">
        <v>43</v>
      </c>
      <c r="F181" t="s">
        <v>30</v>
      </c>
      <c r="G181" t="str">
        <f>"2026-05-24 04:39:38.830"</f>
        <v>2026-05-24 04:39:38.830</v>
      </c>
      <c r="H181" t="s">
        <v>44</v>
      </c>
    </row>
    <row r="182" spans="1:10" x14ac:dyDescent="0.25">
      <c r="A182" s="1">
        <v>73</v>
      </c>
      <c r="B182" t="s">
        <v>31</v>
      </c>
      <c r="C182">
        <v>619</v>
      </c>
      <c r="D182">
        <v>1</v>
      </c>
      <c r="E182" t="s">
        <v>43</v>
      </c>
      <c r="F182" t="s">
        <v>30</v>
      </c>
      <c r="G182" t="str">
        <f>"2026-05-24 04:39:17.630"</f>
        <v>2026-05-24 04:39:17.630</v>
      </c>
      <c r="H182" t="s">
        <v>44</v>
      </c>
      <c r="I182">
        <v>0</v>
      </c>
      <c r="J182" t="s">
        <v>36</v>
      </c>
    </row>
    <row r="183" spans="1:10" x14ac:dyDescent="0.25">
      <c r="A183" s="1">
        <v>74</v>
      </c>
      <c r="B183" t="s">
        <v>28</v>
      </c>
      <c r="C183">
        <v>619</v>
      </c>
      <c r="D183">
        <v>1</v>
      </c>
      <c r="E183" t="s">
        <v>43</v>
      </c>
      <c r="F183" t="s">
        <v>30</v>
      </c>
      <c r="G183" t="str">
        <f>"2026-05-24 04:38:28.077"</f>
        <v>2026-05-24 04:38:28.077</v>
      </c>
      <c r="H183" t="s">
        <v>44</v>
      </c>
    </row>
    <row r="184" spans="1:10" x14ac:dyDescent="0.25">
      <c r="A184" s="1">
        <v>75</v>
      </c>
      <c r="B184" t="s">
        <v>31</v>
      </c>
      <c r="C184">
        <v>619</v>
      </c>
      <c r="D184">
        <v>1</v>
      </c>
      <c r="E184" t="s">
        <v>43</v>
      </c>
      <c r="F184" t="s">
        <v>30</v>
      </c>
      <c r="G184" t="str">
        <f>"2026-05-24 04:38:19.377"</f>
        <v>2026-05-24 04:38:19.377</v>
      </c>
      <c r="H184" t="s">
        <v>44</v>
      </c>
      <c r="I184">
        <v>0</v>
      </c>
      <c r="J184" t="s">
        <v>36</v>
      </c>
    </row>
    <row r="185" spans="1:10" x14ac:dyDescent="0.25">
      <c r="A185" s="1">
        <v>76</v>
      </c>
      <c r="B185" t="s">
        <v>28</v>
      </c>
      <c r="C185">
        <v>619</v>
      </c>
      <c r="D185">
        <v>1</v>
      </c>
      <c r="E185" t="s">
        <v>43</v>
      </c>
      <c r="F185" t="s">
        <v>30</v>
      </c>
      <c r="G185" t="str">
        <f>"2026-05-24 04:37:50.676"</f>
        <v>2026-05-24 04:37:50.676</v>
      </c>
      <c r="H185" t="s">
        <v>44</v>
      </c>
    </row>
    <row r="186" spans="1:10" x14ac:dyDescent="0.25">
      <c r="A186" s="1">
        <v>77</v>
      </c>
      <c r="B186" t="s">
        <v>31</v>
      </c>
      <c r="C186">
        <v>619</v>
      </c>
      <c r="D186">
        <v>1</v>
      </c>
      <c r="E186" t="s">
        <v>43</v>
      </c>
      <c r="F186" t="s">
        <v>30</v>
      </c>
      <c r="G186" t="str">
        <f>"2026-05-24 04:37:42.977"</f>
        <v>2026-05-24 04:37:42.977</v>
      </c>
      <c r="H186" t="s">
        <v>44</v>
      </c>
      <c r="I186">
        <v>0</v>
      </c>
      <c r="J186" t="s">
        <v>36</v>
      </c>
    </row>
    <row r="187" spans="1:10" x14ac:dyDescent="0.25">
      <c r="A187" s="1">
        <v>78</v>
      </c>
      <c r="B187" t="s">
        <v>28</v>
      </c>
      <c r="C187">
        <v>619</v>
      </c>
      <c r="D187">
        <v>1</v>
      </c>
      <c r="E187" t="s">
        <v>43</v>
      </c>
      <c r="F187" t="s">
        <v>30</v>
      </c>
      <c r="G187" t="str">
        <f>"2026-05-24 04:37:36.077"</f>
        <v>2026-05-24 04:37:36.077</v>
      </c>
      <c r="H187" t="s">
        <v>44</v>
      </c>
    </row>
    <row r="188" spans="1:10" x14ac:dyDescent="0.25">
      <c r="A188" s="1">
        <v>79</v>
      </c>
      <c r="B188" t="s">
        <v>31</v>
      </c>
      <c r="C188">
        <v>619</v>
      </c>
      <c r="D188">
        <v>1</v>
      </c>
      <c r="E188" t="s">
        <v>43</v>
      </c>
      <c r="F188" t="s">
        <v>30</v>
      </c>
      <c r="G188" t="str">
        <f>"2026-05-24 04:33:26.077"</f>
        <v>2026-05-24 04:33:26.077</v>
      </c>
      <c r="H188" t="s">
        <v>44</v>
      </c>
      <c r="I188">
        <v>4.26</v>
      </c>
      <c r="J188" t="s">
        <v>32</v>
      </c>
    </row>
    <row r="189" spans="1:10" x14ac:dyDescent="0.25">
      <c r="A189" s="1">
        <v>84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"2026-05-23 19:28:02.139"</f>
        <v>2026-05-23 19:28:02.139</v>
      </c>
      <c r="H189" t="s">
        <v>21</v>
      </c>
      <c r="I189">
        <v>0</v>
      </c>
      <c r="J189" t="s">
        <v>22</v>
      </c>
    </row>
    <row r="190" spans="1:10" x14ac:dyDescent="0.25">
      <c r="A190" s="1">
        <v>85</v>
      </c>
      <c r="B190" t="s">
        <v>28</v>
      </c>
      <c r="C190">
        <v>635</v>
      </c>
      <c r="D190">
        <v>1</v>
      </c>
      <c r="E190" t="s">
        <v>29</v>
      </c>
      <c r="F190" t="s">
        <v>30</v>
      </c>
      <c r="G190" t="str">
        <f>"2026-05-23 15:33:51.821"</f>
        <v>2026-05-23 15:33:51.821</v>
      </c>
      <c r="H190" t="s">
        <v>21</v>
      </c>
    </row>
    <row r="191" spans="1:10" x14ac:dyDescent="0.25">
      <c r="A191" s="1">
        <v>86</v>
      </c>
      <c r="B191" t="s">
        <v>31</v>
      </c>
      <c r="C191">
        <v>635</v>
      </c>
      <c r="D191">
        <v>1</v>
      </c>
      <c r="E191" t="s">
        <v>29</v>
      </c>
      <c r="F191" t="s">
        <v>30</v>
      </c>
      <c r="G191" t="str">
        <f>"2026-05-23 15:27:15.921"</f>
        <v>2026-05-23 15:27:15.921</v>
      </c>
      <c r="H191" t="s">
        <v>21</v>
      </c>
      <c r="I191">
        <v>1.35</v>
      </c>
      <c r="J191" t="s">
        <v>32</v>
      </c>
    </row>
    <row r="192" spans="1:10" x14ac:dyDescent="0.25">
      <c r="A192" s="1">
        <v>87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"2026-05-23 14:32:33.684"</f>
        <v>2026-05-23 14:32:33.684</v>
      </c>
      <c r="H192" t="s">
        <v>21</v>
      </c>
      <c r="I192">
        <v>0</v>
      </c>
      <c r="J192" t="s">
        <v>22</v>
      </c>
    </row>
    <row r="193" spans="1:10" x14ac:dyDescent="0.25">
      <c r="A193" s="1">
        <v>88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"2026-05-23 12:28:27.708"</f>
        <v>2026-05-23 12:28:27.708</v>
      </c>
      <c r="H193" t="s">
        <v>21</v>
      </c>
    </row>
    <row r="194" spans="1:10" x14ac:dyDescent="0.25">
      <c r="A194" s="1">
        <v>89</v>
      </c>
      <c r="B194" t="s">
        <v>28</v>
      </c>
      <c r="C194">
        <v>635</v>
      </c>
      <c r="D194">
        <v>1</v>
      </c>
      <c r="E194" t="s">
        <v>29</v>
      </c>
      <c r="F194" t="s">
        <v>30</v>
      </c>
      <c r="G194" t="str">
        <f>"2026-05-23 02:11:39.002"</f>
        <v>2026-05-23 02:11:39.002</v>
      </c>
      <c r="H194" t="s">
        <v>21</v>
      </c>
    </row>
    <row r="195" spans="1:10" x14ac:dyDescent="0.25">
      <c r="A195" s="1">
        <v>90</v>
      </c>
      <c r="B195" t="s">
        <v>31</v>
      </c>
      <c r="C195">
        <v>635</v>
      </c>
      <c r="D195">
        <v>1</v>
      </c>
      <c r="E195" t="s">
        <v>29</v>
      </c>
      <c r="F195" t="s">
        <v>30</v>
      </c>
      <c r="G195" t="str">
        <f>"2026-05-23 02:09:23.502"</f>
        <v>2026-05-23 02:09:23.502</v>
      </c>
      <c r="H195" t="s">
        <v>21</v>
      </c>
      <c r="I195">
        <v>1.04</v>
      </c>
      <c r="J195" t="s">
        <v>32</v>
      </c>
    </row>
    <row r="196" spans="1:10" s="3" customFormat="1" x14ac:dyDescent="0.25">
      <c r="A196" s="2">
        <v>91</v>
      </c>
      <c r="B196" s="3" t="s">
        <v>28</v>
      </c>
      <c r="C196" s="3">
        <v>647</v>
      </c>
      <c r="D196" s="3">
        <v>1</v>
      </c>
      <c r="E196" s="3" t="s">
        <v>33</v>
      </c>
      <c r="F196" s="3" t="s">
        <v>34</v>
      </c>
      <c r="G196" s="3" t="str">
        <f>"2026-05-23 00:09:59.702"</f>
        <v>2026-05-23 00:09:59.702</v>
      </c>
      <c r="H196" s="3" t="s">
        <v>21</v>
      </c>
    </row>
    <row r="197" spans="1:10" s="3" customFormat="1" x14ac:dyDescent="0.25">
      <c r="A197" s="2">
        <v>92</v>
      </c>
      <c r="B197" s="3" t="s">
        <v>31</v>
      </c>
      <c r="C197" s="3">
        <v>647</v>
      </c>
      <c r="D197" s="3">
        <v>1</v>
      </c>
      <c r="E197" s="3" t="s">
        <v>33</v>
      </c>
      <c r="F197" s="3" t="s">
        <v>34</v>
      </c>
      <c r="G197" s="3" t="str">
        <f>"2026-05-23 00:09:55.603"</f>
        <v>2026-05-23 00:09:55.603</v>
      </c>
      <c r="H197" s="3" t="s">
        <v>21</v>
      </c>
      <c r="I197" s="3">
        <v>14.84</v>
      </c>
      <c r="J197" s="3" t="s">
        <v>35</v>
      </c>
    </row>
    <row r="198" spans="1:10" x14ac:dyDescent="0.25">
      <c r="A198" s="1">
        <v>93</v>
      </c>
      <c r="B198" t="s">
        <v>28</v>
      </c>
      <c r="C198">
        <v>61</v>
      </c>
      <c r="D198">
        <v>2</v>
      </c>
      <c r="E198" t="s">
        <v>37</v>
      </c>
      <c r="F198" t="s">
        <v>38</v>
      </c>
      <c r="G198" t="str">
        <f>"2026-05-22 20:06:49.735"</f>
        <v>2026-05-22 20:06:49.735</v>
      </c>
      <c r="H198" t="s">
        <v>21</v>
      </c>
    </row>
    <row r="199" spans="1:10" x14ac:dyDescent="0.25">
      <c r="A199" s="1">
        <v>94</v>
      </c>
      <c r="B199" t="s">
        <v>23</v>
      </c>
      <c r="C199">
        <v>61</v>
      </c>
      <c r="D199">
        <v>2</v>
      </c>
      <c r="E199" t="s">
        <v>37</v>
      </c>
      <c r="F199" t="s">
        <v>38</v>
      </c>
      <c r="G199" t="str">
        <f>"2026-05-22 20:06:32.235"</f>
        <v>2026-05-22 20:06:32.235</v>
      </c>
      <c r="H199" t="s">
        <v>21</v>
      </c>
      <c r="I199">
        <v>30.54</v>
      </c>
      <c r="J199" t="s">
        <v>35</v>
      </c>
    </row>
    <row r="200" spans="1:10" s="3" customFormat="1" x14ac:dyDescent="0.25">
      <c r="A200" s="2">
        <v>95</v>
      </c>
      <c r="B200" s="3" t="s">
        <v>28</v>
      </c>
      <c r="C200" s="3">
        <v>647</v>
      </c>
      <c r="D200" s="3">
        <v>1</v>
      </c>
      <c r="E200" s="3" t="s">
        <v>33</v>
      </c>
      <c r="F200" s="3" t="s">
        <v>34</v>
      </c>
      <c r="G200" s="3" t="str">
        <f>"2026-05-22 17:50:03.903"</f>
        <v>2026-05-22 17:50:03.903</v>
      </c>
      <c r="H200" s="3" t="s">
        <v>21</v>
      </c>
    </row>
    <row r="201" spans="1:10" s="3" customFormat="1" x14ac:dyDescent="0.25">
      <c r="A201" s="2">
        <v>96</v>
      </c>
      <c r="B201" s="3" t="s">
        <v>31</v>
      </c>
      <c r="C201" s="3">
        <v>647</v>
      </c>
      <c r="D201" s="3">
        <v>1</v>
      </c>
      <c r="E201" s="3" t="s">
        <v>33</v>
      </c>
      <c r="F201" s="3" t="s">
        <v>34</v>
      </c>
      <c r="G201" s="3" t="str">
        <f>"2026-05-22 17:50:00.503"</f>
        <v>2026-05-22 17:50:00.503</v>
      </c>
      <c r="H201" s="3" t="s">
        <v>21</v>
      </c>
      <c r="I201" s="3">
        <v>9.93</v>
      </c>
      <c r="J201" s="3" t="s">
        <v>35</v>
      </c>
    </row>
    <row r="202" spans="1:10" x14ac:dyDescent="0.25">
      <c r="A202" s="1">
        <v>97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"2026-05-22 15:49:28.684"</f>
        <v>2026-05-22 15:49:28.684</v>
      </c>
      <c r="H202" t="s">
        <v>21</v>
      </c>
      <c r="I202">
        <v>0</v>
      </c>
      <c r="J202" t="s">
        <v>22</v>
      </c>
    </row>
    <row r="203" spans="1:10" x14ac:dyDescent="0.25">
      <c r="A203" s="1">
        <v>98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"2026-05-22 15:31:49.698"</f>
        <v>2026-05-22 15:31:49.698</v>
      </c>
      <c r="H203" t="s">
        <v>21</v>
      </c>
      <c r="I203">
        <v>0</v>
      </c>
      <c r="J203" t="s">
        <v>22</v>
      </c>
    </row>
    <row r="204" spans="1:10" x14ac:dyDescent="0.25">
      <c r="A204" s="1">
        <v>99</v>
      </c>
      <c r="B204" t="s">
        <v>28</v>
      </c>
      <c r="C204">
        <v>635</v>
      </c>
      <c r="D204">
        <v>1</v>
      </c>
      <c r="E204" t="s">
        <v>29</v>
      </c>
      <c r="F204" t="s">
        <v>30</v>
      </c>
      <c r="G204" t="str">
        <f>"2026-05-22 15:03:06.344"</f>
        <v>2026-05-22 15:03:06.344</v>
      </c>
      <c r="H204" t="s">
        <v>21</v>
      </c>
    </row>
    <row r="205" spans="1:10" x14ac:dyDescent="0.25">
      <c r="A205" s="1">
        <v>0</v>
      </c>
      <c r="B205" t="s">
        <v>31</v>
      </c>
      <c r="C205">
        <v>635</v>
      </c>
      <c r="D205">
        <v>1</v>
      </c>
      <c r="E205" t="s">
        <v>29</v>
      </c>
      <c r="F205" t="s">
        <v>30</v>
      </c>
      <c r="G205" t="str">
        <f>"2026-05-22 14:49:34.444"</f>
        <v>2026-05-22 14:49:34.444</v>
      </c>
      <c r="H205" t="s">
        <v>21</v>
      </c>
      <c r="I205">
        <v>7.01</v>
      </c>
      <c r="J205" t="s">
        <v>32</v>
      </c>
    </row>
    <row r="206" spans="1:10" x14ac:dyDescent="0.25">
      <c r="A206" s="1">
        <v>1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"2026-05-22 14:31:50.707"</f>
        <v>2026-05-22 14:31:50.707</v>
      </c>
      <c r="H206" t="s">
        <v>21</v>
      </c>
    </row>
    <row r="207" spans="1:10" x14ac:dyDescent="0.25">
      <c r="A207" s="1">
        <v>2</v>
      </c>
      <c r="B207" t="s">
        <v>28</v>
      </c>
      <c r="C207">
        <v>635</v>
      </c>
      <c r="D207">
        <v>1</v>
      </c>
      <c r="E207" t="s">
        <v>29</v>
      </c>
      <c r="F207" t="s">
        <v>30</v>
      </c>
      <c r="G207" t="str">
        <f>"2026-05-22 12:17:33.279"</f>
        <v>2026-05-22 12:17:33.279</v>
      </c>
      <c r="H207" t="s">
        <v>21</v>
      </c>
    </row>
    <row r="208" spans="1:10" x14ac:dyDescent="0.25">
      <c r="A208" s="1">
        <v>3</v>
      </c>
      <c r="B208" t="s">
        <v>31</v>
      </c>
      <c r="C208">
        <v>635</v>
      </c>
      <c r="D208">
        <v>1</v>
      </c>
      <c r="E208" t="s">
        <v>29</v>
      </c>
      <c r="F208" t="s">
        <v>30</v>
      </c>
      <c r="G208" t="str">
        <f>"2026-05-22 11:45:43.879"</f>
        <v>2026-05-22 11:45:43.879</v>
      </c>
      <c r="H208" t="s">
        <v>21</v>
      </c>
      <c r="I208">
        <v>8.8699999999999992</v>
      </c>
      <c r="J208" t="s">
        <v>35</v>
      </c>
    </row>
    <row r="209" spans="1:10" x14ac:dyDescent="0.25">
      <c r="A209" s="1">
        <v>4</v>
      </c>
      <c r="B209" t="s">
        <v>28</v>
      </c>
      <c r="C209">
        <v>635</v>
      </c>
      <c r="D209">
        <v>1</v>
      </c>
      <c r="E209" t="s">
        <v>29</v>
      </c>
      <c r="F209" t="s">
        <v>30</v>
      </c>
      <c r="G209" t="str">
        <f>"2026-05-22 02:44:24.679"</f>
        <v>2026-05-22 02:44:24.679</v>
      </c>
      <c r="H209" t="s">
        <v>21</v>
      </c>
    </row>
    <row r="210" spans="1:10" x14ac:dyDescent="0.25">
      <c r="A210" s="1">
        <v>5</v>
      </c>
      <c r="B210" t="s">
        <v>31</v>
      </c>
      <c r="C210">
        <v>635</v>
      </c>
      <c r="D210">
        <v>1</v>
      </c>
      <c r="E210" t="s">
        <v>29</v>
      </c>
      <c r="F210" t="s">
        <v>30</v>
      </c>
      <c r="G210" t="str">
        <f>"2026-05-22 02:40:45.179"</f>
        <v>2026-05-22 02:40:45.179</v>
      </c>
      <c r="H210" t="s">
        <v>21</v>
      </c>
      <c r="I210">
        <v>1.85</v>
      </c>
      <c r="J210" t="s">
        <v>36</v>
      </c>
    </row>
    <row r="211" spans="1:10" x14ac:dyDescent="0.25">
      <c r="A211" s="1">
        <v>6</v>
      </c>
      <c r="B211" t="s">
        <v>28</v>
      </c>
      <c r="C211">
        <v>635</v>
      </c>
      <c r="D211">
        <v>1</v>
      </c>
      <c r="E211" t="s">
        <v>29</v>
      </c>
      <c r="F211" t="s">
        <v>30</v>
      </c>
      <c r="G211" t="str">
        <f>"2026-05-21 22:02:21.279"</f>
        <v>2026-05-21 22:02:21.279</v>
      </c>
      <c r="H211" t="s">
        <v>21</v>
      </c>
    </row>
    <row r="212" spans="1:10" x14ac:dyDescent="0.25">
      <c r="A212" s="1">
        <v>7</v>
      </c>
      <c r="B212" t="s">
        <v>31</v>
      </c>
      <c r="C212">
        <v>635</v>
      </c>
      <c r="D212">
        <v>1</v>
      </c>
      <c r="E212" t="s">
        <v>29</v>
      </c>
      <c r="F212" t="s">
        <v>30</v>
      </c>
      <c r="G212" t="str">
        <f>"2026-05-21 21:58:54.279"</f>
        <v>2026-05-21 21:58:54.279</v>
      </c>
      <c r="H212" t="s">
        <v>21</v>
      </c>
      <c r="I212">
        <v>0.93</v>
      </c>
      <c r="J212" t="s">
        <v>35</v>
      </c>
    </row>
    <row r="213" spans="1:10" x14ac:dyDescent="0.25">
      <c r="A213" s="1">
        <v>8</v>
      </c>
      <c r="B213" t="s">
        <v>28</v>
      </c>
      <c r="C213">
        <v>635</v>
      </c>
      <c r="D213">
        <v>1</v>
      </c>
      <c r="E213" t="s">
        <v>29</v>
      </c>
      <c r="F213" t="s">
        <v>30</v>
      </c>
      <c r="G213" t="str">
        <f>"2026-05-21 20:04:44.079"</f>
        <v>2026-05-21 20:04:44.079</v>
      </c>
      <c r="H213" t="s">
        <v>21</v>
      </c>
    </row>
    <row r="214" spans="1:10" x14ac:dyDescent="0.25">
      <c r="A214" s="1">
        <v>9</v>
      </c>
      <c r="B214" t="s">
        <v>31</v>
      </c>
      <c r="C214">
        <v>635</v>
      </c>
      <c r="D214">
        <v>1</v>
      </c>
      <c r="E214" t="s">
        <v>29</v>
      </c>
      <c r="F214" t="s">
        <v>30</v>
      </c>
      <c r="G214" t="str">
        <f>"2026-05-21 19:57:45.579"</f>
        <v>2026-05-21 19:57:45.579</v>
      </c>
      <c r="H214" t="s">
        <v>21</v>
      </c>
      <c r="I214">
        <v>1.62</v>
      </c>
      <c r="J214" t="s">
        <v>36</v>
      </c>
    </row>
    <row r="215" spans="1:10" x14ac:dyDescent="0.25">
      <c r="A215" s="1">
        <v>10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"2026-05-21 13:44:39.681"</f>
        <v>2026-05-21 13:44:39.681</v>
      </c>
      <c r="H215" t="s">
        <v>21</v>
      </c>
      <c r="I215">
        <v>0</v>
      </c>
      <c r="J215" t="s">
        <v>22</v>
      </c>
    </row>
    <row r="216" spans="1:10" x14ac:dyDescent="0.25">
      <c r="A216" s="1">
        <v>11</v>
      </c>
      <c r="B216" t="s">
        <v>28</v>
      </c>
      <c r="C216">
        <v>635</v>
      </c>
      <c r="D216">
        <v>1</v>
      </c>
      <c r="E216" t="s">
        <v>29</v>
      </c>
      <c r="F216" t="s">
        <v>30</v>
      </c>
      <c r="G216" t="str">
        <f>"2026-05-21 06:08:38.826"</f>
        <v>2026-05-21 06:08:38.826</v>
      </c>
      <c r="H216" t="s">
        <v>21</v>
      </c>
    </row>
    <row r="217" spans="1:10" x14ac:dyDescent="0.25">
      <c r="A217" s="1">
        <v>12</v>
      </c>
      <c r="B217" t="s">
        <v>31</v>
      </c>
      <c r="C217">
        <v>635</v>
      </c>
      <c r="D217">
        <v>1</v>
      </c>
      <c r="E217" t="s">
        <v>29</v>
      </c>
      <c r="F217" t="s">
        <v>30</v>
      </c>
      <c r="G217" t="str">
        <f>"2026-05-21 06:06:22.326"</f>
        <v>2026-05-21 06:06:22.326</v>
      </c>
      <c r="H217" t="s">
        <v>21</v>
      </c>
      <c r="I217">
        <v>0.44</v>
      </c>
      <c r="J217" t="s">
        <v>35</v>
      </c>
    </row>
    <row r="218" spans="1:10" s="3" customFormat="1" x14ac:dyDescent="0.25">
      <c r="A218" s="2">
        <v>13</v>
      </c>
      <c r="B218" s="3" t="s">
        <v>28</v>
      </c>
      <c r="C218" s="3">
        <v>647</v>
      </c>
      <c r="D218" s="3">
        <v>1</v>
      </c>
      <c r="E218" s="3" t="s">
        <v>33</v>
      </c>
      <c r="F218" s="3" t="s">
        <v>34</v>
      </c>
      <c r="G218" s="3" t="str">
        <f>"2026-05-20 21:27:05.627"</f>
        <v>2026-05-20 21:27:05.627</v>
      </c>
      <c r="H218" s="3" t="s">
        <v>21</v>
      </c>
    </row>
    <row r="219" spans="1:10" s="3" customFormat="1" x14ac:dyDescent="0.25">
      <c r="A219" s="2">
        <v>14</v>
      </c>
      <c r="B219" s="3" t="s">
        <v>31</v>
      </c>
      <c r="C219" s="3">
        <v>647</v>
      </c>
      <c r="D219" s="3">
        <v>1</v>
      </c>
      <c r="E219" s="3" t="s">
        <v>33</v>
      </c>
      <c r="F219" s="3" t="s">
        <v>34</v>
      </c>
      <c r="G219" s="3" t="str">
        <f>"2026-05-20 21:27:02.227"</f>
        <v>2026-05-20 21:27:02.227</v>
      </c>
      <c r="H219" s="3" t="s">
        <v>21</v>
      </c>
      <c r="I219" s="3">
        <v>10.49</v>
      </c>
      <c r="J219" s="3" t="s">
        <v>36</v>
      </c>
    </row>
    <row r="220" spans="1:10" x14ac:dyDescent="0.25">
      <c r="A220" s="1">
        <v>15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"2026-05-20 18:00:08.675"</f>
        <v>2026-05-20 18:00:08.675</v>
      </c>
      <c r="H220" t="s">
        <v>21</v>
      </c>
      <c r="I220">
        <v>0</v>
      </c>
      <c r="J220" t="s">
        <v>22</v>
      </c>
    </row>
    <row r="221" spans="1:10" x14ac:dyDescent="0.25">
      <c r="A221" s="1">
        <v>16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"2026-05-20 13:09:44.690"</f>
        <v>2026-05-20 13:09:44.690</v>
      </c>
      <c r="H221" t="s">
        <v>21</v>
      </c>
      <c r="I221">
        <v>0</v>
      </c>
      <c r="J221" t="s">
        <v>22</v>
      </c>
    </row>
    <row r="222" spans="1:10" s="3" customFormat="1" x14ac:dyDescent="0.25">
      <c r="A222" s="2">
        <v>17</v>
      </c>
      <c r="B222" s="3" t="s">
        <v>28</v>
      </c>
      <c r="C222" s="3">
        <v>647</v>
      </c>
      <c r="D222" s="3">
        <v>1</v>
      </c>
      <c r="E222" s="3" t="s">
        <v>33</v>
      </c>
      <c r="F222" s="3" t="s">
        <v>34</v>
      </c>
      <c r="G222" s="3" t="str">
        <f>"2026-05-20 09:40:00.436"</f>
        <v>2026-05-20 09:40:00.436</v>
      </c>
      <c r="H222" s="3" t="s">
        <v>21</v>
      </c>
    </row>
    <row r="223" spans="1:10" s="3" customFormat="1" x14ac:dyDescent="0.25">
      <c r="A223" s="2">
        <v>18</v>
      </c>
      <c r="B223" s="3" t="s">
        <v>31</v>
      </c>
      <c r="C223" s="3">
        <v>647</v>
      </c>
      <c r="D223" s="3">
        <v>1</v>
      </c>
      <c r="E223" s="3" t="s">
        <v>33</v>
      </c>
      <c r="F223" s="3" t="s">
        <v>34</v>
      </c>
      <c r="G223" s="3" t="str">
        <f>"2026-05-20 09:39:54.536"</f>
        <v>2026-05-20 09:39:54.536</v>
      </c>
      <c r="H223" s="3" t="s">
        <v>21</v>
      </c>
      <c r="I223" s="3">
        <v>11.48</v>
      </c>
      <c r="J223" s="3" t="s">
        <v>35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"2026-05-20 09:30:28.685"</f>
        <v>2026-05-20 09:30:28.685</v>
      </c>
      <c r="H224" t="s">
        <v>21</v>
      </c>
      <c r="I224">
        <v>0</v>
      </c>
      <c r="J224" t="s">
        <v>22</v>
      </c>
    </row>
    <row r="225" spans="1:10" x14ac:dyDescent="0.25">
      <c r="A225" s="1">
        <v>20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"2026-05-19 15:20:32.680"</f>
        <v>2026-05-19 15:20:32.680</v>
      </c>
      <c r="H225" t="s">
        <v>21</v>
      </c>
      <c r="I225">
        <v>0</v>
      </c>
      <c r="J225" t="s">
        <v>22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"2026-05-19 08:24:47.705"</f>
        <v>2026-05-19 08:24:47.705</v>
      </c>
      <c r="H226" t="s">
        <v>21</v>
      </c>
      <c r="I226">
        <v>0</v>
      </c>
      <c r="J226" t="s">
        <v>22</v>
      </c>
    </row>
    <row r="227" spans="1:10" x14ac:dyDescent="0.25">
      <c r="A227" s="1">
        <v>22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"2026-05-18 13:41:26.683"</f>
        <v>2026-05-18 13:41:26.683</v>
      </c>
      <c r="H227" t="s">
        <v>21</v>
      </c>
      <c r="I227">
        <v>0</v>
      </c>
      <c r="J227" t="s">
        <v>22</v>
      </c>
    </row>
    <row r="228" spans="1:10" x14ac:dyDescent="0.25">
      <c r="A228" s="1">
        <v>23</v>
      </c>
      <c r="B228" t="s">
        <v>28</v>
      </c>
      <c r="C228">
        <v>635</v>
      </c>
      <c r="D228">
        <v>1</v>
      </c>
      <c r="E228" t="s">
        <v>29</v>
      </c>
      <c r="F228" t="s">
        <v>30</v>
      </c>
      <c r="G228" t="str">
        <f>"2026-05-17 17:30:13.257"</f>
        <v>2026-05-17 17:30:13.257</v>
      </c>
      <c r="H228" t="s">
        <v>21</v>
      </c>
    </row>
    <row r="229" spans="1:10" x14ac:dyDescent="0.25">
      <c r="A229" s="1">
        <v>24</v>
      </c>
      <c r="B229" t="s">
        <v>31</v>
      </c>
      <c r="C229">
        <v>635</v>
      </c>
      <c r="D229">
        <v>1</v>
      </c>
      <c r="E229" t="s">
        <v>29</v>
      </c>
      <c r="F229" t="s">
        <v>30</v>
      </c>
      <c r="G229" t="str">
        <f>"2026-05-17 17:27:25.258"</f>
        <v>2026-05-17 17:27:25.258</v>
      </c>
      <c r="H229" t="s">
        <v>21</v>
      </c>
      <c r="I229">
        <v>4.2699999999999996</v>
      </c>
      <c r="J229" t="s">
        <v>36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"2026-05-17 08:20:22.700"</f>
        <v>2026-05-17 08:20:22.700</v>
      </c>
      <c r="H230" t="s">
        <v>21</v>
      </c>
    </row>
    <row r="231" spans="1:10" x14ac:dyDescent="0.25">
      <c r="A231" s="1">
        <v>26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"2026-05-17 04:57:45.671"</f>
        <v>2026-05-17 04:57:45.671</v>
      </c>
      <c r="H231" t="s">
        <v>21</v>
      </c>
    </row>
    <row r="232" spans="1:10" x14ac:dyDescent="0.25">
      <c r="A232" s="1">
        <v>27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"2026-05-17 04:28:18.671"</f>
        <v>2026-05-17 04:28:18.671</v>
      </c>
      <c r="H232" t="s">
        <v>21</v>
      </c>
    </row>
    <row r="233" spans="1:10" x14ac:dyDescent="0.25">
      <c r="A233" s="1">
        <v>28</v>
      </c>
      <c r="B233" t="s">
        <v>19</v>
      </c>
      <c r="C233">
        <v>706</v>
      </c>
      <c r="D233">
        <v>2</v>
      </c>
      <c r="E233" t="s">
        <v>39</v>
      </c>
      <c r="F233" t="s">
        <v>48</v>
      </c>
      <c r="G233" t="str">
        <f>"2026-05-17 03:51:03.730"</f>
        <v>2026-05-17 03:51:03.730</v>
      </c>
      <c r="H233" t="s">
        <v>21</v>
      </c>
      <c r="I233">
        <v>0</v>
      </c>
      <c r="J233" t="s">
        <v>27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"2026-05-17 03:49:55.670"</f>
        <v>2026-05-17 03:49:55.670</v>
      </c>
      <c r="H234" t="s">
        <v>21</v>
      </c>
      <c r="I234">
        <v>0</v>
      </c>
      <c r="J234" t="s">
        <v>22</v>
      </c>
    </row>
    <row r="235" spans="1:10" x14ac:dyDescent="0.25">
      <c r="A235" s="1">
        <v>30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"2026-05-17 03:01:06.700"</f>
        <v>2026-05-17 03:01:06.700</v>
      </c>
      <c r="H235" t="s">
        <v>21</v>
      </c>
      <c r="I235">
        <v>0</v>
      </c>
      <c r="J235" t="s">
        <v>22</v>
      </c>
    </row>
    <row r="236" spans="1:10" s="3" customFormat="1" x14ac:dyDescent="0.25">
      <c r="A236" s="2">
        <v>31</v>
      </c>
      <c r="B236" s="3" t="s">
        <v>28</v>
      </c>
      <c r="C236" s="3">
        <v>647</v>
      </c>
      <c r="D236" s="3">
        <v>1</v>
      </c>
      <c r="E236" s="3" t="s">
        <v>33</v>
      </c>
      <c r="F236" s="3" t="s">
        <v>34</v>
      </c>
      <c r="G236" s="3" t="str">
        <f>"2026-05-16 20:23:15.334"</f>
        <v>2026-05-16 20:23:15.334</v>
      </c>
      <c r="H236" s="3" t="s">
        <v>21</v>
      </c>
    </row>
    <row r="237" spans="1:10" s="3" customFormat="1" x14ac:dyDescent="0.25">
      <c r="A237" s="2">
        <v>32</v>
      </c>
      <c r="B237" s="3" t="s">
        <v>31</v>
      </c>
      <c r="C237" s="3">
        <v>647</v>
      </c>
      <c r="D237" s="3">
        <v>1</v>
      </c>
      <c r="E237" s="3" t="s">
        <v>33</v>
      </c>
      <c r="F237" s="3" t="s">
        <v>34</v>
      </c>
      <c r="G237" s="3" t="str">
        <f>"2026-05-16 20:23:12.834"</f>
        <v>2026-05-16 20:23:12.834</v>
      </c>
      <c r="H237" s="3" t="s">
        <v>21</v>
      </c>
      <c r="I237" s="3">
        <v>11.88</v>
      </c>
      <c r="J237" s="3" t="s">
        <v>35</v>
      </c>
    </row>
    <row r="238" spans="1:10" x14ac:dyDescent="0.25">
      <c r="A238" s="1">
        <v>33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"2026-05-16 13:45:39.672"</f>
        <v>2026-05-16 13:45:39.672</v>
      </c>
      <c r="H238" t="s">
        <v>21</v>
      </c>
      <c r="I238">
        <v>0</v>
      </c>
      <c r="J238" t="s">
        <v>22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"2026-05-16 12:39:23.660"</f>
        <v>2026-05-16 12:39:23.660</v>
      </c>
      <c r="H239" t="s">
        <v>21</v>
      </c>
    </row>
    <row r="240" spans="1:10" x14ac:dyDescent="0.25">
      <c r="A240" s="1">
        <v>35</v>
      </c>
      <c r="B240" t="s">
        <v>28</v>
      </c>
      <c r="C240">
        <v>635</v>
      </c>
      <c r="D240">
        <v>1</v>
      </c>
      <c r="E240" t="s">
        <v>29</v>
      </c>
      <c r="F240" t="s">
        <v>30</v>
      </c>
      <c r="G240" t="str">
        <f>"2026-05-16 10:34:28.296"</f>
        <v>2026-05-16 10:34:28.296</v>
      </c>
      <c r="H240" t="s">
        <v>21</v>
      </c>
    </row>
    <row r="241" spans="1:10" x14ac:dyDescent="0.25">
      <c r="A241" s="1">
        <v>36</v>
      </c>
      <c r="B241" t="s">
        <v>31</v>
      </c>
      <c r="C241">
        <v>635</v>
      </c>
      <c r="D241">
        <v>1</v>
      </c>
      <c r="E241" t="s">
        <v>29</v>
      </c>
      <c r="F241" t="s">
        <v>30</v>
      </c>
      <c r="G241" t="str">
        <f>"2026-05-16 10:28:03.796"</f>
        <v>2026-05-16 10:28:03.796</v>
      </c>
      <c r="H241" t="s">
        <v>21</v>
      </c>
      <c r="I241">
        <v>-0.28999999999999998</v>
      </c>
      <c r="J241" t="s">
        <v>36</v>
      </c>
    </row>
    <row r="242" spans="1:10" s="3" customFormat="1" x14ac:dyDescent="0.25">
      <c r="A242" s="2">
        <v>37</v>
      </c>
      <c r="B242" s="3" t="s">
        <v>28</v>
      </c>
      <c r="C242" s="3">
        <v>647</v>
      </c>
      <c r="D242" s="3">
        <v>1</v>
      </c>
      <c r="E242" s="3" t="s">
        <v>33</v>
      </c>
      <c r="F242" s="3" t="s">
        <v>34</v>
      </c>
      <c r="G242" s="3" t="str">
        <f>"2026-05-16 03:40:41.250"</f>
        <v>2026-05-16 03:40:41.250</v>
      </c>
      <c r="H242" s="3" t="s">
        <v>21</v>
      </c>
    </row>
    <row r="243" spans="1:10" s="3" customFormat="1" x14ac:dyDescent="0.25">
      <c r="A243" s="2">
        <v>38</v>
      </c>
      <c r="B243" s="3" t="s">
        <v>31</v>
      </c>
      <c r="C243" s="3">
        <v>647</v>
      </c>
      <c r="D243" s="3">
        <v>1</v>
      </c>
      <c r="E243" s="3" t="s">
        <v>33</v>
      </c>
      <c r="F243" s="3" t="s">
        <v>34</v>
      </c>
      <c r="G243" s="3" t="str">
        <f>"2026-05-16 03:40:23.350"</f>
        <v>2026-05-16 03:40:23.350</v>
      </c>
      <c r="H243" s="3" t="s">
        <v>21</v>
      </c>
      <c r="I243" s="3">
        <v>8.27</v>
      </c>
      <c r="J243" s="3" t="s">
        <v>35</v>
      </c>
    </row>
    <row r="244" spans="1:10" s="3" customFormat="1" x14ac:dyDescent="0.25">
      <c r="A244" s="2">
        <v>39</v>
      </c>
      <c r="B244" s="3" t="s">
        <v>28</v>
      </c>
      <c r="C244" s="3">
        <v>647</v>
      </c>
      <c r="D244" s="3">
        <v>1</v>
      </c>
      <c r="E244" s="3" t="s">
        <v>33</v>
      </c>
      <c r="F244" s="3" t="s">
        <v>34</v>
      </c>
      <c r="G244" s="3" t="str">
        <f>"2026-05-16 01:58:20.150"</f>
        <v>2026-05-16 01:58:20.150</v>
      </c>
      <c r="H244" s="3" t="s">
        <v>21</v>
      </c>
    </row>
    <row r="245" spans="1:10" s="3" customFormat="1" x14ac:dyDescent="0.25">
      <c r="A245" s="2">
        <v>40</v>
      </c>
      <c r="B245" s="3" t="s">
        <v>31</v>
      </c>
      <c r="C245" s="3">
        <v>647</v>
      </c>
      <c r="D245" s="3">
        <v>1</v>
      </c>
      <c r="E245" s="3" t="s">
        <v>33</v>
      </c>
      <c r="F245" s="3" t="s">
        <v>34</v>
      </c>
      <c r="G245" s="3" t="str">
        <f>"2026-05-16 01:58:18.350"</f>
        <v>2026-05-16 01:58:18.350</v>
      </c>
      <c r="H245" s="3" t="s">
        <v>21</v>
      </c>
      <c r="I245" s="3">
        <v>15.23</v>
      </c>
      <c r="J245" s="3" t="s">
        <v>35</v>
      </c>
    </row>
    <row r="246" spans="1:10" s="3" customFormat="1" x14ac:dyDescent="0.25">
      <c r="A246" s="2">
        <v>41</v>
      </c>
      <c r="B246" s="3" t="s">
        <v>28</v>
      </c>
      <c r="C246" s="3">
        <v>647</v>
      </c>
      <c r="D246" s="3">
        <v>1</v>
      </c>
      <c r="E246" s="3" t="s">
        <v>33</v>
      </c>
      <c r="F246" s="3" t="s">
        <v>34</v>
      </c>
      <c r="G246" s="3" t="str">
        <f>"2026-05-16 01:56:19.850"</f>
        <v>2026-05-16 01:56:19.850</v>
      </c>
      <c r="H246" s="3" t="s">
        <v>21</v>
      </c>
    </row>
    <row r="247" spans="1:10" s="3" customFormat="1" x14ac:dyDescent="0.25">
      <c r="A247" s="2">
        <v>42</v>
      </c>
      <c r="B247" s="3" t="s">
        <v>31</v>
      </c>
      <c r="C247" s="3">
        <v>647</v>
      </c>
      <c r="D247" s="3">
        <v>1</v>
      </c>
      <c r="E247" s="3" t="s">
        <v>33</v>
      </c>
      <c r="F247" s="3" t="s">
        <v>34</v>
      </c>
      <c r="G247" s="3" t="str">
        <f>"2026-05-16 01:56:18.150"</f>
        <v>2026-05-16 01:56:18.150</v>
      </c>
      <c r="H247" s="3" t="s">
        <v>21</v>
      </c>
      <c r="I247" s="3">
        <v>21</v>
      </c>
      <c r="J247" s="3" t="s">
        <v>35</v>
      </c>
    </row>
    <row r="248" spans="1:10" s="3" customFormat="1" x14ac:dyDescent="0.25">
      <c r="A248" s="2">
        <v>43</v>
      </c>
      <c r="B248" s="3" t="s">
        <v>28</v>
      </c>
      <c r="C248" s="3">
        <v>647</v>
      </c>
      <c r="D248" s="3">
        <v>1</v>
      </c>
      <c r="E248" s="3" t="s">
        <v>33</v>
      </c>
      <c r="F248" s="3" t="s">
        <v>34</v>
      </c>
      <c r="G248" s="3" t="str">
        <f>"2026-05-16 01:22:35.749"</f>
        <v>2026-05-16 01:22:35.749</v>
      </c>
      <c r="H248" s="3" t="s">
        <v>21</v>
      </c>
    </row>
    <row r="249" spans="1:10" s="3" customFormat="1" x14ac:dyDescent="0.25">
      <c r="A249" s="2">
        <v>44</v>
      </c>
      <c r="B249" s="3" t="s">
        <v>31</v>
      </c>
      <c r="C249" s="3">
        <v>647</v>
      </c>
      <c r="D249" s="3">
        <v>1</v>
      </c>
      <c r="E249" s="3" t="s">
        <v>33</v>
      </c>
      <c r="F249" s="3" t="s">
        <v>34</v>
      </c>
      <c r="G249" s="3" t="str">
        <f>"2026-05-16 01:22:33.049"</f>
        <v>2026-05-16 01:22:33.049</v>
      </c>
      <c r="H249" s="3" t="s">
        <v>21</v>
      </c>
      <c r="I249" s="3">
        <v>9.85</v>
      </c>
      <c r="J249" s="3" t="s">
        <v>35</v>
      </c>
    </row>
    <row r="250" spans="1:10" s="3" customFormat="1" x14ac:dyDescent="0.25">
      <c r="A250" s="2">
        <v>45</v>
      </c>
      <c r="B250" s="3" t="s">
        <v>28</v>
      </c>
      <c r="C250" s="3">
        <v>647</v>
      </c>
      <c r="D250" s="3">
        <v>1</v>
      </c>
      <c r="E250" s="3" t="s">
        <v>33</v>
      </c>
      <c r="F250" s="3" t="s">
        <v>34</v>
      </c>
      <c r="G250" s="3" t="str">
        <f>"2026-05-16 01:22:26.549"</f>
        <v>2026-05-16 01:22:26.549</v>
      </c>
      <c r="H250" s="3" t="s">
        <v>21</v>
      </c>
    </row>
    <row r="251" spans="1:10" s="3" customFormat="1" x14ac:dyDescent="0.25">
      <c r="A251" s="2">
        <v>46</v>
      </c>
      <c r="B251" s="3" t="s">
        <v>31</v>
      </c>
      <c r="C251" s="3">
        <v>647</v>
      </c>
      <c r="D251" s="3">
        <v>1</v>
      </c>
      <c r="E251" s="3" t="s">
        <v>33</v>
      </c>
      <c r="F251" s="3" t="s">
        <v>34</v>
      </c>
      <c r="G251" s="3" t="str">
        <f>"2026-05-16 01:22:22.450"</f>
        <v>2026-05-16 01:22:22.450</v>
      </c>
      <c r="H251" s="3" t="s">
        <v>21</v>
      </c>
      <c r="I251" s="3">
        <v>10.3</v>
      </c>
      <c r="J251" s="3" t="s">
        <v>35</v>
      </c>
    </row>
    <row r="252" spans="1:10" s="3" customFormat="1" x14ac:dyDescent="0.25">
      <c r="A252" s="2">
        <v>47</v>
      </c>
      <c r="B252" s="3" t="s">
        <v>28</v>
      </c>
      <c r="C252" s="3">
        <v>647</v>
      </c>
      <c r="D252" s="3">
        <v>1</v>
      </c>
      <c r="E252" s="3" t="s">
        <v>33</v>
      </c>
      <c r="F252" s="3" t="s">
        <v>34</v>
      </c>
      <c r="G252" s="3" t="str">
        <f>"2026-05-16 01:22:19.150"</f>
        <v>2026-05-16 01:22:19.150</v>
      </c>
      <c r="H252" s="3" t="s">
        <v>21</v>
      </c>
    </row>
    <row r="253" spans="1:10" s="3" customFormat="1" x14ac:dyDescent="0.25">
      <c r="A253" s="2">
        <v>48</v>
      </c>
      <c r="B253" s="3" t="s">
        <v>31</v>
      </c>
      <c r="C253" s="3">
        <v>647</v>
      </c>
      <c r="D253" s="3">
        <v>1</v>
      </c>
      <c r="E253" s="3" t="s">
        <v>33</v>
      </c>
      <c r="F253" s="3" t="s">
        <v>34</v>
      </c>
      <c r="G253" s="3" t="str">
        <f>"2026-05-16 01:22:18.150"</f>
        <v>2026-05-16 01:22:18.150</v>
      </c>
      <c r="H253" s="3" t="s">
        <v>21</v>
      </c>
      <c r="I253" s="3">
        <v>9.18</v>
      </c>
      <c r="J253" s="3" t="s">
        <v>35</v>
      </c>
    </row>
    <row r="254" spans="1:10" s="3" customFormat="1" x14ac:dyDescent="0.25">
      <c r="A254" s="2">
        <v>49</v>
      </c>
      <c r="B254" s="3" t="s">
        <v>28</v>
      </c>
      <c r="C254" s="3">
        <v>647</v>
      </c>
      <c r="D254" s="3">
        <v>1</v>
      </c>
      <c r="E254" s="3" t="s">
        <v>33</v>
      </c>
      <c r="F254" s="3" t="s">
        <v>34</v>
      </c>
      <c r="G254" s="3" t="str">
        <f>"2026-05-16 01:22:16.350"</f>
        <v>2026-05-16 01:22:16.350</v>
      </c>
      <c r="H254" s="3" t="s">
        <v>21</v>
      </c>
    </row>
    <row r="255" spans="1:10" s="3" customFormat="1" x14ac:dyDescent="0.25">
      <c r="A255" s="2">
        <v>50</v>
      </c>
      <c r="B255" s="3" t="s">
        <v>31</v>
      </c>
      <c r="C255" s="3">
        <v>647</v>
      </c>
      <c r="D255" s="3">
        <v>1</v>
      </c>
      <c r="E255" s="3" t="s">
        <v>33</v>
      </c>
      <c r="F255" s="3" t="s">
        <v>34</v>
      </c>
      <c r="G255" s="3" t="str">
        <f>"2026-05-16 01:22:12.450"</f>
        <v>2026-05-16 01:22:12.450</v>
      </c>
      <c r="H255" s="3" t="s">
        <v>21</v>
      </c>
      <c r="I255" s="3">
        <v>9.39</v>
      </c>
      <c r="J255" s="3" t="s">
        <v>35</v>
      </c>
    </row>
    <row r="256" spans="1:10" x14ac:dyDescent="0.25">
      <c r="A256" s="1">
        <v>51</v>
      </c>
      <c r="B256" t="s">
        <v>28</v>
      </c>
      <c r="C256">
        <v>635</v>
      </c>
      <c r="D256">
        <v>1</v>
      </c>
      <c r="E256" t="s">
        <v>29</v>
      </c>
      <c r="F256" t="s">
        <v>30</v>
      </c>
      <c r="G256" t="str">
        <f>"2026-05-15 21:16:27.496"</f>
        <v>2026-05-15 21:16:27.496</v>
      </c>
      <c r="H256" t="s">
        <v>21</v>
      </c>
    </row>
    <row r="257" spans="1:10" x14ac:dyDescent="0.25">
      <c r="A257" s="1">
        <v>52</v>
      </c>
      <c r="B257" t="s">
        <v>31</v>
      </c>
      <c r="C257">
        <v>635</v>
      </c>
      <c r="D257">
        <v>1</v>
      </c>
      <c r="E257" t="s">
        <v>29</v>
      </c>
      <c r="F257" t="s">
        <v>30</v>
      </c>
      <c r="G257" t="str">
        <f>"2026-05-15 20:52:59.096"</f>
        <v>2026-05-15 20:52:59.096</v>
      </c>
      <c r="H257" t="s">
        <v>21</v>
      </c>
      <c r="I257">
        <v>8.36</v>
      </c>
      <c r="J257" t="s">
        <v>32</v>
      </c>
    </row>
    <row r="258" spans="1:10" x14ac:dyDescent="0.25">
      <c r="A258" s="1">
        <v>53</v>
      </c>
      <c r="B258" t="s">
        <v>28</v>
      </c>
      <c r="C258">
        <v>635</v>
      </c>
      <c r="D258">
        <v>1</v>
      </c>
      <c r="E258" t="s">
        <v>29</v>
      </c>
      <c r="F258" t="s">
        <v>30</v>
      </c>
      <c r="G258" t="str">
        <f>"2026-05-15 06:54:57.496"</f>
        <v>2026-05-15 06:54:57.496</v>
      </c>
      <c r="H258" t="s">
        <v>21</v>
      </c>
    </row>
    <row r="259" spans="1:10" x14ac:dyDescent="0.25">
      <c r="A259" s="1">
        <v>54</v>
      </c>
      <c r="B259" t="s">
        <v>31</v>
      </c>
      <c r="C259">
        <v>635</v>
      </c>
      <c r="D259">
        <v>1</v>
      </c>
      <c r="E259" t="s">
        <v>29</v>
      </c>
      <c r="F259" t="s">
        <v>30</v>
      </c>
      <c r="G259" t="str">
        <f>"2026-05-15 06:30:21.996"</f>
        <v>2026-05-15 06:30:21.996</v>
      </c>
      <c r="H259" t="s">
        <v>21</v>
      </c>
      <c r="I259">
        <v>3.29</v>
      </c>
      <c r="J259" t="s">
        <v>32</v>
      </c>
    </row>
    <row r="260" spans="1:10" s="3" customFormat="1" x14ac:dyDescent="0.25">
      <c r="A260" s="2">
        <v>55</v>
      </c>
      <c r="B260" s="3" t="s">
        <v>28</v>
      </c>
      <c r="C260" s="3">
        <v>647</v>
      </c>
      <c r="D260" s="3">
        <v>1</v>
      </c>
      <c r="E260" s="3" t="s">
        <v>33</v>
      </c>
      <c r="F260" s="3" t="s">
        <v>34</v>
      </c>
      <c r="G260" s="3" t="str">
        <f>"2026-05-15 04:23:06.950"</f>
        <v>2026-05-15 04:23:06.950</v>
      </c>
      <c r="H260" s="3" t="s">
        <v>21</v>
      </c>
    </row>
    <row r="261" spans="1:10" s="3" customFormat="1" x14ac:dyDescent="0.25">
      <c r="A261" s="2">
        <v>56</v>
      </c>
      <c r="B261" s="3" t="s">
        <v>31</v>
      </c>
      <c r="C261" s="3">
        <v>647</v>
      </c>
      <c r="D261" s="3">
        <v>1</v>
      </c>
      <c r="E261" s="3" t="s">
        <v>33</v>
      </c>
      <c r="F261" s="3" t="s">
        <v>34</v>
      </c>
      <c r="G261" s="3" t="str">
        <f>"2026-05-15 04:23:01.450"</f>
        <v>2026-05-15 04:23:01.450</v>
      </c>
      <c r="H261" s="3" t="s">
        <v>21</v>
      </c>
      <c r="I261" s="3">
        <v>8.94</v>
      </c>
      <c r="J261" s="3" t="s">
        <v>35</v>
      </c>
    </row>
    <row r="262" spans="1:10" s="3" customFormat="1" x14ac:dyDescent="0.25">
      <c r="A262" s="2">
        <v>57</v>
      </c>
      <c r="B262" s="3" t="s">
        <v>28</v>
      </c>
      <c r="C262" s="3">
        <v>647</v>
      </c>
      <c r="D262" s="3">
        <v>1</v>
      </c>
      <c r="E262" s="3" t="s">
        <v>33</v>
      </c>
      <c r="F262" s="3" t="s">
        <v>34</v>
      </c>
      <c r="G262" s="3" t="str">
        <f>"2026-05-15 04:22:50.350"</f>
        <v>2026-05-15 04:22:50.350</v>
      </c>
      <c r="H262" s="3" t="s">
        <v>21</v>
      </c>
    </row>
    <row r="263" spans="1:10" s="3" customFormat="1" x14ac:dyDescent="0.25">
      <c r="A263" s="2">
        <v>58</v>
      </c>
      <c r="B263" s="3" t="s">
        <v>31</v>
      </c>
      <c r="C263" s="3">
        <v>647</v>
      </c>
      <c r="D263" s="3">
        <v>1</v>
      </c>
      <c r="E263" s="3" t="s">
        <v>33</v>
      </c>
      <c r="F263" s="3" t="s">
        <v>34</v>
      </c>
      <c r="G263" s="3" t="str">
        <f>"2026-05-15 04:22:27.850"</f>
        <v>2026-05-15 04:22:27.850</v>
      </c>
      <c r="H263" s="3" t="s">
        <v>21</v>
      </c>
      <c r="I263" s="3">
        <v>11.58</v>
      </c>
      <c r="J263" s="3" t="s">
        <v>35</v>
      </c>
    </row>
    <row r="264" spans="1:10" s="3" customFormat="1" x14ac:dyDescent="0.25">
      <c r="A264" s="2">
        <v>59</v>
      </c>
      <c r="B264" s="3" t="s">
        <v>28</v>
      </c>
      <c r="C264" s="3">
        <v>647</v>
      </c>
      <c r="D264" s="3">
        <v>1</v>
      </c>
      <c r="E264" s="3" t="s">
        <v>33</v>
      </c>
      <c r="F264" s="3" t="s">
        <v>34</v>
      </c>
      <c r="G264" s="3" t="str">
        <f>"2026-05-15 01:16:01.350"</f>
        <v>2026-05-15 01:16:01.350</v>
      </c>
      <c r="H264" s="3" t="s">
        <v>21</v>
      </c>
    </row>
    <row r="265" spans="1:10" s="3" customFormat="1" x14ac:dyDescent="0.25">
      <c r="A265" s="2">
        <v>60</v>
      </c>
      <c r="B265" s="3" t="s">
        <v>31</v>
      </c>
      <c r="C265" s="3">
        <v>647</v>
      </c>
      <c r="D265" s="3">
        <v>1</v>
      </c>
      <c r="E265" s="3" t="s">
        <v>33</v>
      </c>
      <c r="F265" s="3" t="s">
        <v>34</v>
      </c>
      <c r="G265" s="3" t="str">
        <f>"2026-05-15 01:15:56.250"</f>
        <v>2026-05-15 01:15:56.250</v>
      </c>
      <c r="H265" s="3" t="s">
        <v>21</v>
      </c>
      <c r="I265" s="3">
        <v>14.06</v>
      </c>
      <c r="J265" s="3" t="s">
        <v>35</v>
      </c>
    </row>
    <row r="266" spans="1:10" s="3" customFormat="1" x14ac:dyDescent="0.25">
      <c r="A266" s="2">
        <v>61</v>
      </c>
      <c r="B266" s="3" t="s">
        <v>28</v>
      </c>
      <c r="C266" s="3">
        <v>647</v>
      </c>
      <c r="D266" s="3">
        <v>1</v>
      </c>
      <c r="E266" s="3" t="s">
        <v>33</v>
      </c>
      <c r="F266" s="3" t="s">
        <v>34</v>
      </c>
      <c r="G266" s="3" t="str">
        <f>"2026-05-14 22:44:42.950"</f>
        <v>2026-05-14 22:44:42.950</v>
      </c>
      <c r="H266" s="3" t="s">
        <v>21</v>
      </c>
    </row>
    <row r="267" spans="1:10" s="3" customFormat="1" x14ac:dyDescent="0.25">
      <c r="A267" s="2">
        <v>62</v>
      </c>
      <c r="B267" s="3" t="s">
        <v>31</v>
      </c>
      <c r="C267" s="3">
        <v>647</v>
      </c>
      <c r="D267" s="3">
        <v>1</v>
      </c>
      <c r="E267" s="3" t="s">
        <v>33</v>
      </c>
      <c r="F267" s="3" t="s">
        <v>34</v>
      </c>
      <c r="G267" s="3" t="str">
        <f>"2026-05-14 22:44:41.450"</f>
        <v>2026-05-14 22:44:41.450</v>
      </c>
      <c r="H267" s="3" t="s">
        <v>21</v>
      </c>
      <c r="I267" s="3">
        <v>14.16</v>
      </c>
      <c r="J267" s="3" t="s">
        <v>35</v>
      </c>
    </row>
    <row r="268" spans="1:10" s="3" customFormat="1" x14ac:dyDescent="0.25">
      <c r="A268" s="2">
        <v>63</v>
      </c>
      <c r="B268" s="3" t="s">
        <v>28</v>
      </c>
      <c r="C268" s="3">
        <v>647</v>
      </c>
      <c r="D268" s="3">
        <v>1</v>
      </c>
      <c r="E268" s="3" t="s">
        <v>33</v>
      </c>
      <c r="F268" s="3" t="s">
        <v>34</v>
      </c>
      <c r="G268" s="3" t="str">
        <f>"2026-05-14 22:44:38.150"</f>
        <v>2026-05-14 22:44:38.150</v>
      </c>
      <c r="H268" s="3" t="s">
        <v>21</v>
      </c>
    </row>
    <row r="269" spans="1:10" s="3" customFormat="1" x14ac:dyDescent="0.25">
      <c r="A269" s="2">
        <v>64</v>
      </c>
      <c r="B269" s="3" t="s">
        <v>31</v>
      </c>
      <c r="C269" s="3">
        <v>647</v>
      </c>
      <c r="D269" s="3">
        <v>1</v>
      </c>
      <c r="E269" s="3" t="s">
        <v>33</v>
      </c>
      <c r="F269" s="3" t="s">
        <v>34</v>
      </c>
      <c r="G269" s="3" t="str">
        <f>"2026-05-14 22:44:22.050"</f>
        <v>2026-05-14 22:44:22.050</v>
      </c>
      <c r="H269" s="3" t="s">
        <v>21</v>
      </c>
      <c r="I269" s="3">
        <v>10.119999999999999</v>
      </c>
      <c r="J269" s="3" t="s">
        <v>35</v>
      </c>
    </row>
    <row r="270" spans="1:10" s="3" customFormat="1" x14ac:dyDescent="0.25">
      <c r="A270" s="2">
        <v>65</v>
      </c>
      <c r="B270" s="3" t="s">
        <v>28</v>
      </c>
      <c r="C270" s="3">
        <v>647</v>
      </c>
      <c r="D270" s="3">
        <v>1</v>
      </c>
      <c r="E270" s="3" t="s">
        <v>33</v>
      </c>
      <c r="F270" s="3" t="s">
        <v>34</v>
      </c>
      <c r="G270" s="3" t="str">
        <f>"2026-05-14 22:44:19.950"</f>
        <v>2026-05-14 22:44:19.950</v>
      </c>
      <c r="H270" s="3" t="s">
        <v>21</v>
      </c>
    </row>
    <row r="271" spans="1:10" s="3" customFormat="1" x14ac:dyDescent="0.25">
      <c r="A271" s="2">
        <v>66</v>
      </c>
      <c r="B271" s="3" t="s">
        <v>31</v>
      </c>
      <c r="C271" s="3">
        <v>647</v>
      </c>
      <c r="D271" s="3">
        <v>1</v>
      </c>
      <c r="E271" s="3" t="s">
        <v>33</v>
      </c>
      <c r="F271" s="3" t="s">
        <v>34</v>
      </c>
      <c r="G271" s="3" t="str">
        <f>"2026-05-14 22:43:55.850"</f>
        <v>2026-05-14 22:43:55.850</v>
      </c>
      <c r="H271" s="3" t="s">
        <v>21</v>
      </c>
      <c r="I271" s="3">
        <v>8.7899999999999991</v>
      </c>
      <c r="J271" s="3" t="s">
        <v>35</v>
      </c>
    </row>
    <row r="272" spans="1:10" x14ac:dyDescent="0.25">
      <c r="A272" s="1">
        <v>67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"2026-05-14 12:26:01.678"</f>
        <v>2026-05-14 12:26:01.678</v>
      </c>
      <c r="H272" t="s">
        <v>21</v>
      </c>
      <c r="I272">
        <v>0</v>
      </c>
      <c r="J272" t="s">
        <v>22</v>
      </c>
    </row>
    <row r="273" spans="1:10" x14ac:dyDescent="0.25">
      <c r="A273" s="1">
        <v>68</v>
      </c>
      <c r="B273" t="s">
        <v>28</v>
      </c>
      <c r="C273">
        <v>619</v>
      </c>
      <c r="D273">
        <v>1</v>
      </c>
      <c r="E273" t="s">
        <v>43</v>
      </c>
      <c r="F273" t="s">
        <v>30</v>
      </c>
      <c r="G273" t="str">
        <f>"2026-05-14 02:34:48.509"</f>
        <v>2026-05-14 02:34:48.509</v>
      </c>
      <c r="H273" t="s">
        <v>44</v>
      </c>
    </row>
    <row r="274" spans="1:10" x14ac:dyDescent="0.25">
      <c r="A274" s="1">
        <v>69</v>
      </c>
      <c r="B274" t="s">
        <v>31</v>
      </c>
      <c r="C274">
        <v>619</v>
      </c>
      <c r="D274">
        <v>1</v>
      </c>
      <c r="E274" t="s">
        <v>43</v>
      </c>
      <c r="F274" t="s">
        <v>30</v>
      </c>
      <c r="G274" t="str">
        <f>"2026-05-14 02:34:40.809"</f>
        <v>2026-05-14 02:34:40.809</v>
      </c>
      <c r="H274" t="s">
        <v>44</v>
      </c>
      <c r="I274">
        <v>8.14</v>
      </c>
      <c r="J274" t="s">
        <v>35</v>
      </c>
    </row>
    <row r="275" spans="1:10" x14ac:dyDescent="0.25">
      <c r="A275" s="1">
        <v>70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"2026-05-13 22:18:12.651"</f>
        <v>2026-05-13 22:18:12.651</v>
      </c>
      <c r="H275" t="s">
        <v>21</v>
      </c>
      <c r="I275">
        <v>0</v>
      </c>
      <c r="J275" t="s">
        <v>22</v>
      </c>
    </row>
    <row r="276" spans="1:10" x14ac:dyDescent="0.25">
      <c r="A276" s="1">
        <v>71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"2026-05-13 21:52:14.717"</f>
        <v>2026-05-13 21:52:14.717</v>
      </c>
      <c r="H276" t="s">
        <v>21</v>
      </c>
      <c r="I276">
        <v>0</v>
      </c>
      <c r="J276" t="s">
        <v>22</v>
      </c>
    </row>
    <row r="277" spans="1:10" x14ac:dyDescent="0.25">
      <c r="A277" s="1">
        <v>72</v>
      </c>
      <c r="B277" t="s">
        <v>50</v>
      </c>
      <c r="C277">
        <v>47</v>
      </c>
      <c r="D277">
        <v>2</v>
      </c>
      <c r="E277" t="s">
        <v>24</v>
      </c>
      <c r="F277" t="s">
        <v>25</v>
      </c>
      <c r="G277" t="str">
        <f>"2026-05-13 21:21:14.427"</f>
        <v>2026-05-13 21:21:14.427</v>
      </c>
      <c r="H277" t="s">
        <v>26</v>
      </c>
    </row>
    <row r="278" spans="1:10" x14ac:dyDescent="0.25">
      <c r="A278" s="1">
        <v>73</v>
      </c>
      <c r="B278" t="s">
        <v>19</v>
      </c>
      <c r="C278">
        <v>706</v>
      </c>
      <c r="D278">
        <v>2</v>
      </c>
      <c r="E278" t="s">
        <v>39</v>
      </c>
      <c r="F278" t="s">
        <v>48</v>
      </c>
      <c r="G278" t="str">
        <f>"2026-05-13 21:21:10.726"</f>
        <v>2026-05-13 21:21:10.726</v>
      </c>
      <c r="H278" t="s">
        <v>21</v>
      </c>
      <c r="I278">
        <v>0</v>
      </c>
      <c r="J278" t="s">
        <v>27</v>
      </c>
    </row>
    <row r="279" spans="1:10" x14ac:dyDescent="0.25">
      <c r="A279" s="1">
        <v>74</v>
      </c>
      <c r="B279" t="s">
        <v>23</v>
      </c>
      <c r="C279">
        <v>47</v>
      </c>
      <c r="D279">
        <v>2</v>
      </c>
      <c r="E279" t="s">
        <v>24</v>
      </c>
      <c r="F279" t="s">
        <v>25</v>
      </c>
      <c r="G279" t="str">
        <f>"2026-05-13 21:20:59.327"</f>
        <v>2026-05-13 21:20:59.327</v>
      </c>
      <c r="H279" t="s">
        <v>26</v>
      </c>
      <c r="I279">
        <v>0</v>
      </c>
      <c r="J279" t="s">
        <v>27</v>
      </c>
    </row>
    <row r="280" spans="1:10" x14ac:dyDescent="0.25">
      <c r="A280" s="1">
        <v>75</v>
      </c>
      <c r="B280" t="s">
        <v>19</v>
      </c>
      <c r="C280">
        <v>706</v>
      </c>
      <c r="D280">
        <v>2</v>
      </c>
      <c r="E280" t="s">
        <v>39</v>
      </c>
      <c r="F280" t="s">
        <v>48</v>
      </c>
      <c r="G280" t="str">
        <f>"2026-05-13 21:20:54.726"</f>
        <v>2026-05-13 21:20:54.726</v>
      </c>
      <c r="H280" t="s">
        <v>21</v>
      </c>
      <c r="I280">
        <v>0</v>
      </c>
      <c r="J280" t="s">
        <v>27</v>
      </c>
    </row>
    <row r="281" spans="1:10" x14ac:dyDescent="0.25">
      <c r="A281" s="1">
        <v>76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"2026-05-13 21:12:48.646"</f>
        <v>2026-05-13 21:12:48.646</v>
      </c>
      <c r="H281" t="s">
        <v>21</v>
      </c>
    </row>
    <row r="282" spans="1:10" x14ac:dyDescent="0.25">
      <c r="A282" s="1">
        <v>77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"2026-05-13 19:48:21.728"</f>
        <v>2026-05-13 19:48:21.728</v>
      </c>
      <c r="H282" t="s">
        <v>21</v>
      </c>
      <c r="I282">
        <v>0</v>
      </c>
      <c r="J282" t="s">
        <v>22</v>
      </c>
    </row>
    <row r="283" spans="1:10" x14ac:dyDescent="0.25">
      <c r="A283" s="1">
        <v>78</v>
      </c>
      <c r="B283" t="s">
        <v>19</v>
      </c>
      <c r="C283">
        <v>706</v>
      </c>
      <c r="D283">
        <v>4</v>
      </c>
      <c r="E283" t="s">
        <v>39</v>
      </c>
      <c r="F283" t="s">
        <v>40</v>
      </c>
      <c r="G283" t="str">
        <f>"2026-05-13 19:08:20.473"</f>
        <v>2026-05-13 19:08:20.473</v>
      </c>
      <c r="H283" t="s">
        <v>21</v>
      </c>
      <c r="I283">
        <v>0</v>
      </c>
      <c r="J283" t="s">
        <v>27</v>
      </c>
    </row>
    <row r="284" spans="1:10" x14ac:dyDescent="0.25">
      <c r="A284" s="1">
        <v>79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"2026-05-13 19:05:24.643"</f>
        <v>2026-05-13 19:05:24.643</v>
      </c>
      <c r="H284" t="s">
        <v>21</v>
      </c>
      <c r="I284">
        <v>0</v>
      </c>
      <c r="J284" t="s">
        <v>22</v>
      </c>
    </row>
    <row r="285" spans="1:10" x14ac:dyDescent="0.25">
      <c r="A285" s="1">
        <v>80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"2026-05-13 18:54:10.680"</f>
        <v>2026-05-13 18:54:10.680</v>
      </c>
      <c r="H285" t="s">
        <v>21</v>
      </c>
      <c r="I285">
        <v>0</v>
      </c>
      <c r="J285" t="s">
        <v>22</v>
      </c>
    </row>
    <row r="286" spans="1:10" x14ac:dyDescent="0.25">
      <c r="A286" s="1">
        <v>81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"2026-05-13 13:57:48.645"</f>
        <v>2026-05-13 13:57:48.645</v>
      </c>
      <c r="H286" t="s">
        <v>21</v>
      </c>
      <c r="I286">
        <v>0</v>
      </c>
      <c r="J286" t="s">
        <v>22</v>
      </c>
    </row>
    <row r="287" spans="1:10" x14ac:dyDescent="0.25">
      <c r="A287" s="1">
        <v>82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"2026-05-13 12:39:35.813"</f>
        <v>2026-05-13 12:39:35.813</v>
      </c>
      <c r="H287" t="s">
        <v>21</v>
      </c>
    </row>
    <row r="288" spans="1:10" x14ac:dyDescent="0.25">
      <c r="A288" s="1">
        <v>83</v>
      </c>
      <c r="B288" t="s">
        <v>28</v>
      </c>
      <c r="C288">
        <v>635</v>
      </c>
      <c r="D288">
        <v>1</v>
      </c>
      <c r="E288" t="s">
        <v>29</v>
      </c>
      <c r="F288" t="s">
        <v>30</v>
      </c>
      <c r="G288" t="str">
        <f>"2026-05-13 11:31:51.330"</f>
        <v>2026-05-13 11:31:51.330</v>
      </c>
      <c r="H288" t="s">
        <v>21</v>
      </c>
    </row>
    <row r="289" spans="1:10" x14ac:dyDescent="0.25">
      <c r="A289" s="1">
        <v>84</v>
      </c>
      <c r="B289" t="s">
        <v>31</v>
      </c>
      <c r="C289">
        <v>635</v>
      </c>
      <c r="D289">
        <v>1</v>
      </c>
      <c r="E289" t="s">
        <v>29</v>
      </c>
      <c r="F289" t="s">
        <v>30</v>
      </c>
      <c r="G289" t="str">
        <f>"2026-05-13 11:24:13.830"</f>
        <v>2026-05-13 11:24:13.830</v>
      </c>
      <c r="H289" t="s">
        <v>21</v>
      </c>
      <c r="I289">
        <v>3.83</v>
      </c>
      <c r="J289" t="s">
        <v>35</v>
      </c>
    </row>
    <row r="290" spans="1:10" x14ac:dyDescent="0.25">
      <c r="A290" s="1">
        <v>85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"2026-05-13 10:13:28.762"</f>
        <v>2026-05-13 10:13:28.762</v>
      </c>
      <c r="H290" t="s">
        <v>21</v>
      </c>
      <c r="I290">
        <v>0</v>
      </c>
      <c r="J290" t="s">
        <v>22</v>
      </c>
    </row>
    <row r="291" spans="1:10" x14ac:dyDescent="0.25">
      <c r="A291" s="1">
        <v>86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"2026-05-13 09:43:34.647"</f>
        <v>2026-05-13 09:43:34.647</v>
      </c>
      <c r="H291" t="s">
        <v>21</v>
      </c>
      <c r="I291">
        <v>0</v>
      </c>
      <c r="J291" t="s">
        <v>22</v>
      </c>
    </row>
    <row r="292" spans="1:10" x14ac:dyDescent="0.25">
      <c r="A292" s="1">
        <v>87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"2026-05-13 09:23:08.698"</f>
        <v>2026-05-13 09:23:08.698</v>
      </c>
      <c r="H292" t="s">
        <v>21</v>
      </c>
      <c r="I292">
        <v>0</v>
      </c>
      <c r="J292" t="s">
        <v>22</v>
      </c>
    </row>
    <row r="293" spans="1:10" x14ac:dyDescent="0.25">
      <c r="A293" s="1">
        <v>88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"2026-05-13 07:23:41.644"</f>
        <v>2026-05-13 07:23:41.644</v>
      </c>
      <c r="H293" t="s">
        <v>21</v>
      </c>
      <c r="I293">
        <v>0</v>
      </c>
      <c r="J293" t="s">
        <v>22</v>
      </c>
    </row>
    <row r="294" spans="1:10" x14ac:dyDescent="0.25">
      <c r="A294" s="1">
        <v>89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"2026-05-13 06:59:44.636"</f>
        <v>2026-05-13 06:59:44.636</v>
      </c>
      <c r="H294" t="s">
        <v>21</v>
      </c>
    </row>
    <row r="295" spans="1:10" x14ac:dyDescent="0.25">
      <c r="A295" s="1">
        <v>90</v>
      </c>
      <c r="B295" t="s">
        <v>28</v>
      </c>
      <c r="C295">
        <v>619</v>
      </c>
      <c r="D295">
        <v>1</v>
      </c>
      <c r="E295" t="s">
        <v>43</v>
      </c>
      <c r="F295" t="s">
        <v>30</v>
      </c>
      <c r="G295" t="str">
        <f>"2026-05-13 06:52:25.224"</f>
        <v>2026-05-13 06:52:25.224</v>
      </c>
      <c r="H295" t="s">
        <v>44</v>
      </c>
    </row>
    <row r="296" spans="1:10" x14ac:dyDescent="0.25">
      <c r="A296" s="1">
        <v>91</v>
      </c>
      <c r="B296" t="s">
        <v>31</v>
      </c>
      <c r="C296">
        <v>619</v>
      </c>
      <c r="D296">
        <v>1</v>
      </c>
      <c r="E296" t="s">
        <v>43</v>
      </c>
      <c r="F296" t="s">
        <v>30</v>
      </c>
      <c r="G296" t="str">
        <f>"2026-05-13 06:52:09.724"</f>
        <v>2026-05-13 06:52:09.724</v>
      </c>
      <c r="H296" t="s">
        <v>44</v>
      </c>
      <c r="I296">
        <v>0</v>
      </c>
      <c r="J296" t="s">
        <v>27</v>
      </c>
    </row>
    <row r="297" spans="1:10" x14ac:dyDescent="0.25">
      <c r="A297" s="1">
        <v>92</v>
      </c>
      <c r="B297" t="s">
        <v>19</v>
      </c>
      <c r="C297">
        <v>706</v>
      </c>
      <c r="D297">
        <v>4</v>
      </c>
      <c r="E297" t="s">
        <v>39</v>
      </c>
      <c r="F297" t="s">
        <v>40</v>
      </c>
      <c r="G297" t="str">
        <f>"2026-05-13 06:51:50.274"</f>
        <v>2026-05-13 06:51:50.274</v>
      </c>
      <c r="H297" t="s">
        <v>21</v>
      </c>
      <c r="I297">
        <v>0</v>
      </c>
      <c r="J297" t="s">
        <v>27</v>
      </c>
    </row>
    <row r="298" spans="1:10" x14ac:dyDescent="0.25">
      <c r="A298" s="1">
        <v>93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"2026-05-13 06:51:21.654"</f>
        <v>2026-05-13 06:51:21.654</v>
      </c>
      <c r="H298" t="s">
        <v>21</v>
      </c>
      <c r="I298">
        <v>0</v>
      </c>
      <c r="J298" t="s">
        <v>22</v>
      </c>
    </row>
    <row r="299" spans="1:10" x14ac:dyDescent="0.25">
      <c r="A299" s="1">
        <v>94</v>
      </c>
      <c r="B299" t="s">
        <v>28</v>
      </c>
      <c r="C299">
        <v>619</v>
      </c>
      <c r="D299">
        <v>1</v>
      </c>
      <c r="E299" t="s">
        <v>43</v>
      </c>
      <c r="F299" t="s">
        <v>30</v>
      </c>
      <c r="G299" t="str">
        <f>"2026-05-13 06:45:30.697"</f>
        <v>2026-05-13 06:45:30.697</v>
      </c>
      <c r="H299" t="s">
        <v>44</v>
      </c>
    </row>
    <row r="300" spans="1:10" x14ac:dyDescent="0.25">
      <c r="A300" s="1">
        <v>95</v>
      </c>
      <c r="B300" t="s">
        <v>31</v>
      </c>
      <c r="C300">
        <v>619</v>
      </c>
      <c r="D300">
        <v>1</v>
      </c>
      <c r="E300" t="s">
        <v>43</v>
      </c>
      <c r="F300" t="s">
        <v>30</v>
      </c>
      <c r="G300" t="str">
        <f>"2026-05-13 06:43:31.197"</f>
        <v>2026-05-13 06:43:31.197</v>
      </c>
      <c r="H300" t="s">
        <v>44</v>
      </c>
      <c r="I300">
        <v>0</v>
      </c>
      <c r="J300" t="s">
        <v>51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"2026-05-13 06:43:24.630"</f>
        <v>2026-05-13 06:43:24.630</v>
      </c>
      <c r="H301" t="s">
        <v>21</v>
      </c>
    </row>
    <row r="302" spans="1:10" x14ac:dyDescent="0.25">
      <c r="A302" s="1">
        <v>97</v>
      </c>
      <c r="B302" t="s">
        <v>28</v>
      </c>
      <c r="C302">
        <v>619</v>
      </c>
      <c r="D302">
        <v>1</v>
      </c>
      <c r="E302" t="s">
        <v>43</v>
      </c>
      <c r="F302" t="s">
        <v>30</v>
      </c>
      <c r="G302" t="str">
        <f>"2026-05-13 06:41:43.642"</f>
        <v>2026-05-13 06:41:43.642</v>
      </c>
      <c r="H302" t="s">
        <v>44</v>
      </c>
    </row>
    <row r="303" spans="1:10" x14ac:dyDescent="0.25">
      <c r="A303" s="1">
        <v>98</v>
      </c>
      <c r="B303" t="s">
        <v>31</v>
      </c>
      <c r="C303">
        <v>619</v>
      </c>
      <c r="D303">
        <v>1</v>
      </c>
      <c r="E303" t="s">
        <v>43</v>
      </c>
      <c r="F303" t="s">
        <v>30</v>
      </c>
      <c r="G303" t="str">
        <f>"2026-05-13 06:39:57.942"</f>
        <v>2026-05-13 06:39:57.942</v>
      </c>
      <c r="H303" t="s">
        <v>44</v>
      </c>
      <c r="I303">
        <v>0</v>
      </c>
      <c r="J303" t="s">
        <v>36</v>
      </c>
    </row>
    <row r="304" spans="1:10" x14ac:dyDescent="0.25">
      <c r="A304" s="1">
        <v>99</v>
      </c>
      <c r="B304" t="s">
        <v>19</v>
      </c>
      <c r="C304">
        <v>706</v>
      </c>
      <c r="D304">
        <v>3</v>
      </c>
      <c r="E304" t="s">
        <v>39</v>
      </c>
      <c r="F304" t="s">
        <v>49</v>
      </c>
      <c r="G304" t="str">
        <f>"2026-05-13 06:39:34.235"</f>
        <v>2026-05-13 06:39:34.235</v>
      </c>
      <c r="H304" t="s">
        <v>21</v>
      </c>
      <c r="I304">
        <v>0</v>
      </c>
      <c r="J304" t="s">
        <v>27</v>
      </c>
    </row>
    <row r="305" spans="1:10" x14ac:dyDescent="0.25">
      <c r="A305" s="1">
        <v>0</v>
      </c>
      <c r="B305" t="s">
        <v>28</v>
      </c>
      <c r="C305">
        <v>619</v>
      </c>
      <c r="D305">
        <v>1</v>
      </c>
      <c r="E305" t="s">
        <v>43</v>
      </c>
      <c r="F305" t="s">
        <v>30</v>
      </c>
      <c r="G305" t="str">
        <f>"2026-05-13 06:39:09.142"</f>
        <v>2026-05-13 06:39:09.142</v>
      </c>
      <c r="H305" t="s">
        <v>44</v>
      </c>
    </row>
    <row r="306" spans="1:10" x14ac:dyDescent="0.25">
      <c r="A306" s="1">
        <v>1</v>
      </c>
      <c r="B306" t="s">
        <v>31</v>
      </c>
      <c r="C306">
        <v>619</v>
      </c>
      <c r="D306">
        <v>1</v>
      </c>
      <c r="E306" t="s">
        <v>43</v>
      </c>
      <c r="F306" t="s">
        <v>30</v>
      </c>
      <c r="G306" t="str">
        <f>"2026-05-13 06:38:51.394"</f>
        <v>2026-05-13 06:38:51.394</v>
      </c>
      <c r="H306" t="s">
        <v>44</v>
      </c>
      <c r="I306">
        <v>0</v>
      </c>
      <c r="J306" t="s">
        <v>27</v>
      </c>
    </row>
    <row r="307" spans="1:10" x14ac:dyDescent="0.25">
      <c r="A307" s="1">
        <v>2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"2026-05-13 06:38:40.665"</f>
        <v>2026-05-13 06:38:40.665</v>
      </c>
      <c r="H307" t="s">
        <v>21</v>
      </c>
      <c r="I307">
        <v>0</v>
      </c>
      <c r="J307" t="s">
        <v>22</v>
      </c>
    </row>
    <row r="308" spans="1:10" x14ac:dyDescent="0.25">
      <c r="A308" s="1">
        <v>3</v>
      </c>
      <c r="B308" t="s">
        <v>28</v>
      </c>
      <c r="C308">
        <v>619</v>
      </c>
      <c r="D308">
        <v>1</v>
      </c>
      <c r="E308" t="s">
        <v>43</v>
      </c>
      <c r="F308" t="s">
        <v>30</v>
      </c>
      <c r="G308" t="str">
        <f>"2026-05-13 06:37:47.903"</f>
        <v>2026-05-13 06:37:47.903</v>
      </c>
      <c r="H308" t="s">
        <v>44</v>
      </c>
    </row>
    <row r="309" spans="1:10" x14ac:dyDescent="0.25">
      <c r="A309" s="1">
        <v>4</v>
      </c>
      <c r="B309" t="s">
        <v>28</v>
      </c>
      <c r="C309">
        <v>98</v>
      </c>
      <c r="D309">
        <v>1</v>
      </c>
      <c r="E309" t="s">
        <v>41</v>
      </c>
      <c r="F309" t="s">
        <v>42</v>
      </c>
      <c r="G309" t="str">
        <f>"2026-05-13 06:36:40.516"</f>
        <v>2026-05-13 06:36:40.516</v>
      </c>
      <c r="H309" t="s">
        <v>21</v>
      </c>
    </row>
    <row r="310" spans="1:10" x14ac:dyDescent="0.25">
      <c r="A310" s="1">
        <v>5</v>
      </c>
      <c r="B310" t="s">
        <v>31</v>
      </c>
      <c r="C310">
        <v>98</v>
      </c>
      <c r="D310">
        <v>1</v>
      </c>
      <c r="E310" t="s">
        <v>41</v>
      </c>
      <c r="F310" t="s">
        <v>42</v>
      </c>
      <c r="G310" t="str">
        <f>"2026-05-13 06:36:39.516"</f>
        <v>2026-05-13 06:36:39.516</v>
      </c>
      <c r="H310" t="s">
        <v>21</v>
      </c>
      <c r="I310">
        <v>0</v>
      </c>
      <c r="J310" t="s">
        <v>36</v>
      </c>
    </row>
    <row r="311" spans="1:10" x14ac:dyDescent="0.25">
      <c r="A311" s="1">
        <v>6</v>
      </c>
      <c r="B311" t="s">
        <v>31</v>
      </c>
      <c r="C311">
        <v>619</v>
      </c>
      <c r="D311">
        <v>1</v>
      </c>
      <c r="E311" t="s">
        <v>43</v>
      </c>
      <c r="F311" t="s">
        <v>30</v>
      </c>
      <c r="G311" t="str">
        <f>"2026-05-13 06:35:50.303"</f>
        <v>2026-05-13 06:35:50.303</v>
      </c>
      <c r="H311" t="s">
        <v>44</v>
      </c>
      <c r="I311">
        <v>4.01</v>
      </c>
      <c r="J311" t="s">
        <v>32</v>
      </c>
    </row>
    <row r="312" spans="1:10" s="3" customFormat="1" x14ac:dyDescent="0.25">
      <c r="A312" s="2">
        <v>7</v>
      </c>
      <c r="B312" s="3" t="s">
        <v>28</v>
      </c>
      <c r="C312" s="3">
        <v>647</v>
      </c>
      <c r="D312" s="3">
        <v>1</v>
      </c>
      <c r="E312" s="3" t="s">
        <v>33</v>
      </c>
      <c r="F312" s="3" t="s">
        <v>34</v>
      </c>
      <c r="G312" s="3" t="str">
        <f>"2026-05-13 01:07:00.503"</f>
        <v>2026-05-13 01:07:00.503</v>
      </c>
      <c r="H312" s="3" t="s">
        <v>21</v>
      </c>
    </row>
    <row r="313" spans="1:10" s="3" customFormat="1" x14ac:dyDescent="0.25">
      <c r="A313" s="2">
        <v>8</v>
      </c>
      <c r="B313" s="3" t="s">
        <v>31</v>
      </c>
      <c r="C313" s="3">
        <v>647</v>
      </c>
      <c r="D313" s="3">
        <v>1</v>
      </c>
      <c r="E313" s="3" t="s">
        <v>33</v>
      </c>
      <c r="F313" s="3" t="s">
        <v>34</v>
      </c>
      <c r="G313" s="3" t="str">
        <f>"2026-05-13 01:06:49.903"</f>
        <v>2026-05-13 01:06:49.903</v>
      </c>
      <c r="H313" s="3" t="s">
        <v>21</v>
      </c>
      <c r="I313" s="3">
        <v>15.45</v>
      </c>
      <c r="J313" s="3" t="s">
        <v>35</v>
      </c>
    </row>
    <row r="314" spans="1:10" x14ac:dyDescent="0.25">
      <c r="A314" s="1">
        <v>9</v>
      </c>
      <c r="B314" t="s">
        <v>28</v>
      </c>
      <c r="C314">
        <v>635</v>
      </c>
      <c r="D314">
        <v>1</v>
      </c>
      <c r="E314" t="s">
        <v>29</v>
      </c>
      <c r="F314" t="s">
        <v>30</v>
      </c>
      <c r="G314" t="str">
        <f>"2026-05-12 22:02:53.903"</f>
        <v>2026-05-12 22:02:53.903</v>
      </c>
      <c r="H314" t="s">
        <v>21</v>
      </c>
    </row>
    <row r="315" spans="1:10" x14ac:dyDescent="0.25">
      <c r="A315" s="1">
        <v>10</v>
      </c>
      <c r="B315" t="s">
        <v>31</v>
      </c>
      <c r="C315">
        <v>635</v>
      </c>
      <c r="D315">
        <v>1</v>
      </c>
      <c r="E315" t="s">
        <v>29</v>
      </c>
      <c r="F315" t="s">
        <v>30</v>
      </c>
      <c r="G315" t="str">
        <f>"2026-05-12 21:42:08.403"</f>
        <v>2026-05-12 21:42:08.403</v>
      </c>
      <c r="H315" t="s">
        <v>21</v>
      </c>
      <c r="I315">
        <v>9.4700000000000006</v>
      </c>
      <c r="J315" t="s">
        <v>32</v>
      </c>
    </row>
    <row r="316" spans="1:10" x14ac:dyDescent="0.25">
      <c r="A316" s="1">
        <v>11</v>
      </c>
      <c r="B316" t="s">
        <v>28</v>
      </c>
      <c r="C316">
        <v>635</v>
      </c>
      <c r="D316">
        <v>1</v>
      </c>
      <c r="E316" t="s">
        <v>29</v>
      </c>
      <c r="F316" t="s">
        <v>30</v>
      </c>
      <c r="G316" t="str">
        <f>"2026-05-12 15:27:07.803"</f>
        <v>2026-05-12 15:27:07.803</v>
      </c>
      <c r="H316" t="s">
        <v>21</v>
      </c>
    </row>
    <row r="317" spans="1:10" x14ac:dyDescent="0.25">
      <c r="A317" s="1">
        <v>12</v>
      </c>
      <c r="B317" t="s">
        <v>31</v>
      </c>
      <c r="C317">
        <v>635</v>
      </c>
      <c r="D317">
        <v>1</v>
      </c>
      <c r="E317" t="s">
        <v>29</v>
      </c>
      <c r="F317" t="s">
        <v>30</v>
      </c>
      <c r="G317" t="str">
        <f>"2026-05-12 15:22:01.803"</f>
        <v>2026-05-12 15:22:01.803</v>
      </c>
      <c r="H317" t="s">
        <v>21</v>
      </c>
      <c r="I317">
        <v>4.1500000000000004</v>
      </c>
      <c r="J317" t="s">
        <v>32</v>
      </c>
    </row>
    <row r="318" spans="1:10" x14ac:dyDescent="0.25">
      <c r="A318" s="1">
        <v>13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"2026-05-12 14:04:11.636"</f>
        <v>2026-05-12 14:04:11.636</v>
      </c>
      <c r="H318" t="s">
        <v>21</v>
      </c>
      <c r="I318">
        <v>0</v>
      </c>
      <c r="J318" t="s">
        <v>22</v>
      </c>
    </row>
    <row r="319" spans="1:10" x14ac:dyDescent="0.25">
      <c r="A319" s="1">
        <v>14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"2026-05-12 13:17:07.638"</f>
        <v>2026-05-12 13:17:07.638</v>
      </c>
      <c r="H319" t="s">
        <v>21</v>
      </c>
      <c r="I319">
        <v>0</v>
      </c>
      <c r="J319" t="s">
        <v>22</v>
      </c>
    </row>
    <row r="320" spans="1:10" x14ac:dyDescent="0.25">
      <c r="A320" s="1">
        <v>15</v>
      </c>
      <c r="B320" t="s">
        <v>28</v>
      </c>
      <c r="C320">
        <v>635</v>
      </c>
      <c r="D320">
        <v>1</v>
      </c>
      <c r="E320" t="s">
        <v>29</v>
      </c>
      <c r="F320" t="s">
        <v>30</v>
      </c>
      <c r="G320" t="str">
        <f>"2026-05-12 05:29:35.438"</f>
        <v>2026-05-12 05:29:35.438</v>
      </c>
      <c r="H320" t="s">
        <v>21</v>
      </c>
    </row>
    <row r="321" spans="1:10" x14ac:dyDescent="0.25">
      <c r="A321" s="1">
        <v>16</v>
      </c>
      <c r="B321" t="s">
        <v>31</v>
      </c>
      <c r="C321">
        <v>635</v>
      </c>
      <c r="D321">
        <v>1</v>
      </c>
      <c r="E321" t="s">
        <v>29</v>
      </c>
      <c r="F321" t="s">
        <v>30</v>
      </c>
      <c r="G321" t="str">
        <f>"2026-05-12 05:12:36.438"</f>
        <v>2026-05-12 05:12:36.438</v>
      </c>
      <c r="H321" t="s">
        <v>21</v>
      </c>
      <c r="I321">
        <v>9.5299999999999994</v>
      </c>
      <c r="J321" t="s">
        <v>32</v>
      </c>
    </row>
    <row r="322" spans="1:10" s="3" customFormat="1" x14ac:dyDescent="0.25">
      <c r="A322" s="2">
        <v>17</v>
      </c>
      <c r="B322" s="3" t="s">
        <v>28</v>
      </c>
      <c r="C322" s="3">
        <v>647</v>
      </c>
      <c r="D322" s="3">
        <v>1</v>
      </c>
      <c r="E322" s="3" t="s">
        <v>33</v>
      </c>
      <c r="F322" s="3" t="s">
        <v>34</v>
      </c>
      <c r="G322" s="3" t="str">
        <f>"2026-05-12 03:10:29.792"</f>
        <v>2026-05-12 03:10:29.792</v>
      </c>
      <c r="H322" s="3" t="s">
        <v>21</v>
      </c>
    </row>
    <row r="323" spans="1:10" s="3" customFormat="1" x14ac:dyDescent="0.25">
      <c r="A323" s="2">
        <v>18</v>
      </c>
      <c r="B323" s="3" t="s">
        <v>31</v>
      </c>
      <c r="C323" s="3">
        <v>647</v>
      </c>
      <c r="D323" s="3">
        <v>1</v>
      </c>
      <c r="E323" s="3" t="s">
        <v>33</v>
      </c>
      <c r="F323" s="3" t="s">
        <v>34</v>
      </c>
      <c r="G323" s="3" t="str">
        <f>"2026-05-12 03:10:26.692"</f>
        <v>2026-05-12 03:10:26.692</v>
      </c>
      <c r="H323" s="3" t="s">
        <v>21</v>
      </c>
      <c r="I323" s="3">
        <v>19.98</v>
      </c>
      <c r="J323" s="3" t="s">
        <v>35</v>
      </c>
    </row>
    <row r="324" spans="1:10" s="3" customFormat="1" x14ac:dyDescent="0.25">
      <c r="A324" s="2">
        <v>19</v>
      </c>
      <c r="B324" s="3" t="s">
        <v>28</v>
      </c>
      <c r="C324" s="3">
        <v>647</v>
      </c>
      <c r="D324" s="3">
        <v>1</v>
      </c>
      <c r="E324" s="3" t="s">
        <v>33</v>
      </c>
      <c r="F324" s="3" t="s">
        <v>34</v>
      </c>
      <c r="G324" s="3" t="str">
        <f>"2026-05-12 00:05:12.292"</f>
        <v>2026-05-12 00:05:12.292</v>
      </c>
      <c r="H324" s="3" t="s">
        <v>21</v>
      </c>
    </row>
    <row r="325" spans="1:10" s="3" customFormat="1" x14ac:dyDescent="0.25">
      <c r="A325" s="2">
        <v>20</v>
      </c>
      <c r="B325" s="3" t="s">
        <v>31</v>
      </c>
      <c r="C325" s="3">
        <v>647</v>
      </c>
      <c r="D325" s="3">
        <v>1</v>
      </c>
      <c r="E325" s="3" t="s">
        <v>33</v>
      </c>
      <c r="F325" s="3" t="s">
        <v>34</v>
      </c>
      <c r="G325" s="3" t="str">
        <f>"2026-05-12 00:05:07.092"</f>
        <v>2026-05-12 00:05:07.092</v>
      </c>
      <c r="H325" s="3" t="s">
        <v>21</v>
      </c>
      <c r="I325" s="3">
        <v>12.66</v>
      </c>
      <c r="J325" s="3" t="s">
        <v>35</v>
      </c>
    </row>
    <row r="326" spans="1:10" x14ac:dyDescent="0.25">
      <c r="A326" s="1">
        <v>21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"2026-05-11 21:55:08.730"</f>
        <v>2026-05-11 21:55:08.730</v>
      </c>
      <c r="H326" t="s">
        <v>21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"2026-05-11 21:02:20.658"</f>
        <v>2026-05-11 21:02:20.658</v>
      </c>
      <c r="H327" t="s">
        <v>21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"2026-05-11 12:28:29.635"</f>
        <v>2026-05-11 12:28:29.635</v>
      </c>
      <c r="H328" t="s">
        <v>21</v>
      </c>
    </row>
    <row r="329" spans="1:10" x14ac:dyDescent="0.25">
      <c r="A329" s="1">
        <v>24</v>
      </c>
      <c r="B329" t="s">
        <v>28</v>
      </c>
      <c r="C329">
        <v>635</v>
      </c>
      <c r="D329">
        <v>1</v>
      </c>
      <c r="E329" t="s">
        <v>29</v>
      </c>
      <c r="F329" t="s">
        <v>30</v>
      </c>
      <c r="G329" t="str">
        <f>"2026-05-11 10:03:57.801"</f>
        <v>2026-05-11 10:03:57.801</v>
      </c>
      <c r="H329" t="s">
        <v>21</v>
      </c>
    </row>
    <row r="330" spans="1:10" x14ac:dyDescent="0.25">
      <c r="A330" s="1">
        <v>25</v>
      </c>
      <c r="B330" t="s">
        <v>31</v>
      </c>
      <c r="C330">
        <v>635</v>
      </c>
      <c r="D330">
        <v>1</v>
      </c>
      <c r="E330" t="s">
        <v>29</v>
      </c>
      <c r="F330" t="s">
        <v>30</v>
      </c>
      <c r="G330" t="str">
        <f>"2026-05-11 09:59:26.901"</f>
        <v>2026-05-11 09:59:26.901</v>
      </c>
      <c r="H330" t="s">
        <v>21</v>
      </c>
      <c r="I330">
        <v>2.4</v>
      </c>
      <c r="J330" t="s">
        <v>35</v>
      </c>
    </row>
    <row r="331" spans="1:10" x14ac:dyDescent="0.25">
      <c r="A331" s="1">
        <v>26</v>
      </c>
      <c r="B331" t="s">
        <v>28</v>
      </c>
      <c r="C331">
        <v>635</v>
      </c>
      <c r="D331">
        <v>1</v>
      </c>
      <c r="E331" t="s">
        <v>29</v>
      </c>
      <c r="F331" t="s">
        <v>30</v>
      </c>
      <c r="G331" t="str">
        <f>"2026-05-10 22:05:40.501"</f>
        <v>2026-05-10 22:05:40.501</v>
      </c>
      <c r="H331" t="s">
        <v>21</v>
      </c>
    </row>
    <row r="332" spans="1:10" x14ac:dyDescent="0.25">
      <c r="A332" s="1">
        <v>27</v>
      </c>
      <c r="B332" t="s">
        <v>31</v>
      </c>
      <c r="C332">
        <v>635</v>
      </c>
      <c r="D332">
        <v>1</v>
      </c>
      <c r="E332" t="s">
        <v>29</v>
      </c>
      <c r="F332" t="s">
        <v>30</v>
      </c>
      <c r="G332" t="str">
        <f>"2026-05-10 22:02:22.001"</f>
        <v>2026-05-10 22:02:22.001</v>
      </c>
      <c r="H332" t="s">
        <v>21</v>
      </c>
      <c r="I332">
        <v>6.08</v>
      </c>
      <c r="J332" t="s">
        <v>36</v>
      </c>
    </row>
    <row r="333" spans="1:10" x14ac:dyDescent="0.25">
      <c r="A333" s="1">
        <v>28</v>
      </c>
      <c r="B333" t="s">
        <v>19</v>
      </c>
      <c r="C333">
        <v>706</v>
      </c>
      <c r="D333">
        <v>4</v>
      </c>
      <c r="E333" t="s">
        <v>39</v>
      </c>
      <c r="F333" t="s">
        <v>40</v>
      </c>
      <c r="G333" t="str">
        <f>"2026-05-10 02:39:19.991"</f>
        <v>2026-05-10 02:39:19.991</v>
      </c>
      <c r="H333" t="s">
        <v>21</v>
      </c>
      <c r="I333">
        <v>0</v>
      </c>
      <c r="J333" t="s">
        <v>27</v>
      </c>
    </row>
    <row r="334" spans="1:10" x14ac:dyDescent="0.25">
      <c r="A334" s="1">
        <v>29</v>
      </c>
      <c r="B334" t="s">
        <v>28</v>
      </c>
      <c r="C334">
        <v>635</v>
      </c>
      <c r="D334">
        <v>1</v>
      </c>
      <c r="E334" t="s">
        <v>29</v>
      </c>
      <c r="F334" t="s">
        <v>30</v>
      </c>
      <c r="G334" t="str">
        <f>"2026-05-10 00:25:10.401"</f>
        <v>2026-05-10 00:25:10.401</v>
      </c>
      <c r="H334" t="s">
        <v>21</v>
      </c>
    </row>
    <row r="335" spans="1:10" x14ac:dyDescent="0.25">
      <c r="A335" s="1">
        <v>30</v>
      </c>
      <c r="B335" t="s">
        <v>31</v>
      </c>
      <c r="C335">
        <v>635</v>
      </c>
      <c r="D335">
        <v>1</v>
      </c>
      <c r="E335" t="s">
        <v>29</v>
      </c>
      <c r="F335" t="s">
        <v>30</v>
      </c>
      <c r="G335" t="str">
        <f>"2026-05-10 00:01:41.401"</f>
        <v>2026-05-10 00:01:41.401</v>
      </c>
      <c r="H335" t="s">
        <v>21</v>
      </c>
      <c r="I335">
        <v>1.1399999999999999</v>
      </c>
      <c r="J335" t="s">
        <v>32</v>
      </c>
    </row>
    <row r="336" spans="1:10" x14ac:dyDescent="0.25">
      <c r="A336" s="1">
        <v>31</v>
      </c>
      <c r="B336" t="s">
        <v>28</v>
      </c>
      <c r="C336">
        <v>635</v>
      </c>
      <c r="D336">
        <v>1</v>
      </c>
      <c r="E336" t="s">
        <v>29</v>
      </c>
      <c r="F336" t="s">
        <v>30</v>
      </c>
      <c r="G336" t="str">
        <f>"2026-05-09 02:32:45.801"</f>
        <v>2026-05-09 02:32:45.801</v>
      </c>
      <c r="H336" t="s">
        <v>21</v>
      </c>
    </row>
    <row r="337" spans="1:10" x14ac:dyDescent="0.25">
      <c r="A337" s="1">
        <v>32</v>
      </c>
      <c r="B337" t="s">
        <v>31</v>
      </c>
      <c r="C337">
        <v>635</v>
      </c>
      <c r="D337">
        <v>1</v>
      </c>
      <c r="E337" t="s">
        <v>29</v>
      </c>
      <c r="F337" t="s">
        <v>30</v>
      </c>
      <c r="G337" t="str">
        <f>"2026-05-09 02:11:47.301"</f>
        <v>2026-05-09 02:11:47.301</v>
      </c>
      <c r="H337" t="s">
        <v>21</v>
      </c>
      <c r="I337">
        <v>3.63</v>
      </c>
      <c r="J337" t="s">
        <v>32</v>
      </c>
    </row>
    <row r="338" spans="1:10" s="3" customFormat="1" x14ac:dyDescent="0.25">
      <c r="A338" s="2">
        <v>33</v>
      </c>
      <c r="B338" s="3" t="s">
        <v>28</v>
      </c>
      <c r="C338" s="3">
        <v>647</v>
      </c>
      <c r="D338" s="3">
        <v>1</v>
      </c>
      <c r="E338" s="3" t="s">
        <v>33</v>
      </c>
      <c r="F338" s="3" t="s">
        <v>34</v>
      </c>
      <c r="G338" s="3" t="str">
        <f>"2026-05-08 21:30:52.455"</f>
        <v>2026-05-08 21:30:52.455</v>
      </c>
      <c r="H338" s="3" t="s">
        <v>21</v>
      </c>
    </row>
    <row r="339" spans="1:10" s="3" customFormat="1" x14ac:dyDescent="0.25">
      <c r="A339" s="2">
        <v>34</v>
      </c>
      <c r="B339" s="3" t="s">
        <v>31</v>
      </c>
      <c r="C339" s="3">
        <v>647</v>
      </c>
      <c r="D339" s="3">
        <v>1</v>
      </c>
      <c r="E339" s="3" t="s">
        <v>33</v>
      </c>
      <c r="F339" s="3" t="s">
        <v>34</v>
      </c>
      <c r="G339" s="3" t="str">
        <f>"2026-05-08 21:30:38.555"</f>
        <v>2026-05-08 21:30:38.555</v>
      </c>
      <c r="H339" s="3" t="s">
        <v>21</v>
      </c>
      <c r="I339" s="3">
        <v>21.85</v>
      </c>
      <c r="J339" s="3" t="s">
        <v>35</v>
      </c>
    </row>
    <row r="340" spans="1:10" s="3" customFormat="1" x14ac:dyDescent="0.25">
      <c r="A340" s="2">
        <v>35</v>
      </c>
      <c r="B340" s="3" t="s">
        <v>28</v>
      </c>
      <c r="C340" s="3">
        <v>647</v>
      </c>
      <c r="D340" s="3">
        <v>1</v>
      </c>
      <c r="E340" s="3" t="s">
        <v>33</v>
      </c>
      <c r="F340" s="3" t="s">
        <v>34</v>
      </c>
      <c r="G340" s="3" t="str">
        <f>"2026-05-08 21:30:36.055"</f>
        <v>2026-05-08 21:30:36.055</v>
      </c>
      <c r="H340" s="3" t="s">
        <v>21</v>
      </c>
    </row>
    <row r="341" spans="1:10" s="3" customFormat="1" x14ac:dyDescent="0.25">
      <c r="A341" s="2">
        <v>36</v>
      </c>
      <c r="B341" s="3" t="s">
        <v>31</v>
      </c>
      <c r="C341" s="3">
        <v>647</v>
      </c>
      <c r="D341" s="3">
        <v>1</v>
      </c>
      <c r="E341" s="3" t="s">
        <v>33</v>
      </c>
      <c r="F341" s="3" t="s">
        <v>34</v>
      </c>
      <c r="G341" s="3" t="str">
        <f>"2026-05-08 21:30:31.955"</f>
        <v>2026-05-08 21:30:31.955</v>
      </c>
      <c r="H341" s="3" t="s">
        <v>21</v>
      </c>
      <c r="I341" s="3">
        <v>21.38</v>
      </c>
      <c r="J341" s="3" t="s">
        <v>35</v>
      </c>
    </row>
    <row r="342" spans="1:10" x14ac:dyDescent="0.25">
      <c r="A342" s="1">
        <v>37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"2026-05-08 13:51:15.661"</f>
        <v>2026-05-08 13:51:15.661</v>
      </c>
      <c r="H342" t="s">
        <v>21</v>
      </c>
    </row>
    <row r="343" spans="1:10" s="3" customFormat="1" x14ac:dyDescent="0.25">
      <c r="A343" s="2">
        <v>38</v>
      </c>
      <c r="B343" s="3" t="s">
        <v>28</v>
      </c>
      <c r="C343" s="3">
        <v>647</v>
      </c>
      <c r="D343" s="3">
        <v>1</v>
      </c>
      <c r="E343" s="3" t="s">
        <v>33</v>
      </c>
      <c r="F343" s="3" t="s">
        <v>34</v>
      </c>
      <c r="G343" s="3" t="str">
        <f>"2026-05-08 05:00:01.601"</f>
        <v>2026-05-08 05:00:01.601</v>
      </c>
      <c r="H343" s="3" t="s">
        <v>21</v>
      </c>
    </row>
    <row r="344" spans="1:10" s="3" customFormat="1" x14ac:dyDescent="0.25">
      <c r="A344" s="2">
        <v>39</v>
      </c>
      <c r="B344" s="3" t="s">
        <v>31</v>
      </c>
      <c r="C344" s="3">
        <v>647</v>
      </c>
      <c r="D344" s="3">
        <v>1</v>
      </c>
      <c r="E344" s="3" t="s">
        <v>33</v>
      </c>
      <c r="F344" s="3" t="s">
        <v>34</v>
      </c>
      <c r="G344" s="3" t="str">
        <f>"2026-05-08 04:59:59.701"</f>
        <v>2026-05-08 04:59:59.701</v>
      </c>
      <c r="H344" s="3" t="s">
        <v>21</v>
      </c>
      <c r="I344" s="3">
        <v>18.02</v>
      </c>
      <c r="J344" s="3" t="s">
        <v>35</v>
      </c>
    </row>
    <row r="345" spans="1:10" s="3" customFormat="1" x14ac:dyDescent="0.25">
      <c r="A345" s="2">
        <v>40</v>
      </c>
      <c r="B345" s="3" t="s">
        <v>28</v>
      </c>
      <c r="C345" s="3">
        <v>647</v>
      </c>
      <c r="D345" s="3">
        <v>1</v>
      </c>
      <c r="E345" s="3" t="s">
        <v>33</v>
      </c>
      <c r="F345" s="3" t="s">
        <v>34</v>
      </c>
      <c r="G345" s="3" t="str">
        <f>"2026-05-07 21:45:10.301"</f>
        <v>2026-05-07 21:45:10.301</v>
      </c>
      <c r="H345" s="3" t="s">
        <v>21</v>
      </c>
    </row>
    <row r="346" spans="1:10" s="3" customFormat="1" x14ac:dyDescent="0.25">
      <c r="A346" s="2">
        <v>41</v>
      </c>
      <c r="B346" s="3" t="s">
        <v>31</v>
      </c>
      <c r="C346" s="3">
        <v>647</v>
      </c>
      <c r="D346" s="3">
        <v>1</v>
      </c>
      <c r="E346" s="3" t="s">
        <v>33</v>
      </c>
      <c r="F346" s="3" t="s">
        <v>34</v>
      </c>
      <c r="G346" s="3" t="str">
        <f>"2026-05-07 21:45:06.601"</f>
        <v>2026-05-07 21:45:06.601</v>
      </c>
      <c r="H346" s="3" t="s">
        <v>21</v>
      </c>
      <c r="I346" s="3">
        <v>8.8800000000000008</v>
      </c>
      <c r="J346" s="3" t="s">
        <v>35</v>
      </c>
    </row>
    <row r="347" spans="1:10" s="3" customFormat="1" x14ac:dyDescent="0.25">
      <c r="A347" s="2">
        <v>42</v>
      </c>
      <c r="B347" s="3" t="s">
        <v>28</v>
      </c>
      <c r="C347" s="3">
        <v>647</v>
      </c>
      <c r="D347" s="3">
        <v>1</v>
      </c>
      <c r="E347" s="3" t="s">
        <v>33</v>
      </c>
      <c r="F347" s="3" t="s">
        <v>34</v>
      </c>
      <c r="G347" s="3" t="str">
        <f>"2026-05-07 20:09:33.001"</f>
        <v>2026-05-07 20:09:33.001</v>
      </c>
      <c r="H347" s="3" t="s">
        <v>21</v>
      </c>
    </row>
    <row r="348" spans="1:10" s="3" customFormat="1" x14ac:dyDescent="0.25">
      <c r="A348" s="2">
        <v>43</v>
      </c>
      <c r="B348" s="3" t="s">
        <v>31</v>
      </c>
      <c r="C348" s="3">
        <v>647</v>
      </c>
      <c r="D348" s="3">
        <v>1</v>
      </c>
      <c r="E348" s="3" t="s">
        <v>33</v>
      </c>
      <c r="F348" s="3" t="s">
        <v>34</v>
      </c>
      <c r="G348" s="3" t="str">
        <f>"2026-05-07 20:09:25.901"</f>
        <v>2026-05-07 20:09:25.901</v>
      </c>
      <c r="H348" s="3" t="s">
        <v>21</v>
      </c>
      <c r="I348" s="3">
        <v>12.44</v>
      </c>
      <c r="J348" s="3" t="s">
        <v>35</v>
      </c>
    </row>
    <row r="349" spans="1:10" s="3" customFormat="1" x14ac:dyDescent="0.25">
      <c r="A349" s="2">
        <v>44</v>
      </c>
      <c r="B349" s="3" t="s">
        <v>28</v>
      </c>
      <c r="C349" s="3">
        <v>647</v>
      </c>
      <c r="D349" s="3">
        <v>1</v>
      </c>
      <c r="E349" s="3" t="s">
        <v>33</v>
      </c>
      <c r="F349" s="3" t="s">
        <v>34</v>
      </c>
      <c r="G349" s="3" t="str">
        <f>"2026-05-07 20:09:21.601"</f>
        <v>2026-05-07 20:09:21.601</v>
      </c>
      <c r="H349" s="3" t="s">
        <v>21</v>
      </c>
    </row>
    <row r="350" spans="1:10" s="3" customFormat="1" x14ac:dyDescent="0.25">
      <c r="A350" s="2">
        <v>45</v>
      </c>
      <c r="B350" s="3" t="s">
        <v>31</v>
      </c>
      <c r="C350" s="3">
        <v>647</v>
      </c>
      <c r="D350" s="3">
        <v>1</v>
      </c>
      <c r="E350" s="3" t="s">
        <v>33</v>
      </c>
      <c r="F350" s="3" t="s">
        <v>34</v>
      </c>
      <c r="G350" s="3" t="str">
        <f>"2026-05-07 20:09:17.901"</f>
        <v>2026-05-07 20:09:17.901</v>
      </c>
      <c r="H350" s="3" t="s">
        <v>21</v>
      </c>
      <c r="I350" s="3">
        <v>10.53</v>
      </c>
      <c r="J350" s="3" t="s">
        <v>35</v>
      </c>
    </row>
    <row r="351" spans="1:10" s="3" customFormat="1" x14ac:dyDescent="0.25">
      <c r="A351" s="2">
        <v>46</v>
      </c>
      <c r="B351" s="3" t="s">
        <v>28</v>
      </c>
      <c r="C351" s="3">
        <v>647</v>
      </c>
      <c r="D351" s="3">
        <v>1</v>
      </c>
      <c r="E351" s="3" t="s">
        <v>33</v>
      </c>
      <c r="F351" s="3" t="s">
        <v>34</v>
      </c>
      <c r="G351" s="3" t="str">
        <f>"2026-05-07 20:09:12.401"</f>
        <v>2026-05-07 20:09:12.401</v>
      </c>
      <c r="H351" s="3" t="s">
        <v>21</v>
      </c>
    </row>
    <row r="352" spans="1:10" s="3" customFormat="1" x14ac:dyDescent="0.25">
      <c r="A352" s="2">
        <v>47</v>
      </c>
      <c r="B352" s="3" t="s">
        <v>31</v>
      </c>
      <c r="C352" s="3">
        <v>647</v>
      </c>
      <c r="D352" s="3">
        <v>1</v>
      </c>
      <c r="E352" s="3" t="s">
        <v>33</v>
      </c>
      <c r="F352" s="3" t="s">
        <v>34</v>
      </c>
      <c r="G352" s="3" t="str">
        <f>"2026-05-07 20:09:11.301"</f>
        <v>2026-05-07 20:09:11.301</v>
      </c>
      <c r="H352" s="3" t="s">
        <v>21</v>
      </c>
      <c r="I352" s="3">
        <v>8.81</v>
      </c>
      <c r="J352" s="3" t="s">
        <v>35</v>
      </c>
    </row>
    <row r="353" spans="1:10" s="3" customFormat="1" x14ac:dyDescent="0.25">
      <c r="A353" s="2">
        <v>48</v>
      </c>
      <c r="B353" s="3" t="s">
        <v>28</v>
      </c>
      <c r="C353" s="3">
        <v>647</v>
      </c>
      <c r="D353" s="3">
        <v>1</v>
      </c>
      <c r="E353" s="3" t="s">
        <v>33</v>
      </c>
      <c r="F353" s="3" t="s">
        <v>34</v>
      </c>
      <c r="G353" s="3" t="str">
        <f>"2026-05-07 20:09:09.301"</f>
        <v>2026-05-07 20:09:09.301</v>
      </c>
      <c r="H353" s="3" t="s">
        <v>21</v>
      </c>
    </row>
    <row r="354" spans="1:10" s="3" customFormat="1" x14ac:dyDescent="0.25">
      <c r="A354" s="2">
        <v>49</v>
      </c>
      <c r="B354" s="3" t="s">
        <v>31</v>
      </c>
      <c r="C354" s="3">
        <v>647</v>
      </c>
      <c r="D354" s="3">
        <v>1</v>
      </c>
      <c r="E354" s="3" t="s">
        <v>33</v>
      </c>
      <c r="F354" s="3" t="s">
        <v>34</v>
      </c>
      <c r="G354" s="3" t="str">
        <f>"2026-05-07 20:09:07.701"</f>
        <v>2026-05-07 20:09:07.701</v>
      </c>
      <c r="H354" s="3" t="s">
        <v>21</v>
      </c>
      <c r="I354" s="3">
        <v>9.01</v>
      </c>
      <c r="J354" s="3" t="s">
        <v>35</v>
      </c>
    </row>
    <row r="355" spans="1:10" x14ac:dyDescent="0.25">
      <c r="A355" s="1">
        <v>50</v>
      </c>
      <c r="B355" t="s">
        <v>28</v>
      </c>
      <c r="C355">
        <v>635</v>
      </c>
      <c r="D355">
        <v>1</v>
      </c>
      <c r="E355" t="s">
        <v>29</v>
      </c>
      <c r="F355" t="s">
        <v>30</v>
      </c>
      <c r="G355" t="str">
        <f>"2026-05-07 16:50:17.753"</f>
        <v>2026-05-07 16:50:17.753</v>
      </c>
      <c r="H355" t="s">
        <v>21</v>
      </c>
    </row>
    <row r="356" spans="1:10" x14ac:dyDescent="0.25">
      <c r="A356" s="1">
        <v>51</v>
      </c>
      <c r="B356" t="s">
        <v>31</v>
      </c>
      <c r="C356">
        <v>635</v>
      </c>
      <c r="D356">
        <v>1</v>
      </c>
      <c r="E356" t="s">
        <v>29</v>
      </c>
      <c r="F356" t="s">
        <v>30</v>
      </c>
      <c r="G356" t="str">
        <f>"2026-05-07 16:47:32.753"</f>
        <v>2026-05-07 16:47:32.753</v>
      </c>
      <c r="H356" t="s">
        <v>21</v>
      </c>
      <c r="I356">
        <v>5.9</v>
      </c>
      <c r="J356" t="s">
        <v>32</v>
      </c>
    </row>
    <row r="357" spans="1:10" x14ac:dyDescent="0.25">
      <c r="A357" s="1">
        <v>52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"2026-05-07 11:37:07.609"</f>
        <v>2026-05-07 11:37:07.609</v>
      </c>
      <c r="H357" t="s">
        <v>21</v>
      </c>
    </row>
    <row r="358" spans="1:10" x14ac:dyDescent="0.25">
      <c r="A358" s="1">
        <v>53</v>
      </c>
      <c r="B358" t="s">
        <v>28</v>
      </c>
      <c r="C358">
        <v>635</v>
      </c>
      <c r="D358">
        <v>1</v>
      </c>
      <c r="E358" t="s">
        <v>29</v>
      </c>
      <c r="F358" t="s">
        <v>30</v>
      </c>
      <c r="G358" t="str">
        <f>"2026-05-07 09:21:55.357"</f>
        <v>2026-05-07 09:21:55.357</v>
      </c>
      <c r="H358" t="s">
        <v>21</v>
      </c>
    </row>
    <row r="359" spans="1:10" x14ac:dyDescent="0.25">
      <c r="A359" s="1">
        <v>54</v>
      </c>
      <c r="B359" t="s">
        <v>31</v>
      </c>
      <c r="C359">
        <v>635</v>
      </c>
      <c r="D359">
        <v>1</v>
      </c>
      <c r="E359" t="s">
        <v>29</v>
      </c>
      <c r="F359" t="s">
        <v>30</v>
      </c>
      <c r="G359" t="str">
        <f>"2026-05-07 09:17:14.856"</f>
        <v>2026-05-07 09:17:14.856</v>
      </c>
      <c r="H359" t="s">
        <v>21</v>
      </c>
      <c r="I359">
        <v>2.4900000000000002</v>
      </c>
      <c r="J359" t="s">
        <v>32</v>
      </c>
    </row>
    <row r="360" spans="1:10" s="3" customFormat="1" x14ac:dyDescent="0.25">
      <c r="A360" s="2">
        <v>55</v>
      </c>
      <c r="B360" s="3" t="s">
        <v>28</v>
      </c>
      <c r="C360" s="3">
        <v>647</v>
      </c>
      <c r="D360" s="3">
        <v>1</v>
      </c>
      <c r="E360" s="3" t="s">
        <v>33</v>
      </c>
      <c r="F360" s="3" t="s">
        <v>34</v>
      </c>
      <c r="G360" s="3" t="str">
        <f>"2026-05-06 22:31:51.204"</f>
        <v>2026-05-06 22:31:51.204</v>
      </c>
      <c r="H360" s="3" t="s">
        <v>21</v>
      </c>
    </row>
    <row r="361" spans="1:10" s="3" customFormat="1" x14ac:dyDescent="0.25">
      <c r="A361" s="2">
        <v>56</v>
      </c>
      <c r="B361" s="3" t="s">
        <v>31</v>
      </c>
      <c r="C361" s="3">
        <v>647</v>
      </c>
      <c r="D361" s="3">
        <v>1</v>
      </c>
      <c r="E361" s="3" t="s">
        <v>33</v>
      </c>
      <c r="F361" s="3" t="s">
        <v>34</v>
      </c>
      <c r="G361" s="3" t="str">
        <f>"2026-05-06 22:31:44.505"</f>
        <v>2026-05-06 22:31:44.505</v>
      </c>
      <c r="H361" s="3" t="s">
        <v>21</v>
      </c>
      <c r="I361" s="3">
        <v>15.14</v>
      </c>
      <c r="J361" s="3" t="s">
        <v>35</v>
      </c>
    </row>
    <row r="362" spans="1:10" x14ac:dyDescent="0.25">
      <c r="A362" s="1">
        <v>57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"2026-05-06 14:04:31.625"</f>
        <v>2026-05-06 14:04:31.625</v>
      </c>
      <c r="H362" t="s">
        <v>21</v>
      </c>
      <c r="I362">
        <v>0</v>
      </c>
      <c r="J362" t="s">
        <v>22</v>
      </c>
    </row>
    <row r="363" spans="1:10" s="3" customFormat="1" x14ac:dyDescent="0.25">
      <c r="A363" s="2">
        <v>58</v>
      </c>
      <c r="B363" s="3" t="s">
        <v>28</v>
      </c>
      <c r="C363" s="3">
        <v>647</v>
      </c>
      <c r="D363" s="3">
        <v>1</v>
      </c>
      <c r="E363" s="3" t="s">
        <v>33</v>
      </c>
      <c r="F363" s="3" t="s">
        <v>34</v>
      </c>
      <c r="G363" s="3" t="str">
        <f>"2026-05-06 06:54:22.905"</f>
        <v>2026-05-06 06:54:22.905</v>
      </c>
      <c r="H363" s="3" t="s">
        <v>21</v>
      </c>
    </row>
    <row r="364" spans="1:10" s="3" customFormat="1" x14ac:dyDescent="0.25">
      <c r="A364" s="2">
        <v>59</v>
      </c>
      <c r="B364" s="3" t="s">
        <v>31</v>
      </c>
      <c r="C364" s="3">
        <v>647</v>
      </c>
      <c r="D364" s="3">
        <v>1</v>
      </c>
      <c r="E364" s="3" t="s">
        <v>33</v>
      </c>
      <c r="F364" s="3" t="s">
        <v>34</v>
      </c>
      <c r="G364" s="3" t="str">
        <f>"2026-05-06 06:54:04.806"</f>
        <v>2026-05-06 06:54:04.806</v>
      </c>
      <c r="H364" s="3" t="s">
        <v>21</v>
      </c>
      <c r="I364" s="3">
        <v>8.91</v>
      </c>
      <c r="J364" s="3" t="s">
        <v>35</v>
      </c>
    </row>
    <row r="365" spans="1:10" x14ac:dyDescent="0.25">
      <c r="A365" s="1">
        <v>60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"2026-05-06 06:05:11.612"</f>
        <v>2026-05-06 06:05:11.612</v>
      </c>
      <c r="H365" t="s">
        <v>21</v>
      </c>
    </row>
    <row r="366" spans="1:10" x14ac:dyDescent="0.25">
      <c r="A366" s="1">
        <v>61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"2026-05-06 06:02:06.623"</f>
        <v>2026-05-06 06:02:06.623</v>
      </c>
      <c r="H366" t="s">
        <v>21</v>
      </c>
    </row>
    <row r="367" spans="1:10" s="3" customFormat="1" x14ac:dyDescent="0.25">
      <c r="A367" s="2">
        <v>62</v>
      </c>
      <c r="B367" s="3" t="s">
        <v>28</v>
      </c>
      <c r="C367" s="3">
        <v>647</v>
      </c>
      <c r="D367" s="3">
        <v>1</v>
      </c>
      <c r="E367" s="3" t="s">
        <v>33</v>
      </c>
      <c r="F367" s="3" t="s">
        <v>34</v>
      </c>
      <c r="G367" s="3" t="str">
        <f>"2026-05-05 21:17:00.747"</f>
        <v>2026-05-05 21:17:00.747</v>
      </c>
      <c r="H367" s="3" t="s">
        <v>21</v>
      </c>
    </row>
    <row r="368" spans="1:10" s="3" customFormat="1" x14ac:dyDescent="0.25">
      <c r="A368" s="2">
        <v>63</v>
      </c>
      <c r="B368" s="3" t="s">
        <v>31</v>
      </c>
      <c r="C368" s="3">
        <v>647</v>
      </c>
      <c r="D368" s="3">
        <v>1</v>
      </c>
      <c r="E368" s="3" t="s">
        <v>33</v>
      </c>
      <c r="F368" s="3" t="s">
        <v>34</v>
      </c>
      <c r="G368" s="3" t="str">
        <f>"2026-05-05 21:16:56.247"</f>
        <v>2026-05-05 21:16:56.247</v>
      </c>
      <c r="H368" s="3" t="s">
        <v>21</v>
      </c>
      <c r="I368" s="3">
        <v>12.71</v>
      </c>
      <c r="J368" s="3" t="s">
        <v>35</v>
      </c>
    </row>
    <row r="369" spans="1:10" s="3" customFormat="1" x14ac:dyDescent="0.25">
      <c r="A369" s="2">
        <v>64</v>
      </c>
      <c r="B369" s="3" t="s">
        <v>28</v>
      </c>
      <c r="C369" s="3">
        <v>647</v>
      </c>
      <c r="D369" s="3">
        <v>1</v>
      </c>
      <c r="E369" s="3" t="s">
        <v>33</v>
      </c>
      <c r="F369" s="3" t="s">
        <v>34</v>
      </c>
      <c r="G369" s="3" t="str">
        <f>"2026-05-05 20:23:50.047"</f>
        <v>2026-05-05 20:23:50.047</v>
      </c>
      <c r="H369" s="3" t="s">
        <v>21</v>
      </c>
    </row>
    <row r="370" spans="1:10" s="3" customFormat="1" x14ac:dyDescent="0.25">
      <c r="A370" s="2">
        <v>65</v>
      </c>
      <c r="B370" s="3" t="s">
        <v>31</v>
      </c>
      <c r="C370" s="3">
        <v>647</v>
      </c>
      <c r="D370" s="3">
        <v>1</v>
      </c>
      <c r="E370" s="3" t="s">
        <v>33</v>
      </c>
      <c r="F370" s="3" t="s">
        <v>34</v>
      </c>
      <c r="G370" s="3" t="str">
        <f>"2026-05-05 20:23:48.147"</f>
        <v>2026-05-05 20:23:48.147</v>
      </c>
      <c r="H370" s="3" t="s">
        <v>21</v>
      </c>
      <c r="I370" s="3">
        <v>8.32</v>
      </c>
      <c r="J370" s="3" t="s">
        <v>35</v>
      </c>
    </row>
    <row r="371" spans="1:10" s="3" customFormat="1" x14ac:dyDescent="0.25">
      <c r="A371" s="2">
        <v>66</v>
      </c>
      <c r="B371" s="3" t="s">
        <v>28</v>
      </c>
      <c r="C371" s="3">
        <v>647</v>
      </c>
      <c r="D371" s="3">
        <v>1</v>
      </c>
      <c r="E371" s="3" t="s">
        <v>33</v>
      </c>
      <c r="F371" s="3" t="s">
        <v>34</v>
      </c>
      <c r="G371" s="3" t="str">
        <f>"2026-05-05 20:20:10.647"</f>
        <v>2026-05-05 20:20:10.647</v>
      </c>
      <c r="H371" s="3" t="s">
        <v>21</v>
      </c>
    </row>
    <row r="372" spans="1:10" s="3" customFormat="1" x14ac:dyDescent="0.25">
      <c r="A372" s="2">
        <v>67</v>
      </c>
      <c r="B372" s="3" t="s">
        <v>31</v>
      </c>
      <c r="C372" s="3">
        <v>647</v>
      </c>
      <c r="D372" s="3">
        <v>1</v>
      </c>
      <c r="E372" s="3" t="s">
        <v>33</v>
      </c>
      <c r="F372" s="3" t="s">
        <v>34</v>
      </c>
      <c r="G372" s="3" t="str">
        <f>"2026-05-05 20:20:09.147"</f>
        <v>2026-05-05 20:20:09.147</v>
      </c>
      <c r="H372" s="3" t="s">
        <v>21</v>
      </c>
      <c r="I372" s="3">
        <v>21.21</v>
      </c>
      <c r="J372" s="3" t="s">
        <v>35</v>
      </c>
    </row>
    <row r="373" spans="1:10" x14ac:dyDescent="0.25">
      <c r="A373" s="1">
        <v>68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"2026-05-05 13:51:01.645"</f>
        <v>2026-05-05 13:51:01.645</v>
      </c>
      <c r="H373" t="s">
        <v>21</v>
      </c>
      <c r="I373">
        <v>0</v>
      </c>
      <c r="J373" t="s">
        <v>22</v>
      </c>
    </row>
    <row r="374" spans="1:10" s="3" customFormat="1" x14ac:dyDescent="0.25">
      <c r="A374" s="2">
        <v>69</v>
      </c>
      <c r="B374" s="3" t="s">
        <v>28</v>
      </c>
      <c r="C374" s="3">
        <v>647</v>
      </c>
      <c r="D374" s="3">
        <v>1</v>
      </c>
      <c r="E374" s="3" t="s">
        <v>33</v>
      </c>
      <c r="F374" s="3" t="s">
        <v>34</v>
      </c>
      <c r="G374" s="3" t="str">
        <f>"2026-05-05 07:10:10.808"</f>
        <v>2026-05-05 07:10:10.808</v>
      </c>
      <c r="H374" s="3" t="s">
        <v>21</v>
      </c>
    </row>
    <row r="375" spans="1:10" s="3" customFormat="1" x14ac:dyDescent="0.25">
      <c r="A375" s="2">
        <v>70</v>
      </c>
      <c r="B375" s="3" t="s">
        <v>31</v>
      </c>
      <c r="C375" s="3">
        <v>647</v>
      </c>
      <c r="D375" s="3">
        <v>1</v>
      </c>
      <c r="E375" s="3" t="s">
        <v>33</v>
      </c>
      <c r="F375" s="3" t="s">
        <v>34</v>
      </c>
      <c r="G375" s="3" t="str">
        <f>"2026-05-05 07:10:07.708"</f>
        <v>2026-05-05 07:10:07.708</v>
      </c>
      <c r="H375" s="3" t="s">
        <v>21</v>
      </c>
      <c r="I375" s="3">
        <v>13.37</v>
      </c>
      <c r="J375" s="3" t="s">
        <v>35</v>
      </c>
    </row>
    <row r="376" spans="1:10" x14ac:dyDescent="0.25">
      <c r="A376" s="1">
        <v>71</v>
      </c>
      <c r="B376" t="s">
        <v>28</v>
      </c>
      <c r="C376">
        <v>635</v>
      </c>
      <c r="D376">
        <v>1</v>
      </c>
      <c r="E376" t="s">
        <v>29</v>
      </c>
      <c r="F376" t="s">
        <v>30</v>
      </c>
      <c r="G376" t="str">
        <f>"2026-05-05 07:02:05.708"</f>
        <v>2026-05-05 07:02:05.708</v>
      </c>
      <c r="H376" t="s">
        <v>21</v>
      </c>
    </row>
    <row r="377" spans="1:10" x14ac:dyDescent="0.25">
      <c r="A377" s="1">
        <v>72</v>
      </c>
      <c r="B377" t="s">
        <v>31</v>
      </c>
      <c r="C377">
        <v>635</v>
      </c>
      <c r="D377">
        <v>1</v>
      </c>
      <c r="E377" t="s">
        <v>29</v>
      </c>
      <c r="F377" t="s">
        <v>30</v>
      </c>
      <c r="G377" t="str">
        <f>"2026-05-05 06:36:08.808"</f>
        <v>2026-05-05 06:36:08.808</v>
      </c>
      <c r="H377" t="s">
        <v>21</v>
      </c>
      <c r="I377">
        <v>0</v>
      </c>
      <c r="J377" t="s">
        <v>36</v>
      </c>
    </row>
    <row r="378" spans="1:10" x14ac:dyDescent="0.25">
      <c r="A378" s="1">
        <v>73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"2026-05-04 21:40:57.705"</f>
        <v>2026-05-04 21:40:57.705</v>
      </c>
      <c r="H378" t="s">
        <v>21</v>
      </c>
      <c r="I378">
        <v>0</v>
      </c>
      <c r="J378" t="s">
        <v>22</v>
      </c>
    </row>
    <row r="379" spans="1:10" x14ac:dyDescent="0.25">
      <c r="A379" s="1">
        <v>74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"2026-05-04 21:30:46.633"</f>
        <v>2026-05-04 21:30:46.633</v>
      </c>
      <c r="H379" t="s">
        <v>21</v>
      </c>
      <c r="I379">
        <v>0</v>
      </c>
      <c r="J379" t="s">
        <v>22</v>
      </c>
    </row>
    <row r="380" spans="1:10" s="3" customFormat="1" x14ac:dyDescent="0.25">
      <c r="A380" s="2">
        <v>75</v>
      </c>
      <c r="B380" s="3" t="s">
        <v>28</v>
      </c>
      <c r="C380" s="3">
        <v>647</v>
      </c>
      <c r="D380" s="3">
        <v>1</v>
      </c>
      <c r="E380" s="3" t="s">
        <v>33</v>
      </c>
      <c r="F380" s="3" t="s">
        <v>34</v>
      </c>
      <c r="G380" s="3" t="str">
        <f>"2026-05-04 19:54:46.901"</f>
        <v>2026-05-04 19:54:46.901</v>
      </c>
      <c r="H380" s="3" t="s">
        <v>21</v>
      </c>
    </row>
    <row r="381" spans="1:10" s="3" customFormat="1" x14ac:dyDescent="0.25">
      <c r="A381" s="2">
        <v>76</v>
      </c>
      <c r="B381" s="3" t="s">
        <v>31</v>
      </c>
      <c r="C381" s="3">
        <v>647</v>
      </c>
      <c r="D381" s="3">
        <v>1</v>
      </c>
      <c r="E381" s="3" t="s">
        <v>33</v>
      </c>
      <c r="F381" s="3" t="s">
        <v>34</v>
      </c>
      <c r="G381" s="3" t="str">
        <f>"2026-05-04 19:54:45.401"</f>
        <v>2026-05-04 19:54:45.401</v>
      </c>
      <c r="H381" s="3" t="s">
        <v>21</v>
      </c>
      <c r="I381" s="3">
        <v>19.73</v>
      </c>
      <c r="J381" s="3" t="s">
        <v>35</v>
      </c>
    </row>
    <row r="382" spans="1:10" x14ac:dyDescent="0.25">
      <c r="A382" s="1">
        <v>77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"2026-05-04 13:07:36.604"</f>
        <v>2026-05-04 13:07:36.604</v>
      </c>
      <c r="H382" t="s">
        <v>21</v>
      </c>
      <c r="I382">
        <v>0</v>
      </c>
      <c r="J382" t="s">
        <v>22</v>
      </c>
    </row>
    <row r="383" spans="1:10" x14ac:dyDescent="0.25">
      <c r="A383" s="1">
        <v>78</v>
      </c>
      <c r="B383" t="s">
        <v>28</v>
      </c>
      <c r="C383">
        <v>619</v>
      </c>
      <c r="D383">
        <v>1</v>
      </c>
      <c r="E383" t="s">
        <v>43</v>
      </c>
      <c r="F383" t="s">
        <v>30</v>
      </c>
      <c r="G383" t="str">
        <f>"2026-05-04 01:10:27.134"</f>
        <v>2026-05-04 01:10:27.134</v>
      </c>
      <c r="H383" t="s">
        <v>44</v>
      </c>
    </row>
    <row r="384" spans="1:10" x14ac:dyDescent="0.25">
      <c r="A384" s="1">
        <v>79</v>
      </c>
      <c r="B384" t="s">
        <v>31</v>
      </c>
      <c r="C384">
        <v>619</v>
      </c>
      <c r="D384">
        <v>1</v>
      </c>
      <c r="E384" t="s">
        <v>43</v>
      </c>
      <c r="F384" t="s">
        <v>30</v>
      </c>
      <c r="G384" t="str">
        <f>"2026-05-04 01:09:24.334"</f>
        <v>2026-05-04 01:09:24.334</v>
      </c>
      <c r="H384" t="s">
        <v>44</v>
      </c>
      <c r="I384">
        <v>0</v>
      </c>
      <c r="J384" t="s">
        <v>36</v>
      </c>
    </row>
    <row r="385" spans="1:10" x14ac:dyDescent="0.25">
      <c r="A385" s="1">
        <v>80</v>
      </c>
      <c r="B385" t="s">
        <v>28</v>
      </c>
      <c r="C385">
        <v>635</v>
      </c>
      <c r="D385">
        <v>1</v>
      </c>
      <c r="E385" t="s">
        <v>29</v>
      </c>
      <c r="F385" t="s">
        <v>30</v>
      </c>
      <c r="G385" t="str">
        <f>"2026-05-04 00:52:03.034"</f>
        <v>2026-05-04 00:52:03.034</v>
      </c>
      <c r="H385" t="s">
        <v>21</v>
      </c>
    </row>
    <row r="386" spans="1:10" x14ac:dyDescent="0.25">
      <c r="A386" s="1">
        <v>81</v>
      </c>
      <c r="B386" t="s">
        <v>31</v>
      </c>
      <c r="C386">
        <v>635</v>
      </c>
      <c r="D386">
        <v>1</v>
      </c>
      <c r="E386" t="s">
        <v>29</v>
      </c>
      <c r="F386" t="s">
        <v>30</v>
      </c>
      <c r="G386" t="str">
        <f>"2026-05-04 00:25:37.534"</f>
        <v>2026-05-04 00:25:37.534</v>
      </c>
      <c r="H386" t="s">
        <v>21</v>
      </c>
      <c r="I386">
        <v>2.41</v>
      </c>
      <c r="J386" t="s">
        <v>32</v>
      </c>
    </row>
    <row r="387" spans="1:10" x14ac:dyDescent="0.25">
      <c r="A387" s="1">
        <v>82</v>
      </c>
      <c r="B387" t="s">
        <v>19</v>
      </c>
      <c r="C387">
        <v>706</v>
      </c>
      <c r="D387">
        <v>4</v>
      </c>
      <c r="E387" t="s">
        <v>39</v>
      </c>
      <c r="F387" t="s">
        <v>40</v>
      </c>
      <c r="G387" t="str">
        <f>"2026-05-03 22:58:55.879"</f>
        <v>2026-05-03 22:58:55.879</v>
      </c>
      <c r="H387" t="s">
        <v>21</v>
      </c>
      <c r="I387">
        <v>0</v>
      </c>
      <c r="J387" t="s">
        <v>27</v>
      </c>
    </row>
    <row r="388" spans="1:10" x14ac:dyDescent="0.25">
      <c r="A388" s="1">
        <v>83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"2026-05-03 14:20:10.839"</f>
        <v>2026-05-03 14:20:10.839</v>
      </c>
      <c r="H388" t="s">
        <v>21</v>
      </c>
      <c r="I388">
        <v>0</v>
      </c>
      <c r="J388" t="s">
        <v>22</v>
      </c>
    </row>
    <row r="389" spans="1:10" x14ac:dyDescent="0.25">
      <c r="A389" s="1">
        <v>84</v>
      </c>
      <c r="B389" t="s">
        <v>50</v>
      </c>
      <c r="C389">
        <v>33</v>
      </c>
      <c r="D389">
        <v>1</v>
      </c>
      <c r="E389" t="s">
        <v>52</v>
      </c>
      <c r="F389" t="s">
        <v>53</v>
      </c>
      <c r="G389" t="str">
        <f>"2026-05-03 07:24:02.465"</f>
        <v>2026-05-03 07:24:02.465</v>
      </c>
      <c r="H389" t="s">
        <v>54</v>
      </c>
    </row>
    <row r="390" spans="1:10" x14ac:dyDescent="0.25">
      <c r="A390" s="1">
        <v>85</v>
      </c>
      <c r="B390" t="s">
        <v>23</v>
      </c>
      <c r="C390">
        <v>33</v>
      </c>
      <c r="D390">
        <v>1</v>
      </c>
      <c r="E390" t="s">
        <v>52</v>
      </c>
      <c r="F390" t="s">
        <v>53</v>
      </c>
      <c r="G390" t="str">
        <f>"2026-05-03 07:23:54.697"</f>
        <v>2026-05-03 07:23:54.697</v>
      </c>
      <c r="H390" t="s">
        <v>54</v>
      </c>
      <c r="I390">
        <v>8.7899999999999991</v>
      </c>
      <c r="J390" t="s">
        <v>32</v>
      </c>
    </row>
    <row r="391" spans="1:10" x14ac:dyDescent="0.25">
      <c r="A391" s="1">
        <v>86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"2026-05-03 04:41:34.596"</f>
        <v>2026-05-03 04:41:34.596</v>
      </c>
      <c r="H391" t="s">
        <v>21</v>
      </c>
    </row>
    <row r="392" spans="1:10" x14ac:dyDescent="0.25">
      <c r="A392" s="1">
        <v>87</v>
      </c>
      <c r="B392" t="s">
        <v>19</v>
      </c>
      <c r="C392">
        <v>706</v>
      </c>
      <c r="D392">
        <v>4</v>
      </c>
      <c r="E392" t="s">
        <v>39</v>
      </c>
      <c r="F392" t="s">
        <v>40</v>
      </c>
      <c r="G392" t="str">
        <f>"2026-05-03 04:35:13.420"</f>
        <v>2026-05-03 04:35:13.420</v>
      </c>
      <c r="H392" t="s">
        <v>21</v>
      </c>
      <c r="I392">
        <v>0</v>
      </c>
      <c r="J392" t="s">
        <v>27</v>
      </c>
    </row>
    <row r="393" spans="1:10" x14ac:dyDescent="0.25">
      <c r="A393" s="1">
        <v>88</v>
      </c>
      <c r="B393" t="s">
        <v>19</v>
      </c>
      <c r="C393">
        <v>706</v>
      </c>
      <c r="D393">
        <v>2</v>
      </c>
      <c r="E393" t="s">
        <v>39</v>
      </c>
      <c r="F393" t="s">
        <v>48</v>
      </c>
      <c r="G393" t="str">
        <f>"2026-05-03 04:33:39.270"</f>
        <v>2026-05-03 04:33:39.270</v>
      </c>
      <c r="H393" t="s">
        <v>21</v>
      </c>
      <c r="I393">
        <v>0</v>
      </c>
      <c r="J393" t="s">
        <v>27</v>
      </c>
    </row>
    <row r="394" spans="1:10" x14ac:dyDescent="0.25">
      <c r="A394" s="1">
        <v>89</v>
      </c>
      <c r="B394" t="s">
        <v>19</v>
      </c>
      <c r="C394">
        <v>706</v>
      </c>
      <c r="D394">
        <v>2</v>
      </c>
      <c r="E394" t="s">
        <v>39</v>
      </c>
      <c r="F394" t="s">
        <v>48</v>
      </c>
      <c r="G394" t="str">
        <f>"2026-05-03 04:33:29.270"</f>
        <v>2026-05-03 04:33:29.270</v>
      </c>
      <c r="H394" t="s">
        <v>21</v>
      </c>
      <c r="I394">
        <v>0</v>
      </c>
      <c r="J394" t="s">
        <v>27</v>
      </c>
    </row>
    <row r="395" spans="1:10" x14ac:dyDescent="0.25">
      <c r="A395" s="1">
        <v>90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"2026-05-03 04:18:58.600"</f>
        <v>2026-05-03 04:18:58.600</v>
      </c>
      <c r="H395" t="s">
        <v>21</v>
      </c>
    </row>
    <row r="396" spans="1:10" x14ac:dyDescent="0.25">
      <c r="A396" s="1">
        <v>91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"2026-05-03 02:36:51.597"</f>
        <v>2026-05-03 02:36:51.597</v>
      </c>
      <c r="H396" t="s">
        <v>21</v>
      </c>
    </row>
    <row r="397" spans="1:10" x14ac:dyDescent="0.25">
      <c r="A397" s="1">
        <v>92</v>
      </c>
      <c r="B397" t="s">
        <v>19</v>
      </c>
      <c r="C397">
        <v>706</v>
      </c>
      <c r="D397">
        <v>2</v>
      </c>
      <c r="E397" t="s">
        <v>39</v>
      </c>
      <c r="F397" t="s">
        <v>48</v>
      </c>
      <c r="G397" t="str">
        <f>"2026-05-03 02:30:50.067"</f>
        <v>2026-05-03 02:30:50.067</v>
      </c>
      <c r="H397" t="s">
        <v>21</v>
      </c>
      <c r="I397">
        <v>0</v>
      </c>
      <c r="J397" t="s">
        <v>27</v>
      </c>
    </row>
    <row r="398" spans="1:10" x14ac:dyDescent="0.25">
      <c r="A398" s="1">
        <v>93</v>
      </c>
      <c r="B398" t="s">
        <v>19</v>
      </c>
      <c r="C398">
        <v>706</v>
      </c>
      <c r="D398">
        <v>4</v>
      </c>
      <c r="E398" t="s">
        <v>39</v>
      </c>
      <c r="F398" t="s">
        <v>40</v>
      </c>
      <c r="G398" t="str">
        <f>"2026-05-03 00:30:58.267"</f>
        <v>2026-05-03 00:30:58.267</v>
      </c>
      <c r="H398" t="s">
        <v>21</v>
      </c>
      <c r="I398">
        <v>0</v>
      </c>
      <c r="J398" t="s">
        <v>27</v>
      </c>
    </row>
    <row r="399" spans="1:10" x14ac:dyDescent="0.25">
      <c r="A399" s="1">
        <v>94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"2026-05-03 00:24:44.607"</f>
        <v>2026-05-03 00:24:44.607</v>
      </c>
      <c r="H399" t="s">
        <v>21</v>
      </c>
    </row>
    <row r="400" spans="1:10" s="3" customFormat="1" x14ac:dyDescent="0.25">
      <c r="A400" s="2">
        <v>95</v>
      </c>
      <c r="B400" s="3" t="s">
        <v>28</v>
      </c>
      <c r="C400" s="3">
        <v>647</v>
      </c>
      <c r="D400" s="3">
        <v>1</v>
      </c>
      <c r="E400" s="3" t="s">
        <v>33</v>
      </c>
      <c r="F400" s="3" t="s">
        <v>34</v>
      </c>
      <c r="G400" s="3" t="str">
        <f>"2026-05-02 19:40:17.707"</f>
        <v>2026-05-02 19:40:17.707</v>
      </c>
      <c r="H400" s="3" t="s">
        <v>21</v>
      </c>
    </row>
    <row r="401" spans="1:10" s="3" customFormat="1" x14ac:dyDescent="0.25">
      <c r="A401" s="2">
        <v>96</v>
      </c>
      <c r="B401" s="3" t="s">
        <v>31</v>
      </c>
      <c r="C401" s="3">
        <v>647</v>
      </c>
      <c r="D401" s="3">
        <v>1</v>
      </c>
      <c r="E401" s="3" t="s">
        <v>33</v>
      </c>
      <c r="F401" s="3" t="s">
        <v>34</v>
      </c>
      <c r="G401" s="3" t="str">
        <f>"2026-05-02 19:40:15.708"</f>
        <v>2026-05-02 19:40:15.708</v>
      </c>
      <c r="H401" s="3" t="s">
        <v>21</v>
      </c>
      <c r="I401" s="3">
        <v>20.49</v>
      </c>
      <c r="J401" s="3" t="s">
        <v>35</v>
      </c>
    </row>
    <row r="402" spans="1:10" x14ac:dyDescent="0.25">
      <c r="A402" s="1">
        <v>97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"2026-05-02 16:11:34.594"</f>
        <v>2026-05-02 16:11:34.594</v>
      </c>
      <c r="H402" t="s">
        <v>21</v>
      </c>
    </row>
    <row r="403" spans="1:10" x14ac:dyDescent="0.25">
      <c r="A403" s="1">
        <v>98</v>
      </c>
      <c r="B403" t="s">
        <v>28</v>
      </c>
      <c r="C403">
        <v>635</v>
      </c>
      <c r="D403">
        <v>1</v>
      </c>
      <c r="E403" t="s">
        <v>29</v>
      </c>
      <c r="F403" t="s">
        <v>30</v>
      </c>
      <c r="G403" t="str">
        <f>"2026-05-02 15:11:06.321"</f>
        <v>2026-05-02 15:11:06.321</v>
      </c>
      <c r="H403" t="s">
        <v>21</v>
      </c>
    </row>
    <row r="404" spans="1:10" x14ac:dyDescent="0.25">
      <c r="A404" s="1">
        <v>99</v>
      </c>
      <c r="B404" t="s">
        <v>31</v>
      </c>
      <c r="C404">
        <v>635</v>
      </c>
      <c r="D404">
        <v>1</v>
      </c>
      <c r="E404" t="s">
        <v>29</v>
      </c>
      <c r="F404" t="s">
        <v>30</v>
      </c>
      <c r="G404" t="str">
        <f>"2026-05-02 15:05:15.822"</f>
        <v>2026-05-02 15:05:15.822</v>
      </c>
      <c r="H404" t="s">
        <v>21</v>
      </c>
      <c r="I404">
        <v>3.3</v>
      </c>
      <c r="J404" t="s">
        <v>32</v>
      </c>
    </row>
    <row r="405" spans="1:10" x14ac:dyDescent="0.25">
      <c r="A405" s="1">
        <v>0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"2026-05-02 13:32:28.620"</f>
        <v>2026-05-02 13:32:28.620</v>
      </c>
      <c r="H405" t="s">
        <v>21</v>
      </c>
    </row>
    <row r="406" spans="1:10" x14ac:dyDescent="0.25">
      <c r="A406" s="1">
        <v>1</v>
      </c>
      <c r="B406" t="s">
        <v>28</v>
      </c>
      <c r="C406">
        <v>635</v>
      </c>
      <c r="D406">
        <v>1</v>
      </c>
      <c r="E406" t="s">
        <v>29</v>
      </c>
      <c r="F406" t="s">
        <v>30</v>
      </c>
      <c r="G406" t="str">
        <f>"2026-05-02 08:10:25.693"</f>
        <v>2026-05-02 08:10:25.693</v>
      </c>
      <c r="H406" t="s">
        <v>21</v>
      </c>
    </row>
    <row r="407" spans="1:10" x14ac:dyDescent="0.25">
      <c r="A407" s="1">
        <v>2</v>
      </c>
      <c r="B407" t="s">
        <v>31</v>
      </c>
      <c r="C407">
        <v>635</v>
      </c>
      <c r="D407">
        <v>1</v>
      </c>
      <c r="E407" t="s">
        <v>29</v>
      </c>
      <c r="F407" t="s">
        <v>30</v>
      </c>
      <c r="G407" t="str">
        <f>"2026-05-02 08:02:18.193"</f>
        <v>2026-05-02 08:02:18.193</v>
      </c>
      <c r="H407" t="s">
        <v>21</v>
      </c>
      <c r="I407">
        <v>0.4</v>
      </c>
      <c r="J407" t="s">
        <v>32</v>
      </c>
    </row>
    <row r="408" spans="1:10" x14ac:dyDescent="0.25">
      <c r="A408" s="1">
        <v>3</v>
      </c>
      <c r="B408" t="s">
        <v>28</v>
      </c>
      <c r="C408">
        <v>635</v>
      </c>
      <c r="D408">
        <v>1</v>
      </c>
      <c r="E408" t="s">
        <v>29</v>
      </c>
      <c r="F408" t="s">
        <v>30</v>
      </c>
      <c r="G408" t="str">
        <f>"2026-05-02 05:25:26.093"</f>
        <v>2026-05-02 05:25:26.093</v>
      </c>
      <c r="H408" t="s">
        <v>21</v>
      </c>
    </row>
    <row r="409" spans="1:10" x14ac:dyDescent="0.25">
      <c r="A409" s="1">
        <v>4</v>
      </c>
      <c r="B409" t="s">
        <v>31</v>
      </c>
      <c r="C409">
        <v>635</v>
      </c>
      <c r="D409">
        <v>1</v>
      </c>
      <c r="E409" t="s">
        <v>29</v>
      </c>
      <c r="F409" t="s">
        <v>30</v>
      </c>
      <c r="G409" t="str">
        <f>"2026-05-02 05:20:10.593"</f>
        <v>2026-05-02 05:20:10.593</v>
      </c>
      <c r="H409" t="s">
        <v>21</v>
      </c>
      <c r="I409">
        <v>0.21</v>
      </c>
      <c r="J409" t="s">
        <v>32</v>
      </c>
    </row>
    <row r="410" spans="1:10" x14ac:dyDescent="0.25">
      <c r="A410" s="1">
        <v>5</v>
      </c>
      <c r="B410" t="s">
        <v>19</v>
      </c>
      <c r="C410">
        <v>706</v>
      </c>
      <c r="D410">
        <v>4</v>
      </c>
      <c r="E410" t="s">
        <v>39</v>
      </c>
      <c r="F410" t="s">
        <v>40</v>
      </c>
      <c r="G410" t="str">
        <f>"2026-05-02 04:12:54.272"</f>
        <v>2026-05-02 04:12:54.272</v>
      </c>
      <c r="H410" t="s">
        <v>21</v>
      </c>
      <c r="I410">
        <v>0</v>
      </c>
      <c r="J410" t="s">
        <v>27</v>
      </c>
    </row>
    <row r="411" spans="1:10" x14ac:dyDescent="0.25">
      <c r="A411" s="1">
        <v>6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"2026-05-02 04:02:36.632"</f>
        <v>2026-05-02 04:02:36.632</v>
      </c>
      <c r="H411" t="s">
        <v>21</v>
      </c>
      <c r="I411">
        <v>0</v>
      </c>
      <c r="J411" t="s">
        <v>22</v>
      </c>
    </row>
    <row r="412" spans="1:10" x14ac:dyDescent="0.25">
      <c r="A412" s="1">
        <v>7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"2026-05-01 18:27:02.607"</f>
        <v>2026-05-01 18:27:02.607</v>
      </c>
      <c r="H412" t="s">
        <v>21</v>
      </c>
      <c r="I412">
        <v>0</v>
      </c>
      <c r="J412" t="s">
        <v>22</v>
      </c>
    </row>
    <row r="413" spans="1:10" x14ac:dyDescent="0.25">
      <c r="A413" s="1">
        <v>8</v>
      </c>
      <c r="B413" t="s">
        <v>28</v>
      </c>
      <c r="C413">
        <v>619</v>
      </c>
      <c r="D413">
        <v>1</v>
      </c>
      <c r="E413" t="s">
        <v>43</v>
      </c>
      <c r="F413" t="s">
        <v>30</v>
      </c>
      <c r="G413" t="str">
        <f>"2026-05-01 18:25:12.396"</f>
        <v>2026-05-01 18:25:12.396</v>
      </c>
      <c r="H413" t="s">
        <v>44</v>
      </c>
    </row>
    <row r="414" spans="1:10" x14ac:dyDescent="0.25">
      <c r="A414" s="1">
        <v>9</v>
      </c>
      <c r="B414" t="s">
        <v>31</v>
      </c>
      <c r="C414">
        <v>619</v>
      </c>
      <c r="D414">
        <v>1</v>
      </c>
      <c r="E414" t="s">
        <v>43</v>
      </c>
      <c r="F414" t="s">
        <v>30</v>
      </c>
      <c r="G414" t="str">
        <f>"2026-05-01 18:24:54.697"</f>
        <v>2026-05-01 18:24:54.697</v>
      </c>
      <c r="H414" t="s">
        <v>44</v>
      </c>
      <c r="I414">
        <v>0</v>
      </c>
      <c r="J414" t="s">
        <v>27</v>
      </c>
    </row>
    <row r="415" spans="1:10" x14ac:dyDescent="0.25">
      <c r="A415" s="1">
        <v>10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"2026-05-01 18:24:34.631"</f>
        <v>2026-05-01 18:24:34.631</v>
      </c>
      <c r="H415" t="s">
        <v>21</v>
      </c>
      <c r="I415">
        <v>0</v>
      </c>
      <c r="J415" t="s">
        <v>22</v>
      </c>
    </row>
    <row r="416" spans="1:10" x14ac:dyDescent="0.25">
      <c r="A416" s="1">
        <v>11</v>
      </c>
      <c r="B416" t="s">
        <v>28</v>
      </c>
      <c r="C416">
        <v>619</v>
      </c>
      <c r="D416">
        <v>1</v>
      </c>
      <c r="E416" t="s">
        <v>43</v>
      </c>
      <c r="F416" t="s">
        <v>30</v>
      </c>
      <c r="G416" t="str">
        <f>"2026-05-01 18:23:45.626"</f>
        <v>2026-05-01 18:23:45.626</v>
      </c>
      <c r="H416" t="s">
        <v>44</v>
      </c>
    </row>
    <row r="417" spans="1:10" x14ac:dyDescent="0.25">
      <c r="A417" s="1">
        <v>12</v>
      </c>
      <c r="B417" t="s">
        <v>31</v>
      </c>
      <c r="C417">
        <v>619</v>
      </c>
      <c r="D417">
        <v>1</v>
      </c>
      <c r="E417" t="s">
        <v>43</v>
      </c>
      <c r="F417" t="s">
        <v>30</v>
      </c>
      <c r="G417" t="str">
        <f>"2026-05-01 18:23:26.226"</f>
        <v>2026-05-01 18:23:26.226</v>
      </c>
      <c r="H417" t="s">
        <v>44</v>
      </c>
      <c r="I417">
        <v>0</v>
      </c>
      <c r="J417" t="s">
        <v>36</v>
      </c>
    </row>
    <row r="418" spans="1:10" x14ac:dyDescent="0.25">
      <c r="A418" s="1">
        <v>13</v>
      </c>
      <c r="B418" t="s">
        <v>19</v>
      </c>
      <c r="C418">
        <v>706</v>
      </c>
      <c r="D418">
        <v>4</v>
      </c>
      <c r="E418" t="s">
        <v>39</v>
      </c>
      <c r="F418" t="s">
        <v>40</v>
      </c>
      <c r="G418" t="str">
        <f>"2026-05-01 18:23:14.743"</f>
        <v>2026-05-01 18:23:14.743</v>
      </c>
      <c r="H418" t="s">
        <v>21</v>
      </c>
      <c r="I418">
        <v>0</v>
      </c>
      <c r="J418" t="s">
        <v>27</v>
      </c>
    </row>
    <row r="419" spans="1:10" x14ac:dyDescent="0.25">
      <c r="A419" s="1">
        <v>14</v>
      </c>
      <c r="B419" t="s">
        <v>28</v>
      </c>
      <c r="C419">
        <v>619</v>
      </c>
      <c r="D419">
        <v>1</v>
      </c>
      <c r="E419" t="s">
        <v>43</v>
      </c>
      <c r="F419" t="s">
        <v>30</v>
      </c>
      <c r="G419" t="str">
        <f>"2026-05-01 18:23:07.826"</f>
        <v>2026-05-01 18:23:07.826</v>
      </c>
      <c r="H419" t="s">
        <v>44</v>
      </c>
    </row>
    <row r="420" spans="1:10" x14ac:dyDescent="0.25">
      <c r="A420" s="1">
        <v>15</v>
      </c>
      <c r="B420" t="s">
        <v>31</v>
      </c>
      <c r="C420">
        <v>619</v>
      </c>
      <c r="D420">
        <v>1</v>
      </c>
      <c r="E420" t="s">
        <v>43</v>
      </c>
      <c r="F420" t="s">
        <v>30</v>
      </c>
      <c r="G420" t="str">
        <f>"2026-05-01 18:22:04.073"</f>
        <v>2026-05-01 18:22:04.073</v>
      </c>
      <c r="H420" t="s">
        <v>44</v>
      </c>
      <c r="I420">
        <v>7.64</v>
      </c>
      <c r="J420" t="s">
        <v>32</v>
      </c>
    </row>
    <row r="421" spans="1:10" x14ac:dyDescent="0.25">
      <c r="A421" s="1">
        <v>16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"2026-05-01 14:29:18.613"</f>
        <v>2026-05-01 14:29:18.613</v>
      </c>
      <c r="H421" t="s">
        <v>21</v>
      </c>
      <c r="I421">
        <v>0</v>
      </c>
      <c r="J421" t="s">
        <v>22</v>
      </c>
    </row>
    <row r="422" spans="1:10" x14ac:dyDescent="0.25">
      <c r="A422" s="1">
        <v>17</v>
      </c>
      <c r="B422" t="s">
        <v>28</v>
      </c>
      <c r="C422">
        <v>635</v>
      </c>
      <c r="D422">
        <v>1</v>
      </c>
      <c r="E422" t="s">
        <v>29</v>
      </c>
      <c r="F422" t="s">
        <v>30</v>
      </c>
      <c r="G422" t="str">
        <f>"2026-05-01 07:17:57.658"</f>
        <v>2026-05-01 07:17:57.658</v>
      </c>
      <c r="H422" t="s">
        <v>21</v>
      </c>
    </row>
    <row r="423" spans="1:10" x14ac:dyDescent="0.25">
      <c r="A423" s="1">
        <v>18</v>
      </c>
      <c r="B423" t="s">
        <v>31</v>
      </c>
      <c r="C423">
        <v>635</v>
      </c>
      <c r="D423">
        <v>1</v>
      </c>
      <c r="E423" t="s">
        <v>29</v>
      </c>
      <c r="F423" t="s">
        <v>30</v>
      </c>
      <c r="G423" t="str">
        <f>"2026-05-01 07:15:15.658"</f>
        <v>2026-05-01 07:15:15.658</v>
      </c>
      <c r="H423" t="s">
        <v>21</v>
      </c>
      <c r="I423">
        <v>0</v>
      </c>
      <c r="J423" t="s">
        <v>36</v>
      </c>
    </row>
    <row r="424" spans="1:10" s="3" customFormat="1" x14ac:dyDescent="0.25">
      <c r="A424" s="2">
        <v>19</v>
      </c>
      <c r="B424" s="3" t="s">
        <v>28</v>
      </c>
      <c r="C424" s="3">
        <v>647</v>
      </c>
      <c r="D424" s="3">
        <v>1</v>
      </c>
      <c r="E424" s="3" t="s">
        <v>33</v>
      </c>
      <c r="F424" s="3" t="s">
        <v>34</v>
      </c>
      <c r="G424" s="3" t="str">
        <f>"2026-05-01 02:51:13.206"</f>
        <v>2026-05-01 02:51:13.206</v>
      </c>
      <c r="H424" s="3" t="s">
        <v>21</v>
      </c>
    </row>
    <row r="425" spans="1:10" s="3" customFormat="1" x14ac:dyDescent="0.25">
      <c r="A425" s="2">
        <v>20</v>
      </c>
      <c r="B425" s="3" t="s">
        <v>31</v>
      </c>
      <c r="C425" s="3">
        <v>647</v>
      </c>
      <c r="D425" s="3">
        <v>1</v>
      </c>
      <c r="E425" s="3" t="s">
        <v>33</v>
      </c>
      <c r="F425" s="3" t="s">
        <v>34</v>
      </c>
      <c r="G425" s="3" t="str">
        <f>"2026-05-01 02:51:12.107"</f>
        <v>2026-05-01 02:51:12.107</v>
      </c>
      <c r="H425" s="3" t="s">
        <v>21</v>
      </c>
      <c r="I425" s="3">
        <v>13.87</v>
      </c>
      <c r="J425" s="3" t="s">
        <v>35</v>
      </c>
    </row>
    <row r="426" spans="1:10" x14ac:dyDescent="0.25">
      <c r="A426" s="1">
        <v>21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"2026-04-30 14:19:23.598"</f>
        <v>2026-04-30 14:19:23.598</v>
      </c>
      <c r="H426" t="s">
        <v>21</v>
      </c>
      <c r="I426">
        <v>0</v>
      </c>
      <c r="J426" t="s">
        <v>22</v>
      </c>
    </row>
    <row r="427" spans="1:10" s="3" customFormat="1" x14ac:dyDescent="0.25">
      <c r="A427" s="2">
        <v>22</v>
      </c>
      <c r="B427" s="3" t="s">
        <v>28</v>
      </c>
      <c r="C427" s="3">
        <v>647</v>
      </c>
      <c r="D427" s="3">
        <v>1</v>
      </c>
      <c r="E427" s="3" t="s">
        <v>33</v>
      </c>
      <c r="F427" s="3" t="s">
        <v>34</v>
      </c>
      <c r="G427" s="3" t="str">
        <f>"2026-04-30 06:34:06.006"</f>
        <v>2026-04-30 06:34:06.006</v>
      </c>
      <c r="H427" s="3" t="s">
        <v>21</v>
      </c>
    </row>
    <row r="428" spans="1:10" s="3" customFormat="1" x14ac:dyDescent="0.25">
      <c r="A428" s="2">
        <v>23</v>
      </c>
      <c r="B428" s="3" t="s">
        <v>31</v>
      </c>
      <c r="C428" s="3">
        <v>647</v>
      </c>
      <c r="D428" s="3">
        <v>1</v>
      </c>
      <c r="E428" s="3" t="s">
        <v>33</v>
      </c>
      <c r="F428" s="3" t="s">
        <v>34</v>
      </c>
      <c r="G428" s="3" t="str">
        <f>"2026-04-30 06:34:03.507"</f>
        <v>2026-04-30 06:34:03.507</v>
      </c>
      <c r="H428" s="3" t="s">
        <v>21</v>
      </c>
      <c r="I428" s="3">
        <v>15.54</v>
      </c>
      <c r="J428" s="3" t="s">
        <v>35</v>
      </c>
    </row>
    <row r="429" spans="1:10" x14ac:dyDescent="0.25">
      <c r="A429" s="1">
        <v>24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"2026-04-29 13:24:20.588"</f>
        <v>2026-04-29 13:24:20.588</v>
      </c>
      <c r="H429" t="s">
        <v>21</v>
      </c>
      <c r="I429">
        <v>0</v>
      </c>
      <c r="J429" t="s">
        <v>22</v>
      </c>
    </row>
    <row r="430" spans="1:10" x14ac:dyDescent="0.25">
      <c r="A430" s="1">
        <v>25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"2026-04-29 11:56:55.585"</f>
        <v>2026-04-29 11:56:55.585</v>
      </c>
      <c r="H430" t="s">
        <v>21</v>
      </c>
    </row>
    <row r="431" spans="1:10" x14ac:dyDescent="0.25">
      <c r="A431" s="1">
        <v>26</v>
      </c>
      <c r="B431" t="s">
        <v>28</v>
      </c>
      <c r="C431">
        <v>635</v>
      </c>
      <c r="D431">
        <v>1</v>
      </c>
      <c r="E431" t="s">
        <v>29</v>
      </c>
      <c r="F431" t="s">
        <v>30</v>
      </c>
      <c r="G431" t="str">
        <f>"2026-04-29 08:40:57.505"</f>
        <v>2026-04-29 08:40:57.505</v>
      </c>
      <c r="H431" t="s">
        <v>21</v>
      </c>
    </row>
    <row r="432" spans="1:10" x14ac:dyDescent="0.25">
      <c r="A432" s="1">
        <v>27</v>
      </c>
      <c r="B432" t="s">
        <v>31</v>
      </c>
      <c r="C432">
        <v>635</v>
      </c>
      <c r="D432">
        <v>1</v>
      </c>
      <c r="E432" t="s">
        <v>29</v>
      </c>
      <c r="F432" t="s">
        <v>30</v>
      </c>
      <c r="G432" t="str">
        <f>"2026-04-29 08:37:51.505"</f>
        <v>2026-04-29 08:37:51.505</v>
      </c>
      <c r="H432" t="s">
        <v>21</v>
      </c>
      <c r="I432">
        <v>2.29</v>
      </c>
      <c r="J432" t="s">
        <v>35</v>
      </c>
    </row>
    <row r="433" spans="1:10" x14ac:dyDescent="0.25">
      <c r="A433" s="1">
        <v>28</v>
      </c>
      <c r="B433" t="s">
        <v>28</v>
      </c>
      <c r="C433">
        <v>635</v>
      </c>
      <c r="D433">
        <v>1</v>
      </c>
      <c r="E433" t="s">
        <v>29</v>
      </c>
      <c r="F433" t="s">
        <v>30</v>
      </c>
      <c r="G433" t="str">
        <f>"2026-04-29 08:30:18.005"</f>
        <v>2026-04-29 08:30:18.005</v>
      </c>
      <c r="H433" t="s">
        <v>21</v>
      </c>
    </row>
    <row r="434" spans="1:10" x14ac:dyDescent="0.25">
      <c r="A434" s="1">
        <v>29</v>
      </c>
      <c r="B434" t="s">
        <v>31</v>
      </c>
      <c r="C434">
        <v>635</v>
      </c>
      <c r="D434">
        <v>1</v>
      </c>
      <c r="E434" t="s">
        <v>29</v>
      </c>
      <c r="F434" t="s">
        <v>30</v>
      </c>
      <c r="G434" t="str">
        <f>"2026-04-29 08:27:13.005"</f>
        <v>2026-04-29 08:27:13.005</v>
      </c>
      <c r="H434" t="s">
        <v>21</v>
      </c>
      <c r="I434">
        <v>2.08</v>
      </c>
      <c r="J434" t="s">
        <v>32</v>
      </c>
    </row>
    <row r="435" spans="1:10" x14ac:dyDescent="0.25">
      <c r="A435" s="1">
        <v>30</v>
      </c>
      <c r="B435" t="s">
        <v>28</v>
      </c>
      <c r="C435">
        <v>635</v>
      </c>
      <c r="D435">
        <v>1</v>
      </c>
      <c r="E435" t="s">
        <v>29</v>
      </c>
      <c r="F435" t="s">
        <v>30</v>
      </c>
      <c r="G435" t="str">
        <f>"2026-04-29 04:02:04.105"</f>
        <v>2026-04-29 04:02:04.105</v>
      </c>
      <c r="H435" t="s">
        <v>21</v>
      </c>
    </row>
    <row r="436" spans="1:10" x14ac:dyDescent="0.25">
      <c r="A436" s="1">
        <v>31</v>
      </c>
      <c r="B436" t="s">
        <v>31</v>
      </c>
      <c r="C436">
        <v>635</v>
      </c>
      <c r="D436">
        <v>1</v>
      </c>
      <c r="E436" t="s">
        <v>29</v>
      </c>
      <c r="F436" t="s">
        <v>30</v>
      </c>
      <c r="G436" t="str">
        <f>"2026-04-29 03:59:23.105"</f>
        <v>2026-04-29 03:59:23.105</v>
      </c>
      <c r="H436" t="s">
        <v>21</v>
      </c>
      <c r="I436">
        <v>5.91</v>
      </c>
      <c r="J436" t="s">
        <v>32</v>
      </c>
    </row>
    <row r="437" spans="1:10" x14ac:dyDescent="0.25">
      <c r="A437" s="1">
        <v>32</v>
      </c>
      <c r="B437" t="s">
        <v>28</v>
      </c>
      <c r="C437">
        <v>635</v>
      </c>
      <c r="D437">
        <v>1</v>
      </c>
      <c r="E437" t="s">
        <v>29</v>
      </c>
      <c r="F437" t="s">
        <v>30</v>
      </c>
      <c r="G437" t="str">
        <f>"2026-04-28 21:30:24.905"</f>
        <v>2026-04-28 21:30:24.905</v>
      </c>
      <c r="H437" t="s">
        <v>21</v>
      </c>
    </row>
    <row r="438" spans="1:10" x14ac:dyDescent="0.25">
      <c r="A438" s="1">
        <v>33</v>
      </c>
      <c r="B438" t="s">
        <v>31</v>
      </c>
      <c r="C438">
        <v>635</v>
      </c>
      <c r="D438">
        <v>1</v>
      </c>
      <c r="E438" t="s">
        <v>29</v>
      </c>
      <c r="F438" t="s">
        <v>30</v>
      </c>
      <c r="G438" t="str">
        <f>"2026-04-28 21:26:39.905"</f>
        <v>2026-04-28 21:26:39.905</v>
      </c>
      <c r="H438" t="s">
        <v>21</v>
      </c>
      <c r="I438">
        <v>1.07</v>
      </c>
      <c r="J438" t="s">
        <v>32</v>
      </c>
    </row>
    <row r="439" spans="1:10" x14ac:dyDescent="0.25">
      <c r="A439" s="1">
        <v>34</v>
      </c>
      <c r="B439" t="s">
        <v>28</v>
      </c>
      <c r="C439">
        <v>635</v>
      </c>
      <c r="D439">
        <v>1</v>
      </c>
      <c r="E439" t="s">
        <v>29</v>
      </c>
      <c r="F439" t="s">
        <v>30</v>
      </c>
      <c r="G439" t="str">
        <f>"2026-04-28 20:17:29.105"</f>
        <v>2026-04-28 20:17:29.105</v>
      </c>
      <c r="H439" t="s">
        <v>21</v>
      </c>
    </row>
    <row r="440" spans="1:10" x14ac:dyDescent="0.25">
      <c r="A440" s="1">
        <v>35</v>
      </c>
      <c r="B440" t="s">
        <v>31</v>
      </c>
      <c r="C440">
        <v>635</v>
      </c>
      <c r="D440">
        <v>1</v>
      </c>
      <c r="E440" t="s">
        <v>29</v>
      </c>
      <c r="F440" t="s">
        <v>30</v>
      </c>
      <c r="G440" t="str">
        <f>"2026-04-28 19:55:50.705"</f>
        <v>2026-04-28 19:55:50.705</v>
      </c>
      <c r="H440" t="s">
        <v>21</v>
      </c>
      <c r="I440">
        <v>5.07</v>
      </c>
      <c r="J440" t="s">
        <v>32</v>
      </c>
    </row>
    <row r="441" spans="1:10" x14ac:dyDescent="0.25">
      <c r="A441" s="1">
        <v>36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"2026-04-28 13:48:05.735"</f>
        <v>2026-04-28 13:48:05.735</v>
      </c>
      <c r="H441" t="s">
        <v>21</v>
      </c>
      <c r="I441">
        <v>0</v>
      </c>
      <c r="J441" t="s">
        <v>22</v>
      </c>
    </row>
    <row r="442" spans="1:10" x14ac:dyDescent="0.25">
      <c r="A442" s="1">
        <v>37</v>
      </c>
      <c r="B442" t="s">
        <v>28</v>
      </c>
      <c r="C442">
        <v>635</v>
      </c>
      <c r="D442">
        <v>1</v>
      </c>
      <c r="E442" t="s">
        <v>29</v>
      </c>
      <c r="F442" t="s">
        <v>30</v>
      </c>
      <c r="G442" t="str">
        <f>"2026-04-28 12:01:42.007"</f>
        <v>2026-04-28 12:01:42.007</v>
      </c>
      <c r="H442" t="s">
        <v>21</v>
      </c>
    </row>
    <row r="443" spans="1:10" x14ac:dyDescent="0.25">
      <c r="A443" s="1">
        <v>38</v>
      </c>
      <c r="B443" t="s">
        <v>31</v>
      </c>
      <c r="C443">
        <v>635</v>
      </c>
      <c r="D443">
        <v>1</v>
      </c>
      <c r="E443" t="s">
        <v>29</v>
      </c>
      <c r="F443" t="s">
        <v>30</v>
      </c>
      <c r="G443" t="str">
        <f>"2026-04-28 11:58:33.007"</f>
        <v>2026-04-28 11:58:33.007</v>
      </c>
      <c r="H443" t="s">
        <v>21</v>
      </c>
      <c r="I443">
        <v>4.4800000000000004</v>
      </c>
      <c r="J443" t="s">
        <v>35</v>
      </c>
    </row>
    <row r="444" spans="1:10" x14ac:dyDescent="0.25">
      <c r="A444" s="1">
        <v>39</v>
      </c>
      <c r="B444" t="s">
        <v>19</v>
      </c>
      <c r="C444">
        <v>706</v>
      </c>
      <c r="D444">
        <v>2</v>
      </c>
      <c r="E444" t="s">
        <v>39</v>
      </c>
      <c r="F444" t="s">
        <v>48</v>
      </c>
      <c r="G444" t="str">
        <f>"2026-04-28 11:04:44.704"</f>
        <v>2026-04-28 11:04:44.704</v>
      </c>
      <c r="H444" t="s">
        <v>21</v>
      </c>
      <c r="I444">
        <v>0</v>
      </c>
      <c r="J444" t="s">
        <v>27</v>
      </c>
    </row>
    <row r="445" spans="1:10" x14ac:dyDescent="0.25">
      <c r="A445" s="1">
        <v>40</v>
      </c>
      <c r="B445" t="s">
        <v>28</v>
      </c>
      <c r="C445">
        <v>635</v>
      </c>
      <c r="D445">
        <v>1</v>
      </c>
      <c r="E445" t="s">
        <v>29</v>
      </c>
      <c r="F445" t="s">
        <v>30</v>
      </c>
      <c r="G445" t="str">
        <f>"2026-04-28 10:02:13.307"</f>
        <v>2026-04-28 10:02:13.307</v>
      </c>
      <c r="H445" t="s">
        <v>21</v>
      </c>
    </row>
    <row r="446" spans="1:10" x14ac:dyDescent="0.25">
      <c r="A446" s="1">
        <v>41</v>
      </c>
      <c r="B446" t="s">
        <v>31</v>
      </c>
      <c r="C446">
        <v>635</v>
      </c>
      <c r="D446">
        <v>1</v>
      </c>
      <c r="E446" t="s">
        <v>29</v>
      </c>
      <c r="F446" t="s">
        <v>30</v>
      </c>
      <c r="G446" t="str">
        <f>"2026-04-28 09:56:34.807"</f>
        <v>2026-04-28 09:56:34.807</v>
      </c>
      <c r="H446" t="s">
        <v>21</v>
      </c>
      <c r="I446">
        <v>2.19</v>
      </c>
      <c r="J446" t="s">
        <v>32</v>
      </c>
    </row>
    <row r="447" spans="1:10" x14ac:dyDescent="0.25">
      <c r="A447" s="1">
        <v>42</v>
      </c>
      <c r="B447" t="s">
        <v>28</v>
      </c>
      <c r="C447">
        <v>619</v>
      </c>
      <c r="D447">
        <v>1</v>
      </c>
      <c r="E447" t="s">
        <v>43</v>
      </c>
      <c r="F447" t="s">
        <v>30</v>
      </c>
      <c r="G447" t="str">
        <f>"2026-04-28 09:42:58.254"</f>
        <v>2026-04-28 09:42:58.254</v>
      </c>
      <c r="H447" t="s">
        <v>44</v>
      </c>
    </row>
    <row r="448" spans="1:10" x14ac:dyDescent="0.25">
      <c r="A448" s="1">
        <v>43</v>
      </c>
      <c r="B448" t="s">
        <v>31</v>
      </c>
      <c r="C448">
        <v>619</v>
      </c>
      <c r="D448">
        <v>1</v>
      </c>
      <c r="E448" t="s">
        <v>43</v>
      </c>
      <c r="F448" t="s">
        <v>30</v>
      </c>
      <c r="G448" t="str">
        <f>"2026-04-28 09:42:22.453"</f>
        <v>2026-04-28 09:42:22.453</v>
      </c>
      <c r="H448" t="s">
        <v>44</v>
      </c>
      <c r="I448">
        <v>4.78</v>
      </c>
      <c r="J448" t="s">
        <v>35</v>
      </c>
    </row>
    <row r="449" spans="1:10" x14ac:dyDescent="0.25">
      <c r="A449" s="1">
        <v>44</v>
      </c>
      <c r="B449" t="s">
        <v>28</v>
      </c>
      <c r="C449">
        <v>635</v>
      </c>
      <c r="D449">
        <v>1</v>
      </c>
      <c r="E449" t="s">
        <v>29</v>
      </c>
      <c r="F449" t="s">
        <v>30</v>
      </c>
      <c r="G449" t="str">
        <f>"2026-04-27 23:34:34.607"</f>
        <v>2026-04-27 23:34:34.607</v>
      </c>
      <c r="H449" t="s">
        <v>21</v>
      </c>
    </row>
    <row r="450" spans="1:10" x14ac:dyDescent="0.25">
      <c r="A450" s="1">
        <v>45</v>
      </c>
      <c r="B450" t="s">
        <v>31</v>
      </c>
      <c r="C450">
        <v>635</v>
      </c>
      <c r="D450">
        <v>1</v>
      </c>
      <c r="E450" t="s">
        <v>29</v>
      </c>
      <c r="F450" t="s">
        <v>30</v>
      </c>
      <c r="G450" t="str">
        <f>"2026-04-27 23:31:47.107"</f>
        <v>2026-04-27 23:31:47.107</v>
      </c>
      <c r="H450" t="s">
        <v>21</v>
      </c>
      <c r="I450">
        <v>0</v>
      </c>
      <c r="J450" t="s">
        <v>36</v>
      </c>
    </row>
    <row r="451" spans="1:10" x14ac:dyDescent="0.25">
      <c r="A451" s="1">
        <v>46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"2026-04-27 21:12:33.774"</f>
        <v>2026-04-27 21:12:33.774</v>
      </c>
      <c r="H451" t="s">
        <v>21</v>
      </c>
    </row>
    <row r="452" spans="1:10" x14ac:dyDescent="0.25">
      <c r="A452" s="1">
        <v>47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"2026-04-27 08:51:20.818"</f>
        <v>2026-04-27 08:51:20.818</v>
      </c>
      <c r="H452" t="s">
        <v>21</v>
      </c>
      <c r="I452">
        <v>0</v>
      </c>
      <c r="J452" t="s">
        <v>22</v>
      </c>
    </row>
    <row r="453" spans="1:10" s="3" customFormat="1" x14ac:dyDescent="0.25">
      <c r="A453" s="2">
        <v>48</v>
      </c>
      <c r="B453" s="3" t="s">
        <v>28</v>
      </c>
      <c r="C453" s="3">
        <v>647</v>
      </c>
      <c r="D453" s="3">
        <v>1</v>
      </c>
      <c r="E453" s="3" t="s">
        <v>33</v>
      </c>
      <c r="F453" s="3" t="s">
        <v>34</v>
      </c>
      <c r="G453" s="3" t="str">
        <f>"2026-04-27 04:19:54.508"</f>
        <v>2026-04-27 04:19:54.508</v>
      </c>
      <c r="H453" s="3" t="s">
        <v>21</v>
      </c>
    </row>
    <row r="454" spans="1:10" s="3" customFormat="1" x14ac:dyDescent="0.25">
      <c r="A454" s="2">
        <v>49</v>
      </c>
      <c r="B454" s="3" t="s">
        <v>31</v>
      </c>
      <c r="C454" s="3">
        <v>647</v>
      </c>
      <c r="D454" s="3">
        <v>1</v>
      </c>
      <c r="E454" s="3" t="s">
        <v>33</v>
      </c>
      <c r="F454" s="3" t="s">
        <v>34</v>
      </c>
      <c r="G454" s="3" t="str">
        <f>"2026-04-27 04:19:52.809"</f>
        <v>2026-04-27 04:19:52.809</v>
      </c>
      <c r="H454" s="3" t="s">
        <v>21</v>
      </c>
      <c r="I454" s="3">
        <v>16.86</v>
      </c>
      <c r="J454" s="3" t="s">
        <v>35</v>
      </c>
    </row>
    <row r="455" spans="1:10" x14ac:dyDescent="0.25">
      <c r="A455" s="1">
        <v>50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"2026-04-26 14:00:02.701"</f>
        <v>2026-04-26 14:00:02.701</v>
      </c>
      <c r="H455" t="s">
        <v>21</v>
      </c>
      <c r="I455">
        <v>0</v>
      </c>
      <c r="J455" t="s">
        <v>22</v>
      </c>
    </row>
    <row r="456" spans="1:10" x14ac:dyDescent="0.25">
      <c r="A456" s="1">
        <v>51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"2026-04-25 19:55:27.574"</f>
        <v>2026-04-25 19:55:27.574</v>
      </c>
      <c r="H456" t="s">
        <v>21</v>
      </c>
    </row>
    <row r="457" spans="1:10" x14ac:dyDescent="0.25">
      <c r="A457" s="1">
        <v>52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"2026-04-25 12:34:40.609"</f>
        <v>2026-04-25 12:34:40.609</v>
      </c>
      <c r="H457" t="s">
        <v>21</v>
      </c>
    </row>
    <row r="458" spans="1:10" x14ac:dyDescent="0.25">
      <c r="A458" s="1">
        <v>53</v>
      </c>
      <c r="B458" t="s">
        <v>28</v>
      </c>
      <c r="C458">
        <v>635</v>
      </c>
      <c r="D458">
        <v>1</v>
      </c>
      <c r="E458" t="s">
        <v>29</v>
      </c>
      <c r="F458" t="s">
        <v>30</v>
      </c>
      <c r="G458" t="str">
        <f>"2026-04-25 02:45:03.674"</f>
        <v>2026-04-25 02:45:03.674</v>
      </c>
      <c r="H458" t="s">
        <v>21</v>
      </c>
    </row>
    <row r="459" spans="1:10" x14ac:dyDescent="0.25">
      <c r="A459" s="1">
        <v>54</v>
      </c>
      <c r="B459" t="s">
        <v>31</v>
      </c>
      <c r="C459">
        <v>635</v>
      </c>
      <c r="D459">
        <v>1</v>
      </c>
      <c r="E459" t="s">
        <v>29</v>
      </c>
      <c r="F459" t="s">
        <v>30</v>
      </c>
      <c r="G459" t="str">
        <f>"2026-04-25 02:27:56.674"</f>
        <v>2026-04-25 02:27:56.674</v>
      </c>
      <c r="H459" t="s">
        <v>21</v>
      </c>
      <c r="I459">
        <v>5.62</v>
      </c>
      <c r="J459" t="s">
        <v>32</v>
      </c>
    </row>
    <row r="460" spans="1:10" x14ac:dyDescent="0.25">
      <c r="A460" s="1">
        <v>55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"2026-04-24 13:37:24.578"</f>
        <v>2026-04-24 13:37:24.578</v>
      </c>
      <c r="H460" t="s">
        <v>21</v>
      </c>
      <c r="I460">
        <v>0</v>
      </c>
      <c r="J460" t="s">
        <v>22</v>
      </c>
    </row>
    <row r="461" spans="1:10" x14ac:dyDescent="0.25">
      <c r="A461" s="1">
        <v>56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"2026-04-24 12:54:27.595"</f>
        <v>2026-04-24 12:54:27.595</v>
      </c>
      <c r="H461" t="s">
        <v>21</v>
      </c>
    </row>
    <row r="462" spans="1:10" x14ac:dyDescent="0.25">
      <c r="A462" s="1">
        <v>57</v>
      </c>
      <c r="B462" t="s">
        <v>28</v>
      </c>
      <c r="C462">
        <v>635</v>
      </c>
      <c r="D462">
        <v>1</v>
      </c>
      <c r="E462" t="s">
        <v>29</v>
      </c>
      <c r="F462" t="s">
        <v>30</v>
      </c>
      <c r="G462" t="str">
        <f>"2026-04-24 07:24:30.644"</f>
        <v>2026-04-24 07:24:30.644</v>
      </c>
      <c r="H462" t="s">
        <v>21</v>
      </c>
    </row>
    <row r="463" spans="1:10" x14ac:dyDescent="0.25">
      <c r="A463" s="1">
        <v>58</v>
      </c>
      <c r="B463" t="s">
        <v>31</v>
      </c>
      <c r="C463">
        <v>635</v>
      </c>
      <c r="D463">
        <v>1</v>
      </c>
      <c r="E463" t="s">
        <v>29</v>
      </c>
      <c r="F463" t="s">
        <v>30</v>
      </c>
      <c r="G463" t="str">
        <f>"2026-04-24 07:01:21.644"</f>
        <v>2026-04-24 07:01:21.644</v>
      </c>
      <c r="H463" t="s">
        <v>21</v>
      </c>
      <c r="I463">
        <v>8.6</v>
      </c>
      <c r="J463" t="s">
        <v>32</v>
      </c>
    </row>
    <row r="464" spans="1:10" x14ac:dyDescent="0.25">
      <c r="A464" s="1">
        <v>59</v>
      </c>
      <c r="B464" t="s">
        <v>28</v>
      </c>
      <c r="C464">
        <v>635</v>
      </c>
      <c r="D464">
        <v>1</v>
      </c>
      <c r="E464" t="s">
        <v>29</v>
      </c>
      <c r="F464" t="s">
        <v>30</v>
      </c>
      <c r="G464" t="str">
        <f>"2026-04-24 06:49:26.744"</f>
        <v>2026-04-24 06:49:26.744</v>
      </c>
      <c r="H464" t="s">
        <v>21</v>
      </c>
    </row>
    <row r="465" spans="1:10" x14ac:dyDescent="0.25">
      <c r="A465" s="1">
        <v>60</v>
      </c>
      <c r="B465" t="s">
        <v>31</v>
      </c>
      <c r="C465">
        <v>635</v>
      </c>
      <c r="D465">
        <v>1</v>
      </c>
      <c r="E465" t="s">
        <v>29</v>
      </c>
      <c r="F465" t="s">
        <v>30</v>
      </c>
      <c r="G465" t="str">
        <f>"2026-04-24 06:45:54.244"</f>
        <v>2026-04-24 06:45:54.244</v>
      </c>
      <c r="H465" t="s">
        <v>21</v>
      </c>
      <c r="I465">
        <v>7.58</v>
      </c>
      <c r="J465" t="s">
        <v>32</v>
      </c>
    </row>
    <row r="466" spans="1:10" x14ac:dyDescent="0.25">
      <c r="A466" s="1">
        <v>61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"2026-04-24 01:13:12.616"</f>
        <v>2026-04-24 01:13:12.616</v>
      </c>
      <c r="H466" t="s">
        <v>21</v>
      </c>
      <c r="I466">
        <v>0</v>
      </c>
      <c r="J466" t="s">
        <v>22</v>
      </c>
    </row>
    <row r="467" spans="1:10" x14ac:dyDescent="0.25">
      <c r="A467" s="1">
        <v>62</v>
      </c>
      <c r="B467" t="s">
        <v>28</v>
      </c>
      <c r="C467">
        <v>619</v>
      </c>
      <c r="D467">
        <v>1</v>
      </c>
      <c r="E467" t="s">
        <v>43</v>
      </c>
      <c r="F467" t="s">
        <v>30</v>
      </c>
      <c r="G467" t="str">
        <f>"2026-04-23 21:39:05.758"</f>
        <v>2026-04-23 21:39:05.758</v>
      </c>
      <c r="H467" t="s">
        <v>44</v>
      </c>
    </row>
    <row r="468" spans="1:10" x14ac:dyDescent="0.25">
      <c r="A468" s="1">
        <v>63</v>
      </c>
      <c r="B468" t="s">
        <v>31</v>
      </c>
      <c r="C468">
        <v>619</v>
      </c>
      <c r="D468">
        <v>1</v>
      </c>
      <c r="E468" t="s">
        <v>43</v>
      </c>
      <c r="F468" t="s">
        <v>30</v>
      </c>
      <c r="G468" t="str">
        <f>"2026-04-23 21:39:00.159"</f>
        <v>2026-04-23 21:39:00.159</v>
      </c>
      <c r="H468" t="s">
        <v>44</v>
      </c>
      <c r="I468">
        <v>0</v>
      </c>
      <c r="J468" t="s">
        <v>27</v>
      </c>
    </row>
    <row r="469" spans="1:10" x14ac:dyDescent="0.25">
      <c r="A469" s="1">
        <v>64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"2026-04-23 21:38:53.585"</f>
        <v>2026-04-23 21:38:53.585</v>
      </c>
      <c r="H469" t="s">
        <v>21</v>
      </c>
      <c r="I469">
        <v>0</v>
      </c>
      <c r="J469" t="s">
        <v>22</v>
      </c>
    </row>
    <row r="470" spans="1:10" x14ac:dyDescent="0.25">
      <c r="A470" s="1">
        <v>65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"2026-04-23 21:33:44.608"</f>
        <v>2026-04-23 21:33:44.608</v>
      </c>
      <c r="H470" t="s">
        <v>21</v>
      </c>
    </row>
    <row r="471" spans="1:10" x14ac:dyDescent="0.25">
      <c r="A471" s="1">
        <v>66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"2026-04-23 15:58:22.583"</f>
        <v>2026-04-23 15:58:22.583</v>
      </c>
      <c r="H471" t="s">
        <v>21</v>
      </c>
      <c r="I471">
        <v>0</v>
      </c>
      <c r="J471" t="s">
        <v>22</v>
      </c>
    </row>
    <row r="472" spans="1:10" x14ac:dyDescent="0.25">
      <c r="A472" s="1">
        <v>67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"2026-04-23 15:39:38.571"</f>
        <v>2026-04-23 15:39:38.571</v>
      </c>
      <c r="H472" t="s">
        <v>21</v>
      </c>
    </row>
    <row r="473" spans="1:10" x14ac:dyDescent="0.25">
      <c r="A473" s="1">
        <v>68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"2026-04-23 13:37:59.609"</f>
        <v>2026-04-23 13:37:59.609</v>
      </c>
      <c r="H473" t="s">
        <v>21</v>
      </c>
    </row>
    <row r="474" spans="1:10" s="3" customFormat="1" x14ac:dyDescent="0.25">
      <c r="A474" s="2">
        <v>70</v>
      </c>
      <c r="B474" s="3" t="s">
        <v>28</v>
      </c>
      <c r="C474" s="3">
        <v>647</v>
      </c>
      <c r="D474" s="3">
        <v>1</v>
      </c>
      <c r="E474" s="3" t="s">
        <v>33</v>
      </c>
      <c r="F474" s="3" t="s">
        <v>34</v>
      </c>
      <c r="G474" s="3" t="str">
        <f>"2026-04-23 04:52:55.065"</f>
        <v>2026-04-23 04:52:55.065</v>
      </c>
      <c r="H474" s="3" t="s">
        <v>21</v>
      </c>
    </row>
    <row r="475" spans="1:10" s="3" customFormat="1" x14ac:dyDescent="0.25">
      <c r="A475" s="2">
        <v>71</v>
      </c>
      <c r="B475" s="3" t="s">
        <v>31</v>
      </c>
      <c r="C475" s="3">
        <v>647</v>
      </c>
      <c r="D475" s="3">
        <v>1</v>
      </c>
      <c r="E475" s="3" t="s">
        <v>33</v>
      </c>
      <c r="F475" s="3" t="s">
        <v>34</v>
      </c>
      <c r="G475" s="3" t="str">
        <f>"2026-04-23 04:52:52.765"</f>
        <v>2026-04-23 04:52:52.765</v>
      </c>
      <c r="H475" s="3" t="s">
        <v>21</v>
      </c>
      <c r="I475" s="3">
        <v>18.84</v>
      </c>
      <c r="J475" s="3" t="s">
        <v>35</v>
      </c>
    </row>
    <row r="476" spans="1:10" x14ac:dyDescent="0.25">
      <c r="A476" s="1">
        <v>72</v>
      </c>
      <c r="B476" t="s">
        <v>28</v>
      </c>
      <c r="C476">
        <v>619</v>
      </c>
      <c r="D476">
        <v>1</v>
      </c>
      <c r="E476" t="s">
        <v>43</v>
      </c>
      <c r="F476" t="s">
        <v>30</v>
      </c>
      <c r="G476" t="str">
        <f>"2026-04-23 02:15:27.711"</f>
        <v>2026-04-23 02:15:27.711</v>
      </c>
      <c r="H476" t="s">
        <v>44</v>
      </c>
    </row>
    <row r="477" spans="1:10" x14ac:dyDescent="0.25">
      <c r="A477" s="1">
        <v>73</v>
      </c>
      <c r="B477" t="s">
        <v>31</v>
      </c>
      <c r="C477">
        <v>619</v>
      </c>
      <c r="D477">
        <v>1</v>
      </c>
      <c r="E477" t="s">
        <v>43</v>
      </c>
      <c r="F477" t="s">
        <v>30</v>
      </c>
      <c r="G477" t="str">
        <f>"2026-04-23 02:15:17.964"</f>
        <v>2026-04-23 02:15:17.964</v>
      </c>
      <c r="H477" t="s">
        <v>44</v>
      </c>
      <c r="I477">
        <v>0.57999999999999996</v>
      </c>
      <c r="J477" t="s">
        <v>32</v>
      </c>
    </row>
    <row r="478" spans="1:10" x14ac:dyDescent="0.25">
      <c r="A478" s="1">
        <v>74</v>
      </c>
      <c r="B478" t="s">
        <v>19</v>
      </c>
      <c r="C478">
        <v>706</v>
      </c>
      <c r="D478">
        <v>2</v>
      </c>
      <c r="E478" t="s">
        <v>39</v>
      </c>
      <c r="F478" t="s">
        <v>48</v>
      </c>
      <c r="G478" t="str">
        <f>"2026-04-23 01:59:28.353"</f>
        <v>2026-04-23 01:59:28.353</v>
      </c>
      <c r="H478" t="s">
        <v>21</v>
      </c>
      <c r="I478">
        <v>0</v>
      </c>
      <c r="J478" t="s">
        <v>27</v>
      </c>
    </row>
    <row r="479" spans="1:10" x14ac:dyDescent="0.25">
      <c r="A479" s="1">
        <v>75</v>
      </c>
      <c r="B479" t="s">
        <v>19</v>
      </c>
      <c r="C479">
        <v>706</v>
      </c>
      <c r="D479">
        <v>2</v>
      </c>
      <c r="E479" t="s">
        <v>39</v>
      </c>
      <c r="F479" t="s">
        <v>48</v>
      </c>
      <c r="G479" t="str">
        <f>"2026-04-22 23:02:30.953"</f>
        <v>2026-04-22 23:02:30.953</v>
      </c>
      <c r="H479" t="s">
        <v>21</v>
      </c>
      <c r="I479">
        <v>0</v>
      </c>
      <c r="J479" t="s">
        <v>27</v>
      </c>
    </row>
    <row r="480" spans="1:10" x14ac:dyDescent="0.25">
      <c r="A480" s="1">
        <v>76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"2026-04-22 13:01:27.633"</f>
        <v>2026-04-22 13:01:27.633</v>
      </c>
      <c r="H480" t="s">
        <v>21</v>
      </c>
      <c r="I480">
        <v>0</v>
      </c>
      <c r="J480" t="s">
        <v>22</v>
      </c>
    </row>
    <row r="481" spans="1:10" x14ac:dyDescent="0.25">
      <c r="A481" s="1">
        <v>77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"2026-04-22 05:54:56.580"</f>
        <v>2026-04-22 05:54:56.580</v>
      </c>
      <c r="H481" t="s">
        <v>21</v>
      </c>
      <c r="I481">
        <v>0</v>
      </c>
      <c r="J481" t="s">
        <v>22</v>
      </c>
    </row>
    <row r="482" spans="1:10" x14ac:dyDescent="0.25">
      <c r="A482" s="1">
        <v>78</v>
      </c>
      <c r="B482" t="s">
        <v>19</v>
      </c>
      <c r="C482">
        <v>706</v>
      </c>
      <c r="D482">
        <v>4</v>
      </c>
      <c r="E482" t="s">
        <v>39</v>
      </c>
      <c r="F482" t="s">
        <v>40</v>
      </c>
      <c r="G482" t="str">
        <f>"2026-04-22 05:26:35.456"</f>
        <v>2026-04-22 05:26:35.456</v>
      </c>
      <c r="H482" t="s">
        <v>21</v>
      </c>
      <c r="I482">
        <v>0</v>
      </c>
      <c r="J482" t="s">
        <v>27</v>
      </c>
    </row>
    <row r="483" spans="1:10" x14ac:dyDescent="0.25">
      <c r="A483" s="1">
        <v>79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"2026-04-22 05:11:42.606"</f>
        <v>2026-04-22 05:11:42.606</v>
      </c>
      <c r="H483" t="s">
        <v>21</v>
      </c>
      <c r="I483">
        <v>0</v>
      </c>
      <c r="J483" t="s">
        <v>22</v>
      </c>
    </row>
    <row r="484" spans="1:10" x14ac:dyDescent="0.25">
      <c r="A484" s="1">
        <v>80</v>
      </c>
      <c r="B484" t="s">
        <v>19</v>
      </c>
      <c r="C484">
        <v>706</v>
      </c>
      <c r="D484">
        <v>2</v>
      </c>
      <c r="E484" t="s">
        <v>39</v>
      </c>
      <c r="F484" t="s">
        <v>48</v>
      </c>
      <c r="G484" t="str">
        <f>"2026-04-21 22:04:43.032"</f>
        <v>2026-04-21 22:04:43.032</v>
      </c>
      <c r="H484" t="s">
        <v>21</v>
      </c>
      <c r="I484">
        <v>0</v>
      </c>
      <c r="J484" t="s">
        <v>27</v>
      </c>
    </row>
    <row r="485" spans="1:10" s="3" customFormat="1" x14ac:dyDescent="0.25">
      <c r="A485" s="2">
        <v>81</v>
      </c>
      <c r="B485" s="3" t="s">
        <v>28</v>
      </c>
      <c r="C485" s="3">
        <v>647</v>
      </c>
      <c r="D485" s="3">
        <v>1</v>
      </c>
      <c r="E485" s="3" t="s">
        <v>33</v>
      </c>
      <c r="F485" s="3" t="s">
        <v>34</v>
      </c>
      <c r="G485" s="3" t="str">
        <f>"2026-04-21 21:20:54.244"</f>
        <v>2026-04-21 21:20:54.244</v>
      </c>
      <c r="H485" s="3" t="s">
        <v>21</v>
      </c>
    </row>
    <row r="486" spans="1:10" s="3" customFormat="1" x14ac:dyDescent="0.25">
      <c r="A486" s="2">
        <v>82</v>
      </c>
      <c r="B486" s="3" t="s">
        <v>31</v>
      </c>
      <c r="C486" s="3">
        <v>647</v>
      </c>
      <c r="D486" s="3">
        <v>1</v>
      </c>
      <c r="E486" s="3" t="s">
        <v>33</v>
      </c>
      <c r="F486" s="3" t="s">
        <v>34</v>
      </c>
      <c r="G486" s="3" t="str">
        <f>"2026-04-21 21:20:52.144"</f>
        <v>2026-04-21 21:20:52.144</v>
      </c>
      <c r="H486" s="3" t="s">
        <v>21</v>
      </c>
      <c r="I486" s="3">
        <v>21.31</v>
      </c>
      <c r="J486" s="3" t="s">
        <v>35</v>
      </c>
    </row>
    <row r="487" spans="1:10" x14ac:dyDescent="0.25">
      <c r="A487" s="1">
        <v>83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"2026-04-21 13:46:47.602"</f>
        <v>2026-04-21 13:46:47.602</v>
      </c>
      <c r="H487" t="s">
        <v>21</v>
      </c>
    </row>
    <row r="488" spans="1:10" x14ac:dyDescent="0.25">
      <c r="A488" s="1">
        <v>84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"2026-04-21 11:10:19.638"</f>
        <v>2026-04-21 11:10:19.638</v>
      </c>
      <c r="H488" t="s">
        <v>21</v>
      </c>
    </row>
    <row r="489" spans="1:10" x14ac:dyDescent="0.25">
      <c r="A489" s="1">
        <v>85</v>
      </c>
      <c r="B489" t="s">
        <v>19</v>
      </c>
      <c r="C489">
        <v>706</v>
      </c>
      <c r="D489">
        <v>2</v>
      </c>
      <c r="E489" t="s">
        <v>39</v>
      </c>
      <c r="F489" t="s">
        <v>48</v>
      </c>
      <c r="G489" t="str">
        <f>"2026-04-20 22:07:22.629"</f>
        <v>2026-04-20 22:07:22.629</v>
      </c>
      <c r="H489" t="s">
        <v>21</v>
      </c>
      <c r="I489">
        <v>0</v>
      </c>
      <c r="J489" t="s">
        <v>27</v>
      </c>
    </row>
    <row r="490" spans="1:10" x14ac:dyDescent="0.25">
      <c r="A490" s="1">
        <v>86</v>
      </c>
      <c r="B490" t="s">
        <v>19</v>
      </c>
      <c r="C490">
        <v>706</v>
      </c>
      <c r="D490">
        <v>4</v>
      </c>
      <c r="E490" t="s">
        <v>39</v>
      </c>
      <c r="F490" t="s">
        <v>40</v>
      </c>
      <c r="G490" t="str">
        <f>"2026-04-20 13:49:24.079"</f>
        <v>2026-04-20 13:49:24.079</v>
      </c>
      <c r="H490" t="s">
        <v>21</v>
      </c>
      <c r="I490">
        <v>0</v>
      </c>
      <c r="J490" t="s">
        <v>27</v>
      </c>
    </row>
    <row r="491" spans="1:10" x14ac:dyDescent="0.25">
      <c r="A491" s="1">
        <v>87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"2026-04-20 13:49:01.589"</f>
        <v>2026-04-20 13:49:01.589</v>
      </c>
      <c r="H491" t="s">
        <v>21</v>
      </c>
    </row>
    <row r="492" spans="1:10" x14ac:dyDescent="0.25">
      <c r="A492" s="1">
        <v>88</v>
      </c>
      <c r="B492" t="s">
        <v>28</v>
      </c>
      <c r="C492">
        <v>635</v>
      </c>
      <c r="D492">
        <v>1</v>
      </c>
      <c r="E492" t="s">
        <v>29</v>
      </c>
      <c r="F492" t="s">
        <v>30</v>
      </c>
      <c r="G492" t="str">
        <f>"2026-04-20 06:10:57.411"</f>
        <v>2026-04-20 06:10:57.411</v>
      </c>
      <c r="H492" t="s">
        <v>21</v>
      </c>
    </row>
    <row r="493" spans="1:10" x14ac:dyDescent="0.25">
      <c r="A493" s="1">
        <v>89</v>
      </c>
      <c r="B493" t="s">
        <v>31</v>
      </c>
      <c r="C493">
        <v>635</v>
      </c>
      <c r="D493">
        <v>1</v>
      </c>
      <c r="E493" t="s">
        <v>29</v>
      </c>
      <c r="F493" t="s">
        <v>30</v>
      </c>
      <c r="G493" t="str">
        <f>"2026-04-20 06:08:33.911"</f>
        <v>2026-04-20 06:08:33.911</v>
      </c>
      <c r="H493" t="s">
        <v>21</v>
      </c>
      <c r="I493">
        <v>0.04</v>
      </c>
      <c r="J493" t="s">
        <v>36</v>
      </c>
    </row>
    <row r="494" spans="1:10" x14ac:dyDescent="0.25">
      <c r="A494" s="1">
        <v>90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"2026-04-19 15:05:46.576"</f>
        <v>2026-04-19 15:05:46.576</v>
      </c>
      <c r="H494" t="s">
        <v>21</v>
      </c>
      <c r="I494">
        <v>0</v>
      </c>
      <c r="J494" t="s">
        <v>22</v>
      </c>
    </row>
    <row r="495" spans="1:10" x14ac:dyDescent="0.25">
      <c r="A495" s="1">
        <v>91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"2026-04-19 02:56:33.574"</f>
        <v>2026-04-19 02:56:33.574</v>
      </c>
      <c r="H495" t="s">
        <v>21</v>
      </c>
      <c r="I495">
        <v>0</v>
      </c>
      <c r="J495" t="s">
        <v>22</v>
      </c>
    </row>
    <row r="496" spans="1:10" x14ac:dyDescent="0.25">
      <c r="A496" s="1">
        <v>92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"2026-04-17 22:19:03.574"</f>
        <v>2026-04-17 22:19:03.574</v>
      </c>
      <c r="H496" t="s">
        <v>21</v>
      </c>
      <c r="I496">
        <v>0</v>
      </c>
      <c r="J496" t="s">
        <v>22</v>
      </c>
    </row>
    <row r="497" spans="1:10" x14ac:dyDescent="0.25">
      <c r="A497" s="1">
        <v>93</v>
      </c>
      <c r="B497" t="s">
        <v>28</v>
      </c>
      <c r="C497">
        <v>635</v>
      </c>
      <c r="D497">
        <v>1</v>
      </c>
      <c r="E497" t="s">
        <v>29</v>
      </c>
      <c r="F497" t="s">
        <v>30</v>
      </c>
      <c r="G497" t="str">
        <f>"2026-04-17 17:39:02.745"</f>
        <v>2026-04-17 17:39:02.745</v>
      </c>
      <c r="H497" t="s">
        <v>21</v>
      </c>
    </row>
    <row r="498" spans="1:10" x14ac:dyDescent="0.25">
      <c r="A498" s="1">
        <v>94</v>
      </c>
      <c r="B498" t="s">
        <v>31</v>
      </c>
      <c r="C498">
        <v>635</v>
      </c>
      <c r="D498">
        <v>1</v>
      </c>
      <c r="E498" t="s">
        <v>29</v>
      </c>
      <c r="F498" t="s">
        <v>30</v>
      </c>
      <c r="G498" t="str">
        <f>"2026-04-17 17:30:32.245"</f>
        <v>2026-04-17 17:30:32.245</v>
      </c>
      <c r="H498" t="s">
        <v>21</v>
      </c>
      <c r="I498">
        <v>5.23</v>
      </c>
      <c r="J498" t="s">
        <v>32</v>
      </c>
    </row>
    <row r="499" spans="1:10" x14ac:dyDescent="0.25">
      <c r="A499" s="1">
        <v>95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"2026-04-16 13:55:09.605"</f>
        <v>2026-04-16 13:55:09.605</v>
      </c>
      <c r="H499" t="s">
        <v>21</v>
      </c>
    </row>
    <row r="500" spans="1:10" x14ac:dyDescent="0.25">
      <c r="A500" s="1">
        <v>96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"2026-04-16 02:00:51.603"</f>
        <v>2026-04-16 02:00:51.603</v>
      </c>
      <c r="H500" t="s">
        <v>21</v>
      </c>
    </row>
    <row r="501" spans="1:10" x14ac:dyDescent="0.25">
      <c r="A501" s="1">
        <v>97</v>
      </c>
      <c r="B501" t="s">
        <v>19</v>
      </c>
      <c r="C501">
        <v>706</v>
      </c>
      <c r="D501">
        <v>4</v>
      </c>
      <c r="E501" t="s">
        <v>39</v>
      </c>
      <c r="F501" t="s">
        <v>40</v>
      </c>
      <c r="G501" t="str">
        <f>"2026-04-15 17:07:15.661"</f>
        <v>2026-04-15 17:07:15.661</v>
      </c>
      <c r="H501" t="s">
        <v>21</v>
      </c>
      <c r="I501">
        <v>0</v>
      </c>
      <c r="J501" t="s">
        <v>27</v>
      </c>
    </row>
    <row r="502" spans="1:10" x14ac:dyDescent="0.25">
      <c r="A502" s="1">
        <v>98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"2026-04-15 17:03:19.601"</f>
        <v>2026-04-15 17:03:19.601</v>
      </c>
      <c r="H502" t="s">
        <v>21</v>
      </c>
      <c r="I502">
        <v>0</v>
      </c>
      <c r="J502" t="s">
        <v>22</v>
      </c>
    </row>
    <row r="503" spans="1:10" x14ac:dyDescent="0.25">
      <c r="A503" s="1">
        <v>99</v>
      </c>
      <c r="B503" t="s">
        <v>28</v>
      </c>
      <c r="C503">
        <v>635</v>
      </c>
      <c r="D503">
        <v>1</v>
      </c>
      <c r="E503" t="s">
        <v>29</v>
      </c>
      <c r="F503" t="s">
        <v>30</v>
      </c>
      <c r="G503" t="str">
        <f>"2026-04-15 11:44:12.085"</f>
        <v>2026-04-15 11:44:12.085</v>
      </c>
      <c r="H503" t="s">
        <v>21</v>
      </c>
    </row>
    <row r="504" spans="1:10" x14ac:dyDescent="0.25">
      <c r="A504" s="1">
        <v>0</v>
      </c>
      <c r="B504" t="s">
        <v>31</v>
      </c>
      <c r="C504">
        <v>635</v>
      </c>
      <c r="D504">
        <v>1</v>
      </c>
      <c r="E504" t="s">
        <v>29</v>
      </c>
      <c r="F504" t="s">
        <v>30</v>
      </c>
      <c r="G504" t="str">
        <f>"2026-04-15 11:40:44.185"</f>
        <v>2026-04-15 11:40:44.185</v>
      </c>
      <c r="H504" t="s">
        <v>21</v>
      </c>
      <c r="I504">
        <v>0.59</v>
      </c>
      <c r="J504" t="s">
        <v>32</v>
      </c>
    </row>
    <row r="505" spans="1:10" x14ac:dyDescent="0.25">
      <c r="A505" s="1">
        <v>1</v>
      </c>
      <c r="B505" t="s">
        <v>28</v>
      </c>
      <c r="C505">
        <v>61</v>
      </c>
      <c r="D505">
        <v>2</v>
      </c>
      <c r="E505" t="s">
        <v>37</v>
      </c>
      <c r="F505" t="s">
        <v>38</v>
      </c>
      <c r="G505" t="str">
        <f>"2026-04-15 07:30:49.198"</f>
        <v>2026-04-15 07:30:49.198</v>
      </c>
      <c r="H505" t="s">
        <v>21</v>
      </c>
    </row>
    <row r="506" spans="1:10" x14ac:dyDescent="0.25">
      <c r="A506" s="1">
        <v>2</v>
      </c>
      <c r="B506" t="s">
        <v>23</v>
      </c>
      <c r="C506">
        <v>61</v>
      </c>
      <c r="D506">
        <v>2</v>
      </c>
      <c r="E506" t="s">
        <v>37</v>
      </c>
      <c r="F506" t="s">
        <v>38</v>
      </c>
      <c r="G506" t="str">
        <f>"2026-04-15 07:30:37.298"</f>
        <v>2026-04-15 07:30:37.298</v>
      </c>
      <c r="H506" t="s">
        <v>21</v>
      </c>
      <c r="I506">
        <v>29.47</v>
      </c>
      <c r="J506" t="s">
        <v>35</v>
      </c>
    </row>
    <row r="507" spans="1:10" x14ac:dyDescent="0.25">
      <c r="A507" s="1">
        <v>3</v>
      </c>
      <c r="B507" t="s">
        <v>28</v>
      </c>
      <c r="C507">
        <v>635</v>
      </c>
      <c r="D507">
        <v>1</v>
      </c>
      <c r="E507" t="s">
        <v>29</v>
      </c>
      <c r="F507" t="s">
        <v>30</v>
      </c>
      <c r="G507" t="str">
        <f>"2026-04-14 21:28:21.485"</f>
        <v>2026-04-14 21:28:21.485</v>
      </c>
      <c r="H507" t="s">
        <v>21</v>
      </c>
    </row>
    <row r="508" spans="1:10" x14ac:dyDescent="0.25">
      <c r="A508" s="1">
        <v>4</v>
      </c>
      <c r="B508" t="s">
        <v>31</v>
      </c>
      <c r="C508">
        <v>635</v>
      </c>
      <c r="D508">
        <v>1</v>
      </c>
      <c r="E508" t="s">
        <v>29</v>
      </c>
      <c r="F508" t="s">
        <v>30</v>
      </c>
      <c r="G508" t="str">
        <f>"2026-04-14 21:24:41.485"</f>
        <v>2026-04-14 21:24:41.485</v>
      </c>
      <c r="H508" t="s">
        <v>21</v>
      </c>
      <c r="I508">
        <v>7.78</v>
      </c>
      <c r="J508" t="s">
        <v>32</v>
      </c>
    </row>
    <row r="509" spans="1:10" x14ac:dyDescent="0.25">
      <c r="A509" s="1">
        <v>5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"2026-04-14 14:05:10.557"</f>
        <v>2026-04-14 14:05:10.557</v>
      </c>
      <c r="H509" t="s">
        <v>21</v>
      </c>
      <c r="I509">
        <v>0</v>
      </c>
      <c r="J509" t="s">
        <v>22</v>
      </c>
    </row>
    <row r="510" spans="1:10" x14ac:dyDescent="0.25">
      <c r="A510" s="1">
        <v>6</v>
      </c>
      <c r="B510" t="s">
        <v>28</v>
      </c>
      <c r="C510">
        <v>635</v>
      </c>
      <c r="D510">
        <v>1</v>
      </c>
      <c r="E510" t="s">
        <v>29</v>
      </c>
      <c r="F510" t="s">
        <v>30</v>
      </c>
      <c r="G510" t="str">
        <f>"2026-04-14 11:49:28.340"</f>
        <v>2026-04-14 11:49:28.340</v>
      </c>
      <c r="H510" t="s">
        <v>21</v>
      </c>
    </row>
    <row r="511" spans="1:10" x14ac:dyDescent="0.25">
      <c r="A511" s="1">
        <v>7</v>
      </c>
      <c r="B511" t="s">
        <v>31</v>
      </c>
      <c r="C511">
        <v>635</v>
      </c>
      <c r="D511">
        <v>1</v>
      </c>
      <c r="E511" t="s">
        <v>29</v>
      </c>
      <c r="F511" t="s">
        <v>30</v>
      </c>
      <c r="G511" t="str">
        <f>"2026-04-14 11:47:25.840"</f>
        <v>2026-04-14 11:47:25.840</v>
      </c>
      <c r="H511" t="s">
        <v>21</v>
      </c>
      <c r="I511">
        <v>4.25</v>
      </c>
      <c r="J511" t="s">
        <v>32</v>
      </c>
    </row>
    <row r="512" spans="1:10" x14ac:dyDescent="0.25">
      <c r="A512" s="1">
        <v>8</v>
      </c>
      <c r="B512" t="s">
        <v>28</v>
      </c>
      <c r="C512">
        <v>635</v>
      </c>
      <c r="D512">
        <v>1</v>
      </c>
      <c r="E512" t="s">
        <v>29</v>
      </c>
      <c r="F512" t="s">
        <v>30</v>
      </c>
      <c r="G512" t="str">
        <f>"2026-04-14 02:32:13.540"</f>
        <v>2026-04-14 02:32:13.540</v>
      </c>
      <c r="H512" t="s">
        <v>21</v>
      </c>
    </row>
    <row r="513" spans="1:10" x14ac:dyDescent="0.25">
      <c r="A513" s="1">
        <v>9</v>
      </c>
      <c r="B513" t="s">
        <v>31</v>
      </c>
      <c r="C513">
        <v>635</v>
      </c>
      <c r="D513">
        <v>1</v>
      </c>
      <c r="E513" t="s">
        <v>29</v>
      </c>
      <c r="F513" t="s">
        <v>30</v>
      </c>
      <c r="G513" t="str">
        <f>"2026-04-14 02:21:02.540"</f>
        <v>2026-04-14 02:21:02.540</v>
      </c>
      <c r="H513" t="s">
        <v>21</v>
      </c>
      <c r="I513">
        <v>2.65</v>
      </c>
      <c r="J513" t="s">
        <v>36</v>
      </c>
    </row>
    <row r="514" spans="1:10" x14ac:dyDescent="0.25">
      <c r="A514" s="1">
        <v>10</v>
      </c>
      <c r="B514" t="s">
        <v>28</v>
      </c>
      <c r="C514">
        <v>635</v>
      </c>
      <c r="D514">
        <v>1</v>
      </c>
      <c r="E514" t="s">
        <v>29</v>
      </c>
      <c r="F514" t="s">
        <v>30</v>
      </c>
      <c r="G514" t="str">
        <f>"2026-04-13 16:58:15.240"</f>
        <v>2026-04-13 16:58:15.240</v>
      </c>
      <c r="H514" t="s">
        <v>21</v>
      </c>
    </row>
    <row r="515" spans="1:10" x14ac:dyDescent="0.25">
      <c r="A515" s="1">
        <v>11</v>
      </c>
      <c r="B515" t="s">
        <v>31</v>
      </c>
      <c r="C515">
        <v>635</v>
      </c>
      <c r="D515">
        <v>1</v>
      </c>
      <c r="E515" t="s">
        <v>29</v>
      </c>
      <c r="F515" t="s">
        <v>30</v>
      </c>
      <c r="G515" t="str">
        <f>"2026-04-13 16:47:25.340"</f>
        <v>2026-04-13 16:47:25.340</v>
      </c>
      <c r="H515" t="s">
        <v>21</v>
      </c>
      <c r="I515">
        <v>2.93</v>
      </c>
      <c r="J515" t="s">
        <v>32</v>
      </c>
    </row>
    <row r="516" spans="1:10" x14ac:dyDescent="0.25">
      <c r="A516" s="1">
        <v>12</v>
      </c>
      <c r="B516" t="s">
        <v>28</v>
      </c>
      <c r="C516">
        <v>61</v>
      </c>
      <c r="D516">
        <v>2</v>
      </c>
      <c r="E516" t="s">
        <v>37</v>
      </c>
      <c r="F516" t="s">
        <v>38</v>
      </c>
      <c r="G516" t="str">
        <f>"2026-04-13 07:35:12.640"</f>
        <v>2026-04-13 07:35:12.640</v>
      </c>
      <c r="H516" t="s">
        <v>21</v>
      </c>
    </row>
    <row r="517" spans="1:10" x14ac:dyDescent="0.25">
      <c r="A517" s="1">
        <v>13</v>
      </c>
      <c r="B517" t="s">
        <v>23</v>
      </c>
      <c r="C517">
        <v>61</v>
      </c>
      <c r="D517">
        <v>2</v>
      </c>
      <c r="E517" t="s">
        <v>37</v>
      </c>
      <c r="F517" t="s">
        <v>38</v>
      </c>
      <c r="G517" t="str">
        <f>"2026-04-13 07:35:00.841"</f>
        <v>2026-04-13 07:35:00.841</v>
      </c>
      <c r="H517" t="s">
        <v>21</v>
      </c>
      <c r="I517">
        <v>29.15</v>
      </c>
      <c r="J517" t="s">
        <v>35</v>
      </c>
    </row>
    <row r="518" spans="1:10" x14ac:dyDescent="0.25">
      <c r="A518" s="1">
        <v>14</v>
      </c>
      <c r="B518" t="s">
        <v>28</v>
      </c>
      <c r="C518">
        <v>635</v>
      </c>
      <c r="D518">
        <v>1</v>
      </c>
      <c r="E518" t="s">
        <v>29</v>
      </c>
      <c r="F518" t="s">
        <v>30</v>
      </c>
      <c r="G518" t="str">
        <f>"2026-04-13 07:24:59.040"</f>
        <v>2026-04-13 07:24:59.040</v>
      </c>
      <c r="H518" t="s">
        <v>21</v>
      </c>
    </row>
    <row r="519" spans="1:10" x14ac:dyDescent="0.25">
      <c r="A519" s="1">
        <v>15</v>
      </c>
      <c r="B519" t="s">
        <v>31</v>
      </c>
      <c r="C519">
        <v>635</v>
      </c>
      <c r="D519">
        <v>1</v>
      </c>
      <c r="E519" t="s">
        <v>29</v>
      </c>
      <c r="F519" t="s">
        <v>30</v>
      </c>
      <c r="G519" t="str">
        <f>"2026-04-13 07:21:23.540"</f>
        <v>2026-04-13 07:21:23.540</v>
      </c>
      <c r="H519" t="s">
        <v>21</v>
      </c>
      <c r="I519">
        <v>6.81</v>
      </c>
      <c r="J519" t="s">
        <v>32</v>
      </c>
    </row>
    <row r="520" spans="1:10" x14ac:dyDescent="0.25">
      <c r="A520" s="1">
        <v>16</v>
      </c>
      <c r="B520" t="s">
        <v>28</v>
      </c>
      <c r="C520">
        <v>635</v>
      </c>
      <c r="D520">
        <v>1</v>
      </c>
      <c r="E520" t="s">
        <v>29</v>
      </c>
      <c r="F520" t="s">
        <v>30</v>
      </c>
      <c r="G520" t="str">
        <f>"2026-04-12 23:39:42.540"</f>
        <v>2026-04-12 23:39:42.540</v>
      </c>
      <c r="H520" t="s">
        <v>21</v>
      </c>
    </row>
    <row r="521" spans="1:10" x14ac:dyDescent="0.25">
      <c r="A521" s="1">
        <v>17</v>
      </c>
      <c r="B521" t="s">
        <v>31</v>
      </c>
      <c r="C521">
        <v>635</v>
      </c>
      <c r="D521">
        <v>1</v>
      </c>
      <c r="E521" t="s">
        <v>29</v>
      </c>
      <c r="F521" t="s">
        <v>30</v>
      </c>
      <c r="G521" t="str">
        <f>"2026-04-12 23:33:58.540"</f>
        <v>2026-04-12 23:33:58.540</v>
      </c>
      <c r="H521" t="s">
        <v>21</v>
      </c>
      <c r="I521">
        <v>6.55</v>
      </c>
      <c r="J521" t="s">
        <v>32</v>
      </c>
    </row>
    <row r="522" spans="1:10" x14ac:dyDescent="0.25">
      <c r="A522" s="1">
        <v>18</v>
      </c>
      <c r="B522" t="s">
        <v>28</v>
      </c>
      <c r="C522">
        <v>635</v>
      </c>
      <c r="D522">
        <v>1</v>
      </c>
      <c r="E522" t="s">
        <v>29</v>
      </c>
      <c r="F522" t="s">
        <v>30</v>
      </c>
      <c r="G522" t="str">
        <f>"2026-04-12 17:46:10.340"</f>
        <v>2026-04-12 17:46:10.340</v>
      </c>
      <c r="H522" t="s">
        <v>21</v>
      </c>
    </row>
    <row r="523" spans="1:10" x14ac:dyDescent="0.25">
      <c r="A523" s="1">
        <v>19</v>
      </c>
      <c r="B523" t="s">
        <v>31</v>
      </c>
      <c r="C523">
        <v>635</v>
      </c>
      <c r="D523">
        <v>1</v>
      </c>
      <c r="E523" t="s">
        <v>29</v>
      </c>
      <c r="F523" t="s">
        <v>30</v>
      </c>
      <c r="G523" t="str">
        <f>"2026-04-12 17:42:31.840"</f>
        <v>2026-04-12 17:42:31.840</v>
      </c>
      <c r="H523" t="s">
        <v>21</v>
      </c>
      <c r="I523">
        <v>3.69</v>
      </c>
      <c r="J523" t="s">
        <v>32</v>
      </c>
    </row>
    <row r="524" spans="1:10" x14ac:dyDescent="0.25">
      <c r="A524" s="1">
        <v>20</v>
      </c>
      <c r="B524" t="s">
        <v>28</v>
      </c>
      <c r="C524">
        <v>635</v>
      </c>
      <c r="D524">
        <v>1</v>
      </c>
      <c r="E524" t="s">
        <v>29</v>
      </c>
      <c r="F524" t="s">
        <v>30</v>
      </c>
      <c r="G524" t="str">
        <f>"2026-04-12 17:33:35.340"</f>
        <v>2026-04-12 17:33:35.340</v>
      </c>
      <c r="H524" t="s">
        <v>21</v>
      </c>
    </row>
    <row r="525" spans="1:10" x14ac:dyDescent="0.25">
      <c r="A525" s="1">
        <v>21</v>
      </c>
      <c r="B525" t="s">
        <v>31</v>
      </c>
      <c r="C525">
        <v>635</v>
      </c>
      <c r="D525">
        <v>1</v>
      </c>
      <c r="E525" t="s">
        <v>29</v>
      </c>
      <c r="F525" t="s">
        <v>30</v>
      </c>
      <c r="G525" t="str">
        <f>"2026-04-12 17:29:38.340"</f>
        <v>2026-04-12 17:29:38.340</v>
      </c>
      <c r="H525" t="s">
        <v>21</v>
      </c>
      <c r="I525">
        <v>6.62</v>
      </c>
      <c r="J525" t="s">
        <v>32</v>
      </c>
    </row>
    <row r="526" spans="1:10" x14ac:dyDescent="0.25">
      <c r="A526" s="1">
        <v>22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"2026-04-11 13:55:38.729"</f>
        <v>2026-04-11 13:55:38.729</v>
      </c>
      <c r="H526" t="s">
        <v>21</v>
      </c>
      <c r="I526">
        <v>0</v>
      </c>
      <c r="J526" t="s">
        <v>22</v>
      </c>
    </row>
    <row r="527" spans="1:10" x14ac:dyDescent="0.25">
      <c r="A527" s="1">
        <v>23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"2026-04-11 10:48:20.555"</f>
        <v>2026-04-11 10:48:20.555</v>
      </c>
      <c r="H527" t="s">
        <v>21</v>
      </c>
    </row>
    <row r="528" spans="1:10" x14ac:dyDescent="0.25">
      <c r="A528" s="1">
        <v>24</v>
      </c>
      <c r="B528" t="s">
        <v>19</v>
      </c>
      <c r="C528">
        <v>706</v>
      </c>
      <c r="D528">
        <v>2</v>
      </c>
      <c r="E528" t="s">
        <v>39</v>
      </c>
      <c r="F528" t="s">
        <v>48</v>
      </c>
      <c r="G528" t="str">
        <f>"2026-04-11 10:32:50.494"</f>
        <v>2026-04-11 10:32:50.494</v>
      </c>
      <c r="H528" t="s">
        <v>21</v>
      </c>
      <c r="I528">
        <v>0</v>
      </c>
      <c r="J528" t="s">
        <v>27</v>
      </c>
    </row>
    <row r="529" spans="1:10" x14ac:dyDescent="0.25">
      <c r="A529" s="1">
        <v>25</v>
      </c>
      <c r="B529" t="s">
        <v>19</v>
      </c>
      <c r="C529">
        <v>706</v>
      </c>
      <c r="D529">
        <v>2</v>
      </c>
      <c r="E529" t="s">
        <v>39</v>
      </c>
      <c r="F529" t="s">
        <v>48</v>
      </c>
      <c r="G529" t="str">
        <f>"2026-04-11 10:19:37.494"</f>
        <v>2026-04-11 10:19:37.494</v>
      </c>
      <c r="H529" t="s">
        <v>21</v>
      </c>
      <c r="I529">
        <v>0</v>
      </c>
      <c r="J529" t="s">
        <v>27</v>
      </c>
    </row>
    <row r="530" spans="1:10" x14ac:dyDescent="0.25">
      <c r="A530" s="1">
        <v>26</v>
      </c>
      <c r="B530" t="s">
        <v>19</v>
      </c>
      <c r="C530">
        <v>706</v>
      </c>
      <c r="D530">
        <v>2</v>
      </c>
      <c r="E530" t="s">
        <v>39</v>
      </c>
      <c r="F530" t="s">
        <v>48</v>
      </c>
      <c r="G530" t="str">
        <f>"2026-04-11 10:10:42.494"</f>
        <v>2026-04-11 10:10:42.494</v>
      </c>
      <c r="H530" t="s">
        <v>21</v>
      </c>
      <c r="I530">
        <v>0</v>
      </c>
      <c r="J530" t="s">
        <v>27</v>
      </c>
    </row>
    <row r="531" spans="1:10" x14ac:dyDescent="0.25">
      <c r="A531" s="1">
        <v>27</v>
      </c>
      <c r="B531" t="s">
        <v>19</v>
      </c>
      <c r="C531">
        <v>706</v>
      </c>
      <c r="D531">
        <v>4</v>
      </c>
      <c r="E531" t="s">
        <v>39</v>
      </c>
      <c r="F531" t="s">
        <v>40</v>
      </c>
      <c r="G531" t="str">
        <f>"2026-04-11 10:09:33.664"</f>
        <v>2026-04-11 10:09:33.664</v>
      </c>
      <c r="H531" t="s">
        <v>21</v>
      </c>
      <c r="I531">
        <v>0</v>
      </c>
      <c r="J531" t="s">
        <v>27</v>
      </c>
    </row>
    <row r="532" spans="1:10" x14ac:dyDescent="0.25">
      <c r="A532" s="1">
        <v>28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"2026-04-11 10:01:58.554"</f>
        <v>2026-04-11 10:01:58.554</v>
      </c>
      <c r="H532" t="s">
        <v>21</v>
      </c>
      <c r="I532">
        <v>0</v>
      </c>
      <c r="J532" t="s">
        <v>22</v>
      </c>
    </row>
    <row r="533" spans="1:10" x14ac:dyDescent="0.25">
      <c r="A533" s="1">
        <v>29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"2026-04-11 09:03:31.555"</f>
        <v>2026-04-11 09:03:31.555</v>
      </c>
      <c r="H533" t="s">
        <v>21</v>
      </c>
      <c r="I533">
        <v>0</v>
      </c>
      <c r="J533" t="s">
        <v>22</v>
      </c>
    </row>
    <row r="534" spans="1:10" x14ac:dyDescent="0.25">
      <c r="A534" s="1">
        <v>30</v>
      </c>
      <c r="B534" t="s">
        <v>28</v>
      </c>
      <c r="C534">
        <v>635</v>
      </c>
      <c r="D534">
        <v>1</v>
      </c>
      <c r="E534" t="s">
        <v>29</v>
      </c>
      <c r="F534" t="s">
        <v>30</v>
      </c>
      <c r="G534" t="str">
        <f>"2026-04-10 14:13:46.897"</f>
        <v>2026-04-10 14:13:46.897</v>
      </c>
      <c r="H534" t="s">
        <v>21</v>
      </c>
    </row>
    <row r="535" spans="1:10" x14ac:dyDescent="0.25">
      <c r="A535" s="1">
        <v>31</v>
      </c>
      <c r="B535" t="s">
        <v>31</v>
      </c>
      <c r="C535">
        <v>635</v>
      </c>
      <c r="D535">
        <v>1</v>
      </c>
      <c r="E535" t="s">
        <v>29</v>
      </c>
      <c r="F535" t="s">
        <v>30</v>
      </c>
      <c r="G535" t="str">
        <f>"2026-04-10 14:08:04.497"</f>
        <v>2026-04-10 14:08:04.497</v>
      </c>
      <c r="H535" t="s">
        <v>21</v>
      </c>
      <c r="I535">
        <v>5.8</v>
      </c>
      <c r="J535" t="s">
        <v>32</v>
      </c>
    </row>
    <row r="536" spans="1:10" x14ac:dyDescent="0.25">
      <c r="A536" s="1">
        <v>32</v>
      </c>
      <c r="B536" t="s">
        <v>28</v>
      </c>
      <c r="C536">
        <v>61</v>
      </c>
      <c r="D536">
        <v>2</v>
      </c>
      <c r="E536" t="s">
        <v>37</v>
      </c>
      <c r="F536" t="s">
        <v>38</v>
      </c>
      <c r="G536" t="str">
        <f>"2026-04-10 07:35:41.798"</f>
        <v>2026-04-10 07:35:41.798</v>
      </c>
      <c r="H536" t="s">
        <v>21</v>
      </c>
    </row>
    <row r="537" spans="1:10" x14ac:dyDescent="0.25">
      <c r="A537" s="1">
        <v>33</v>
      </c>
      <c r="B537" t="s">
        <v>23</v>
      </c>
      <c r="C537">
        <v>61</v>
      </c>
      <c r="D537">
        <v>2</v>
      </c>
      <c r="E537" t="s">
        <v>37</v>
      </c>
      <c r="F537" t="s">
        <v>38</v>
      </c>
      <c r="G537" t="str">
        <f>"2026-04-10 07:35:29.098"</f>
        <v>2026-04-10 07:35:29.098</v>
      </c>
      <c r="H537" t="s">
        <v>21</v>
      </c>
      <c r="I537">
        <v>30.34</v>
      </c>
      <c r="J537" t="s">
        <v>35</v>
      </c>
    </row>
    <row r="538" spans="1:10" x14ac:dyDescent="0.25">
      <c r="A538" s="1">
        <v>34</v>
      </c>
      <c r="B538" t="s">
        <v>28</v>
      </c>
      <c r="C538">
        <v>619</v>
      </c>
      <c r="D538">
        <v>1</v>
      </c>
      <c r="E538" t="s">
        <v>43</v>
      </c>
      <c r="F538" t="s">
        <v>30</v>
      </c>
      <c r="G538" t="str">
        <f>"2026-04-10 01:05:10.697"</f>
        <v>2026-04-10 01:05:10.697</v>
      </c>
      <c r="H538" t="s">
        <v>44</v>
      </c>
    </row>
    <row r="539" spans="1:10" x14ac:dyDescent="0.25">
      <c r="A539" s="1">
        <v>35</v>
      </c>
      <c r="B539" t="s">
        <v>31</v>
      </c>
      <c r="C539">
        <v>619</v>
      </c>
      <c r="D539">
        <v>1</v>
      </c>
      <c r="E539" t="s">
        <v>43</v>
      </c>
      <c r="F539" t="s">
        <v>30</v>
      </c>
      <c r="G539" t="str">
        <f>"2026-04-10 01:05:04.044"</f>
        <v>2026-04-10 01:05:04.044</v>
      </c>
      <c r="H539" t="s">
        <v>44</v>
      </c>
      <c r="I539">
        <v>0</v>
      </c>
      <c r="J539" t="s">
        <v>27</v>
      </c>
    </row>
    <row r="540" spans="1:10" x14ac:dyDescent="0.25">
      <c r="A540" s="1">
        <v>36</v>
      </c>
      <c r="B540" t="s">
        <v>19</v>
      </c>
      <c r="C540">
        <v>706</v>
      </c>
      <c r="D540">
        <v>4</v>
      </c>
      <c r="E540" t="s">
        <v>39</v>
      </c>
      <c r="F540" t="s">
        <v>40</v>
      </c>
      <c r="G540" t="str">
        <f>"2026-04-10 01:04:50.637"</f>
        <v>2026-04-10 01:04:50.637</v>
      </c>
      <c r="H540" t="s">
        <v>21</v>
      </c>
      <c r="I540">
        <v>0</v>
      </c>
      <c r="J540" t="s">
        <v>27</v>
      </c>
    </row>
    <row r="541" spans="1:10" x14ac:dyDescent="0.25">
      <c r="A541" s="1">
        <v>37</v>
      </c>
      <c r="B541" t="s">
        <v>19</v>
      </c>
      <c r="C541">
        <v>706</v>
      </c>
      <c r="D541">
        <v>3</v>
      </c>
      <c r="E541" t="s">
        <v>39</v>
      </c>
      <c r="F541" t="s">
        <v>49</v>
      </c>
      <c r="G541" t="str">
        <f>"2026-04-10 01:04:41.887"</f>
        <v>2026-04-10 01:04:41.887</v>
      </c>
      <c r="H541" t="s">
        <v>21</v>
      </c>
      <c r="I541">
        <v>0</v>
      </c>
      <c r="J541" t="s">
        <v>27</v>
      </c>
    </row>
    <row r="542" spans="1:10" x14ac:dyDescent="0.25">
      <c r="A542" s="1">
        <v>38</v>
      </c>
      <c r="B542" t="s">
        <v>28</v>
      </c>
      <c r="C542">
        <v>619</v>
      </c>
      <c r="D542">
        <v>1</v>
      </c>
      <c r="E542" t="s">
        <v>43</v>
      </c>
      <c r="F542" t="s">
        <v>30</v>
      </c>
      <c r="G542" t="str">
        <f>"2026-04-10 01:04:16.597"</f>
        <v>2026-04-10 01:04:16.597</v>
      </c>
      <c r="H542" t="s">
        <v>44</v>
      </c>
    </row>
    <row r="543" spans="1:10" x14ac:dyDescent="0.25">
      <c r="A543" s="1">
        <v>39</v>
      </c>
      <c r="B543" t="s">
        <v>31</v>
      </c>
      <c r="C543">
        <v>619</v>
      </c>
      <c r="D543">
        <v>1</v>
      </c>
      <c r="E543" t="s">
        <v>43</v>
      </c>
      <c r="F543" t="s">
        <v>30</v>
      </c>
      <c r="G543" t="str">
        <f>"2026-04-10 01:04:03.744"</f>
        <v>2026-04-10 01:04:03.744</v>
      </c>
      <c r="H543" t="s">
        <v>44</v>
      </c>
      <c r="I543">
        <v>0</v>
      </c>
      <c r="J543" t="s">
        <v>36</v>
      </c>
    </row>
    <row r="544" spans="1:10" x14ac:dyDescent="0.25">
      <c r="A544" s="1">
        <v>40</v>
      </c>
      <c r="B544" t="s">
        <v>28</v>
      </c>
      <c r="C544">
        <v>635</v>
      </c>
      <c r="D544">
        <v>1</v>
      </c>
      <c r="E544" t="s">
        <v>29</v>
      </c>
      <c r="F544" t="s">
        <v>30</v>
      </c>
      <c r="G544" t="str">
        <f>"2026-04-10 00:11:02.097"</f>
        <v>2026-04-10 00:11:02.097</v>
      </c>
      <c r="H544" t="s">
        <v>21</v>
      </c>
    </row>
    <row r="545" spans="1:10" x14ac:dyDescent="0.25">
      <c r="A545" s="1">
        <v>41</v>
      </c>
      <c r="B545" t="s">
        <v>31</v>
      </c>
      <c r="C545">
        <v>635</v>
      </c>
      <c r="D545">
        <v>1</v>
      </c>
      <c r="E545" t="s">
        <v>29</v>
      </c>
      <c r="F545" t="s">
        <v>30</v>
      </c>
      <c r="G545" t="str">
        <f>"2026-04-10 00:07:16.097"</f>
        <v>2026-04-10 00:07:16.097</v>
      </c>
      <c r="H545" t="s">
        <v>21</v>
      </c>
      <c r="I545">
        <v>4.38</v>
      </c>
      <c r="J545" t="s">
        <v>32</v>
      </c>
    </row>
    <row r="546" spans="1:10" x14ac:dyDescent="0.25">
      <c r="A546" s="1">
        <v>42</v>
      </c>
      <c r="B546" t="s">
        <v>28</v>
      </c>
      <c r="C546">
        <v>635</v>
      </c>
      <c r="D546">
        <v>1</v>
      </c>
      <c r="E546" t="s">
        <v>29</v>
      </c>
      <c r="F546" t="s">
        <v>30</v>
      </c>
      <c r="G546" t="str">
        <f>"2026-04-09 07:23:15.797"</f>
        <v>2026-04-09 07:23:15.797</v>
      </c>
      <c r="H546" t="s">
        <v>21</v>
      </c>
    </row>
    <row r="547" spans="1:10" x14ac:dyDescent="0.25">
      <c r="A547" s="1">
        <v>43</v>
      </c>
      <c r="B547" t="s">
        <v>31</v>
      </c>
      <c r="C547">
        <v>635</v>
      </c>
      <c r="D547">
        <v>1</v>
      </c>
      <c r="E547" t="s">
        <v>29</v>
      </c>
      <c r="F547" t="s">
        <v>30</v>
      </c>
      <c r="G547" t="str">
        <f>"2026-04-09 07:19:53.797"</f>
        <v>2026-04-09 07:19:53.797</v>
      </c>
      <c r="H547" t="s">
        <v>21</v>
      </c>
      <c r="I547">
        <v>5.57</v>
      </c>
      <c r="J547" t="s">
        <v>32</v>
      </c>
    </row>
    <row r="548" spans="1:10" x14ac:dyDescent="0.25">
      <c r="A548" s="1">
        <v>46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"2026-04-08 21:45:13.537"</f>
        <v>2026-04-08 21:45:13.537</v>
      </c>
      <c r="H548" t="s">
        <v>21</v>
      </c>
    </row>
    <row r="549" spans="1:10" x14ac:dyDescent="0.25">
      <c r="A549" s="1">
        <v>48</v>
      </c>
      <c r="B549" t="s">
        <v>28</v>
      </c>
      <c r="C549">
        <v>635</v>
      </c>
      <c r="D549">
        <v>1</v>
      </c>
      <c r="E549" t="s">
        <v>29</v>
      </c>
      <c r="F549" t="s">
        <v>30</v>
      </c>
      <c r="G549" t="str">
        <f>"2026-04-07 12:18:49.496"</f>
        <v>2026-04-07 12:18:49.496</v>
      </c>
      <c r="H549" t="s">
        <v>21</v>
      </c>
    </row>
    <row r="550" spans="1:10" x14ac:dyDescent="0.25">
      <c r="A550" s="1">
        <v>49</v>
      </c>
      <c r="B550" t="s">
        <v>31</v>
      </c>
      <c r="C550">
        <v>635</v>
      </c>
      <c r="D550">
        <v>1</v>
      </c>
      <c r="E550" t="s">
        <v>29</v>
      </c>
      <c r="F550" t="s">
        <v>30</v>
      </c>
      <c r="G550" t="str">
        <f>"2026-04-07 12:11:04.997"</f>
        <v>2026-04-07 12:11:04.997</v>
      </c>
      <c r="H550" t="s">
        <v>21</v>
      </c>
      <c r="I550">
        <v>1.82</v>
      </c>
      <c r="J550" t="s">
        <v>32</v>
      </c>
    </row>
    <row r="551" spans="1:10" x14ac:dyDescent="0.25">
      <c r="A551" s="1">
        <v>50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"2026-04-07 05:01:55.547"</f>
        <v>2026-04-07 05:01:55.547</v>
      </c>
      <c r="H551" t="s">
        <v>21</v>
      </c>
    </row>
    <row r="552" spans="1:10" x14ac:dyDescent="0.25">
      <c r="A552" s="1">
        <v>51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"2026-04-07 04:25:43.563"</f>
        <v>2026-04-07 04:25:43.563</v>
      </c>
      <c r="H552" t="s">
        <v>21</v>
      </c>
    </row>
    <row r="553" spans="1:10" x14ac:dyDescent="0.25">
      <c r="A553" s="1">
        <v>52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"2026-04-07 01:22:58.554"</f>
        <v>2026-04-07 01:22:58.554</v>
      </c>
      <c r="H553" t="s">
        <v>21</v>
      </c>
      <c r="I553">
        <v>0</v>
      </c>
      <c r="J553" t="s">
        <v>22</v>
      </c>
    </row>
    <row r="554" spans="1:10" x14ac:dyDescent="0.25">
      <c r="A554" s="1">
        <v>53</v>
      </c>
      <c r="B554" t="s">
        <v>28</v>
      </c>
      <c r="C554">
        <v>619</v>
      </c>
      <c r="D554">
        <v>1</v>
      </c>
      <c r="E554" t="s">
        <v>43</v>
      </c>
      <c r="F554" t="s">
        <v>30</v>
      </c>
      <c r="G554" t="str">
        <f>"2026-04-07 01:20:16.804"</f>
        <v>2026-04-07 01:20:16.804</v>
      </c>
      <c r="H554" t="s">
        <v>44</v>
      </c>
    </row>
    <row r="555" spans="1:10" x14ac:dyDescent="0.25">
      <c r="A555" s="1">
        <v>54</v>
      </c>
      <c r="B555" t="s">
        <v>31</v>
      </c>
      <c r="C555">
        <v>619</v>
      </c>
      <c r="D555">
        <v>1</v>
      </c>
      <c r="E555" t="s">
        <v>43</v>
      </c>
      <c r="F555" t="s">
        <v>30</v>
      </c>
      <c r="G555" t="str">
        <f>"2026-04-07 01:20:10.104"</f>
        <v>2026-04-07 01:20:10.104</v>
      </c>
      <c r="H555" t="s">
        <v>44</v>
      </c>
      <c r="I555">
        <v>0</v>
      </c>
      <c r="J555" t="s">
        <v>36</v>
      </c>
    </row>
    <row r="556" spans="1:10" x14ac:dyDescent="0.25">
      <c r="A556" s="1">
        <v>55</v>
      </c>
      <c r="B556" t="s">
        <v>28</v>
      </c>
      <c r="C556">
        <v>635</v>
      </c>
      <c r="D556">
        <v>1</v>
      </c>
      <c r="E556" t="s">
        <v>29</v>
      </c>
      <c r="F556" t="s">
        <v>30</v>
      </c>
      <c r="G556" t="str">
        <f>"2026-04-07 00:22:33.004"</f>
        <v>2026-04-07 00:22:33.004</v>
      </c>
      <c r="H556" t="s">
        <v>21</v>
      </c>
    </row>
    <row r="557" spans="1:10" x14ac:dyDescent="0.25">
      <c r="A557" s="1">
        <v>56</v>
      </c>
      <c r="B557" t="s">
        <v>31</v>
      </c>
      <c r="C557">
        <v>635</v>
      </c>
      <c r="D557">
        <v>1</v>
      </c>
      <c r="E557" t="s">
        <v>29</v>
      </c>
      <c r="F557" t="s">
        <v>30</v>
      </c>
      <c r="G557" t="str">
        <f>"2026-04-07 00:17:18.005"</f>
        <v>2026-04-07 00:17:18.005</v>
      </c>
      <c r="H557" t="s">
        <v>21</v>
      </c>
      <c r="I557">
        <v>0.43</v>
      </c>
      <c r="J557" t="s">
        <v>32</v>
      </c>
    </row>
    <row r="558" spans="1:10" x14ac:dyDescent="0.25">
      <c r="A558" s="1">
        <v>57</v>
      </c>
      <c r="B558" t="s">
        <v>19</v>
      </c>
      <c r="C558">
        <v>706</v>
      </c>
      <c r="D558">
        <v>4</v>
      </c>
      <c r="E558" t="s">
        <v>39</v>
      </c>
      <c r="F558" t="s">
        <v>40</v>
      </c>
      <c r="G558" t="str">
        <f>"2026-04-06 23:12:11.355"</f>
        <v>2026-04-06 23:12:11.355</v>
      </c>
      <c r="H558" t="s">
        <v>21</v>
      </c>
      <c r="I558">
        <v>0</v>
      </c>
      <c r="J558" t="s">
        <v>27</v>
      </c>
    </row>
    <row r="559" spans="1:10" x14ac:dyDescent="0.25">
      <c r="A559" s="1">
        <v>58</v>
      </c>
      <c r="B559" t="s">
        <v>19</v>
      </c>
      <c r="C559">
        <v>706</v>
      </c>
      <c r="D559">
        <v>3</v>
      </c>
      <c r="E559" t="s">
        <v>39</v>
      </c>
      <c r="F559" t="s">
        <v>49</v>
      </c>
      <c r="G559" t="str">
        <f>"2026-04-06 23:12:02.465"</f>
        <v>2026-04-06 23:12:02.465</v>
      </c>
      <c r="H559" t="s">
        <v>21</v>
      </c>
      <c r="I559">
        <v>0</v>
      </c>
      <c r="J559" t="s">
        <v>27</v>
      </c>
    </row>
    <row r="560" spans="1:10" x14ac:dyDescent="0.25">
      <c r="A560" s="1">
        <v>59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"2026-04-06 23:11:46.535"</f>
        <v>2026-04-06 23:11:46.535</v>
      </c>
      <c r="H560" t="s">
        <v>21</v>
      </c>
      <c r="I560">
        <v>0</v>
      </c>
      <c r="J560" t="s">
        <v>22</v>
      </c>
    </row>
    <row r="561" spans="1:10" x14ac:dyDescent="0.25">
      <c r="A561" s="1">
        <v>60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"2026-04-06 23:09:03.574"</f>
        <v>2026-04-06 23:09:03.574</v>
      </c>
      <c r="H561" t="s">
        <v>21</v>
      </c>
    </row>
    <row r="562" spans="1:10" x14ac:dyDescent="0.25">
      <c r="A562" s="1">
        <v>61</v>
      </c>
      <c r="B562" t="s">
        <v>28</v>
      </c>
      <c r="C562">
        <v>635</v>
      </c>
      <c r="D562">
        <v>1</v>
      </c>
      <c r="E562" t="s">
        <v>29</v>
      </c>
      <c r="F562" t="s">
        <v>30</v>
      </c>
      <c r="G562" t="str">
        <f>"2026-04-06 19:34:06.535"</f>
        <v>2026-04-06 19:34:06.535</v>
      </c>
      <c r="H562" t="s">
        <v>21</v>
      </c>
    </row>
    <row r="563" spans="1:10" x14ac:dyDescent="0.25">
      <c r="A563" s="1">
        <v>62</v>
      </c>
      <c r="B563" t="s">
        <v>31</v>
      </c>
      <c r="C563">
        <v>635</v>
      </c>
      <c r="D563">
        <v>1</v>
      </c>
      <c r="E563" t="s">
        <v>29</v>
      </c>
      <c r="F563" t="s">
        <v>30</v>
      </c>
      <c r="G563" t="str">
        <f>"2026-04-06 19:30:11.036"</f>
        <v>2026-04-06 19:30:11.036</v>
      </c>
      <c r="H563" t="s">
        <v>21</v>
      </c>
      <c r="I563">
        <v>4.5599999999999996</v>
      </c>
      <c r="J563" t="s">
        <v>35</v>
      </c>
    </row>
    <row r="564" spans="1:10" x14ac:dyDescent="0.25">
      <c r="A564" s="1">
        <v>63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"2026-04-05 17:03:16.535"</f>
        <v>2026-04-05 17:03:16.535</v>
      </c>
      <c r="H564" t="s">
        <v>21</v>
      </c>
    </row>
    <row r="565" spans="1:10" x14ac:dyDescent="0.25">
      <c r="A565" s="1">
        <v>64</v>
      </c>
      <c r="B565" t="s">
        <v>19</v>
      </c>
      <c r="C565">
        <v>706</v>
      </c>
      <c r="D565">
        <v>4</v>
      </c>
      <c r="E565" t="s">
        <v>39</v>
      </c>
      <c r="F565" t="s">
        <v>40</v>
      </c>
      <c r="G565" t="str">
        <f>"2026-04-05 16:46:57.573"</f>
        <v>2026-04-05 16:46:57.573</v>
      </c>
      <c r="H565" t="s">
        <v>21</v>
      </c>
      <c r="I565">
        <v>0</v>
      </c>
      <c r="J565" t="s">
        <v>27</v>
      </c>
    </row>
    <row r="566" spans="1:10" x14ac:dyDescent="0.25">
      <c r="A566" s="1">
        <v>65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"2026-04-05 16:45:20.533"</f>
        <v>2026-04-05 16:45:20.533</v>
      </c>
      <c r="H566" t="s">
        <v>21</v>
      </c>
    </row>
    <row r="567" spans="1:10" x14ac:dyDescent="0.25">
      <c r="A567" s="1">
        <v>66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"2026-04-05 16:18:15.536"</f>
        <v>2026-04-05 16:18:15.536</v>
      </c>
      <c r="H567" t="s">
        <v>21</v>
      </c>
      <c r="I567">
        <v>0</v>
      </c>
      <c r="J567" t="s">
        <v>22</v>
      </c>
    </row>
    <row r="568" spans="1:10" x14ac:dyDescent="0.25">
      <c r="A568" s="1">
        <v>67</v>
      </c>
      <c r="B568" t="s">
        <v>19</v>
      </c>
      <c r="C568">
        <v>706</v>
      </c>
      <c r="D568">
        <v>2</v>
      </c>
      <c r="E568" t="s">
        <v>39</v>
      </c>
      <c r="F568" t="s">
        <v>48</v>
      </c>
      <c r="G568" t="str">
        <f>"2026-04-05 16:04:31.777"</f>
        <v>2026-04-05 16:04:31.777</v>
      </c>
      <c r="H568" t="s">
        <v>21</v>
      </c>
      <c r="I568">
        <v>0</v>
      </c>
      <c r="J568" t="s">
        <v>27</v>
      </c>
    </row>
    <row r="569" spans="1:10" x14ac:dyDescent="0.25">
      <c r="A569" s="1">
        <v>68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"2026-04-05 14:46:30.547"</f>
        <v>2026-04-05 14:46:30.547</v>
      </c>
      <c r="H569" t="s">
        <v>21</v>
      </c>
      <c r="I569">
        <v>0</v>
      </c>
      <c r="J569" t="s">
        <v>22</v>
      </c>
    </row>
    <row r="570" spans="1:10" x14ac:dyDescent="0.25">
      <c r="A570" s="1">
        <v>69</v>
      </c>
      <c r="B570" t="s">
        <v>19</v>
      </c>
      <c r="C570">
        <v>706</v>
      </c>
      <c r="D570">
        <v>3</v>
      </c>
      <c r="E570" t="s">
        <v>39</v>
      </c>
      <c r="F570" t="s">
        <v>49</v>
      </c>
      <c r="G570" t="str">
        <f>"2026-04-05 13:48:21.944"</f>
        <v>2026-04-05 13:48:21.944</v>
      </c>
      <c r="H570" t="s">
        <v>21</v>
      </c>
      <c r="I570">
        <v>0</v>
      </c>
      <c r="J570" t="s">
        <v>27</v>
      </c>
    </row>
    <row r="571" spans="1:10" x14ac:dyDescent="0.25">
      <c r="A571" s="1">
        <v>70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"2026-04-05 13:47:51.534"</f>
        <v>2026-04-05 13:47:51.534</v>
      </c>
      <c r="H571" t="s">
        <v>21</v>
      </c>
      <c r="I571">
        <v>0</v>
      </c>
      <c r="J571" t="s">
        <v>22</v>
      </c>
    </row>
    <row r="572" spans="1:10" x14ac:dyDescent="0.25">
      <c r="A572" s="1">
        <v>71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"2026-04-05 12:46:59.535"</f>
        <v>2026-04-05 12:46:59.535</v>
      </c>
      <c r="H572" t="s">
        <v>21</v>
      </c>
      <c r="I572">
        <v>0</v>
      </c>
      <c r="J572" t="s">
        <v>22</v>
      </c>
    </row>
    <row r="573" spans="1:10" x14ac:dyDescent="0.25">
      <c r="A573" s="1">
        <v>72</v>
      </c>
      <c r="B573" t="s">
        <v>28</v>
      </c>
      <c r="C573">
        <v>635</v>
      </c>
      <c r="D573">
        <v>1</v>
      </c>
      <c r="E573" t="s">
        <v>29</v>
      </c>
      <c r="F573" t="s">
        <v>30</v>
      </c>
      <c r="G573" t="str">
        <f>"2026-04-03 22:19:33.753"</f>
        <v>2026-04-03 22:19:33.753</v>
      </c>
      <c r="H573" t="s">
        <v>21</v>
      </c>
    </row>
    <row r="574" spans="1:10" x14ac:dyDescent="0.25">
      <c r="A574" s="1">
        <v>73</v>
      </c>
      <c r="B574" t="s">
        <v>31</v>
      </c>
      <c r="C574">
        <v>635</v>
      </c>
      <c r="D574">
        <v>1</v>
      </c>
      <c r="E574" t="s">
        <v>29</v>
      </c>
      <c r="F574" t="s">
        <v>30</v>
      </c>
      <c r="G574" t="str">
        <f>"2026-04-03 22:14:24.853"</f>
        <v>2026-04-03 22:14:24.853</v>
      </c>
      <c r="H574" t="s">
        <v>21</v>
      </c>
      <c r="I574">
        <v>0.28000000000000003</v>
      </c>
      <c r="J574" t="s">
        <v>32</v>
      </c>
    </row>
    <row r="575" spans="1:10" x14ac:dyDescent="0.25">
      <c r="A575" s="1">
        <v>74</v>
      </c>
      <c r="B575" t="s">
        <v>28</v>
      </c>
      <c r="C575">
        <v>635</v>
      </c>
      <c r="D575">
        <v>1</v>
      </c>
      <c r="E575" t="s">
        <v>29</v>
      </c>
      <c r="F575" t="s">
        <v>30</v>
      </c>
      <c r="G575" t="str">
        <f>"2026-04-03 21:13:46.953"</f>
        <v>2026-04-03 21:13:46.953</v>
      </c>
      <c r="H575" t="s">
        <v>21</v>
      </c>
    </row>
    <row r="576" spans="1:10" x14ac:dyDescent="0.25">
      <c r="A576" s="1">
        <v>75</v>
      </c>
      <c r="B576" t="s">
        <v>31</v>
      </c>
      <c r="C576">
        <v>635</v>
      </c>
      <c r="D576">
        <v>1</v>
      </c>
      <c r="E576" t="s">
        <v>29</v>
      </c>
      <c r="F576" t="s">
        <v>30</v>
      </c>
      <c r="G576" t="str">
        <f>"2026-04-03 21:08:15.453"</f>
        <v>2026-04-03 21:08:15.453</v>
      </c>
      <c r="H576" t="s">
        <v>21</v>
      </c>
      <c r="I576">
        <v>2.95</v>
      </c>
      <c r="J576" t="s">
        <v>36</v>
      </c>
    </row>
    <row r="577" spans="1:10" x14ac:dyDescent="0.25">
      <c r="A577" s="1">
        <v>76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"2026-04-02 00:19:40.533"</f>
        <v>2026-04-02 00:19:40.533</v>
      </c>
      <c r="H577" t="s">
        <v>21</v>
      </c>
      <c r="I577">
        <v>0</v>
      </c>
      <c r="J577" t="s">
        <v>22</v>
      </c>
    </row>
    <row r="578" spans="1:10" x14ac:dyDescent="0.25">
      <c r="A578" s="1">
        <v>77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"2026-04-02 00:09:55.526"</f>
        <v>2026-04-02 00:09:55.526</v>
      </c>
      <c r="H578" t="s">
        <v>21</v>
      </c>
      <c r="I578">
        <v>0</v>
      </c>
      <c r="J578" t="s">
        <v>22</v>
      </c>
    </row>
    <row r="579" spans="1:10" x14ac:dyDescent="0.25">
      <c r="A579" s="1">
        <v>78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"2026-04-01 23:59:20.525"</f>
        <v>2026-04-01 23:59:20.525</v>
      </c>
      <c r="H579" t="s">
        <v>21</v>
      </c>
    </row>
    <row r="580" spans="1:10" x14ac:dyDescent="0.25">
      <c r="A580" s="1">
        <v>79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"2026-04-01 23:54:58.517"</f>
        <v>2026-04-01 23:54:58.517</v>
      </c>
      <c r="H580" t="s">
        <v>21</v>
      </c>
      <c r="I580">
        <v>0</v>
      </c>
      <c r="J580" t="s">
        <v>22</v>
      </c>
    </row>
    <row r="581" spans="1:10" x14ac:dyDescent="0.25">
      <c r="A581" s="1">
        <v>80</v>
      </c>
      <c r="B581" t="s">
        <v>19</v>
      </c>
      <c r="C581">
        <v>706</v>
      </c>
      <c r="D581">
        <v>3</v>
      </c>
      <c r="E581" t="s">
        <v>39</v>
      </c>
      <c r="F581" t="s">
        <v>49</v>
      </c>
      <c r="G581" t="str">
        <f>"2026-04-01 23:48:44.331"</f>
        <v>2026-04-01 23:48:44.331</v>
      </c>
      <c r="H581" t="s">
        <v>21</v>
      </c>
      <c r="I581">
        <v>0</v>
      </c>
      <c r="J581" t="s">
        <v>27</v>
      </c>
    </row>
    <row r="582" spans="1:10" x14ac:dyDescent="0.25">
      <c r="A582" s="1">
        <v>81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"2026-04-01 23:47:15.541"</f>
        <v>2026-04-01 23:47:15.541</v>
      </c>
      <c r="H582" t="s">
        <v>21</v>
      </c>
      <c r="I582">
        <v>0</v>
      </c>
      <c r="J582" t="s">
        <v>22</v>
      </c>
    </row>
    <row r="583" spans="1:10" x14ac:dyDescent="0.25">
      <c r="A583" s="1">
        <v>82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"2026-04-01 23:05:49.532"</f>
        <v>2026-04-01 23:05:49.532</v>
      </c>
      <c r="H583" t="s">
        <v>21</v>
      </c>
    </row>
    <row r="584" spans="1:10" x14ac:dyDescent="0.25">
      <c r="A584" s="1">
        <v>83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"2026-04-01 22:47:28.658"</f>
        <v>2026-04-01 22:47:28.658</v>
      </c>
      <c r="H584" t="s">
        <v>21</v>
      </c>
    </row>
    <row r="585" spans="1:10" x14ac:dyDescent="0.25">
      <c r="A585" s="1">
        <v>84</v>
      </c>
      <c r="B585" t="s">
        <v>19</v>
      </c>
      <c r="C585">
        <v>706</v>
      </c>
      <c r="D585">
        <v>3</v>
      </c>
      <c r="E585" t="s">
        <v>39</v>
      </c>
      <c r="F585" t="s">
        <v>49</v>
      </c>
      <c r="G585" t="str">
        <f>"2026-04-01 22:45:26.544"</f>
        <v>2026-04-01 22:45:26.544</v>
      </c>
      <c r="H585" t="s">
        <v>21</v>
      </c>
      <c r="I585">
        <v>0</v>
      </c>
      <c r="J585" t="s">
        <v>27</v>
      </c>
    </row>
    <row r="586" spans="1:10" x14ac:dyDescent="0.25">
      <c r="A586" s="1">
        <v>85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"2026-04-01 19:37:23.544"</f>
        <v>2026-04-01 19:37:23.544</v>
      </c>
      <c r="H586" t="s">
        <v>21</v>
      </c>
    </row>
    <row r="587" spans="1:10" x14ac:dyDescent="0.25">
      <c r="A587" s="1">
        <v>86</v>
      </c>
      <c r="B587" t="s">
        <v>19</v>
      </c>
      <c r="C587">
        <v>706</v>
      </c>
      <c r="D587">
        <v>4</v>
      </c>
      <c r="E587" t="s">
        <v>39</v>
      </c>
      <c r="F587" t="s">
        <v>40</v>
      </c>
      <c r="G587" t="str">
        <f>"2026-04-01 05:53:48.967"</f>
        <v>2026-04-01 05:53:48.967</v>
      </c>
      <c r="H587" t="s">
        <v>21</v>
      </c>
      <c r="I587">
        <v>0</v>
      </c>
      <c r="J587" t="s">
        <v>27</v>
      </c>
    </row>
    <row r="588" spans="1:10" x14ac:dyDescent="0.25">
      <c r="A588" s="1">
        <v>87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"2026-04-01 05:53:13.667"</f>
        <v>2026-04-01 05:53:13.667</v>
      </c>
      <c r="H588" t="s">
        <v>21</v>
      </c>
    </row>
    <row r="589" spans="1:10" x14ac:dyDescent="0.25">
      <c r="A589" s="1">
        <v>88</v>
      </c>
      <c r="B589" t="s">
        <v>19</v>
      </c>
      <c r="C589">
        <v>706</v>
      </c>
      <c r="D589">
        <v>4</v>
      </c>
      <c r="E589" t="s">
        <v>39</v>
      </c>
      <c r="F589" t="s">
        <v>40</v>
      </c>
      <c r="G589" t="str">
        <f>"2026-04-01 05:26:21.696"</f>
        <v>2026-04-01 05:26:21.696</v>
      </c>
      <c r="H589" t="s">
        <v>21</v>
      </c>
      <c r="I589">
        <v>0</v>
      </c>
      <c r="J589" t="s">
        <v>27</v>
      </c>
    </row>
    <row r="590" spans="1:10" x14ac:dyDescent="0.25">
      <c r="A590" s="1">
        <v>89</v>
      </c>
      <c r="B590" t="s">
        <v>19</v>
      </c>
      <c r="C590">
        <v>706</v>
      </c>
      <c r="D590">
        <v>3</v>
      </c>
      <c r="E590" t="s">
        <v>39</v>
      </c>
      <c r="F590" t="s">
        <v>49</v>
      </c>
      <c r="G590" t="str">
        <f>"2026-04-01 05:26:14.946"</f>
        <v>2026-04-01 05:26:14.946</v>
      </c>
      <c r="H590" t="s">
        <v>21</v>
      </c>
      <c r="I590">
        <v>0</v>
      </c>
      <c r="J590" t="s">
        <v>27</v>
      </c>
    </row>
    <row r="591" spans="1:10" x14ac:dyDescent="0.25">
      <c r="A591" s="1">
        <v>90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"2026-04-01 04:12:00.566"</f>
        <v>2026-04-01 04:12:00.566</v>
      </c>
      <c r="H591" t="s">
        <v>21</v>
      </c>
      <c r="I591">
        <v>0</v>
      </c>
      <c r="J591" t="s">
        <v>22</v>
      </c>
    </row>
    <row r="592" spans="1:10" x14ac:dyDescent="0.25">
      <c r="A592" s="1">
        <v>91</v>
      </c>
      <c r="B592" t="s">
        <v>19</v>
      </c>
      <c r="C592">
        <v>706</v>
      </c>
      <c r="D592">
        <v>4</v>
      </c>
      <c r="E592" t="s">
        <v>39</v>
      </c>
      <c r="F592" t="s">
        <v>40</v>
      </c>
      <c r="G592" t="str">
        <f>"2026-03-31 20:03:31.905"</f>
        <v>2026-03-31 20:03:31.905</v>
      </c>
      <c r="H592" t="s">
        <v>21</v>
      </c>
      <c r="I592">
        <v>0</v>
      </c>
      <c r="J592" t="s">
        <v>27</v>
      </c>
    </row>
    <row r="593" spans="1:10" x14ac:dyDescent="0.25">
      <c r="A593" s="1">
        <v>92</v>
      </c>
      <c r="B593" t="s">
        <v>19</v>
      </c>
      <c r="C593">
        <v>706</v>
      </c>
      <c r="D593">
        <v>3</v>
      </c>
      <c r="E593" t="s">
        <v>39</v>
      </c>
      <c r="F593" t="s">
        <v>49</v>
      </c>
      <c r="G593" t="str">
        <f>"2026-03-31 20:03:12.975"</f>
        <v>2026-03-31 20:03:12.975</v>
      </c>
      <c r="H593" t="s">
        <v>21</v>
      </c>
      <c r="I593">
        <v>0</v>
      </c>
      <c r="J593" t="s">
        <v>27</v>
      </c>
    </row>
    <row r="594" spans="1:10" x14ac:dyDescent="0.25">
      <c r="A594" s="1">
        <v>93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"2026-03-31 19:41:49.525"</f>
        <v>2026-03-31 19:41:49.525</v>
      </c>
      <c r="H594" t="s">
        <v>21</v>
      </c>
    </row>
    <row r="595" spans="1:10" x14ac:dyDescent="0.25">
      <c r="A595" s="1">
        <v>94</v>
      </c>
      <c r="B595" t="s">
        <v>19</v>
      </c>
      <c r="C595">
        <v>706</v>
      </c>
      <c r="D595">
        <v>2</v>
      </c>
      <c r="E595" t="s">
        <v>39</v>
      </c>
      <c r="F595" t="s">
        <v>48</v>
      </c>
      <c r="G595" t="str">
        <f>"2026-03-31 16:26:55.761"</f>
        <v>2026-03-31 16:26:55.761</v>
      </c>
      <c r="H595" t="s">
        <v>21</v>
      </c>
      <c r="I595">
        <v>0</v>
      </c>
      <c r="J595" t="s">
        <v>27</v>
      </c>
    </row>
    <row r="596" spans="1:10" x14ac:dyDescent="0.25">
      <c r="A596" s="1">
        <v>95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"2026-03-31 16:23:04.531"</f>
        <v>2026-03-31 16:23:04.531</v>
      </c>
      <c r="H596" t="s">
        <v>21</v>
      </c>
    </row>
    <row r="597" spans="1:10" x14ac:dyDescent="0.25">
      <c r="A597" s="1">
        <v>96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"2026-03-31 14:51:57.536"</f>
        <v>2026-03-31 14:51:57.536</v>
      </c>
      <c r="H597" t="s">
        <v>21</v>
      </c>
      <c r="I597">
        <v>0</v>
      </c>
      <c r="J597" t="s">
        <v>22</v>
      </c>
    </row>
    <row r="598" spans="1:10" x14ac:dyDescent="0.25">
      <c r="A598" s="1">
        <v>97</v>
      </c>
      <c r="B598" t="s">
        <v>28</v>
      </c>
      <c r="C598">
        <v>635</v>
      </c>
      <c r="D598">
        <v>1</v>
      </c>
      <c r="E598" t="s">
        <v>29</v>
      </c>
      <c r="F598" t="s">
        <v>30</v>
      </c>
      <c r="G598" t="str">
        <f>"2026-03-31 08:39:01.598"</f>
        <v>2026-03-31 08:39:01.598</v>
      </c>
      <c r="H598" t="s">
        <v>21</v>
      </c>
    </row>
    <row r="599" spans="1:10" x14ac:dyDescent="0.25">
      <c r="A599" s="1">
        <v>98</v>
      </c>
      <c r="B599" t="s">
        <v>31</v>
      </c>
      <c r="C599">
        <v>635</v>
      </c>
      <c r="D599">
        <v>1</v>
      </c>
      <c r="E599" t="s">
        <v>29</v>
      </c>
      <c r="F599" t="s">
        <v>30</v>
      </c>
      <c r="G599" t="str">
        <f>"2026-03-31 08:35:15.598"</f>
        <v>2026-03-31 08:35:15.598</v>
      </c>
      <c r="H599" t="s">
        <v>21</v>
      </c>
      <c r="I599">
        <v>7.09</v>
      </c>
      <c r="J599" t="s">
        <v>32</v>
      </c>
    </row>
    <row r="600" spans="1:10" x14ac:dyDescent="0.25">
      <c r="A600" s="1">
        <v>99</v>
      </c>
      <c r="B600" t="s">
        <v>28</v>
      </c>
      <c r="C600">
        <v>61</v>
      </c>
      <c r="D600">
        <v>2</v>
      </c>
      <c r="E600" t="s">
        <v>37</v>
      </c>
      <c r="F600" t="s">
        <v>38</v>
      </c>
      <c r="G600" t="str">
        <f>"2026-03-31 07:37:04.911"</f>
        <v>2026-03-31 07:37:04.911</v>
      </c>
      <c r="H600" t="s">
        <v>21</v>
      </c>
    </row>
    <row r="601" spans="1:10" x14ac:dyDescent="0.25">
      <c r="A601" s="1">
        <v>0</v>
      </c>
      <c r="B601" t="s">
        <v>23</v>
      </c>
      <c r="C601">
        <v>61</v>
      </c>
      <c r="D601">
        <v>2</v>
      </c>
      <c r="E601" t="s">
        <v>37</v>
      </c>
      <c r="F601" t="s">
        <v>38</v>
      </c>
      <c r="G601" t="str">
        <f>"2026-03-31 07:36:33.611"</f>
        <v>2026-03-31 07:36:33.611</v>
      </c>
      <c r="H601" t="s">
        <v>21</v>
      </c>
      <c r="I601">
        <v>30.34</v>
      </c>
      <c r="J601" t="s">
        <v>35</v>
      </c>
    </row>
    <row r="602" spans="1:10" x14ac:dyDescent="0.25">
      <c r="A602" s="1">
        <v>1</v>
      </c>
      <c r="B602" t="s">
        <v>28</v>
      </c>
      <c r="C602">
        <v>635</v>
      </c>
      <c r="D602">
        <v>1</v>
      </c>
      <c r="E602" t="s">
        <v>29</v>
      </c>
      <c r="F602" t="s">
        <v>30</v>
      </c>
      <c r="G602" t="str">
        <f>"2026-03-30 05:28:48.198"</f>
        <v>2026-03-30 05:28:48.198</v>
      </c>
      <c r="H602" t="s">
        <v>21</v>
      </c>
    </row>
    <row r="603" spans="1:10" x14ac:dyDescent="0.25">
      <c r="A603" s="1">
        <v>2</v>
      </c>
      <c r="B603" t="s">
        <v>31</v>
      </c>
      <c r="C603">
        <v>635</v>
      </c>
      <c r="D603">
        <v>1</v>
      </c>
      <c r="E603" t="s">
        <v>29</v>
      </c>
      <c r="F603" t="s">
        <v>30</v>
      </c>
      <c r="G603" t="str">
        <f>"2026-03-30 05:23:36.698"</f>
        <v>2026-03-30 05:23:36.698</v>
      </c>
      <c r="H603" t="s">
        <v>21</v>
      </c>
      <c r="I603">
        <v>5.79</v>
      </c>
      <c r="J603" t="s">
        <v>32</v>
      </c>
    </row>
    <row r="604" spans="1:10" x14ac:dyDescent="0.25">
      <c r="A604" s="1">
        <v>3</v>
      </c>
      <c r="B604" t="s">
        <v>28</v>
      </c>
      <c r="C604">
        <v>635</v>
      </c>
      <c r="D604">
        <v>1</v>
      </c>
      <c r="E604" t="s">
        <v>29</v>
      </c>
      <c r="F604" t="s">
        <v>30</v>
      </c>
      <c r="G604" t="str">
        <f>"2026-03-29 05:39:13.298"</f>
        <v>2026-03-29 05:39:13.298</v>
      </c>
      <c r="H604" t="s">
        <v>21</v>
      </c>
    </row>
    <row r="605" spans="1:10" x14ac:dyDescent="0.25">
      <c r="A605" s="1">
        <v>4</v>
      </c>
      <c r="B605" t="s">
        <v>31</v>
      </c>
      <c r="C605">
        <v>635</v>
      </c>
      <c r="D605">
        <v>1</v>
      </c>
      <c r="E605" t="s">
        <v>29</v>
      </c>
      <c r="F605" t="s">
        <v>30</v>
      </c>
      <c r="G605" t="str">
        <f>"2026-03-29 05:37:14.798"</f>
        <v>2026-03-29 05:37:14.798</v>
      </c>
      <c r="H605" t="s">
        <v>21</v>
      </c>
      <c r="I605">
        <v>6.29</v>
      </c>
      <c r="J605" t="s">
        <v>32</v>
      </c>
    </row>
    <row r="606" spans="1:10" x14ac:dyDescent="0.25">
      <c r="A606" s="1">
        <v>5</v>
      </c>
      <c r="B606" t="s">
        <v>28</v>
      </c>
      <c r="C606">
        <v>635</v>
      </c>
      <c r="D606">
        <v>1</v>
      </c>
      <c r="E606" t="s">
        <v>29</v>
      </c>
      <c r="F606" t="s">
        <v>30</v>
      </c>
      <c r="G606" t="str">
        <f>"2026-03-28 21:50:56.298"</f>
        <v>2026-03-28 21:50:56.298</v>
      </c>
      <c r="H606" t="s">
        <v>21</v>
      </c>
    </row>
    <row r="607" spans="1:10" x14ac:dyDescent="0.25">
      <c r="A607" s="1">
        <v>6</v>
      </c>
      <c r="B607" t="s">
        <v>31</v>
      </c>
      <c r="C607">
        <v>635</v>
      </c>
      <c r="D607">
        <v>1</v>
      </c>
      <c r="E607" t="s">
        <v>29</v>
      </c>
      <c r="F607" t="s">
        <v>30</v>
      </c>
      <c r="G607" t="str">
        <f>"2026-03-28 21:48:05.798"</f>
        <v>2026-03-28 21:48:05.798</v>
      </c>
      <c r="H607" t="s">
        <v>21</v>
      </c>
      <c r="I607">
        <v>6.15</v>
      </c>
      <c r="J607" t="s">
        <v>32</v>
      </c>
    </row>
    <row r="608" spans="1:10" x14ac:dyDescent="0.25">
      <c r="A608" s="1">
        <v>7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"2026-03-28 09:24:55.528"</f>
        <v>2026-03-28 09:24:55.528</v>
      </c>
      <c r="H608" t="s">
        <v>21</v>
      </c>
    </row>
    <row r="609" spans="1:10" x14ac:dyDescent="0.25">
      <c r="A609" s="1">
        <v>8</v>
      </c>
      <c r="B609" t="s">
        <v>28</v>
      </c>
      <c r="C609">
        <v>61</v>
      </c>
      <c r="D609">
        <v>2</v>
      </c>
      <c r="E609" t="s">
        <v>37</v>
      </c>
      <c r="F609" t="s">
        <v>38</v>
      </c>
      <c r="G609" t="str">
        <f>"2026-03-28 07:36:19.164"</f>
        <v>2026-03-28 07:36:19.164</v>
      </c>
      <c r="H609" t="s">
        <v>21</v>
      </c>
    </row>
    <row r="610" spans="1:10" x14ac:dyDescent="0.25">
      <c r="A610" s="1">
        <v>9</v>
      </c>
      <c r="B610" t="s">
        <v>23</v>
      </c>
      <c r="C610">
        <v>61</v>
      </c>
      <c r="D610">
        <v>2</v>
      </c>
      <c r="E610" t="s">
        <v>37</v>
      </c>
      <c r="F610" t="s">
        <v>38</v>
      </c>
      <c r="G610" t="str">
        <f>"2026-03-28 07:36:07.265"</f>
        <v>2026-03-28 07:36:07.265</v>
      </c>
      <c r="H610" t="s">
        <v>21</v>
      </c>
      <c r="I610">
        <v>29.57</v>
      </c>
      <c r="J610" t="s">
        <v>35</v>
      </c>
    </row>
    <row r="611" spans="1:10" x14ac:dyDescent="0.25">
      <c r="A611" s="1">
        <v>10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"2026-03-28 00:26:54.524"</f>
        <v>2026-03-28 00:26:54.524</v>
      </c>
      <c r="H611" t="s">
        <v>21</v>
      </c>
    </row>
    <row r="612" spans="1:10" x14ac:dyDescent="0.25">
      <c r="A612" s="1">
        <v>11</v>
      </c>
      <c r="B612" t="s">
        <v>28</v>
      </c>
      <c r="C612">
        <v>635</v>
      </c>
      <c r="D612">
        <v>1</v>
      </c>
      <c r="E612" t="s">
        <v>29</v>
      </c>
      <c r="F612" t="s">
        <v>30</v>
      </c>
      <c r="G612" t="str">
        <f>"2026-03-27 17:31:07.539"</f>
        <v>2026-03-27 17:31:07.539</v>
      </c>
      <c r="H612" t="s">
        <v>21</v>
      </c>
    </row>
    <row r="613" spans="1:10" x14ac:dyDescent="0.25">
      <c r="A613" s="1">
        <v>12</v>
      </c>
      <c r="B613" t="s">
        <v>31</v>
      </c>
      <c r="C613">
        <v>635</v>
      </c>
      <c r="D613">
        <v>1</v>
      </c>
      <c r="E613" t="s">
        <v>29</v>
      </c>
      <c r="F613" t="s">
        <v>30</v>
      </c>
      <c r="G613" t="str">
        <f>"2026-03-27 17:28:07.539"</f>
        <v>2026-03-27 17:28:07.539</v>
      </c>
      <c r="H613" t="s">
        <v>21</v>
      </c>
      <c r="I613">
        <v>2.97</v>
      </c>
      <c r="J613" t="s">
        <v>32</v>
      </c>
    </row>
    <row r="614" spans="1:10" s="3" customFormat="1" x14ac:dyDescent="0.25">
      <c r="A614" s="2">
        <v>13</v>
      </c>
      <c r="B614" s="3" t="s">
        <v>28</v>
      </c>
      <c r="C614" s="3">
        <v>647</v>
      </c>
      <c r="D614" s="3">
        <v>1</v>
      </c>
      <c r="E614" s="3" t="s">
        <v>33</v>
      </c>
      <c r="F614" s="3" t="s">
        <v>34</v>
      </c>
      <c r="G614" s="3" t="str">
        <f>"2026-03-26 10:38:22.087"</f>
        <v>2026-03-26 10:38:22.087</v>
      </c>
      <c r="H614" s="3" t="s">
        <v>21</v>
      </c>
    </row>
    <row r="615" spans="1:10" s="3" customFormat="1" x14ac:dyDescent="0.25">
      <c r="A615" s="2">
        <v>14</v>
      </c>
      <c r="B615" s="3" t="s">
        <v>31</v>
      </c>
      <c r="C615" s="3">
        <v>647</v>
      </c>
      <c r="D615" s="3">
        <v>1</v>
      </c>
      <c r="E615" s="3" t="s">
        <v>33</v>
      </c>
      <c r="F615" s="3" t="s">
        <v>34</v>
      </c>
      <c r="G615" s="3" t="str">
        <f>"2026-03-26 10:38:13.587"</f>
        <v>2026-03-26 10:38:13.587</v>
      </c>
      <c r="H615" s="3" t="s">
        <v>21</v>
      </c>
      <c r="I615" s="3">
        <v>11.43</v>
      </c>
      <c r="J615" s="3" t="s">
        <v>35</v>
      </c>
    </row>
    <row r="616" spans="1:10" x14ac:dyDescent="0.25">
      <c r="A616" s="1">
        <v>15</v>
      </c>
      <c r="B616" t="s">
        <v>28</v>
      </c>
      <c r="C616">
        <v>635</v>
      </c>
      <c r="D616">
        <v>1</v>
      </c>
      <c r="E616" t="s">
        <v>29</v>
      </c>
      <c r="F616" t="s">
        <v>30</v>
      </c>
      <c r="G616" t="str">
        <f>"2026-03-26 09:57:46.639"</f>
        <v>2026-03-26 09:57:46.639</v>
      </c>
      <c r="H616" t="s">
        <v>21</v>
      </c>
    </row>
    <row r="617" spans="1:10" x14ac:dyDescent="0.25">
      <c r="A617" s="1">
        <v>16</v>
      </c>
      <c r="B617" t="s">
        <v>31</v>
      </c>
      <c r="C617">
        <v>635</v>
      </c>
      <c r="D617">
        <v>1</v>
      </c>
      <c r="E617" t="s">
        <v>29</v>
      </c>
      <c r="F617" t="s">
        <v>30</v>
      </c>
      <c r="G617" t="str">
        <f>"2026-03-26 09:53:31.640"</f>
        <v>2026-03-26 09:53:31.640</v>
      </c>
      <c r="H617" t="s">
        <v>21</v>
      </c>
      <c r="I617">
        <v>4.3499999999999996</v>
      </c>
      <c r="J617" t="s">
        <v>32</v>
      </c>
    </row>
    <row r="618" spans="1:10" x14ac:dyDescent="0.25">
      <c r="A618" s="1">
        <v>17</v>
      </c>
      <c r="B618" t="s">
        <v>28</v>
      </c>
      <c r="C618">
        <v>635</v>
      </c>
      <c r="D618">
        <v>1</v>
      </c>
      <c r="E618" t="s">
        <v>29</v>
      </c>
      <c r="F618" t="s">
        <v>30</v>
      </c>
      <c r="G618" t="str">
        <f>"2026-03-26 07:30:11.940"</f>
        <v>2026-03-26 07:30:11.940</v>
      </c>
      <c r="H618" t="s">
        <v>21</v>
      </c>
    </row>
    <row r="619" spans="1:10" x14ac:dyDescent="0.25">
      <c r="A619" s="1">
        <v>18</v>
      </c>
      <c r="B619" t="s">
        <v>31</v>
      </c>
      <c r="C619">
        <v>635</v>
      </c>
      <c r="D619">
        <v>1</v>
      </c>
      <c r="E619" t="s">
        <v>29</v>
      </c>
      <c r="F619" t="s">
        <v>30</v>
      </c>
      <c r="G619" t="str">
        <f>"2026-03-26 07:27:20.440"</f>
        <v>2026-03-26 07:27:20.440</v>
      </c>
      <c r="H619" t="s">
        <v>21</v>
      </c>
      <c r="I619">
        <v>5.81</v>
      </c>
      <c r="J619" t="s">
        <v>35</v>
      </c>
    </row>
    <row r="620" spans="1:10" x14ac:dyDescent="0.25">
      <c r="A620" s="1">
        <v>19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"2026-03-25 23:41:29.529"</f>
        <v>2026-03-25 23:41:29.529</v>
      </c>
      <c r="H620" t="s">
        <v>21</v>
      </c>
      <c r="I620">
        <v>0</v>
      </c>
      <c r="J620" t="s">
        <v>22</v>
      </c>
    </row>
    <row r="621" spans="1:10" x14ac:dyDescent="0.25">
      <c r="A621" s="1">
        <v>20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"2026-03-25 23:37:31.520"</f>
        <v>2026-03-25 23:37:31.520</v>
      </c>
      <c r="H621" t="s">
        <v>21</v>
      </c>
    </row>
    <row r="622" spans="1:10" x14ac:dyDescent="0.25">
      <c r="A622" s="1">
        <v>21</v>
      </c>
      <c r="B622" t="s">
        <v>28</v>
      </c>
      <c r="C622">
        <v>635</v>
      </c>
      <c r="D622">
        <v>1</v>
      </c>
      <c r="E622" t="s">
        <v>29</v>
      </c>
      <c r="F622" t="s">
        <v>30</v>
      </c>
      <c r="G622" t="str">
        <f>"2026-03-24 17:27:44.117"</f>
        <v>2026-03-24 17:27:44.117</v>
      </c>
      <c r="H622" t="s">
        <v>21</v>
      </c>
    </row>
    <row r="623" spans="1:10" x14ac:dyDescent="0.25">
      <c r="A623" s="1">
        <v>22</v>
      </c>
      <c r="B623" t="s">
        <v>31</v>
      </c>
      <c r="C623">
        <v>635</v>
      </c>
      <c r="D623">
        <v>1</v>
      </c>
      <c r="E623" t="s">
        <v>29</v>
      </c>
      <c r="F623" t="s">
        <v>30</v>
      </c>
      <c r="G623" t="str">
        <f>"2026-03-24 17:25:10.117"</f>
        <v>2026-03-24 17:25:10.117</v>
      </c>
      <c r="H623" t="s">
        <v>21</v>
      </c>
      <c r="I623">
        <v>4.29</v>
      </c>
      <c r="J623" t="s">
        <v>32</v>
      </c>
    </row>
    <row r="624" spans="1:10" x14ac:dyDescent="0.25">
      <c r="A624" s="1">
        <v>23</v>
      </c>
      <c r="B624" t="s">
        <v>28</v>
      </c>
      <c r="C624">
        <v>635</v>
      </c>
      <c r="D624">
        <v>1</v>
      </c>
      <c r="E624" t="s">
        <v>29</v>
      </c>
      <c r="F624" t="s">
        <v>30</v>
      </c>
      <c r="G624" t="str">
        <f>"2026-03-24 15:51:18.317"</f>
        <v>2026-03-24 15:51:18.317</v>
      </c>
      <c r="H624" t="s">
        <v>21</v>
      </c>
    </row>
    <row r="625" spans="1:10" x14ac:dyDescent="0.25">
      <c r="A625" s="1">
        <v>24</v>
      </c>
      <c r="B625" t="s">
        <v>31</v>
      </c>
      <c r="C625">
        <v>635</v>
      </c>
      <c r="D625">
        <v>1</v>
      </c>
      <c r="E625" t="s">
        <v>29</v>
      </c>
      <c r="F625" t="s">
        <v>30</v>
      </c>
      <c r="G625" t="str">
        <f>"2026-03-24 15:48:48.817"</f>
        <v>2026-03-24 15:48:48.817</v>
      </c>
      <c r="H625" t="s">
        <v>21</v>
      </c>
      <c r="I625">
        <v>4.8600000000000003</v>
      </c>
      <c r="J625" t="s">
        <v>32</v>
      </c>
    </row>
    <row r="626" spans="1:10" x14ac:dyDescent="0.25">
      <c r="A626" s="1">
        <v>25</v>
      </c>
      <c r="B626" t="s">
        <v>28</v>
      </c>
      <c r="C626">
        <v>619</v>
      </c>
      <c r="D626">
        <v>1</v>
      </c>
      <c r="E626" t="s">
        <v>43</v>
      </c>
      <c r="F626" t="s">
        <v>30</v>
      </c>
      <c r="G626" t="str">
        <f>"2026-03-24 12:18:18.164"</f>
        <v>2026-03-24 12:18:18.164</v>
      </c>
      <c r="H626" t="s">
        <v>44</v>
      </c>
    </row>
    <row r="627" spans="1:10" x14ac:dyDescent="0.25">
      <c r="A627" s="1">
        <v>26</v>
      </c>
      <c r="B627" t="s">
        <v>31</v>
      </c>
      <c r="C627">
        <v>619</v>
      </c>
      <c r="D627">
        <v>1</v>
      </c>
      <c r="E627" t="s">
        <v>43</v>
      </c>
      <c r="F627" t="s">
        <v>30</v>
      </c>
      <c r="G627" t="str">
        <f>"2026-03-24 12:17:59.065"</f>
        <v>2026-03-24 12:17:59.065</v>
      </c>
      <c r="H627" t="s">
        <v>44</v>
      </c>
      <c r="I627">
        <v>20.8</v>
      </c>
      <c r="J627" t="s">
        <v>35</v>
      </c>
    </row>
    <row r="628" spans="1:10" x14ac:dyDescent="0.25">
      <c r="A628" s="1">
        <v>27</v>
      </c>
      <c r="B628" t="s">
        <v>28</v>
      </c>
      <c r="C628">
        <v>635</v>
      </c>
      <c r="D628">
        <v>1</v>
      </c>
      <c r="E628" t="s">
        <v>29</v>
      </c>
      <c r="F628" t="s">
        <v>30</v>
      </c>
      <c r="G628" t="str">
        <f>"2026-03-24 04:23:47.817"</f>
        <v>2026-03-24 04:23:47.817</v>
      </c>
      <c r="H628" t="s">
        <v>21</v>
      </c>
    </row>
    <row r="629" spans="1:10" x14ac:dyDescent="0.25">
      <c r="A629" s="1">
        <v>28</v>
      </c>
      <c r="B629" t="s">
        <v>31</v>
      </c>
      <c r="C629">
        <v>635</v>
      </c>
      <c r="D629">
        <v>1</v>
      </c>
      <c r="E629" t="s">
        <v>29</v>
      </c>
      <c r="F629" t="s">
        <v>30</v>
      </c>
      <c r="G629" t="str">
        <f>"2026-03-24 04:20:52.317"</f>
        <v>2026-03-24 04:20:52.317</v>
      </c>
      <c r="H629" t="s">
        <v>21</v>
      </c>
      <c r="I629">
        <v>5.42</v>
      </c>
      <c r="J629" t="s">
        <v>32</v>
      </c>
    </row>
    <row r="630" spans="1:10" x14ac:dyDescent="0.25">
      <c r="A630" s="1">
        <v>29</v>
      </c>
      <c r="B630" t="s">
        <v>28</v>
      </c>
      <c r="C630">
        <v>635</v>
      </c>
      <c r="D630">
        <v>1</v>
      </c>
      <c r="E630" t="s">
        <v>29</v>
      </c>
      <c r="F630" t="s">
        <v>30</v>
      </c>
      <c r="G630" t="str">
        <f>"2026-03-22 22:36:04.717"</f>
        <v>2026-03-22 22:36:04.717</v>
      </c>
      <c r="H630" t="s">
        <v>21</v>
      </c>
    </row>
    <row r="631" spans="1:10" x14ac:dyDescent="0.25">
      <c r="A631" s="1">
        <v>30</v>
      </c>
      <c r="B631" t="s">
        <v>31</v>
      </c>
      <c r="C631">
        <v>635</v>
      </c>
      <c r="D631">
        <v>1</v>
      </c>
      <c r="E631" t="s">
        <v>29</v>
      </c>
      <c r="F631" t="s">
        <v>30</v>
      </c>
      <c r="G631" t="str">
        <f>"2026-03-22 22:28:57.718"</f>
        <v>2026-03-22 22:28:57.718</v>
      </c>
      <c r="H631" t="s">
        <v>21</v>
      </c>
      <c r="I631">
        <v>3.63</v>
      </c>
      <c r="J631" t="s">
        <v>32</v>
      </c>
    </row>
    <row r="632" spans="1:10" x14ac:dyDescent="0.25">
      <c r="A632" s="1">
        <v>31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"2026-03-22 13:05:11.537"</f>
        <v>2026-03-22 13:05:11.537</v>
      </c>
      <c r="H632" t="s">
        <v>21</v>
      </c>
      <c r="I632">
        <v>0</v>
      </c>
      <c r="J632" t="s">
        <v>22</v>
      </c>
    </row>
    <row r="633" spans="1:10" x14ac:dyDescent="0.25">
      <c r="A633" s="1">
        <v>32</v>
      </c>
      <c r="B633" t="s">
        <v>28</v>
      </c>
      <c r="C633">
        <v>619</v>
      </c>
      <c r="D633">
        <v>1</v>
      </c>
      <c r="E633" t="s">
        <v>43</v>
      </c>
      <c r="F633" t="s">
        <v>30</v>
      </c>
      <c r="G633" t="str">
        <f>"2026-03-22 13:04:20.197"</f>
        <v>2026-03-22 13:04:20.197</v>
      </c>
      <c r="H633" t="s">
        <v>44</v>
      </c>
    </row>
    <row r="634" spans="1:10" x14ac:dyDescent="0.25">
      <c r="A634" s="1">
        <v>33</v>
      </c>
      <c r="B634" t="s">
        <v>31</v>
      </c>
      <c r="C634">
        <v>619</v>
      </c>
      <c r="D634">
        <v>1</v>
      </c>
      <c r="E634" t="s">
        <v>43</v>
      </c>
      <c r="F634" t="s">
        <v>30</v>
      </c>
      <c r="G634" t="str">
        <f>"2026-03-22 13:04:13.544"</f>
        <v>2026-03-22 13:04:13.544</v>
      </c>
      <c r="H634" t="s">
        <v>44</v>
      </c>
      <c r="I634">
        <v>0</v>
      </c>
      <c r="J634" t="s">
        <v>36</v>
      </c>
    </row>
    <row r="635" spans="1:10" x14ac:dyDescent="0.25">
      <c r="A635" s="1">
        <v>34</v>
      </c>
      <c r="B635" t="s">
        <v>28</v>
      </c>
      <c r="C635">
        <v>635</v>
      </c>
      <c r="D635">
        <v>1</v>
      </c>
      <c r="E635" t="s">
        <v>29</v>
      </c>
      <c r="F635" t="s">
        <v>30</v>
      </c>
      <c r="G635" t="str">
        <f>"2026-03-21 20:39:08.697"</f>
        <v>2026-03-21 20:39:08.697</v>
      </c>
      <c r="H635" t="s">
        <v>21</v>
      </c>
    </row>
    <row r="636" spans="1:10" x14ac:dyDescent="0.25">
      <c r="A636" s="1">
        <v>35</v>
      </c>
      <c r="B636" t="s">
        <v>31</v>
      </c>
      <c r="C636">
        <v>635</v>
      </c>
      <c r="D636">
        <v>1</v>
      </c>
      <c r="E636" t="s">
        <v>29</v>
      </c>
      <c r="F636" t="s">
        <v>30</v>
      </c>
      <c r="G636" t="str">
        <f>"2026-03-21 20:36:45.197"</f>
        <v>2026-03-21 20:36:45.197</v>
      </c>
      <c r="H636" t="s">
        <v>21</v>
      </c>
      <c r="I636">
        <v>5.23</v>
      </c>
      <c r="J636" t="s">
        <v>32</v>
      </c>
    </row>
    <row r="637" spans="1:10" x14ac:dyDescent="0.25">
      <c r="A637" s="1">
        <v>36</v>
      </c>
      <c r="B637" t="s">
        <v>28</v>
      </c>
      <c r="C637">
        <v>635</v>
      </c>
      <c r="D637">
        <v>1</v>
      </c>
      <c r="E637" t="s">
        <v>29</v>
      </c>
      <c r="F637" t="s">
        <v>30</v>
      </c>
      <c r="G637" t="str">
        <f>"2026-03-21 19:57:22.797"</f>
        <v>2026-03-21 19:57:22.797</v>
      </c>
      <c r="H637" t="s">
        <v>21</v>
      </c>
    </row>
    <row r="638" spans="1:10" x14ac:dyDescent="0.25">
      <c r="A638" s="1">
        <v>37</v>
      </c>
      <c r="B638" t="s">
        <v>31</v>
      </c>
      <c r="C638">
        <v>635</v>
      </c>
      <c r="D638">
        <v>1</v>
      </c>
      <c r="E638" t="s">
        <v>29</v>
      </c>
      <c r="F638" t="s">
        <v>30</v>
      </c>
      <c r="G638" t="str">
        <f>"2026-03-21 19:53:53.797"</f>
        <v>2026-03-21 19:53:53.797</v>
      </c>
      <c r="H638" t="s">
        <v>21</v>
      </c>
      <c r="I638">
        <v>5.56</v>
      </c>
      <c r="J638" t="s">
        <v>32</v>
      </c>
    </row>
    <row r="639" spans="1:10" x14ac:dyDescent="0.25">
      <c r="A639" s="1">
        <v>38</v>
      </c>
      <c r="B639" t="s">
        <v>28</v>
      </c>
      <c r="C639">
        <v>635</v>
      </c>
      <c r="D639">
        <v>1</v>
      </c>
      <c r="E639" t="s">
        <v>29</v>
      </c>
      <c r="F639" t="s">
        <v>30</v>
      </c>
      <c r="G639" t="str">
        <f>"2026-03-21 14:35:50.497"</f>
        <v>2026-03-21 14:35:50.497</v>
      </c>
      <c r="H639" t="s">
        <v>21</v>
      </c>
    </row>
    <row r="640" spans="1:10" x14ac:dyDescent="0.25">
      <c r="A640" s="1">
        <v>39</v>
      </c>
      <c r="B640" t="s">
        <v>31</v>
      </c>
      <c r="C640">
        <v>635</v>
      </c>
      <c r="D640">
        <v>1</v>
      </c>
      <c r="E640" t="s">
        <v>29</v>
      </c>
      <c r="F640" t="s">
        <v>30</v>
      </c>
      <c r="G640" t="str">
        <f>"2026-03-21 14:32:09.497"</f>
        <v>2026-03-21 14:32:09.497</v>
      </c>
      <c r="H640" t="s">
        <v>21</v>
      </c>
      <c r="I640">
        <v>3.47</v>
      </c>
      <c r="J640" t="s">
        <v>32</v>
      </c>
    </row>
    <row r="641" spans="1:10" x14ac:dyDescent="0.25">
      <c r="A641" s="1">
        <v>40</v>
      </c>
      <c r="B641" t="s">
        <v>19</v>
      </c>
      <c r="C641">
        <v>706</v>
      </c>
      <c r="D641">
        <v>4</v>
      </c>
      <c r="E641" t="s">
        <v>39</v>
      </c>
      <c r="F641" t="s">
        <v>40</v>
      </c>
      <c r="G641" t="str">
        <f>"2026-03-21 11:17:37.066"</f>
        <v>2026-03-21 11:17:37.066</v>
      </c>
      <c r="H641" t="s">
        <v>21</v>
      </c>
      <c r="I641">
        <v>0</v>
      </c>
      <c r="J641" t="s">
        <v>27</v>
      </c>
    </row>
    <row r="642" spans="1:10" x14ac:dyDescent="0.25">
      <c r="A642" s="1">
        <v>41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"2026-03-21 11:16:54.516"</f>
        <v>2026-03-21 11:16:54.516</v>
      </c>
      <c r="H642" t="s">
        <v>21</v>
      </c>
      <c r="I642">
        <v>0</v>
      </c>
      <c r="J642" t="s">
        <v>22</v>
      </c>
    </row>
    <row r="643" spans="1:10" x14ac:dyDescent="0.25">
      <c r="A643" s="1">
        <v>42</v>
      </c>
      <c r="B643" t="s">
        <v>19</v>
      </c>
      <c r="C643">
        <v>706</v>
      </c>
      <c r="D643">
        <v>4</v>
      </c>
      <c r="E643" t="s">
        <v>39</v>
      </c>
      <c r="F643" t="s">
        <v>40</v>
      </c>
      <c r="G643" t="str">
        <f>"2026-03-21 11:03:03.071"</f>
        <v>2026-03-21 11:03:03.071</v>
      </c>
      <c r="H643" t="s">
        <v>21</v>
      </c>
      <c r="I643">
        <v>0</v>
      </c>
      <c r="J643" t="s">
        <v>27</v>
      </c>
    </row>
    <row r="644" spans="1:10" x14ac:dyDescent="0.25">
      <c r="A644" s="1">
        <v>43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"2026-03-21 10:57:47.511"</f>
        <v>2026-03-21 10:57:47.511</v>
      </c>
      <c r="H644" t="s">
        <v>21</v>
      </c>
    </row>
    <row r="645" spans="1:10" x14ac:dyDescent="0.25">
      <c r="A645" s="1">
        <v>44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"2026-03-21 10:49:17.527"</f>
        <v>2026-03-21 10:49:17.527</v>
      </c>
      <c r="H645" t="s">
        <v>21</v>
      </c>
    </row>
    <row r="646" spans="1:10" x14ac:dyDescent="0.25">
      <c r="A646" s="1">
        <v>45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"2026-03-21 09:17:57.529"</f>
        <v>2026-03-21 09:17:57.529</v>
      </c>
      <c r="H646" t="s">
        <v>21</v>
      </c>
      <c r="I646">
        <v>0</v>
      </c>
      <c r="J646" t="s">
        <v>22</v>
      </c>
    </row>
    <row r="647" spans="1:10" x14ac:dyDescent="0.25">
      <c r="A647" s="1">
        <v>46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"2026-03-21 08:34:38.530"</f>
        <v>2026-03-21 08:34:38.530</v>
      </c>
      <c r="H647" t="s">
        <v>21</v>
      </c>
      <c r="I647">
        <v>0</v>
      </c>
      <c r="J647" t="s">
        <v>22</v>
      </c>
    </row>
    <row r="648" spans="1:10" x14ac:dyDescent="0.25">
      <c r="A648" s="1">
        <v>47</v>
      </c>
      <c r="B648" t="s">
        <v>28</v>
      </c>
      <c r="C648">
        <v>635</v>
      </c>
      <c r="D648">
        <v>1</v>
      </c>
      <c r="E648" t="s">
        <v>29</v>
      </c>
      <c r="F648" t="s">
        <v>30</v>
      </c>
      <c r="G648" t="str">
        <f>"2026-03-21 03:50:39.001"</f>
        <v>2026-03-21 03:50:39.001</v>
      </c>
      <c r="H648" t="s">
        <v>21</v>
      </c>
    </row>
    <row r="649" spans="1:10" x14ac:dyDescent="0.25">
      <c r="A649" s="1">
        <v>48</v>
      </c>
      <c r="B649" t="s">
        <v>31</v>
      </c>
      <c r="C649">
        <v>635</v>
      </c>
      <c r="D649">
        <v>1</v>
      </c>
      <c r="E649" t="s">
        <v>29</v>
      </c>
      <c r="F649" t="s">
        <v>30</v>
      </c>
      <c r="G649" t="str">
        <f>"2026-03-21 03:43:44.001"</f>
        <v>2026-03-21 03:43:44.001</v>
      </c>
      <c r="H649" t="s">
        <v>21</v>
      </c>
      <c r="I649">
        <v>7.88</v>
      </c>
      <c r="J649" t="s">
        <v>36</v>
      </c>
    </row>
    <row r="650" spans="1:10" x14ac:dyDescent="0.25">
      <c r="A650" s="1">
        <v>49</v>
      </c>
      <c r="B650" t="s">
        <v>28</v>
      </c>
      <c r="C650">
        <v>61</v>
      </c>
      <c r="D650">
        <v>2</v>
      </c>
      <c r="E650" t="s">
        <v>37</v>
      </c>
      <c r="F650" t="s">
        <v>38</v>
      </c>
      <c r="G650" t="str">
        <f>"2026-03-20 23:24:09.214"</f>
        <v>2026-03-20 23:24:09.214</v>
      </c>
      <c r="H650" t="s">
        <v>21</v>
      </c>
    </row>
    <row r="651" spans="1:10" x14ac:dyDescent="0.25">
      <c r="A651" s="1">
        <v>50</v>
      </c>
      <c r="B651" t="s">
        <v>23</v>
      </c>
      <c r="C651">
        <v>61</v>
      </c>
      <c r="D651">
        <v>2</v>
      </c>
      <c r="E651" t="s">
        <v>37</v>
      </c>
      <c r="F651" t="s">
        <v>38</v>
      </c>
      <c r="G651" t="str">
        <f>"2026-03-20 23:24:01.114"</f>
        <v>2026-03-20 23:24:01.114</v>
      </c>
      <c r="H651" t="s">
        <v>21</v>
      </c>
      <c r="I651">
        <v>31.69</v>
      </c>
      <c r="J651" t="s">
        <v>35</v>
      </c>
    </row>
    <row r="652" spans="1:10" x14ac:dyDescent="0.25">
      <c r="A652" s="1">
        <v>51</v>
      </c>
      <c r="B652" t="s">
        <v>28</v>
      </c>
      <c r="C652">
        <v>635</v>
      </c>
      <c r="D652">
        <v>1</v>
      </c>
      <c r="E652" t="s">
        <v>29</v>
      </c>
      <c r="F652" t="s">
        <v>30</v>
      </c>
      <c r="G652" t="str">
        <f>"2026-03-19 00:58:03.201"</f>
        <v>2026-03-19 00:58:03.201</v>
      </c>
      <c r="H652" t="s">
        <v>21</v>
      </c>
    </row>
    <row r="653" spans="1:10" x14ac:dyDescent="0.25">
      <c r="A653" s="1">
        <v>52</v>
      </c>
      <c r="B653" t="s">
        <v>31</v>
      </c>
      <c r="C653">
        <v>635</v>
      </c>
      <c r="D653">
        <v>1</v>
      </c>
      <c r="E653" t="s">
        <v>29</v>
      </c>
      <c r="F653" t="s">
        <v>30</v>
      </c>
      <c r="G653" t="str">
        <f>"2026-03-19 00:54:07.701"</f>
        <v>2026-03-19 00:54:07.701</v>
      </c>
      <c r="H653" t="s">
        <v>21</v>
      </c>
      <c r="I653">
        <v>3.5</v>
      </c>
      <c r="J653" t="s">
        <v>36</v>
      </c>
    </row>
    <row r="654" spans="1:10" x14ac:dyDescent="0.25">
      <c r="A654" s="1">
        <v>53</v>
      </c>
      <c r="B654" t="s">
        <v>28</v>
      </c>
      <c r="C654">
        <v>61</v>
      </c>
      <c r="D654">
        <v>2</v>
      </c>
      <c r="E654" t="s">
        <v>37</v>
      </c>
      <c r="F654" t="s">
        <v>38</v>
      </c>
      <c r="G654" t="str">
        <f>"2026-03-18 14:50:23.914"</f>
        <v>2026-03-18 14:50:23.914</v>
      </c>
      <c r="H654" t="s">
        <v>21</v>
      </c>
    </row>
    <row r="655" spans="1:10" x14ac:dyDescent="0.25">
      <c r="A655" s="1">
        <v>54</v>
      </c>
      <c r="B655" t="s">
        <v>23</v>
      </c>
      <c r="C655">
        <v>61</v>
      </c>
      <c r="D655">
        <v>2</v>
      </c>
      <c r="E655" t="s">
        <v>37</v>
      </c>
      <c r="F655" t="s">
        <v>38</v>
      </c>
      <c r="G655" t="str">
        <f>"2026-03-18 14:50:18.714"</f>
        <v>2026-03-18 14:50:18.714</v>
      </c>
      <c r="H655" t="s">
        <v>21</v>
      </c>
      <c r="I655">
        <v>30.31</v>
      </c>
      <c r="J655" t="s">
        <v>35</v>
      </c>
    </row>
    <row r="656" spans="1:10" x14ac:dyDescent="0.25">
      <c r="A656" s="1">
        <v>55</v>
      </c>
      <c r="B656" t="s">
        <v>28</v>
      </c>
      <c r="C656">
        <v>61</v>
      </c>
      <c r="D656">
        <v>2</v>
      </c>
      <c r="E656" t="s">
        <v>37</v>
      </c>
      <c r="F656" t="s">
        <v>38</v>
      </c>
      <c r="G656" t="str">
        <f>"2026-03-18 14:30:44.914"</f>
        <v>2026-03-18 14:30:44.914</v>
      </c>
      <c r="H656" t="s">
        <v>21</v>
      </c>
    </row>
    <row r="657" spans="1:10" x14ac:dyDescent="0.25">
      <c r="A657" s="1">
        <v>56</v>
      </c>
      <c r="B657" t="s">
        <v>23</v>
      </c>
      <c r="C657">
        <v>61</v>
      </c>
      <c r="D657">
        <v>2</v>
      </c>
      <c r="E657" t="s">
        <v>37</v>
      </c>
      <c r="F657" t="s">
        <v>38</v>
      </c>
      <c r="G657" t="str">
        <f>"2026-03-18 14:30:35.014"</f>
        <v>2026-03-18 14:30:35.014</v>
      </c>
      <c r="H657" t="s">
        <v>21</v>
      </c>
      <c r="I657">
        <v>31.87</v>
      </c>
      <c r="J657" t="s">
        <v>35</v>
      </c>
    </row>
    <row r="658" spans="1:10" x14ac:dyDescent="0.25">
      <c r="A658" s="1">
        <v>57</v>
      </c>
      <c r="B658" t="s">
        <v>28</v>
      </c>
      <c r="C658">
        <v>61</v>
      </c>
      <c r="D658">
        <v>2</v>
      </c>
      <c r="E658" t="s">
        <v>37</v>
      </c>
      <c r="F658" t="s">
        <v>38</v>
      </c>
      <c r="G658" t="str">
        <f>"2026-03-18 14:05:58.214"</f>
        <v>2026-03-18 14:05:58.214</v>
      </c>
      <c r="H658" t="s">
        <v>21</v>
      </c>
    </row>
    <row r="659" spans="1:10" x14ac:dyDescent="0.25">
      <c r="A659" s="1">
        <v>58</v>
      </c>
      <c r="B659" t="s">
        <v>23</v>
      </c>
      <c r="C659">
        <v>61</v>
      </c>
      <c r="D659">
        <v>2</v>
      </c>
      <c r="E659" t="s">
        <v>37</v>
      </c>
      <c r="F659" t="s">
        <v>38</v>
      </c>
      <c r="G659" t="str">
        <f>"2026-03-18 14:05:47.614"</f>
        <v>2026-03-18 14:05:47.614</v>
      </c>
      <c r="H659" t="s">
        <v>21</v>
      </c>
      <c r="I659">
        <v>31.39</v>
      </c>
      <c r="J659" t="s">
        <v>35</v>
      </c>
    </row>
    <row r="660" spans="1:10" s="3" customFormat="1" x14ac:dyDescent="0.25">
      <c r="A660" s="2">
        <v>59</v>
      </c>
      <c r="B660" s="3" t="s">
        <v>28</v>
      </c>
      <c r="C660" s="3">
        <v>647</v>
      </c>
      <c r="D660" s="3">
        <v>1</v>
      </c>
      <c r="E660" s="3" t="s">
        <v>33</v>
      </c>
      <c r="F660" s="3" t="s">
        <v>34</v>
      </c>
      <c r="G660" s="3" t="str">
        <f>"2026-03-18 13:57:00.302"</f>
        <v>2026-03-18 13:57:00.302</v>
      </c>
      <c r="H660" s="3" t="s">
        <v>21</v>
      </c>
    </row>
    <row r="661" spans="1:10" s="3" customFormat="1" x14ac:dyDescent="0.25">
      <c r="A661" s="2">
        <v>60</v>
      </c>
      <c r="B661" s="3" t="s">
        <v>31</v>
      </c>
      <c r="C661" s="3">
        <v>647</v>
      </c>
      <c r="D661" s="3">
        <v>1</v>
      </c>
      <c r="E661" s="3" t="s">
        <v>33</v>
      </c>
      <c r="F661" s="3" t="s">
        <v>34</v>
      </c>
      <c r="G661" s="3" t="str">
        <f>"2026-03-18 13:56:55.902"</f>
        <v>2026-03-18 13:56:55.902</v>
      </c>
      <c r="H661" s="3" t="s">
        <v>21</v>
      </c>
      <c r="I661" s="3">
        <v>10.53</v>
      </c>
      <c r="J661" s="3" t="s">
        <v>35</v>
      </c>
    </row>
    <row r="662" spans="1:10" x14ac:dyDescent="0.25">
      <c r="A662" s="1">
        <v>61</v>
      </c>
      <c r="B662" t="s">
        <v>28</v>
      </c>
      <c r="C662">
        <v>61</v>
      </c>
      <c r="D662">
        <v>2</v>
      </c>
      <c r="E662" t="s">
        <v>37</v>
      </c>
      <c r="F662" t="s">
        <v>38</v>
      </c>
      <c r="G662" t="str">
        <f>"2026-03-18 13:50:43.913"</f>
        <v>2026-03-18 13:50:43.913</v>
      </c>
      <c r="H662" t="s">
        <v>21</v>
      </c>
    </row>
    <row r="663" spans="1:10" x14ac:dyDescent="0.25">
      <c r="A663" s="1">
        <v>62</v>
      </c>
      <c r="B663" t="s">
        <v>23</v>
      </c>
      <c r="C663">
        <v>61</v>
      </c>
      <c r="D663">
        <v>2</v>
      </c>
      <c r="E663" t="s">
        <v>37</v>
      </c>
      <c r="F663" t="s">
        <v>38</v>
      </c>
      <c r="G663" t="str">
        <f>"2026-03-18 13:50:36.514"</f>
        <v>2026-03-18 13:50:36.514</v>
      </c>
      <c r="H663" t="s">
        <v>21</v>
      </c>
      <c r="I663">
        <v>31.05</v>
      </c>
      <c r="J663" t="s">
        <v>35</v>
      </c>
    </row>
    <row r="664" spans="1:10" x14ac:dyDescent="0.25">
      <c r="A664" s="1">
        <v>63</v>
      </c>
      <c r="B664" t="s">
        <v>28</v>
      </c>
      <c r="C664">
        <v>61</v>
      </c>
      <c r="D664">
        <v>2</v>
      </c>
      <c r="E664" t="s">
        <v>37</v>
      </c>
      <c r="F664" t="s">
        <v>38</v>
      </c>
      <c r="G664" t="str">
        <f>"2026-03-18 13:37:23.114"</f>
        <v>2026-03-18 13:37:23.114</v>
      </c>
      <c r="H664" t="s">
        <v>21</v>
      </c>
    </row>
    <row r="665" spans="1:10" x14ac:dyDescent="0.25">
      <c r="A665" s="1">
        <v>64</v>
      </c>
      <c r="B665" t="s">
        <v>23</v>
      </c>
      <c r="C665">
        <v>61</v>
      </c>
      <c r="D665">
        <v>2</v>
      </c>
      <c r="E665" t="s">
        <v>37</v>
      </c>
      <c r="F665" t="s">
        <v>38</v>
      </c>
      <c r="G665" t="str">
        <f>"2026-03-18 13:37:14.214"</f>
        <v>2026-03-18 13:37:14.214</v>
      </c>
      <c r="H665" t="s">
        <v>21</v>
      </c>
      <c r="I665">
        <v>31.68</v>
      </c>
      <c r="J665" t="s">
        <v>35</v>
      </c>
    </row>
    <row r="666" spans="1:10" x14ac:dyDescent="0.25">
      <c r="A666" s="1">
        <v>65</v>
      </c>
      <c r="B666" t="s">
        <v>28</v>
      </c>
      <c r="C666">
        <v>635</v>
      </c>
      <c r="D666">
        <v>1</v>
      </c>
      <c r="E666" t="s">
        <v>29</v>
      </c>
      <c r="F666" t="s">
        <v>30</v>
      </c>
      <c r="G666" t="str">
        <f>"2026-03-18 13:30:51.701"</f>
        <v>2026-03-18 13:30:51.701</v>
      </c>
      <c r="H666" t="s">
        <v>21</v>
      </c>
    </row>
    <row r="667" spans="1:10" x14ac:dyDescent="0.25">
      <c r="A667" s="1">
        <v>66</v>
      </c>
      <c r="B667" t="s">
        <v>31</v>
      </c>
      <c r="C667">
        <v>635</v>
      </c>
      <c r="D667">
        <v>1</v>
      </c>
      <c r="E667" t="s">
        <v>29</v>
      </c>
      <c r="F667" t="s">
        <v>30</v>
      </c>
      <c r="G667" t="str">
        <f>"2026-03-18 13:27:32.201"</f>
        <v>2026-03-18 13:27:32.201</v>
      </c>
      <c r="H667" t="s">
        <v>21</v>
      </c>
      <c r="I667">
        <v>0</v>
      </c>
      <c r="J667" t="s">
        <v>36</v>
      </c>
    </row>
    <row r="668" spans="1:10" x14ac:dyDescent="0.25">
      <c r="A668" s="1">
        <v>67</v>
      </c>
      <c r="B668" t="s">
        <v>28</v>
      </c>
      <c r="C668">
        <v>61</v>
      </c>
      <c r="D668">
        <v>2</v>
      </c>
      <c r="E668" t="s">
        <v>37</v>
      </c>
      <c r="F668" t="s">
        <v>38</v>
      </c>
      <c r="G668" t="str">
        <f>"2026-03-18 13:04:15.214"</f>
        <v>2026-03-18 13:04:15.214</v>
      </c>
      <c r="H668" t="s">
        <v>21</v>
      </c>
    </row>
    <row r="669" spans="1:10" x14ac:dyDescent="0.25">
      <c r="A669" s="1">
        <v>68</v>
      </c>
      <c r="B669" t="s">
        <v>23</v>
      </c>
      <c r="C669">
        <v>61</v>
      </c>
      <c r="D669">
        <v>2</v>
      </c>
      <c r="E669" t="s">
        <v>37</v>
      </c>
      <c r="F669" t="s">
        <v>38</v>
      </c>
      <c r="G669" t="str">
        <f>"2026-03-18 13:04:08.414"</f>
        <v>2026-03-18 13:04:08.414</v>
      </c>
      <c r="H669" t="s">
        <v>21</v>
      </c>
      <c r="I669">
        <v>30.88</v>
      </c>
      <c r="J669" t="s">
        <v>35</v>
      </c>
    </row>
    <row r="670" spans="1:10" x14ac:dyDescent="0.25">
      <c r="A670" s="1">
        <v>69</v>
      </c>
      <c r="B670" t="s">
        <v>28</v>
      </c>
      <c r="C670">
        <v>635</v>
      </c>
      <c r="D670">
        <v>1</v>
      </c>
      <c r="E670" t="s">
        <v>29</v>
      </c>
      <c r="F670" t="s">
        <v>30</v>
      </c>
      <c r="G670" t="str">
        <f>"2026-03-18 10:22:02.601"</f>
        <v>2026-03-18 10:22:02.601</v>
      </c>
      <c r="H670" t="s">
        <v>21</v>
      </c>
    </row>
    <row r="671" spans="1:10" x14ac:dyDescent="0.25">
      <c r="A671" s="1">
        <v>70</v>
      </c>
      <c r="B671" t="s">
        <v>31</v>
      </c>
      <c r="C671">
        <v>635</v>
      </c>
      <c r="D671">
        <v>1</v>
      </c>
      <c r="E671" t="s">
        <v>29</v>
      </c>
      <c r="F671" t="s">
        <v>30</v>
      </c>
      <c r="G671" t="str">
        <f>"2026-03-18 10:18:52.602"</f>
        <v>2026-03-18 10:18:52.602</v>
      </c>
      <c r="H671" t="s">
        <v>21</v>
      </c>
      <c r="I671">
        <v>5.0199999999999996</v>
      </c>
      <c r="J671" t="s">
        <v>36</v>
      </c>
    </row>
    <row r="672" spans="1:10" x14ac:dyDescent="0.25">
      <c r="A672" s="1">
        <v>71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"2026-03-16 13:30:54.511"</f>
        <v>2026-03-16 13:30:54.511</v>
      </c>
      <c r="H672" t="s">
        <v>21</v>
      </c>
      <c r="I672">
        <v>0</v>
      </c>
      <c r="J672" t="s">
        <v>22</v>
      </c>
    </row>
    <row r="673" spans="1:10" s="3" customFormat="1" x14ac:dyDescent="0.25">
      <c r="A673" s="2">
        <v>72</v>
      </c>
      <c r="B673" s="3" t="s">
        <v>28</v>
      </c>
      <c r="C673" s="3">
        <v>647</v>
      </c>
      <c r="D673" s="3">
        <v>1</v>
      </c>
      <c r="E673" s="3" t="s">
        <v>33</v>
      </c>
      <c r="F673" s="3" t="s">
        <v>34</v>
      </c>
      <c r="G673" s="3" t="str">
        <f>"2026-03-16 12:06:41.149"</f>
        <v>2026-03-16 12:06:41.149</v>
      </c>
      <c r="H673" s="3" t="s">
        <v>21</v>
      </c>
    </row>
    <row r="674" spans="1:10" s="3" customFormat="1" x14ac:dyDescent="0.25">
      <c r="A674" s="2">
        <v>73</v>
      </c>
      <c r="B674" s="3" t="s">
        <v>31</v>
      </c>
      <c r="C674" s="3">
        <v>647</v>
      </c>
      <c r="D674" s="3">
        <v>1</v>
      </c>
      <c r="E674" s="3" t="s">
        <v>33</v>
      </c>
      <c r="F674" s="3" t="s">
        <v>34</v>
      </c>
      <c r="G674" s="3" t="str">
        <f>"2026-03-16 12:06:38.249"</f>
        <v>2026-03-16 12:06:38.249</v>
      </c>
      <c r="H674" s="3" t="s">
        <v>21</v>
      </c>
      <c r="I674" s="3">
        <v>14.07</v>
      </c>
      <c r="J674" s="3" t="s">
        <v>35</v>
      </c>
    </row>
    <row r="675" spans="1:10" x14ac:dyDescent="0.25">
      <c r="A675" s="1">
        <v>74</v>
      </c>
      <c r="B675" t="s">
        <v>28</v>
      </c>
      <c r="C675">
        <v>61</v>
      </c>
      <c r="D675">
        <v>2</v>
      </c>
      <c r="E675" t="s">
        <v>37</v>
      </c>
      <c r="F675" t="s">
        <v>38</v>
      </c>
      <c r="G675" t="str">
        <f>"2026-03-16 11:53:11.669"</f>
        <v>2026-03-16 11:53:11.669</v>
      </c>
      <c r="H675" t="s">
        <v>21</v>
      </c>
    </row>
    <row r="676" spans="1:10" x14ac:dyDescent="0.25">
      <c r="A676" s="1">
        <v>75</v>
      </c>
      <c r="B676" t="s">
        <v>23</v>
      </c>
      <c r="C676">
        <v>61</v>
      </c>
      <c r="D676">
        <v>2</v>
      </c>
      <c r="E676" t="s">
        <v>37</v>
      </c>
      <c r="F676" t="s">
        <v>38</v>
      </c>
      <c r="G676" t="str">
        <f>"2026-03-16 11:52:40.569"</f>
        <v>2026-03-16 11:52:40.569</v>
      </c>
      <c r="H676" t="s">
        <v>21</v>
      </c>
      <c r="I676">
        <v>30.34</v>
      </c>
      <c r="J676" t="s">
        <v>35</v>
      </c>
    </row>
    <row r="677" spans="1:10" x14ac:dyDescent="0.25">
      <c r="A677" s="1">
        <v>76</v>
      </c>
      <c r="B677" t="s">
        <v>28</v>
      </c>
      <c r="C677">
        <v>61</v>
      </c>
      <c r="D677">
        <v>2</v>
      </c>
      <c r="E677" t="s">
        <v>37</v>
      </c>
      <c r="F677" t="s">
        <v>38</v>
      </c>
      <c r="G677" t="str">
        <f>"2026-03-16 11:18:36.869"</f>
        <v>2026-03-16 11:18:36.869</v>
      </c>
      <c r="H677" t="s">
        <v>21</v>
      </c>
    </row>
    <row r="678" spans="1:10" x14ac:dyDescent="0.25">
      <c r="A678" s="1">
        <v>77</v>
      </c>
      <c r="B678" t="s">
        <v>23</v>
      </c>
      <c r="C678">
        <v>61</v>
      </c>
      <c r="D678">
        <v>2</v>
      </c>
      <c r="E678" t="s">
        <v>37</v>
      </c>
      <c r="F678" t="s">
        <v>38</v>
      </c>
      <c r="G678" t="str">
        <f>"2026-03-16 11:18:06.369"</f>
        <v>2026-03-16 11:18:06.369</v>
      </c>
      <c r="H678" t="s">
        <v>21</v>
      </c>
      <c r="I678">
        <v>30.13</v>
      </c>
      <c r="J678" t="s">
        <v>35</v>
      </c>
    </row>
    <row r="679" spans="1:10" x14ac:dyDescent="0.25">
      <c r="A679" s="1">
        <v>78</v>
      </c>
      <c r="B679" t="s">
        <v>28</v>
      </c>
      <c r="C679">
        <v>61</v>
      </c>
      <c r="D679">
        <v>2</v>
      </c>
      <c r="E679" t="s">
        <v>37</v>
      </c>
      <c r="F679" t="s">
        <v>38</v>
      </c>
      <c r="G679" t="str">
        <f>"2026-03-16 09:11:00.869"</f>
        <v>2026-03-16 09:11:00.869</v>
      </c>
      <c r="H679" t="s">
        <v>21</v>
      </c>
    </row>
    <row r="680" spans="1:10" x14ac:dyDescent="0.25">
      <c r="A680" s="1">
        <v>79</v>
      </c>
      <c r="B680" t="s">
        <v>23</v>
      </c>
      <c r="C680">
        <v>61</v>
      </c>
      <c r="D680">
        <v>2</v>
      </c>
      <c r="E680" t="s">
        <v>37</v>
      </c>
      <c r="F680" t="s">
        <v>38</v>
      </c>
      <c r="G680" t="str">
        <f>"2026-03-16 09:10:41.869"</f>
        <v>2026-03-16 09:10:41.869</v>
      </c>
      <c r="H680" t="s">
        <v>21</v>
      </c>
      <c r="I680">
        <v>30.27</v>
      </c>
      <c r="J680" t="s">
        <v>35</v>
      </c>
    </row>
    <row r="681" spans="1:10" x14ac:dyDescent="0.25">
      <c r="A681" s="1">
        <v>80</v>
      </c>
      <c r="B681" t="s">
        <v>28</v>
      </c>
      <c r="C681">
        <v>635</v>
      </c>
      <c r="D681">
        <v>1</v>
      </c>
      <c r="E681" t="s">
        <v>29</v>
      </c>
      <c r="F681" t="s">
        <v>30</v>
      </c>
      <c r="G681" t="str">
        <f>"2026-03-16 02:57:22.048"</f>
        <v>2026-03-16 02:57:22.048</v>
      </c>
      <c r="H681" t="s">
        <v>21</v>
      </c>
    </row>
    <row r="682" spans="1:10" x14ac:dyDescent="0.25">
      <c r="A682" s="1">
        <v>81</v>
      </c>
      <c r="B682" t="s">
        <v>31</v>
      </c>
      <c r="C682">
        <v>635</v>
      </c>
      <c r="D682">
        <v>1</v>
      </c>
      <c r="E682" t="s">
        <v>29</v>
      </c>
      <c r="F682" t="s">
        <v>30</v>
      </c>
      <c r="G682" t="str">
        <f>"2026-03-16 02:53:39.549"</f>
        <v>2026-03-16 02:53:39.549</v>
      </c>
      <c r="H682" t="s">
        <v>21</v>
      </c>
      <c r="I682">
        <v>2.63</v>
      </c>
      <c r="J682" t="s">
        <v>32</v>
      </c>
    </row>
    <row r="683" spans="1:10" x14ac:dyDescent="0.25">
      <c r="A683" s="1">
        <v>82</v>
      </c>
      <c r="B683" t="s">
        <v>28</v>
      </c>
      <c r="C683">
        <v>61</v>
      </c>
      <c r="D683">
        <v>2</v>
      </c>
      <c r="E683" t="s">
        <v>37</v>
      </c>
      <c r="F683" t="s">
        <v>38</v>
      </c>
      <c r="G683" t="str">
        <f>"2026-03-14 19:30:07.769"</f>
        <v>2026-03-14 19:30:07.769</v>
      </c>
      <c r="H683" t="s">
        <v>21</v>
      </c>
    </row>
    <row r="684" spans="1:10" x14ac:dyDescent="0.25">
      <c r="A684" s="1">
        <v>83</v>
      </c>
      <c r="B684" t="s">
        <v>23</v>
      </c>
      <c r="C684">
        <v>61</v>
      </c>
      <c r="D684">
        <v>2</v>
      </c>
      <c r="E684" t="s">
        <v>37</v>
      </c>
      <c r="F684" t="s">
        <v>38</v>
      </c>
      <c r="G684" t="str">
        <f>"2026-03-14 19:29:36.269"</f>
        <v>2026-03-14 19:29:36.269</v>
      </c>
      <c r="H684" t="s">
        <v>21</v>
      </c>
      <c r="I684">
        <v>30.22</v>
      </c>
      <c r="J684" t="s">
        <v>35</v>
      </c>
    </row>
    <row r="685" spans="1:10" x14ac:dyDescent="0.25">
      <c r="A685" s="1">
        <v>84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"2026-03-13 21:22:56.493"</f>
        <v>2026-03-13 21:22:56.493</v>
      </c>
      <c r="H685" t="s">
        <v>21</v>
      </c>
    </row>
    <row r="686" spans="1:10" x14ac:dyDescent="0.25">
      <c r="A686" s="1">
        <v>85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"2026-03-13 21:17:40.498"</f>
        <v>2026-03-13 21:17:40.498</v>
      </c>
      <c r="H686" t="s">
        <v>21</v>
      </c>
      <c r="I686">
        <v>0</v>
      </c>
      <c r="J686" t="s">
        <v>22</v>
      </c>
    </row>
    <row r="687" spans="1:10" x14ac:dyDescent="0.25">
      <c r="A687" s="1">
        <v>86</v>
      </c>
      <c r="B687" t="s">
        <v>28</v>
      </c>
      <c r="C687">
        <v>635</v>
      </c>
      <c r="D687">
        <v>1</v>
      </c>
      <c r="E687" t="s">
        <v>29</v>
      </c>
      <c r="F687" t="s">
        <v>30</v>
      </c>
      <c r="G687" t="str">
        <f>"2026-03-13 05:36:36.260"</f>
        <v>2026-03-13 05:36:36.260</v>
      </c>
      <c r="H687" t="s">
        <v>21</v>
      </c>
    </row>
    <row r="688" spans="1:10" x14ac:dyDescent="0.25">
      <c r="A688" s="1">
        <v>87</v>
      </c>
      <c r="B688" t="s">
        <v>31</v>
      </c>
      <c r="C688">
        <v>635</v>
      </c>
      <c r="D688">
        <v>1</v>
      </c>
      <c r="E688" t="s">
        <v>29</v>
      </c>
      <c r="F688" t="s">
        <v>30</v>
      </c>
      <c r="G688" t="str">
        <f>"2026-03-13 05:22:39.260"</f>
        <v>2026-03-13 05:22:39.260</v>
      </c>
      <c r="H688" t="s">
        <v>21</v>
      </c>
      <c r="I688">
        <v>8.65</v>
      </c>
      <c r="J688" t="s">
        <v>32</v>
      </c>
    </row>
    <row r="689" spans="1:10" x14ac:dyDescent="0.25">
      <c r="A689" s="1">
        <v>88</v>
      </c>
      <c r="B689" t="s">
        <v>28</v>
      </c>
      <c r="C689">
        <v>61</v>
      </c>
      <c r="D689">
        <v>2</v>
      </c>
      <c r="E689" t="s">
        <v>37</v>
      </c>
      <c r="F689" t="s">
        <v>38</v>
      </c>
      <c r="G689" t="str">
        <f>"2026-03-12 17:10:39.721"</f>
        <v>2026-03-12 17:10:39.721</v>
      </c>
      <c r="H689" t="s">
        <v>21</v>
      </c>
    </row>
    <row r="690" spans="1:10" x14ac:dyDescent="0.25">
      <c r="A690" s="1">
        <v>89</v>
      </c>
      <c r="B690" t="s">
        <v>23</v>
      </c>
      <c r="C690">
        <v>61</v>
      </c>
      <c r="D690">
        <v>2</v>
      </c>
      <c r="E690" t="s">
        <v>37</v>
      </c>
      <c r="F690" t="s">
        <v>38</v>
      </c>
      <c r="G690" t="str">
        <f>"2026-03-12 17:10:09.721"</f>
        <v>2026-03-12 17:10:09.721</v>
      </c>
      <c r="H690" t="s">
        <v>21</v>
      </c>
      <c r="I690">
        <v>30.21</v>
      </c>
      <c r="J690" t="s">
        <v>35</v>
      </c>
    </row>
    <row r="691" spans="1:10" x14ac:dyDescent="0.25">
      <c r="A691" s="1">
        <v>90</v>
      </c>
      <c r="B691" t="s">
        <v>28</v>
      </c>
      <c r="C691">
        <v>635</v>
      </c>
      <c r="D691">
        <v>1</v>
      </c>
      <c r="E691" t="s">
        <v>29</v>
      </c>
      <c r="F691" t="s">
        <v>30</v>
      </c>
      <c r="G691" t="str">
        <f>"2026-03-12 15:20:28.160"</f>
        <v>2026-03-12 15:20:28.160</v>
      </c>
      <c r="H691" t="s">
        <v>21</v>
      </c>
    </row>
    <row r="692" spans="1:10" x14ac:dyDescent="0.25">
      <c r="A692" s="1">
        <v>91</v>
      </c>
      <c r="B692" t="s">
        <v>31</v>
      </c>
      <c r="C692">
        <v>635</v>
      </c>
      <c r="D692">
        <v>1</v>
      </c>
      <c r="E692" t="s">
        <v>29</v>
      </c>
      <c r="F692" t="s">
        <v>30</v>
      </c>
      <c r="G692" t="str">
        <f>"2026-03-12 15:18:22.660"</f>
        <v>2026-03-12 15:18:22.660</v>
      </c>
      <c r="H692" t="s">
        <v>21</v>
      </c>
      <c r="I692">
        <v>2.67</v>
      </c>
      <c r="J692" t="s">
        <v>32</v>
      </c>
    </row>
    <row r="693" spans="1:10" x14ac:dyDescent="0.25">
      <c r="A693" s="1">
        <v>92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"2026-03-12 09:01:13.515"</f>
        <v>2026-03-12 09:01:13.515</v>
      </c>
      <c r="H693" t="s">
        <v>21</v>
      </c>
    </row>
    <row r="694" spans="1:10" s="3" customFormat="1" x14ac:dyDescent="0.25">
      <c r="A694" s="2">
        <v>93</v>
      </c>
      <c r="B694" s="3" t="s">
        <v>28</v>
      </c>
      <c r="C694" s="3">
        <v>647</v>
      </c>
      <c r="D694" s="3">
        <v>1</v>
      </c>
      <c r="E694" s="3" t="s">
        <v>33</v>
      </c>
      <c r="F694" s="3" t="s">
        <v>34</v>
      </c>
      <c r="G694" s="3" t="str">
        <f>"2026-03-12 06:08:57.395"</f>
        <v>2026-03-12 06:08:57.395</v>
      </c>
      <c r="H694" s="3" t="s">
        <v>21</v>
      </c>
    </row>
    <row r="695" spans="1:10" s="3" customFormat="1" x14ac:dyDescent="0.25">
      <c r="A695" s="2">
        <v>94</v>
      </c>
      <c r="B695" s="3" t="s">
        <v>31</v>
      </c>
      <c r="C695" s="3">
        <v>647</v>
      </c>
      <c r="D695" s="3">
        <v>1</v>
      </c>
      <c r="E695" s="3" t="s">
        <v>33</v>
      </c>
      <c r="F695" s="3" t="s">
        <v>34</v>
      </c>
      <c r="G695" s="3" t="str">
        <f>"2026-03-12 06:08:53.395"</f>
        <v>2026-03-12 06:08:53.395</v>
      </c>
      <c r="H695" s="3" t="s">
        <v>21</v>
      </c>
      <c r="I695" s="3">
        <v>8.27</v>
      </c>
      <c r="J695" s="3" t="s">
        <v>35</v>
      </c>
    </row>
    <row r="696" spans="1:10" x14ac:dyDescent="0.25">
      <c r="A696" s="1">
        <v>95</v>
      </c>
      <c r="B696" t="s">
        <v>28</v>
      </c>
      <c r="C696">
        <v>635</v>
      </c>
      <c r="D696">
        <v>1</v>
      </c>
      <c r="E696" t="s">
        <v>29</v>
      </c>
      <c r="F696" t="s">
        <v>30</v>
      </c>
      <c r="G696" t="str">
        <f>"2026-03-11 08:48:41.341"</f>
        <v>2026-03-11 08:48:41.341</v>
      </c>
      <c r="H696" t="s">
        <v>21</v>
      </c>
    </row>
    <row r="697" spans="1:10" x14ac:dyDescent="0.25">
      <c r="A697" s="1">
        <v>96</v>
      </c>
      <c r="B697" t="s">
        <v>31</v>
      </c>
      <c r="C697">
        <v>635</v>
      </c>
      <c r="D697">
        <v>1</v>
      </c>
      <c r="E697" t="s">
        <v>29</v>
      </c>
      <c r="F697" t="s">
        <v>30</v>
      </c>
      <c r="G697" t="str">
        <f>"2026-03-11 08:45:07.342"</f>
        <v>2026-03-11 08:45:07.342</v>
      </c>
      <c r="H697" t="s">
        <v>21</v>
      </c>
      <c r="I697">
        <v>4.5999999999999996</v>
      </c>
      <c r="J697" t="s">
        <v>32</v>
      </c>
    </row>
    <row r="698" spans="1:10" x14ac:dyDescent="0.25">
      <c r="A698" s="1">
        <v>97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"2026-03-11 07:43:02.511"</f>
        <v>2026-03-11 07:43:02.511</v>
      </c>
      <c r="H698" t="s">
        <v>21</v>
      </c>
      <c r="I698">
        <v>0</v>
      </c>
      <c r="J698" t="s">
        <v>22</v>
      </c>
    </row>
    <row r="699" spans="1:10" x14ac:dyDescent="0.25">
      <c r="A699" s="1">
        <v>98</v>
      </c>
      <c r="B699" t="s">
        <v>28</v>
      </c>
      <c r="C699">
        <v>635</v>
      </c>
      <c r="D699">
        <v>1</v>
      </c>
      <c r="E699" t="s">
        <v>29</v>
      </c>
      <c r="F699" t="s">
        <v>30</v>
      </c>
      <c r="G699" t="str">
        <f>"2026-03-11 07:10:34.069"</f>
        <v>2026-03-11 07:10:34.069</v>
      </c>
      <c r="H699" t="s">
        <v>21</v>
      </c>
    </row>
    <row r="700" spans="1:10" x14ac:dyDescent="0.25">
      <c r="A700" s="1">
        <v>99</v>
      </c>
      <c r="B700" t="s">
        <v>31</v>
      </c>
      <c r="C700">
        <v>635</v>
      </c>
      <c r="D700">
        <v>1</v>
      </c>
      <c r="E700" t="s">
        <v>29</v>
      </c>
      <c r="F700" t="s">
        <v>30</v>
      </c>
      <c r="G700" t="str">
        <f>"2026-03-11 07:08:07.070"</f>
        <v>2026-03-11 07:08:07.070</v>
      </c>
      <c r="H700" t="s">
        <v>21</v>
      </c>
      <c r="I700">
        <v>-1.29</v>
      </c>
      <c r="J700" t="s">
        <v>36</v>
      </c>
    </row>
    <row r="701" spans="1:10" x14ac:dyDescent="0.25">
      <c r="A701" s="1">
        <v>0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"2026-03-10 16:59:32.480"</f>
        <v>2026-03-10 16:59:32.480</v>
      </c>
      <c r="H701" t="s">
        <v>21</v>
      </c>
    </row>
    <row r="702" spans="1:10" x14ac:dyDescent="0.25">
      <c r="A702" s="1">
        <v>1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"2026-03-10 15:31:57.510"</f>
        <v>2026-03-10 15:31:57.510</v>
      </c>
      <c r="H702" t="s">
        <v>21</v>
      </c>
      <c r="I702">
        <v>0</v>
      </c>
      <c r="J702" t="s">
        <v>22</v>
      </c>
    </row>
    <row r="703" spans="1:10" x14ac:dyDescent="0.25">
      <c r="A703" s="1">
        <v>2</v>
      </c>
      <c r="B703" t="s">
        <v>19</v>
      </c>
      <c r="C703">
        <v>706</v>
      </c>
      <c r="D703">
        <v>4</v>
      </c>
      <c r="E703" t="s">
        <v>39</v>
      </c>
      <c r="F703" t="s">
        <v>40</v>
      </c>
      <c r="G703" t="str">
        <f>"2026-03-10 15:29:54.989"</f>
        <v>2026-03-10 15:29:54.989</v>
      </c>
      <c r="H703" t="s">
        <v>21</v>
      </c>
      <c r="I703">
        <v>0</v>
      </c>
      <c r="J703" t="s">
        <v>27</v>
      </c>
    </row>
    <row r="704" spans="1:10" x14ac:dyDescent="0.25">
      <c r="A704" s="1">
        <v>3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"2026-03-10 13:45:41.509"</f>
        <v>2026-03-10 13:45:41.509</v>
      </c>
      <c r="H704" t="s">
        <v>21</v>
      </c>
      <c r="I704">
        <v>0</v>
      </c>
      <c r="J704" t="s">
        <v>22</v>
      </c>
    </row>
    <row r="705" spans="1:10" x14ac:dyDescent="0.25">
      <c r="A705" s="1">
        <v>4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"2026-03-10 10:44:31.644"</f>
        <v>2026-03-10 10:44:31.644</v>
      </c>
      <c r="H705" t="s">
        <v>21</v>
      </c>
      <c r="I705">
        <v>0</v>
      </c>
      <c r="J705" t="s">
        <v>22</v>
      </c>
    </row>
    <row r="706" spans="1:10" x14ac:dyDescent="0.25">
      <c r="A706" s="1">
        <v>5</v>
      </c>
      <c r="B706" t="s">
        <v>19</v>
      </c>
      <c r="C706">
        <v>706</v>
      </c>
      <c r="D706">
        <v>4</v>
      </c>
      <c r="E706" t="s">
        <v>39</v>
      </c>
      <c r="F706" t="s">
        <v>40</v>
      </c>
      <c r="G706" t="str">
        <f>"2026-03-10 10:30:32.279"</f>
        <v>2026-03-10 10:30:32.279</v>
      </c>
      <c r="H706" t="s">
        <v>21</v>
      </c>
      <c r="I706">
        <v>0</v>
      </c>
      <c r="J706" t="s">
        <v>27</v>
      </c>
    </row>
    <row r="707" spans="1:10" x14ac:dyDescent="0.25">
      <c r="A707" s="1">
        <v>6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"2026-03-10 10:28:53.729"</f>
        <v>2026-03-10 10:28:53.729</v>
      </c>
      <c r="H707" t="s">
        <v>21</v>
      </c>
    </row>
    <row r="708" spans="1:10" x14ac:dyDescent="0.25">
      <c r="A708" s="1">
        <v>7</v>
      </c>
      <c r="B708" t="s">
        <v>28</v>
      </c>
      <c r="C708">
        <v>635</v>
      </c>
      <c r="D708">
        <v>1</v>
      </c>
      <c r="E708" t="s">
        <v>29</v>
      </c>
      <c r="F708" t="s">
        <v>30</v>
      </c>
      <c r="G708" t="str">
        <f>"2026-03-09 17:50:38.299"</f>
        <v>2026-03-09 17:50:38.299</v>
      </c>
      <c r="H708" t="s">
        <v>21</v>
      </c>
    </row>
    <row r="709" spans="1:10" x14ac:dyDescent="0.25">
      <c r="A709" s="1">
        <v>8</v>
      </c>
      <c r="B709" t="s">
        <v>31</v>
      </c>
      <c r="C709">
        <v>635</v>
      </c>
      <c r="D709">
        <v>1</v>
      </c>
      <c r="E709" t="s">
        <v>29</v>
      </c>
      <c r="F709" t="s">
        <v>30</v>
      </c>
      <c r="G709" t="str">
        <f>"2026-03-09 17:47:07.299"</f>
        <v>2026-03-09 17:47:07.299</v>
      </c>
      <c r="H709" t="s">
        <v>21</v>
      </c>
      <c r="I709">
        <v>3.55</v>
      </c>
      <c r="J709" t="s">
        <v>32</v>
      </c>
    </row>
    <row r="710" spans="1:10" s="3" customFormat="1" x14ac:dyDescent="0.25">
      <c r="A710" s="2">
        <v>9</v>
      </c>
      <c r="B710" s="3" t="s">
        <v>28</v>
      </c>
      <c r="C710" s="3">
        <v>647</v>
      </c>
      <c r="D710" s="3">
        <v>1</v>
      </c>
      <c r="E710" s="3" t="s">
        <v>33</v>
      </c>
      <c r="F710" s="3" t="s">
        <v>34</v>
      </c>
      <c r="G710" s="3" t="str">
        <f>"2026-03-08 10:51:16.099"</f>
        <v>2026-03-08 10:51:16.099</v>
      </c>
      <c r="H710" s="3" t="s">
        <v>21</v>
      </c>
    </row>
    <row r="711" spans="1:10" s="3" customFormat="1" x14ac:dyDescent="0.25">
      <c r="A711" s="2">
        <v>10</v>
      </c>
      <c r="B711" s="3" t="s">
        <v>31</v>
      </c>
      <c r="C711" s="3">
        <v>647</v>
      </c>
      <c r="D711" s="3">
        <v>1</v>
      </c>
      <c r="E711" s="3" t="s">
        <v>33</v>
      </c>
      <c r="F711" s="3" t="s">
        <v>34</v>
      </c>
      <c r="G711" s="3" t="str">
        <f>"2026-03-08 10:51:14.799"</f>
        <v>2026-03-08 10:51:14.799</v>
      </c>
      <c r="H711" s="3" t="s">
        <v>21</v>
      </c>
      <c r="I711" s="3">
        <v>13.12</v>
      </c>
      <c r="J711" s="3" t="s">
        <v>35</v>
      </c>
    </row>
    <row r="712" spans="1:10" x14ac:dyDescent="0.25">
      <c r="A712" s="1">
        <v>11</v>
      </c>
      <c r="B712" t="s">
        <v>28</v>
      </c>
      <c r="C712">
        <v>635</v>
      </c>
      <c r="D712">
        <v>1</v>
      </c>
      <c r="E712" t="s">
        <v>29</v>
      </c>
      <c r="F712" t="s">
        <v>30</v>
      </c>
      <c r="G712" t="str">
        <f>"2026-03-08 06:19:26.399"</f>
        <v>2026-03-08 06:19:26.399</v>
      </c>
      <c r="H712" t="s">
        <v>21</v>
      </c>
    </row>
    <row r="713" spans="1:10" x14ac:dyDescent="0.25">
      <c r="A713" s="1">
        <v>12</v>
      </c>
      <c r="B713" t="s">
        <v>31</v>
      </c>
      <c r="C713">
        <v>635</v>
      </c>
      <c r="D713">
        <v>1</v>
      </c>
      <c r="E713" t="s">
        <v>29</v>
      </c>
      <c r="F713" t="s">
        <v>30</v>
      </c>
      <c r="G713" t="str">
        <f>"2026-03-08 06:07:02.399"</f>
        <v>2026-03-08 06:07:02.399</v>
      </c>
      <c r="H713" t="s">
        <v>21</v>
      </c>
      <c r="I713">
        <v>5.01</v>
      </c>
      <c r="J713" t="s">
        <v>32</v>
      </c>
    </row>
    <row r="714" spans="1:10" x14ac:dyDescent="0.25">
      <c r="A714" s="1">
        <v>13</v>
      </c>
      <c r="B714" t="s">
        <v>28</v>
      </c>
      <c r="C714">
        <v>61</v>
      </c>
      <c r="D714">
        <v>2</v>
      </c>
      <c r="E714" t="s">
        <v>37</v>
      </c>
      <c r="F714" t="s">
        <v>38</v>
      </c>
      <c r="G714" t="str">
        <f>"2026-03-07 16:11:51.512"</f>
        <v>2026-03-07 16:11:51.512</v>
      </c>
      <c r="H714" t="s">
        <v>21</v>
      </c>
    </row>
    <row r="715" spans="1:10" x14ac:dyDescent="0.25">
      <c r="A715" s="1">
        <v>14</v>
      </c>
      <c r="B715" t="s">
        <v>23</v>
      </c>
      <c r="C715">
        <v>61</v>
      </c>
      <c r="D715">
        <v>2</v>
      </c>
      <c r="E715" t="s">
        <v>37</v>
      </c>
      <c r="F715" t="s">
        <v>38</v>
      </c>
      <c r="G715" t="str">
        <f>"2026-03-07 16:11:21.112"</f>
        <v>2026-03-07 16:11:21.112</v>
      </c>
      <c r="H715" t="s">
        <v>21</v>
      </c>
      <c r="I715">
        <v>30.13</v>
      </c>
      <c r="J715" t="s">
        <v>35</v>
      </c>
    </row>
    <row r="716" spans="1:10" x14ac:dyDescent="0.25">
      <c r="A716" s="1">
        <v>15</v>
      </c>
      <c r="B716" t="s">
        <v>28</v>
      </c>
      <c r="C716">
        <v>61</v>
      </c>
      <c r="D716">
        <v>2</v>
      </c>
      <c r="E716" t="s">
        <v>37</v>
      </c>
      <c r="F716" t="s">
        <v>38</v>
      </c>
      <c r="G716" t="str">
        <f>"2026-03-07 12:13:24.912"</f>
        <v>2026-03-07 12:13:24.912</v>
      </c>
      <c r="H716" t="s">
        <v>21</v>
      </c>
    </row>
    <row r="717" spans="1:10" x14ac:dyDescent="0.25">
      <c r="A717" s="1">
        <v>16</v>
      </c>
      <c r="B717" t="s">
        <v>23</v>
      </c>
      <c r="C717">
        <v>61</v>
      </c>
      <c r="D717">
        <v>2</v>
      </c>
      <c r="E717" t="s">
        <v>37</v>
      </c>
      <c r="F717" t="s">
        <v>38</v>
      </c>
      <c r="G717" t="str">
        <f>"2026-03-07 12:12:41.812"</f>
        <v>2026-03-07 12:12:41.812</v>
      </c>
      <c r="H717" t="s">
        <v>21</v>
      </c>
      <c r="I717">
        <v>30.73</v>
      </c>
      <c r="J717" t="s">
        <v>35</v>
      </c>
    </row>
    <row r="718" spans="1:10" x14ac:dyDescent="0.25">
      <c r="A718" s="1">
        <v>17</v>
      </c>
      <c r="B718" t="s">
        <v>28</v>
      </c>
      <c r="C718">
        <v>61</v>
      </c>
      <c r="D718">
        <v>2</v>
      </c>
      <c r="E718" t="s">
        <v>37</v>
      </c>
      <c r="F718" t="s">
        <v>38</v>
      </c>
      <c r="G718" t="str">
        <f>"2026-03-07 10:39:05.012"</f>
        <v>2026-03-07 10:39:05.012</v>
      </c>
      <c r="H718" t="s">
        <v>21</v>
      </c>
    </row>
    <row r="719" spans="1:10" x14ac:dyDescent="0.25">
      <c r="A719" s="1">
        <v>18</v>
      </c>
      <c r="B719" t="s">
        <v>23</v>
      </c>
      <c r="C719">
        <v>61</v>
      </c>
      <c r="D719">
        <v>2</v>
      </c>
      <c r="E719" t="s">
        <v>37</v>
      </c>
      <c r="F719" t="s">
        <v>38</v>
      </c>
      <c r="G719" t="str">
        <f>"2026-03-07 10:38:33.912"</f>
        <v>2026-03-07 10:38:33.912</v>
      </c>
      <c r="H719" t="s">
        <v>21</v>
      </c>
      <c r="I719">
        <v>30.41</v>
      </c>
      <c r="J719" t="s">
        <v>35</v>
      </c>
    </row>
    <row r="720" spans="1:10" x14ac:dyDescent="0.25">
      <c r="A720" s="1">
        <v>19</v>
      </c>
      <c r="B720" t="s">
        <v>28</v>
      </c>
      <c r="C720">
        <v>635</v>
      </c>
      <c r="D720">
        <v>1</v>
      </c>
      <c r="E720" t="s">
        <v>29</v>
      </c>
      <c r="F720" t="s">
        <v>30</v>
      </c>
      <c r="G720" t="str">
        <f>"2026-03-07 10:27:01.899"</f>
        <v>2026-03-07 10:27:01.899</v>
      </c>
      <c r="H720" t="s">
        <v>21</v>
      </c>
    </row>
    <row r="721" spans="1:10" x14ac:dyDescent="0.25">
      <c r="A721" s="1">
        <v>20</v>
      </c>
      <c r="B721" t="s">
        <v>31</v>
      </c>
      <c r="C721">
        <v>635</v>
      </c>
      <c r="D721">
        <v>1</v>
      </c>
      <c r="E721" t="s">
        <v>29</v>
      </c>
      <c r="F721" t="s">
        <v>30</v>
      </c>
      <c r="G721" t="str">
        <f>"2026-03-07 10:23:52.399"</f>
        <v>2026-03-07 10:23:52.399</v>
      </c>
      <c r="H721" t="s">
        <v>21</v>
      </c>
      <c r="I721">
        <v>0.01</v>
      </c>
      <c r="J721" t="s">
        <v>36</v>
      </c>
    </row>
    <row r="722" spans="1:10" s="3" customFormat="1" x14ac:dyDescent="0.25">
      <c r="A722" s="2">
        <v>21</v>
      </c>
      <c r="B722" s="3" t="s">
        <v>28</v>
      </c>
      <c r="C722" s="3">
        <v>647</v>
      </c>
      <c r="D722" s="3">
        <v>1</v>
      </c>
      <c r="E722" s="3" t="s">
        <v>33</v>
      </c>
      <c r="F722" s="3" t="s">
        <v>34</v>
      </c>
      <c r="G722" s="3" t="str">
        <f>"2026-03-05 15:40:00.899"</f>
        <v>2026-03-05 15:40:00.899</v>
      </c>
      <c r="H722" s="3" t="s">
        <v>21</v>
      </c>
    </row>
    <row r="723" spans="1:10" s="3" customFormat="1" x14ac:dyDescent="0.25">
      <c r="A723" s="2">
        <v>22</v>
      </c>
      <c r="B723" s="3" t="s">
        <v>31</v>
      </c>
      <c r="C723" s="3">
        <v>647</v>
      </c>
      <c r="D723" s="3">
        <v>1</v>
      </c>
      <c r="E723" s="3" t="s">
        <v>33</v>
      </c>
      <c r="F723" s="3" t="s">
        <v>34</v>
      </c>
      <c r="G723" s="3" t="str">
        <f>"2026-03-05 15:39:58.599"</f>
        <v>2026-03-05 15:39:58.599</v>
      </c>
      <c r="H723" s="3" t="s">
        <v>21</v>
      </c>
      <c r="I723" s="3">
        <v>9.68</v>
      </c>
      <c r="J723" s="3" t="s">
        <v>35</v>
      </c>
    </row>
    <row r="724" spans="1:10" x14ac:dyDescent="0.25">
      <c r="A724" s="1">
        <v>23</v>
      </c>
      <c r="B724" t="s">
        <v>28</v>
      </c>
      <c r="C724">
        <v>635</v>
      </c>
      <c r="D724">
        <v>1</v>
      </c>
      <c r="E724" t="s">
        <v>29</v>
      </c>
      <c r="F724" t="s">
        <v>30</v>
      </c>
      <c r="G724" t="str">
        <f>"2026-03-05 04:49:16.799"</f>
        <v>2026-03-05 04:49:16.799</v>
      </c>
      <c r="H724" t="s">
        <v>21</v>
      </c>
    </row>
    <row r="725" spans="1:10" x14ac:dyDescent="0.25">
      <c r="A725" s="1">
        <v>24</v>
      </c>
      <c r="B725" t="s">
        <v>31</v>
      </c>
      <c r="C725">
        <v>635</v>
      </c>
      <c r="D725">
        <v>1</v>
      </c>
      <c r="E725" t="s">
        <v>29</v>
      </c>
      <c r="F725" t="s">
        <v>30</v>
      </c>
      <c r="G725" t="str">
        <f>"2026-03-05 04:42:32.799"</f>
        <v>2026-03-05 04:42:32.799</v>
      </c>
      <c r="H725" t="s">
        <v>21</v>
      </c>
      <c r="I725">
        <v>1.07</v>
      </c>
      <c r="J725" t="s">
        <v>32</v>
      </c>
    </row>
    <row r="726" spans="1:10" s="3" customFormat="1" x14ac:dyDescent="0.25">
      <c r="A726" s="2">
        <v>25</v>
      </c>
      <c r="B726" s="3" t="s">
        <v>28</v>
      </c>
      <c r="C726" s="3">
        <v>647</v>
      </c>
      <c r="D726" s="3">
        <v>1</v>
      </c>
      <c r="E726" s="3" t="s">
        <v>33</v>
      </c>
      <c r="F726" s="3" t="s">
        <v>34</v>
      </c>
      <c r="G726" s="3" t="str">
        <f>"2026-03-04 20:00:27.199"</f>
        <v>2026-03-04 20:00:27.199</v>
      </c>
      <c r="H726" s="3" t="s">
        <v>21</v>
      </c>
    </row>
    <row r="727" spans="1:10" s="3" customFormat="1" x14ac:dyDescent="0.25">
      <c r="A727" s="2">
        <v>26</v>
      </c>
      <c r="B727" s="3" t="s">
        <v>31</v>
      </c>
      <c r="C727" s="3">
        <v>647</v>
      </c>
      <c r="D727" s="3">
        <v>1</v>
      </c>
      <c r="E727" s="3" t="s">
        <v>33</v>
      </c>
      <c r="F727" s="3" t="s">
        <v>34</v>
      </c>
      <c r="G727" s="3" t="str">
        <f>"2026-03-04 20:00:21.799"</f>
        <v>2026-03-04 20:00:21.799</v>
      </c>
      <c r="H727" s="3" t="s">
        <v>21</v>
      </c>
      <c r="I727" s="3">
        <v>13.11</v>
      </c>
      <c r="J727" s="3" t="s">
        <v>35</v>
      </c>
    </row>
    <row r="728" spans="1:10" s="3" customFormat="1" x14ac:dyDescent="0.25">
      <c r="A728" s="2">
        <v>27</v>
      </c>
      <c r="B728" s="3" t="s">
        <v>28</v>
      </c>
      <c r="C728" s="3">
        <v>647</v>
      </c>
      <c r="D728" s="3">
        <v>1</v>
      </c>
      <c r="E728" s="3" t="s">
        <v>33</v>
      </c>
      <c r="F728" s="3" t="s">
        <v>34</v>
      </c>
      <c r="G728" s="3" t="str">
        <f>"2026-03-04 19:00:11.199"</f>
        <v>2026-03-04 19:00:11.199</v>
      </c>
      <c r="H728" s="3" t="s">
        <v>21</v>
      </c>
    </row>
    <row r="729" spans="1:10" s="3" customFormat="1" x14ac:dyDescent="0.25">
      <c r="A729" s="2">
        <v>28</v>
      </c>
      <c r="B729" s="3" t="s">
        <v>31</v>
      </c>
      <c r="C729" s="3">
        <v>647</v>
      </c>
      <c r="D729" s="3">
        <v>1</v>
      </c>
      <c r="E729" s="3" t="s">
        <v>33</v>
      </c>
      <c r="F729" s="3" t="s">
        <v>34</v>
      </c>
      <c r="G729" s="3" t="str">
        <f>"2026-03-04 19:00:08.300"</f>
        <v>2026-03-04 19:00:08.300</v>
      </c>
      <c r="H729" s="3" t="s">
        <v>21</v>
      </c>
      <c r="I729" s="3">
        <v>22.7</v>
      </c>
      <c r="J729" s="3" t="s">
        <v>35</v>
      </c>
    </row>
    <row r="730" spans="1:10" x14ac:dyDescent="0.25">
      <c r="A730" s="1">
        <v>29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"2026-03-04 12:18:41.500"</f>
        <v>2026-03-04 12:18:41.500</v>
      </c>
      <c r="H730" t="s">
        <v>21</v>
      </c>
      <c r="I730">
        <v>0</v>
      </c>
      <c r="J730" t="s">
        <v>22</v>
      </c>
    </row>
    <row r="731" spans="1:10" x14ac:dyDescent="0.25">
      <c r="A731" s="1">
        <v>30</v>
      </c>
      <c r="B731" t="s">
        <v>28</v>
      </c>
      <c r="C731">
        <v>635</v>
      </c>
      <c r="D731">
        <v>1</v>
      </c>
      <c r="E731" t="s">
        <v>29</v>
      </c>
      <c r="F731" t="s">
        <v>30</v>
      </c>
      <c r="G731" t="str">
        <f>"2026-03-04 09:27:50.735"</f>
        <v>2026-03-04 09:27:50.735</v>
      </c>
      <c r="H731" t="s">
        <v>21</v>
      </c>
    </row>
    <row r="732" spans="1:10" x14ac:dyDescent="0.25">
      <c r="A732" s="1">
        <v>31</v>
      </c>
      <c r="B732" t="s">
        <v>31</v>
      </c>
      <c r="C732">
        <v>635</v>
      </c>
      <c r="D732">
        <v>1</v>
      </c>
      <c r="E732" t="s">
        <v>29</v>
      </c>
      <c r="F732" t="s">
        <v>30</v>
      </c>
      <c r="G732" t="str">
        <f>"2026-03-04 09:24:56.735"</f>
        <v>2026-03-04 09:24:56.735</v>
      </c>
      <c r="H732" t="s">
        <v>21</v>
      </c>
      <c r="I732">
        <v>3.85</v>
      </c>
      <c r="J732" t="s">
        <v>36</v>
      </c>
    </row>
    <row r="733" spans="1:10" x14ac:dyDescent="0.25">
      <c r="A733" s="1">
        <v>32</v>
      </c>
      <c r="B733" t="s">
        <v>28</v>
      </c>
      <c r="C733">
        <v>61</v>
      </c>
      <c r="D733">
        <v>2</v>
      </c>
      <c r="E733" t="s">
        <v>37</v>
      </c>
      <c r="F733" t="s">
        <v>38</v>
      </c>
      <c r="G733" t="str">
        <f>"2026-03-04 07:29:02.508"</f>
        <v>2026-03-04 07:29:02.508</v>
      </c>
      <c r="H733" t="s">
        <v>21</v>
      </c>
    </row>
    <row r="734" spans="1:10" x14ac:dyDescent="0.25">
      <c r="A734" s="1">
        <v>33</v>
      </c>
      <c r="B734" t="s">
        <v>23</v>
      </c>
      <c r="C734">
        <v>61</v>
      </c>
      <c r="D734">
        <v>2</v>
      </c>
      <c r="E734" t="s">
        <v>37</v>
      </c>
      <c r="F734" t="s">
        <v>38</v>
      </c>
      <c r="G734" t="str">
        <f>"2026-03-04 07:28:52.209"</f>
        <v>2026-03-04 07:28:52.209</v>
      </c>
      <c r="H734" t="s">
        <v>21</v>
      </c>
      <c r="I734">
        <v>30.7</v>
      </c>
      <c r="J734" t="s">
        <v>35</v>
      </c>
    </row>
    <row r="735" spans="1:10" x14ac:dyDescent="0.25">
      <c r="A735" s="1">
        <v>34</v>
      </c>
      <c r="B735" t="s">
        <v>28</v>
      </c>
      <c r="C735">
        <v>635</v>
      </c>
      <c r="D735">
        <v>1</v>
      </c>
      <c r="E735" t="s">
        <v>29</v>
      </c>
      <c r="F735" t="s">
        <v>30</v>
      </c>
      <c r="G735" t="str">
        <f>"2026-03-03 23:00:37.634"</f>
        <v>2026-03-03 23:00:37.634</v>
      </c>
      <c r="H735" t="s">
        <v>21</v>
      </c>
    </row>
    <row r="736" spans="1:10" x14ac:dyDescent="0.25">
      <c r="A736" s="1">
        <v>35</v>
      </c>
      <c r="B736" t="s">
        <v>31</v>
      </c>
      <c r="C736">
        <v>635</v>
      </c>
      <c r="D736">
        <v>1</v>
      </c>
      <c r="E736" t="s">
        <v>29</v>
      </c>
      <c r="F736" t="s">
        <v>30</v>
      </c>
      <c r="G736" t="str">
        <f>"2026-03-03 22:55:18.135"</f>
        <v>2026-03-03 22:55:18.135</v>
      </c>
      <c r="H736" t="s">
        <v>21</v>
      </c>
      <c r="I736">
        <v>6.01</v>
      </c>
      <c r="J736" t="s">
        <v>32</v>
      </c>
    </row>
    <row r="737" spans="1:10" x14ac:dyDescent="0.25">
      <c r="A737" s="1">
        <v>36</v>
      </c>
      <c r="B737" t="s">
        <v>28</v>
      </c>
      <c r="C737">
        <v>635</v>
      </c>
      <c r="D737">
        <v>1</v>
      </c>
      <c r="E737" t="s">
        <v>29</v>
      </c>
      <c r="F737" t="s">
        <v>30</v>
      </c>
      <c r="G737" t="str">
        <f>"2026-03-03 19:08:39.635"</f>
        <v>2026-03-03 19:08:39.635</v>
      </c>
      <c r="H737" t="s">
        <v>21</v>
      </c>
    </row>
    <row r="738" spans="1:10" x14ac:dyDescent="0.25">
      <c r="A738" s="1">
        <v>37</v>
      </c>
      <c r="B738" t="s">
        <v>31</v>
      </c>
      <c r="C738">
        <v>635</v>
      </c>
      <c r="D738">
        <v>1</v>
      </c>
      <c r="E738" t="s">
        <v>29</v>
      </c>
      <c r="F738" t="s">
        <v>30</v>
      </c>
      <c r="G738" t="str">
        <f>"2026-03-03 19:05:17.135"</f>
        <v>2026-03-03 19:05:17.135</v>
      </c>
      <c r="H738" t="s">
        <v>21</v>
      </c>
      <c r="I738">
        <v>0.88</v>
      </c>
      <c r="J738" t="s">
        <v>35</v>
      </c>
    </row>
    <row r="739" spans="1:10" s="3" customFormat="1" x14ac:dyDescent="0.25">
      <c r="A739" s="2">
        <v>38</v>
      </c>
      <c r="B739" s="3" t="s">
        <v>28</v>
      </c>
      <c r="C739" s="3">
        <v>647</v>
      </c>
      <c r="D739" s="3">
        <v>1</v>
      </c>
      <c r="E739" s="3" t="s">
        <v>33</v>
      </c>
      <c r="F739" s="3" t="s">
        <v>34</v>
      </c>
      <c r="G739" s="3" t="str">
        <f>"2026-03-03 08:02:48.788"</f>
        <v>2026-03-03 08:02:48.788</v>
      </c>
      <c r="H739" s="3" t="s">
        <v>21</v>
      </c>
    </row>
    <row r="740" spans="1:10" s="3" customFormat="1" x14ac:dyDescent="0.25">
      <c r="A740" s="2">
        <v>39</v>
      </c>
      <c r="B740" s="3" t="s">
        <v>31</v>
      </c>
      <c r="C740" s="3">
        <v>647</v>
      </c>
      <c r="D740" s="3">
        <v>1</v>
      </c>
      <c r="E740" s="3" t="s">
        <v>33</v>
      </c>
      <c r="F740" s="3" t="s">
        <v>34</v>
      </c>
      <c r="G740" s="3" t="str">
        <f>"2026-03-03 08:02:46.688"</f>
        <v>2026-03-03 08:02:46.688</v>
      </c>
      <c r="H740" s="3" t="s">
        <v>21</v>
      </c>
      <c r="I740" s="3">
        <v>21.4</v>
      </c>
      <c r="J740" s="3" t="s">
        <v>36</v>
      </c>
    </row>
    <row r="741" spans="1:10" x14ac:dyDescent="0.25">
      <c r="A741" s="1">
        <v>40</v>
      </c>
      <c r="B741" t="s">
        <v>28</v>
      </c>
      <c r="C741">
        <v>635</v>
      </c>
      <c r="D741">
        <v>1</v>
      </c>
      <c r="E741" t="s">
        <v>29</v>
      </c>
      <c r="F741" t="s">
        <v>30</v>
      </c>
      <c r="G741" t="str">
        <f>"2026-03-02 15:45:04.235"</f>
        <v>2026-03-02 15:45:04.235</v>
      </c>
      <c r="H741" t="s">
        <v>21</v>
      </c>
    </row>
    <row r="742" spans="1:10" x14ac:dyDescent="0.25">
      <c r="A742" s="1">
        <v>41</v>
      </c>
      <c r="B742" t="s">
        <v>31</v>
      </c>
      <c r="C742">
        <v>635</v>
      </c>
      <c r="D742">
        <v>1</v>
      </c>
      <c r="E742" t="s">
        <v>29</v>
      </c>
      <c r="F742" t="s">
        <v>30</v>
      </c>
      <c r="G742" t="str">
        <f>"2026-03-02 15:39:58.735"</f>
        <v>2026-03-02 15:39:58.735</v>
      </c>
      <c r="H742" t="s">
        <v>21</v>
      </c>
      <c r="I742">
        <v>2.4500000000000002</v>
      </c>
      <c r="J742" t="s">
        <v>36</v>
      </c>
    </row>
    <row r="743" spans="1:10" x14ac:dyDescent="0.25">
      <c r="A743" s="1">
        <v>42</v>
      </c>
      <c r="B743" t="s">
        <v>19</v>
      </c>
      <c r="C743">
        <v>706</v>
      </c>
      <c r="D743">
        <v>3</v>
      </c>
      <c r="E743" t="s">
        <v>39</v>
      </c>
      <c r="F743" t="s">
        <v>49</v>
      </c>
      <c r="G743" t="str">
        <f>"2026-03-02 11:11:03.547"</f>
        <v>2026-03-02 11:11:03.547</v>
      </c>
      <c r="H743" t="s">
        <v>21</v>
      </c>
      <c r="I743">
        <v>0</v>
      </c>
      <c r="J743" t="s">
        <v>27</v>
      </c>
    </row>
    <row r="744" spans="1:10" x14ac:dyDescent="0.25">
      <c r="A744" s="1">
        <v>43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"2026-03-02 11:10:42.607"</f>
        <v>2026-03-02 11:10:42.607</v>
      </c>
      <c r="H744" t="s">
        <v>21</v>
      </c>
    </row>
    <row r="745" spans="1:10" x14ac:dyDescent="0.25">
      <c r="A745" s="1">
        <v>44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"2026-02-28 08:43:11.480"</f>
        <v>2026-02-28 08:43:11.480</v>
      </c>
      <c r="H745" t="s">
        <v>21</v>
      </c>
    </row>
    <row r="746" spans="1:10" x14ac:dyDescent="0.25">
      <c r="A746" s="1">
        <v>45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"2026-02-27 16:40:06.459"</f>
        <v>2026-02-27 16:40:06.459</v>
      </c>
      <c r="H746" t="s">
        <v>21</v>
      </c>
    </row>
    <row r="747" spans="1:10" x14ac:dyDescent="0.25">
      <c r="A747" s="1">
        <v>46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"2026-02-27 16:36:06.500"</f>
        <v>2026-02-27 16:36:06.500</v>
      </c>
      <c r="H747" t="s">
        <v>21</v>
      </c>
    </row>
    <row r="748" spans="1:10" x14ac:dyDescent="0.25">
      <c r="A748" s="1">
        <v>47</v>
      </c>
      <c r="B748" t="s">
        <v>19</v>
      </c>
      <c r="C748">
        <v>706</v>
      </c>
      <c r="D748">
        <v>4</v>
      </c>
      <c r="E748" t="s">
        <v>39</v>
      </c>
      <c r="F748" t="s">
        <v>40</v>
      </c>
      <c r="G748" t="str">
        <f>"2026-02-27 10:57:41.875"</f>
        <v>2026-02-27 10:57:41.875</v>
      </c>
      <c r="H748" t="s">
        <v>21</v>
      </c>
      <c r="I748">
        <v>0</v>
      </c>
      <c r="J748" t="s">
        <v>27</v>
      </c>
    </row>
    <row r="749" spans="1:10" x14ac:dyDescent="0.25">
      <c r="A749" s="1">
        <v>48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"2026-02-27 09:41:06.475"</f>
        <v>2026-02-27 09:41:06.475</v>
      </c>
      <c r="H749" t="s">
        <v>21</v>
      </c>
      <c r="I749">
        <v>0</v>
      </c>
      <c r="J749" t="s">
        <v>22</v>
      </c>
    </row>
    <row r="750" spans="1:10" x14ac:dyDescent="0.25">
      <c r="A750" s="1">
        <v>49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"2026-02-27 09:24:42.464"</f>
        <v>2026-02-27 09:24:42.464</v>
      </c>
      <c r="H750" t="s">
        <v>21</v>
      </c>
    </row>
    <row r="751" spans="1:10" x14ac:dyDescent="0.25">
      <c r="A751" s="1">
        <v>50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"2026-02-27 08:38:42.457"</f>
        <v>2026-02-27 08:38:42.457</v>
      </c>
      <c r="H751" t="s">
        <v>21</v>
      </c>
    </row>
    <row r="752" spans="1:10" x14ac:dyDescent="0.25">
      <c r="A752" s="1">
        <v>51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"2026-02-27 08:33:45.707"</f>
        <v>2026-02-27 08:33:45.707</v>
      </c>
      <c r="H752" t="s">
        <v>21</v>
      </c>
    </row>
    <row r="753" spans="1:10" x14ac:dyDescent="0.25">
      <c r="A753" s="1">
        <v>52</v>
      </c>
      <c r="B753" t="s">
        <v>28</v>
      </c>
      <c r="C753">
        <v>635</v>
      </c>
      <c r="D753">
        <v>1</v>
      </c>
      <c r="E753" t="s">
        <v>29</v>
      </c>
      <c r="F753" t="s">
        <v>30</v>
      </c>
      <c r="G753" t="str">
        <f>"2026-02-25 21:38:17.948"</f>
        <v>2026-02-25 21:38:17.948</v>
      </c>
      <c r="H753" t="s">
        <v>21</v>
      </c>
    </row>
    <row r="754" spans="1:10" x14ac:dyDescent="0.25">
      <c r="A754" s="1">
        <v>53</v>
      </c>
      <c r="B754" t="s">
        <v>31</v>
      </c>
      <c r="C754">
        <v>635</v>
      </c>
      <c r="D754">
        <v>1</v>
      </c>
      <c r="E754" t="s">
        <v>29</v>
      </c>
      <c r="F754" t="s">
        <v>30</v>
      </c>
      <c r="G754" t="str">
        <f>"2026-02-25 21:34:30.948"</f>
        <v>2026-02-25 21:34:30.948</v>
      </c>
      <c r="H754" t="s">
        <v>21</v>
      </c>
      <c r="I754">
        <v>2.48</v>
      </c>
      <c r="J754" t="s">
        <v>32</v>
      </c>
    </row>
    <row r="755" spans="1:10" x14ac:dyDescent="0.25">
      <c r="A755" s="1">
        <v>55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"2026-02-25 21:18:08.480"</f>
        <v>2026-02-25 21:18:08.480</v>
      </c>
      <c r="H755" t="s">
        <v>21</v>
      </c>
      <c r="I755">
        <v>0</v>
      </c>
      <c r="J755" t="s">
        <v>22</v>
      </c>
    </row>
    <row r="756" spans="1:10" x14ac:dyDescent="0.25">
      <c r="A756" s="1">
        <v>57</v>
      </c>
      <c r="B756" t="s">
        <v>28</v>
      </c>
      <c r="C756">
        <v>61</v>
      </c>
      <c r="D756">
        <v>2</v>
      </c>
      <c r="E756" t="s">
        <v>37</v>
      </c>
      <c r="F756" t="s">
        <v>38</v>
      </c>
      <c r="G756" t="str">
        <f>"2026-02-25 19:15:55.292"</f>
        <v>2026-02-25 19:15:55.292</v>
      </c>
      <c r="H756" t="s">
        <v>21</v>
      </c>
    </row>
    <row r="757" spans="1:10" x14ac:dyDescent="0.25">
      <c r="A757" s="1">
        <v>58</v>
      </c>
      <c r="B757" t="s">
        <v>23</v>
      </c>
      <c r="C757">
        <v>61</v>
      </c>
      <c r="D757">
        <v>2</v>
      </c>
      <c r="E757" t="s">
        <v>37</v>
      </c>
      <c r="F757" t="s">
        <v>38</v>
      </c>
      <c r="G757" t="str">
        <f>"2026-02-25 19:15:35.392"</f>
        <v>2026-02-25 19:15:35.392</v>
      </c>
      <c r="H757" t="s">
        <v>21</v>
      </c>
      <c r="I757">
        <v>29.8</v>
      </c>
      <c r="J757" t="s">
        <v>35</v>
      </c>
    </row>
    <row r="758" spans="1:10" x14ac:dyDescent="0.25">
      <c r="A758" s="1">
        <v>59</v>
      </c>
      <c r="B758" t="s">
        <v>28</v>
      </c>
      <c r="C758">
        <v>635</v>
      </c>
      <c r="D758">
        <v>1</v>
      </c>
      <c r="E758" t="s">
        <v>29</v>
      </c>
      <c r="F758" t="s">
        <v>30</v>
      </c>
      <c r="G758" t="str">
        <f>"2026-02-25 16:35:29.231"</f>
        <v>2026-02-25 16:35:29.231</v>
      </c>
      <c r="H758" t="s">
        <v>21</v>
      </c>
    </row>
    <row r="759" spans="1:10" x14ac:dyDescent="0.25">
      <c r="A759" s="1">
        <v>60</v>
      </c>
      <c r="B759" t="s">
        <v>31</v>
      </c>
      <c r="C759">
        <v>635</v>
      </c>
      <c r="D759">
        <v>1</v>
      </c>
      <c r="E759" t="s">
        <v>29</v>
      </c>
      <c r="F759" t="s">
        <v>30</v>
      </c>
      <c r="G759" t="str">
        <f>"2026-02-25 16:22:19.731"</f>
        <v>2026-02-25 16:22:19.731</v>
      </c>
      <c r="H759" t="s">
        <v>21</v>
      </c>
      <c r="I759">
        <v>4.88</v>
      </c>
      <c r="J759" t="s">
        <v>36</v>
      </c>
    </row>
    <row r="760" spans="1:10" s="3" customFormat="1" x14ac:dyDescent="0.25">
      <c r="A760" s="2">
        <v>61</v>
      </c>
      <c r="B760" s="3" t="s">
        <v>28</v>
      </c>
      <c r="C760" s="3">
        <v>647</v>
      </c>
      <c r="D760" s="3">
        <v>1</v>
      </c>
      <c r="E760" s="3" t="s">
        <v>33</v>
      </c>
      <c r="F760" s="3" t="s">
        <v>34</v>
      </c>
      <c r="G760" s="3" t="str">
        <f>"2026-02-25 12:32:43.279"</f>
        <v>2026-02-25 12:32:43.279</v>
      </c>
      <c r="H760" s="3" t="s">
        <v>21</v>
      </c>
    </row>
    <row r="761" spans="1:10" s="3" customFormat="1" x14ac:dyDescent="0.25">
      <c r="A761" s="2">
        <v>62</v>
      </c>
      <c r="B761" s="3" t="s">
        <v>31</v>
      </c>
      <c r="C761" s="3">
        <v>647</v>
      </c>
      <c r="D761" s="3">
        <v>1</v>
      </c>
      <c r="E761" s="3" t="s">
        <v>33</v>
      </c>
      <c r="F761" s="3" t="s">
        <v>34</v>
      </c>
      <c r="G761" s="3" t="str">
        <f>"2026-02-25 12:32:40.979"</f>
        <v>2026-02-25 12:32:40.979</v>
      </c>
      <c r="H761" s="3" t="s">
        <v>21</v>
      </c>
      <c r="I761" s="3">
        <v>9.1999999999999993</v>
      </c>
      <c r="J761" s="3" t="s">
        <v>35</v>
      </c>
    </row>
    <row r="762" spans="1:10" x14ac:dyDescent="0.25">
      <c r="A762" s="1">
        <v>63</v>
      </c>
      <c r="B762" t="s">
        <v>28</v>
      </c>
      <c r="C762">
        <v>61</v>
      </c>
      <c r="D762">
        <v>2</v>
      </c>
      <c r="E762" t="s">
        <v>37</v>
      </c>
      <c r="F762" t="s">
        <v>38</v>
      </c>
      <c r="G762" t="str">
        <f>"2026-02-24 17:22:41.692"</f>
        <v>2026-02-24 17:22:41.692</v>
      </c>
      <c r="H762" t="s">
        <v>21</v>
      </c>
    </row>
    <row r="763" spans="1:10" x14ac:dyDescent="0.25">
      <c r="A763" s="1">
        <v>64</v>
      </c>
      <c r="B763" t="s">
        <v>23</v>
      </c>
      <c r="C763">
        <v>61</v>
      </c>
      <c r="D763">
        <v>2</v>
      </c>
      <c r="E763" t="s">
        <v>37</v>
      </c>
      <c r="F763" t="s">
        <v>38</v>
      </c>
      <c r="G763" t="str">
        <f>"2026-02-24 17:22:11.592"</f>
        <v>2026-02-24 17:22:11.592</v>
      </c>
      <c r="H763" t="s">
        <v>21</v>
      </c>
      <c r="I763">
        <v>30.06</v>
      </c>
      <c r="J763" t="s">
        <v>35</v>
      </c>
    </row>
    <row r="764" spans="1:10" x14ac:dyDescent="0.25">
      <c r="A764" s="1">
        <v>65</v>
      </c>
      <c r="B764" t="s">
        <v>28</v>
      </c>
      <c r="C764">
        <v>61</v>
      </c>
      <c r="D764">
        <v>2</v>
      </c>
      <c r="E764" t="s">
        <v>37</v>
      </c>
      <c r="F764" t="s">
        <v>38</v>
      </c>
      <c r="G764" t="str">
        <f>"2026-02-24 11:16:10.292"</f>
        <v>2026-02-24 11:16:10.292</v>
      </c>
      <c r="H764" t="s">
        <v>21</v>
      </c>
    </row>
    <row r="765" spans="1:10" x14ac:dyDescent="0.25">
      <c r="A765" s="1">
        <v>66</v>
      </c>
      <c r="B765" t="s">
        <v>23</v>
      </c>
      <c r="C765">
        <v>61</v>
      </c>
      <c r="D765">
        <v>2</v>
      </c>
      <c r="E765" t="s">
        <v>37</v>
      </c>
      <c r="F765" t="s">
        <v>38</v>
      </c>
      <c r="G765" t="str">
        <f>"2026-02-24 11:15:40.192"</f>
        <v>2026-02-24 11:15:40.192</v>
      </c>
      <c r="H765" t="s">
        <v>21</v>
      </c>
      <c r="I765">
        <v>30.22</v>
      </c>
      <c r="J765" t="s">
        <v>35</v>
      </c>
    </row>
    <row r="766" spans="1:10" s="3" customFormat="1" x14ac:dyDescent="0.25">
      <c r="A766" s="2">
        <v>67</v>
      </c>
      <c r="B766" s="3" t="s">
        <v>28</v>
      </c>
      <c r="C766" s="3">
        <v>647</v>
      </c>
      <c r="D766" s="3">
        <v>1</v>
      </c>
      <c r="E766" s="3" t="s">
        <v>33</v>
      </c>
      <c r="F766" s="3" t="s">
        <v>34</v>
      </c>
      <c r="G766" s="3" t="str">
        <f>"2026-02-24 10:15:10.079"</f>
        <v>2026-02-24 10:15:10.079</v>
      </c>
      <c r="H766" s="3" t="s">
        <v>21</v>
      </c>
    </row>
    <row r="767" spans="1:10" s="3" customFormat="1" x14ac:dyDescent="0.25">
      <c r="A767" s="2">
        <v>68</v>
      </c>
      <c r="B767" s="3" t="s">
        <v>31</v>
      </c>
      <c r="C767" s="3">
        <v>647</v>
      </c>
      <c r="D767" s="3">
        <v>1</v>
      </c>
      <c r="E767" s="3" t="s">
        <v>33</v>
      </c>
      <c r="F767" s="3" t="s">
        <v>34</v>
      </c>
      <c r="G767" s="3" t="str">
        <f>"2026-02-24 10:15:01.379"</f>
        <v>2026-02-24 10:15:01.379</v>
      </c>
      <c r="H767" s="3" t="s">
        <v>21</v>
      </c>
      <c r="I767" s="3">
        <v>9.41</v>
      </c>
      <c r="J767" s="3" t="s">
        <v>36</v>
      </c>
    </row>
    <row r="768" spans="1:10" s="3" customFormat="1" x14ac:dyDescent="0.25">
      <c r="A768" s="2">
        <v>69</v>
      </c>
      <c r="B768" s="3" t="s">
        <v>28</v>
      </c>
      <c r="C768" s="3">
        <v>647</v>
      </c>
      <c r="D768" s="3">
        <v>1</v>
      </c>
      <c r="E768" s="3" t="s">
        <v>33</v>
      </c>
      <c r="F768" s="3" t="s">
        <v>34</v>
      </c>
      <c r="G768" s="3" t="str">
        <f>"2026-02-24 10:14:56.879"</f>
        <v>2026-02-24 10:14:56.879</v>
      </c>
      <c r="H768" s="3" t="s">
        <v>21</v>
      </c>
    </row>
    <row r="769" spans="1:10" s="3" customFormat="1" x14ac:dyDescent="0.25">
      <c r="A769" s="2">
        <v>70</v>
      </c>
      <c r="B769" s="3" t="s">
        <v>31</v>
      </c>
      <c r="C769" s="3">
        <v>647</v>
      </c>
      <c r="D769" s="3">
        <v>1</v>
      </c>
      <c r="E769" s="3" t="s">
        <v>33</v>
      </c>
      <c r="F769" s="3" t="s">
        <v>34</v>
      </c>
      <c r="G769" s="3" t="str">
        <f>"2026-02-24 10:14:54.379"</f>
        <v>2026-02-24 10:14:54.379</v>
      </c>
      <c r="H769" s="3" t="s">
        <v>21</v>
      </c>
      <c r="I769" s="3">
        <v>9.18</v>
      </c>
      <c r="J769" s="3" t="s">
        <v>35</v>
      </c>
    </row>
    <row r="770" spans="1:10" x14ac:dyDescent="0.25">
      <c r="A770" s="1">
        <v>71</v>
      </c>
      <c r="B770" t="s">
        <v>28</v>
      </c>
      <c r="C770">
        <v>61</v>
      </c>
      <c r="D770">
        <v>2</v>
      </c>
      <c r="E770" t="s">
        <v>37</v>
      </c>
      <c r="F770" t="s">
        <v>38</v>
      </c>
      <c r="G770" t="str">
        <f>"2026-02-24 09:57:24.792"</f>
        <v>2026-02-24 09:57:24.792</v>
      </c>
      <c r="H770" t="s">
        <v>21</v>
      </c>
    </row>
    <row r="771" spans="1:10" x14ac:dyDescent="0.25">
      <c r="A771" s="1">
        <v>72</v>
      </c>
      <c r="B771" t="s">
        <v>23</v>
      </c>
      <c r="C771">
        <v>61</v>
      </c>
      <c r="D771">
        <v>2</v>
      </c>
      <c r="E771" t="s">
        <v>37</v>
      </c>
      <c r="F771" t="s">
        <v>38</v>
      </c>
      <c r="G771" t="str">
        <f>"2026-02-24 09:56:55.692"</f>
        <v>2026-02-24 09:56:55.692</v>
      </c>
      <c r="H771" t="s">
        <v>21</v>
      </c>
      <c r="I771">
        <v>30.27</v>
      </c>
      <c r="J771" t="s">
        <v>35</v>
      </c>
    </row>
    <row r="772" spans="1:10" x14ac:dyDescent="0.25">
      <c r="A772" s="1">
        <v>73</v>
      </c>
      <c r="B772" t="s">
        <v>28</v>
      </c>
      <c r="C772">
        <v>635</v>
      </c>
      <c r="D772">
        <v>1</v>
      </c>
      <c r="E772" t="s">
        <v>29</v>
      </c>
      <c r="F772" t="s">
        <v>30</v>
      </c>
      <c r="G772" t="str">
        <f>"2026-02-24 07:11:15.831"</f>
        <v>2026-02-24 07:11:15.831</v>
      </c>
      <c r="H772" t="s">
        <v>21</v>
      </c>
    </row>
    <row r="773" spans="1:10" x14ac:dyDescent="0.25">
      <c r="A773" s="1">
        <v>74</v>
      </c>
      <c r="B773" t="s">
        <v>31</v>
      </c>
      <c r="C773">
        <v>635</v>
      </c>
      <c r="D773">
        <v>1</v>
      </c>
      <c r="E773" t="s">
        <v>29</v>
      </c>
      <c r="F773" t="s">
        <v>30</v>
      </c>
      <c r="G773" t="str">
        <f>"2026-02-24 07:08:38.831"</f>
        <v>2026-02-24 07:08:38.831</v>
      </c>
      <c r="H773" t="s">
        <v>21</v>
      </c>
      <c r="I773">
        <v>5.44</v>
      </c>
      <c r="J773" t="s">
        <v>32</v>
      </c>
    </row>
    <row r="774" spans="1:10" x14ac:dyDescent="0.25">
      <c r="A774" s="1">
        <v>75</v>
      </c>
      <c r="B774" t="s">
        <v>28</v>
      </c>
      <c r="C774">
        <v>635</v>
      </c>
      <c r="D774">
        <v>1</v>
      </c>
      <c r="E774" t="s">
        <v>29</v>
      </c>
      <c r="F774" t="s">
        <v>30</v>
      </c>
      <c r="G774" t="str">
        <f>"2026-02-23 20:53:57.631"</f>
        <v>2026-02-23 20:53:57.631</v>
      </c>
      <c r="H774" t="s">
        <v>21</v>
      </c>
    </row>
    <row r="775" spans="1:10" x14ac:dyDescent="0.25">
      <c r="A775" s="1">
        <v>76</v>
      </c>
      <c r="B775" t="s">
        <v>31</v>
      </c>
      <c r="C775">
        <v>635</v>
      </c>
      <c r="D775">
        <v>1</v>
      </c>
      <c r="E775" t="s">
        <v>29</v>
      </c>
      <c r="F775" t="s">
        <v>30</v>
      </c>
      <c r="G775" t="str">
        <f>"2026-02-23 20:50:51.631"</f>
        <v>2026-02-23 20:50:51.631</v>
      </c>
      <c r="H775" t="s">
        <v>21</v>
      </c>
      <c r="I775">
        <v>3.23</v>
      </c>
      <c r="J775" t="s">
        <v>36</v>
      </c>
    </row>
    <row r="776" spans="1:10" x14ac:dyDescent="0.25">
      <c r="A776" s="1">
        <v>77</v>
      </c>
      <c r="B776" t="s">
        <v>28</v>
      </c>
      <c r="C776">
        <v>61</v>
      </c>
      <c r="D776">
        <v>2</v>
      </c>
      <c r="E776" t="s">
        <v>37</v>
      </c>
      <c r="F776" t="s">
        <v>38</v>
      </c>
      <c r="G776" t="str">
        <f>"2026-02-23 19:37:39.792"</f>
        <v>2026-02-23 19:37:39.792</v>
      </c>
      <c r="H776" t="s">
        <v>21</v>
      </c>
    </row>
    <row r="777" spans="1:10" x14ac:dyDescent="0.25">
      <c r="A777" s="1">
        <v>78</v>
      </c>
      <c r="B777" t="s">
        <v>23</v>
      </c>
      <c r="C777">
        <v>61</v>
      </c>
      <c r="D777">
        <v>2</v>
      </c>
      <c r="E777" t="s">
        <v>37</v>
      </c>
      <c r="F777" t="s">
        <v>38</v>
      </c>
      <c r="G777" t="str">
        <f>"2026-02-23 19:37:08.791"</f>
        <v>2026-02-23 19:37:08.791</v>
      </c>
      <c r="H777" t="s">
        <v>21</v>
      </c>
      <c r="I777">
        <v>30.25</v>
      </c>
      <c r="J777" t="s">
        <v>35</v>
      </c>
    </row>
    <row r="778" spans="1:10" x14ac:dyDescent="0.25">
      <c r="A778" s="1">
        <v>79</v>
      </c>
      <c r="B778" t="s">
        <v>28</v>
      </c>
      <c r="C778">
        <v>61</v>
      </c>
      <c r="D778">
        <v>2</v>
      </c>
      <c r="E778" t="s">
        <v>37</v>
      </c>
      <c r="F778" t="s">
        <v>38</v>
      </c>
      <c r="G778" t="str">
        <f>"2026-02-23 17:33:32.592"</f>
        <v>2026-02-23 17:33:32.592</v>
      </c>
      <c r="H778" t="s">
        <v>21</v>
      </c>
    </row>
    <row r="779" spans="1:10" x14ac:dyDescent="0.25">
      <c r="A779" s="1">
        <v>80</v>
      </c>
      <c r="B779" t="s">
        <v>23</v>
      </c>
      <c r="C779">
        <v>61</v>
      </c>
      <c r="D779">
        <v>2</v>
      </c>
      <c r="E779" t="s">
        <v>37</v>
      </c>
      <c r="F779" t="s">
        <v>38</v>
      </c>
      <c r="G779" t="str">
        <f>"2026-02-23 17:33:02.692"</f>
        <v>2026-02-23 17:33:02.692</v>
      </c>
      <c r="H779" t="s">
        <v>21</v>
      </c>
      <c r="I779">
        <v>30.02</v>
      </c>
      <c r="J779" t="s">
        <v>35</v>
      </c>
    </row>
    <row r="780" spans="1:10" s="3" customFormat="1" x14ac:dyDescent="0.25">
      <c r="A780" s="2">
        <v>81</v>
      </c>
      <c r="B780" s="3" t="s">
        <v>28</v>
      </c>
      <c r="C780" s="3">
        <v>647</v>
      </c>
      <c r="D780" s="3">
        <v>1</v>
      </c>
      <c r="E780" s="3" t="s">
        <v>33</v>
      </c>
      <c r="F780" s="3" t="s">
        <v>34</v>
      </c>
      <c r="G780" s="3" t="str">
        <f>"2026-02-23 13:27:26.079"</f>
        <v>2026-02-23 13:27:26.079</v>
      </c>
      <c r="H780" s="3" t="s">
        <v>21</v>
      </c>
    </row>
    <row r="781" spans="1:10" s="3" customFormat="1" x14ac:dyDescent="0.25">
      <c r="A781" s="2">
        <v>82</v>
      </c>
      <c r="B781" s="3" t="s">
        <v>31</v>
      </c>
      <c r="C781" s="3">
        <v>647</v>
      </c>
      <c r="D781" s="3">
        <v>1</v>
      </c>
      <c r="E781" s="3" t="s">
        <v>33</v>
      </c>
      <c r="F781" s="3" t="s">
        <v>34</v>
      </c>
      <c r="G781" s="3" t="str">
        <f>"2026-02-23 13:27:22.980"</f>
        <v>2026-02-23 13:27:22.980</v>
      </c>
      <c r="H781" s="3" t="s">
        <v>21</v>
      </c>
      <c r="I781" s="3">
        <v>22.45</v>
      </c>
      <c r="J781" s="3" t="s">
        <v>35</v>
      </c>
    </row>
    <row r="782" spans="1:10" x14ac:dyDescent="0.25">
      <c r="A782" s="1">
        <v>83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"2026-02-23 10:10:32.458"</f>
        <v>2026-02-23 10:10:32.458</v>
      </c>
      <c r="H782" t="s">
        <v>21</v>
      </c>
    </row>
    <row r="783" spans="1:10" x14ac:dyDescent="0.25">
      <c r="A783" s="1">
        <v>84</v>
      </c>
      <c r="B783" t="s">
        <v>28</v>
      </c>
      <c r="C783">
        <v>635</v>
      </c>
      <c r="D783">
        <v>1</v>
      </c>
      <c r="E783" t="s">
        <v>29</v>
      </c>
      <c r="F783" t="s">
        <v>30</v>
      </c>
      <c r="G783" t="str">
        <f>"2026-02-23 06:54:11.369"</f>
        <v>2026-02-23 06:54:11.369</v>
      </c>
      <c r="H783" t="s">
        <v>21</v>
      </c>
    </row>
    <row r="784" spans="1:10" x14ac:dyDescent="0.25">
      <c r="A784" s="1">
        <v>85</v>
      </c>
      <c r="B784" t="s">
        <v>31</v>
      </c>
      <c r="C784">
        <v>635</v>
      </c>
      <c r="D784">
        <v>1</v>
      </c>
      <c r="E784" t="s">
        <v>29</v>
      </c>
      <c r="F784" t="s">
        <v>30</v>
      </c>
      <c r="G784" t="str">
        <f>"2026-02-23 06:47:48.870"</f>
        <v>2026-02-23 06:47:48.870</v>
      </c>
      <c r="H784" t="s">
        <v>21</v>
      </c>
      <c r="I784">
        <v>2.68</v>
      </c>
      <c r="J784" t="s">
        <v>32</v>
      </c>
    </row>
    <row r="785" spans="1:10" x14ac:dyDescent="0.25">
      <c r="A785" s="1">
        <v>86</v>
      </c>
      <c r="B785" t="s">
        <v>28</v>
      </c>
      <c r="C785">
        <v>635</v>
      </c>
      <c r="D785">
        <v>1</v>
      </c>
      <c r="E785" t="s">
        <v>29</v>
      </c>
      <c r="F785" t="s">
        <v>30</v>
      </c>
      <c r="G785" t="str">
        <f>"2026-02-22 16:43:20.170"</f>
        <v>2026-02-22 16:43:20.170</v>
      </c>
      <c r="H785" t="s">
        <v>21</v>
      </c>
    </row>
    <row r="786" spans="1:10" x14ac:dyDescent="0.25">
      <c r="A786" s="1">
        <v>87</v>
      </c>
      <c r="B786" t="s">
        <v>31</v>
      </c>
      <c r="C786">
        <v>635</v>
      </c>
      <c r="D786">
        <v>1</v>
      </c>
      <c r="E786" t="s">
        <v>29</v>
      </c>
      <c r="F786" t="s">
        <v>30</v>
      </c>
      <c r="G786" t="str">
        <f>"2026-02-22 16:40:52.170"</f>
        <v>2026-02-22 16:40:52.170</v>
      </c>
      <c r="H786" t="s">
        <v>21</v>
      </c>
      <c r="I786">
        <v>8.24</v>
      </c>
      <c r="J786" t="s">
        <v>32</v>
      </c>
    </row>
    <row r="787" spans="1:10" x14ac:dyDescent="0.25">
      <c r="A787" s="1">
        <v>88</v>
      </c>
      <c r="B787" t="s">
        <v>28</v>
      </c>
      <c r="C787">
        <v>635</v>
      </c>
      <c r="D787">
        <v>1</v>
      </c>
      <c r="E787" t="s">
        <v>29</v>
      </c>
      <c r="F787" t="s">
        <v>30</v>
      </c>
      <c r="G787" t="str">
        <f>"2026-02-22 12:10:35.270"</f>
        <v>2026-02-22 12:10:35.270</v>
      </c>
      <c r="H787" t="s">
        <v>21</v>
      </c>
    </row>
    <row r="788" spans="1:10" x14ac:dyDescent="0.25">
      <c r="A788" s="1">
        <v>89</v>
      </c>
      <c r="B788" t="s">
        <v>31</v>
      </c>
      <c r="C788">
        <v>635</v>
      </c>
      <c r="D788">
        <v>1</v>
      </c>
      <c r="E788" t="s">
        <v>29</v>
      </c>
      <c r="F788" t="s">
        <v>30</v>
      </c>
      <c r="G788" t="str">
        <f>"2026-02-22 12:07:10.770"</f>
        <v>2026-02-22 12:07:10.770</v>
      </c>
      <c r="H788" t="s">
        <v>21</v>
      </c>
      <c r="I788">
        <v>2.08</v>
      </c>
      <c r="J788" t="s">
        <v>36</v>
      </c>
    </row>
    <row r="789" spans="1:10" s="3" customFormat="1" x14ac:dyDescent="0.25">
      <c r="A789" s="2">
        <v>90</v>
      </c>
      <c r="B789" s="3" t="s">
        <v>28</v>
      </c>
      <c r="C789" s="3">
        <v>647</v>
      </c>
      <c r="D789" s="3">
        <v>1</v>
      </c>
      <c r="E789" s="3" t="s">
        <v>33</v>
      </c>
      <c r="F789" s="3" t="s">
        <v>34</v>
      </c>
      <c r="G789" s="3" t="str">
        <f>"2026-02-22 09:36:45.170"</f>
        <v>2026-02-22 09:36:45.170</v>
      </c>
      <c r="H789" s="3" t="s">
        <v>21</v>
      </c>
    </row>
    <row r="790" spans="1:10" s="3" customFormat="1" x14ac:dyDescent="0.25">
      <c r="A790" s="2">
        <v>91</v>
      </c>
      <c r="B790" s="3" t="s">
        <v>31</v>
      </c>
      <c r="C790" s="3">
        <v>647</v>
      </c>
      <c r="D790" s="3">
        <v>1</v>
      </c>
      <c r="E790" s="3" t="s">
        <v>33</v>
      </c>
      <c r="F790" s="3" t="s">
        <v>34</v>
      </c>
      <c r="G790" s="3" t="str">
        <f>"2026-02-22 09:36:41.270"</f>
        <v>2026-02-22 09:36:41.270</v>
      </c>
      <c r="H790" s="3" t="s">
        <v>21</v>
      </c>
      <c r="I790" s="3">
        <v>11.95</v>
      </c>
      <c r="J790" s="3" t="s">
        <v>36</v>
      </c>
    </row>
    <row r="791" spans="1:10" s="3" customFormat="1" x14ac:dyDescent="0.25">
      <c r="A791" s="2">
        <v>92</v>
      </c>
      <c r="B791" s="3" t="s">
        <v>28</v>
      </c>
      <c r="C791" s="3">
        <v>647</v>
      </c>
      <c r="D791" s="3">
        <v>1</v>
      </c>
      <c r="E791" s="3" t="s">
        <v>33</v>
      </c>
      <c r="F791" s="3" t="s">
        <v>34</v>
      </c>
      <c r="G791" s="3" t="str">
        <f>"2026-02-21 07:46:34.470"</f>
        <v>2026-02-21 07:46:34.470</v>
      </c>
      <c r="H791" s="3" t="s">
        <v>21</v>
      </c>
    </row>
    <row r="792" spans="1:10" s="3" customFormat="1" x14ac:dyDescent="0.25">
      <c r="A792" s="2">
        <v>93</v>
      </c>
      <c r="B792" s="3" t="s">
        <v>31</v>
      </c>
      <c r="C792" s="3">
        <v>647</v>
      </c>
      <c r="D792" s="3">
        <v>1</v>
      </c>
      <c r="E792" s="3" t="s">
        <v>33</v>
      </c>
      <c r="F792" s="3" t="s">
        <v>34</v>
      </c>
      <c r="G792" s="3" t="str">
        <f>"2026-02-21 07:46:32.570"</f>
        <v>2026-02-21 07:46:32.570</v>
      </c>
      <c r="H792" s="3" t="s">
        <v>21</v>
      </c>
      <c r="I792" s="3">
        <v>10.51</v>
      </c>
      <c r="J792" s="3" t="s">
        <v>35</v>
      </c>
    </row>
    <row r="793" spans="1:10" x14ac:dyDescent="0.25">
      <c r="A793" s="1">
        <v>94</v>
      </c>
      <c r="B793" t="s">
        <v>28</v>
      </c>
      <c r="C793">
        <v>61</v>
      </c>
      <c r="D793">
        <v>2</v>
      </c>
      <c r="E793" t="s">
        <v>37</v>
      </c>
      <c r="F793" t="s">
        <v>38</v>
      </c>
      <c r="G793" t="str">
        <f>"2026-02-20 17:40:23.863"</f>
        <v>2026-02-20 17:40:23.863</v>
      </c>
      <c r="H793" t="s">
        <v>21</v>
      </c>
    </row>
    <row r="794" spans="1:10" x14ac:dyDescent="0.25">
      <c r="A794" s="1">
        <v>95</v>
      </c>
      <c r="B794" t="s">
        <v>23</v>
      </c>
      <c r="C794">
        <v>61</v>
      </c>
      <c r="D794">
        <v>2</v>
      </c>
      <c r="E794" t="s">
        <v>37</v>
      </c>
      <c r="F794" t="s">
        <v>38</v>
      </c>
      <c r="G794" t="str">
        <f>"2026-02-20 17:40:06.263"</f>
        <v>2026-02-20 17:40:06.263</v>
      </c>
      <c r="H794" t="s">
        <v>21</v>
      </c>
      <c r="I794">
        <v>30.42</v>
      </c>
      <c r="J794" t="s">
        <v>35</v>
      </c>
    </row>
    <row r="795" spans="1:10" x14ac:dyDescent="0.25">
      <c r="A795" s="1">
        <v>96</v>
      </c>
      <c r="B795" t="s">
        <v>28</v>
      </c>
      <c r="C795">
        <v>635</v>
      </c>
      <c r="D795">
        <v>1</v>
      </c>
      <c r="E795" t="s">
        <v>29</v>
      </c>
      <c r="F795" t="s">
        <v>30</v>
      </c>
      <c r="G795" t="str">
        <f>"2026-02-20 11:50:43.370"</f>
        <v>2026-02-20 11:50:43.370</v>
      </c>
      <c r="H795" t="s">
        <v>21</v>
      </c>
    </row>
    <row r="796" spans="1:10" x14ac:dyDescent="0.25">
      <c r="A796" s="1">
        <v>97</v>
      </c>
      <c r="B796" t="s">
        <v>31</v>
      </c>
      <c r="C796">
        <v>635</v>
      </c>
      <c r="D796">
        <v>1</v>
      </c>
      <c r="E796" t="s">
        <v>29</v>
      </c>
      <c r="F796" t="s">
        <v>30</v>
      </c>
      <c r="G796" t="str">
        <f>"2026-02-20 11:45:59.470"</f>
        <v>2026-02-20 11:45:59.470</v>
      </c>
      <c r="H796" t="s">
        <v>21</v>
      </c>
      <c r="I796">
        <v>3.34</v>
      </c>
      <c r="J796" t="s">
        <v>36</v>
      </c>
    </row>
    <row r="797" spans="1:10" x14ac:dyDescent="0.25">
      <c r="A797" s="1">
        <v>98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"2026-02-20 11:24:25.452"</f>
        <v>2026-02-20 11:24:25.452</v>
      </c>
      <c r="H797" t="s">
        <v>21</v>
      </c>
      <c r="I797">
        <v>0</v>
      </c>
      <c r="J797" t="s">
        <v>22</v>
      </c>
    </row>
    <row r="798" spans="1:10" x14ac:dyDescent="0.25">
      <c r="A798" s="1">
        <v>99</v>
      </c>
      <c r="B798" t="s">
        <v>28</v>
      </c>
      <c r="C798">
        <v>635</v>
      </c>
      <c r="D798">
        <v>1</v>
      </c>
      <c r="E798" t="s">
        <v>29</v>
      </c>
      <c r="F798" t="s">
        <v>30</v>
      </c>
      <c r="G798" t="str">
        <f>"2026-02-20 09:58:22.889"</f>
        <v>2026-02-20 09:58:22.889</v>
      </c>
      <c r="H798" t="s">
        <v>21</v>
      </c>
    </row>
    <row r="799" spans="1:10" x14ac:dyDescent="0.25">
      <c r="A799" s="1">
        <v>0</v>
      </c>
      <c r="B799" t="s">
        <v>31</v>
      </c>
      <c r="C799">
        <v>635</v>
      </c>
      <c r="D799">
        <v>1</v>
      </c>
      <c r="E799" t="s">
        <v>29</v>
      </c>
      <c r="F799" t="s">
        <v>30</v>
      </c>
      <c r="G799" t="str">
        <f>"2026-02-20 09:54:07.389"</f>
        <v>2026-02-20 09:54:07.389</v>
      </c>
      <c r="H799" t="s">
        <v>21</v>
      </c>
      <c r="I799">
        <v>3.37</v>
      </c>
      <c r="J799" t="s">
        <v>36</v>
      </c>
    </row>
    <row r="800" spans="1:10" x14ac:dyDescent="0.25">
      <c r="A800" s="1">
        <v>1</v>
      </c>
      <c r="B800" t="s">
        <v>28</v>
      </c>
      <c r="C800">
        <v>61</v>
      </c>
      <c r="D800">
        <v>2</v>
      </c>
      <c r="E800" t="s">
        <v>37</v>
      </c>
      <c r="F800" t="s">
        <v>38</v>
      </c>
      <c r="G800" t="str">
        <f>"2026-02-19 19:29:41.802"</f>
        <v>2026-02-19 19:29:41.802</v>
      </c>
      <c r="H800" t="s">
        <v>21</v>
      </c>
    </row>
    <row r="801" spans="1:10" x14ac:dyDescent="0.25">
      <c r="A801" s="1">
        <v>2</v>
      </c>
      <c r="B801" t="s">
        <v>23</v>
      </c>
      <c r="C801">
        <v>61</v>
      </c>
      <c r="D801">
        <v>2</v>
      </c>
      <c r="E801" t="s">
        <v>37</v>
      </c>
      <c r="F801" t="s">
        <v>38</v>
      </c>
      <c r="G801" t="str">
        <f>"2026-02-19 19:29:30.302"</f>
        <v>2026-02-19 19:29:30.302</v>
      </c>
      <c r="H801" t="s">
        <v>21</v>
      </c>
      <c r="I801">
        <v>29.65</v>
      </c>
      <c r="J801" t="s">
        <v>35</v>
      </c>
    </row>
    <row r="802" spans="1:10" x14ac:dyDescent="0.25">
      <c r="A802" s="1">
        <v>3</v>
      </c>
      <c r="B802" t="s">
        <v>28</v>
      </c>
      <c r="C802">
        <v>61</v>
      </c>
      <c r="D802">
        <v>2</v>
      </c>
      <c r="E802" t="s">
        <v>37</v>
      </c>
      <c r="F802" t="s">
        <v>38</v>
      </c>
      <c r="G802" t="str">
        <f>"2026-02-19 18:00:02.302"</f>
        <v>2026-02-19 18:00:02.302</v>
      </c>
      <c r="H802" t="s">
        <v>21</v>
      </c>
    </row>
    <row r="803" spans="1:10" x14ac:dyDescent="0.25">
      <c r="A803" s="1">
        <v>4</v>
      </c>
      <c r="B803" t="s">
        <v>23</v>
      </c>
      <c r="C803">
        <v>61</v>
      </c>
      <c r="D803">
        <v>2</v>
      </c>
      <c r="E803" t="s">
        <v>37</v>
      </c>
      <c r="F803" t="s">
        <v>38</v>
      </c>
      <c r="G803" t="str">
        <f>"2026-02-19 17:59:41.001"</f>
        <v>2026-02-19 17:59:41.001</v>
      </c>
      <c r="H803" t="s">
        <v>21</v>
      </c>
      <c r="I803">
        <v>30.03</v>
      </c>
      <c r="J803" t="s">
        <v>35</v>
      </c>
    </row>
    <row r="804" spans="1:10" x14ac:dyDescent="0.25">
      <c r="A804" s="1">
        <v>5</v>
      </c>
      <c r="B804" t="s">
        <v>28</v>
      </c>
      <c r="C804">
        <v>635</v>
      </c>
      <c r="D804">
        <v>1</v>
      </c>
      <c r="E804" t="s">
        <v>29</v>
      </c>
      <c r="F804" t="s">
        <v>30</v>
      </c>
      <c r="G804" t="str">
        <f>"2026-02-19 05:25:09.089"</f>
        <v>2026-02-19 05:25:09.089</v>
      </c>
      <c r="H804" t="s">
        <v>21</v>
      </c>
    </row>
    <row r="805" spans="1:10" x14ac:dyDescent="0.25">
      <c r="A805" s="1">
        <v>6</v>
      </c>
      <c r="B805" t="s">
        <v>31</v>
      </c>
      <c r="C805">
        <v>635</v>
      </c>
      <c r="D805">
        <v>1</v>
      </c>
      <c r="E805" t="s">
        <v>29</v>
      </c>
      <c r="F805" t="s">
        <v>30</v>
      </c>
      <c r="G805" t="str">
        <f>"2026-02-19 05:19:31.090"</f>
        <v>2026-02-19 05:19:31.090</v>
      </c>
      <c r="H805" t="s">
        <v>21</v>
      </c>
      <c r="I805">
        <v>1.69</v>
      </c>
      <c r="J805" t="s">
        <v>32</v>
      </c>
    </row>
    <row r="806" spans="1:10" x14ac:dyDescent="0.25">
      <c r="A806" s="1">
        <v>7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"2026-02-17 15:09:55.569"</f>
        <v>2026-02-17 15:09:55.569</v>
      </c>
      <c r="H806" t="s">
        <v>21</v>
      </c>
      <c r="I806">
        <v>0</v>
      </c>
      <c r="J806" t="s">
        <v>22</v>
      </c>
    </row>
    <row r="807" spans="1:10" x14ac:dyDescent="0.25">
      <c r="A807" s="1">
        <v>8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"2026-02-17 14:38:43.448"</f>
        <v>2026-02-17 14:38:43.448</v>
      </c>
      <c r="H807" t="s">
        <v>21</v>
      </c>
    </row>
    <row r="808" spans="1:10" x14ac:dyDescent="0.25">
      <c r="A808" s="1">
        <v>9</v>
      </c>
      <c r="B808" t="s">
        <v>28</v>
      </c>
      <c r="C808">
        <v>635</v>
      </c>
      <c r="D808">
        <v>1</v>
      </c>
      <c r="E808" t="s">
        <v>29</v>
      </c>
      <c r="F808" t="s">
        <v>30</v>
      </c>
      <c r="G808" t="str">
        <f>"2026-02-17 12:46:09.019"</f>
        <v>2026-02-17 12:46:09.019</v>
      </c>
      <c r="H808" t="s">
        <v>21</v>
      </c>
    </row>
    <row r="809" spans="1:10" x14ac:dyDescent="0.25">
      <c r="A809" s="1">
        <v>10</v>
      </c>
      <c r="B809" t="s">
        <v>31</v>
      </c>
      <c r="C809">
        <v>635</v>
      </c>
      <c r="D809">
        <v>1</v>
      </c>
      <c r="E809" t="s">
        <v>29</v>
      </c>
      <c r="F809" t="s">
        <v>30</v>
      </c>
      <c r="G809" t="str">
        <f>"2026-02-17 12:29:28.619"</f>
        <v>2026-02-17 12:29:28.619</v>
      </c>
      <c r="H809" t="s">
        <v>21</v>
      </c>
      <c r="I809">
        <v>0.43</v>
      </c>
      <c r="J809" t="s">
        <v>32</v>
      </c>
    </row>
    <row r="810" spans="1:10" x14ac:dyDescent="0.25">
      <c r="A810" s="1">
        <v>11</v>
      </c>
      <c r="B810" t="s">
        <v>28</v>
      </c>
      <c r="C810">
        <v>635</v>
      </c>
      <c r="D810">
        <v>1</v>
      </c>
      <c r="E810" t="s">
        <v>29</v>
      </c>
      <c r="F810" t="s">
        <v>30</v>
      </c>
      <c r="G810" t="str">
        <f>"2026-02-17 11:35:54.719"</f>
        <v>2026-02-17 11:35:54.719</v>
      </c>
      <c r="H810" t="s">
        <v>21</v>
      </c>
    </row>
    <row r="811" spans="1:10" x14ac:dyDescent="0.25">
      <c r="A811" s="1">
        <v>12</v>
      </c>
      <c r="B811" t="s">
        <v>31</v>
      </c>
      <c r="C811">
        <v>635</v>
      </c>
      <c r="D811">
        <v>1</v>
      </c>
      <c r="E811" t="s">
        <v>29</v>
      </c>
      <c r="F811" t="s">
        <v>30</v>
      </c>
      <c r="G811" t="str">
        <f>"2026-02-17 11:10:33.719"</f>
        <v>2026-02-17 11:10:33.719</v>
      </c>
      <c r="H811" t="s">
        <v>21</v>
      </c>
      <c r="I811">
        <v>7.48</v>
      </c>
      <c r="J811" t="s">
        <v>32</v>
      </c>
    </row>
    <row r="812" spans="1:10" x14ac:dyDescent="0.25">
      <c r="A812" s="1">
        <v>13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"2026-02-17 09:35:07.440"</f>
        <v>2026-02-17 09:35:07.440</v>
      </c>
      <c r="H812" t="s">
        <v>21</v>
      </c>
      <c r="I812">
        <v>0</v>
      </c>
      <c r="J812" t="s">
        <v>22</v>
      </c>
    </row>
    <row r="813" spans="1:10" x14ac:dyDescent="0.25">
      <c r="A813" s="1">
        <v>14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"2026-02-17 08:51:39.437"</f>
        <v>2026-02-17 08:51:39.437</v>
      </c>
      <c r="H813" t="s">
        <v>21</v>
      </c>
      <c r="I813">
        <v>0</v>
      </c>
      <c r="J813" t="s">
        <v>22</v>
      </c>
    </row>
    <row r="814" spans="1:10" x14ac:dyDescent="0.25">
      <c r="A814" s="1">
        <v>15</v>
      </c>
      <c r="B814" t="s">
        <v>19</v>
      </c>
      <c r="C814">
        <v>706</v>
      </c>
      <c r="D814">
        <v>3</v>
      </c>
      <c r="E814" t="s">
        <v>39</v>
      </c>
      <c r="F814" t="s">
        <v>49</v>
      </c>
      <c r="G814" t="str">
        <f>"2026-02-17 08:49:11.012"</f>
        <v>2026-02-17 08:49:11.012</v>
      </c>
      <c r="H814" t="s">
        <v>21</v>
      </c>
      <c r="I814">
        <v>0</v>
      </c>
      <c r="J814" t="s">
        <v>27</v>
      </c>
    </row>
    <row r="815" spans="1:10" x14ac:dyDescent="0.25">
      <c r="A815" s="1">
        <v>16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"2026-02-17 08:34:52.442"</f>
        <v>2026-02-17 08:34:52.442</v>
      </c>
      <c r="H815" t="s">
        <v>21</v>
      </c>
      <c r="I815">
        <v>0</v>
      </c>
      <c r="J815" t="s">
        <v>22</v>
      </c>
    </row>
    <row r="816" spans="1:10" x14ac:dyDescent="0.25">
      <c r="A816" s="1">
        <v>17</v>
      </c>
      <c r="B816" t="s">
        <v>19</v>
      </c>
      <c r="C816">
        <v>706</v>
      </c>
      <c r="D816">
        <v>2</v>
      </c>
      <c r="E816" t="s">
        <v>39</v>
      </c>
      <c r="F816" t="s">
        <v>48</v>
      </c>
      <c r="G816" t="str">
        <f>"2026-02-17 04:30:06.500"</f>
        <v>2026-02-17 04:30:06.500</v>
      </c>
      <c r="H816" t="s">
        <v>21</v>
      </c>
      <c r="I816">
        <v>0</v>
      </c>
      <c r="J816" t="s">
        <v>27</v>
      </c>
    </row>
    <row r="817" spans="1:10" x14ac:dyDescent="0.25">
      <c r="A817" s="1">
        <v>18</v>
      </c>
      <c r="B817" t="s">
        <v>19</v>
      </c>
      <c r="C817">
        <v>706</v>
      </c>
      <c r="D817">
        <v>3</v>
      </c>
      <c r="E817" t="s">
        <v>39</v>
      </c>
      <c r="F817" t="s">
        <v>49</v>
      </c>
      <c r="G817" t="str">
        <f>"2026-02-17 04:22:20.740"</f>
        <v>2026-02-17 04:22:20.740</v>
      </c>
      <c r="H817" t="s">
        <v>21</v>
      </c>
      <c r="I817">
        <v>0</v>
      </c>
      <c r="J817" t="s">
        <v>27</v>
      </c>
    </row>
    <row r="818" spans="1:10" x14ac:dyDescent="0.25">
      <c r="A818" s="1">
        <v>19</v>
      </c>
      <c r="B818" t="s">
        <v>19</v>
      </c>
      <c r="C818">
        <v>706</v>
      </c>
      <c r="D818">
        <v>4</v>
      </c>
      <c r="E818" t="s">
        <v>39</v>
      </c>
      <c r="F818" t="s">
        <v>40</v>
      </c>
      <c r="G818" t="str">
        <f>"2026-02-17 04:15:16.870"</f>
        <v>2026-02-17 04:15:16.870</v>
      </c>
      <c r="H818" t="s">
        <v>21</v>
      </c>
      <c r="I818">
        <v>0</v>
      </c>
      <c r="J818" t="s">
        <v>27</v>
      </c>
    </row>
    <row r="819" spans="1:10" x14ac:dyDescent="0.25">
      <c r="A819" s="1">
        <v>20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"2026-02-17 03:46:59.440"</f>
        <v>2026-02-17 03:46:59.440</v>
      </c>
      <c r="H819" t="s">
        <v>21</v>
      </c>
      <c r="I819">
        <v>0</v>
      </c>
      <c r="J819" t="s">
        <v>22</v>
      </c>
    </row>
    <row r="820" spans="1:10" x14ac:dyDescent="0.25">
      <c r="A820" s="1">
        <v>21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"2026-02-17 03:09:02.435"</f>
        <v>2026-02-17 03:09:02.435</v>
      </c>
      <c r="H820" t="s">
        <v>21</v>
      </c>
      <c r="I820">
        <v>0</v>
      </c>
      <c r="J820" t="s">
        <v>22</v>
      </c>
    </row>
    <row r="821" spans="1:10" x14ac:dyDescent="0.25">
      <c r="A821" s="1">
        <v>22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"2026-02-17 02:50:55.466"</f>
        <v>2026-02-17 02:50:55.466</v>
      </c>
      <c r="H821" t="s">
        <v>21</v>
      </c>
      <c r="I821">
        <v>0</v>
      </c>
      <c r="J821" t="s">
        <v>22</v>
      </c>
    </row>
    <row r="822" spans="1:10" x14ac:dyDescent="0.25">
      <c r="A822" s="1">
        <v>23</v>
      </c>
      <c r="B822" t="s">
        <v>28</v>
      </c>
      <c r="C822">
        <v>635</v>
      </c>
      <c r="D822">
        <v>1</v>
      </c>
      <c r="E822" t="s">
        <v>29</v>
      </c>
      <c r="F822" t="s">
        <v>30</v>
      </c>
      <c r="G822" t="str">
        <f>"2026-02-16 05:37:04.918"</f>
        <v>2026-02-16 05:37:04.918</v>
      </c>
      <c r="H822" t="s">
        <v>21</v>
      </c>
    </row>
    <row r="823" spans="1:10" x14ac:dyDescent="0.25">
      <c r="A823" s="1">
        <v>24</v>
      </c>
      <c r="B823" t="s">
        <v>31</v>
      </c>
      <c r="C823">
        <v>635</v>
      </c>
      <c r="D823">
        <v>1</v>
      </c>
      <c r="E823" t="s">
        <v>29</v>
      </c>
      <c r="F823" t="s">
        <v>30</v>
      </c>
      <c r="G823" t="str">
        <f>"2026-02-16 05:29:14.918"</f>
        <v>2026-02-16 05:29:14.918</v>
      </c>
      <c r="H823" t="s">
        <v>21</v>
      </c>
      <c r="I823">
        <v>0.23</v>
      </c>
      <c r="J823" t="s">
        <v>32</v>
      </c>
    </row>
    <row r="824" spans="1:10" x14ac:dyDescent="0.25">
      <c r="A824" s="1">
        <v>25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"2026-02-15 14:02:22.431"</f>
        <v>2026-02-15 14:02:22.431</v>
      </c>
      <c r="H824" t="s">
        <v>21</v>
      </c>
    </row>
    <row r="825" spans="1:10" x14ac:dyDescent="0.25">
      <c r="A825" s="1">
        <v>26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"2026-02-15 13:50:46.438"</f>
        <v>2026-02-15 13:50:46.438</v>
      </c>
      <c r="H825" t="s">
        <v>21</v>
      </c>
    </row>
    <row r="826" spans="1:10" x14ac:dyDescent="0.25">
      <c r="A826" s="1">
        <v>27</v>
      </c>
      <c r="B826" t="s">
        <v>28</v>
      </c>
      <c r="C826">
        <v>635</v>
      </c>
      <c r="D826">
        <v>1</v>
      </c>
      <c r="E826" t="s">
        <v>29</v>
      </c>
      <c r="F826" t="s">
        <v>30</v>
      </c>
      <c r="G826" t="str">
        <f>"2026-02-15 09:16:03.177"</f>
        <v>2026-02-15 09:16:03.177</v>
      </c>
      <c r="H826" t="s">
        <v>21</v>
      </c>
    </row>
    <row r="827" spans="1:10" x14ac:dyDescent="0.25">
      <c r="A827" s="1">
        <v>28</v>
      </c>
      <c r="B827" t="s">
        <v>31</v>
      </c>
      <c r="C827">
        <v>635</v>
      </c>
      <c r="D827">
        <v>1</v>
      </c>
      <c r="E827" t="s">
        <v>29</v>
      </c>
      <c r="F827" t="s">
        <v>30</v>
      </c>
      <c r="G827" t="str">
        <f>"2026-02-15 09:11:20.177"</f>
        <v>2026-02-15 09:11:20.177</v>
      </c>
      <c r="H827" t="s">
        <v>21</v>
      </c>
      <c r="I827">
        <v>6.42</v>
      </c>
      <c r="J827" t="s">
        <v>32</v>
      </c>
    </row>
    <row r="828" spans="1:10" x14ac:dyDescent="0.25">
      <c r="A828" s="1">
        <v>29</v>
      </c>
      <c r="B828" t="s">
        <v>28</v>
      </c>
      <c r="C828">
        <v>98</v>
      </c>
      <c r="D828">
        <v>1</v>
      </c>
      <c r="E828" t="s">
        <v>41</v>
      </c>
      <c r="F828" t="s">
        <v>42</v>
      </c>
      <c r="G828" t="str">
        <f>"2026-02-14 22:40:26.177"</f>
        <v>2026-02-14 22:40:26.177</v>
      </c>
      <c r="H828" t="s">
        <v>21</v>
      </c>
    </row>
    <row r="829" spans="1:10" x14ac:dyDescent="0.25">
      <c r="A829" s="1">
        <v>30</v>
      </c>
      <c r="B829" t="s">
        <v>31</v>
      </c>
      <c r="C829">
        <v>98</v>
      </c>
      <c r="D829">
        <v>1</v>
      </c>
      <c r="E829" t="s">
        <v>41</v>
      </c>
      <c r="F829" t="s">
        <v>42</v>
      </c>
      <c r="G829" t="str">
        <f>"2026-02-14 22:40:25.177"</f>
        <v>2026-02-14 22:40:25.177</v>
      </c>
      <c r="H829" t="s">
        <v>21</v>
      </c>
      <c r="I829">
        <v>3.91</v>
      </c>
      <c r="J829" t="s">
        <v>32</v>
      </c>
    </row>
    <row r="830" spans="1:10" x14ac:dyDescent="0.25">
      <c r="A830" s="1">
        <v>31</v>
      </c>
      <c r="B830" t="s">
        <v>28</v>
      </c>
      <c r="C830">
        <v>61</v>
      </c>
      <c r="D830">
        <v>2</v>
      </c>
      <c r="E830" t="s">
        <v>37</v>
      </c>
      <c r="F830" t="s">
        <v>38</v>
      </c>
      <c r="G830" t="str">
        <f>"2026-02-14 21:34:30.778"</f>
        <v>2026-02-14 21:34:30.778</v>
      </c>
      <c r="H830" t="s">
        <v>21</v>
      </c>
    </row>
    <row r="831" spans="1:10" x14ac:dyDescent="0.25">
      <c r="A831" s="1">
        <v>32</v>
      </c>
      <c r="B831" t="s">
        <v>23</v>
      </c>
      <c r="C831">
        <v>61</v>
      </c>
      <c r="D831">
        <v>2</v>
      </c>
      <c r="E831" t="s">
        <v>37</v>
      </c>
      <c r="F831" t="s">
        <v>38</v>
      </c>
      <c r="G831" t="str">
        <f>"2026-02-14 21:34:22.378"</f>
        <v>2026-02-14 21:34:22.378</v>
      </c>
      <c r="H831" t="s">
        <v>21</v>
      </c>
      <c r="I831">
        <v>30.15</v>
      </c>
      <c r="J831" t="s">
        <v>35</v>
      </c>
    </row>
    <row r="832" spans="1:10" x14ac:dyDescent="0.25">
      <c r="A832" s="1">
        <v>33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"2026-02-14 14:46:29.426"</f>
        <v>2026-02-14 14:46:29.426</v>
      </c>
      <c r="H832" t="s">
        <v>21</v>
      </c>
    </row>
    <row r="833" spans="1:10" x14ac:dyDescent="0.25">
      <c r="A833" s="1">
        <v>34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"2026-02-14 14:38:10.460"</f>
        <v>2026-02-14 14:38:10.460</v>
      </c>
      <c r="H833" t="s">
        <v>21</v>
      </c>
      <c r="I833">
        <v>0</v>
      </c>
      <c r="J833" t="s">
        <v>22</v>
      </c>
    </row>
    <row r="834" spans="1:10" x14ac:dyDescent="0.25">
      <c r="A834" s="1">
        <v>35</v>
      </c>
      <c r="B834" t="s">
        <v>28</v>
      </c>
      <c r="C834">
        <v>635</v>
      </c>
      <c r="D834">
        <v>1</v>
      </c>
      <c r="E834" t="s">
        <v>29</v>
      </c>
      <c r="F834" t="s">
        <v>30</v>
      </c>
      <c r="G834" t="str">
        <f>"2026-02-14 10:57:45.512"</f>
        <v>2026-02-14 10:57:45.512</v>
      </c>
      <c r="H834" t="s">
        <v>21</v>
      </c>
    </row>
    <row r="835" spans="1:10" x14ac:dyDescent="0.25">
      <c r="A835" s="1">
        <v>36</v>
      </c>
      <c r="B835" t="s">
        <v>31</v>
      </c>
      <c r="C835">
        <v>635</v>
      </c>
      <c r="D835">
        <v>1</v>
      </c>
      <c r="E835" t="s">
        <v>29</v>
      </c>
      <c r="F835" t="s">
        <v>30</v>
      </c>
      <c r="G835" t="str">
        <f>"2026-02-14 10:53:41.512"</f>
        <v>2026-02-14 10:53:41.512</v>
      </c>
      <c r="H835" t="s">
        <v>21</v>
      </c>
      <c r="I835">
        <v>7.83</v>
      </c>
      <c r="J835" t="s">
        <v>32</v>
      </c>
    </row>
    <row r="836" spans="1:10" x14ac:dyDescent="0.25">
      <c r="A836" s="1">
        <v>37</v>
      </c>
      <c r="B836" t="s">
        <v>28</v>
      </c>
      <c r="C836">
        <v>635</v>
      </c>
      <c r="D836">
        <v>1</v>
      </c>
      <c r="E836" t="s">
        <v>29</v>
      </c>
      <c r="F836" t="s">
        <v>30</v>
      </c>
      <c r="G836" t="str">
        <f>"2026-02-14 06:26:17.512"</f>
        <v>2026-02-14 06:26:17.512</v>
      </c>
      <c r="H836" t="s">
        <v>21</v>
      </c>
    </row>
    <row r="837" spans="1:10" x14ac:dyDescent="0.25">
      <c r="A837" s="1">
        <v>38</v>
      </c>
      <c r="B837" t="s">
        <v>31</v>
      </c>
      <c r="C837">
        <v>635</v>
      </c>
      <c r="D837">
        <v>1</v>
      </c>
      <c r="E837" t="s">
        <v>29</v>
      </c>
      <c r="F837" t="s">
        <v>30</v>
      </c>
      <c r="G837" t="str">
        <f>"2026-02-14 06:20:46.012"</f>
        <v>2026-02-14 06:20:46.012</v>
      </c>
      <c r="H837" t="s">
        <v>21</v>
      </c>
      <c r="I837">
        <v>1.52</v>
      </c>
      <c r="J837" t="s">
        <v>35</v>
      </c>
    </row>
    <row r="838" spans="1:10" x14ac:dyDescent="0.25">
      <c r="A838" s="1">
        <v>39</v>
      </c>
      <c r="B838" t="s">
        <v>28</v>
      </c>
      <c r="C838">
        <v>61</v>
      </c>
      <c r="D838">
        <v>2</v>
      </c>
      <c r="E838" t="s">
        <v>37</v>
      </c>
      <c r="F838" t="s">
        <v>38</v>
      </c>
      <c r="G838" t="str">
        <f>"2026-02-13 20:50:53.852"</f>
        <v>2026-02-13 20:50:53.852</v>
      </c>
      <c r="H838" t="s">
        <v>21</v>
      </c>
    </row>
    <row r="839" spans="1:10" x14ac:dyDescent="0.25">
      <c r="A839" s="1">
        <v>40</v>
      </c>
      <c r="B839" t="s">
        <v>23</v>
      </c>
      <c r="C839">
        <v>61</v>
      </c>
      <c r="D839">
        <v>2</v>
      </c>
      <c r="E839" t="s">
        <v>37</v>
      </c>
      <c r="F839" t="s">
        <v>38</v>
      </c>
      <c r="G839" t="str">
        <f>"2026-02-13 20:50:35.053"</f>
        <v>2026-02-13 20:50:35.053</v>
      </c>
      <c r="H839" t="s">
        <v>21</v>
      </c>
      <c r="I839">
        <v>29.87</v>
      </c>
      <c r="J839" t="s">
        <v>35</v>
      </c>
    </row>
    <row r="840" spans="1:10" x14ac:dyDescent="0.25">
      <c r="A840" s="1">
        <v>41</v>
      </c>
      <c r="B840" t="s">
        <v>19</v>
      </c>
      <c r="C840">
        <v>706</v>
      </c>
      <c r="D840">
        <v>3</v>
      </c>
      <c r="E840" t="s">
        <v>39</v>
      </c>
      <c r="F840" t="s">
        <v>49</v>
      </c>
      <c r="G840" t="str">
        <f>"2026-02-13 08:52:49.423"</f>
        <v>2026-02-13 08:52:49.423</v>
      </c>
      <c r="H840" t="s">
        <v>21</v>
      </c>
      <c r="I840">
        <v>0</v>
      </c>
      <c r="J840" t="s">
        <v>27</v>
      </c>
    </row>
    <row r="841" spans="1:10" x14ac:dyDescent="0.25">
      <c r="A841" s="1">
        <v>42</v>
      </c>
      <c r="B841" t="s">
        <v>19</v>
      </c>
      <c r="C841">
        <v>706</v>
      </c>
      <c r="D841">
        <v>4</v>
      </c>
      <c r="E841" t="s">
        <v>39</v>
      </c>
      <c r="F841" t="s">
        <v>40</v>
      </c>
      <c r="G841" t="str">
        <f>"2026-02-13 08:48:40.253"</f>
        <v>2026-02-13 08:48:40.253</v>
      </c>
      <c r="H841" t="s">
        <v>21</v>
      </c>
      <c r="I841">
        <v>0</v>
      </c>
      <c r="J841" t="s">
        <v>27</v>
      </c>
    </row>
    <row r="842" spans="1:10" x14ac:dyDescent="0.25">
      <c r="A842" s="1">
        <v>43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"2026-02-13 08:40:37.423"</f>
        <v>2026-02-13 08:40:37.423</v>
      </c>
      <c r="H842" t="s">
        <v>21</v>
      </c>
    </row>
    <row r="843" spans="1:10" x14ac:dyDescent="0.25">
      <c r="A843" s="1">
        <v>44</v>
      </c>
      <c r="B843" t="s">
        <v>19</v>
      </c>
      <c r="C843">
        <v>706</v>
      </c>
      <c r="D843">
        <v>4</v>
      </c>
      <c r="E843" t="s">
        <v>39</v>
      </c>
      <c r="F843" t="s">
        <v>40</v>
      </c>
      <c r="G843" t="str">
        <f>"2026-02-13 08:32:25.268"</f>
        <v>2026-02-13 08:32:25.268</v>
      </c>
      <c r="H843" t="s">
        <v>21</v>
      </c>
      <c r="I843">
        <v>0</v>
      </c>
      <c r="J843" t="s">
        <v>27</v>
      </c>
    </row>
    <row r="844" spans="1:10" x14ac:dyDescent="0.25">
      <c r="A844" s="1">
        <v>45</v>
      </c>
      <c r="B844" t="s">
        <v>19</v>
      </c>
      <c r="C844">
        <v>706</v>
      </c>
      <c r="D844">
        <v>2</v>
      </c>
      <c r="E844" t="s">
        <v>39</v>
      </c>
      <c r="F844" t="s">
        <v>48</v>
      </c>
      <c r="G844" t="str">
        <f>"2026-02-13 08:29:34.178"</f>
        <v>2026-02-13 08:29:34.178</v>
      </c>
      <c r="H844" t="s">
        <v>21</v>
      </c>
      <c r="I844">
        <v>0</v>
      </c>
      <c r="J844" t="s">
        <v>27</v>
      </c>
    </row>
    <row r="845" spans="1:10" x14ac:dyDescent="0.25">
      <c r="A845" s="1">
        <v>46</v>
      </c>
      <c r="B845" t="s">
        <v>19</v>
      </c>
      <c r="C845">
        <v>706</v>
      </c>
      <c r="D845">
        <v>4</v>
      </c>
      <c r="E845" t="s">
        <v>39</v>
      </c>
      <c r="F845" t="s">
        <v>40</v>
      </c>
      <c r="G845" t="str">
        <f>"2026-02-13 08:29:15.478"</f>
        <v>2026-02-13 08:29:15.478</v>
      </c>
      <c r="H845" t="s">
        <v>21</v>
      </c>
      <c r="I845">
        <v>0</v>
      </c>
      <c r="J845" t="s">
        <v>27</v>
      </c>
    </row>
    <row r="846" spans="1:10" x14ac:dyDescent="0.25">
      <c r="A846" s="1">
        <v>47</v>
      </c>
      <c r="B846" t="s">
        <v>19</v>
      </c>
      <c r="C846">
        <v>706</v>
      </c>
      <c r="D846">
        <v>4</v>
      </c>
      <c r="E846" t="s">
        <v>39</v>
      </c>
      <c r="F846" t="s">
        <v>40</v>
      </c>
      <c r="G846" t="str">
        <f>"2026-02-13 08:28:49.668"</f>
        <v>2026-02-13 08:28:49.668</v>
      </c>
      <c r="H846" t="s">
        <v>21</v>
      </c>
      <c r="I846">
        <v>0</v>
      </c>
      <c r="J846" t="s">
        <v>27</v>
      </c>
    </row>
    <row r="847" spans="1:10" x14ac:dyDescent="0.25">
      <c r="A847" s="1">
        <v>48</v>
      </c>
      <c r="B847" t="s">
        <v>19</v>
      </c>
      <c r="C847">
        <v>706</v>
      </c>
      <c r="D847">
        <v>3</v>
      </c>
      <c r="E847" t="s">
        <v>39</v>
      </c>
      <c r="F847" t="s">
        <v>49</v>
      </c>
      <c r="G847" t="str">
        <f>"2026-02-13 08:27:50.158"</f>
        <v>2026-02-13 08:27:50.158</v>
      </c>
      <c r="H847" t="s">
        <v>21</v>
      </c>
      <c r="I847">
        <v>0</v>
      </c>
      <c r="J847" t="s">
        <v>27</v>
      </c>
    </row>
    <row r="848" spans="1:10" x14ac:dyDescent="0.25">
      <c r="A848" s="1">
        <v>49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"2026-02-13 08:26:13.418"</f>
        <v>2026-02-13 08:26:13.418</v>
      </c>
      <c r="H848" t="s">
        <v>21</v>
      </c>
    </row>
    <row r="849" spans="1:10" x14ac:dyDescent="0.25">
      <c r="A849" s="1">
        <v>50</v>
      </c>
      <c r="B849" t="s">
        <v>19</v>
      </c>
      <c r="C849">
        <v>706</v>
      </c>
      <c r="D849">
        <v>2</v>
      </c>
      <c r="E849" t="s">
        <v>39</v>
      </c>
      <c r="F849" t="s">
        <v>48</v>
      </c>
      <c r="G849" t="str">
        <f>"2026-02-13 08:24:27.405"</f>
        <v>2026-02-13 08:24:27.405</v>
      </c>
      <c r="H849" t="s">
        <v>21</v>
      </c>
      <c r="I849">
        <v>0</v>
      </c>
      <c r="J849" t="s">
        <v>27</v>
      </c>
    </row>
    <row r="850" spans="1:10" x14ac:dyDescent="0.25">
      <c r="A850" s="1">
        <v>51</v>
      </c>
      <c r="B850" t="s">
        <v>19</v>
      </c>
      <c r="C850">
        <v>706</v>
      </c>
      <c r="D850">
        <v>4</v>
      </c>
      <c r="E850" t="s">
        <v>39</v>
      </c>
      <c r="F850" t="s">
        <v>40</v>
      </c>
      <c r="G850" t="str">
        <f>"2026-02-13 08:24:10.545"</f>
        <v>2026-02-13 08:24:10.545</v>
      </c>
      <c r="H850" t="s">
        <v>21</v>
      </c>
      <c r="I850">
        <v>0</v>
      </c>
      <c r="J850" t="s">
        <v>27</v>
      </c>
    </row>
    <row r="851" spans="1:10" x14ac:dyDescent="0.25">
      <c r="A851" s="1">
        <v>52</v>
      </c>
      <c r="B851" t="s">
        <v>19</v>
      </c>
      <c r="C851">
        <v>706</v>
      </c>
      <c r="D851">
        <v>3</v>
      </c>
      <c r="E851" t="s">
        <v>39</v>
      </c>
      <c r="F851" t="s">
        <v>49</v>
      </c>
      <c r="G851" t="str">
        <f>"2026-02-13 08:20:33.925"</f>
        <v>2026-02-13 08:20:33.925</v>
      </c>
      <c r="H851" t="s">
        <v>21</v>
      </c>
      <c r="I851">
        <v>0</v>
      </c>
      <c r="J851" t="s">
        <v>27</v>
      </c>
    </row>
    <row r="852" spans="1:10" x14ac:dyDescent="0.25">
      <c r="A852" s="1">
        <v>53</v>
      </c>
      <c r="B852" t="s">
        <v>19</v>
      </c>
      <c r="C852">
        <v>706</v>
      </c>
      <c r="D852">
        <v>4</v>
      </c>
      <c r="E852" t="s">
        <v>39</v>
      </c>
      <c r="F852" t="s">
        <v>40</v>
      </c>
      <c r="G852" t="str">
        <f>"2026-02-13 08:17:45.255"</f>
        <v>2026-02-13 08:17:45.255</v>
      </c>
      <c r="H852" t="s">
        <v>21</v>
      </c>
      <c r="I852">
        <v>0</v>
      </c>
      <c r="J852" t="s">
        <v>27</v>
      </c>
    </row>
    <row r="853" spans="1:10" x14ac:dyDescent="0.25">
      <c r="A853" s="1">
        <v>54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"2026-02-13 08:14:02.415"</f>
        <v>2026-02-13 08:14:02.415</v>
      </c>
      <c r="H853" t="s">
        <v>21</v>
      </c>
    </row>
    <row r="854" spans="1:10" x14ac:dyDescent="0.25">
      <c r="A854" s="1">
        <v>55</v>
      </c>
      <c r="B854" t="s">
        <v>19</v>
      </c>
      <c r="C854">
        <v>706</v>
      </c>
      <c r="D854">
        <v>2</v>
      </c>
      <c r="E854" t="s">
        <v>39</v>
      </c>
      <c r="F854" t="s">
        <v>48</v>
      </c>
      <c r="G854" t="str">
        <f>"2026-02-13 08:12:37.701"</f>
        <v>2026-02-13 08:12:37.701</v>
      </c>
      <c r="H854" t="s">
        <v>21</v>
      </c>
      <c r="I854">
        <v>0</v>
      </c>
      <c r="J854" t="s">
        <v>27</v>
      </c>
    </row>
    <row r="855" spans="1:10" x14ac:dyDescent="0.25">
      <c r="A855" s="1">
        <v>56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"2026-02-13 08:02:32.431"</f>
        <v>2026-02-13 08:02:32.431</v>
      </c>
      <c r="H855" t="s">
        <v>21</v>
      </c>
      <c r="I855">
        <v>0</v>
      </c>
      <c r="J855" t="s">
        <v>22</v>
      </c>
    </row>
    <row r="856" spans="1:10" x14ac:dyDescent="0.25">
      <c r="A856" s="1">
        <v>57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"2026-02-13 07:55:08.464"</f>
        <v>2026-02-13 07:55:08.464</v>
      </c>
      <c r="H856" t="s">
        <v>21</v>
      </c>
      <c r="I856">
        <v>0</v>
      </c>
      <c r="J856" t="s">
        <v>22</v>
      </c>
    </row>
    <row r="857" spans="1:10" x14ac:dyDescent="0.25">
      <c r="A857" s="1">
        <v>58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"2026-02-13 07:39:59.413"</f>
        <v>2026-02-13 07:39:59.413</v>
      </c>
      <c r="H857" t="s">
        <v>21</v>
      </c>
      <c r="I857">
        <v>0</v>
      </c>
      <c r="J857" t="s">
        <v>22</v>
      </c>
    </row>
    <row r="858" spans="1:10" x14ac:dyDescent="0.25">
      <c r="A858" s="1">
        <v>59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"2026-02-13 05:46:09.433"</f>
        <v>2026-02-13 05:46:09.433</v>
      </c>
      <c r="H858" t="s">
        <v>21</v>
      </c>
      <c r="I858">
        <v>0</v>
      </c>
      <c r="J858" t="s">
        <v>22</v>
      </c>
    </row>
    <row r="859" spans="1:10" x14ac:dyDescent="0.25">
      <c r="A859" s="1">
        <v>60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"2026-02-13 04:48:25.425"</f>
        <v>2026-02-13 04:48:25.425</v>
      </c>
      <c r="H859" t="s">
        <v>21</v>
      </c>
      <c r="I859">
        <v>0</v>
      </c>
      <c r="J859" t="s">
        <v>22</v>
      </c>
    </row>
    <row r="860" spans="1:10" x14ac:dyDescent="0.25">
      <c r="A860" s="1">
        <v>61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"2026-02-13 04:26:22.416"</f>
        <v>2026-02-13 04:26:22.416</v>
      </c>
      <c r="H860" t="s">
        <v>21</v>
      </c>
    </row>
    <row r="861" spans="1:10" x14ac:dyDescent="0.25">
      <c r="A861" s="1">
        <v>62</v>
      </c>
      <c r="B861" t="s">
        <v>19</v>
      </c>
      <c r="C861">
        <v>706</v>
      </c>
      <c r="D861">
        <v>3</v>
      </c>
      <c r="E861" t="s">
        <v>39</v>
      </c>
      <c r="F861" t="s">
        <v>49</v>
      </c>
      <c r="G861" t="str">
        <f>"2026-02-13 04:24:23.848"</f>
        <v>2026-02-13 04:24:23.848</v>
      </c>
      <c r="H861" t="s">
        <v>21</v>
      </c>
      <c r="I861">
        <v>0</v>
      </c>
      <c r="J861" t="s">
        <v>27</v>
      </c>
    </row>
    <row r="862" spans="1:10" x14ac:dyDescent="0.25">
      <c r="A862" s="1">
        <v>63</v>
      </c>
      <c r="B862" t="s">
        <v>19</v>
      </c>
      <c r="C862">
        <v>706</v>
      </c>
      <c r="D862">
        <v>4</v>
      </c>
      <c r="E862" t="s">
        <v>39</v>
      </c>
      <c r="F862" t="s">
        <v>40</v>
      </c>
      <c r="G862" t="str">
        <f>"2026-02-12 14:56:54.588"</f>
        <v>2026-02-12 14:56:54.588</v>
      </c>
      <c r="H862" t="s">
        <v>21</v>
      </c>
      <c r="I862">
        <v>0</v>
      </c>
      <c r="J862" t="s">
        <v>27</v>
      </c>
    </row>
    <row r="863" spans="1:10" x14ac:dyDescent="0.25">
      <c r="A863" s="1">
        <v>64</v>
      </c>
      <c r="B863" t="s">
        <v>19</v>
      </c>
      <c r="C863">
        <v>706</v>
      </c>
      <c r="D863">
        <v>3</v>
      </c>
      <c r="E863" t="s">
        <v>39</v>
      </c>
      <c r="F863" t="s">
        <v>49</v>
      </c>
      <c r="G863" t="str">
        <f>"2026-02-12 14:56:40.978"</f>
        <v>2026-02-12 14:56:40.978</v>
      </c>
      <c r="H863" t="s">
        <v>21</v>
      </c>
      <c r="I863">
        <v>0</v>
      </c>
      <c r="J863" t="s">
        <v>27</v>
      </c>
    </row>
    <row r="864" spans="1:10" x14ac:dyDescent="0.25">
      <c r="A864" s="1">
        <v>65</v>
      </c>
      <c r="B864" t="s">
        <v>19</v>
      </c>
      <c r="C864">
        <v>706</v>
      </c>
      <c r="D864">
        <v>2</v>
      </c>
      <c r="E864" t="s">
        <v>39</v>
      </c>
      <c r="F864" t="s">
        <v>48</v>
      </c>
      <c r="G864" t="str">
        <f>"2026-02-12 14:49:20.088"</f>
        <v>2026-02-12 14:49:20.088</v>
      </c>
      <c r="H864" t="s">
        <v>21</v>
      </c>
      <c r="I864">
        <v>0</v>
      </c>
      <c r="J864" t="s">
        <v>27</v>
      </c>
    </row>
    <row r="865" spans="1:10" x14ac:dyDescent="0.25">
      <c r="A865" s="1">
        <v>66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"2026-02-12 14:21:24.418"</f>
        <v>2026-02-12 14:21:24.418</v>
      </c>
      <c r="H865" t="s">
        <v>21</v>
      </c>
      <c r="I865">
        <v>0</v>
      </c>
      <c r="J865" t="s">
        <v>22</v>
      </c>
    </row>
    <row r="866" spans="1:10" x14ac:dyDescent="0.25">
      <c r="A866" s="1">
        <v>67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"2026-02-12 14:01:40.418"</f>
        <v>2026-02-12 14:01:40.418</v>
      </c>
      <c r="H866" t="s">
        <v>21</v>
      </c>
      <c r="I866">
        <v>0</v>
      </c>
      <c r="J866" t="s">
        <v>22</v>
      </c>
    </row>
    <row r="867" spans="1:10" x14ac:dyDescent="0.25">
      <c r="A867" s="1">
        <v>68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"2026-02-12 12:50:47.413"</f>
        <v>2026-02-12 12:50:47.413</v>
      </c>
      <c r="H867" t="s">
        <v>21</v>
      </c>
    </row>
    <row r="868" spans="1:10" x14ac:dyDescent="0.25">
      <c r="A868" s="1">
        <v>69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"2026-02-12 11:54:20.421"</f>
        <v>2026-02-12 11:54:20.421</v>
      </c>
      <c r="H868" t="s">
        <v>21</v>
      </c>
      <c r="I868">
        <v>0</v>
      </c>
      <c r="J868" t="s">
        <v>22</v>
      </c>
    </row>
    <row r="869" spans="1:10" x14ac:dyDescent="0.25">
      <c r="A869" s="1">
        <v>70</v>
      </c>
      <c r="B869" t="s">
        <v>19</v>
      </c>
      <c r="C869">
        <v>706</v>
      </c>
      <c r="D869">
        <v>2</v>
      </c>
      <c r="E869" t="s">
        <v>39</v>
      </c>
      <c r="F869" t="s">
        <v>48</v>
      </c>
      <c r="G869" t="str">
        <f>"2026-02-12 11:32:38.350"</f>
        <v>2026-02-12 11:32:38.350</v>
      </c>
      <c r="H869" t="s">
        <v>21</v>
      </c>
      <c r="I869">
        <v>0</v>
      </c>
      <c r="J869" t="s">
        <v>27</v>
      </c>
    </row>
    <row r="870" spans="1:10" x14ac:dyDescent="0.25">
      <c r="A870" s="1">
        <v>71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"2026-02-12 11:27:13.420"</f>
        <v>2026-02-12 11:27:13.420</v>
      </c>
      <c r="H870" t="s">
        <v>21</v>
      </c>
      <c r="I870">
        <v>0</v>
      </c>
      <c r="J870" t="s">
        <v>22</v>
      </c>
    </row>
    <row r="871" spans="1:10" x14ac:dyDescent="0.25">
      <c r="A871" s="1">
        <v>72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"2026-02-12 11:15:17.417"</f>
        <v>2026-02-12 11:15:17.417</v>
      </c>
      <c r="H871" t="s">
        <v>21</v>
      </c>
    </row>
    <row r="872" spans="1:10" x14ac:dyDescent="0.25">
      <c r="A872" s="1">
        <v>73</v>
      </c>
      <c r="B872" t="s">
        <v>28</v>
      </c>
      <c r="C872">
        <v>635</v>
      </c>
      <c r="D872">
        <v>1</v>
      </c>
      <c r="E872" t="s">
        <v>29</v>
      </c>
      <c r="F872" t="s">
        <v>30</v>
      </c>
      <c r="G872" t="str">
        <f>"2026-02-12 08:52:56.255"</f>
        <v>2026-02-12 08:52:56.255</v>
      </c>
      <c r="H872" t="s">
        <v>21</v>
      </c>
    </row>
    <row r="873" spans="1:10" x14ac:dyDescent="0.25">
      <c r="A873" s="1">
        <v>74</v>
      </c>
      <c r="B873" t="s">
        <v>31</v>
      </c>
      <c r="C873">
        <v>635</v>
      </c>
      <c r="D873">
        <v>1</v>
      </c>
      <c r="E873" t="s">
        <v>29</v>
      </c>
      <c r="F873" t="s">
        <v>30</v>
      </c>
      <c r="G873" t="str">
        <f>"2026-02-12 08:34:16.255"</f>
        <v>2026-02-12 08:34:16.255</v>
      </c>
      <c r="H873" t="s">
        <v>21</v>
      </c>
      <c r="I873">
        <v>3.33</v>
      </c>
      <c r="J873" t="s">
        <v>32</v>
      </c>
    </row>
    <row r="874" spans="1:10" x14ac:dyDescent="0.25">
      <c r="A874" s="1">
        <v>75</v>
      </c>
      <c r="B874" t="s">
        <v>28</v>
      </c>
      <c r="C874">
        <v>42</v>
      </c>
      <c r="D874">
        <v>1</v>
      </c>
      <c r="E874" t="s">
        <v>55</v>
      </c>
      <c r="F874" t="s">
        <v>56</v>
      </c>
      <c r="G874" t="str">
        <f>"2026-02-11 15:01:25.625"</f>
        <v>2026-02-11 15:01:25.625</v>
      </c>
      <c r="H874" t="s">
        <v>57</v>
      </c>
    </row>
    <row r="875" spans="1:10" x14ac:dyDescent="0.25">
      <c r="A875" s="1">
        <v>76</v>
      </c>
      <c r="B875" t="s">
        <v>31</v>
      </c>
      <c r="C875">
        <v>42</v>
      </c>
      <c r="D875">
        <v>1</v>
      </c>
      <c r="E875" t="s">
        <v>55</v>
      </c>
      <c r="F875" t="s">
        <v>56</v>
      </c>
      <c r="G875" t="str">
        <f>"2026-02-11 15:01:07.905"</f>
        <v>2026-02-11 15:01:07.905</v>
      </c>
      <c r="H875" t="s">
        <v>57</v>
      </c>
      <c r="I875">
        <v>0</v>
      </c>
      <c r="J875" t="s">
        <v>27</v>
      </c>
    </row>
    <row r="876" spans="1:10" x14ac:dyDescent="0.25">
      <c r="A876" s="1">
        <v>77</v>
      </c>
      <c r="B876" t="s">
        <v>28</v>
      </c>
      <c r="C876">
        <v>635</v>
      </c>
      <c r="D876">
        <v>1</v>
      </c>
      <c r="E876" t="s">
        <v>29</v>
      </c>
      <c r="F876" t="s">
        <v>30</v>
      </c>
      <c r="G876" t="str">
        <f>"2026-02-11 12:34:52.255"</f>
        <v>2026-02-11 12:34:52.255</v>
      </c>
      <c r="H876" t="s">
        <v>21</v>
      </c>
    </row>
    <row r="877" spans="1:10" x14ac:dyDescent="0.25">
      <c r="A877" s="1">
        <v>78</v>
      </c>
      <c r="B877" t="s">
        <v>31</v>
      </c>
      <c r="C877">
        <v>635</v>
      </c>
      <c r="D877">
        <v>1</v>
      </c>
      <c r="E877" t="s">
        <v>29</v>
      </c>
      <c r="F877" t="s">
        <v>30</v>
      </c>
      <c r="G877" t="str">
        <f>"2026-02-11 12:28:51.755"</f>
        <v>2026-02-11 12:28:51.755</v>
      </c>
      <c r="H877" t="s">
        <v>21</v>
      </c>
      <c r="I877">
        <v>8.57</v>
      </c>
      <c r="J877" t="s">
        <v>32</v>
      </c>
    </row>
    <row r="878" spans="1:10" x14ac:dyDescent="0.25">
      <c r="A878" s="1">
        <v>79</v>
      </c>
      <c r="B878" t="s">
        <v>28</v>
      </c>
      <c r="C878">
        <v>61</v>
      </c>
      <c r="D878">
        <v>2</v>
      </c>
      <c r="E878" t="s">
        <v>37</v>
      </c>
      <c r="F878" t="s">
        <v>38</v>
      </c>
      <c r="G878" t="str">
        <f>"2026-02-11 07:25:07.168"</f>
        <v>2026-02-11 07:25:07.168</v>
      </c>
      <c r="H878" t="s">
        <v>21</v>
      </c>
    </row>
    <row r="879" spans="1:10" x14ac:dyDescent="0.25">
      <c r="A879" s="1">
        <v>80</v>
      </c>
      <c r="B879" t="s">
        <v>23</v>
      </c>
      <c r="C879">
        <v>61</v>
      </c>
      <c r="D879">
        <v>2</v>
      </c>
      <c r="E879" t="s">
        <v>37</v>
      </c>
      <c r="F879" t="s">
        <v>38</v>
      </c>
      <c r="G879" t="str">
        <f>"2026-02-11 07:24:51.968"</f>
        <v>2026-02-11 07:24:51.968</v>
      </c>
      <c r="H879" t="s">
        <v>21</v>
      </c>
      <c r="I879">
        <v>30.47</v>
      </c>
      <c r="J879" t="s">
        <v>35</v>
      </c>
    </row>
    <row r="880" spans="1:10" x14ac:dyDescent="0.25">
      <c r="A880" s="1">
        <v>81</v>
      </c>
      <c r="B880" t="s">
        <v>28</v>
      </c>
      <c r="C880">
        <v>635</v>
      </c>
      <c r="D880">
        <v>1</v>
      </c>
      <c r="E880" t="s">
        <v>29</v>
      </c>
      <c r="F880" t="s">
        <v>30</v>
      </c>
      <c r="G880" t="str">
        <f>"2026-02-10 19:35:41.455"</f>
        <v>2026-02-10 19:35:41.455</v>
      </c>
      <c r="H880" t="s">
        <v>21</v>
      </c>
    </row>
    <row r="881" spans="1:10" x14ac:dyDescent="0.25">
      <c r="A881" s="1">
        <v>82</v>
      </c>
      <c r="B881" t="s">
        <v>31</v>
      </c>
      <c r="C881">
        <v>635</v>
      </c>
      <c r="D881">
        <v>1</v>
      </c>
      <c r="E881" t="s">
        <v>29</v>
      </c>
      <c r="F881" t="s">
        <v>30</v>
      </c>
      <c r="G881" t="str">
        <f>"2026-02-10 19:33:54.955"</f>
        <v>2026-02-10 19:33:54.955</v>
      </c>
      <c r="H881" t="s">
        <v>21</v>
      </c>
      <c r="I881">
        <v>0</v>
      </c>
      <c r="J881" t="s">
        <v>36</v>
      </c>
    </row>
    <row r="882" spans="1:10" x14ac:dyDescent="0.25">
      <c r="A882" s="1">
        <v>83</v>
      </c>
      <c r="B882" t="s">
        <v>28</v>
      </c>
      <c r="C882">
        <v>98</v>
      </c>
      <c r="D882">
        <v>1</v>
      </c>
      <c r="E882" t="s">
        <v>41</v>
      </c>
      <c r="F882" t="s">
        <v>42</v>
      </c>
      <c r="G882" t="str">
        <f>"2026-02-09 20:29:04.667"</f>
        <v>2026-02-09 20:29:04.667</v>
      </c>
      <c r="H882" t="s">
        <v>21</v>
      </c>
    </row>
    <row r="883" spans="1:10" x14ac:dyDescent="0.25">
      <c r="A883" s="1">
        <v>84</v>
      </c>
      <c r="B883" t="s">
        <v>31</v>
      </c>
      <c r="C883">
        <v>98</v>
      </c>
      <c r="D883">
        <v>1</v>
      </c>
      <c r="E883" t="s">
        <v>41</v>
      </c>
      <c r="F883" t="s">
        <v>42</v>
      </c>
      <c r="G883" t="str">
        <f>"2026-02-09 20:29:03.668"</f>
        <v>2026-02-09 20:29:03.668</v>
      </c>
      <c r="H883" t="s">
        <v>21</v>
      </c>
      <c r="I883">
        <v>0</v>
      </c>
      <c r="J883" t="s">
        <v>36</v>
      </c>
    </row>
    <row r="884" spans="1:10" x14ac:dyDescent="0.25">
      <c r="A884" s="1">
        <v>85</v>
      </c>
      <c r="B884" t="s">
        <v>19</v>
      </c>
      <c r="C884">
        <v>706</v>
      </c>
      <c r="D884">
        <v>4</v>
      </c>
      <c r="E884" t="s">
        <v>39</v>
      </c>
      <c r="F884" t="s">
        <v>40</v>
      </c>
      <c r="G884" t="str">
        <f>"2026-02-09 15:38:02.597"</f>
        <v>2026-02-09 15:38:02.597</v>
      </c>
      <c r="H884" t="s">
        <v>21</v>
      </c>
      <c r="I884">
        <v>0</v>
      </c>
      <c r="J884" t="s">
        <v>27</v>
      </c>
    </row>
    <row r="885" spans="1:10" x14ac:dyDescent="0.25">
      <c r="A885" s="1">
        <v>86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"2026-02-09 15:15:09.407"</f>
        <v>2026-02-09 15:15:09.407</v>
      </c>
      <c r="H885" t="s">
        <v>21</v>
      </c>
      <c r="I885">
        <v>0</v>
      </c>
      <c r="J885" t="s">
        <v>22</v>
      </c>
    </row>
    <row r="886" spans="1:10" x14ac:dyDescent="0.25">
      <c r="A886" s="1">
        <v>87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"2026-02-09 14:11:39.402"</f>
        <v>2026-02-09 14:11:39.402</v>
      </c>
      <c r="H886" t="s">
        <v>21</v>
      </c>
      <c r="I886">
        <v>0</v>
      </c>
      <c r="J886" t="s">
        <v>22</v>
      </c>
    </row>
    <row r="887" spans="1:10" x14ac:dyDescent="0.25">
      <c r="A887" s="1">
        <v>88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"2026-02-09 11:33:02.421"</f>
        <v>2026-02-09 11:33:02.421</v>
      </c>
      <c r="H887" t="s">
        <v>21</v>
      </c>
      <c r="I887">
        <v>0</v>
      </c>
      <c r="J887" t="s">
        <v>22</v>
      </c>
    </row>
    <row r="888" spans="1:10" x14ac:dyDescent="0.25">
      <c r="A888" s="1">
        <v>89</v>
      </c>
      <c r="B888" t="s">
        <v>28</v>
      </c>
      <c r="C888">
        <v>635</v>
      </c>
      <c r="D888">
        <v>1</v>
      </c>
      <c r="E888" t="s">
        <v>29</v>
      </c>
      <c r="F888" t="s">
        <v>30</v>
      </c>
      <c r="G888" t="str">
        <f>"2026-02-09 10:54:29.558"</f>
        <v>2026-02-09 10:54:29.558</v>
      </c>
      <c r="H888" t="s">
        <v>21</v>
      </c>
    </row>
    <row r="889" spans="1:10" x14ac:dyDescent="0.25">
      <c r="A889" s="1">
        <v>90</v>
      </c>
      <c r="B889" t="s">
        <v>31</v>
      </c>
      <c r="C889">
        <v>635</v>
      </c>
      <c r="D889">
        <v>1</v>
      </c>
      <c r="E889" t="s">
        <v>29</v>
      </c>
      <c r="F889" t="s">
        <v>30</v>
      </c>
      <c r="G889" t="str">
        <f>"2026-02-09 10:50:36.658"</f>
        <v>2026-02-09 10:50:36.658</v>
      </c>
      <c r="H889" t="s">
        <v>21</v>
      </c>
      <c r="I889">
        <v>3.39</v>
      </c>
      <c r="J889" t="s">
        <v>32</v>
      </c>
    </row>
    <row r="890" spans="1:10" x14ac:dyDescent="0.25">
      <c r="A890" s="1">
        <v>91</v>
      </c>
      <c r="B890" t="s">
        <v>28</v>
      </c>
      <c r="C890">
        <v>635</v>
      </c>
      <c r="D890">
        <v>1</v>
      </c>
      <c r="E890" t="s">
        <v>29</v>
      </c>
      <c r="F890" t="s">
        <v>30</v>
      </c>
      <c r="G890" t="str">
        <f>"2026-02-09 05:58:40.758"</f>
        <v>2026-02-09 05:58:40.758</v>
      </c>
      <c r="H890" t="s">
        <v>21</v>
      </c>
    </row>
    <row r="891" spans="1:10" x14ac:dyDescent="0.25">
      <c r="A891" s="1">
        <v>92</v>
      </c>
      <c r="B891" t="s">
        <v>31</v>
      </c>
      <c r="C891">
        <v>635</v>
      </c>
      <c r="D891">
        <v>1</v>
      </c>
      <c r="E891" t="s">
        <v>29</v>
      </c>
      <c r="F891" t="s">
        <v>30</v>
      </c>
      <c r="G891" t="str">
        <f>"2026-02-09 05:52:42.758"</f>
        <v>2026-02-09 05:52:42.758</v>
      </c>
      <c r="H891" t="s">
        <v>21</v>
      </c>
      <c r="I891">
        <v>0.02</v>
      </c>
      <c r="J891" t="s">
        <v>35</v>
      </c>
    </row>
    <row r="892" spans="1:10" x14ac:dyDescent="0.25">
      <c r="A892" s="1">
        <v>93</v>
      </c>
      <c r="B892" t="s">
        <v>19</v>
      </c>
      <c r="C892">
        <v>706</v>
      </c>
      <c r="D892">
        <v>2</v>
      </c>
      <c r="E892" t="s">
        <v>39</v>
      </c>
      <c r="F892" t="s">
        <v>48</v>
      </c>
      <c r="G892" t="str">
        <f>"2026-02-08 14:53:45.407"</f>
        <v>2026-02-08 14:53:45.407</v>
      </c>
      <c r="H892" t="s">
        <v>21</v>
      </c>
      <c r="I892">
        <v>0</v>
      </c>
      <c r="J892" t="s">
        <v>27</v>
      </c>
    </row>
    <row r="893" spans="1:10" x14ac:dyDescent="0.25">
      <c r="A893" s="1">
        <v>94</v>
      </c>
      <c r="B893" t="s">
        <v>19</v>
      </c>
      <c r="C893">
        <v>706</v>
      </c>
      <c r="D893">
        <v>3</v>
      </c>
      <c r="E893" t="s">
        <v>39</v>
      </c>
      <c r="F893" t="s">
        <v>49</v>
      </c>
      <c r="G893" t="str">
        <f>"2026-02-08 14:53:33.707"</f>
        <v>2026-02-08 14:53:33.707</v>
      </c>
      <c r="H893" t="s">
        <v>21</v>
      </c>
      <c r="I893">
        <v>0</v>
      </c>
      <c r="J893" t="s">
        <v>27</v>
      </c>
    </row>
    <row r="894" spans="1:10" x14ac:dyDescent="0.25">
      <c r="A894" s="1">
        <v>95</v>
      </c>
      <c r="B894" t="s">
        <v>28</v>
      </c>
      <c r="C894">
        <v>42</v>
      </c>
      <c r="D894">
        <v>1</v>
      </c>
      <c r="E894" t="s">
        <v>55</v>
      </c>
      <c r="F894" t="s">
        <v>56</v>
      </c>
      <c r="G894" t="str">
        <f>"2026-02-08 14:44:05.435"</f>
        <v>2026-02-08 14:44:05.435</v>
      </c>
      <c r="H894" t="s">
        <v>57</v>
      </c>
    </row>
    <row r="895" spans="1:10" x14ac:dyDescent="0.25">
      <c r="A895" s="1">
        <v>96</v>
      </c>
      <c r="B895" t="s">
        <v>31</v>
      </c>
      <c r="C895">
        <v>42</v>
      </c>
      <c r="D895">
        <v>1</v>
      </c>
      <c r="E895" t="s">
        <v>55</v>
      </c>
      <c r="F895" t="s">
        <v>56</v>
      </c>
      <c r="G895" t="str">
        <f>"2026-02-08 14:43:46.516"</f>
        <v>2026-02-08 14:43:46.516</v>
      </c>
      <c r="H895" t="s">
        <v>57</v>
      </c>
      <c r="I895">
        <v>0</v>
      </c>
      <c r="J895" t="s">
        <v>27</v>
      </c>
    </row>
    <row r="896" spans="1:10" x14ac:dyDescent="0.25">
      <c r="A896" s="1">
        <v>97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"2026-02-08 14:35:36.407"</f>
        <v>2026-02-08 14:35:36.407</v>
      </c>
      <c r="H896" t="s">
        <v>21</v>
      </c>
      <c r="I896">
        <v>0</v>
      </c>
      <c r="J896" t="s">
        <v>22</v>
      </c>
    </row>
    <row r="897" spans="1:10" x14ac:dyDescent="0.25">
      <c r="A897" s="1">
        <v>98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"2026-02-08 13:45:51.411"</f>
        <v>2026-02-08 13:45:51.411</v>
      </c>
      <c r="H897" t="s">
        <v>21</v>
      </c>
      <c r="I897">
        <v>0</v>
      </c>
      <c r="J897" t="s">
        <v>22</v>
      </c>
    </row>
    <row r="898" spans="1:10" x14ac:dyDescent="0.25">
      <c r="A898" s="1">
        <v>99</v>
      </c>
      <c r="B898" t="s">
        <v>28</v>
      </c>
      <c r="C898">
        <v>61</v>
      </c>
      <c r="D898">
        <v>2</v>
      </c>
      <c r="E898" t="s">
        <v>37</v>
      </c>
      <c r="F898" t="s">
        <v>38</v>
      </c>
      <c r="G898" t="str">
        <f>"2026-02-07 22:31:47.269"</f>
        <v>2026-02-07 22:31:47.269</v>
      </c>
      <c r="H898" t="s">
        <v>21</v>
      </c>
    </row>
    <row r="899" spans="1:10" x14ac:dyDescent="0.25">
      <c r="A899" s="1">
        <v>0</v>
      </c>
      <c r="B899" t="s">
        <v>23</v>
      </c>
      <c r="C899">
        <v>61</v>
      </c>
      <c r="D899">
        <v>2</v>
      </c>
      <c r="E899" t="s">
        <v>37</v>
      </c>
      <c r="F899" t="s">
        <v>38</v>
      </c>
      <c r="G899" t="str">
        <f>"2026-02-07 22:31:15.469"</f>
        <v>2026-02-07 22:31:15.469</v>
      </c>
      <c r="H899" t="s">
        <v>21</v>
      </c>
      <c r="I899">
        <v>30.43</v>
      </c>
      <c r="J899" t="s">
        <v>35</v>
      </c>
    </row>
    <row r="900" spans="1:10" x14ac:dyDescent="0.25">
      <c r="A900" s="1">
        <v>1</v>
      </c>
      <c r="B900" t="s">
        <v>28</v>
      </c>
      <c r="C900">
        <v>61</v>
      </c>
      <c r="D900">
        <v>2</v>
      </c>
      <c r="E900" t="s">
        <v>37</v>
      </c>
      <c r="F900" t="s">
        <v>38</v>
      </c>
      <c r="G900" t="str">
        <f>"2026-02-07 21:14:52.169"</f>
        <v>2026-02-07 21:14:52.169</v>
      </c>
      <c r="H900" t="s">
        <v>21</v>
      </c>
    </row>
    <row r="901" spans="1:10" x14ac:dyDescent="0.25">
      <c r="A901" s="1">
        <v>2</v>
      </c>
      <c r="B901" t="s">
        <v>23</v>
      </c>
      <c r="C901">
        <v>61</v>
      </c>
      <c r="D901">
        <v>2</v>
      </c>
      <c r="E901" t="s">
        <v>37</v>
      </c>
      <c r="F901" t="s">
        <v>38</v>
      </c>
      <c r="G901" t="str">
        <f>"2026-02-07 21:14:30.769"</f>
        <v>2026-02-07 21:14:30.769</v>
      </c>
      <c r="H901" t="s">
        <v>21</v>
      </c>
      <c r="I901">
        <v>30.29</v>
      </c>
      <c r="J901" t="s">
        <v>35</v>
      </c>
    </row>
    <row r="902" spans="1:10" x14ac:dyDescent="0.25">
      <c r="A902" s="1">
        <v>3</v>
      </c>
      <c r="B902" t="s">
        <v>28</v>
      </c>
      <c r="C902">
        <v>635</v>
      </c>
      <c r="D902">
        <v>1</v>
      </c>
      <c r="E902" t="s">
        <v>29</v>
      </c>
      <c r="F902" t="s">
        <v>30</v>
      </c>
      <c r="G902" t="str">
        <f>"2026-02-07 14:17:14.215"</f>
        <v>2026-02-07 14:17:14.215</v>
      </c>
      <c r="H902" t="s">
        <v>21</v>
      </c>
    </row>
    <row r="903" spans="1:10" x14ac:dyDescent="0.25">
      <c r="A903" s="1">
        <v>4</v>
      </c>
      <c r="B903" t="s">
        <v>31</v>
      </c>
      <c r="C903">
        <v>635</v>
      </c>
      <c r="D903">
        <v>1</v>
      </c>
      <c r="E903" t="s">
        <v>29</v>
      </c>
      <c r="F903" t="s">
        <v>30</v>
      </c>
      <c r="G903" t="str">
        <f>"2026-02-07 14:13:52.215"</f>
        <v>2026-02-07 14:13:52.215</v>
      </c>
      <c r="H903" t="s">
        <v>21</v>
      </c>
      <c r="I903">
        <v>0.19</v>
      </c>
      <c r="J903" t="s">
        <v>32</v>
      </c>
    </row>
    <row r="904" spans="1:10" x14ac:dyDescent="0.25">
      <c r="A904" s="1">
        <v>5</v>
      </c>
      <c r="B904" t="s">
        <v>28</v>
      </c>
      <c r="C904">
        <v>635</v>
      </c>
      <c r="D904">
        <v>1</v>
      </c>
      <c r="E904" t="s">
        <v>29</v>
      </c>
      <c r="F904" t="s">
        <v>30</v>
      </c>
      <c r="G904" t="str">
        <f>"2026-02-07 13:08:46.315"</f>
        <v>2026-02-07 13:08:46.315</v>
      </c>
      <c r="H904" t="s">
        <v>21</v>
      </c>
    </row>
    <row r="905" spans="1:10" x14ac:dyDescent="0.25">
      <c r="A905" s="1">
        <v>6</v>
      </c>
      <c r="B905" t="s">
        <v>31</v>
      </c>
      <c r="C905">
        <v>635</v>
      </c>
      <c r="D905">
        <v>1</v>
      </c>
      <c r="E905" t="s">
        <v>29</v>
      </c>
      <c r="F905" t="s">
        <v>30</v>
      </c>
      <c r="G905" t="str">
        <f>"2026-02-07 12:41:30.415"</f>
        <v>2026-02-07 12:41:30.415</v>
      </c>
      <c r="H905" t="s">
        <v>21</v>
      </c>
      <c r="I905">
        <v>8.9499999999999993</v>
      </c>
      <c r="J905" t="s">
        <v>35</v>
      </c>
    </row>
    <row r="906" spans="1:10" x14ac:dyDescent="0.25">
      <c r="A906" s="1">
        <v>7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"2026-02-07 12:16:45.398"</f>
        <v>2026-02-07 12:16:45.398</v>
      </c>
      <c r="H906" t="s">
        <v>21</v>
      </c>
    </row>
    <row r="907" spans="1:10" x14ac:dyDescent="0.25">
      <c r="A907" s="1">
        <v>8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"2026-02-07 10:14:11.421"</f>
        <v>2026-02-07 10:14:11.421</v>
      </c>
      <c r="H907" t="s">
        <v>21</v>
      </c>
    </row>
    <row r="908" spans="1:10" x14ac:dyDescent="0.25">
      <c r="A908" s="1">
        <v>9</v>
      </c>
      <c r="B908" t="s">
        <v>28</v>
      </c>
      <c r="C908">
        <v>635</v>
      </c>
      <c r="D908">
        <v>1</v>
      </c>
      <c r="E908" t="s">
        <v>29</v>
      </c>
      <c r="F908" t="s">
        <v>30</v>
      </c>
      <c r="G908" t="str">
        <f>"2026-02-06 18:28:59.614"</f>
        <v>2026-02-06 18:28:59.614</v>
      </c>
      <c r="H908" t="s">
        <v>21</v>
      </c>
    </row>
    <row r="909" spans="1:10" x14ac:dyDescent="0.25">
      <c r="A909" s="1">
        <v>10</v>
      </c>
      <c r="B909" t="s">
        <v>31</v>
      </c>
      <c r="C909">
        <v>635</v>
      </c>
      <c r="D909">
        <v>1</v>
      </c>
      <c r="E909" t="s">
        <v>29</v>
      </c>
      <c r="F909" t="s">
        <v>30</v>
      </c>
      <c r="G909" t="str">
        <f>"2026-02-06 18:24:09.214"</f>
        <v>2026-02-06 18:24:09.214</v>
      </c>
      <c r="H909" t="s">
        <v>21</v>
      </c>
      <c r="I909">
        <v>3.73</v>
      </c>
      <c r="J909" t="s">
        <v>32</v>
      </c>
    </row>
    <row r="910" spans="1:10" x14ac:dyDescent="0.25">
      <c r="A910" s="1">
        <v>12</v>
      </c>
      <c r="B910" t="s">
        <v>28</v>
      </c>
      <c r="C910">
        <v>98</v>
      </c>
      <c r="D910">
        <v>1</v>
      </c>
      <c r="E910" t="s">
        <v>41</v>
      </c>
      <c r="F910" t="s">
        <v>42</v>
      </c>
      <c r="G910" t="str">
        <f>"2026-02-06 04:12:51.067"</f>
        <v>2026-02-06 04:12:51.067</v>
      </c>
      <c r="H910" t="s">
        <v>21</v>
      </c>
    </row>
    <row r="911" spans="1:10" x14ac:dyDescent="0.25">
      <c r="A911" s="1">
        <v>13</v>
      </c>
      <c r="B911" t="s">
        <v>31</v>
      </c>
      <c r="C911">
        <v>98</v>
      </c>
      <c r="D911">
        <v>1</v>
      </c>
      <c r="E911" t="s">
        <v>41</v>
      </c>
      <c r="F911" t="s">
        <v>42</v>
      </c>
      <c r="G911" t="str">
        <f>"2026-02-06 04:12:50.068"</f>
        <v>2026-02-06 04:12:50.068</v>
      </c>
      <c r="H911" t="s">
        <v>21</v>
      </c>
      <c r="I911">
        <v>4.59</v>
      </c>
      <c r="J911" t="s">
        <v>32</v>
      </c>
    </row>
    <row r="912" spans="1:10" x14ac:dyDescent="0.25">
      <c r="A912" s="1">
        <v>14</v>
      </c>
      <c r="B912" t="s">
        <v>28</v>
      </c>
      <c r="C912">
        <v>635</v>
      </c>
      <c r="D912">
        <v>1</v>
      </c>
      <c r="E912" t="s">
        <v>29</v>
      </c>
      <c r="F912" t="s">
        <v>30</v>
      </c>
      <c r="G912" t="str">
        <f>"2026-02-05 10:15:04.214"</f>
        <v>2026-02-05 10:15:04.214</v>
      </c>
      <c r="H912" t="s">
        <v>21</v>
      </c>
    </row>
    <row r="913" spans="1:10" x14ac:dyDescent="0.25">
      <c r="A913" s="1">
        <v>15</v>
      </c>
      <c r="B913" t="s">
        <v>31</v>
      </c>
      <c r="C913">
        <v>635</v>
      </c>
      <c r="D913">
        <v>1</v>
      </c>
      <c r="E913" t="s">
        <v>29</v>
      </c>
      <c r="F913" t="s">
        <v>30</v>
      </c>
      <c r="G913" t="str">
        <f>"2026-02-05 10:11:52.214"</f>
        <v>2026-02-05 10:11:52.214</v>
      </c>
      <c r="H913" t="s">
        <v>21</v>
      </c>
      <c r="I913">
        <v>5.07</v>
      </c>
      <c r="J913" t="s">
        <v>32</v>
      </c>
    </row>
    <row r="914" spans="1:10" x14ac:dyDescent="0.25">
      <c r="A914" s="1">
        <v>16</v>
      </c>
      <c r="B914" t="s">
        <v>28</v>
      </c>
      <c r="C914">
        <v>635</v>
      </c>
      <c r="D914">
        <v>1</v>
      </c>
      <c r="E914" t="s">
        <v>29</v>
      </c>
      <c r="F914" t="s">
        <v>30</v>
      </c>
      <c r="G914" t="str">
        <f>"2026-02-05 08:27:09.514"</f>
        <v>2026-02-05 08:27:09.514</v>
      </c>
      <c r="H914" t="s">
        <v>21</v>
      </c>
    </row>
    <row r="915" spans="1:10" x14ac:dyDescent="0.25">
      <c r="A915" s="1">
        <v>17</v>
      </c>
      <c r="B915" t="s">
        <v>31</v>
      </c>
      <c r="C915">
        <v>635</v>
      </c>
      <c r="D915">
        <v>1</v>
      </c>
      <c r="E915" t="s">
        <v>29</v>
      </c>
      <c r="F915" t="s">
        <v>30</v>
      </c>
      <c r="G915" t="str">
        <f>"2026-02-05 08:23:24.514"</f>
        <v>2026-02-05 08:23:24.514</v>
      </c>
      <c r="H915" t="s">
        <v>21</v>
      </c>
      <c r="I915">
        <v>-0.09</v>
      </c>
      <c r="J915" t="s">
        <v>32</v>
      </c>
    </row>
    <row r="916" spans="1:10" x14ac:dyDescent="0.25">
      <c r="A916" s="1">
        <v>18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"2026-02-04 13:02:34.405"</f>
        <v>2026-02-04 13:02:34.405</v>
      </c>
      <c r="H916" t="s">
        <v>21</v>
      </c>
      <c r="I916">
        <v>0</v>
      </c>
      <c r="J916" t="s">
        <v>22</v>
      </c>
    </row>
    <row r="917" spans="1:10" x14ac:dyDescent="0.25">
      <c r="A917" s="1">
        <v>19</v>
      </c>
      <c r="B917" t="s">
        <v>28</v>
      </c>
      <c r="C917">
        <v>635</v>
      </c>
      <c r="D917">
        <v>1</v>
      </c>
      <c r="E917" t="s">
        <v>29</v>
      </c>
      <c r="F917" t="s">
        <v>30</v>
      </c>
      <c r="G917" t="str">
        <f>"2026-02-03 11:36:47.418"</f>
        <v>2026-02-03 11:36:47.418</v>
      </c>
      <c r="H917" t="s">
        <v>21</v>
      </c>
    </row>
    <row r="918" spans="1:10" x14ac:dyDescent="0.25">
      <c r="A918" s="1">
        <v>20</v>
      </c>
      <c r="B918" t="s">
        <v>31</v>
      </c>
      <c r="C918">
        <v>635</v>
      </c>
      <c r="D918">
        <v>1</v>
      </c>
      <c r="E918" t="s">
        <v>29</v>
      </c>
      <c r="F918" t="s">
        <v>30</v>
      </c>
      <c r="G918" t="str">
        <f>"2026-02-03 11:30:41.918"</f>
        <v>2026-02-03 11:30:41.918</v>
      </c>
      <c r="H918" t="s">
        <v>21</v>
      </c>
      <c r="I918">
        <v>1.38</v>
      </c>
      <c r="J918" t="s">
        <v>32</v>
      </c>
    </row>
    <row r="919" spans="1:10" x14ac:dyDescent="0.25">
      <c r="A919" s="1">
        <v>21</v>
      </c>
      <c r="B919" t="s">
        <v>28</v>
      </c>
      <c r="C919">
        <v>61</v>
      </c>
      <c r="D919">
        <v>2</v>
      </c>
      <c r="E919" t="s">
        <v>37</v>
      </c>
      <c r="F919" t="s">
        <v>38</v>
      </c>
      <c r="G919" t="str">
        <f>"2026-02-03 06:20:57.079"</f>
        <v>2026-02-03 06:20:57.079</v>
      </c>
      <c r="H919" t="s">
        <v>21</v>
      </c>
    </row>
    <row r="920" spans="1:10" x14ac:dyDescent="0.25">
      <c r="A920" s="1">
        <v>22</v>
      </c>
      <c r="B920" t="s">
        <v>23</v>
      </c>
      <c r="C920">
        <v>61</v>
      </c>
      <c r="D920">
        <v>2</v>
      </c>
      <c r="E920" t="s">
        <v>37</v>
      </c>
      <c r="F920" t="s">
        <v>38</v>
      </c>
      <c r="G920" t="str">
        <f>"2026-02-03 06:20:38.979"</f>
        <v>2026-02-03 06:20:38.979</v>
      </c>
      <c r="H920" t="s">
        <v>21</v>
      </c>
      <c r="I920">
        <v>30.35</v>
      </c>
      <c r="J920" t="s">
        <v>35</v>
      </c>
    </row>
    <row r="921" spans="1:10" x14ac:dyDescent="0.25">
      <c r="A921" s="1">
        <v>23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"2026-02-02 11:27:06.388"</f>
        <v>2026-02-02 11:27:06.388</v>
      </c>
      <c r="H921" t="s">
        <v>21</v>
      </c>
    </row>
    <row r="922" spans="1:10" x14ac:dyDescent="0.25">
      <c r="A922" s="1">
        <v>24</v>
      </c>
      <c r="B922" t="s">
        <v>28</v>
      </c>
      <c r="C922">
        <v>61</v>
      </c>
      <c r="D922">
        <v>2</v>
      </c>
      <c r="E922" t="s">
        <v>37</v>
      </c>
      <c r="F922" t="s">
        <v>38</v>
      </c>
      <c r="G922" t="str">
        <f>"2026-02-02 07:30:38.359"</f>
        <v>2026-02-02 07:30:38.359</v>
      </c>
      <c r="H922" t="s">
        <v>21</v>
      </c>
    </row>
    <row r="923" spans="1:10" x14ac:dyDescent="0.25">
      <c r="A923" s="1">
        <v>25</v>
      </c>
      <c r="B923" t="s">
        <v>23</v>
      </c>
      <c r="C923">
        <v>61</v>
      </c>
      <c r="D923">
        <v>2</v>
      </c>
      <c r="E923" t="s">
        <v>37</v>
      </c>
      <c r="F923" t="s">
        <v>38</v>
      </c>
      <c r="G923" t="str">
        <f>"2026-02-02 07:30:08.659"</f>
        <v>2026-02-02 07:30:08.659</v>
      </c>
      <c r="H923" t="s">
        <v>21</v>
      </c>
      <c r="I923">
        <v>30.03</v>
      </c>
      <c r="J923" t="s">
        <v>35</v>
      </c>
    </row>
    <row r="924" spans="1:10" x14ac:dyDescent="0.25">
      <c r="A924" s="1">
        <v>26</v>
      </c>
      <c r="B924" t="s">
        <v>28</v>
      </c>
      <c r="C924">
        <v>61</v>
      </c>
      <c r="D924">
        <v>2</v>
      </c>
      <c r="E924" t="s">
        <v>37</v>
      </c>
      <c r="F924" t="s">
        <v>38</v>
      </c>
      <c r="G924" t="str">
        <f>"2026-02-01 22:06:45.259"</f>
        <v>2026-02-01 22:06:45.259</v>
      </c>
      <c r="H924" t="s">
        <v>21</v>
      </c>
    </row>
    <row r="925" spans="1:10" x14ac:dyDescent="0.25">
      <c r="A925" s="1">
        <v>27</v>
      </c>
      <c r="B925" t="s">
        <v>23</v>
      </c>
      <c r="C925">
        <v>61</v>
      </c>
      <c r="D925">
        <v>2</v>
      </c>
      <c r="E925" t="s">
        <v>37</v>
      </c>
      <c r="F925" t="s">
        <v>38</v>
      </c>
      <c r="G925" t="str">
        <f>"2026-02-01 22:06:23.059"</f>
        <v>2026-02-01 22:06:23.059</v>
      </c>
      <c r="H925" t="s">
        <v>21</v>
      </c>
      <c r="I925">
        <v>29.99</v>
      </c>
      <c r="J925" t="s">
        <v>35</v>
      </c>
    </row>
    <row r="926" spans="1:10" x14ac:dyDescent="0.25">
      <c r="A926" s="1">
        <v>28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"2026-02-01 14:30:17.388"</f>
        <v>2026-02-01 14:30:17.388</v>
      </c>
      <c r="H926" t="s">
        <v>21</v>
      </c>
    </row>
    <row r="927" spans="1:10" x14ac:dyDescent="0.25">
      <c r="A927" s="1">
        <v>30</v>
      </c>
      <c r="B927" t="s">
        <v>28</v>
      </c>
      <c r="C927">
        <v>61</v>
      </c>
      <c r="D927">
        <v>2</v>
      </c>
      <c r="E927" t="s">
        <v>37</v>
      </c>
      <c r="F927" t="s">
        <v>38</v>
      </c>
      <c r="G927" t="str">
        <f>"2026-01-31 11:33:50.359"</f>
        <v>2026-01-31 11:33:50.359</v>
      </c>
      <c r="H927" t="s">
        <v>21</v>
      </c>
    </row>
    <row r="928" spans="1:10" x14ac:dyDescent="0.25">
      <c r="A928" s="1">
        <v>31</v>
      </c>
      <c r="B928" t="s">
        <v>23</v>
      </c>
      <c r="C928">
        <v>61</v>
      </c>
      <c r="D928">
        <v>2</v>
      </c>
      <c r="E928" t="s">
        <v>37</v>
      </c>
      <c r="F928" t="s">
        <v>38</v>
      </c>
      <c r="G928" t="str">
        <f>"2026-01-31 11:33:37.959"</f>
        <v>2026-01-31 11:33:37.959</v>
      </c>
      <c r="H928" t="s">
        <v>21</v>
      </c>
      <c r="I928">
        <v>30.35</v>
      </c>
      <c r="J928" t="s">
        <v>35</v>
      </c>
    </row>
    <row r="929" spans="1:10" x14ac:dyDescent="0.25">
      <c r="A929" s="1">
        <v>32</v>
      </c>
      <c r="B929" t="s">
        <v>28</v>
      </c>
      <c r="C929">
        <v>61</v>
      </c>
      <c r="D929">
        <v>2</v>
      </c>
      <c r="E929" t="s">
        <v>37</v>
      </c>
      <c r="F929" t="s">
        <v>38</v>
      </c>
      <c r="G929" t="str">
        <f>"2026-01-31 03:57:03.559"</f>
        <v>2026-01-31 03:57:03.559</v>
      </c>
      <c r="H929" t="s">
        <v>21</v>
      </c>
    </row>
    <row r="930" spans="1:10" x14ac:dyDescent="0.25">
      <c r="A930" s="1">
        <v>33</v>
      </c>
      <c r="B930" t="s">
        <v>23</v>
      </c>
      <c r="C930">
        <v>61</v>
      </c>
      <c r="D930">
        <v>2</v>
      </c>
      <c r="E930" t="s">
        <v>37</v>
      </c>
      <c r="F930" t="s">
        <v>38</v>
      </c>
      <c r="G930" t="str">
        <f>"2026-01-31 03:56:46.559"</f>
        <v>2026-01-31 03:56:46.559</v>
      </c>
      <c r="H930" t="s">
        <v>21</v>
      </c>
      <c r="I930">
        <v>30.15</v>
      </c>
      <c r="J930" t="s">
        <v>35</v>
      </c>
    </row>
    <row r="931" spans="1:10" x14ac:dyDescent="0.25">
      <c r="A931" s="1">
        <v>34</v>
      </c>
      <c r="B931" t="s">
        <v>28</v>
      </c>
      <c r="C931">
        <v>635</v>
      </c>
      <c r="D931">
        <v>1</v>
      </c>
      <c r="E931" t="s">
        <v>29</v>
      </c>
      <c r="F931" t="s">
        <v>30</v>
      </c>
      <c r="G931" t="str">
        <f>"2026-01-30 21:59:48.958"</f>
        <v>2026-01-30 21:59:48.958</v>
      </c>
      <c r="H931" t="s">
        <v>21</v>
      </c>
    </row>
    <row r="932" spans="1:10" x14ac:dyDescent="0.25">
      <c r="A932" s="1">
        <v>35</v>
      </c>
      <c r="B932" t="s">
        <v>31</v>
      </c>
      <c r="C932">
        <v>635</v>
      </c>
      <c r="D932">
        <v>1</v>
      </c>
      <c r="E932" t="s">
        <v>29</v>
      </c>
      <c r="F932" t="s">
        <v>30</v>
      </c>
      <c r="G932" t="str">
        <f>"2026-01-30 21:55:36.958"</f>
        <v>2026-01-30 21:55:36.958</v>
      </c>
      <c r="H932" t="s">
        <v>21</v>
      </c>
      <c r="I932">
        <v>0.1</v>
      </c>
      <c r="J932" t="s">
        <v>36</v>
      </c>
    </row>
    <row r="933" spans="1:10" x14ac:dyDescent="0.25">
      <c r="A933" s="1">
        <v>37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"2026-01-29 10:13:55.388"</f>
        <v>2026-01-29 10:13:55.388</v>
      </c>
      <c r="H933" t="s">
        <v>21</v>
      </c>
    </row>
    <row r="934" spans="1:10" x14ac:dyDescent="0.25">
      <c r="A934" s="1">
        <v>40</v>
      </c>
      <c r="B934" t="s">
        <v>28</v>
      </c>
      <c r="C934">
        <v>635</v>
      </c>
      <c r="D934">
        <v>1</v>
      </c>
      <c r="E934" t="s">
        <v>29</v>
      </c>
      <c r="F934" t="s">
        <v>30</v>
      </c>
      <c r="G934" t="str">
        <f>"2026-01-27 14:57:12.178"</f>
        <v>2026-01-27 14:57:12.178</v>
      </c>
      <c r="H934" t="s">
        <v>21</v>
      </c>
    </row>
    <row r="935" spans="1:10" x14ac:dyDescent="0.25">
      <c r="A935" s="1">
        <v>41</v>
      </c>
      <c r="B935" t="s">
        <v>31</v>
      </c>
      <c r="C935">
        <v>635</v>
      </c>
      <c r="D935">
        <v>1</v>
      </c>
      <c r="E935" t="s">
        <v>29</v>
      </c>
      <c r="F935" t="s">
        <v>30</v>
      </c>
      <c r="G935" t="str">
        <f>"2026-01-27 14:52:50.678"</f>
        <v>2026-01-27 14:52:50.678</v>
      </c>
      <c r="H935" t="s">
        <v>21</v>
      </c>
      <c r="I935">
        <v>4.4800000000000004</v>
      </c>
      <c r="J935" t="s">
        <v>32</v>
      </c>
    </row>
    <row r="936" spans="1:10" x14ac:dyDescent="0.25">
      <c r="A936" s="1">
        <v>42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"2026-01-27 12:54:36.408"</f>
        <v>2026-01-27 12:54:36.408</v>
      </c>
      <c r="H936" t="s">
        <v>21</v>
      </c>
      <c r="I936">
        <v>0</v>
      </c>
      <c r="J936" t="s">
        <v>22</v>
      </c>
    </row>
    <row r="937" spans="1:10" x14ac:dyDescent="0.25">
      <c r="A937" s="1">
        <v>43</v>
      </c>
      <c r="B937" t="s">
        <v>28</v>
      </c>
      <c r="C937">
        <v>61</v>
      </c>
      <c r="D937">
        <v>2</v>
      </c>
      <c r="E937" t="s">
        <v>37</v>
      </c>
      <c r="F937" t="s">
        <v>38</v>
      </c>
      <c r="G937" t="str">
        <f>"2026-01-27 07:30:26.360"</f>
        <v>2026-01-27 07:30:26.360</v>
      </c>
      <c r="H937" t="s">
        <v>21</v>
      </c>
    </row>
    <row r="938" spans="1:10" x14ac:dyDescent="0.25">
      <c r="A938" s="1">
        <v>44</v>
      </c>
      <c r="B938" t="s">
        <v>23</v>
      </c>
      <c r="C938">
        <v>61</v>
      </c>
      <c r="D938">
        <v>2</v>
      </c>
      <c r="E938" t="s">
        <v>37</v>
      </c>
      <c r="F938" t="s">
        <v>38</v>
      </c>
      <c r="G938" t="str">
        <f>"2026-01-27 07:30:07.160"</f>
        <v>2026-01-27 07:30:07.160</v>
      </c>
      <c r="H938" t="s">
        <v>21</v>
      </c>
      <c r="I938">
        <v>30.46</v>
      </c>
      <c r="J938" t="s">
        <v>35</v>
      </c>
    </row>
    <row r="939" spans="1:10" x14ac:dyDescent="0.25">
      <c r="A939" s="1">
        <v>45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"2026-01-27 05:43:39.389"</f>
        <v>2026-01-27 05:43:39.389</v>
      </c>
      <c r="H939" t="s">
        <v>21</v>
      </c>
      <c r="I939">
        <v>0</v>
      </c>
      <c r="J939" t="s">
        <v>22</v>
      </c>
    </row>
    <row r="940" spans="1:10" x14ac:dyDescent="0.25">
      <c r="A940" s="1">
        <v>46</v>
      </c>
      <c r="B940" t="s">
        <v>28</v>
      </c>
      <c r="C940">
        <v>635</v>
      </c>
      <c r="D940">
        <v>1</v>
      </c>
      <c r="E940" t="s">
        <v>29</v>
      </c>
      <c r="F940" t="s">
        <v>30</v>
      </c>
      <c r="G940" t="str">
        <f>"2026-01-27 03:57:53.868"</f>
        <v>2026-01-27 03:57:53.868</v>
      </c>
      <c r="H940" t="s">
        <v>21</v>
      </c>
    </row>
    <row r="941" spans="1:10" x14ac:dyDescent="0.25">
      <c r="A941" s="1">
        <v>47</v>
      </c>
      <c r="B941" t="s">
        <v>31</v>
      </c>
      <c r="C941">
        <v>635</v>
      </c>
      <c r="D941">
        <v>1</v>
      </c>
      <c r="E941" t="s">
        <v>29</v>
      </c>
      <c r="F941" t="s">
        <v>30</v>
      </c>
      <c r="G941" t="str">
        <f>"2026-01-27 03:54:31.368"</f>
        <v>2026-01-27 03:54:31.368</v>
      </c>
      <c r="H941" t="s">
        <v>21</v>
      </c>
      <c r="I941">
        <v>6.09</v>
      </c>
      <c r="J941" t="s">
        <v>35</v>
      </c>
    </row>
    <row r="942" spans="1:10" x14ac:dyDescent="0.25">
      <c r="A942" s="1">
        <v>48</v>
      </c>
      <c r="B942" t="s">
        <v>28</v>
      </c>
      <c r="C942">
        <v>635</v>
      </c>
      <c r="D942">
        <v>1</v>
      </c>
      <c r="E942" t="s">
        <v>29</v>
      </c>
      <c r="F942" t="s">
        <v>30</v>
      </c>
      <c r="G942" t="str">
        <f>"2026-01-27 00:59:34.268"</f>
        <v>2026-01-27 00:59:34.268</v>
      </c>
      <c r="H942" t="s">
        <v>21</v>
      </c>
    </row>
    <row r="943" spans="1:10" x14ac:dyDescent="0.25">
      <c r="A943" s="1">
        <v>49</v>
      </c>
      <c r="B943" t="s">
        <v>31</v>
      </c>
      <c r="C943">
        <v>635</v>
      </c>
      <c r="D943">
        <v>1</v>
      </c>
      <c r="E943" t="s">
        <v>29</v>
      </c>
      <c r="F943" t="s">
        <v>30</v>
      </c>
      <c r="G943" t="str">
        <f>"2026-01-27 00:55:31.768"</f>
        <v>2026-01-27 00:55:31.768</v>
      </c>
      <c r="H943" t="s">
        <v>21</v>
      </c>
      <c r="I943">
        <v>0.99</v>
      </c>
      <c r="J943" t="s">
        <v>35</v>
      </c>
    </row>
    <row r="944" spans="1:10" x14ac:dyDescent="0.25">
      <c r="A944" s="1">
        <v>50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"2026-01-26 23:16:28.450"</f>
        <v>2026-01-26 23:16:28.450</v>
      </c>
      <c r="H944" t="s">
        <v>21</v>
      </c>
    </row>
    <row r="945" spans="1:10" x14ac:dyDescent="0.25">
      <c r="A945" s="1">
        <v>51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"2026-01-26 22:50:40.446"</f>
        <v>2026-01-26 22:50:40.446</v>
      </c>
      <c r="H945" t="s">
        <v>21</v>
      </c>
      <c r="I945">
        <v>0</v>
      </c>
      <c r="J945" t="s">
        <v>22</v>
      </c>
    </row>
    <row r="946" spans="1:10" x14ac:dyDescent="0.25">
      <c r="A946" s="1">
        <v>52</v>
      </c>
      <c r="B946" t="s">
        <v>19</v>
      </c>
      <c r="C946">
        <v>706</v>
      </c>
      <c r="D946">
        <v>4</v>
      </c>
      <c r="E946" t="s">
        <v>39</v>
      </c>
      <c r="F946" t="s">
        <v>40</v>
      </c>
      <c r="G946" t="str">
        <f>"2026-01-26 22:35:34.411"</f>
        <v>2026-01-26 22:35:34.411</v>
      </c>
      <c r="H946" t="s">
        <v>21</v>
      </c>
      <c r="I946">
        <v>0</v>
      </c>
      <c r="J946" t="s">
        <v>27</v>
      </c>
    </row>
    <row r="947" spans="1:10" x14ac:dyDescent="0.25">
      <c r="A947" s="1">
        <v>53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"2026-01-26 22:01:28.381"</f>
        <v>2026-01-26 22:01:28.381</v>
      </c>
      <c r="H947" t="s">
        <v>21</v>
      </c>
      <c r="I947">
        <v>0</v>
      </c>
      <c r="J947" t="s">
        <v>22</v>
      </c>
    </row>
    <row r="948" spans="1:10" x14ac:dyDescent="0.25">
      <c r="A948" s="1">
        <v>54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"2026-01-26 21:20:10.413"</f>
        <v>2026-01-26 21:20:10.413</v>
      </c>
      <c r="H948" t="s">
        <v>21</v>
      </c>
      <c r="I948">
        <v>0</v>
      </c>
      <c r="J948" t="s">
        <v>22</v>
      </c>
    </row>
    <row r="949" spans="1:10" x14ac:dyDescent="0.25">
      <c r="A949" s="1">
        <v>56</v>
      </c>
      <c r="B949" t="s">
        <v>28</v>
      </c>
      <c r="C949">
        <v>61</v>
      </c>
      <c r="D949">
        <v>2</v>
      </c>
      <c r="E949" t="s">
        <v>37</v>
      </c>
      <c r="F949" t="s">
        <v>38</v>
      </c>
      <c r="G949" t="str">
        <f>"2026-01-26 07:32:07.370"</f>
        <v>2026-01-26 07:32:07.370</v>
      </c>
      <c r="H949" t="s">
        <v>21</v>
      </c>
    </row>
    <row r="950" spans="1:10" x14ac:dyDescent="0.25">
      <c r="A950" s="1">
        <v>57</v>
      </c>
      <c r="B950" t="s">
        <v>23</v>
      </c>
      <c r="C950">
        <v>61</v>
      </c>
      <c r="D950">
        <v>2</v>
      </c>
      <c r="E950" t="s">
        <v>37</v>
      </c>
      <c r="F950" t="s">
        <v>38</v>
      </c>
      <c r="G950" t="str">
        <f>"2026-01-26 07:31:55.871"</f>
        <v>2026-01-26 07:31:55.871</v>
      </c>
      <c r="H950" t="s">
        <v>21</v>
      </c>
      <c r="I950">
        <v>29.35</v>
      </c>
      <c r="J950" t="s">
        <v>35</v>
      </c>
    </row>
    <row r="951" spans="1:10" x14ac:dyDescent="0.25">
      <c r="A951" s="1">
        <v>59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"2026-01-25 16:18:05.376"</f>
        <v>2026-01-25 16:18:05.376</v>
      </c>
      <c r="H951" t="s">
        <v>21</v>
      </c>
    </row>
    <row r="952" spans="1:10" x14ac:dyDescent="0.25">
      <c r="A952" s="1">
        <v>60</v>
      </c>
      <c r="B952" t="s">
        <v>28</v>
      </c>
      <c r="C952">
        <v>635</v>
      </c>
      <c r="D952">
        <v>1</v>
      </c>
      <c r="E952" t="s">
        <v>29</v>
      </c>
      <c r="F952" t="s">
        <v>30</v>
      </c>
      <c r="G952" t="str">
        <f>"2026-01-25 15:06:59.851"</f>
        <v>2026-01-25 15:06:59.851</v>
      </c>
      <c r="H952" t="s">
        <v>21</v>
      </c>
    </row>
    <row r="953" spans="1:10" x14ac:dyDescent="0.25">
      <c r="A953" s="1">
        <v>61</v>
      </c>
      <c r="B953" t="s">
        <v>31</v>
      </c>
      <c r="C953">
        <v>635</v>
      </c>
      <c r="D953">
        <v>1</v>
      </c>
      <c r="E953" t="s">
        <v>29</v>
      </c>
      <c r="F953" t="s">
        <v>30</v>
      </c>
      <c r="G953" t="str">
        <f>"2026-01-25 14:54:08.951"</f>
        <v>2026-01-25 14:54:08.951</v>
      </c>
      <c r="H953" t="s">
        <v>21</v>
      </c>
      <c r="I953">
        <v>10.6</v>
      </c>
      <c r="J953" t="s">
        <v>35</v>
      </c>
    </row>
    <row r="954" spans="1:10" x14ac:dyDescent="0.25">
      <c r="A954" s="1">
        <v>62</v>
      </c>
      <c r="B954" t="s">
        <v>28</v>
      </c>
      <c r="C954">
        <v>61</v>
      </c>
      <c r="D954">
        <v>2</v>
      </c>
      <c r="E954" t="s">
        <v>37</v>
      </c>
      <c r="F954" t="s">
        <v>38</v>
      </c>
      <c r="G954" t="str">
        <f>"2026-01-25 07:24:26.052"</f>
        <v>2026-01-25 07:24:26.052</v>
      </c>
      <c r="H954" t="s">
        <v>21</v>
      </c>
    </row>
    <row r="955" spans="1:10" x14ac:dyDescent="0.25">
      <c r="A955" s="1">
        <v>63</v>
      </c>
      <c r="B955" t="s">
        <v>23</v>
      </c>
      <c r="C955">
        <v>61</v>
      </c>
      <c r="D955">
        <v>2</v>
      </c>
      <c r="E955" t="s">
        <v>37</v>
      </c>
      <c r="F955" t="s">
        <v>38</v>
      </c>
      <c r="G955" t="str">
        <f>"2026-01-25 07:24:08.052"</f>
        <v>2026-01-25 07:24:08.052</v>
      </c>
      <c r="H955" t="s">
        <v>21</v>
      </c>
      <c r="I955">
        <v>30.26</v>
      </c>
      <c r="J955" t="s">
        <v>35</v>
      </c>
    </row>
    <row r="956" spans="1:10" x14ac:dyDescent="0.25">
      <c r="A956" s="1">
        <v>64</v>
      </c>
      <c r="B956" t="s">
        <v>19</v>
      </c>
      <c r="C956">
        <v>706</v>
      </c>
      <c r="D956">
        <v>2</v>
      </c>
      <c r="E956" t="s">
        <v>39</v>
      </c>
      <c r="F956" t="s">
        <v>48</v>
      </c>
      <c r="G956" t="str">
        <f>"2026-01-24 18:32:24.107"</f>
        <v>2026-01-24 18:32:24.107</v>
      </c>
      <c r="H956" t="s">
        <v>21</v>
      </c>
      <c r="I956">
        <v>0</v>
      </c>
      <c r="J956" t="s">
        <v>27</v>
      </c>
    </row>
    <row r="957" spans="1:10" x14ac:dyDescent="0.25">
      <c r="A957" s="1">
        <v>65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"2026-01-24 18:32:09.367"</f>
        <v>2026-01-24 18:32:09.367</v>
      </c>
      <c r="H957" t="s">
        <v>21</v>
      </c>
    </row>
    <row r="958" spans="1:10" x14ac:dyDescent="0.25">
      <c r="A958" s="1">
        <v>66</v>
      </c>
      <c r="B958" t="s">
        <v>19</v>
      </c>
      <c r="C958">
        <v>706</v>
      </c>
      <c r="D958">
        <v>2</v>
      </c>
      <c r="E958" t="s">
        <v>39</v>
      </c>
      <c r="F958" t="s">
        <v>48</v>
      </c>
      <c r="G958" t="str">
        <f>"2026-01-24 18:28:56.321"</f>
        <v>2026-01-24 18:28:56.321</v>
      </c>
      <c r="H958" t="s">
        <v>21</v>
      </c>
      <c r="I958">
        <v>0</v>
      </c>
      <c r="J958" t="s">
        <v>27</v>
      </c>
    </row>
    <row r="959" spans="1:10" x14ac:dyDescent="0.25">
      <c r="A959" s="1">
        <v>67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"2026-01-24 18:28:40.391"</f>
        <v>2026-01-24 18:28:40.391</v>
      </c>
      <c r="H959" t="s">
        <v>21</v>
      </c>
    </row>
    <row r="960" spans="1:10" x14ac:dyDescent="0.25">
      <c r="A960" s="1">
        <v>68</v>
      </c>
      <c r="B960" t="s">
        <v>23</v>
      </c>
      <c r="C960">
        <v>33</v>
      </c>
      <c r="D960">
        <v>1</v>
      </c>
      <c r="E960" t="s">
        <v>52</v>
      </c>
      <c r="F960" t="s">
        <v>53</v>
      </c>
      <c r="G960" t="str">
        <f>"2026-01-24 18:06:38.753"</f>
        <v>2026-01-24 18:06:38.753</v>
      </c>
      <c r="H960" t="s">
        <v>54</v>
      </c>
      <c r="I960">
        <v>-1.4</v>
      </c>
      <c r="J960" t="s">
        <v>32</v>
      </c>
    </row>
    <row r="961" spans="1:10" x14ac:dyDescent="0.25">
      <c r="A961" s="1">
        <v>75</v>
      </c>
      <c r="B961" t="s">
        <v>19</v>
      </c>
      <c r="C961">
        <v>706</v>
      </c>
      <c r="D961">
        <v>2</v>
      </c>
      <c r="E961" t="s">
        <v>39</v>
      </c>
      <c r="F961" t="s">
        <v>48</v>
      </c>
      <c r="G961" t="str">
        <f>"2026-01-23 13:04:09.290"</f>
        <v>2026-01-23 13:04:09.290</v>
      </c>
      <c r="H961" t="s">
        <v>21</v>
      </c>
      <c r="I961">
        <v>0</v>
      </c>
      <c r="J961" t="s">
        <v>27</v>
      </c>
    </row>
    <row r="962" spans="1:10" x14ac:dyDescent="0.25">
      <c r="A962" s="1">
        <v>76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"2026-01-23 13:03:05.380"</f>
        <v>2026-01-23 13:03:05.380</v>
      </c>
      <c r="H962" t="s">
        <v>21</v>
      </c>
      <c r="I962">
        <v>0</v>
      </c>
      <c r="J962" t="s">
        <v>22</v>
      </c>
    </row>
    <row r="963" spans="1:10" x14ac:dyDescent="0.25">
      <c r="A963" s="1">
        <v>77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"2026-01-23 13:01:32.380"</f>
        <v>2026-01-23 13:01:32.380</v>
      </c>
      <c r="H963" t="s">
        <v>21</v>
      </c>
      <c r="I963">
        <v>0</v>
      </c>
      <c r="J963" t="s">
        <v>22</v>
      </c>
    </row>
    <row r="964" spans="1:10" x14ac:dyDescent="0.25">
      <c r="A964" s="1">
        <v>78</v>
      </c>
      <c r="B964" t="s">
        <v>28</v>
      </c>
      <c r="C964">
        <v>61</v>
      </c>
      <c r="D964">
        <v>2</v>
      </c>
      <c r="E964" t="s">
        <v>37</v>
      </c>
      <c r="F964" t="s">
        <v>38</v>
      </c>
      <c r="G964" t="str">
        <f>"2026-01-23 07:36:21.381"</f>
        <v>2026-01-23 07:36:21.381</v>
      </c>
      <c r="H964" t="s">
        <v>21</v>
      </c>
    </row>
    <row r="965" spans="1:10" x14ac:dyDescent="0.25">
      <c r="A965" s="1">
        <v>79</v>
      </c>
      <c r="B965" t="s">
        <v>23</v>
      </c>
      <c r="C965">
        <v>61</v>
      </c>
      <c r="D965">
        <v>2</v>
      </c>
      <c r="E965" t="s">
        <v>37</v>
      </c>
      <c r="F965" t="s">
        <v>38</v>
      </c>
      <c r="G965" t="str">
        <f>"2026-01-23 07:36:06.082"</f>
        <v>2026-01-23 07:36:06.082</v>
      </c>
      <c r="H965" t="s">
        <v>21</v>
      </c>
      <c r="I965">
        <v>30.28</v>
      </c>
      <c r="J965" t="s">
        <v>35</v>
      </c>
    </row>
    <row r="966" spans="1:10" x14ac:dyDescent="0.25">
      <c r="A966" s="1">
        <v>81</v>
      </c>
      <c r="B966" t="s">
        <v>28</v>
      </c>
      <c r="C966">
        <v>635</v>
      </c>
      <c r="D966">
        <v>1</v>
      </c>
      <c r="E966" t="s">
        <v>29</v>
      </c>
      <c r="F966" t="s">
        <v>30</v>
      </c>
      <c r="G966" t="str">
        <f>"2026-01-23 03:25:17.921"</f>
        <v>2026-01-23 03:25:17.921</v>
      </c>
      <c r="H966" t="s">
        <v>21</v>
      </c>
    </row>
    <row r="967" spans="1:10" x14ac:dyDescent="0.25">
      <c r="A967" s="1">
        <v>82</v>
      </c>
      <c r="B967" t="s">
        <v>31</v>
      </c>
      <c r="C967">
        <v>635</v>
      </c>
      <c r="D967">
        <v>1</v>
      </c>
      <c r="E967" t="s">
        <v>29</v>
      </c>
      <c r="F967" t="s">
        <v>30</v>
      </c>
      <c r="G967" t="str">
        <f>"2026-01-23 03:19:04.521"</f>
        <v>2026-01-23 03:19:04.521</v>
      </c>
      <c r="H967" t="s">
        <v>21</v>
      </c>
      <c r="I967">
        <v>3.18</v>
      </c>
      <c r="J967" t="s">
        <v>35</v>
      </c>
    </row>
    <row r="968" spans="1:10" x14ac:dyDescent="0.25">
      <c r="A968" s="1">
        <v>83</v>
      </c>
      <c r="B968" t="s">
        <v>28</v>
      </c>
      <c r="C968">
        <v>61</v>
      </c>
      <c r="D968">
        <v>2</v>
      </c>
      <c r="E968" t="s">
        <v>37</v>
      </c>
      <c r="F968" t="s">
        <v>38</v>
      </c>
      <c r="G968" t="str">
        <f>"2026-01-22 04:12:44.381"</f>
        <v>2026-01-22 04:12:44.381</v>
      </c>
      <c r="H968" t="s">
        <v>21</v>
      </c>
    </row>
    <row r="969" spans="1:10" x14ac:dyDescent="0.25">
      <c r="A969" s="1">
        <v>84</v>
      </c>
      <c r="B969" t="s">
        <v>23</v>
      </c>
      <c r="C969">
        <v>61</v>
      </c>
      <c r="D969">
        <v>2</v>
      </c>
      <c r="E969" t="s">
        <v>37</v>
      </c>
      <c r="F969" t="s">
        <v>38</v>
      </c>
      <c r="G969" t="str">
        <f>"2026-01-22 04:12:12.682"</f>
        <v>2026-01-22 04:12:12.682</v>
      </c>
      <c r="H969" t="s">
        <v>21</v>
      </c>
      <c r="I969">
        <v>30.29</v>
      </c>
      <c r="J969" t="s">
        <v>35</v>
      </c>
    </row>
    <row r="970" spans="1:10" x14ac:dyDescent="0.25">
      <c r="A970" s="1">
        <v>85</v>
      </c>
      <c r="B970" t="s">
        <v>28</v>
      </c>
      <c r="C970">
        <v>61</v>
      </c>
      <c r="D970">
        <v>2</v>
      </c>
      <c r="E970" t="s">
        <v>37</v>
      </c>
      <c r="F970" t="s">
        <v>38</v>
      </c>
      <c r="G970" t="str">
        <f>"2026-01-22 02:54:57.581"</f>
        <v>2026-01-22 02:54:57.581</v>
      </c>
      <c r="H970" t="s">
        <v>21</v>
      </c>
    </row>
    <row r="971" spans="1:10" x14ac:dyDescent="0.25">
      <c r="A971" s="1">
        <v>86</v>
      </c>
      <c r="B971" t="s">
        <v>23</v>
      </c>
      <c r="C971">
        <v>61</v>
      </c>
      <c r="D971">
        <v>2</v>
      </c>
      <c r="E971" t="s">
        <v>37</v>
      </c>
      <c r="F971" t="s">
        <v>38</v>
      </c>
      <c r="G971" t="str">
        <f>"2026-01-22 02:54:40.482"</f>
        <v>2026-01-22 02:54:40.482</v>
      </c>
      <c r="H971" t="s">
        <v>21</v>
      </c>
      <c r="I971">
        <v>30.3</v>
      </c>
      <c r="J971" t="s">
        <v>35</v>
      </c>
    </row>
    <row r="972" spans="1:10" x14ac:dyDescent="0.25">
      <c r="A972" s="1">
        <v>87</v>
      </c>
      <c r="B972" t="s">
        <v>28</v>
      </c>
      <c r="C972">
        <v>61</v>
      </c>
      <c r="D972">
        <v>2</v>
      </c>
      <c r="E972" t="s">
        <v>37</v>
      </c>
      <c r="F972" t="s">
        <v>38</v>
      </c>
      <c r="G972" t="str">
        <f>"2026-01-22 02:20:47.682"</f>
        <v>2026-01-22 02:20:47.682</v>
      </c>
      <c r="H972" t="s">
        <v>21</v>
      </c>
    </row>
    <row r="973" spans="1:10" x14ac:dyDescent="0.25">
      <c r="A973" s="1">
        <v>88</v>
      </c>
      <c r="B973" t="s">
        <v>23</v>
      </c>
      <c r="C973">
        <v>61</v>
      </c>
      <c r="D973">
        <v>2</v>
      </c>
      <c r="E973" t="s">
        <v>37</v>
      </c>
      <c r="F973" t="s">
        <v>38</v>
      </c>
      <c r="G973" t="str">
        <f>"2026-01-22 02:20:25.882"</f>
        <v>2026-01-22 02:20:25.882</v>
      </c>
      <c r="H973" t="s">
        <v>21</v>
      </c>
      <c r="I973">
        <v>30.13</v>
      </c>
      <c r="J973" t="s">
        <v>35</v>
      </c>
    </row>
    <row r="974" spans="1:10" x14ac:dyDescent="0.25">
      <c r="A974" s="1">
        <v>90</v>
      </c>
      <c r="B974" t="s">
        <v>28</v>
      </c>
      <c r="C974">
        <v>635</v>
      </c>
      <c r="D974">
        <v>1</v>
      </c>
      <c r="E974" t="s">
        <v>29</v>
      </c>
      <c r="F974" t="s">
        <v>30</v>
      </c>
      <c r="G974" t="str">
        <f>"2026-01-21 21:29:57.721"</f>
        <v>2026-01-21 21:29:57.721</v>
      </c>
      <c r="H974" t="s">
        <v>21</v>
      </c>
    </row>
    <row r="975" spans="1:10" x14ac:dyDescent="0.25">
      <c r="A975" s="1">
        <v>91</v>
      </c>
      <c r="B975" t="s">
        <v>31</v>
      </c>
      <c r="C975">
        <v>635</v>
      </c>
      <c r="D975">
        <v>1</v>
      </c>
      <c r="E975" t="s">
        <v>29</v>
      </c>
      <c r="F975" t="s">
        <v>30</v>
      </c>
      <c r="G975" t="str">
        <f>"2026-01-21 21:25:04.221"</f>
        <v>2026-01-21 21:25:04.221</v>
      </c>
      <c r="H975" t="s">
        <v>21</v>
      </c>
      <c r="I975">
        <v>2.9</v>
      </c>
      <c r="J975" t="s">
        <v>32</v>
      </c>
    </row>
    <row r="976" spans="1:10" x14ac:dyDescent="0.25">
      <c r="A976" s="1">
        <v>93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"2026-01-21 15:32:26.376"</f>
        <v>2026-01-21 15:32:26.376</v>
      </c>
      <c r="H976" t="s">
        <v>21</v>
      </c>
      <c r="I976">
        <v>0</v>
      </c>
      <c r="J976" t="s">
        <v>22</v>
      </c>
    </row>
    <row r="977" spans="1:10" x14ac:dyDescent="0.25">
      <c r="A977" s="1">
        <v>95</v>
      </c>
      <c r="B977" t="s">
        <v>28</v>
      </c>
      <c r="C977">
        <v>61</v>
      </c>
      <c r="D977">
        <v>2</v>
      </c>
      <c r="E977" t="s">
        <v>37</v>
      </c>
      <c r="F977" t="s">
        <v>38</v>
      </c>
      <c r="G977" t="str">
        <f>"2026-01-21 05:17:25.090"</f>
        <v>2026-01-21 05:17:25.090</v>
      </c>
      <c r="H977" t="s">
        <v>21</v>
      </c>
    </row>
    <row r="978" spans="1:10" x14ac:dyDescent="0.25">
      <c r="A978" s="1">
        <v>96</v>
      </c>
      <c r="B978" t="s">
        <v>23</v>
      </c>
      <c r="C978">
        <v>61</v>
      </c>
      <c r="D978">
        <v>2</v>
      </c>
      <c r="E978" t="s">
        <v>37</v>
      </c>
      <c r="F978" t="s">
        <v>38</v>
      </c>
      <c r="G978" t="str">
        <f>"2026-01-21 05:17:18.389"</f>
        <v>2026-01-21 05:17:18.389</v>
      </c>
      <c r="H978" t="s">
        <v>21</v>
      </c>
      <c r="I978">
        <v>31.07</v>
      </c>
      <c r="J978" t="s">
        <v>35</v>
      </c>
    </row>
    <row r="979" spans="1:10" x14ac:dyDescent="0.25">
      <c r="A979" s="1">
        <v>97</v>
      </c>
      <c r="B979" t="s">
        <v>28</v>
      </c>
      <c r="C979">
        <v>635</v>
      </c>
      <c r="D979">
        <v>1</v>
      </c>
      <c r="E979" t="s">
        <v>29</v>
      </c>
      <c r="F979" t="s">
        <v>30</v>
      </c>
      <c r="G979" t="str">
        <f>"2026-01-21 04:49:28.229"</f>
        <v>2026-01-21 04:49:28.229</v>
      </c>
      <c r="H979" t="s">
        <v>21</v>
      </c>
    </row>
    <row r="980" spans="1:10" x14ac:dyDescent="0.25">
      <c r="A980" s="1">
        <v>98</v>
      </c>
      <c r="B980" t="s">
        <v>31</v>
      </c>
      <c r="C980">
        <v>635</v>
      </c>
      <c r="D980">
        <v>1</v>
      </c>
      <c r="E980" t="s">
        <v>29</v>
      </c>
      <c r="F980" t="s">
        <v>30</v>
      </c>
      <c r="G980" t="str">
        <f>"2026-01-21 04:47:04.729"</f>
        <v>2026-01-21 04:47:04.729</v>
      </c>
      <c r="H980" t="s">
        <v>21</v>
      </c>
      <c r="I980">
        <v>-1.1599999999999999</v>
      </c>
      <c r="J980" t="s">
        <v>36</v>
      </c>
    </row>
    <row r="981" spans="1:10" x14ac:dyDescent="0.25">
      <c r="A981" s="1">
        <v>99</v>
      </c>
      <c r="B981" t="s">
        <v>28</v>
      </c>
      <c r="C981">
        <v>61</v>
      </c>
      <c r="D981">
        <v>2</v>
      </c>
      <c r="E981" t="s">
        <v>37</v>
      </c>
      <c r="F981" t="s">
        <v>38</v>
      </c>
      <c r="G981" t="str">
        <f>"2026-01-21 02:02:51.290"</f>
        <v>2026-01-21 02:02:51.290</v>
      </c>
      <c r="H981" t="s">
        <v>21</v>
      </c>
    </row>
    <row r="982" spans="1:10" x14ac:dyDescent="0.25">
      <c r="A982" s="1">
        <v>0</v>
      </c>
      <c r="B982" t="s">
        <v>23</v>
      </c>
      <c r="C982">
        <v>61</v>
      </c>
      <c r="D982">
        <v>2</v>
      </c>
      <c r="E982" t="s">
        <v>37</v>
      </c>
      <c r="F982" t="s">
        <v>38</v>
      </c>
      <c r="G982" t="str">
        <f>"2026-01-21 02:02:32.989"</f>
        <v>2026-01-21 02:02:32.989</v>
      </c>
      <c r="H982" t="s">
        <v>21</v>
      </c>
      <c r="I982">
        <v>30.02</v>
      </c>
      <c r="J982" t="s">
        <v>35</v>
      </c>
    </row>
    <row r="983" spans="1:10" x14ac:dyDescent="0.25">
      <c r="A983" s="1">
        <v>1</v>
      </c>
      <c r="B983" t="s">
        <v>28</v>
      </c>
      <c r="C983">
        <v>61</v>
      </c>
      <c r="D983">
        <v>2</v>
      </c>
      <c r="E983" t="s">
        <v>37</v>
      </c>
      <c r="F983" t="s">
        <v>38</v>
      </c>
      <c r="G983" t="str">
        <f>"2026-01-20 22:49:33.589"</f>
        <v>2026-01-20 22:49:33.589</v>
      </c>
      <c r="H983" t="s">
        <v>21</v>
      </c>
    </row>
    <row r="984" spans="1:10" x14ac:dyDescent="0.25">
      <c r="A984" s="1">
        <v>2</v>
      </c>
      <c r="B984" t="s">
        <v>23</v>
      </c>
      <c r="C984">
        <v>61</v>
      </c>
      <c r="D984">
        <v>2</v>
      </c>
      <c r="E984" t="s">
        <v>37</v>
      </c>
      <c r="F984" t="s">
        <v>38</v>
      </c>
      <c r="G984" t="str">
        <f>"2026-01-20 22:49:16.790"</f>
        <v>2026-01-20 22:49:16.790</v>
      </c>
      <c r="H984" t="s">
        <v>21</v>
      </c>
      <c r="I984">
        <v>30.31</v>
      </c>
      <c r="J984" t="s">
        <v>35</v>
      </c>
    </row>
    <row r="985" spans="1:10" x14ac:dyDescent="0.25">
      <c r="A985" s="1">
        <v>3</v>
      </c>
      <c r="B985" t="s">
        <v>28</v>
      </c>
      <c r="C985">
        <v>635</v>
      </c>
      <c r="D985">
        <v>1</v>
      </c>
      <c r="E985" t="s">
        <v>29</v>
      </c>
      <c r="F985" t="s">
        <v>30</v>
      </c>
      <c r="G985" t="str">
        <f>"2026-01-20 22:19:00.129"</f>
        <v>2026-01-20 22:19:00.129</v>
      </c>
      <c r="H985" t="s">
        <v>21</v>
      </c>
    </row>
    <row r="986" spans="1:10" x14ac:dyDescent="0.25">
      <c r="A986" s="1">
        <v>4</v>
      </c>
      <c r="B986" t="s">
        <v>31</v>
      </c>
      <c r="C986">
        <v>635</v>
      </c>
      <c r="D986">
        <v>1</v>
      </c>
      <c r="E986" t="s">
        <v>29</v>
      </c>
      <c r="F986" t="s">
        <v>30</v>
      </c>
      <c r="G986" t="str">
        <f>"2026-01-20 22:05:44.629"</f>
        <v>2026-01-20 22:05:44.629</v>
      </c>
      <c r="H986" t="s">
        <v>21</v>
      </c>
      <c r="I986">
        <v>10.26</v>
      </c>
      <c r="J986" t="s">
        <v>35</v>
      </c>
    </row>
    <row r="987" spans="1:10" x14ac:dyDescent="0.25">
      <c r="A987" s="1">
        <v>5</v>
      </c>
      <c r="B987" t="s">
        <v>28</v>
      </c>
      <c r="C987">
        <v>635</v>
      </c>
      <c r="D987">
        <v>1</v>
      </c>
      <c r="E987" t="s">
        <v>29</v>
      </c>
      <c r="F987" t="s">
        <v>30</v>
      </c>
      <c r="G987" t="str">
        <f>"2026-01-20 20:16:15.829"</f>
        <v>2026-01-20 20:16:15.829</v>
      </c>
      <c r="H987" t="s">
        <v>21</v>
      </c>
    </row>
    <row r="988" spans="1:10" x14ac:dyDescent="0.25">
      <c r="A988" s="1">
        <v>6</v>
      </c>
      <c r="B988" t="s">
        <v>31</v>
      </c>
      <c r="C988">
        <v>635</v>
      </c>
      <c r="D988">
        <v>1</v>
      </c>
      <c r="E988" t="s">
        <v>29</v>
      </c>
      <c r="F988" t="s">
        <v>30</v>
      </c>
      <c r="G988" t="str">
        <f>"2026-01-20 20:12:05.829"</f>
        <v>2026-01-20 20:12:05.829</v>
      </c>
      <c r="H988" t="s">
        <v>21</v>
      </c>
      <c r="I988">
        <v>3.78</v>
      </c>
      <c r="J988" t="s">
        <v>36</v>
      </c>
    </row>
    <row r="989" spans="1:10" x14ac:dyDescent="0.25">
      <c r="A989" s="1">
        <v>9</v>
      </c>
      <c r="B989" t="s">
        <v>28</v>
      </c>
      <c r="C989">
        <v>635</v>
      </c>
      <c r="D989">
        <v>1</v>
      </c>
      <c r="E989" t="s">
        <v>29</v>
      </c>
      <c r="F989" t="s">
        <v>30</v>
      </c>
      <c r="G989" t="str">
        <f>"2026-01-20 05:41:07.129"</f>
        <v>2026-01-20 05:41:07.129</v>
      </c>
      <c r="H989" t="s">
        <v>21</v>
      </c>
    </row>
    <row r="990" spans="1:10" x14ac:dyDescent="0.25">
      <c r="A990" s="1">
        <v>10</v>
      </c>
      <c r="B990" t="s">
        <v>31</v>
      </c>
      <c r="C990">
        <v>635</v>
      </c>
      <c r="D990">
        <v>1</v>
      </c>
      <c r="E990" t="s">
        <v>29</v>
      </c>
      <c r="F990" t="s">
        <v>30</v>
      </c>
      <c r="G990" t="str">
        <f>"2026-01-20 05:38:01.629"</f>
        <v>2026-01-20 05:38:01.629</v>
      </c>
      <c r="H990" t="s">
        <v>21</v>
      </c>
      <c r="I990">
        <v>2.97</v>
      </c>
      <c r="J990" t="s">
        <v>32</v>
      </c>
    </row>
    <row r="991" spans="1:10" x14ac:dyDescent="0.25">
      <c r="A991" s="1">
        <v>11</v>
      </c>
      <c r="B991" t="s">
        <v>28</v>
      </c>
      <c r="C991">
        <v>635</v>
      </c>
      <c r="D991">
        <v>1</v>
      </c>
      <c r="E991" t="s">
        <v>29</v>
      </c>
      <c r="F991" t="s">
        <v>30</v>
      </c>
      <c r="G991" t="str">
        <f>"2026-01-19 15:41:42.429"</f>
        <v>2026-01-19 15:41:42.429</v>
      </c>
      <c r="H991" t="s">
        <v>21</v>
      </c>
    </row>
    <row r="992" spans="1:10" x14ac:dyDescent="0.25">
      <c r="A992" s="1">
        <v>12</v>
      </c>
      <c r="B992" t="s">
        <v>31</v>
      </c>
      <c r="C992">
        <v>635</v>
      </c>
      <c r="D992">
        <v>1</v>
      </c>
      <c r="E992" t="s">
        <v>29</v>
      </c>
      <c r="F992" t="s">
        <v>30</v>
      </c>
      <c r="G992" t="str">
        <f>"2026-01-19 15:17:12.429"</f>
        <v>2026-01-19 15:17:12.429</v>
      </c>
      <c r="H992" t="s">
        <v>21</v>
      </c>
      <c r="I992">
        <v>7.62</v>
      </c>
      <c r="J992" t="s">
        <v>32</v>
      </c>
    </row>
    <row r="993" spans="1:10" x14ac:dyDescent="0.25">
      <c r="A993" s="1">
        <v>13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"2026-01-19 07:43:15.374"</f>
        <v>2026-01-19 07:43:15.374</v>
      </c>
      <c r="H993" t="s">
        <v>21</v>
      </c>
    </row>
    <row r="994" spans="1:10" x14ac:dyDescent="0.25">
      <c r="A994" s="1">
        <v>14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"2026-01-18 22:34:33.349"</f>
        <v>2026-01-18 22:34:33.349</v>
      </c>
      <c r="H994" t="s">
        <v>21</v>
      </c>
    </row>
    <row r="995" spans="1:10" x14ac:dyDescent="0.25">
      <c r="A995" s="1">
        <v>15</v>
      </c>
      <c r="B995" t="s">
        <v>28</v>
      </c>
      <c r="C995">
        <v>635</v>
      </c>
      <c r="D995">
        <v>1</v>
      </c>
      <c r="E995" t="s">
        <v>29</v>
      </c>
      <c r="F995" t="s">
        <v>30</v>
      </c>
      <c r="G995" t="str">
        <f>"2026-01-18 15:40:30.195"</f>
        <v>2026-01-18 15:40:30.195</v>
      </c>
      <c r="H995" t="s">
        <v>21</v>
      </c>
    </row>
    <row r="996" spans="1:10" x14ac:dyDescent="0.25">
      <c r="A996" s="1">
        <v>16</v>
      </c>
      <c r="B996" t="s">
        <v>31</v>
      </c>
      <c r="C996">
        <v>635</v>
      </c>
      <c r="D996">
        <v>1</v>
      </c>
      <c r="E996" t="s">
        <v>29</v>
      </c>
      <c r="F996" t="s">
        <v>30</v>
      </c>
      <c r="G996" t="str">
        <f>"2026-01-18 15:35:50.696"</f>
        <v>2026-01-18 15:35:50.696</v>
      </c>
      <c r="H996" t="s">
        <v>21</v>
      </c>
      <c r="I996">
        <v>-0.17</v>
      </c>
      <c r="J996" t="s">
        <v>36</v>
      </c>
    </row>
    <row r="997" spans="1:10" x14ac:dyDescent="0.25">
      <c r="A997" s="1">
        <v>18</v>
      </c>
      <c r="B997" t="s">
        <v>28</v>
      </c>
      <c r="C997">
        <v>61</v>
      </c>
      <c r="D997">
        <v>2</v>
      </c>
      <c r="E997" t="s">
        <v>37</v>
      </c>
      <c r="F997" t="s">
        <v>38</v>
      </c>
      <c r="G997" t="str">
        <f>"2026-01-18 11:09:14.856"</f>
        <v>2026-01-18 11:09:14.856</v>
      </c>
      <c r="H997" t="s">
        <v>21</v>
      </c>
    </row>
    <row r="998" spans="1:10" x14ac:dyDescent="0.25">
      <c r="A998" s="1">
        <v>19</v>
      </c>
      <c r="B998" t="s">
        <v>23</v>
      </c>
      <c r="C998">
        <v>61</v>
      </c>
      <c r="D998">
        <v>2</v>
      </c>
      <c r="E998" t="s">
        <v>37</v>
      </c>
      <c r="F998" t="s">
        <v>38</v>
      </c>
      <c r="G998" t="str">
        <f>"2026-01-18 11:09:09.256"</f>
        <v>2026-01-18 11:09:09.256</v>
      </c>
      <c r="H998" t="s">
        <v>21</v>
      </c>
      <c r="I998">
        <v>30.43</v>
      </c>
      <c r="J998" t="s">
        <v>35</v>
      </c>
    </row>
    <row r="999" spans="1:10" x14ac:dyDescent="0.25">
      <c r="A999" s="1">
        <v>20</v>
      </c>
      <c r="B999" t="s">
        <v>19</v>
      </c>
      <c r="C999">
        <v>706</v>
      </c>
      <c r="D999">
        <v>4</v>
      </c>
      <c r="E999" t="s">
        <v>39</v>
      </c>
      <c r="F999" t="s">
        <v>40</v>
      </c>
      <c r="G999" t="str">
        <f>"2026-01-18 10:36:26.050"</f>
        <v>2026-01-18 10:36:26.050</v>
      </c>
      <c r="H999" t="s">
        <v>21</v>
      </c>
      <c r="I999">
        <v>0</v>
      </c>
      <c r="J999" t="s">
        <v>27</v>
      </c>
    </row>
    <row r="1000" spans="1:10" x14ac:dyDescent="0.25">
      <c r="A1000" s="1">
        <v>21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"2026-01-18 09:48:59.330"</f>
        <v>2026-01-18 09:48:59.330</v>
      </c>
      <c r="H1000" t="s">
        <v>21</v>
      </c>
    </row>
    <row r="1001" spans="1:10" x14ac:dyDescent="0.25">
      <c r="A1001" s="1">
        <v>22</v>
      </c>
      <c r="B1001" t="s">
        <v>28</v>
      </c>
      <c r="C1001">
        <v>635</v>
      </c>
      <c r="D1001">
        <v>1</v>
      </c>
      <c r="E1001" t="s">
        <v>29</v>
      </c>
      <c r="F1001" t="s">
        <v>30</v>
      </c>
      <c r="G1001" t="str">
        <f>"2026-01-18 09:16:03.075"</f>
        <v>2026-01-18 09:16:03.075</v>
      </c>
      <c r="H1001" t="s">
        <v>21</v>
      </c>
    </row>
    <row r="1002" spans="1:10" x14ac:dyDescent="0.25">
      <c r="A1002" s="1">
        <v>23</v>
      </c>
      <c r="B1002" t="s">
        <v>31</v>
      </c>
      <c r="C1002">
        <v>635</v>
      </c>
      <c r="D1002">
        <v>1</v>
      </c>
      <c r="E1002" t="s">
        <v>29</v>
      </c>
      <c r="F1002" t="s">
        <v>30</v>
      </c>
      <c r="G1002" t="str">
        <f>"2026-01-18 09:06:21.575"</f>
        <v>2026-01-18 09:06:21.575</v>
      </c>
      <c r="H1002" t="s">
        <v>21</v>
      </c>
      <c r="I1002">
        <v>1.21</v>
      </c>
      <c r="J1002" t="s">
        <v>36</v>
      </c>
    </row>
    <row r="1003" spans="1:10" x14ac:dyDescent="0.25">
      <c r="A1003" s="1">
        <v>24</v>
      </c>
      <c r="B1003" t="s">
        <v>28</v>
      </c>
      <c r="C1003">
        <v>98</v>
      </c>
      <c r="D1003">
        <v>1</v>
      </c>
      <c r="E1003" t="s">
        <v>41</v>
      </c>
      <c r="F1003" t="s">
        <v>42</v>
      </c>
      <c r="G1003" t="str">
        <f>"2026-01-18 04:53:21.828"</f>
        <v>2026-01-18 04:53:21.828</v>
      </c>
      <c r="H1003" t="s">
        <v>21</v>
      </c>
    </row>
    <row r="1004" spans="1:10" x14ac:dyDescent="0.25">
      <c r="A1004" s="1">
        <v>25</v>
      </c>
      <c r="B1004" t="s">
        <v>31</v>
      </c>
      <c r="C1004">
        <v>98</v>
      </c>
      <c r="D1004">
        <v>1</v>
      </c>
      <c r="E1004" t="s">
        <v>41</v>
      </c>
      <c r="F1004" t="s">
        <v>42</v>
      </c>
      <c r="G1004" t="str">
        <f>"2026-01-18 04:53:20.828"</f>
        <v>2026-01-18 04:53:20.828</v>
      </c>
      <c r="H1004" t="s">
        <v>21</v>
      </c>
      <c r="I1004">
        <v>0</v>
      </c>
      <c r="J1004" t="s">
        <v>36</v>
      </c>
    </row>
    <row r="1005" spans="1:10" x14ac:dyDescent="0.25">
      <c r="A1005" s="1">
        <v>26</v>
      </c>
      <c r="B1005" t="s">
        <v>28</v>
      </c>
      <c r="C1005">
        <v>635</v>
      </c>
      <c r="D1005">
        <v>1</v>
      </c>
      <c r="E1005" t="s">
        <v>29</v>
      </c>
      <c r="F1005" t="s">
        <v>30</v>
      </c>
      <c r="G1005" t="str">
        <f>"2026-01-17 11:56:34.775"</f>
        <v>2026-01-17 11:56:34.775</v>
      </c>
      <c r="H1005" t="s">
        <v>21</v>
      </c>
    </row>
    <row r="1006" spans="1:10" x14ac:dyDescent="0.25">
      <c r="A1006" s="1">
        <v>27</v>
      </c>
      <c r="B1006" t="s">
        <v>31</v>
      </c>
      <c r="C1006">
        <v>635</v>
      </c>
      <c r="D1006">
        <v>1</v>
      </c>
      <c r="E1006" t="s">
        <v>29</v>
      </c>
      <c r="F1006" t="s">
        <v>30</v>
      </c>
      <c r="G1006" t="str">
        <f>"2026-01-17 11:49:41.775"</f>
        <v>2026-01-17 11:49:41.775</v>
      </c>
      <c r="H1006" t="s">
        <v>21</v>
      </c>
      <c r="I1006">
        <v>3.05</v>
      </c>
      <c r="J1006" t="s">
        <v>35</v>
      </c>
    </row>
    <row r="1007" spans="1:10" x14ac:dyDescent="0.25">
      <c r="A1007" s="1">
        <v>28</v>
      </c>
      <c r="B1007" t="s">
        <v>28</v>
      </c>
      <c r="C1007">
        <v>635</v>
      </c>
      <c r="D1007">
        <v>1</v>
      </c>
      <c r="E1007" t="s">
        <v>29</v>
      </c>
      <c r="F1007" t="s">
        <v>30</v>
      </c>
      <c r="G1007" t="str">
        <f>"2026-01-17 11:26:07.375"</f>
        <v>2026-01-17 11:26:07.375</v>
      </c>
      <c r="H1007" t="s">
        <v>21</v>
      </c>
    </row>
    <row r="1008" spans="1:10" x14ac:dyDescent="0.25">
      <c r="A1008" s="1">
        <v>29</v>
      </c>
      <c r="B1008" t="s">
        <v>31</v>
      </c>
      <c r="C1008">
        <v>635</v>
      </c>
      <c r="D1008">
        <v>1</v>
      </c>
      <c r="E1008" t="s">
        <v>29</v>
      </c>
      <c r="F1008" t="s">
        <v>30</v>
      </c>
      <c r="G1008" t="str">
        <f>"2026-01-17 11:21:01.875"</f>
        <v>2026-01-17 11:21:01.875</v>
      </c>
      <c r="H1008" t="s">
        <v>21</v>
      </c>
      <c r="I1008">
        <v>0.84</v>
      </c>
      <c r="J1008" t="s">
        <v>35</v>
      </c>
    </row>
    <row r="1009" spans="1:10" x14ac:dyDescent="0.25">
      <c r="A1009" s="1">
        <v>30</v>
      </c>
      <c r="B1009" t="s">
        <v>28</v>
      </c>
      <c r="C1009">
        <v>61</v>
      </c>
      <c r="D1009">
        <v>2</v>
      </c>
      <c r="E1009" t="s">
        <v>37</v>
      </c>
      <c r="F1009" t="s">
        <v>38</v>
      </c>
      <c r="G1009" t="str">
        <f>"2026-01-16 16:52:00.029"</f>
        <v>2026-01-16 16:52:00.029</v>
      </c>
      <c r="H1009" t="s">
        <v>21</v>
      </c>
    </row>
    <row r="1010" spans="1:10" x14ac:dyDescent="0.25">
      <c r="A1010" s="1">
        <v>31</v>
      </c>
      <c r="B1010" t="s">
        <v>23</v>
      </c>
      <c r="C1010">
        <v>61</v>
      </c>
      <c r="D1010">
        <v>2</v>
      </c>
      <c r="E1010" t="s">
        <v>37</v>
      </c>
      <c r="F1010" t="s">
        <v>38</v>
      </c>
      <c r="G1010" t="str">
        <f>"2026-01-16 16:51:28.229"</f>
        <v>2026-01-16 16:51:28.229</v>
      </c>
      <c r="H1010" t="s">
        <v>21</v>
      </c>
      <c r="I1010">
        <v>30.46</v>
      </c>
      <c r="J1010" t="s">
        <v>35</v>
      </c>
    </row>
    <row r="1011" spans="1:10" x14ac:dyDescent="0.25">
      <c r="A1011" s="1">
        <v>32</v>
      </c>
      <c r="B1011" t="s">
        <v>28</v>
      </c>
      <c r="C1011">
        <v>61</v>
      </c>
      <c r="D1011">
        <v>2</v>
      </c>
      <c r="E1011" t="s">
        <v>37</v>
      </c>
      <c r="F1011" t="s">
        <v>38</v>
      </c>
      <c r="G1011" t="str">
        <f>"2026-01-16 15:39:32.529"</f>
        <v>2026-01-16 15:39:32.529</v>
      </c>
      <c r="H1011" t="s">
        <v>21</v>
      </c>
    </row>
    <row r="1012" spans="1:10" x14ac:dyDescent="0.25">
      <c r="A1012" s="1">
        <v>33</v>
      </c>
      <c r="B1012" t="s">
        <v>23</v>
      </c>
      <c r="C1012">
        <v>61</v>
      </c>
      <c r="D1012">
        <v>2</v>
      </c>
      <c r="E1012" t="s">
        <v>37</v>
      </c>
      <c r="F1012" t="s">
        <v>38</v>
      </c>
      <c r="G1012" t="str">
        <f>"2026-01-16 15:38:50.329"</f>
        <v>2026-01-16 15:38:50.329</v>
      </c>
      <c r="H1012" t="s">
        <v>21</v>
      </c>
      <c r="I1012">
        <v>29.25</v>
      </c>
      <c r="J1012" t="s">
        <v>35</v>
      </c>
    </row>
    <row r="1013" spans="1:10" x14ac:dyDescent="0.25">
      <c r="A1013" s="1">
        <v>34</v>
      </c>
      <c r="B1013" t="s">
        <v>28</v>
      </c>
      <c r="C1013">
        <v>61</v>
      </c>
      <c r="D1013">
        <v>2</v>
      </c>
      <c r="E1013" t="s">
        <v>37</v>
      </c>
      <c r="F1013" t="s">
        <v>38</v>
      </c>
      <c r="G1013" t="str">
        <f>"2026-01-16 15:11:31.229"</f>
        <v>2026-01-16 15:11:31.229</v>
      </c>
      <c r="H1013" t="s">
        <v>21</v>
      </c>
    </row>
    <row r="1014" spans="1:10" x14ac:dyDescent="0.25">
      <c r="A1014" s="1">
        <v>35</v>
      </c>
      <c r="B1014" t="s">
        <v>23</v>
      </c>
      <c r="C1014">
        <v>61</v>
      </c>
      <c r="D1014">
        <v>2</v>
      </c>
      <c r="E1014" t="s">
        <v>37</v>
      </c>
      <c r="F1014" t="s">
        <v>38</v>
      </c>
      <c r="G1014" t="str">
        <f>"2026-01-16 15:10:59.729"</f>
        <v>2026-01-16 15:10:59.729</v>
      </c>
      <c r="H1014" t="s">
        <v>21</v>
      </c>
      <c r="I1014">
        <v>30.25</v>
      </c>
      <c r="J1014" t="s">
        <v>35</v>
      </c>
    </row>
    <row r="1015" spans="1:10" x14ac:dyDescent="0.25">
      <c r="A1015" s="1">
        <v>36</v>
      </c>
      <c r="B1015" t="s">
        <v>28</v>
      </c>
      <c r="C1015">
        <v>61</v>
      </c>
      <c r="D1015">
        <v>2</v>
      </c>
      <c r="E1015" t="s">
        <v>37</v>
      </c>
      <c r="F1015" t="s">
        <v>38</v>
      </c>
      <c r="G1015" t="str">
        <f>"2026-01-16 14:41:06.829"</f>
        <v>2026-01-16 14:41:06.829</v>
      </c>
      <c r="H1015" t="s">
        <v>21</v>
      </c>
    </row>
    <row r="1016" spans="1:10" x14ac:dyDescent="0.25">
      <c r="A1016" s="1">
        <v>37</v>
      </c>
      <c r="B1016" t="s">
        <v>23</v>
      </c>
      <c r="C1016">
        <v>61</v>
      </c>
      <c r="D1016">
        <v>2</v>
      </c>
      <c r="E1016" t="s">
        <v>37</v>
      </c>
      <c r="F1016" t="s">
        <v>38</v>
      </c>
      <c r="G1016" t="str">
        <f>"2026-01-16 14:40:46.229"</f>
        <v>2026-01-16 14:40:46.229</v>
      </c>
      <c r="H1016" t="s">
        <v>21</v>
      </c>
      <c r="I1016">
        <v>29.89</v>
      </c>
      <c r="J1016" t="s">
        <v>35</v>
      </c>
    </row>
    <row r="1017" spans="1:10" x14ac:dyDescent="0.25">
      <c r="A1017" s="1">
        <v>38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"2026-01-16 14:16:30.325"</f>
        <v>2026-01-16 14:16:30.325</v>
      </c>
      <c r="H1017" t="s">
        <v>21</v>
      </c>
      <c r="I1017">
        <v>0</v>
      </c>
      <c r="J1017" t="s">
        <v>22</v>
      </c>
    </row>
    <row r="1018" spans="1:10" x14ac:dyDescent="0.25">
      <c r="A1018" s="1">
        <v>39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"2026-01-16 11:31:38.324"</f>
        <v>2026-01-16 11:31:38.324</v>
      </c>
      <c r="H1018" t="s">
        <v>21</v>
      </c>
      <c r="I1018">
        <v>0</v>
      </c>
      <c r="J1018" t="s">
        <v>22</v>
      </c>
    </row>
    <row r="1019" spans="1:10" x14ac:dyDescent="0.25">
      <c r="A1019" s="1">
        <v>40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"2026-01-16 11:19:50.314"</f>
        <v>2026-01-16 11:19:50.314</v>
      </c>
      <c r="H1019" t="s">
        <v>21</v>
      </c>
      <c r="I1019">
        <v>0</v>
      </c>
      <c r="J1019" t="s">
        <v>22</v>
      </c>
    </row>
    <row r="1020" spans="1:10" x14ac:dyDescent="0.25">
      <c r="A1020" s="1">
        <v>41</v>
      </c>
      <c r="B1020" t="s">
        <v>19</v>
      </c>
      <c r="C1020">
        <v>706</v>
      </c>
      <c r="D1020">
        <v>4</v>
      </c>
      <c r="E1020" t="s">
        <v>39</v>
      </c>
      <c r="F1020" t="s">
        <v>40</v>
      </c>
      <c r="G1020" t="str">
        <f>"2026-01-16 10:25:04.448"</f>
        <v>2026-01-16 10:25:04.448</v>
      </c>
      <c r="H1020" t="s">
        <v>21</v>
      </c>
      <c r="I1020">
        <v>0</v>
      </c>
      <c r="J1020" t="s">
        <v>27</v>
      </c>
    </row>
    <row r="1021" spans="1:10" x14ac:dyDescent="0.25">
      <c r="A1021" s="1">
        <v>42</v>
      </c>
      <c r="B1021" t="s">
        <v>19</v>
      </c>
      <c r="C1021">
        <v>706</v>
      </c>
      <c r="D1021">
        <v>2</v>
      </c>
      <c r="E1021" t="s">
        <v>39</v>
      </c>
      <c r="F1021" t="s">
        <v>48</v>
      </c>
      <c r="G1021" t="str">
        <f>"2026-01-16 10:23:28.338"</f>
        <v>2026-01-16 10:23:28.338</v>
      </c>
      <c r="H1021" t="s">
        <v>21</v>
      </c>
      <c r="I1021">
        <v>0</v>
      </c>
      <c r="J1021" t="s">
        <v>27</v>
      </c>
    </row>
    <row r="1022" spans="1:10" x14ac:dyDescent="0.25">
      <c r="A1022" s="1">
        <v>43</v>
      </c>
      <c r="B1022" t="s">
        <v>19</v>
      </c>
      <c r="C1022">
        <v>706</v>
      </c>
      <c r="D1022">
        <v>4</v>
      </c>
      <c r="E1022" t="s">
        <v>39</v>
      </c>
      <c r="F1022" t="s">
        <v>40</v>
      </c>
      <c r="G1022" t="str">
        <f>"2026-01-16 10:23:09.258"</f>
        <v>2026-01-16 10:23:09.258</v>
      </c>
      <c r="H1022" t="s">
        <v>21</v>
      </c>
      <c r="I1022">
        <v>0</v>
      </c>
      <c r="J1022" t="s">
        <v>27</v>
      </c>
    </row>
    <row r="1023" spans="1:10" x14ac:dyDescent="0.25">
      <c r="A1023" s="1">
        <v>44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"2026-01-16 10:19:19.398"</f>
        <v>2026-01-16 10:19:19.398</v>
      </c>
      <c r="H1023" t="s">
        <v>21</v>
      </c>
    </row>
    <row r="1024" spans="1:10" x14ac:dyDescent="0.25">
      <c r="A1024" s="1">
        <v>45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"2026-01-16 09:04:38.319"</f>
        <v>2026-01-16 09:04:38.319</v>
      </c>
      <c r="H1024" t="s">
        <v>21</v>
      </c>
      <c r="I1024">
        <v>0</v>
      </c>
      <c r="J1024" t="s">
        <v>22</v>
      </c>
    </row>
    <row r="1025" spans="1:10" x14ac:dyDescent="0.25">
      <c r="A1025" s="1">
        <v>46</v>
      </c>
      <c r="B1025" t="s">
        <v>19</v>
      </c>
      <c r="C1025">
        <v>706</v>
      </c>
      <c r="D1025">
        <v>2</v>
      </c>
      <c r="E1025" t="s">
        <v>39</v>
      </c>
      <c r="F1025" t="s">
        <v>48</v>
      </c>
      <c r="G1025" t="str">
        <f>"2026-01-16 08:55:28.747"</f>
        <v>2026-01-16 08:55:28.747</v>
      </c>
      <c r="H1025" t="s">
        <v>21</v>
      </c>
      <c r="I1025">
        <v>0</v>
      </c>
      <c r="J1025" t="s">
        <v>27</v>
      </c>
    </row>
    <row r="1026" spans="1:10" x14ac:dyDescent="0.25">
      <c r="A1026" s="1">
        <v>47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"2026-01-16 08:50:27.407"</f>
        <v>2026-01-16 08:50:27.407</v>
      </c>
      <c r="H1026" t="s">
        <v>21</v>
      </c>
    </row>
    <row r="1027" spans="1:10" x14ac:dyDescent="0.25">
      <c r="A1027" s="1">
        <v>48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"2026-01-16 08:39:11.332"</f>
        <v>2026-01-16 08:39:11.332</v>
      </c>
      <c r="H1027" t="s">
        <v>21</v>
      </c>
    </row>
    <row r="1028" spans="1:10" x14ac:dyDescent="0.25">
      <c r="A1028" s="1">
        <v>49</v>
      </c>
      <c r="B1028" t="s">
        <v>28</v>
      </c>
      <c r="C1028">
        <v>635</v>
      </c>
      <c r="D1028">
        <v>1</v>
      </c>
      <c r="E1028" t="s">
        <v>29</v>
      </c>
      <c r="F1028" t="s">
        <v>30</v>
      </c>
      <c r="G1028" t="str">
        <f>"2026-01-15 20:32:34.794"</f>
        <v>2026-01-15 20:32:34.794</v>
      </c>
      <c r="H1028" t="s">
        <v>21</v>
      </c>
    </row>
    <row r="1029" spans="1:10" x14ac:dyDescent="0.25">
      <c r="A1029" s="1">
        <v>50</v>
      </c>
      <c r="B1029" t="s">
        <v>31</v>
      </c>
      <c r="C1029">
        <v>635</v>
      </c>
      <c r="D1029">
        <v>1</v>
      </c>
      <c r="E1029" t="s">
        <v>29</v>
      </c>
      <c r="F1029" t="s">
        <v>30</v>
      </c>
      <c r="G1029" t="str">
        <f>"2026-01-15 20:28:57.794"</f>
        <v>2026-01-15 20:28:57.794</v>
      </c>
      <c r="H1029" t="s">
        <v>21</v>
      </c>
      <c r="I1029">
        <v>4.63</v>
      </c>
      <c r="J1029" t="s">
        <v>32</v>
      </c>
    </row>
    <row r="1030" spans="1:10" x14ac:dyDescent="0.25">
      <c r="A1030" s="1">
        <v>51</v>
      </c>
      <c r="B1030" t="s">
        <v>28</v>
      </c>
      <c r="C1030">
        <v>635</v>
      </c>
      <c r="D1030">
        <v>1</v>
      </c>
      <c r="E1030" t="s">
        <v>29</v>
      </c>
      <c r="F1030" t="s">
        <v>30</v>
      </c>
      <c r="G1030" t="str">
        <f>"2026-01-15 20:08:03.794"</f>
        <v>2026-01-15 20:08:03.794</v>
      </c>
      <c r="H1030" t="s">
        <v>21</v>
      </c>
    </row>
    <row r="1031" spans="1:10" x14ac:dyDescent="0.25">
      <c r="A1031" s="1">
        <v>52</v>
      </c>
      <c r="B1031" t="s">
        <v>31</v>
      </c>
      <c r="C1031">
        <v>635</v>
      </c>
      <c r="D1031">
        <v>1</v>
      </c>
      <c r="E1031" t="s">
        <v>29</v>
      </c>
      <c r="F1031" t="s">
        <v>30</v>
      </c>
      <c r="G1031" t="str">
        <f>"2026-01-15 20:04:29.794"</f>
        <v>2026-01-15 20:04:29.794</v>
      </c>
      <c r="H1031" t="s">
        <v>21</v>
      </c>
      <c r="I1031">
        <v>6.4</v>
      </c>
      <c r="J1031" t="s">
        <v>32</v>
      </c>
    </row>
    <row r="1032" spans="1:10" x14ac:dyDescent="0.25">
      <c r="A1032" s="1">
        <v>53</v>
      </c>
      <c r="B1032" t="s">
        <v>28</v>
      </c>
      <c r="C1032">
        <v>635</v>
      </c>
      <c r="D1032">
        <v>1</v>
      </c>
      <c r="E1032" t="s">
        <v>29</v>
      </c>
      <c r="F1032" t="s">
        <v>30</v>
      </c>
      <c r="G1032" t="str">
        <f>"2026-01-15 04:31:16.194"</f>
        <v>2026-01-15 04:31:16.194</v>
      </c>
      <c r="H1032" t="s">
        <v>21</v>
      </c>
    </row>
    <row r="1033" spans="1:10" x14ac:dyDescent="0.25">
      <c r="A1033" s="1">
        <v>54</v>
      </c>
      <c r="B1033" t="s">
        <v>31</v>
      </c>
      <c r="C1033">
        <v>635</v>
      </c>
      <c r="D1033">
        <v>1</v>
      </c>
      <c r="E1033" t="s">
        <v>29</v>
      </c>
      <c r="F1033" t="s">
        <v>30</v>
      </c>
      <c r="G1033" t="str">
        <f>"2026-01-15 04:27:58.694"</f>
        <v>2026-01-15 04:27:58.694</v>
      </c>
      <c r="H1033" t="s">
        <v>21</v>
      </c>
      <c r="I1033">
        <v>8.1300000000000008</v>
      </c>
      <c r="J1033" t="s">
        <v>32</v>
      </c>
    </row>
    <row r="1034" spans="1:10" x14ac:dyDescent="0.25">
      <c r="A1034" s="1">
        <v>55</v>
      </c>
      <c r="B1034" t="s">
        <v>28</v>
      </c>
      <c r="C1034">
        <v>635</v>
      </c>
      <c r="D1034">
        <v>1</v>
      </c>
      <c r="E1034" t="s">
        <v>29</v>
      </c>
      <c r="F1034" t="s">
        <v>30</v>
      </c>
      <c r="G1034" t="str">
        <f>"2026-01-14 18:13:34.994"</f>
        <v>2026-01-14 18:13:34.994</v>
      </c>
      <c r="H1034" t="s">
        <v>21</v>
      </c>
    </row>
    <row r="1035" spans="1:10" x14ac:dyDescent="0.25">
      <c r="A1035" s="1">
        <v>56</v>
      </c>
      <c r="B1035" t="s">
        <v>31</v>
      </c>
      <c r="C1035">
        <v>635</v>
      </c>
      <c r="D1035">
        <v>1</v>
      </c>
      <c r="E1035" t="s">
        <v>29</v>
      </c>
      <c r="F1035" t="s">
        <v>30</v>
      </c>
      <c r="G1035" t="str">
        <f>"2026-01-14 18:09:53.494"</f>
        <v>2026-01-14 18:09:53.494</v>
      </c>
      <c r="H1035" t="s">
        <v>21</v>
      </c>
      <c r="I1035">
        <v>2.86</v>
      </c>
      <c r="J1035" t="s">
        <v>32</v>
      </c>
    </row>
    <row r="1036" spans="1:10" x14ac:dyDescent="0.25">
      <c r="A1036" s="1">
        <v>57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"2026-01-14 10:34:31.334"</f>
        <v>2026-01-14 10:34:31.334</v>
      </c>
      <c r="H1036" t="s">
        <v>21</v>
      </c>
    </row>
    <row r="1037" spans="1:10" x14ac:dyDescent="0.25">
      <c r="A1037" s="1">
        <v>58</v>
      </c>
      <c r="B1037" t="s">
        <v>28</v>
      </c>
      <c r="C1037">
        <v>61</v>
      </c>
      <c r="D1037">
        <v>2</v>
      </c>
      <c r="E1037" t="s">
        <v>37</v>
      </c>
      <c r="F1037" t="s">
        <v>38</v>
      </c>
      <c r="G1037" t="str">
        <f>"2026-01-14 04:39:46.432"</f>
        <v>2026-01-14 04:39:46.432</v>
      </c>
      <c r="H1037" t="s">
        <v>21</v>
      </c>
    </row>
    <row r="1038" spans="1:10" x14ac:dyDescent="0.25">
      <c r="A1038" s="1">
        <v>59</v>
      </c>
      <c r="B1038" t="s">
        <v>23</v>
      </c>
      <c r="C1038">
        <v>61</v>
      </c>
      <c r="D1038">
        <v>2</v>
      </c>
      <c r="E1038" t="s">
        <v>37</v>
      </c>
      <c r="F1038" t="s">
        <v>38</v>
      </c>
      <c r="G1038" t="str">
        <f>"2026-01-14 04:39:37.332"</f>
        <v>2026-01-14 04:39:37.332</v>
      </c>
      <c r="H1038" t="s">
        <v>21</v>
      </c>
      <c r="I1038">
        <v>29.66</v>
      </c>
      <c r="J1038" t="s">
        <v>35</v>
      </c>
    </row>
    <row r="1039" spans="1:10" x14ac:dyDescent="0.25">
      <c r="A1039" s="1">
        <v>60</v>
      </c>
      <c r="B1039" t="s">
        <v>28</v>
      </c>
      <c r="C1039">
        <v>635</v>
      </c>
      <c r="D1039">
        <v>1</v>
      </c>
      <c r="E1039" t="s">
        <v>29</v>
      </c>
      <c r="F1039" t="s">
        <v>30</v>
      </c>
      <c r="G1039" t="str">
        <f>"2026-01-13 06:01:55.378"</f>
        <v>2026-01-13 06:01:55.378</v>
      </c>
      <c r="H1039" t="s">
        <v>21</v>
      </c>
    </row>
    <row r="1040" spans="1:10" x14ac:dyDescent="0.25">
      <c r="A1040" s="1">
        <v>61</v>
      </c>
      <c r="B1040" t="s">
        <v>31</v>
      </c>
      <c r="C1040">
        <v>635</v>
      </c>
      <c r="D1040">
        <v>1</v>
      </c>
      <c r="E1040" t="s">
        <v>29</v>
      </c>
      <c r="F1040" t="s">
        <v>30</v>
      </c>
      <c r="G1040" t="str">
        <f>"2026-01-13 05:58:16.978"</f>
        <v>2026-01-13 05:58:16.978</v>
      </c>
      <c r="H1040" t="s">
        <v>21</v>
      </c>
      <c r="I1040">
        <v>9.89</v>
      </c>
      <c r="J1040" t="s">
        <v>35</v>
      </c>
    </row>
    <row r="1041" spans="1:10" x14ac:dyDescent="0.25">
      <c r="A1041" s="1">
        <v>62</v>
      </c>
      <c r="B1041" t="s">
        <v>28</v>
      </c>
      <c r="C1041">
        <v>635</v>
      </c>
      <c r="D1041">
        <v>1</v>
      </c>
      <c r="E1041" t="s">
        <v>29</v>
      </c>
      <c r="F1041" t="s">
        <v>30</v>
      </c>
      <c r="G1041" t="str">
        <f>"2026-01-11 17:42:12.478"</f>
        <v>2026-01-11 17:42:12.478</v>
      </c>
      <c r="H1041" t="s">
        <v>21</v>
      </c>
    </row>
    <row r="1042" spans="1:10" x14ac:dyDescent="0.25">
      <c r="A1042" s="1">
        <v>63</v>
      </c>
      <c r="B1042" t="s">
        <v>31</v>
      </c>
      <c r="C1042">
        <v>635</v>
      </c>
      <c r="D1042">
        <v>1</v>
      </c>
      <c r="E1042" t="s">
        <v>29</v>
      </c>
      <c r="F1042" t="s">
        <v>30</v>
      </c>
      <c r="G1042" t="str">
        <f>"2026-01-11 17:37:08.478"</f>
        <v>2026-01-11 17:37:08.478</v>
      </c>
      <c r="H1042" t="s">
        <v>21</v>
      </c>
      <c r="I1042">
        <v>0</v>
      </c>
      <c r="J1042" t="s">
        <v>36</v>
      </c>
    </row>
    <row r="1043" spans="1:10" x14ac:dyDescent="0.25">
      <c r="A1043" s="1">
        <v>64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"2026-01-11 10:10:21.320"</f>
        <v>2026-01-11 10:10:21.320</v>
      </c>
      <c r="H1043" t="s">
        <v>21</v>
      </c>
      <c r="I1043">
        <v>0</v>
      </c>
      <c r="J1043" t="s">
        <v>22</v>
      </c>
    </row>
    <row r="1044" spans="1:10" x14ac:dyDescent="0.25">
      <c r="A1044" s="1">
        <v>65</v>
      </c>
      <c r="B1044" t="s">
        <v>28</v>
      </c>
      <c r="C1044">
        <v>61</v>
      </c>
      <c r="D1044">
        <v>2</v>
      </c>
      <c r="E1044" t="s">
        <v>37</v>
      </c>
      <c r="F1044" t="s">
        <v>38</v>
      </c>
      <c r="G1044" t="str">
        <f>"2026-01-11 02:52:33.414"</f>
        <v>2026-01-11 02:52:33.414</v>
      </c>
      <c r="H1044" t="s">
        <v>21</v>
      </c>
    </row>
    <row r="1045" spans="1:10" x14ac:dyDescent="0.25">
      <c r="A1045" s="1">
        <v>66</v>
      </c>
      <c r="B1045" t="s">
        <v>23</v>
      </c>
      <c r="C1045">
        <v>61</v>
      </c>
      <c r="D1045">
        <v>2</v>
      </c>
      <c r="E1045" t="s">
        <v>37</v>
      </c>
      <c r="F1045" t="s">
        <v>38</v>
      </c>
      <c r="G1045" t="str">
        <f>"2026-01-11 02:52:19.315"</f>
        <v>2026-01-11 02:52:19.315</v>
      </c>
      <c r="H1045" t="s">
        <v>21</v>
      </c>
      <c r="I1045">
        <v>30.2</v>
      </c>
      <c r="J1045" t="s">
        <v>35</v>
      </c>
    </row>
    <row r="1046" spans="1:10" x14ac:dyDescent="0.25">
      <c r="A1046" s="1">
        <v>67</v>
      </c>
      <c r="B1046" t="s">
        <v>19</v>
      </c>
      <c r="C1046">
        <v>706</v>
      </c>
      <c r="D1046">
        <v>4</v>
      </c>
      <c r="E1046" t="s">
        <v>39</v>
      </c>
      <c r="F1046" t="s">
        <v>40</v>
      </c>
      <c r="G1046" t="str">
        <f>"2026-01-09 20:10:36.651"</f>
        <v>2026-01-09 20:10:36.651</v>
      </c>
      <c r="H1046" t="s">
        <v>21</v>
      </c>
      <c r="I1046">
        <v>0</v>
      </c>
      <c r="J1046" t="s">
        <v>27</v>
      </c>
    </row>
    <row r="1047" spans="1:10" x14ac:dyDescent="0.25">
      <c r="A1047" s="1">
        <v>68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"2026-01-09 20:06:19.301"</f>
        <v>2026-01-09 20:06:19.301</v>
      </c>
      <c r="H1047" t="s">
        <v>21</v>
      </c>
    </row>
    <row r="1048" spans="1:10" x14ac:dyDescent="0.25">
      <c r="A1048" s="1">
        <v>69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"2026-01-09 20:04:29.296"</f>
        <v>2026-01-09 20:04:29.296</v>
      </c>
      <c r="H1048" t="s">
        <v>21</v>
      </c>
    </row>
    <row r="1049" spans="1:10" x14ac:dyDescent="0.25">
      <c r="A1049" s="1">
        <v>70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"2026-01-09 20:01:58.293"</f>
        <v>2026-01-09 20:01:58.293</v>
      </c>
      <c r="H1049" t="s">
        <v>21</v>
      </c>
    </row>
    <row r="1050" spans="1:10" x14ac:dyDescent="0.25">
      <c r="A1050" s="1">
        <v>71</v>
      </c>
      <c r="B1050" t="s">
        <v>19</v>
      </c>
      <c r="C1050">
        <v>706</v>
      </c>
      <c r="D1050">
        <v>2</v>
      </c>
      <c r="E1050" t="s">
        <v>39</v>
      </c>
      <c r="F1050" t="s">
        <v>48</v>
      </c>
      <c r="G1050" t="str">
        <f>"2026-01-09 20:00:30.330"</f>
        <v>2026-01-09 20:00:30.330</v>
      </c>
      <c r="H1050" t="s">
        <v>21</v>
      </c>
      <c r="I1050">
        <v>0</v>
      </c>
      <c r="J1050" t="s">
        <v>27</v>
      </c>
    </row>
    <row r="1051" spans="1:10" x14ac:dyDescent="0.25">
      <c r="A1051" s="1">
        <v>72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"2026-01-09 19:59:45.310"</f>
        <v>2026-01-09 19:59:45.310</v>
      </c>
      <c r="H1051" t="s">
        <v>21</v>
      </c>
      <c r="I1051">
        <v>0</v>
      </c>
      <c r="J1051" t="s">
        <v>22</v>
      </c>
    </row>
    <row r="1052" spans="1:10" x14ac:dyDescent="0.25">
      <c r="A1052" s="1">
        <v>73</v>
      </c>
      <c r="B1052" t="s">
        <v>28</v>
      </c>
      <c r="C1052">
        <v>635</v>
      </c>
      <c r="D1052">
        <v>1</v>
      </c>
      <c r="E1052" t="s">
        <v>29</v>
      </c>
      <c r="F1052" t="s">
        <v>30</v>
      </c>
      <c r="G1052" t="str">
        <f>"2026-01-09 19:08:11.619"</f>
        <v>2026-01-09 19:08:11.619</v>
      </c>
      <c r="H1052" t="s">
        <v>21</v>
      </c>
    </row>
    <row r="1053" spans="1:10" x14ac:dyDescent="0.25">
      <c r="A1053" s="1">
        <v>74</v>
      </c>
      <c r="B1053" t="s">
        <v>31</v>
      </c>
      <c r="C1053">
        <v>635</v>
      </c>
      <c r="D1053">
        <v>1</v>
      </c>
      <c r="E1053" t="s">
        <v>29</v>
      </c>
      <c r="F1053" t="s">
        <v>30</v>
      </c>
      <c r="G1053" t="str">
        <f>"2026-01-09 19:04:36.119"</f>
        <v>2026-01-09 19:04:36.119</v>
      </c>
      <c r="H1053" t="s">
        <v>21</v>
      </c>
      <c r="I1053">
        <v>5.66</v>
      </c>
      <c r="J1053" t="s">
        <v>36</v>
      </c>
    </row>
    <row r="1054" spans="1:10" x14ac:dyDescent="0.25">
      <c r="A1054" s="1">
        <v>75</v>
      </c>
      <c r="B1054" t="s">
        <v>28</v>
      </c>
      <c r="C1054">
        <v>61</v>
      </c>
      <c r="D1054">
        <v>2</v>
      </c>
      <c r="E1054" t="s">
        <v>37</v>
      </c>
      <c r="F1054" t="s">
        <v>38</v>
      </c>
      <c r="G1054" t="str">
        <f>"2026-01-09 14:43:16.420"</f>
        <v>2026-01-09 14:43:16.420</v>
      </c>
      <c r="H1054" t="s">
        <v>21</v>
      </c>
    </row>
    <row r="1055" spans="1:10" x14ac:dyDescent="0.25">
      <c r="A1055" s="1">
        <v>76</v>
      </c>
      <c r="B1055" t="s">
        <v>23</v>
      </c>
      <c r="C1055">
        <v>61</v>
      </c>
      <c r="D1055">
        <v>2</v>
      </c>
      <c r="E1055" t="s">
        <v>37</v>
      </c>
      <c r="F1055" t="s">
        <v>38</v>
      </c>
      <c r="G1055" t="str">
        <f>"2026-01-09 14:42:55.820"</f>
        <v>2026-01-09 14:42:55.820</v>
      </c>
      <c r="H1055" t="s">
        <v>21</v>
      </c>
      <c r="I1055">
        <v>29.91</v>
      </c>
      <c r="J1055" t="s">
        <v>35</v>
      </c>
    </row>
    <row r="1056" spans="1:10" x14ac:dyDescent="0.25">
      <c r="A1056" s="1">
        <v>77</v>
      </c>
      <c r="B1056" t="s">
        <v>28</v>
      </c>
      <c r="C1056">
        <v>61</v>
      </c>
      <c r="D1056">
        <v>2</v>
      </c>
      <c r="E1056" t="s">
        <v>37</v>
      </c>
      <c r="F1056" t="s">
        <v>38</v>
      </c>
      <c r="G1056" t="str">
        <f>"2026-01-09 10:12:03.020"</f>
        <v>2026-01-09 10:12:03.020</v>
      </c>
      <c r="H1056" t="s">
        <v>21</v>
      </c>
    </row>
    <row r="1057" spans="1:10" x14ac:dyDescent="0.25">
      <c r="A1057" s="1">
        <v>78</v>
      </c>
      <c r="B1057" t="s">
        <v>23</v>
      </c>
      <c r="C1057">
        <v>61</v>
      </c>
      <c r="D1057">
        <v>2</v>
      </c>
      <c r="E1057" t="s">
        <v>37</v>
      </c>
      <c r="F1057" t="s">
        <v>38</v>
      </c>
      <c r="G1057" t="str">
        <f>"2026-01-09 10:11:46.720"</f>
        <v>2026-01-09 10:11:46.720</v>
      </c>
      <c r="H1057" t="s">
        <v>21</v>
      </c>
      <c r="I1057">
        <v>30.44</v>
      </c>
      <c r="J1057" t="s">
        <v>35</v>
      </c>
    </row>
    <row r="1058" spans="1:10" x14ac:dyDescent="0.25">
      <c r="A1058" s="1">
        <v>79</v>
      </c>
      <c r="B1058" t="s">
        <v>28</v>
      </c>
      <c r="C1058">
        <v>635</v>
      </c>
      <c r="D1058">
        <v>1</v>
      </c>
      <c r="E1058" t="s">
        <v>29</v>
      </c>
      <c r="F1058" t="s">
        <v>30</v>
      </c>
      <c r="G1058" t="str">
        <f>"2026-01-09 01:21:15.819"</f>
        <v>2026-01-09 01:21:15.819</v>
      </c>
      <c r="H1058" t="s">
        <v>21</v>
      </c>
    </row>
    <row r="1059" spans="1:10" x14ac:dyDescent="0.25">
      <c r="A1059" s="1">
        <v>80</v>
      </c>
      <c r="B1059" t="s">
        <v>31</v>
      </c>
      <c r="C1059">
        <v>635</v>
      </c>
      <c r="D1059">
        <v>1</v>
      </c>
      <c r="E1059" t="s">
        <v>29</v>
      </c>
      <c r="F1059" t="s">
        <v>30</v>
      </c>
      <c r="G1059" t="str">
        <f>"2026-01-09 01:17:10.319"</f>
        <v>2026-01-09 01:17:10.319</v>
      </c>
      <c r="H1059" t="s">
        <v>21</v>
      </c>
      <c r="I1059">
        <v>9.64</v>
      </c>
      <c r="J1059" t="s">
        <v>35</v>
      </c>
    </row>
    <row r="1060" spans="1:10" x14ac:dyDescent="0.25">
      <c r="A1060" s="1">
        <v>81</v>
      </c>
      <c r="B1060" t="s">
        <v>28</v>
      </c>
      <c r="C1060">
        <v>635</v>
      </c>
      <c r="D1060">
        <v>1</v>
      </c>
      <c r="E1060" t="s">
        <v>29</v>
      </c>
      <c r="F1060" t="s">
        <v>30</v>
      </c>
      <c r="G1060" t="str">
        <f>"2026-01-08 17:07:16.319"</f>
        <v>2026-01-08 17:07:16.319</v>
      </c>
      <c r="H1060" t="s">
        <v>21</v>
      </c>
    </row>
    <row r="1061" spans="1:10" x14ac:dyDescent="0.25">
      <c r="A1061" s="1">
        <v>82</v>
      </c>
      <c r="B1061" t="s">
        <v>31</v>
      </c>
      <c r="C1061">
        <v>635</v>
      </c>
      <c r="D1061">
        <v>1</v>
      </c>
      <c r="E1061" t="s">
        <v>29</v>
      </c>
      <c r="F1061" t="s">
        <v>30</v>
      </c>
      <c r="G1061" t="str">
        <f>"2026-01-08 17:02:52.819"</f>
        <v>2026-01-08 17:02:52.819</v>
      </c>
      <c r="H1061" t="s">
        <v>21</v>
      </c>
      <c r="I1061">
        <v>0.14000000000000001</v>
      </c>
      <c r="J1061" t="s">
        <v>36</v>
      </c>
    </row>
    <row r="1062" spans="1:10" x14ac:dyDescent="0.25">
      <c r="A1062" s="1">
        <v>83</v>
      </c>
      <c r="B1062" t="s">
        <v>28</v>
      </c>
      <c r="C1062">
        <v>635</v>
      </c>
      <c r="D1062">
        <v>1</v>
      </c>
      <c r="E1062" t="s">
        <v>29</v>
      </c>
      <c r="F1062" t="s">
        <v>30</v>
      </c>
      <c r="G1062" t="str">
        <f>"2026-01-07 09:26:22.319"</f>
        <v>2026-01-07 09:26:22.319</v>
      </c>
      <c r="H1062" t="s">
        <v>21</v>
      </c>
    </row>
    <row r="1063" spans="1:10" x14ac:dyDescent="0.25">
      <c r="A1063" s="1">
        <v>84</v>
      </c>
      <c r="B1063" t="s">
        <v>31</v>
      </c>
      <c r="C1063">
        <v>635</v>
      </c>
      <c r="D1063">
        <v>1</v>
      </c>
      <c r="E1063" t="s">
        <v>29</v>
      </c>
      <c r="F1063" t="s">
        <v>30</v>
      </c>
      <c r="G1063" t="str">
        <f>"2026-01-07 09:21:04.419"</f>
        <v>2026-01-07 09:21:04.419</v>
      </c>
      <c r="H1063" t="s">
        <v>21</v>
      </c>
      <c r="I1063">
        <v>2.87</v>
      </c>
      <c r="J1063" t="s">
        <v>36</v>
      </c>
    </row>
    <row r="1064" spans="1:10" x14ac:dyDescent="0.25">
      <c r="A1064" s="1">
        <v>85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"2026-01-07 08:49:26.298"</f>
        <v>2026-01-07 08:49:26.298</v>
      </c>
      <c r="H1064" t="s">
        <v>21</v>
      </c>
      <c r="I1064">
        <v>0</v>
      </c>
      <c r="J1064" t="s">
        <v>22</v>
      </c>
    </row>
    <row r="1065" spans="1:10" x14ac:dyDescent="0.25">
      <c r="A1065" s="1">
        <v>87</v>
      </c>
      <c r="B1065" t="s">
        <v>19</v>
      </c>
      <c r="C1065">
        <v>706</v>
      </c>
      <c r="D1065">
        <v>4</v>
      </c>
      <c r="E1065" t="s">
        <v>39</v>
      </c>
      <c r="F1065" t="s">
        <v>40</v>
      </c>
      <c r="G1065" t="str">
        <f>"2026-01-05 23:04:12.402"</f>
        <v>2026-01-05 23:04:12.402</v>
      </c>
      <c r="H1065" t="s">
        <v>21</v>
      </c>
      <c r="I1065">
        <v>0</v>
      </c>
      <c r="J1065" t="s">
        <v>27</v>
      </c>
    </row>
    <row r="1066" spans="1:10" x14ac:dyDescent="0.25">
      <c r="A1066" s="1">
        <v>88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"2026-01-05 23:02:52.282"</f>
        <v>2026-01-05 23:02:52.282</v>
      </c>
      <c r="H1066" t="s">
        <v>21</v>
      </c>
    </row>
    <row r="1067" spans="1:10" x14ac:dyDescent="0.25">
      <c r="A1067" s="1">
        <v>89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"2026-01-05 22:00:18.285"</f>
        <v>2026-01-05 22:00:18.285</v>
      </c>
      <c r="H1067" t="s">
        <v>21</v>
      </c>
    </row>
    <row r="1068" spans="1:10" x14ac:dyDescent="0.25">
      <c r="A1068" s="1">
        <v>90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"2026-01-05 21:05:16.550"</f>
        <v>2026-01-05 21:05:16.550</v>
      </c>
      <c r="H1068" t="s">
        <v>21</v>
      </c>
      <c r="I1068">
        <v>0</v>
      </c>
      <c r="J1068" t="s">
        <v>22</v>
      </c>
    </row>
    <row r="1069" spans="1:10" x14ac:dyDescent="0.25">
      <c r="A1069" s="1">
        <v>91</v>
      </c>
      <c r="B1069" t="s">
        <v>28</v>
      </c>
      <c r="C1069">
        <v>61</v>
      </c>
      <c r="D1069">
        <v>2</v>
      </c>
      <c r="E1069" t="s">
        <v>37</v>
      </c>
      <c r="F1069" t="s">
        <v>38</v>
      </c>
      <c r="G1069" t="str">
        <f>"2026-01-05 19:31:33.205"</f>
        <v>2026-01-05 19:31:33.205</v>
      </c>
      <c r="H1069" t="s">
        <v>21</v>
      </c>
    </row>
    <row r="1070" spans="1:10" x14ac:dyDescent="0.25">
      <c r="A1070" s="1">
        <v>92</v>
      </c>
      <c r="B1070" t="s">
        <v>23</v>
      </c>
      <c r="C1070">
        <v>61</v>
      </c>
      <c r="D1070">
        <v>2</v>
      </c>
      <c r="E1070" t="s">
        <v>37</v>
      </c>
      <c r="F1070" t="s">
        <v>38</v>
      </c>
      <c r="G1070" t="str">
        <f>"2026-01-05 19:31:26.805"</f>
        <v>2026-01-05 19:31:26.805</v>
      </c>
      <c r="H1070" t="s">
        <v>21</v>
      </c>
      <c r="I1070">
        <v>29.37</v>
      </c>
      <c r="J1070" t="s">
        <v>35</v>
      </c>
    </row>
    <row r="1071" spans="1:10" x14ac:dyDescent="0.25">
      <c r="A1071" s="1">
        <v>93</v>
      </c>
      <c r="B1071" t="s">
        <v>28</v>
      </c>
      <c r="C1071">
        <v>61</v>
      </c>
      <c r="D1071">
        <v>2</v>
      </c>
      <c r="E1071" t="s">
        <v>37</v>
      </c>
      <c r="F1071" t="s">
        <v>38</v>
      </c>
      <c r="G1071" t="str">
        <f>"2026-01-05 15:59:45.605"</f>
        <v>2026-01-05 15:59:45.605</v>
      </c>
      <c r="H1071" t="s">
        <v>21</v>
      </c>
    </row>
    <row r="1072" spans="1:10" x14ac:dyDescent="0.25">
      <c r="A1072" s="1">
        <v>94</v>
      </c>
      <c r="B1072" t="s">
        <v>23</v>
      </c>
      <c r="C1072">
        <v>61</v>
      </c>
      <c r="D1072">
        <v>2</v>
      </c>
      <c r="E1072" t="s">
        <v>37</v>
      </c>
      <c r="F1072" t="s">
        <v>38</v>
      </c>
      <c r="G1072" t="str">
        <f>"2026-01-05 15:59:25.705"</f>
        <v>2026-01-05 15:59:25.705</v>
      </c>
      <c r="H1072" t="s">
        <v>21</v>
      </c>
      <c r="I1072">
        <v>29.56</v>
      </c>
      <c r="J1072" t="s">
        <v>35</v>
      </c>
    </row>
    <row r="1073" spans="1:10" x14ac:dyDescent="0.25">
      <c r="A1073" s="1">
        <v>95</v>
      </c>
      <c r="B1073" t="s">
        <v>28</v>
      </c>
      <c r="C1073">
        <v>61</v>
      </c>
      <c r="D1073">
        <v>2</v>
      </c>
      <c r="E1073" t="s">
        <v>37</v>
      </c>
      <c r="F1073" t="s">
        <v>38</v>
      </c>
      <c r="G1073" t="str">
        <f>"2026-01-05 14:52:34.205"</f>
        <v>2026-01-05 14:52:34.205</v>
      </c>
      <c r="H1073" t="s">
        <v>21</v>
      </c>
    </row>
    <row r="1074" spans="1:10" x14ac:dyDescent="0.25">
      <c r="A1074" s="1">
        <v>96</v>
      </c>
      <c r="B1074" t="s">
        <v>23</v>
      </c>
      <c r="C1074">
        <v>61</v>
      </c>
      <c r="D1074">
        <v>2</v>
      </c>
      <c r="E1074" t="s">
        <v>37</v>
      </c>
      <c r="F1074" t="s">
        <v>38</v>
      </c>
      <c r="G1074" t="str">
        <f>"2026-01-05 14:52:13.806"</f>
        <v>2026-01-05 14:52:13.806</v>
      </c>
      <c r="H1074" t="s">
        <v>21</v>
      </c>
      <c r="I1074">
        <v>30.17</v>
      </c>
      <c r="J1074" t="s">
        <v>35</v>
      </c>
    </row>
    <row r="1075" spans="1:10" x14ac:dyDescent="0.25">
      <c r="A1075" s="1">
        <v>97</v>
      </c>
      <c r="B1075" t="s">
        <v>28</v>
      </c>
      <c r="C1075">
        <v>42</v>
      </c>
      <c r="D1075">
        <v>1</v>
      </c>
      <c r="E1075" t="s">
        <v>55</v>
      </c>
      <c r="F1075" t="s">
        <v>56</v>
      </c>
      <c r="G1075" t="str">
        <f>"2026-01-05 01:15:42.343"</f>
        <v>2026-01-05 01:15:42.343</v>
      </c>
      <c r="H1075" t="s">
        <v>57</v>
      </c>
    </row>
    <row r="1076" spans="1:10" x14ac:dyDescent="0.25">
      <c r="A1076" s="1">
        <v>98</v>
      </c>
      <c r="B1076" t="s">
        <v>31</v>
      </c>
      <c r="C1076">
        <v>42</v>
      </c>
      <c r="D1076">
        <v>1</v>
      </c>
      <c r="E1076" t="s">
        <v>55</v>
      </c>
      <c r="F1076" t="s">
        <v>56</v>
      </c>
      <c r="G1076" t="str">
        <f>"2026-01-05 01:15:25.024"</f>
        <v>2026-01-05 01:15:25.024</v>
      </c>
      <c r="H1076" t="s">
        <v>57</v>
      </c>
      <c r="I1076">
        <v>0</v>
      </c>
      <c r="J1076" t="s">
        <v>27</v>
      </c>
    </row>
    <row r="1077" spans="1:10" x14ac:dyDescent="0.25">
      <c r="A1077" s="1">
        <v>99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"2026-01-04 21:15:49.286"</f>
        <v>2026-01-04 21:15:49.286</v>
      </c>
      <c r="H1077" t="s">
        <v>21</v>
      </c>
      <c r="I1077">
        <v>0</v>
      </c>
      <c r="J1077" t="s">
        <v>22</v>
      </c>
    </row>
    <row r="1078" spans="1:10" x14ac:dyDescent="0.25">
      <c r="A1078" s="1">
        <v>100</v>
      </c>
      <c r="B1078" t="s">
        <v>28</v>
      </c>
      <c r="C1078">
        <v>635</v>
      </c>
      <c r="D1078">
        <v>1</v>
      </c>
      <c r="E1078" t="s">
        <v>29</v>
      </c>
      <c r="F1078" t="s">
        <v>30</v>
      </c>
      <c r="G1078" t="str">
        <f>"2026-01-04 00:15:36.111"</f>
        <v>2026-01-04 00:15:36.111</v>
      </c>
      <c r="H1078" t="s">
        <v>21</v>
      </c>
    </row>
    <row r="1079" spans="1:10" x14ac:dyDescent="0.25">
      <c r="A1079" s="1">
        <v>101</v>
      </c>
      <c r="B1079" t="s">
        <v>31</v>
      </c>
      <c r="C1079">
        <v>635</v>
      </c>
      <c r="D1079">
        <v>1</v>
      </c>
      <c r="E1079" t="s">
        <v>29</v>
      </c>
      <c r="F1079" t="s">
        <v>30</v>
      </c>
      <c r="G1079" t="str">
        <f>"2026-01-04 00:13:16.611"</f>
        <v>2026-01-04 00:13:16.611</v>
      </c>
      <c r="H1079" t="s">
        <v>21</v>
      </c>
      <c r="I1079">
        <v>7.57</v>
      </c>
      <c r="J1079" t="s">
        <v>35</v>
      </c>
    </row>
    <row r="1080" spans="1:10" x14ac:dyDescent="0.25">
      <c r="A1080" s="1">
        <v>102</v>
      </c>
      <c r="B1080" t="s">
        <v>28</v>
      </c>
      <c r="C1080">
        <v>635</v>
      </c>
      <c r="D1080">
        <v>1</v>
      </c>
      <c r="E1080" t="s">
        <v>29</v>
      </c>
      <c r="F1080" t="s">
        <v>30</v>
      </c>
      <c r="G1080" t="str">
        <f>"2026-01-03 15:12:00.211"</f>
        <v>2026-01-03 15:12:00.211</v>
      </c>
      <c r="H1080" t="s">
        <v>21</v>
      </c>
    </row>
    <row r="1081" spans="1:10" x14ac:dyDescent="0.25">
      <c r="A1081" s="1">
        <v>103</v>
      </c>
      <c r="B1081" t="s">
        <v>31</v>
      </c>
      <c r="C1081">
        <v>635</v>
      </c>
      <c r="D1081">
        <v>1</v>
      </c>
      <c r="E1081" t="s">
        <v>29</v>
      </c>
      <c r="F1081" t="s">
        <v>30</v>
      </c>
      <c r="G1081" t="str">
        <f>"2026-01-03 15:08:45.711"</f>
        <v>2026-01-03 15:08:45.711</v>
      </c>
      <c r="H1081" t="s">
        <v>21</v>
      </c>
      <c r="I1081">
        <v>-0.26</v>
      </c>
      <c r="J1081" t="s">
        <v>32</v>
      </c>
    </row>
    <row r="1082" spans="1:10" x14ac:dyDescent="0.25">
      <c r="A1082" s="1">
        <v>104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"2026-01-03 09:10:08.281"</f>
        <v>2026-01-03 09:10:08.281</v>
      </c>
      <c r="H1082" t="s">
        <v>21</v>
      </c>
      <c r="I1082">
        <v>0</v>
      </c>
      <c r="J1082" t="s">
        <v>22</v>
      </c>
    </row>
    <row r="1083" spans="1:10" x14ac:dyDescent="0.25">
      <c r="A1083" s="1">
        <v>105</v>
      </c>
      <c r="B1083" t="s">
        <v>28</v>
      </c>
      <c r="C1083">
        <v>61</v>
      </c>
      <c r="D1083">
        <v>2</v>
      </c>
      <c r="E1083" t="s">
        <v>37</v>
      </c>
      <c r="F1083" t="s">
        <v>38</v>
      </c>
      <c r="G1083" t="str">
        <f>"2026-01-02 08:39:25.553"</f>
        <v>2026-01-02 08:39:25.553</v>
      </c>
      <c r="H1083" t="s">
        <v>21</v>
      </c>
    </row>
    <row r="1084" spans="1:10" x14ac:dyDescent="0.25">
      <c r="A1084" s="1">
        <v>106</v>
      </c>
      <c r="B1084" t="s">
        <v>23</v>
      </c>
      <c r="C1084">
        <v>61</v>
      </c>
      <c r="D1084">
        <v>2</v>
      </c>
      <c r="E1084" t="s">
        <v>37</v>
      </c>
      <c r="F1084" t="s">
        <v>38</v>
      </c>
      <c r="G1084" t="str">
        <f>"2026-01-02 08:39:13.054"</f>
        <v>2026-01-02 08:39:13.054</v>
      </c>
      <c r="H1084" t="s">
        <v>21</v>
      </c>
      <c r="I1084">
        <v>30.58</v>
      </c>
      <c r="J1084" t="s">
        <v>35</v>
      </c>
    </row>
    <row r="1085" spans="1:10" x14ac:dyDescent="0.25">
      <c r="A1085" s="1">
        <v>107</v>
      </c>
      <c r="B1085" t="s">
        <v>28</v>
      </c>
      <c r="C1085">
        <v>61</v>
      </c>
      <c r="D1085">
        <v>2</v>
      </c>
      <c r="E1085" t="s">
        <v>37</v>
      </c>
      <c r="F1085" t="s">
        <v>38</v>
      </c>
      <c r="G1085" t="str">
        <f>"2026-01-01 12:26:03.553"</f>
        <v>2026-01-01 12:26:03.553</v>
      </c>
      <c r="H1085" t="s">
        <v>21</v>
      </c>
    </row>
    <row r="1086" spans="1:10" x14ac:dyDescent="0.25">
      <c r="A1086" s="1">
        <v>108</v>
      </c>
      <c r="B1086" t="s">
        <v>23</v>
      </c>
      <c r="C1086">
        <v>61</v>
      </c>
      <c r="D1086">
        <v>2</v>
      </c>
      <c r="E1086" t="s">
        <v>37</v>
      </c>
      <c r="F1086" t="s">
        <v>38</v>
      </c>
      <c r="G1086" t="str">
        <f>"2026-01-01 12:25:48.654"</f>
        <v>2026-01-01 12:25:48.654</v>
      </c>
      <c r="H1086" t="s">
        <v>21</v>
      </c>
      <c r="I1086">
        <v>30.17</v>
      </c>
      <c r="J1086" t="s">
        <v>35</v>
      </c>
    </row>
    <row r="1087" spans="1:10" x14ac:dyDescent="0.25">
      <c r="A1087" s="1">
        <v>109</v>
      </c>
      <c r="B1087" t="s">
        <v>28</v>
      </c>
      <c r="C1087">
        <v>635</v>
      </c>
      <c r="D1087">
        <v>1</v>
      </c>
      <c r="E1087" t="s">
        <v>29</v>
      </c>
      <c r="F1087" t="s">
        <v>30</v>
      </c>
      <c r="G1087" t="str">
        <f>"2026-01-01 07:14:36.241"</f>
        <v>2026-01-01 07:14:36.241</v>
      </c>
      <c r="H1087" t="s">
        <v>21</v>
      </c>
    </row>
    <row r="1088" spans="1:10" x14ac:dyDescent="0.25">
      <c r="A1088" s="1">
        <v>110</v>
      </c>
      <c r="B1088" t="s">
        <v>31</v>
      </c>
      <c r="C1088">
        <v>635</v>
      </c>
      <c r="D1088">
        <v>1</v>
      </c>
      <c r="E1088" t="s">
        <v>29</v>
      </c>
      <c r="F1088" t="s">
        <v>30</v>
      </c>
      <c r="G1088" t="str">
        <f>"2026-01-01 07:09:28.242"</f>
        <v>2026-01-01 07:09:28.242</v>
      </c>
      <c r="H1088" t="s">
        <v>21</v>
      </c>
      <c r="I1088">
        <v>0.14000000000000001</v>
      </c>
      <c r="J1088" t="s">
        <v>36</v>
      </c>
    </row>
    <row r="1089" spans="1:10" x14ac:dyDescent="0.25">
      <c r="A1089" s="1">
        <v>111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"2026-01-01 05:05:08.404"</f>
        <v>2026-01-01 05:05:08.404</v>
      </c>
      <c r="H1089" t="s">
        <v>21</v>
      </c>
    </row>
    <row r="1090" spans="1:10" x14ac:dyDescent="0.25">
      <c r="A1090" s="1">
        <v>112</v>
      </c>
      <c r="B1090" t="s">
        <v>19</v>
      </c>
      <c r="C1090">
        <v>706</v>
      </c>
      <c r="D1090">
        <v>2</v>
      </c>
      <c r="E1090" t="s">
        <v>39</v>
      </c>
      <c r="F1090" t="s">
        <v>48</v>
      </c>
      <c r="G1090" t="str">
        <f>"2026-01-01 04:26:09.795"</f>
        <v>2026-01-01 04:26:09.795</v>
      </c>
      <c r="H1090" t="s">
        <v>21</v>
      </c>
      <c r="I1090">
        <v>0</v>
      </c>
      <c r="J1090" t="s">
        <v>27</v>
      </c>
    </row>
    <row r="1091" spans="1:10" x14ac:dyDescent="0.25">
      <c r="A1091" s="1">
        <v>113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"2025-12-31 21:08:37.265"</f>
        <v>2025-12-31 21:08:37.265</v>
      </c>
      <c r="H1091" t="s">
        <v>21</v>
      </c>
    </row>
    <row r="1092" spans="1:10" x14ac:dyDescent="0.25">
      <c r="A1092" s="1">
        <v>114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"2025-12-31 18:05:54.337"</f>
        <v>2025-12-31 18:05:54.337</v>
      </c>
      <c r="H1092" t="s">
        <v>21</v>
      </c>
    </row>
    <row r="1093" spans="1:10" x14ac:dyDescent="0.25">
      <c r="A1093" s="1">
        <v>115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"2025-12-31 18:01:46.293"</f>
        <v>2025-12-31 18:01:46.293</v>
      </c>
      <c r="H1093" t="s">
        <v>21</v>
      </c>
    </row>
    <row r="1094" spans="1:10" x14ac:dyDescent="0.25">
      <c r="A1094" s="1">
        <v>116</v>
      </c>
      <c r="B1094" t="s">
        <v>28</v>
      </c>
      <c r="C1094">
        <v>61</v>
      </c>
      <c r="D1094">
        <v>2</v>
      </c>
      <c r="E1094" t="s">
        <v>37</v>
      </c>
      <c r="F1094" t="s">
        <v>38</v>
      </c>
      <c r="G1094" t="str">
        <f>"2025-12-31 11:31:00.244"</f>
        <v>2025-12-31 11:31:00.244</v>
      </c>
      <c r="H1094" t="s">
        <v>21</v>
      </c>
    </row>
    <row r="1095" spans="1:10" x14ac:dyDescent="0.25">
      <c r="A1095" s="1">
        <v>117</v>
      </c>
      <c r="B1095" t="s">
        <v>23</v>
      </c>
      <c r="C1095">
        <v>61</v>
      </c>
      <c r="D1095">
        <v>2</v>
      </c>
      <c r="E1095" t="s">
        <v>37</v>
      </c>
      <c r="F1095" t="s">
        <v>38</v>
      </c>
      <c r="G1095" t="str">
        <f>"2025-12-31 11:30:42.145"</f>
        <v>2025-12-31 11:30:42.145</v>
      </c>
      <c r="H1095" t="s">
        <v>21</v>
      </c>
      <c r="I1095">
        <v>30.27</v>
      </c>
      <c r="J1095" t="s">
        <v>35</v>
      </c>
    </row>
    <row r="1096" spans="1:10" x14ac:dyDescent="0.25">
      <c r="A1096" s="1">
        <v>118</v>
      </c>
      <c r="B1096" t="s">
        <v>28</v>
      </c>
      <c r="C1096">
        <v>61</v>
      </c>
      <c r="D1096">
        <v>2</v>
      </c>
      <c r="E1096" t="s">
        <v>37</v>
      </c>
      <c r="F1096" t="s">
        <v>38</v>
      </c>
      <c r="G1096" t="str">
        <f>"2025-12-31 10:56:00.945"</f>
        <v>2025-12-31 10:56:00.945</v>
      </c>
      <c r="H1096" t="s">
        <v>21</v>
      </c>
    </row>
    <row r="1097" spans="1:10" x14ac:dyDescent="0.25">
      <c r="A1097" s="1">
        <v>119</v>
      </c>
      <c r="B1097" t="s">
        <v>23</v>
      </c>
      <c r="C1097">
        <v>61</v>
      </c>
      <c r="D1097">
        <v>2</v>
      </c>
      <c r="E1097" t="s">
        <v>37</v>
      </c>
      <c r="F1097" t="s">
        <v>38</v>
      </c>
      <c r="G1097" t="str">
        <f>"2025-12-31 10:55:43.845"</f>
        <v>2025-12-31 10:55:43.845</v>
      </c>
      <c r="H1097" t="s">
        <v>21</v>
      </c>
      <c r="I1097">
        <v>30.36</v>
      </c>
      <c r="J1097" t="s">
        <v>35</v>
      </c>
    </row>
    <row r="1098" spans="1:10" x14ac:dyDescent="0.25">
      <c r="A1098" s="1">
        <v>120</v>
      </c>
      <c r="B1098" t="s">
        <v>28</v>
      </c>
      <c r="C1098">
        <v>635</v>
      </c>
      <c r="D1098">
        <v>1</v>
      </c>
      <c r="E1098" t="s">
        <v>29</v>
      </c>
      <c r="F1098" t="s">
        <v>30</v>
      </c>
      <c r="G1098" t="str">
        <f>"2025-12-30 21:58:49.532"</f>
        <v>2025-12-30 21:58:49.532</v>
      </c>
      <c r="H1098" t="s">
        <v>21</v>
      </c>
    </row>
    <row r="1099" spans="1:10" x14ac:dyDescent="0.25">
      <c r="A1099" s="1">
        <v>121</v>
      </c>
      <c r="B1099" t="s">
        <v>31</v>
      </c>
      <c r="C1099">
        <v>635</v>
      </c>
      <c r="D1099">
        <v>1</v>
      </c>
      <c r="E1099" t="s">
        <v>29</v>
      </c>
      <c r="F1099" t="s">
        <v>30</v>
      </c>
      <c r="G1099" t="str">
        <f>"2025-12-30 21:56:00.532"</f>
        <v>2025-12-30 21:56:00.532</v>
      </c>
      <c r="H1099" t="s">
        <v>21</v>
      </c>
      <c r="I1099">
        <v>8.41</v>
      </c>
      <c r="J1099" t="s">
        <v>32</v>
      </c>
    </row>
    <row r="1100" spans="1:10" x14ac:dyDescent="0.25">
      <c r="A1100" s="1">
        <v>122</v>
      </c>
      <c r="B1100" t="s">
        <v>28</v>
      </c>
      <c r="C1100">
        <v>635</v>
      </c>
      <c r="D1100">
        <v>1</v>
      </c>
      <c r="E1100" t="s">
        <v>29</v>
      </c>
      <c r="F1100" t="s">
        <v>30</v>
      </c>
      <c r="G1100" t="str">
        <f>"2025-12-30 21:44:57.632"</f>
        <v>2025-12-30 21:44:57.632</v>
      </c>
      <c r="H1100" t="s">
        <v>21</v>
      </c>
    </row>
    <row r="1101" spans="1:10" x14ac:dyDescent="0.25">
      <c r="A1101" s="1">
        <v>123</v>
      </c>
      <c r="B1101" t="s">
        <v>31</v>
      </c>
      <c r="C1101">
        <v>635</v>
      </c>
      <c r="D1101">
        <v>1</v>
      </c>
      <c r="E1101" t="s">
        <v>29</v>
      </c>
      <c r="F1101" t="s">
        <v>30</v>
      </c>
      <c r="G1101" t="str">
        <f>"2025-12-30 21:40:27.632"</f>
        <v>2025-12-30 21:40:27.632</v>
      </c>
      <c r="H1101" t="s">
        <v>21</v>
      </c>
      <c r="I1101">
        <v>6.74</v>
      </c>
      <c r="J1101" t="s">
        <v>32</v>
      </c>
    </row>
    <row r="1102" spans="1:10" x14ac:dyDescent="0.25">
      <c r="A1102" s="1">
        <v>124</v>
      </c>
      <c r="B1102" t="s">
        <v>28</v>
      </c>
      <c r="C1102">
        <v>635</v>
      </c>
      <c r="D1102">
        <v>1</v>
      </c>
      <c r="E1102" t="s">
        <v>29</v>
      </c>
      <c r="F1102" t="s">
        <v>30</v>
      </c>
      <c r="G1102" t="str">
        <f>"2025-12-30 18:55:46.932"</f>
        <v>2025-12-30 18:55:46.932</v>
      </c>
      <c r="H1102" t="s">
        <v>21</v>
      </c>
    </row>
    <row r="1103" spans="1:10" x14ac:dyDescent="0.25">
      <c r="A1103" s="1">
        <v>125</v>
      </c>
      <c r="B1103" t="s">
        <v>31</v>
      </c>
      <c r="C1103">
        <v>635</v>
      </c>
      <c r="D1103">
        <v>1</v>
      </c>
      <c r="E1103" t="s">
        <v>29</v>
      </c>
      <c r="F1103" t="s">
        <v>30</v>
      </c>
      <c r="G1103" t="str">
        <f>"2025-12-30 18:50:29.432"</f>
        <v>2025-12-30 18:50:29.432</v>
      </c>
      <c r="H1103" t="s">
        <v>21</v>
      </c>
      <c r="I1103">
        <v>9.06</v>
      </c>
      <c r="J1103" t="s">
        <v>32</v>
      </c>
    </row>
    <row r="1104" spans="1:10" x14ac:dyDescent="0.25">
      <c r="A1104" s="1">
        <v>126</v>
      </c>
      <c r="B1104" t="s">
        <v>28</v>
      </c>
      <c r="C1104">
        <v>635</v>
      </c>
      <c r="D1104">
        <v>1</v>
      </c>
      <c r="E1104" t="s">
        <v>29</v>
      </c>
      <c r="F1104" t="s">
        <v>30</v>
      </c>
      <c r="G1104" t="str">
        <f>"2025-12-29 17:38:16.032"</f>
        <v>2025-12-29 17:38:16.032</v>
      </c>
      <c r="H1104" t="s">
        <v>21</v>
      </c>
    </row>
    <row r="1105" spans="1:10" x14ac:dyDescent="0.25">
      <c r="A1105" s="1">
        <v>127</v>
      </c>
      <c r="B1105" t="s">
        <v>31</v>
      </c>
      <c r="C1105">
        <v>635</v>
      </c>
      <c r="D1105">
        <v>1</v>
      </c>
      <c r="E1105" t="s">
        <v>29</v>
      </c>
      <c r="F1105" t="s">
        <v>30</v>
      </c>
      <c r="G1105" t="str">
        <f>"2025-12-29 17:33:40.532"</f>
        <v>2025-12-29 17:33:40.532</v>
      </c>
      <c r="H1105" t="s">
        <v>21</v>
      </c>
      <c r="I1105">
        <v>0.11</v>
      </c>
      <c r="J1105" t="s">
        <v>36</v>
      </c>
    </row>
    <row r="1106" spans="1:10" x14ac:dyDescent="0.25">
      <c r="A1106" s="1">
        <v>128</v>
      </c>
      <c r="B1106" t="s">
        <v>28</v>
      </c>
      <c r="C1106">
        <v>635</v>
      </c>
      <c r="D1106">
        <v>1</v>
      </c>
      <c r="E1106" t="s">
        <v>29</v>
      </c>
      <c r="F1106" t="s">
        <v>30</v>
      </c>
      <c r="G1106" t="str">
        <f>"2025-12-29 17:26:59.032"</f>
        <v>2025-12-29 17:26:59.032</v>
      </c>
      <c r="H1106" t="s">
        <v>21</v>
      </c>
    </row>
    <row r="1107" spans="1:10" x14ac:dyDescent="0.25">
      <c r="A1107" s="1">
        <v>129</v>
      </c>
      <c r="B1107" t="s">
        <v>31</v>
      </c>
      <c r="C1107">
        <v>635</v>
      </c>
      <c r="D1107">
        <v>1</v>
      </c>
      <c r="E1107" t="s">
        <v>29</v>
      </c>
      <c r="F1107" t="s">
        <v>30</v>
      </c>
      <c r="G1107" t="str">
        <f>"2025-12-29 17:21:04.532"</f>
        <v>2025-12-29 17:21:04.532</v>
      </c>
      <c r="H1107" t="s">
        <v>21</v>
      </c>
      <c r="I1107">
        <v>0.46</v>
      </c>
      <c r="J1107" t="s">
        <v>32</v>
      </c>
    </row>
    <row r="1108" spans="1:10" x14ac:dyDescent="0.25">
      <c r="A1108" s="1">
        <v>130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"2025-12-29 13:49:56.285"</f>
        <v>2025-12-29 13:49:56.285</v>
      </c>
      <c r="H1108" t="s">
        <v>21</v>
      </c>
      <c r="I1108">
        <v>0</v>
      </c>
      <c r="J1108" t="s">
        <v>22</v>
      </c>
    </row>
    <row r="1109" spans="1:10" x14ac:dyDescent="0.25">
      <c r="A1109" s="1">
        <v>131</v>
      </c>
      <c r="B1109" t="s">
        <v>28</v>
      </c>
      <c r="C1109">
        <v>635</v>
      </c>
      <c r="D1109">
        <v>1</v>
      </c>
      <c r="E1109" t="s">
        <v>29</v>
      </c>
      <c r="F1109" t="s">
        <v>30</v>
      </c>
      <c r="G1109" t="str">
        <f>"2025-12-29 12:05:20.105"</f>
        <v>2025-12-29 12:05:20.105</v>
      </c>
      <c r="H1109" t="s">
        <v>21</v>
      </c>
    </row>
    <row r="1110" spans="1:10" x14ac:dyDescent="0.25">
      <c r="A1110" s="1">
        <v>132</v>
      </c>
      <c r="B1110" t="s">
        <v>31</v>
      </c>
      <c r="C1110">
        <v>635</v>
      </c>
      <c r="D1110">
        <v>1</v>
      </c>
      <c r="E1110" t="s">
        <v>29</v>
      </c>
      <c r="F1110" t="s">
        <v>30</v>
      </c>
      <c r="G1110" t="str">
        <f>"2025-12-29 12:00:55.105"</f>
        <v>2025-12-29 12:00:55.105</v>
      </c>
      <c r="H1110" t="s">
        <v>21</v>
      </c>
      <c r="I1110">
        <v>2.11</v>
      </c>
      <c r="J1110" t="s">
        <v>32</v>
      </c>
    </row>
    <row r="1111" spans="1:10" x14ac:dyDescent="0.25">
      <c r="A1111" s="1">
        <v>133</v>
      </c>
      <c r="B1111" t="s">
        <v>28</v>
      </c>
      <c r="C1111">
        <v>635</v>
      </c>
      <c r="D1111">
        <v>1</v>
      </c>
      <c r="E1111" t="s">
        <v>29</v>
      </c>
      <c r="F1111" t="s">
        <v>30</v>
      </c>
      <c r="G1111" t="str">
        <f>"2025-12-28 22:36:59.705"</f>
        <v>2025-12-28 22:36:59.705</v>
      </c>
      <c r="H1111" t="s">
        <v>21</v>
      </c>
    </row>
    <row r="1112" spans="1:10" x14ac:dyDescent="0.25">
      <c r="A1112" s="1">
        <v>134</v>
      </c>
      <c r="B1112" t="s">
        <v>31</v>
      </c>
      <c r="C1112">
        <v>635</v>
      </c>
      <c r="D1112">
        <v>1</v>
      </c>
      <c r="E1112" t="s">
        <v>29</v>
      </c>
      <c r="F1112" t="s">
        <v>30</v>
      </c>
      <c r="G1112" t="str">
        <f>"2025-12-28 22:23:17.805"</f>
        <v>2025-12-28 22:23:17.805</v>
      </c>
      <c r="H1112" t="s">
        <v>21</v>
      </c>
      <c r="I1112">
        <v>5.44</v>
      </c>
      <c r="J1112" t="s">
        <v>32</v>
      </c>
    </row>
    <row r="1113" spans="1:10" x14ac:dyDescent="0.25">
      <c r="A1113" s="1">
        <v>135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"2025-12-28 20:50:26.258"</f>
        <v>2025-12-28 20:50:26.258</v>
      </c>
      <c r="H1113" t="s">
        <v>21</v>
      </c>
      <c r="I1113">
        <v>0</v>
      </c>
      <c r="J1113" t="s">
        <v>22</v>
      </c>
    </row>
    <row r="1114" spans="1:10" x14ac:dyDescent="0.25">
      <c r="A1114" s="1">
        <v>136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"2025-12-28 09:07:37.320"</f>
        <v>2025-12-28 09:07:37.320</v>
      </c>
      <c r="H1114" t="s">
        <v>21</v>
      </c>
    </row>
    <row r="1115" spans="1:10" x14ac:dyDescent="0.25">
      <c r="A1115" s="1">
        <v>137</v>
      </c>
      <c r="B1115" t="s">
        <v>28</v>
      </c>
      <c r="C1115">
        <v>61</v>
      </c>
      <c r="D1115">
        <v>2</v>
      </c>
      <c r="E1115" t="s">
        <v>37</v>
      </c>
      <c r="F1115" t="s">
        <v>38</v>
      </c>
      <c r="G1115" t="str">
        <f>"2025-12-27 18:35:44.493"</f>
        <v>2025-12-27 18:35:44.493</v>
      </c>
      <c r="H1115" t="s">
        <v>21</v>
      </c>
    </row>
    <row r="1116" spans="1:10" x14ac:dyDescent="0.25">
      <c r="A1116" s="1">
        <v>138</v>
      </c>
      <c r="B1116" t="s">
        <v>23</v>
      </c>
      <c r="C1116">
        <v>61</v>
      </c>
      <c r="D1116">
        <v>2</v>
      </c>
      <c r="E1116" t="s">
        <v>37</v>
      </c>
      <c r="F1116" t="s">
        <v>38</v>
      </c>
      <c r="G1116" t="str">
        <f>"2025-12-27 18:35:25.593"</f>
        <v>2025-12-27 18:35:25.593</v>
      </c>
      <c r="H1116" t="s">
        <v>21</v>
      </c>
      <c r="I1116">
        <v>30.28</v>
      </c>
      <c r="J1116" t="s">
        <v>35</v>
      </c>
    </row>
    <row r="1117" spans="1:10" x14ac:dyDescent="0.25">
      <c r="A1117" s="1">
        <v>139</v>
      </c>
      <c r="B1117" t="s">
        <v>28</v>
      </c>
      <c r="C1117">
        <v>61</v>
      </c>
      <c r="D1117">
        <v>2</v>
      </c>
      <c r="E1117" t="s">
        <v>37</v>
      </c>
      <c r="F1117" t="s">
        <v>38</v>
      </c>
      <c r="G1117" t="str">
        <f>"2025-12-27 17:39:36.593"</f>
        <v>2025-12-27 17:39:36.593</v>
      </c>
      <c r="H1117" t="s">
        <v>21</v>
      </c>
    </row>
    <row r="1118" spans="1:10" x14ac:dyDescent="0.25">
      <c r="A1118" s="1">
        <v>140</v>
      </c>
      <c r="B1118" t="s">
        <v>23</v>
      </c>
      <c r="C1118">
        <v>61</v>
      </c>
      <c r="D1118">
        <v>2</v>
      </c>
      <c r="E1118" t="s">
        <v>37</v>
      </c>
      <c r="F1118" t="s">
        <v>38</v>
      </c>
      <c r="G1118" t="str">
        <f>"2025-12-27 17:39:19.993"</f>
        <v>2025-12-27 17:39:19.993</v>
      </c>
      <c r="H1118" t="s">
        <v>21</v>
      </c>
      <c r="I1118">
        <v>30.49</v>
      </c>
      <c r="J1118" t="s">
        <v>35</v>
      </c>
    </row>
    <row r="1119" spans="1:10" x14ac:dyDescent="0.25">
      <c r="A1119" s="1">
        <v>141</v>
      </c>
      <c r="B1119" t="s">
        <v>28</v>
      </c>
      <c r="C1119">
        <v>61</v>
      </c>
      <c r="D1119">
        <v>2</v>
      </c>
      <c r="E1119" t="s">
        <v>37</v>
      </c>
      <c r="F1119" t="s">
        <v>38</v>
      </c>
      <c r="G1119" t="str">
        <f>"2025-12-27 13:24:53.093"</f>
        <v>2025-12-27 13:24:53.093</v>
      </c>
      <c r="H1119" t="s">
        <v>21</v>
      </c>
    </row>
    <row r="1120" spans="1:10" x14ac:dyDescent="0.25">
      <c r="A1120" s="1">
        <v>142</v>
      </c>
      <c r="B1120" t="s">
        <v>23</v>
      </c>
      <c r="C1120">
        <v>61</v>
      </c>
      <c r="D1120">
        <v>2</v>
      </c>
      <c r="E1120" t="s">
        <v>37</v>
      </c>
      <c r="F1120" t="s">
        <v>38</v>
      </c>
      <c r="G1120" t="str">
        <f>"2025-12-27 13:24:32.793"</f>
        <v>2025-12-27 13:24:32.793</v>
      </c>
      <c r="H1120" t="s">
        <v>21</v>
      </c>
      <c r="I1120">
        <v>29.68</v>
      </c>
      <c r="J1120" t="s">
        <v>35</v>
      </c>
    </row>
    <row r="1121" spans="1:10" x14ac:dyDescent="0.25">
      <c r="A1121" s="1">
        <v>143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"2025-12-27 10:02:57.222"</f>
        <v>2025-12-27 10:02:57.222</v>
      </c>
      <c r="H1121" t="s">
        <v>21</v>
      </c>
    </row>
    <row r="1122" spans="1:10" x14ac:dyDescent="0.25">
      <c r="A1122" s="1">
        <v>144</v>
      </c>
      <c r="B1122" t="s">
        <v>19</v>
      </c>
      <c r="C1122">
        <v>706</v>
      </c>
      <c r="D1122">
        <v>2</v>
      </c>
      <c r="E1122" t="s">
        <v>39</v>
      </c>
      <c r="F1122" t="s">
        <v>48</v>
      </c>
      <c r="G1122" t="str">
        <f>"2025-12-26 15:20:12.805"</f>
        <v>2025-12-26 15:20:12.805</v>
      </c>
      <c r="H1122" t="s">
        <v>21</v>
      </c>
      <c r="I1122">
        <v>0</v>
      </c>
      <c r="J1122" t="s">
        <v>27</v>
      </c>
    </row>
    <row r="1123" spans="1:10" x14ac:dyDescent="0.25">
      <c r="A1123" s="1">
        <v>145</v>
      </c>
      <c r="B1123" t="s">
        <v>19</v>
      </c>
      <c r="C1123">
        <v>706</v>
      </c>
      <c r="D1123">
        <v>2</v>
      </c>
      <c r="E1123" t="s">
        <v>39</v>
      </c>
      <c r="F1123" t="s">
        <v>48</v>
      </c>
      <c r="G1123" t="str">
        <f>"2025-12-26 15:19:59.005"</f>
        <v>2025-12-26 15:19:59.005</v>
      </c>
      <c r="H1123" t="s">
        <v>21</v>
      </c>
      <c r="I1123">
        <v>0</v>
      </c>
      <c r="J1123" t="s">
        <v>27</v>
      </c>
    </row>
    <row r="1124" spans="1:10" x14ac:dyDescent="0.25">
      <c r="A1124" s="1">
        <v>146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"2025-12-26 14:05:37.225"</f>
        <v>2025-12-26 14:05:37.225</v>
      </c>
      <c r="H1124" t="s">
        <v>21</v>
      </c>
    </row>
    <row r="1125" spans="1:10" x14ac:dyDescent="0.25">
      <c r="A1125" s="1">
        <v>147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"2025-12-26 13:49:20.469"</f>
        <v>2025-12-26 13:49:20.469</v>
      </c>
      <c r="H1125" t="s">
        <v>21</v>
      </c>
      <c r="I1125">
        <v>0</v>
      </c>
      <c r="J1125" t="s">
        <v>22</v>
      </c>
    </row>
    <row r="1126" spans="1:10" x14ac:dyDescent="0.25">
      <c r="A1126" s="1">
        <v>148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"2025-12-26 01:08:45.247"</f>
        <v>2025-12-26 01:08:45.247</v>
      </c>
      <c r="H1126" t="s">
        <v>21</v>
      </c>
    </row>
    <row r="1127" spans="1:10" x14ac:dyDescent="0.25">
      <c r="A1127" s="1">
        <v>149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"2025-12-25 10:02:06.259"</f>
        <v>2025-12-25 10:02:06.259</v>
      </c>
      <c r="H1127" t="s">
        <v>21</v>
      </c>
      <c r="I1127">
        <v>0</v>
      </c>
      <c r="J1127" t="s">
        <v>22</v>
      </c>
    </row>
    <row r="1128" spans="1:10" x14ac:dyDescent="0.25">
      <c r="A1128" s="1">
        <v>150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"2025-12-24 21:17:20.256"</f>
        <v>2025-12-24 21:17:20.256</v>
      </c>
      <c r="H1128" t="s">
        <v>21</v>
      </c>
    </row>
    <row r="1129" spans="1:10" x14ac:dyDescent="0.25">
      <c r="A1129" s="1">
        <v>151</v>
      </c>
      <c r="B1129" t="s">
        <v>28</v>
      </c>
      <c r="C1129">
        <v>635</v>
      </c>
      <c r="D1129">
        <v>1</v>
      </c>
      <c r="E1129" t="s">
        <v>29</v>
      </c>
      <c r="F1129" t="s">
        <v>30</v>
      </c>
      <c r="G1129" t="str">
        <f>"2025-12-24 09:08:44.690"</f>
        <v>2025-12-24 09:08:44.690</v>
      </c>
      <c r="H1129" t="s">
        <v>21</v>
      </c>
    </row>
    <row r="1130" spans="1:10" x14ac:dyDescent="0.25">
      <c r="A1130" s="1">
        <v>152</v>
      </c>
      <c r="B1130" t="s">
        <v>31</v>
      </c>
      <c r="C1130">
        <v>635</v>
      </c>
      <c r="D1130">
        <v>1</v>
      </c>
      <c r="E1130" t="s">
        <v>29</v>
      </c>
      <c r="F1130" t="s">
        <v>30</v>
      </c>
      <c r="G1130" t="str">
        <f>"2025-12-24 08:54:30.690"</f>
        <v>2025-12-24 08:54:30.690</v>
      </c>
      <c r="H1130" t="s">
        <v>21</v>
      </c>
      <c r="I1130">
        <v>2.48</v>
      </c>
      <c r="J1130" t="s">
        <v>32</v>
      </c>
    </row>
    <row r="1131" spans="1:10" x14ac:dyDescent="0.25">
      <c r="A1131" s="1">
        <v>153</v>
      </c>
      <c r="B1131" t="s">
        <v>28</v>
      </c>
      <c r="C1131">
        <v>635</v>
      </c>
      <c r="D1131">
        <v>1</v>
      </c>
      <c r="E1131" t="s">
        <v>29</v>
      </c>
      <c r="F1131" t="s">
        <v>30</v>
      </c>
      <c r="G1131" t="str">
        <f>"2025-12-23 04:05:44.790"</f>
        <v>2025-12-23 04:05:44.790</v>
      </c>
      <c r="H1131" t="s">
        <v>21</v>
      </c>
    </row>
    <row r="1132" spans="1:10" x14ac:dyDescent="0.25">
      <c r="A1132" s="1">
        <v>154</v>
      </c>
      <c r="B1132" t="s">
        <v>31</v>
      </c>
      <c r="C1132">
        <v>635</v>
      </c>
      <c r="D1132">
        <v>1</v>
      </c>
      <c r="E1132" t="s">
        <v>29</v>
      </c>
      <c r="F1132" t="s">
        <v>30</v>
      </c>
      <c r="G1132" t="str">
        <f>"2025-12-23 04:01:45.790"</f>
        <v>2025-12-23 04:01:45.790</v>
      </c>
      <c r="H1132" t="s">
        <v>21</v>
      </c>
      <c r="I1132">
        <v>0.03</v>
      </c>
      <c r="J1132" t="s">
        <v>32</v>
      </c>
    </row>
    <row r="1133" spans="1:10" x14ac:dyDescent="0.25">
      <c r="A1133" s="1">
        <v>155</v>
      </c>
      <c r="B1133" t="s">
        <v>19</v>
      </c>
      <c r="C1133">
        <v>706</v>
      </c>
      <c r="D1133">
        <v>2</v>
      </c>
      <c r="E1133" t="s">
        <v>39</v>
      </c>
      <c r="F1133" t="s">
        <v>48</v>
      </c>
      <c r="G1133" t="str">
        <f>"2025-12-22 23:02:21.879"</f>
        <v>2025-12-22 23:02:21.879</v>
      </c>
      <c r="H1133" t="s">
        <v>21</v>
      </c>
      <c r="I1133">
        <v>0</v>
      </c>
      <c r="J1133" t="s">
        <v>27</v>
      </c>
    </row>
    <row r="1134" spans="1:10" x14ac:dyDescent="0.25">
      <c r="A1134" s="1">
        <v>156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"2025-12-22 23:02:07.219"</f>
        <v>2025-12-22 23:02:07.219</v>
      </c>
      <c r="H1134" t="s">
        <v>21</v>
      </c>
    </row>
    <row r="1135" spans="1:10" x14ac:dyDescent="0.25">
      <c r="A1135" s="1">
        <v>157</v>
      </c>
      <c r="B1135" t="s">
        <v>28</v>
      </c>
      <c r="C1135">
        <v>61</v>
      </c>
      <c r="D1135">
        <v>2</v>
      </c>
      <c r="E1135" t="s">
        <v>37</v>
      </c>
      <c r="F1135" t="s">
        <v>38</v>
      </c>
      <c r="G1135" t="str">
        <f>"2025-12-21 16:31:28.049"</f>
        <v>2025-12-21 16:31:28.049</v>
      </c>
      <c r="H1135" t="s">
        <v>21</v>
      </c>
    </row>
    <row r="1136" spans="1:10" x14ac:dyDescent="0.25">
      <c r="A1136" s="1">
        <v>158</v>
      </c>
      <c r="B1136" t="s">
        <v>23</v>
      </c>
      <c r="C1136">
        <v>61</v>
      </c>
      <c r="D1136">
        <v>2</v>
      </c>
      <c r="E1136" t="s">
        <v>37</v>
      </c>
      <c r="F1136" t="s">
        <v>38</v>
      </c>
      <c r="G1136" t="str">
        <f>"2025-12-21 16:31:11.449"</f>
        <v>2025-12-21 16:31:11.449</v>
      </c>
      <c r="H1136" t="s">
        <v>21</v>
      </c>
      <c r="I1136">
        <v>30.3</v>
      </c>
      <c r="J1136" t="s">
        <v>35</v>
      </c>
    </row>
    <row r="1137" spans="1:10" x14ac:dyDescent="0.25">
      <c r="A1137" s="1">
        <v>159</v>
      </c>
      <c r="B1137" t="s">
        <v>28</v>
      </c>
      <c r="C1137">
        <v>635</v>
      </c>
      <c r="D1137">
        <v>1</v>
      </c>
      <c r="E1137" t="s">
        <v>29</v>
      </c>
      <c r="F1137" t="s">
        <v>30</v>
      </c>
      <c r="G1137" t="str">
        <f>"2025-12-21 10:30:01.536"</f>
        <v>2025-12-21 10:30:01.536</v>
      </c>
      <c r="H1137" t="s">
        <v>21</v>
      </c>
    </row>
    <row r="1138" spans="1:10" x14ac:dyDescent="0.25">
      <c r="A1138" s="1">
        <v>160</v>
      </c>
      <c r="B1138" t="s">
        <v>31</v>
      </c>
      <c r="C1138">
        <v>635</v>
      </c>
      <c r="D1138">
        <v>1</v>
      </c>
      <c r="E1138" t="s">
        <v>29</v>
      </c>
      <c r="F1138" t="s">
        <v>30</v>
      </c>
      <c r="G1138" t="str">
        <f>"2025-12-21 10:27:00.536"</f>
        <v>2025-12-21 10:27:00.536</v>
      </c>
      <c r="H1138" t="s">
        <v>21</v>
      </c>
      <c r="I1138">
        <v>4.07</v>
      </c>
      <c r="J1138" t="s">
        <v>36</v>
      </c>
    </row>
    <row r="1139" spans="1:10" x14ac:dyDescent="0.25">
      <c r="A1139" s="1">
        <v>161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"2025-12-20 14:32:30.234"</f>
        <v>2025-12-20 14:32:30.234</v>
      </c>
      <c r="H1139" t="s">
        <v>21</v>
      </c>
    </row>
    <row r="1140" spans="1:10" x14ac:dyDescent="0.25">
      <c r="A1140" s="1">
        <v>162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"2025-12-19 16:21:01.211"</f>
        <v>2025-12-19 16:21:01.211</v>
      </c>
      <c r="H1140" t="s">
        <v>21</v>
      </c>
    </row>
    <row r="1141" spans="1:10" x14ac:dyDescent="0.25">
      <c r="A1141" s="1">
        <v>163</v>
      </c>
      <c r="B1141" t="s">
        <v>19</v>
      </c>
      <c r="C1141">
        <v>706</v>
      </c>
      <c r="D1141">
        <v>2</v>
      </c>
      <c r="E1141" t="s">
        <v>39</v>
      </c>
      <c r="F1141" t="s">
        <v>48</v>
      </c>
      <c r="G1141" t="str">
        <f>"2025-12-19 16:19:24.172"</f>
        <v>2025-12-19 16:19:24.172</v>
      </c>
      <c r="H1141" t="s">
        <v>21</v>
      </c>
      <c r="I1141">
        <v>0</v>
      </c>
      <c r="J1141" t="s">
        <v>27</v>
      </c>
    </row>
    <row r="1142" spans="1:10" x14ac:dyDescent="0.25">
      <c r="A1142" s="1">
        <v>164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"2025-12-19 13:45:52.202"</f>
        <v>2025-12-19 13:45:52.202</v>
      </c>
      <c r="H1142" t="s">
        <v>21</v>
      </c>
      <c r="I1142">
        <v>0</v>
      </c>
      <c r="J1142" t="s">
        <v>22</v>
      </c>
    </row>
    <row r="1143" spans="1:10" x14ac:dyDescent="0.25">
      <c r="A1143" s="1">
        <v>165</v>
      </c>
      <c r="B1143" t="s">
        <v>19</v>
      </c>
      <c r="C1143">
        <v>706</v>
      </c>
      <c r="D1143">
        <v>2</v>
      </c>
      <c r="E1143" t="s">
        <v>39</v>
      </c>
      <c r="F1143" t="s">
        <v>48</v>
      </c>
      <c r="G1143" t="str">
        <f>"2025-12-19 07:48:10.546"</f>
        <v>2025-12-19 07:48:10.546</v>
      </c>
      <c r="H1143" t="s">
        <v>21</v>
      </c>
      <c r="I1143">
        <v>0</v>
      </c>
      <c r="J1143" t="s">
        <v>27</v>
      </c>
    </row>
    <row r="1144" spans="1:10" x14ac:dyDescent="0.25">
      <c r="A1144" s="1">
        <v>166</v>
      </c>
      <c r="B1144" t="s">
        <v>28</v>
      </c>
      <c r="C1144">
        <v>98</v>
      </c>
      <c r="D1144">
        <v>1</v>
      </c>
      <c r="E1144" t="s">
        <v>41</v>
      </c>
      <c r="F1144" t="s">
        <v>42</v>
      </c>
      <c r="G1144" t="str">
        <f>"2025-12-18 22:32:08.395"</f>
        <v>2025-12-18 22:32:08.395</v>
      </c>
      <c r="H1144" t="s">
        <v>21</v>
      </c>
    </row>
    <row r="1145" spans="1:10" x14ac:dyDescent="0.25">
      <c r="A1145" s="1">
        <v>167</v>
      </c>
      <c r="B1145" t="s">
        <v>31</v>
      </c>
      <c r="C1145">
        <v>98</v>
      </c>
      <c r="D1145">
        <v>1</v>
      </c>
      <c r="E1145" t="s">
        <v>41</v>
      </c>
      <c r="F1145" t="s">
        <v>42</v>
      </c>
      <c r="G1145" t="str">
        <f>"2025-12-18 22:32:07.396"</f>
        <v>2025-12-18 22:32:07.396</v>
      </c>
      <c r="H1145" t="s">
        <v>21</v>
      </c>
      <c r="I1145">
        <v>16.079999999999998</v>
      </c>
      <c r="J1145" t="s">
        <v>32</v>
      </c>
    </row>
    <row r="1146" spans="1:10" x14ac:dyDescent="0.25">
      <c r="A1146" s="1">
        <v>168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"2025-12-18 11:29:20.186"</f>
        <v>2025-12-18 11:29:20.186</v>
      </c>
      <c r="H1146" t="s">
        <v>21</v>
      </c>
    </row>
    <row r="1147" spans="1:10" x14ac:dyDescent="0.25">
      <c r="A1147" s="1">
        <v>169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"2025-12-18 11:18:57.229"</f>
        <v>2025-12-18 11:18:57.229</v>
      </c>
      <c r="H1147" t="s">
        <v>21</v>
      </c>
      <c r="I1147">
        <v>0</v>
      </c>
      <c r="J1147" t="s">
        <v>22</v>
      </c>
    </row>
    <row r="1148" spans="1:10" x14ac:dyDescent="0.25">
      <c r="A1148" s="1">
        <v>170</v>
      </c>
      <c r="B1148" t="s">
        <v>19</v>
      </c>
      <c r="C1148">
        <v>706</v>
      </c>
      <c r="D1148">
        <v>2</v>
      </c>
      <c r="E1148" t="s">
        <v>39</v>
      </c>
      <c r="F1148" t="s">
        <v>48</v>
      </c>
      <c r="G1148" t="str">
        <f>"2025-12-17 16:47:10.957"</f>
        <v>2025-12-17 16:47:10.957</v>
      </c>
      <c r="H1148" t="s">
        <v>21</v>
      </c>
      <c r="I1148">
        <v>0</v>
      </c>
      <c r="J1148" t="s">
        <v>27</v>
      </c>
    </row>
    <row r="1149" spans="1:10" x14ac:dyDescent="0.25">
      <c r="A1149" s="1">
        <v>171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"2025-12-17 16:34:48.177"</f>
        <v>2025-12-17 16:34:48.177</v>
      </c>
      <c r="H1149" t="s">
        <v>21</v>
      </c>
      <c r="I1149">
        <v>0</v>
      </c>
      <c r="J1149" t="s">
        <v>22</v>
      </c>
    </row>
    <row r="1150" spans="1:10" x14ac:dyDescent="0.25">
      <c r="A1150" s="1">
        <v>172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"2025-12-17 14:54:54.187"</f>
        <v>2025-12-17 14:54:54.187</v>
      </c>
      <c r="H1150" t="s">
        <v>21</v>
      </c>
      <c r="I1150">
        <v>0</v>
      </c>
      <c r="J1150" t="s">
        <v>22</v>
      </c>
    </row>
    <row r="1151" spans="1:10" x14ac:dyDescent="0.25">
      <c r="A1151" s="1">
        <v>173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"2025-12-16 13:47:28.160"</f>
        <v>2025-12-16 13:47:28.160</v>
      </c>
      <c r="H1151" t="s">
        <v>21</v>
      </c>
      <c r="I1151">
        <v>0</v>
      </c>
      <c r="J1151" t="s">
        <v>22</v>
      </c>
    </row>
    <row r="1152" spans="1:10" x14ac:dyDescent="0.25">
      <c r="A1152" s="1">
        <v>174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"2025-12-16 11:08:10.160"</f>
        <v>2025-12-16 11:08:10.160</v>
      </c>
      <c r="H1152" t="s">
        <v>21</v>
      </c>
      <c r="I1152">
        <v>0</v>
      </c>
      <c r="J1152" t="s">
        <v>22</v>
      </c>
    </row>
    <row r="1153" spans="1:10" x14ac:dyDescent="0.25">
      <c r="A1153" s="1">
        <v>175</v>
      </c>
      <c r="B1153" t="s">
        <v>19</v>
      </c>
      <c r="C1153">
        <v>706</v>
      </c>
      <c r="D1153">
        <v>2</v>
      </c>
      <c r="E1153" t="s">
        <v>39</v>
      </c>
      <c r="F1153" t="s">
        <v>48</v>
      </c>
      <c r="G1153" t="str">
        <f>"2025-12-15 22:47:46.442"</f>
        <v>2025-12-15 22:47:46.442</v>
      </c>
      <c r="H1153" t="s">
        <v>21</v>
      </c>
      <c r="I1153">
        <v>0</v>
      </c>
      <c r="J1153" t="s">
        <v>27</v>
      </c>
    </row>
    <row r="1154" spans="1:10" x14ac:dyDescent="0.25">
      <c r="A1154" s="1">
        <v>176</v>
      </c>
      <c r="B1154" t="s">
        <v>28</v>
      </c>
      <c r="C1154">
        <v>98</v>
      </c>
      <c r="D1154">
        <v>1</v>
      </c>
      <c r="E1154" t="s">
        <v>41</v>
      </c>
      <c r="F1154" t="s">
        <v>42</v>
      </c>
      <c r="G1154" t="str">
        <f>"2025-12-15 22:38:13.078"</f>
        <v>2025-12-15 22:38:13.078</v>
      </c>
      <c r="H1154" t="s">
        <v>21</v>
      </c>
    </row>
    <row r="1155" spans="1:10" x14ac:dyDescent="0.25">
      <c r="A1155" s="1">
        <v>177</v>
      </c>
      <c r="B1155" t="s">
        <v>31</v>
      </c>
      <c r="C1155">
        <v>98</v>
      </c>
      <c r="D1155">
        <v>1</v>
      </c>
      <c r="E1155" t="s">
        <v>41</v>
      </c>
      <c r="F1155" t="s">
        <v>42</v>
      </c>
      <c r="G1155" t="str">
        <f>"2025-12-15 22:38:12.078"</f>
        <v>2025-12-15 22:38:12.078</v>
      </c>
      <c r="H1155" t="s">
        <v>21</v>
      </c>
      <c r="I1155">
        <v>0</v>
      </c>
      <c r="J1155" t="s">
        <v>27</v>
      </c>
    </row>
    <row r="1156" spans="1:10" x14ac:dyDescent="0.25">
      <c r="A1156" s="1">
        <v>178</v>
      </c>
      <c r="B1156" t="s">
        <v>28</v>
      </c>
      <c r="C1156">
        <v>98</v>
      </c>
      <c r="D1156">
        <v>1</v>
      </c>
      <c r="E1156" t="s">
        <v>41</v>
      </c>
      <c r="F1156" t="s">
        <v>42</v>
      </c>
      <c r="G1156" t="str">
        <f>"2025-12-15 22:38:10.078"</f>
        <v>2025-12-15 22:38:10.078</v>
      </c>
      <c r="H1156" t="s">
        <v>21</v>
      </c>
    </row>
    <row r="1157" spans="1:10" x14ac:dyDescent="0.25">
      <c r="A1157" s="1">
        <v>179</v>
      </c>
      <c r="B1157" t="s">
        <v>31</v>
      </c>
      <c r="C1157">
        <v>98</v>
      </c>
      <c r="D1157">
        <v>1</v>
      </c>
      <c r="E1157" t="s">
        <v>41</v>
      </c>
      <c r="F1157" t="s">
        <v>42</v>
      </c>
      <c r="G1157" t="str">
        <f>"2025-12-15 22:38:08.679"</f>
        <v>2025-12-15 22:38:08.679</v>
      </c>
      <c r="H1157" t="s">
        <v>21</v>
      </c>
      <c r="I1157">
        <v>0</v>
      </c>
      <c r="J1157" t="s">
        <v>27</v>
      </c>
    </row>
    <row r="1158" spans="1:10" x14ac:dyDescent="0.25">
      <c r="A1158" s="1">
        <v>180</v>
      </c>
      <c r="B1158" t="s">
        <v>19</v>
      </c>
      <c r="C1158">
        <v>706</v>
      </c>
      <c r="D1158">
        <v>3</v>
      </c>
      <c r="E1158" t="s">
        <v>39</v>
      </c>
      <c r="F1158" t="s">
        <v>49</v>
      </c>
      <c r="G1158" t="str">
        <f>"2025-12-15 22:30:35.022"</f>
        <v>2025-12-15 22:30:35.022</v>
      </c>
      <c r="H1158" t="s">
        <v>21</v>
      </c>
      <c r="I1158">
        <v>0</v>
      </c>
      <c r="J1158" t="s">
        <v>27</v>
      </c>
    </row>
    <row r="1159" spans="1:10" x14ac:dyDescent="0.25">
      <c r="A1159" s="1">
        <v>181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"2025-12-15 20:41:13.092"</f>
        <v>2025-12-15 20:41:13.092</v>
      </c>
      <c r="H1159" t="s">
        <v>21</v>
      </c>
      <c r="I1159">
        <v>0</v>
      </c>
      <c r="J1159" t="s">
        <v>22</v>
      </c>
    </row>
    <row r="1160" spans="1:10" x14ac:dyDescent="0.25">
      <c r="A1160" s="1">
        <v>182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"2025-12-15 09:32:46.089"</f>
        <v>2025-12-15 09:32:46.089</v>
      </c>
      <c r="H1160" t="s">
        <v>21</v>
      </c>
    </row>
    <row r="1161" spans="1:10" x14ac:dyDescent="0.25">
      <c r="A1161" s="1">
        <v>183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"2025-12-15 08:27:06.084"</f>
        <v>2025-12-15 08:27:06.084</v>
      </c>
      <c r="H1161" t="s">
        <v>21</v>
      </c>
    </row>
    <row r="1162" spans="1:10" x14ac:dyDescent="0.25">
      <c r="A1162" s="1">
        <v>184</v>
      </c>
      <c r="B1162" t="s">
        <v>19</v>
      </c>
      <c r="C1162">
        <v>706</v>
      </c>
      <c r="D1162">
        <v>2</v>
      </c>
      <c r="E1162" t="s">
        <v>39</v>
      </c>
      <c r="F1162" t="s">
        <v>48</v>
      </c>
      <c r="G1162" t="str">
        <f>"2025-12-15 08:06:36.148"</f>
        <v>2025-12-15 08:06:36.148</v>
      </c>
      <c r="H1162" t="s">
        <v>21</v>
      </c>
      <c r="I1162">
        <v>0</v>
      </c>
      <c r="J1162" t="s">
        <v>27</v>
      </c>
    </row>
    <row r="1163" spans="1:10" x14ac:dyDescent="0.25">
      <c r="A1163" s="1">
        <v>185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"2025-12-15 08:06:20.078"</f>
        <v>2025-12-15 08:06:20.078</v>
      </c>
      <c r="H1163" t="s">
        <v>21</v>
      </c>
    </row>
    <row r="1164" spans="1:10" x14ac:dyDescent="0.25">
      <c r="A1164" s="1">
        <v>186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"2025-12-14 10:34:00.071"</f>
        <v>2025-12-14 10:34:00.071</v>
      </c>
      <c r="H1164" t="s">
        <v>21</v>
      </c>
    </row>
    <row r="1165" spans="1:10" x14ac:dyDescent="0.25">
      <c r="A1165" s="1">
        <v>187</v>
      </c>
      <c r="B1165" t="s">
        <v>19</v>
      </c>
      <c r="C1165">
        <v>706</v>
      </c>
      <c r="D1165">
        <v>4</v>
      </c>
      <c r="E1165" t="s">
        <v>39</v>
      </c>
      <c r="F1165" t="s">
        <v>40</v>
      </c>
      <c r="G1165" t="str">
        <f>"2025-12-14 09:10:52.262"</f>
        <v>2025-12-14 09:10:52.262</v>
      </c>
      <c r="H1165" t="s">
        <v>21</v>
      </c>
      <c r="I1165">
        <v>0</v>
      </c>
      <c r="J1165" t="s">
        <v>27</v>
      </c>
    </row>
    <row r="1166" spans="1:10" x14ac:dyDescent="0.25">
      <c r="A1166" s="1">
        <v>188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"2025-12-14 09:07:30.092"</f>
        <v>2025-12-14 09:07:30.092</v>
      </c>
      <c r="H1166" t="s">
        <v>21</v>
      </c>
    </row>
    <row r="1167" spans="1:10" x14ac:dyDescent="0.25">
      <c r="A1167" s="1">
        <v>189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"2025-12-14 03:26:47.094"</f>
        <v>2025-12-14 03:26:47.094</v>
      </c>
      <c r="H1167" t="s">
        <v>21</v>
      </c>
      <c r="I1167">
        <v>0</v>
      </c>
      <c r="J1167" t="s">
        <v>22</v>
      </c>
    </row>
    <row r="1168" spans="1:10" x14ac:dyDescent="0.25">
      <c r="A1168" s="1">
        <v>190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"2025-12-11 15:37:15.083"</f>
        <v>2025-12-11 15:37:15.083</v>
      </c>
      <c r="H1168" t="s">
        <v>21</v>
      </c>
    </row>
    <row r="1169" spans="1:10" x14ac:dyDescent="0.25">
      <c r="A1169" s="1">
        <v>191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"2025-12-11 14:31:33.083"</f>
        <v>2025-12-11 14:31:33.083</v>
      </c>
      <c r="H1169" t="s">
        <v>21</v>
      </c>
      <c r="I1169">
        <v>0</v>
      </c>
      <c r="J1169" t="s">
        <v>22</v>
      </c>
    </row>
    <row r="1170" spans="1:10" x14ac:dyDescent="0.25">
      <c r="A1170" s="1">
        <v>192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"2025-12-11 11:36:06.085"</f>
        <v>2025-12-11 11:36:06.085</v>
      </c>
      <c r="H1170" t="s">
        <v>21</v>
      </c>
      <c r="I1170">
        <v>0</v>
      </c>
      <c r="J1170" t="s">
        <v>22</v>
      </c>
    </row>
    <row r="1171" spans="1:10" x14ac:dyDescent="0.25">
      <c r="A1171" s="1">
        <v>193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"2025-12-11 11:20:19.084"</f>
        <v>2025-12-11 11:20:19.084</v>
      </c>
      <c r="H1171" t="s">
        <v>21</v>
      </c>
      <c r="I1171">
        <v>0</v>
      </c>
      <c r="J1171" t="s">
        <v>22</v>
      </c>
    </row>
    <row r="1172" spans="1:10" x14ac:dyDescent="0.25">
      <c r="A1172" s="1">
        <v>194</v>
      </c>
      <c r="B1172" t="s">
        <v>19</v>
      </c>
      <c r="C1172">
        <v>706</v>
      </c>
      <c r="D1172">
        <v>2</v>
      </c>
      <c r="E1172" t="s">
        <v>39</v>
      </c>
      <c r="F1172" t="s">
        <v>48</v>
      </c>
      <c r="G1172" t="str">
        <f>"2025-12-11 11:05:18.755"</f>
        <v>2025-12-11 11:05:18.755</v>
      </c>
      <c r="H1172" t="s">
        <v>21</v>
      </c>
      <c r="I1172">
        <v>0</v>
      </c>
      <c r="J1172" t="s">
        <v>27</v>
      </c>
    </row>
    <row r="1173" spans="1:10" x14ac:dyDescent="0.25">
      <c r="A1173" s="1">
        <v>195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"2025-12-11 10:59:50.075"</f>
        <v>2025-12-11 10:59:50.075</v>
      </c>
      <c r="H1173" t="s">
        <v>21</v>
      </c>
      <c r="I1173">
        <v>0</v>
      </c>
      <c r="J1173" t="s">
        <v>22</v>
      </c>
    </row>
    <row r="1174" spans="1:10" x14ac:dyDescent="0.25">
      <c r="A1174" s="1">
        <v>196</v>
      </c>
      <c r="B1174" t="s">
        <v>19</v>
      </c>
      <c r="C1174">
        <v>706</v>
      </c>
      <c r="D1174">
        <v>2</v>
      </c>
      <c r="E1174" t="s">
        <v>39</v>
      </c>
      <c r="F1174" t="s">
        <v>48</v>
      </c>
      <c r="G1174" t="str">
        <f>"2025-12-11 09:19:34.635"</f>
        <v>2025-12-11 09:19:34.635</v>
      </c>
      <c r="H1174" t="s">
        <v>21</v>
      </c>
      <c r="I1174">
        <v>0</v>
      </c>
      <c r="J1174" t="s">
        <v>27</v>
      </c>
    </row>
    <row r="1175" spans="1:10" x14ac:dyDescent="0.25">
      <c r="A1175" s="1">
        <v>197</v>
      </c>
      <c r="B1175" t="s">
        <v>19</v>
      </c>
      <c r="C1175">
        <v>706</v>
      </c>
      <c r="D1175">
        <v>2</v>
      </c>
      <c r="E1175" t="s">
        <v>39</v>
      </c>
      <c r="F1175" t="s">
        <v>48</v>
      </c>
      <c r="G1175" t="str">
        <f>"2025-12-11 09:18:51.835"</f>
        <v>2025-12-11 09:18:51.835</v>
      </c>
      <c r="H1175" t="s">
        <v>21</v>
      </c>
      <c r="I1175">
        <v>0</v>
      </c>
      <c r="J1175" t="s">
        <v>27</v>
      </c>
    </row>
    <row r="1176" spans="1:10" x14ac:dyDescent="0.25">
      <c r="A1176" s="1">
        <v>198</v>
      </c>
      <c r="B1176" t="s">
        <v>19</v>
      </c>
      <c r="C1176">
        <v>706</v>
      </c>
      <c r="D1176">
        <v>4</v>
      </c>
      <c r="E1176" t="s">
        <v>39</v>
      </c>
      <c r="F1176" t="s">
        <v>40</v>
      </c>
      <c r="G1176" t="str">
        <f>"2025-12-11 09:12:39.785"</f>
        <v>2025-12-11 09:12:39.785</v>
      </c>
      <c r="H1176" t="s">
        <v>21</v>
      </c>
      <c r="I1176">
        <v>0</v>
      </c>
      <c r="J1176" t="s">
        <v>27</v>
      </c>
    </row>
    <row r="1177" spans="1:10" x14ac:dyDescent="0.25">
      <c r="A1177" s="1">
        <v>199</v>
      </c>
      <c r="B1177" t="s">
        <v>19</v>
      </c>
      <c r="C1177">
        <v>706</v>
      </c>
      <c r="D1177">
        <v>4</v>
      </c>
      <c r="E1177" t="s">
        <v>39</v>
      </c>
      <c r="F1177" t="s">
        <v>40</v>
      </c>
      <c r="G1177" t="str">
        <f>"2025-12-11 09:03:58.215"</f>
        <v>2025-12-11 09:03:58.215</v>
      </c>
      <c r="H1177" t="s">
        <v>21</v>
      </c>
      <c r="I1177">
        <v>0</v>
      </c>
      <c r="J1177" t="s">
        <v>27</v>
      </c>
    </row>
    <row r="1178" spans="1:10" x14ac:dyDescent="0.25">
      <c r="A1178" s="1">
        <v>200</v>
      </c>
      <c r="B1178" t="s">
        <v>19</v>
      </c>
      <c r="C1178">
        <v>706</v>
      </c>
      <c r="D1178">
        <v>4</v>
      </c>
      <c r="E1178" t="s">
        <v>39</v>
      </c>
      <c r="F1178" t="s">
        <v>40</v>
      </c>
      <c r="G1178" t="str">
        <f>"2025-12-11 08:56:02.625"</f>
        <v>2025-12-11 08:56:02.625</v>
      </c>
      <c r="H1178" t="s">
        <v>21</v>
      </c>
      <c r="I1178">
        <v>0</v>
      </c>
      <c r="J1178" t="s">
        <v>27</v>
      </c>
    </row>
    <row r="1179" spans="1:10" x14ac:dyDescent="0.25">
      <c r="A1179" s="1">
        <v>201</v>
      </c>
      <c r="B1179" t="s">
        <v>19</v>
      </c>
      <c r="C1179">
        <v>706</v>
      </c>
      <c r="D1179">
        <v>2</v>
      </c>
      <c r="E1179" t="s">
        <v>39</v>
      </c>
      <c r="F1179" t="s">
        <v>48</v>
      </c>
      <c r="G1179" t="str">
        <f>"2025-12-11 08:46:45.335"</f>
        <v>2025-12-11 08:46:45.335</v>
      </c>
      <c r="H1179" t="s">
        <v>21</v>
      </c>
      <c r="I1179">
        <v>0</v>
      </c>
      <c r="J1179" t="s">
        <v>27</v>
      </c>
    </row>
    <row r="1180" spans="1:10" x14ac:dyDescent="0.25">
      <c r="A1180" s="1">
        <v>202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"2025-12-11 08:40:29.065"</f>
        <v>2025-12-11 08:40:29.065</v>
      </c>
      <c r="H1180" t="s">
        <v>21</v>
      </c>
      <c r="I1180">
        <v>0</v>
      </c>
      <c r="J1180" t="s">
        <v>22</v>
      </c>
    </row>
    <row r="1181" spans="1:10" x14ac:dyDescent="0.25">
      <c r="A1181" s="1">
        <v>203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"2025-12-10 16:29:11.078"</f>
        <v>2025-12-10 16:29:11.078</v>
      </c>
      <c r="H1181" t="s">
        <v>21</v>
      </c>
      <c r="I1181">
        <v>0</v>
      </c>
      <c r="J1181" t="s">
        <v>22</v>
      </c>
    </row>
    <row r="1182" spans="1:10" x14ac:dyDescent="0.25">
      <c r="A1182" s="1">
        <v>204</v>
      </c>
      <c r="B1182" t="s">
        <v>19</v>
      </c>
      <c r="C1182">
        <v>706</v>
      </c>
      <c r="D1182">
        <v>4</v>
      </c>
      <c r="E1182" t="s">
        <v>39</v>
      </c>
      <c r="F1182" t="s">
        <v>40</v>
      </c>
      <c r="G1182" t="str">
        <f>"2025-12-10 16:21:23.449"</f>
        <v>2025-12-10 16:21:23.449</v>
      </c>
      <c r="H1182" t="s">
        <v>21</v>
      </c>
      <c r="I1182">
        <v>0</v>
      </c>
      <c r="J1182" t="s">
        <v>27</v>
      </c>
    </row>
    <row r="1183" spans="1:10" x14ac:dyDescent="0.25">
      <c r="A1183" s="1">
        <v>205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"2025-12-10 16:15:11.079"</f>
        <v>2025-12-10 16:15:11.079</v>
      </c>
      <c r="H1183" t="s">
        <v>21</v>
      </c>
      <c r="I1183">
        <v>0</v>
      </c>
      <c r="J1183" t="s">
        <v>22</v>
      </c>
    </row>
    <row r="1184" spans="1:10" x14ac:dyDescent="0.25">
      <c r="A1184" s="1">
        <v>206</v>
      </c>
      <c r="B1184" t="s">
        <v>19</v>
      </c>
      <c r="C1184">
        <v>706</v>
      </c>
      <c r="D1184">
        <v>4</v>
      </c>
      <c r="E1184" t="s">
        <v>39</v>
      </c>
      <c r="F1184" t="s">
        <v>40</v>
      </c>
      <c r="G1184" t="str">
        <f>"2025-12-10 16:10:27.951"</f>
        <v>2025-12-10 16:10:27.951</v>
      </c>
      <c r="H1184" t="s">
        <v>21</v>
      </c>
      <c r="I1184">
        <v>0</v>
      </c>
      <c r="J1184" t="s">
        <v>27</v>
      </c>
    </row>
    <row r="1185" spans="1:10" x14ac:dyDescent="0.25">
      <c r="A1185" s="1">
        <v>207</v>
      </c>
      <c r="B1185" t="s">
        <v>19</v>
      </c>
      <c r="C1185">
        <v>706</v>
      </c>
      <c r="D1185">
        <v>2</v>
      </c>
      <c r="E1185" t="s">
        <v>39</v>
      </c>
      <c r="F1185" t="s">
        <v>48</v>
      </c>
      <c r="G1185" t="str">
        <f>"2025-12-10 15:38:22.741"</f>
        <v>2025-12-10 15:38:22.741</v>
      </c>
      <c r="H1185" t="s">
        <v>21</v>
      </c>
      <c r="I1185">
        <v>0</v>
      </c>
      <c r="J1185" t="s">
        <v>27</v>
      </c>
    </row>
    <row r="1186" spans="1:10" x14ac:dyDescent="0.25">
      <c r="A1186" s="1">
        <v>208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"2025-12-10 15:28:48.071"</f>
        <v>2025-12-10 15:28:48.071</v>
      </c>
      <c r="H1186" t="s">
        <v>21</v>
      </c>
      <c r="I1186">
        <v>0</v>
      </c>
      <c r="J1186" t="s">
        <v>22</v>
      </c>
    </row>
    <row r="1187" spans="1:10" x14ac:dyDescent="0.25">
      <c r="A1187" s="1">
        <v>209</v>
      </c>
      <c r="B1187" t="s">
        <v>19</v>
      </c>
      <c r="C1187">
        <v>706</v>
      </c>
      <c r="D1187">
        <v>4</v>
      </c>
      <c r="E1187" t="s">
        <v>39</v>
      </c>
      <c r="F1187" t="s">
        <v>40</v>
      </c>
      <c r="G1187" t="str">
        <f>"2025-12-10 15:23:39.253"</f>
        <v>2025-12-10 15:23:39.253</v>
      </c>
      <c r="H1187" t="s">
        <v>21</v>
      </c>
      <c r="I1187">
        <v>0</v>
      </c>
      <c r="J1187" t="s">
        <v>27</v>
      </c>
    </row>
    <row r="1188" spans="1:10" x14ac:dyDescent="0.25">
      <c r="A1188" s="1">
        <v>210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"2025-12-10 15:21:11.063"</f>
        <v>2025-12-10 15:21:11.063</v>
      </c>
      <c r="H1188" t="s">
        <v>21</v>
      </c>
    </row>
    <row r="1189" spans="1:10" x14ac:dyDescent="0.25">
      <c r="A1189" s="1">
        <v>211</v>
      </c>
      <c r="B1189" t="s">
        <v>19</v>
      </c>
      <c r="C1189">
        <v>706</v>
      </c>
      <c r="D1189">
        <v>4</v>
      </c>
      <c r="E1189" t="s">
        <v>39</v>
      </c>
      <c r="F1189" t="s">
        <v>40</v>
      </c>
      <c r="G1189" t="str">
        <f>"2025-12-10 15:15:32.236"</f>
        <v>2025-12-10 15:15:32.236</v>
      </c>
      <c r="H1189" t="s">
        <v>21</v>
      </c>
      <c r="I1189">
        <v>0</v>
      </c>
      <c r="J1189" t="s">
        <v>27</v>
      </c>
    </row>
    <row r="1190" spans="1:10" x14ac:dyDescent="0.25">
      <c r="A1190" s="1">
        <v>212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"2025-12-10 15:04:02.046"</f>
        <v>2025-12-10 15:04:02.046</v>
      </c>
      <c r="H1190" t="s">
        <v>21</v>
      </c>
    </row>
    <row r="1191" spans="1:10" x14ac:dyDescent="0.25">
      <c r="A1191" s="1">
        <v>213</v>
      </c>
      <c r="B1191" t="s">
        <v>19</v>
      </c>
      <c r="C1191">
        <v>706</v>
      </c>
      <c r="D1191">
        <v>2</v>
      </c>
      <c r="E1191" t="s">
        <v>39</v>
      </c>
      <c r="F1191" t="s">
        <v>48</v>
      </c>
      <c r="G1191" t="str">
        <f>"2025-12-10 14:25:43.532"</f>
        <v>2025-12-10 14:25:43.532</v>
      </c>
      <c r="H1191" t="s">
        <v>21</v>
      </c>
      <c r="I1191">
        <v>0</v>
      </c>
      <c r="J1191" t="s">
        <v>27</v>
      </c>
    </row>
    <row r="1192" spans="1:10" x14ac:dyDescent="0.25">
      <c r="A1192" s="1">
        <v>214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"2025-12-10 14:25:00.062"</f>
        <v>2025-12-10 14:25:00.062</v>
      </c>
      <c r="H1192" t="s">
        <v>21</v>
      </c>
      <c r="I1192">
        <v>0</v>
      </c>
      <c r="J1192" t="s">
        <v>22</v>
      </c>
    </row>
    <row r="1193" spans="1:10" x14ac:dyDescent="0.25">
      <c r="A1193" s="1">
        <v>215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"2025-12-10 11:15:32.052"</f>
        <v>2025-12-10 11:15:32.052</v>
      </c>
      <c r="H1193" t="s">
        <v>21</v>
      </c>
    </row>
    <row r="1194" spans="1:10" x14ac:dyDescent="0.25">
      <c r="A1194" s="1">
        <v>216</v>
      </c>
      <c r="B1194" t="s">
        <v>19</v>
      </c>
      <c r="C1194">
        <v>706</v>
      </c>
      <c r="D1194">
        <v>4</v>
      </c>
      <c r="E1194" t="s">
        <v>39</v>
      </c>
      <c r="F1194" t="s">
        <v>40</v>
      </c>
      <c r="G1194" t="str">
        <f>"2025-12-10 10:31:20.278"</f>
        <v>2025-12-10 10:31:20.278</v>
      </c>
      <c r="H1194" t="s">
        <v>21</v>
      </c>
      <c r="I1194">
        <v>0</v>
      </c>
      <c r="J1194" t="s">
        <v>27</v>
      </c>
    </row>
    <row r="1195" spans="1:10" x14ac:dyDescent="0.25">
      <c r="A1195" s="1">
        <v>217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"2025-12-10 10:30:16.058"</f>
        <v>2025-12-10 10:30:16.058</v>
      </c>
      <c r="H1195" t="s">
        <v>21</v>
      </c>
      <c r="I1195">
        <v>0</v>
      </c>
      <c r="J1195" t="s">
        <v>22</v>
      </c>
    </row>
    <row r="1196" spans="1:10" x14ac:dyDescent="0.25">
      <c r="A1196" s="1">
        <v>218</v>
      </c>
      <c r="B1196" t="s">
        <v>19</v>
      </c>
      <c r="C1196">
        <v>706</v>
      </c>
      <c r="D1196">
        <v>4</v>
      </c>
      <c r="E1196" t="s">
        <v>39</v>
      </c>
      <c r="F1196" t="s">
        <v>40</v>
      </c>
      <c r="G1196" t="str">
        <f>"2025-12-10 10:19:42.814"</f>
        <v>2025-12-10 10:19:42.814</v>
      </c>
      <c r="H1196" t="s">
        <v>21</v>
      </c>
      <c r="I1196">
        <v>0</v>
      </c>
      <c r="J1196" t="s">
        <v>27</v>
      </c>
    </row>
    <row r="1197" spans="1:10" x14ac:dyDescent="0.25">
      <c r="A1197" s="1">
        <v>219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"2025-12-10 09:54:07.054"</f>
        <v>2025-12-10 09:54:07.054</v>
      </c>
      <c r="H1197" t="s">
        <v>21</v>
      </c>
    </row>
    <row r="1198" spans="1:10" x14ac:dyDescent="0.25">
      <c r="A1198" s="1">
        <v>220</v>
      </c>
      <c r="B1198" t="s">
        <v>19</v>
      </c>
      <c r="C1198">
        <v>706</v>
      </c>
      <c r="D1198">
        <v>2</v>
      </c>
      <c r="E1198" t="s">
        <v>39</v>
      </c>
      <c r="F1198" t="s">
        <v>48</v>
      </c>
      <c r="G1198" t="str">
        <f>"2025-12-09 17:55:35.154"</f>
        <v>2025-12-09 17:55:35.154</v>
      </c>
      <c r="H1198" t="s">
        <v>21</v>
      </c>
      <c r="I1198">
        <v>0</v>
      </c>
      <c r="J1198" t="s">
        <v>27</v>
      </c>
    </row>
    <row r="1199" spans="1:10" x14ac:dyDescent="0.25">
      <c r="A1199" s="1">
        <v>221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"2025-12-09 17:54:37.064"</f>
        <v>2025-12-09 17:54:37.064</v>
      </c>
      <c r="H1199" t="s">
        <v>21</v>
      </c>
    </row>
    <row r="1200" spans="1:10" x14ac:dyDescent="0.25">
      <c r="A1200" s="1">
        <v>222</v>
      </c>
      <c r="B1200" t="s">
        <v>19</v>
      </c>
      <c r="C1200">
        <v>706</v>
      </c>
      <c r="D1200">
        <v>2</v>
      </c>
      <c r="E1200" t="s">
        <v>39</v>
      </c>
      <c r="F1200" t="s">
        <v>48</v>
      </c>
      <c r="G1200" t="str">
        <f>"2025-12-09 16:41:56.033"</f>
        <v>2025-12-09 16:41:56.033</v>
      </c>
      <c r="H1200" t="s">
        <v>21</v>
      </c>
      <c r="I1200">
        <v>0</v>
      </c>
      <c r="J1200" t="s">
        <v>27</v>
      </c>
    </row>
    <row r="1201" spans="1:10" x14ac:dyDescent="0.25">
      <c r="A1201" s="1">
        <v>223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"2025-12-09 15:50:52.063"</f>
        <v>2025-12-09 15:50:52.063</v>
      </c>
      <c r="H1201" t="s">
        <v>21</v>
      </c>
      <c r="I1201">
        <v>0</v>
      </c>
      <c r="J1201" t="s">
        <v>22</v>
      </c>
    </row>
    <row r="1202" spans="1:10" x14ac:dyDescent="0.25">
      <c r="A1202" s="1">
        <v>224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"2025-12-09 15:45:20.047"</f>
        <v>2025-12-09 15:45:20.047</v>
      </c>
      <c r="H1202" t="s">
        <v>21</v>
      </c>
      <c r="I1202">
        <v>0</v>
      </c>
      <c r="J1202" t="s">
        <v>22</v>
      </c>
    </row>
    <row r="1203" spans="1:10" x14ac:dyDescent="0.25">
      <c r="A1203" s="1">
        <v>225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"2025-12-09 15:06:36.050"</f>
        <v>2025-12-09 15:06:36.050</v>
      </c>
      <c r="H1203" t="s">
        <v>21</v>
      </c>
    </row>
    <row r="1204" spans="1:10" x14ac:dyDescent="0.25">
      <c r="A1204" s="1">
        <v>226</v>
      </c>
      <c r="B1204" t="s">
        <v>19</v>
      </c>
      <c r="C1204">
        <v>706</v>
      </c>
      <c r="D1204">
        <v>2</v>
      </c>
      <c r="E1204" t="s">
        <v>39</v>
      </c>
      <c r="F1204" t="s">
        <v>48</v>
      </c>
      <c r="G1204" t="str">
        <f>"2025-12-09 14:17:26.739"</f>
        <v>2025-12-09 14:17:26.739</v>
      </c>
      <c r="H1204" t="s">
        <v>21</v>
      </c>
      <c r="I1204">
        <v>0</v>
      </c>
      <c r="J1204" t="s">
        <v>27</v>
      </c>
    </row>
    <row r="1205" spans="1:10" x14ac:dyDescent="0.25">
      <c r="A1205" s="1">
        <v>227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"2025-12-09 14:10:36.039"</f>
        <v>2025-12-09 14:10:36.039</v>
      </c>
      <c r="H1205" t="s">
        <v>21</v>
      </c>
    </row>
    <row r="1206" spans="1:10" x14ac:dyDescent="0.25">
      <c r="A1206" s="1">
        <v>228</v>
      </c>
      <c r="B1206" t="s">
        <v>19</v>
      </c>
      <c r="C1206">
        <v>706</v>
      </c>
      <c r="D1206">
        <v>2</v>
      </c>
      <c r="E1206" t="s">
        <v>39</v>
      </c>
      <c r="F1206" t="s">
        <v>48</v>
      </c>
      <c r="G1206" t="str">
        <f>"2025-12-09 10:41:01.719"</f>
        <v>2025-12-09 10:41:01.719</v>
      </c>
      <c r="H1206" t="s">
        <v>21</v>
      </c>
      <c r="I1206">
        <v>0</v>
      </c>
      <c r="J1206" t="s">
        <v>27</v>
      </c>
    </row>
    <row r="1207" spans="1:10" x14ac:dyDescent="0.25">
      <c r="A1207" s="1">
        <v>229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"2025-12-09 10:39:07.039"</f>
        <v>2025-12-09 10:39:07.039</v>
      </c>
      <c r="H1207" t="s">
        <v>21</v>
      </c>
      <c r="I1207">
        <v>0</v>
      </c>
      <c r="J1207" t="s">
        <v>22</v>
      </c>
    </row>
    <row r="1208" spans="1:10" x14ac:dyDescent="0.25">
      <c r="A1208" s="1">
        <v>230</v>
      </c>
      <c r="B1208" t="s">
        <v>19</v>
      </c>
      <c r="C1208">
        <v>706</v>
      </c>
      <c r="D1208">
        <v>4</v>
      </c>
      <c r="E1208" t="s">
        <v>39</v>
      </c>
      <c r="F1208" t="s">
        <v>40</v>
      </c>
      <c r="G1208" t="str">
        <f>"2025-12-08 15:52:19.070"</f>
        <v>2025-12-08 15:52:19.070</v>
      </c>
      <c r="H1208" t="s">
        <v>21</v>
      </c>
      <c r="I1208">
        <v>0</v>
      </c>
      <c r="J1208" t="s">
        <v>27</v>
      </c>
    </row>
    <row r="1209" spans="1:10" x14ac:dyDescent="0.25">
      <c r="A1209" s="1">
        <v>231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"2025-12-08 15:50:55.020"</f>
        <v>2025-12-08 15:50:55.020</v>
      </c>
      <c r="H1209" t="s">
        <v>21</v>
      </c>
      <c r="I1209">
        <v>0</v>
      </c>
      <c r="J1209" t="s">
        <v>22</v>
      </c>
    </row>
    <row r="1210" spans="1:10" x14ac:dyDescent="0.25">
      <c r="A1210" s="1">
        <v>232</v>
      </c>
      <c r="B1210" t="s">
        <v>28</v>
      </c>
      <c r="C1210">
        <v>98</v>
      </c>
      <c r="D1210">
        <v>1</v>
      </c>
      <c r="E1210" t="s">
        <v>41</v>
      </c>
      <c r="F1210" t="s">
        <v>42</v>
      </c>
      <c r="G1210" t="str">
        <f>"2025-12-08 15:24:16.207"</f>
        <v>2025-12-08 15:24:16.207</v>
      </c>
      <c r="H1210" t="s">
        <v>21</v>
      </c>
    </row>
    <row r="1211" spans="1:10" x14ac:dyDescent="0.25">
      <c r="A1211" s="1">
        <v>233</v>
      </c>
      <c r="B1211" t="s">
        <v>31</v>
      </c>
      <c r="C1211">
        <v>98</v>
      </c>
      <c r="D1211">
        <v>1</v>
      </c>
      <c r="E1211" t="s">
        <v>41</v>
      </c>
      <c r="F1211" t="s">
        <v>42</v>
      </c>
      <c r="G1211" t="str">
        <f>"2025-12-08 15:24:15.208"</f>
        <v>2025-12-08 15:24:15.208</v>
      </c>
      <c r="H1211" t="s">
        <v>21</v>
      </c>
      <c r="I1211">
        <v>0</v>
      </c>
      <c r="J1211" t="s">
        <v>27</v>
      </c>
    </row>
    <row r="1212" spans="1:10" x14ac:dyDescent="0.25">
      <c r="A1212" s="1">
        <v>234</v>
      </c>
      <c r="B1212" t="s">
        <v>28</v>
      </c>
      <c r="C1212">
        <v>98</v>
      </c>
      <c r="D1212">
        <v>1</v>
      </c>
      <c r="E1212" t="s">
        <v>41</v>
      </c>
      <c r="F1212" t="s">
        <v>42</v>
      </c>
      <c r="G1212" t="str">
        <f>"2025-12-08 15:22:52.207"</f>
        <v>2025-12-08 15:22:52.207</v>
      </c>
      <c r="H1212" t="s">
        <v>21</v>
      </c>
    </row>
    <row r="1213" spans="1:10" x14ac:dyDescent="0.25">
      <c r="A1213" s="1">
        <v>235</v>
      </c>
      <c r="B1213" t="s">
        <v>31</v>
      </c>
      <c r="C1213">
        <v>98</v>
      </c>
      <c r="D1213">
        <v>1</v>
      </c>
      <c r="E1213" t="s">
        <v>41</v>
      </c>
      <c r="F1213" t="s">
        <v>42</v>
      </c>
      <c r="G1213" t="str">
        <f>"2025-12-08 15:22:51.207"</f>
        <v>2025-12-08 15:22:51.207</v>
      </c>
      <c r="H1213" t="s">
        <v>21</v>
      </c>
      <c r="I1213">
        <v>0</v>
      </c>
      <c r="J1213" t="s">
        <v>27</v>
      </c>
    </row>
    <row r="1214" spans="1:10" x14ac:dyDescent="0.25">
      <c r="A1214" s="1">
        <v>236</v>
      </c>
      <c r="B1214" t="s">
        <v>28</v>
      </c>
      <c r="C1214">
        <v>98</v>
      </c>
      <c r="D1214">
        <v>1</v>
      </c>
      <c r="E1214" t="s">
        <v>41</v>
      </c>
      <c r="F1214" t="s">
        <v>42</v>
      </c>
      <c r="G1214" t="str">
        <f>"2025-12-08 15:21:19.058"</f>
        <v>2025-12-08 15:21:19.058</v>
      </c>
      <c r="H1214" t="s">
        <v>21</v>
      </c>
    </row>
    <row r="1215" spans="1:10" x14ac:dyDescent="0.25">
      <c r="A1215" s="1">
        <v>237</v>
      </c>
      <c r="B1215" t="s">
        <v>31</v>
      </c>
      <c r="C1215">
        <v>98</v>
      </c>
      <c r="D1215">
        <v>1</v>
      </c>
      <c r="E1215" t="s">
        <v>41</v>
      </c>
      <c r="F1215" t="s">
        <v>42</v>
      </c>
      <c r="G1215" t="str">
        <f>"2025-12-08 15:21:18.058"</f>
        <v>2025-12-08 15:21:18.058</v>
      </c>
      <c r="H1215" t="s">
        <v>21</v>
      </c>
      <c r="I1215">
        <v>0</v>
      </c>
      <c r="J1215" t="s">
        <v>27</v>
      </c>
    </row>
    <row r="1216" spans="1:10" x14ac:dyDescent="0.25">
      <c r="A1216" s="1">
        <v>238</v>
      </c>
      <c r="B1216" t="s">
        <v>28</v>
      </c>
      <c r="C1216">
        <v>98</v>
      </c>
      <c r="D1216">
        <v>1</v>
      </c>
      <c r="E1216" t="s">
        <v>41</v>
      </c>
      <c r="F1216" t="s">
        <v>42</v>
      </c>
      <c r="G1216" t="str">
        <f>"2025-12-08 15:21:17.257"</f>
        <v>2025-12-08 15:21:17.257</v>
      </c>
      <c r="H1216" t="s">
        <v>21</v>
      </c>
    </row>
    <row r="1217" spans="1:10" x14ac:dyDescent="0.25">
      <c r="A1217" s="1">
        <v>239</v>
      </c>
      <c r="B1217" t="s">
        <v>31</v>
      </c>
      <c r="C1217">
        <v>98</v>
      </c>
      <c r="D1217">
        <v>1</v>
      </c>
      <c r="E1217" t="s">
        <v>41</v>
      </c>
      <c r="F1217" t="s">
        <v>42</v>
      </c>
      <c r="G1217" t="str">
        <f>"2025-12-08 15:21:16.257"</f>
        <v>2025-12-08 15:21:16.257</v>
      </c>
      <c r="H1217" t="s">
        <v>21</v>
      </c>
      <c r="I1217">
        <v>0</v>
      </c>
      <c r="J1217" t="s">
        <v>27</v>
      </c>
    </row>
    <row r="1218" spans="1:10" x14ac:dyDescent="0.25">
      <c r="A1218" s="1">
        <v>240</v>
      </c>
      <c r="B1218" t="s">
        <v>28</v>
      </c>
      <c r="C1218">
        <v>98</v>
      </c>
      <c r="D1218">
        <v>1</v>
      </c>
      <c r="E1218" t="s">
        <v>41</v>
      </c>
      <c r="F1218" t="s">
        <v>42</v>
      </c>
      <c r="G1218" t="str">
        <f>"2025-12-08 15:21:16.057"</f>
        <v>2025-12-08 15:21:16.057</v>
      </c>
      <c r="H1218" t="s">
        <v>21</v>
      </c>
    </row>
    <row r="1219" spans="1:10" x14ac:dyDescent="0.25">
      <c r="A1219" s="1">
        <v>241</v>
      </c>
      <c r="B1219" t="s">
        <v>31</v>
      </c>
      <c r="C1219">
        <v>98</v>
      </c>
      <c r="D1219">
        <v>1</v>
      </c>
      <c r="E1219" t="s">
        <v>41</v>
      </c>
      <c r="F1219" t="s">
        <v>42</v>
      </c>
      <c r="G1219" t="str">
        <f>"2025-12-08 15:21:15.057"</f>
        <v>2025-12-08 15:21:15.057</v>
      </c>
      <c r="H1219" t="s">
        <v>21</v>
      </c>
      <c r="I1219">
        <v>0</v>
      </c>
      <c r="J1219" t="s">
        <v>27</v>
      </c>
    </row>
    <row r="1220" spans="1:10" x14ac:dyDescent="0.25">
      <c r="A1220" s="1">
        <v>242</v>
      </c>
      <c r="B1220" t="s">
        <v>28</v>
      </c>
      <c r="C1220">
        <v>98</v>
      </c>
      <c r="D1220">
        <v>1</v>
      </c>
      <c r="E1220" t="s">
        <v>41</v>
      </c>
      <c r="F1220" t="s">
        <v>42</v>
      </c>
      <c r="G1220" t="str">
        <f>"2025-12-08 15:18:07.657"</f>
        <v>2025-12-08 15:18:07.657</v>
      </c>
      <c r="H1220" t="s">
        <v>21</v>
      </c>
    </row>
    <row r="1221" spans="1:10" x14ac:dyDescent="0.25">
      <c r="A1221" s="1">
        <v>243</v>
      </c>
      <c r="B1221" t="s">
        <v>31</v>
      </c>
      <c r="C1221">
        <v>98</v>
      </c>
      <c r="D1221">
        <v>1</v>
      </c>
      <c r="E1221" t="s">
        <v>41</v>
      </c>
      <c r="F1221" t="s">
        <v>42</v>
      </c>
      <c r="G1221" t="str">
        <f>"2025-12-08 15:18:06.658"</f>
        <v>2025-12-08 15:18:06.658</v>
      </c>
      <c r="H1221" t="s">
        <v>21</v>
      </c>
      <c r="I1221">
        <v>0</v>
      </c>
      <c r="J1221" t="s">
        <v>27</v>
      </c>
    </row>
    <row r="1222" spans="1:10" x14ac:dyDescent="0.25">
      <c r="A1222" s="1">
        <v>246</v>
      </c>
      <c r="B1222" t="s">
        <v>19</v>
      </c>
      <c r="C1222">
        <v>782</v>
      </c>
      <c r="D1222">
        <v>7</v>
      </c>
      <c r="E1222" t="s">
        <v>58</v>
      </c>
      <c r="F1222" t="s">
        <v>59</v>
      </c>
      <c r="G1222" t="str">
        <f>"2025-12-08 15:10:46.010"</f>
        <v>2025-12-08 15:10:46.010</v>
      </c>
      <c r="H1222" t="s">
        <v>21</v>
      </c>
      <c r="I1222">
        <v>0</v>
      </c>
      <c r="J1222" t="s">
        <v>27</v>
      </c>
    </row>
    <row r="1223" spans="1:10" x14ac:dyDescent="0.25">
      <c r="A1223" s="1">
        <v>249</v>
      </c>
      <c r="B1223" t="s">
        <v>28</v>
      </c>
      <c r="C1223">
        <v>12</v>
      </c>
      <c r="D1223">
        <v>2</v>
      </c>
      <c r="E1223" t="s">
        <v>60</v>
      </c>
      <c r="F1223" t="s">
        <v>61</v>
      </c>
      <c r="G1223" t="str">
        <f>"2025-12-08 15:10:46.006"</f>
        <v>2025-12-08 15:10:46.006</v>
      </c>
      <c r="H1223" t="s">
        <v>21</v>
      </c>
    </row>
    <row r="1224" spans="1:10" x14ac:dyDescent="0.25">
      <c r="A1224" s="1">
        <v>250</v>
      </c>
      <c r="B1224" t="s">
        <v>28</v>
      </c>
      <c r="C1224">
        <v>12</v>
      </c>
      <c r="D1224">
        <v>1</v>
      </c>
      <c r="E1224" t="s">
        <v>60</v>
      </c>
      <c r="F1224" t="s">
        <v>62</v>
      </c>
      <c r="G1224" t="str">
        <f>"2025-12-08 15:10:46.005"</f>
        <v>2025-12-08 15:10:46.005</v>
      </c>
      <c r="H1224" t="s">
        <v>21</v>
      </c>
    </row>
    <row r="1225" spans="1:10" x14ac:dyDescent="0.25">
      <c r="A1225" s="1">
        <v>251</v>
      </c>
      <c r="B1225" t="s">
        <v>19</v>
      </c>
      <c r="C1225">
        <v>782</v>
      </c>
      <c r="D1225">
        <v>7</v>
      </c>
      <c r="E1225" t="s">
        <v>58</v>
      </c>
      <c r="F1225" t="s">
        <v>59</v>
      </c>
      <c r="G1225" t="str">
        <f>"2025-12-08 15:10:46.004"</f>
        <v>2025-12-08 15:10:46.004</v>
      </c>
      <c r="H1225" t="s">
        <v>21</v>
      </c>
      <c r="I1225">
        <v>0</v>
      </c>
      <c r="J1225" t="s">
        <v>27</v>
      </c>
    </row>
    <row r="1226" spans="1:10" x14ac:dyDescent="0.25">
      <c r="A1226" s="1">
        <v>252</v>
      </c>
      <c r="B1226" t="s">
        <v>28</v>
      </c>
      <c r="C1226">
        <v>650</v>
      </c>
      <c r="D1226">
        <v>4</v>
      </c>
      <c r="E1226" t="s">
        <v>63</v>
      </c>
      <c r="F1226" t="s">
        <v>64</v>
      </c>
      <c r="G1226" t="str">
        <f>"2025-12-08 15:10:18.758"</f>
        <v>2025-12-08 15:10:18.758</v>
      </c>
      <c r="H1226" t="s">
        <v>21</v>
      </c>
    </row>
    <row r="1227" spans="1:10" x14ac:dyDescent="0.25">
      <c r="A1227" s="1">
        <v>253</v>
      </c>
      <c r="B1227" t="s">
        <v>28</v>
      </c>
      <c r="C1227">
        <v>704</v>
      </c>
      <c r="D1227">
        <v>1</v>
      </c>
      <c r="E1227" t="s">
        <v>65</v>
      </c>
      <c r="F1227" t="s">
        <v>30</v>
      </c>
      <c r="G1227" t="str">
        <f>"2025-12-08 15:09:43.178"</f>
        <v>2025-12-08 15:09:43.178</v>
      </c>
      <c r="H1227" t="s">
        <v>21</v>
      </c>
    </row>
    <row r="1228" spans="1:10" x14ac:dyDescent="0.25">
      <c r="A1228" s="1">
        <v>254</v>
      </c>
      <c r="B1228" t="s">
        <v>19</v>
      </c>
      <c r="C1228">
        <v>719</v>
      </c>
      <c r="D1228">
        <v>5</v>
      </c>
      <c r="E1228" t="s">
        <v>66</v>
      </c>
      <c r="F1228" t="s">
        <v>67</v>
      </c>
      <c r="G1228" t="str">
        <f>"2025-12-08 15:09:40.337"</f>
        <v>2025-12-08 15:09:40.337</v>
      </c>
      <c r="H1228" t="s">
        <v>21</v>
      </c>
      <c r="I1228">
        <v>0</v>
      </c>
      <c r="J1228" t="s">
        <v>27</v>
      </c>
    </row>
    <row r="1229" spans="1:10" x14ac:dyDescent="0.25">
      <c r="A1229" s="1">
        <v>255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"2006-03-28 07:31:09.026"</f>
        <v>2006-03-28 07:31:09.026</v>
      </c>
      <c r="H1229" t="s">
        <v>21</v>
      </c>
      <c r="I1229">
        <v>0</v>
      </c>
      <c r="J1229" t="s">
        <v>22</v>
      </c>
    </row>
    <row r="1230" spans="1:10" x14ac:dyDescent="0.25">
      <c r="A1230" s="1">
        <v>258</v>
      </c>
      <c r="B1230" t="s">
        <v>31</v>
      </c>
      <c r="C1230">
        <v>704</v>
      </c>
      <c r="D1230">
        <v>1</v>
      </c>
      <c r="E1230" t="s">
        <v>65</v>
      </c>
      <c r="F1230" t="s">
        <v>30</v>
      </c>
      <c r="G1230" t="str">
        <f>"2006-03-28 07:25:42.935"</f>
        <v>2006-03-28 07:25:42.935</v>
      </c>
      <c r="H1230" t="s">
        <v>21</v>
      </c>
      <c r="I1230">
        <v>0</v>
      </c>
      <c r="J1230" t="s">
        <v>27</v>
      </c>
    </row>
    <row r="1231" spans="1:10" x14ac:dyDescent="0.25">
      <c r="A1231" s="1">
        <v>259</v>
      </c>
      <c r="B1231" t="s">
        <v>19</v>
      </c>
      <c r="C1231">
        <v>753</v>
      </c>
      <c r="D1231">
        <v>1</v>
      </c>
      <c r="E1231" t="s">
        <v>68</v>
      </c>
      <c r="F1231" t="s">
        <v>69</v>
      </c>
      <c r="G1231" t="str">
        <f>"2006-03-28 07:25:41.502"</f>
        <v>2006-03-28 07:25:41.502</v>
      </c>
      <c r="H1231" t="s">
        <v>21</v>
      </c>
      <c r="I1231">
        <v>0</v>
      </c>
      <c r="J1231" t="s">
        <v>27</v>
      </c>
    </row>
    <row r="1232" spans="1:10" x14ac:dyDescent="0.25">
      <c r="A1232" s="1">
        <v>260</v>
      </c>
      <c r="B1232" t="s">
        <v>23</v>
      </c>
      <c r="C1232">
        <v>641</v>
      </c>
      <c r="D1232">
        <v>1</v>
      </c>
      <c r="E1232" t="s">
        <v>70</v>
      </c>
      <c r="F1232" t="s">
        <v>61</v>
      </c>
      <c r="G1232" t="str">
        <f>"2006-03-28 07:25:35.801"</f>
        <v>2006-03-28 07:25:35.801</v>
      </c>
      <c r="H1232" t="s">
        <v>21</v>
      </c>
      <c r="I1232">
        <v>0</v>
      </c>
      <c r="J1232" t="s">
        <v>27</v>
      </c>
    </row>
    <row r="1233" spans="1:10" x14ac:dyDescent="0.25">
      <c r="A1233" s="1">
        <v>261</v>
      </c>
      <c r="B1233" t="s">
        <v>23</v>
      </c>
      <c r="C1233">
        <v>640</v>
      </c>
      <c r="D1233">
        <v>1</v>
      </c>
      <c r="E1233" t="s">
        <v>71</v>
      </c>
      <c r="F1233" t="s">
        <v>62</v>
      </c>
      <c r="G1233" t="str">
        <f>"2006-03-28 07:25:35.792"</f>
        <v>2006-03-28 07:25:35.792</v>
      </c>
      <c r="H1233" t="s">
        <v>44</v>
      </c>
      <c r="I1233">
        <v>0</v>
      </c>
      <c r="J1233" t="s">
        <v>27</v>
      </c>
    </row>
    <row r="1234" spans="1:10" x14ac:dyDescent="0.25">
      <c r="A1234" s="1">
        <v>262</v>
      </c>
      <c r="B1234" t="s">
        <v>31</v>
      </c>
      <c r="C1234">
        <v>12</v>
      </c>
      <c r="D1234">
        <v>1</v>
      </c>
      <c r="E1234" t="s">
        <v>60</v>
      </c>
      <c r="F1234" t="s">
        <v>62</v>
      </c>
      <c r="G1234" t="str">
        <f>"2006-03-28 07:25:29.653"</f>
        <v>2006-03-28 07:25:29.653</v>
      </c>
      <c r="H1234" t="s">
        <v>21</v>
      </c>
      <c r="I1234">
        <v>0</v>
      </c>
      <c r="J1234" t="s">
        <v>27</v>
      </c>
    </row>
    <row r="1235" spans="1:10" x14ac:dyDescent="0.25">
      <c r="A1235" s="1">
        <v>263</v>
      </c>
      <c r="B1235" t="s">
        <v>31</v>
      </c>
      <c r="C1235">
        <v>12</v>
      </c>
      <c r="D1235">
        <v>2</v>
      </c>
      <c r="E1235" t="s">
        <v>60</v>
      </c>
      <c r="F1235" t="s">
        <v>61</v>
      </c>
      <c r="G1235" t="str">
        <f>"2006-03-28 07:25:29.555"</f>
        <v>2006-03-28 07:25:29.555</v>
      </c>
      <c r="H1235" t="s">
        <v>21</v>
      </c>
      <c r="I1235">
        <v>0</v>
      </c>
      <c r="J1235" t="s">
        <v>27</v>
      </c>
    </row>
    <row r="1236" spans="1:10" x14ac:dyDescent="0.25">
      <c r="A1236" s="1">
        <v>264</v>
      </c>
      <c r="B1236" t="s">
        <v>31</v>
      </c>
      <c r="C1236">
        <v>650</v>
      </c>
      <c r="D1236">
        <v>4</v>
      </c>
      <c r="E1236" t="s">
        <v>63</v>
      </c>
      <c r="F1236" t="s">
        <v>64</v>
      </c>
      <c r="G1236" t="str">
        <f>"2006-03-28 07:25:28.260"</f>
        <v>2006-03-28 07:25:28.260</v>
      </c>
      <c r="H1236" t="s">
        <v>21</v>
      </c>
      <c r="I1236">
        <v>0</v>
      </c>
      <c r="J1236" t="s">
        <v>22</v>
      </c>
    </row>
    <row r="1237" spans="1:10" x14ac:dyDescent="0.25">
      <c r="A1237" s="1">
        <v>265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"2006-03-28 07:25:25.622"</f>
        <v>2006-03-28 07:25:25.622</v>
      </c>
      <c r="H1237" t="s">
        <v>21</v>
      </c>
      <c r="I1237">
        <v>0</v>
      </c>
      <c r="J1237" t="s">
        <v>22</v>
      </c>
    </row>
  </sheetData>
  <autoFilter ref="C1:C1237" xr:uid="{76122E67-93BB-408C-BEC9-CD76F4D5353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ED1634-322B-42F5-87C0-8C5AAA9EC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events_ru_89_20260605-183240 66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2026-06-05T22:27:55Z</dcterms:modified>
</cp:coreProperties>
</file>
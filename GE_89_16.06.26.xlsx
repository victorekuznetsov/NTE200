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0CD1DFF-05FD-4A87-B880-352DD74EA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9_20260616-210538 98" sheetId="2" r:id="rId1"/>
    <sheet name="Лист1" sheetId="1" r:id="rId2"/>
  </sheets>
  <definedNames>
    <definedName name="_xlnm._FilterDatabase" localSheetId="0" hidden="1">'events_ru_89_20260616-210538 98'!$C$1:$C$1333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D067EA-0C4D-4E80-8079-44F1C0AFDBC2}" keepAlive="1" name="Запрос — events_ru_89_20260616-210538 984" description="Соединение с запросом &quot;events_ru_89_20260616-210538 984&quot; в книге." type="5" refreshedVersion="0" background="1">
    <dbPr connection="Provider=Microsoft.Mashup.OleDb.1;Data Source=$Workbook$;Location=&quot;events_ru_89_20260616-210538 984&quot;;Extended Properties=&quot;&quot;" command="SELECT * FROM [events_ru_89_20260616-210538 984]"/>
  </connection>
</connections>
</file>

<file path=xl/sharedStrings.xml><?xml version="1.0" encoding="utf-8"?>
<sst xmlns="http://schemas.openxmlformats.org/spreadsheetml/2006/main" count="6075" uniqueCount="76">
  <si>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</si>
  <si>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</si>
  <si>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</si>
  <si>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</si>
  <si>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</si>
  <si>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</si>
  <si>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</si>
  <si>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</si>
  <si>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</si>
  <si>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</si>
  <si>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</si>
  <si>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</si>
  <si>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</si>
  <si>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</si>
  <si>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</si>
  <si>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</si>
  <si>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</si>
  <si>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</si>
  <si>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</si>
  <si>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</si>
  <si>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</si>
  <si>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</si>
  <si>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</si>
  <si>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</si>
  <si>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</si>
  <si>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</si>
  <si>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</si>
  <si>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Ready</t>
  </si>
  <si>
    <t>Retard</t>
  </si>
  <si>
    <t>Propel</t>
  </si>
  <si>
    <t>Рабочий тормоз на ходу</t>
  </si>
  <si>
    <t>Рабочие тормоза использованы на ходу</t>
  </si>
  <si>
    <t>Система в безопасном режиме</t>
  </si>
  <si>
    <t>Вход в безопасный режим файловой системы - Запуск двигателя</t>
  </si>
  <si>
    <t>Test</t>
  </si>
  <si>
    <t>ARst</t>
  </si>
  <si>
    <t>Начальная загрузка системы не из-за включения питания</t>
  </si>
  <si>
    <t>Быстрый таймер</t>
  </si>
  <si>
    <t xml:space="preserve">Log </t>
  </si>
  <si>
    <t>Вход в безопасный режим файловой системы - Ключ или CPS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</si>
  <si>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</si>
  <si>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</si>
  <si>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</si>
  <si>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Самопроизвольный останов ДВС</t>
  </si>
  <si>
    <t>Unrequested Engine Speed Drop - While Stopped</t>
  </si>
  <si>
    <t>Нет питания</t>
  </si>
  <si>
    <t>Превышении скорости</t>
  </si>
  <si>
    <t>Управление скоростью - превышение</t>
  </si>
  <si>
    <t>Введен безопасный режим файловой системы - Низкий заряд батареи</t>
  </si>
  <si>
    <t>Команда сохранения данных PTU</t>
  </si>
  <si>
    <t>Инициированное водителем сохранение данных</t>
  </si>
  <si>
    <t>Получено предупреждение ДВС</t>
  </si>
  <si>
    <t>Запрет тяги</t>
  </si>
  <si>
    <t>КС движется при перезагрузке системы</t>
  </si>
  <si>
    <t>WRst</t>
  </si>
  <si>
    <t>Rest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</si>
  <si>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</si>
  <si>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</si>
  <si>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</si>
  <si>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</si>
  <si>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</si>
  <si>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</si>
  <si>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</si>
  <si>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</si>
  <si>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</si>
  <si>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</si>
  <si>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</si>
  <si>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</si>
  <si>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</si>
  <si>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RTC не установлены или неисправная батарея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</si>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</sst>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8427-BDFE-4A85-8CCE-3F8D38D9ECB1}">
  <dimension ref="A1:J1333"/>
  <sheetViews>
    <sheetView tabSelected="1" topLeftCell="A7" workbookViewId="0">
      <selection activeCell="F5" sqref="F5"/>
    </sheetView>
  </sheetViews>
  <sheetFormatPr defaultRowHeight="15" x14ac:dyDescent="0.25"/>
  <cols>
    <col min="1" max="1" width="16" bestFit="1" customWidth="1"/>
    <col min="5" max="5" width="31.42578125" customWidth="1"/>
    <col min="6" max="6" width="59.4257812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"2026-06-16 21:05:38.984"</f>
        <v>2026-06-16 21:05:38.984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"2026-06-16 15:05:06.924"</f>
        <v>2026-06-16 15:05:06.924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"2026-06-16 14:00:14.801"</f>
        <v>2026-06-16 14:00:14.801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635</v>
      </c>
      <c r="D12">
        <v>1</v>
      </c>
      <c r="E12" t="s">
        <v>24</v>
      </c>
      <c r="F12" t="s">
        <v>25</v>
      </c>
      <c r="G12" t="str">
        <f>"2026-06-15 22:38:07.357"</f>
        <v>2026-06-15 22:38:07.357</v>
      </c>
      <c r="H12" t="s">
        <v>21</v>
      </c>
    </row>
    <row r="13" spans="1:10" x14ac:dyDescent="0.25">
      <c r="A13" s="1"/>
      <c r="B13" t="s">
        <v>26</v>
      </c>
      <c r="C13">
        <v>635</v>
      </c>
      <c r="D13">
        <v>1</v>
      </c>
      <c r="E13" t="s">
        <v>24</v>
      </c>
      <c r="F13" t="s">
        <v>25</v>
      </c>
      <c r="G13" t="str">
        <f>"2026-06-15 22:33:25.857"</f>
        <v>2026-06-15 22:33:25.857</v>
      </c>
      <c r="H13" t="s">
        <v>21</v>
      </c>
      <c r="I13">
        <v>3.81</v>
      </c>
      <c r="J13" t="s">
        <v>27</v>
      </c>
    </row>
    <row r="14" spans="1:10" x14ac:dyDescent="0.25">
      <c r="A14" s="1"/>
      <c r="B14" t="s">
        <v>23</v>
      </c>
      <c r="C14">
        <v>635</v>
      </c>
      <c r="D14">
        <v>1</v>
      </c>
      <c r="E14" t="s">
        <v>24</v>
      </c>
      <c r="F14" t="s">
        <v>25</v>
      </c>
      <c r="G14" t="str">
        <f>"2026-06-15 05:24:51.857"</f>
        <v>2026-06-15 05:24:51.857</v>
      </c>
      <c r="H14" t="s">
        <v>21</v>
      </c>
    </row>
    <row r="15" spans="1:10" x14ac:dyDescent="0.25">
      <c r="A15" s="1"/>
      <c r="B15" t="s">
        <v>26</v>
      </c>
      <c r="C15">
        <v>635</v>
      </c>
      <c r="D15">
        <v>1</v>
      </c>
      <c r="E15" t="s">
        <v>24</v>
      </c>
      <c r="F15" t="s">
        <v>25</v>
      </c>
      <c r="G15" t="str">
        <f>"2026-06-15 05:21:25.357"</f>
        <v>2026-06-15 05:21:25.357</v>
      </c>
      <c r="H15" t="s">
        <v>21</v>
      </c>
      <c r="I15">
        <v>3.59</v>
      </c>
      <c r="J15" t="s">
        <v>28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24</v>
      </c>
      <c r="F16" t="s">
        <v>25</v>
      </c>
      <c r="G16" t="str">
        <f>"2026-06-14 12:42:02.657"</f>
        <v>2026-06-14 12:42:02.657</v>
      </c>
      <c r="H16" t="s">
        <v>21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24</v>
      </c>
      <c r="F17" t="s">
        <v>25</v>
      </c>
      <c r="G17" t="str">
        <f>"2026-06-14 12:38:58.157"</f>
        <v>2026-06-14 12:38:58.157</v>
      </c>
      <c r="H17" t="s">
        <v>21</v>
      </c>
      <c r="I17">
        <v>5.73</v>
      </c>
      <c r="J17" t="s">
        <v>29</v>
      </c>
    </row>
    <row r="18" spans="1:10" x14ac:dyDescent="0.25">
      <c r="A18" s="1"/>
      <c r="B18" t="s">
        <v>23</v>
      </c>
      <c r="C18">
        <v>635</v>
      </c>
      <c r="D18">
        <v>1</v>
      </c>
      <c r="E18" t="s">
        <v>24</v>
      </c>
      <c r="F18" t="s">
        <v>25</v>
      </c>
      <c r="G18" t="str">
        <f>"2026-06-13 22:09:39.157"</f>
        <v>2026-06-13 22:09:39.157</v>
      </c>
      <c r="H18" t="s">
        <v>21</v>
      </c>
    </row>
    <row r="19" spans="1:10" x14ac:dyDescent="0.25">
      <c r="A19" s="1"/>
      <c r="B19" t="s">
        <v>26</v>
      </c>
      <c r="C19">
        <v>635</v>
      </c>
      <c r="D19">
        <v>1</v>
      </c>
      <c r="E19" t="s">
        <v>24</v>
      </c>
      <c r="F19" t="s">
        <v>25</v>
      </c>
      <c r="G19" t="str">
        <f>"2026-06-13 22:04:02.657"</f>
        <v>2026-06-13 22:04:02.657</v>
      </c>
      <c r="H19" t="s">
        <v>21</v>
      </c>
      <c r="I19">
        <v>3.26</v>
      </c>
      <c r="J19" t="s">
        <v>27</v>
      </c>
    </row>
    <row r="20" spans="1:10" s="3" customFormat="1" x14ac:dyDescent="0.25">
      <c r="A20" s="2">
        <v>0</v>
      </c>
      <c r="B20" s="3" t="s">
        <v>23</v>
      </c>
      <c r="C20" s="3">
        <v>647</v>
      </c>
      <c r="D20" s="3">
        <v>1</v>
      </c>
      <c r="E20" s="3" t="s">
        <v>30</v>
      </c>
      <c r="F20" s="3" t="s">
        <v>31</v>
      </c>
      <c r="G20" s="3" t="str">
        <f>"2026-06-13 17:09:08.358"</f>
        <v>2026-06-13 17:09:08.358</v>
      </c>
      <c r="H20" s="3" t="s">
        <v>21</v>
      </c>
    </row>
    <row r="21" spans="1:10" s="3" customFormat="1" x14ac:dyDescent="0.25">
      <c r="A21" s="2">
        <v>1</v>
      </c>
      <c r="B21" s="3" t="s">
        <v>26</v>
      </c>
      <c r="C21" s="3">
        <v>647</v>
      </c>
      <c r="D21" s="3">
        <v>1</v>
      </c>
      <c r="E21" s="3" t="s">
        <v>30</v>
      </c>
      <c r="F21" s="3" t="s">
        <v>31</v>
      </c>
      <c r="G21" s="3" t="str">
        <f>"2026-06-13 17:09:02.458"</f>
        <v>2026-06-13 17:09:02.458</v>
      </c>
      <c r="H21" s="3" t="s">
        <v>21</v>
      </c>
      <c r="I21" s="3">
        <v>20.87</v>
      </c>
      <c r="J21" s="3" t="s">
        <v>28</v>
      </c>
    </row>
    <row r="22" spans="1:10" s="3" customFormat="1" x14ac:dyDescent="0.25">
      <c r="A22" s="2">
        <v>2</v>
      </c>
      <c r="B22" s="3" t="s">
        <v>23</v>
      </c>
      <c r="C22" s="3">
        <v>647</v>
      </c>
      <c r="D22" s="3">
        <v>1</v>
      </c>
      <c r="E22" s="3" t="s">
        <v>30</v>
      </c>
      <c r="F22" s="3" t="s">
        <v>31</v>
      </c>
      <c r="G22" s="3" t="str">
        <f>"2026-06-13 17:09:00.958"</f>
        <v>2026-06-13 17:09:00.958</v>
      </c>
      <c r="H22" s="3" t="s">
        <v>21</v>
      </c>
    </row>
    <row r="23" spans="1:10" s="3" customFormat="1" x14ac:dyDescent="0.25">
      <c r="A23" s="2">
        <v>3</v>
      </c>
      <c r="B23" s="3" t="s">
        <v>26</v>
      </c>
      <c r="C23" s="3">
        <v>647</v>
      </c>
      <c r="D23" s="3">
        <v>1</v>
      </c>
      <c r="E23" s="3" t="s">
        <v>30</v>
      </c>
      <c r="F23" s="3" t="s">
        <v>31</v>
      </c>
      <c r="G23" s="3" t="str">
        <f>"2026-06-13 17:08:45.458"</f>
        <v>2026-06-13 17:08:45.458</v>
      </c>
      <c r="H23" s="3" t="s">
        <v>21</v>
      </c>
      <c r="I23" s="3">
        <v>18.36</v>
      </c>
      <c r="J23" s="3" t="s">
        <v>28</v>
      </c>
    </row>
    <row r="24" spans="1:10" s="3" customFormat="1" x14ac:dyDescent="0.25">
      <c r="A24" s="2">
        <v>4</v>
      </c>
      <c r="B24" s="3" t="s">
        <v>23</v>
      </c>
      <c r="C24" s="3">
        <v>647</v>
      </c>
      <c r="D24" s="3">
        <v>1</v>
      </c>
      <c r="E24" s="3" t="s">
        <v>30</v>
      </c>
      <c r="F24" s="3" t="s">
        <v>31</v>
      </c>
      <c r="G24" s="3" t="str">
        <f>"2026-06-13 16:59:59.158"</f>
        <v>2026-06-13 16:59:59.158</v>
      </c>
      <c r="H24" s="3" t="s">
        <v>21</v>
      </c>
    </row>
    <row r="25" spans="1:10" s="3" customFormat="1" x14ac:dyDescent="0.25">
      <c r="A25" s="2">
        <v>5</v>
      </c>
      <c r="B25" s="3" t="s">
        <v>26</v>
      </c>
      <c r="C25" s="3">
        <v>647</v>
      </c>
      <c r="D25" s="3">
        <v>1</v>
      </c>
      <c r="E25" s="3" t="s">
        <v>30</v>
      </c>
      <c r="F25" s="3" t="s">
        <v>31</v>
      </c>
      <c r="G25" s="3" t="str">
        <f>"2026-06-13 16:59:57.458"</f>
        <v>2026-06-13 16:59:57.458</v>
      </c>
      <c r="H25" s="3" t="s">
        <v>21</v>
      </c>
      <c r="I25" s="3">
        <v>9.26</v>
      </c>
      <c r="J25" s="3" t="s">
        <v>28</v>
      </c>
    </row>
    <row r="26" spans="1:10" x14ac:dyDescent="0.25">
      <c r="A26" s="1">
        <v>6</v>
      </c>
      <c r="B26" t="s">
        <v>23</v>
      </c>
      <c r="C26">
        <v>635</v>
      </c>
      <c r="D26">
        <v>1</v>
      </c>
      <c r="E26" t="s">
        <v>24</v>
      </c>
      <c r="F26" t="s">
        <v>25</v>
      </c>
      <c r="G26" t="str">
        <f>"2026-06-13 01:56:50.457"</f>
        <v>2026-06-13 01:56:50.457</v>
      </c>
      <c r="H26" t="s">
        <v>21</v>
      </c>
    </row>
    <row r="27" spans="1:10" x14ac:dyDescent="0.25">
      <c r="A27" s="1">
        <v>7</v>
      </c>
      <c r="B27" t="s">
        <v>26</v>
      </c>
      <c r="C27">
        <v>635</v>
      </c>
      <c r="D27">
        <v>1</v>
      </c>
      <c r="E27" t="s">
        <v>24</v>
      </c>
      <c r="F27" t="s">
        <v>25</v>
      </c>
      <c r="G27" t="str">
        <f>"2026-06-13 01:52:41.457"</f>
        <v>2026-06-13 01:52:41.457</v>
      </c>
      <c r="H27" t="s">
        <v>21</v>
      </c>
      <c r="I27">
        <v>0</v>
      </c>
      <c r="J27" t="s">
        <v>27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"2026-06-12 11:21:26.777"</f>
        <v>2026-06-12 11:21:26.777</v>
      </c>
      <c r="H28" t="s">
        <v>21</v>
      </c>
    </row>
    <row r="29" spans="1:10" x14ac:dyDescent="0.25">
      <c r="A29" s="1">
        <v>9</v>
      </c>
      <c r="B29" t="s">
        <v>19</v>
      </c>
      <c r="C29">
        <v>706</v>
      </c>
      <c r="D29">
        <v>2</v>
      </c>
      <c r="E29" t="s">
        <v>32</v>
      </c>
      <c r="F29" t="s">
        <v>33</v>
      </c>
      <c r="G29" t="str">
        <f>"2026-06-12 09:52:06.717"</f>
        <v>2026-06-12 09:52:06.717</v>
      </c>
      <c r="H29" t="s">
        <v>21</v>
      </c>
      <c r="I29">
        <v>0</v>
      </c>
      <c r="J29" t="s">
        <v>34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"2026-06-12 09:45:17.807"</f>
        <v>2026-06-12 09:45:17.807</v>
      </c>
      <c r="H30" t="s">
        <v>21</v>
      </c>
      <c r="I30">
        <v>0</v>
      </c>
      <c r="J30" t="s">
        <v>22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"2026-06-12 09:17:55.041"</f>
        <v>2026-06-12 09:17:55.041</v>
      </c>
      <c r="H31" t="s">
        <v>21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"2026-06-12 09:16:26.024"</f>
        <v>2026-06-12 09:16:26.024</v>
      </c>
      <c r="H32" t="s">
        <v>21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"2026-06-12 08:58:44.780"</f>
        <v>2026-06-12 08:58:44.780</v>
      </c>
      <c r="H33" t="s">
        <v>21</v>
      </c>
      <c r="I33">
        <v>0</v>
      </c>
      <c r="J33" t="s">
        <v>22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"2026-06-12 08:56:07.784"</f>
        <v>2026-06-12 08:56:07.784</v>
      </c>
      <c r="H34" t="s">
        <v>21</v>
      </c>
      <c r="I34">
        <v>0</v>
      </c>
      <c r="J34" t="s">
        <v>22</v>
      </c>
    </row>
    <row r="35" spans="1:10" x14ac:dyDescent="0.25">
      <c r="A35" s="1">
        <v>5</v>
      </c>
      <c r="B35" t="s">
        <v>19</v>
      </c>
      <c r="C35">
        <v>706</v>
      </c>
      <c r="D35">
        <v>2</v>
      </c>
      <c r="E35" t="s">
        <v>32</v>
      </c>
      <c r="F35" t="s">
        <v>33</v>
      </c>
      <c r="G35" t="str">
        <f>"2026-06-12 08:09:44.157"</f>
        <v>2026-06-12 08:09:44.157</v>
      </c>
      <c r="H35" t="s">
        <v>21</v>
      </c>
      <c r="I35">
        <v>0</v>
      </c>
      <c r="J35" t="s">
        <v>34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"2026-06-12 08:07:33.777"</f>
        <v>2026-06-12 08:07:33.777</v>
      </c>
      <c r="H36" t="s">
        <v>21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"2026-06-12 04:00:46.800"</f>
        <v>2026-06-12 04:00:46.800</v>
      </c>
      <c r="H37" t="s">
        <v>21</v>
      </c>
      <c r="I37">
        <v>0</v>
      </c>
      <c r="J37" t="s">
        <v>22</v>
      </c>
    </row>
    <row r="38" spans="1:10" x14ac:dyDescent="0.25">
      <c r="A38" s="1">
        <v>8</v>
      </c>
      <c r="B38" t="s">
        <v>23</v>
      </c>
      <c r="C38">
        <v>635</v>
      </c>
      <c r="D38">
        <v>1</v>
      </c>
      <c r="E38" t="s">
        <v>24</v>
      </c>
      <c r="F38" t="s">
        <v>25</v>
      </c>
      <c r="G38" t="str">
        <f>"2026-06-10 19:58:18.593"</f>
        <v>2026-06-10 19:58:18.593</v>
      </c>
      <c r="H38" t="s">
        <v>21</v>
      </c>
    </row>
    <row r="39" spans="1:10" x14ac:dyDescent="0.25">
      <c r="A39" s="1">
        <v>9</v>
      </c>
      <c r="B39" t="s">
        <v>26</v>
      </c>
      <c r="C39">
        <v>635</v>
      </c>
      <c r="D39">
        <v>1</v>
      </c>
      <c r="E39" t="s">
        <v>24</v>
      </c>
      <c r="F39" t="s">
        <v>25</v>
      </c>
      <c r="G39" t="str">
        <f>"2026-06-10 19:51:32.593"</f>
        <v>2026-06-10 19:51:32.593</v>
      </c>
      <c r="H39" t="s">
        <v>21</v>
      </c>
      <c r="I39">
        <v>2.71</v>
      </c>
      <c r="J39" t="s">
        <v>27</v>
      </c>
    </row>
    <row r="40" spans="1:10" x14ac:dyDescent="0.25">
      <c r="A40" s="1">
        <v>0</v>
      </c>
      <c r="B40" t="s">
        <v>23</v>
      </c>
      <c r="C40">
        <v>635</v>
      </c>
      <c r="D40">
        <v>1</v>
      </c>
      <c r="E40" t="s">
        <v>24</v>
      </c>
      <c r="F40" t="s">
        <v>25</v>
      </c>
      <c r="G40" t="str">
        <f>"2026-06-10 08:20:37.193"</f>
        <v>2026-06-10 08:20:37.193</v>
      </c>
      <c r="H40" t="s">
        <v>21</v>
      </c>
    </row>
    <row r="41" spans="1:10" x14ac:dyDescent="0.25">
      <c r="A41" s="1">
        <v>1</v>
      </c>
      <c r="B41" t="s">
        <v>26</v>
      </c>
      <c r="C41">
        <v>635</v>
      </c>
      <c r="D41">
        <v>1</v>
      </c>
      <c r="E41" t="s">
        <v>24</v>
      </c>
      <c r="F41" t="s">
        <v>25</v>
      </c>
      <c r="G41" t="str">
        <f>"2026-06-10 08:04:38.293"</f>
        <v>2026-06-10 08:04:38.293</v>
      </c>
      <c r="H41" t="s">
        <v>21</v>
      </c>
      <c r="I41">
        <v>6.17</v>
      </c>
      <c r="J41" t="s">
        <v>29</v>
      </c>
    </row>
    <row r="42" spans="1:10" x14ac:dyDescent="0.25">
      <c r="A42" s="1">
        <v>2</v>
      </c>
      <c r="B42" t="s">
        <v>23</v>
      </c>
      <c r="C42">
        <v>635</v>
      </c>
      <c r="D42">
        <v>1</v>
      </c>
      <c r="E42" t="s">
        <v>24</v>
      </c>
      <c r="F42" t="s">
        <v>25</v>
      </c>
      <c r="G42" t="str">
        <f>"2026-06-09 08:26:40.493"</f>
        <v>2026-06-09 08:26:40.493</v>
      </c>
      <c r="H42" t="s">
        <v>21</v>
      </c>
    </row>
    <row r="43" spans="1:10" x14ac:dyDescent="0.25">
      <c r="A43" s="1">
        <v>3</v>
      </c>
      <c r="B43" t="s">
        <v>26</v>
      </c>
      <c r="C43">
        <v>635</v>
      </c>
      <c r="D43">
        <v>1</v>
      </c>
      <c r="E43" t="s">
        <v>24</v>
      </c>
      <c r="F43" t="s">
        <v>25</v>
      </c>
      <c r="G43" t="str">
        <f>"2026-06-09 08:04:35.593"</f>
        <v>2026-06-09 08:04:35.593</v>
      </c>
      <c r="H43" t="s">
        <v>21</v>
      </c>
      <c r="I43">
        <v>8.17</v>
      </c>
      <c r="J43" t="s">
        <v>29</v>
      </c>
    </row>
    <row r="44" spans="1:10" x14ac:dyDescent="0.25">
      <c r="A44" s="1">
        <v>4</v>
      </c>
      <c r="B44" t="s">
        <v>23</v>
      </c>
      <c r="C44">
        <v>635</v>
      </c>
      <c r="D44">
        <v>1</v>
      </c>
      <c r="E44" t="s">
        <v>24</v>
      </c>
      <c r="F44" t="s">
        <v>25</v>
      </c>
      <c r="G44" t="str">
        <f>"2026-06-09 07:54:02.093"</f>
        <v>2026-06-09 07:54:02.093</v>
      </c>
      <c r="H44" t="s">
        <v>21</v>
      </c>
    </row>
    <row r="45" spans="1:10" x14ac:dyDescent="0.25">
      <c r="A45" s="1">
        <v>5</v>
      </c>
      <c r="B45" t="s">
        <v>26</v>
      </c>
      <c r="C45">
        <v>635</v>
      </c>
      <c r="D45">
        <v>1</v>
      </c>
      <c r="E45" t="s">
        <v>24</v>
      </c>
      <c r="F45" t="s">
        <v>25</v>
      </c>
      <c r="G45" t="str">
        <f>"2026-06-09 07:51:05.593"</f>
        <v>2026-06-09 07:51:05.593</v>
      </c>
      <c r="H45" t="s">
        <v>21</v>
      </c>
      <c r="I45">
        <v>7.52</v>
      </c>
      <c r="J45" t="s">
        <v>29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"2026-06-09 05:15:22.816"</f>
        <v>2026-06-09 05:15:22.816</v>
      </c>
      <c r="H46" t="s">
        <v>21</v>
      </c>
      <c r="I46">
        <v>0</v>
      </c>
      <c r="J46" t="s">
        <v>22</v>
      </c>
    </row>
    <row r="47" spans="1:10" x14ac:dyDescent="0.25">
      <c r="A47" s="1">
        <v>7</v>
      </c>
      <c r="B47" t="s">
        <v>23</v>
      </c>
      <c r="C47">
        <v>635</v>
      </c>
      <c r="D47">
        <v>1</v>
      </c>
      <c r="E47" t="s">
        <v>24</v>
      </c>
      <c r="F47" t="s">
        <v>25</v>
      </c>
      <c r="G47" t="str">
        <f>"2026-06-09 03:51:08.466"</f>
        <v>2026-06-09 03:51:08.466</v>
      </c>
      <c r="H47" t="s">
        <v>21</v>
      </c>
    </row>
    <row r="48" spans="1:10" x14ac:dyDescent="0.25">
      <c r="A48" s="1">
        <v>8</v>
      </c>
      <c r="B48" t="s">
        <v>26</v>
      </c>
      <c r="C48">
        <v>635</v>
      </c>
      <c r="D48">
        <v>1</v>
      </c>
      <c r="E48" t="s">
        <v>24</v>
      </c>
      <c r="F48" t="s">
        <v>25</v>
      </c>
      <c r="G48" t="str">
        <f>"2026-06-09 03:48:27.965"</f>
        <v>2026-06-09 03:48:27.965</v>
      </c>
      <c r="H48" t="s">
        <v>21</v>
      </c>
      <c r="I48">
        <v>6.85</v>
      </c>
      <c r="J48" t="s">
        <v>29</v>
      </c>
    </row>
    <row r="49" spans="1:10" x14ac:dyDescent="0.25">
      <c r="A49" s="1">
        <v>9</v>
      </c>
      <c r="B49" t="s">
        <v>35</v>
      </c>
      <c r="C49">
        <v>86</v>
      </c>
      <c r="D49">
        <v>8</v>
      </c>
      <c r="E49" t="s">
        <v>36</v>
      </c>
      <c r="F49" t="s">
        <v>37</v>
      </c>
      <c r="G49" t="str">
        <f>"2026-06-08 23:15:32.546"</f>
        <v>2026-06-08 23:15:32.546</v>
      </c>
      <c r="H49" t="s">
        <v>21</v>
      </c>
    </row>
    <row r="50" spans="1:10" x14ac:dyDescent="0.25">
      <c r="A50" s="1">
        <v>0</v>
      </c>
      <c r="B50" t="s">
        <v>38</v>
      </c>
      <c r="C50">
        <v>86</v>
      </c>
      <c r="D50">
        <v>8</v>
      </c>
      <c r="E50" t="s">
        <v>36</v>
      </c>
      <c r="F50" t="s">
        <v>37</v>
      </c>
      <c r="G50" t="str">
        <f>"2026-06-08 23:15:02.489"</f>
        <v>2026-06-08 23:15:02.489</v>
      </c>
      <c r="H50" t="s">
        <v>21</v>
      </c>
      <c r="I50">
        <v>0</v>
      </c>
      <c r="J50" t="s">
        <v>27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"2026-06-08 23:14:54.888"</f>
        <v>2026-06-08 23:14:54.888</v>
      </c>
      <c r="H51" t="s">
        <v>21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"2026-06-08 13:33:02.779"</f>
        <v>2026-06-08 13:33:02.779</v>
      </c>
      <c r="H52" t="s">
        <v>21</v>
      </c>
      <c r="I52">
        <v>0</v>
      </c>
      <c r="J52" t="s">
        <v>22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"2026-06-08 13:00:38.780"</f>
        <v>2026-06-08 13:00:38.780</v>
      </c>
      <c r="H53" t="s">
        <v>21</v>
      </c>
      <c r="I53">
        <v>0</v>
      </c>
      <c r="J53" t="s">
        <v>22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"2026-06-08 01:15:02.957"</f>
        <v>2026-06-08 01:15:02.957</v>
      </c>
      <c r="H54" t="s">
        <v>21</v>
      </c>
      <c r="I54">
        <v>0</v>
      </c>
      <c r="J54" t="s">
        <v>22</v>
      </c>
    </row>
    <row r="55" spans="1:10" x14ac:dyDescent="0.25">
      <c r="A55" s="1">
        <v>5</v>
      </c>
      <c r="B55" t="s">
        <v>23</v>
      </c>
      <c r="C55">
        <v>635</v>
      </c>
      <c r="D55">
        <v>1</v>
      </c>
      <c r="E55" t="s">
        <v>24</v>
      </c>
      <c r="F55" t="s">
        <v>25</v>
      </c>
      <c r="G55" t="str">
        <f>"2026-06-08 00:51:16.371"</f>
        <v>2026-06-08 00:51:16.371</v>
      </c>
      <c r="H55" t="s">
        <v>21</v>
      </c>
    </row>
    <row r="56" spans="1:10" x14ac:dyDescent="0.25">
      <c r="A56" s="1">
        <v>6</v>
      </c>
      <c r="B56" t="s">
        <v>26</v>
      </c>
      <c r="C56">
        <v>635</v>
      </c>
      <c r="D56">
        <v>1</v>
      </c>
      <c r="E56" t="s">
        <v>24</v>
      </c>
      <c r="F56" t="s">
        <v>25</v>
      </c>
      <c r="G56" t="str">
        <f>"2026-06-08 00:42:36.871"</f>
        <v>2026-06-08 00:42:36.871</v>
      </c>
      <c r="H56" t="s">
        <v>21</v>
      </c>
      <c r="I56">
        <v>3.92</v>
      </c>
      <c r="J56" t="s">
        <v>29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"2026-06-07 20:16:37.769"</f>
        <v>2026-06-07 20:16:37.769</v>
      </c>
      <c r="H57" t="s">
        <v>21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"2026-06-07 20:05:06.766"</f>
        <v>2026-06-07 20:05:06.766</v>
      </c>
      <c r="H58" t="s">
        <v>21</v>
      </c>
      <c r="I58">
        <v>0</v>
      </c>
      <c r="J58" t="s">
        <v>22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"2026-06-07 20:04:06.783"</f>
        <v>2026-06-07 20:04:06.783</v>
      </c>
      <c r="H59" t="s">
        <v>21</v>
      </c>
    </row>
    <row r="60" spans="1:10" x14ac:dyDescent="0.25">
      <c r="A60" s="1">
        <v>0</v>
      </c>
      <c r="B60" t="s">
        <v>19</v>
      </c>
      <c r="C60">
        <v>706</v>
      </c>
      <c r="D60">
        <v>3</v>
      </c>
      <c r="E60" t="s">
        <v>32</v>
      </c>
      <c r="F60" t="s">
        <v>39</v>
      </c>
      <c r="G60" t="str">
        <f>"2026-06-07 19:59:22.242"</f>
        <v>2026-06-07 19:59:22.242</v>
      </c>
      <c r="H60" t="s">
        <v>21</v>
      </c>
      <c r="I60">
        <v>0</v>
      </c>
      <c r="J60" t="s">
        <v>34</v>
      </c>
    </row>
    <row r="61" spans="1:10" x14ac:dyDescent="0.25">
      <c r="A61" s="1">
        <v>1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"2026-06-07 19:58:58.902"</f>
        <v>2026-06-07 19:58:58.902</v>
      </c>
      <c r="H61" t="s">
        <v>21</v>
      </c>
      <c r="I61">
        <v>0</v>
      </c>
      <c r="J61" t="s">
        <v>22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"2026-06-07 19:55:02.767"</f>
        <v>2026-06-07 19:55:02.767</v>
      </c>
      <c r="H62" t="s">
        <v>21</v>
      </c>
      <c r="I62">
        <v>0</v>
      </c>
      <c r="J62" t="s">
        <v>22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"2026-06-07 19:53:55.782"</f>
        <v>2026-06-07 19:53:55.782</v>
      </c>
      <c r="H63" t="s">
        <v>21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"2026-06-07 19:09:57.783"</f>
        <v>2026-06-07 19:09:57.783</v>
      </c>
      <c r="H64" t="s">
        <v>21</v>
      </c>
      <c r="I64">
        <v>0</v>
      </c>
      <c r="J64" t="s">
        <v>22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"2026-06-07 19:02:55.853"</f>
        <v>2026-06-07 19:02:55.853</v>
      </c>
      <c r="H65" t="s">
        <v>21</v>
      </c>
      <c r="I65">
        <v>0</v>
      </c>
      <c r="J65" t="s">
        <v>22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"2026-06-07 17:00:39.917"</f>
        <v>2026-06-07 17:00:39.917</v>
      </c>
      <c r="H66" t="s">
        <v>21</v>
      </c>
      <c r="I66">
        <v>0</v>
      </c>
      <c r="J66" t="s">
        <v>22</v>
      </c>
    </row>
    <row r="67" spans="1:10" x14ac:dyDescent="0.25">
      <c r="A67" s="1">
        <v>7</v>
      </c>
      <c r="B67" t="s">
        <v>19</v>
      </c>
      <c r="C67">
        <v>706</v>
      </c>
      <c r="D67">
        <v>2</v>
      </c>
      <c r="E67" t="s">
        <v>32</v>
      </c>
      <c r="F67" t="s">
        <v>33</v>
      </c>
      <c r="G67" t="str">
        <f>"2026-06-07 16:19:09.114"</f>
        <v>2026-06-07 16:19:09.114</v>
      </c>
      <c r="H67" t="s">
        <v>21</v>
      </c>
      <c r="I67">
        <v>0</v>
      </c>
      <c r="J67" t="s">
        <v>34</v>
      </c>
    </row>
    <row r="68" spans="1:10" x14ac:dyDescent="0.25">
      <c r="A68" s="1">
        <v>8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"2026-06-07 16:18:48.774"</f>
        <v>2026-06-07 16:18:48.774</v>
      </c>
      <c r="H68" t="s">
        <v>21</v>
      </c>
      <c r="I68">
        <v>0</v>
      </c>
      <c r="J68" t="s">
        <v>22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"2026-06-07 15:51:29.780"</f>
        <v>2026-06-07 15:51:29.780</v>
      </c>
      <c r="H69" t="s">
        <v>21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"2026-06-07 15:44:31.872"</f>
        <v>2026-06-07 15:44:31.872</v>
      </c>
      <c r="H70" t="s">
        <v>21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"2026-06-07 15:08:22.835"</f>
        <v>2026-06-07 15:08:22.835</v>
      </c>
      <c r="H71" t="s">
        <v>21</v>
      </c>
      <c r="I71">
        <v>0</v>
      </c>
      <c r="J71" t="s">
        <v>22</v>
      </c>
    </row>
    <row r="72" spans="1:10" x14ac:dyDescent="0.25">
      <c r="A72" s="1">
        <v>2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"2026-06-07 13:45:44.809"</f>
        <v>2026-06-07 13:45:44.809</v>
      </c>
      <c r="H72" t="s">
        <v>21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"2026-06-06 23:59:34.774"</f>
        <v>2026-06-06 23:59:34.774</v>
      </c>
      <c r="H73" t="s">
        <v>21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"2026-06-06 23:56:53.781"</f>
        <v>2026-06-06 23:56:53.781</v>
      </c>
      <c r="H74" t="s">
        <v>21</v>
      </c>
      <c r="I74">
        <v>0</v>
      </c>
      <c r="J74" t="s">
        <v>22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"2026-06-06 23:44:25.773"</f>
        <v>2026-06-06 23:44:25.773</v>
      </c>
      <c r="H75" t="s">
        <v>21</v>
      </c>
      <c r="I75">
        <v>0</v>
      </c>
      <c r="J75" t="s">
        <v>22</v>
      </c>
    </row>
    <row r="76" spans="1:10" x14ac:dyDescent="0.25">
      <c r="A76" s="1">
        <v>6</v>
      </c>
      <c r="B76" t="s">
        <v>23</v>
      </c>
      <c r="C76">
        <v>4</v>
      </c>
      <c r="D76">
        <v>1</v>
      </c>
      <c r="E76" t="s">
        <v>40</v>
      </c>
      <c r="F76" t="s">
        <v>41</v>
      </c>
      <c r="G76" t="str">
        <f>"2026-06-06 23:43:36.688"</f>
        <v>2026-06-06 23:43:36.688</v>
      </c>
      <c r="H76" t="s">
        <v>42</v>
      </c>
    </row>
    <row r="77" spans="1:10" x14ac:dyDescent="0.25">
      <c r="A77" s="1">
        <v>7</v>
      </c>
      <c r="B77" t="s">
        <v>26</v>
      </c>
      <c r="C77">
        <v>4</v>
      </c>
      <c r="D77">
        <v>1</v>
      </c>
      <c r="E77" t="s">
        <v>40</v>
      </c>
      <c r="F77" t="s">
        <v>41</v>
      </c>
      <c r="G77" t="str">
        <f>"2026-06-06 23:43:09.968"</f>
        <v>2026-06-06 23:43:09.968</v>
      </c>
      <c r="H77" t="s">
        <v>42</v>
      </c>
      <c r="I77">
        <v>0</v>
      </c>
      <c r="J77" t="s">
        <v>34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"2026-06-06 22:01:51.917"</f>
        <v>2026-06-06 22:01:51.917</v>
      </c>
      <c r="H78" t="s">
        <v>21</v>
      </c>
      <c r="I78">
        <v>0</v>
      </c>
      <c r="J78" t="s">
        <v>22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"2026-06-06 20:21:05.809"</f>
        <v>2026-06-06 20:21:05.809</v>
      </c>
      <c r="H79" t="s">
        <v>21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"2026-06-06 19:11:36.770"</f>
        <v>2026-06-06 19:11:36.770</v>
      </c>
      <c r="H80" t="s">
        <v>21</v>
      </c>
      <c r="I80">
        <v>0</v>
      </c>
      <c r="J80" t="s">
        <v>22</v>
      </c>
    </row>
    <row r="81" spans="1:10" x14ac:dyDescent="0.25">
      <c r="A81" s="1">
        <v>1</v>
      </c>
      <c r="B81" t="s">
        <v>35</v>
      </c>
      <c r="C81">
        <v>86</v>
      </c>
      <c r="D81">
        <v>8</v>
      </c>
      <c r="E81" t="s">
        <v>36</v>
      </c>
      <c r="F81" t="s">
        <v>37</v>
      </c>
      <c r="G81" t="str">
        <f>"2026-06-06 19:05:25.437"</f>
        <v>2026-06-06 19:05:25.437</v>
      </c>
      <c r="H81" t="s">
        <v>21</v>
      </c>
    </row>
    <row r="82" spans="1:10" x14ac:dyDescent="0.25">
      <c r="A82" s="1">
        <v>2</v>
      </c>
      <c r="B82" t="s">
        <v>38</v>
      </c>
      <c r="C82">
        <v>86</v>
      </c>
      <c r="D82">
        <v>8</v>
      </c>
      <c r="E82" t="s">
        <v>36</v>
      </c>
      <c r="F82" t="s">
        <v>37</v>
      </c>
      <c r="G82" t="str">
        <f>"2026-06-06 19:04:55.383"</f>
        <v>2026-06-06 19:04:55.383</v>
      </c>
      <c r="H82" t="s">
        <v>21</v>
      </c>
      <c r="I82">
        <v>0</v>
      </c>
      <c r="J82" t="s">
        <v>34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"2026-06-06 19:04:47.772"</f>
        <v>2026-06-06 19:04:47.772</v>
      </c>
      <c r="H83" t="s">
        <v>21</v>
      </c>
    </row>
    <row r="84" spans="1:10" x14ac:dyDescent="0.25">
      <c r="A84" s="1">
        <v>4</v>
      </c>
      <c r="B84" t="s">
        <v>35</v>
      </c>
      <c r="C84">
        <v>86</v>
      </c>
      <c r="D84">
        <v>8</v>
      </c>
      <c r="E84" t="s">
        <v>36</v>
      </c>
      <c r="F84" t="s">
        <v>37</v>
      </c>
      <c r="G84" t="str">
        <f>"2026-06-06 18:34:08.445"</f>
        <v>2026-06-06 18:34:08.445</v>
      </c>
      <c r="H84" t="s">
        <v>21</v>
      </c>
    </row>
    <row r="85" spans="1:10" x14ac:dyDescent="0.25">
      <c r="A85" s="1">
        <v>5</v>
      </c>
      <c r="B85" t="s">
        <v>38</v>
      </c>
      <c r="C85">
        <v>86</v>
      </c>
      <c r="D85">
        <v>8</v>
      </c>
      <c r="E85" t="s">
        <v>36</v>
      </c>
      <c r="F85" t="s">
        <v>37</v>
      </c>
      <c r="G85" t="str">
        <f>"2026-06-06 18:33:38.391"</f>
        <v>2026-06-06 18:33:38.391</v>
      </c>
      <c r="H85" t="s">
        <v>21</v>
      </c>
      <c r="I85">
        <v>0</v>
      </c>
      <c r="J85" t="s">
        <v>29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"2026-06-06 18:33:30.770"</f>
        <v>2026-06-06 18:33:30.770</v>
      </c>
      <c r="H86" t="s">
        <v>21</v>
      </c>
      <c r="I86">
        <v>0</v>
      </c>
      <c r="J86" t="s">
        <v>22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"2026-06-06 18:28:37.787"</f>
        <v>2026-06-06 18:28:37.787</v>
      </c>
      <c r="H87" t="s">
        <v>21</v>
      </c>
      <c r="I87">
        <v>0</v>
      </c>
      <c r="J87" t="s">
        <v>22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"2026-06-06 17:15:36.781"</f>
        <v>2026-06-06 17:15:36.781</v>
      </c>
      <c r="H88" t="s">
        <v>21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"2026-06-06 16:40:19.853"</f>
        <v>2026-06-06 16:40:19.853</v>
      </c>
      <c r="H89" t="s">
        <v>21</v>
      </c>
    </row>
    <row r="90" spans="1:10" x14ac:dyDescent="0.25">
      <c r="A90" s="1">
        <v>0</v>
      </c>
      <c r="B90" t="s">
        <v>35</v>
      </c>
      <c r="C90">
        <v>86</v>
      </c>
      <c r="D90">
        <v>8</v>
      </c>
      <c r="E90" t="s">
        <v>36</v>
      </c>
      <c r="F90" t="s">
        <v>37</v>
      </c>
      <c r="G90" t="str">
        <f>"2026-06-06 15:53:07.610"</f>
        <v>2026-06-06 15:53:07.610</v>
      </c>
      <c r="H90" t="s">
        <v>21</v>
      </c>
    </row>
    <row r="91" spans="1:10" x14ac:dyDescent="0.25">
      <c r="A91" s="1">
        <v>1</v>
      </c>
      <c r="B91" t="s">
        <v>38</v>
      </c>
      <c r="C91">
        <v>86</v>
      </c>
      <c r="D91">
        <v>8</v>
      </c>
      <c r="E91" t="s">
        <v>36</v>
      </c>
      <c r="F91" t="s">
        <v>37</v>
      </c>
      <c r="G91" t="str">
        <f>"2026-06-06 15:52:37.550"</f>
        <v>2026-06-06 15:52:37.550</v>
      </c>
      <c r="H91" t="s">
        <v>21</v>
      </c>
      <c r="I91">
        <v>0</v>
      </c>
      <c r="J91" t="s">
        <v>27</v>
      </c>
    </row>
    <row r="92" spans="1:10" x14ac:dyDescent="0.25">
      <c r="A92" s="1">
        <v>2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"2026-06-06 15:52:29.939"</f>
        <v>2026-06-06 15:52:29.939</v>
      </c>
      <c r="H92" t="s">
        <v>21</v>
      </c>
      <c r="I92">
        <v>0</v>
      </c>
      <c r="J92" t="s">
        <v>22</v>
      </c>
    </row>
    <row r="93" spans="1:10" x14ac:dyDescent="0.25">
      <c r="A93" s="1">
        <v>3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"2026-06-06 14:41:15.755"</f>
        <v>2026-06-06 14:41:15.755</v>
      </c>
      <c r="H93" t="s">
        <v>21</v>
      </c>
      <c r="I93">
        <v>0</v>
      </c>
      <c r="J93" t="s">
        <v>22</v>
      </c>
    </row>
    <row r="94" spans="1:10" x14ac:dyDescent="0.25">
      <c r="A94" s="1">
        <v>4</v>
      </c>
      <c r="B94" t="s">
        <v>19</v>
      </c>
      <c r="C94">
        <v>706</v>
      </c>
      <c r="D94">
        <v>3</v>
      </c>
      <c r="E94" t="s">
        <v>32</v>
      </c>
      <c r="F94" t="s">
        <v>39</v>
      </c>
      <c r="G94" t="str">
        <f>"2026-06-06 14:24:57.809"</f>
        <v>2026-06-06 14:24:57.809</v>
      </c>
      <c r="H94" t="s">
        <v>21</v>
      </c>
      <c r="I94">
        <v>0</v>
      </c>
      <c r="J94" t="s">
        <v>34</v>
      </c>
    </row>
    <row r="95" spans="1:10" x14ac:dyDescent="0.25">
      <c r="A95" s="1">
        <v>5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"2026-06-06 13:21:11.779"</f>
        <v>2026-06-06 13:21:11.779</v>
      </c>
      <c r="H95" t="s">
        <v>21</v>
      </c>
      <c r="I95">
        <v>0</v>
      </c>
      <c r="J95" t="s">
        <v>22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"2026-06-06 08:16:02.770"</f>
        <v>2026-06-06 08:16:02.770</v>
      </c>
      <c r="H96" t="s">
        <v>21</v>
      </c>
      <c r="I96">
        <v>0</v>
      </c>
      <c r="J96" t="s">
        <v>22</v>
      </c>
    </row>
    <row r="97" spans="1:10" s="3" customFormat="1" x14ac:dyDescent="0.25">
      <c r="A97" s="2">
        <v>7</v>
      </c>
      <c r="B97" s="3" t="s">
        <v>23</v>
      </c>
      <c r="C97" s="3">
        <v>647</v>
      </c>
      <c r="D97" s="3">
        <v>1</v>
      </c>
      <c r="E97" s="3" t="s">
        <v>30</v>
      </c>
      <c r="F97" s="3" t="s">
        <v>31</v>
      </c>
      <c r="G97" s="3" t="str">
        <f>"2026-06-06 06:13:03.832"</f>
        <v>2026-06-06 06:13:03.832</v>
      </c>
      <c r="H97" s="3" t="s">
        <v>21</v>
      </c>
    </row>
    <row r="98" spans="1:10" s="3" customFormat="1" x14ac:dyDescent="0.25">
      <c r="A98" s="2">
        <v>8</v>
      </c>
      <c r="B98" s="3" t="s">
        <v>26</v>
      </c>
      <c r="C98" s="3">
        <v>647</v>
      </c>
      <c r="D98" s="3">
        <v>1</v>
      </c>
      <c r="E98" s="3" t="s">
        <v>30</v>
      </c>
      <c r="F98" s="3" t="s">
        <v>31</v>
      </c>
      <c r="G98" s="3" t="str">
        <f>"2026-06-06 06:13:01.132"</f>
        <v>2026-06-06 06:13:01.132</v>
      </c>
      <c r="H98" s="3" t="s">
        <v>21</v>
      </c>
      <c r="I98" s="3">
        <v>19.600000000000001</v>
      </c>
      <c r="J98" s="3" t="s">
        <v>28</v>
      </c>
    </row>
    <row r="99" spans="1:10" s="3" customFormat="1" x14ac:dyDescent="0.25">
      <c r="A99" s="2">
        <v>9</v>
      </c>
      <c r="B99" s="3" t="s">
        <v>23</v>
      </c>
      <c r="C99" s="3">
        <v>647</v>
      </c>
      <c r="D99" s="3">
        <v>1</v>
      </c>
      <c r="E99" s="3" t="s">
        <v>30</v>
      </c>
      <c r="F99" s="3" t="s">
        <v>31</v>
      </c>
      <c r="G99" s="3" t="str">
        <f>"2026-06-06 05:16:10.532"</f>
        <v>2026-06-06 05:16:10.532</v>
      </c>
      <c r="H99" s="3" t="s">
        <v>21</v>
      </c>
    </row>
    <row r="100" spans="1:10" s="3" customFormat="1" x14ac:dyDescent="0.25">
      <c r="A100" s="2">
        <v>0</v>
      </c>
      <c r="B100" s="3" t="s">
        <v>26</v>
      </c>
      <c r="C100" s="3">
        <v>647</v>
      </c>
      <c r="D100" s="3">
        <v>1</v>
      </c>
      <c r="E100" s="3" t="s">
        <v>30</v>
      </c>
      <c r="F100" s="3" t="s">
        <v>31</v>
      </c>
      <c r="G100" s="3" t="str">
        <f>"2026-06-06 05:16:08.632"</f>
        <v>2026-06-06 05:16:08.632</v>
      </c>
      <c r="H100" s="3" t="s">
        <v>21</v>
      </c>
      <c r="I100" s="3">
        <v>12.37</v>
      </c>
      <c r="J100" s="3" t="s">
        <v>28</v>
      </c>
    </row>
    <row r="101" spans="1:10" x14ac:dyDescent="0.25">
      <c r="A101" s="1">
        <v>1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"2026-06-05 20:41:46.937"</f>
        <v>2026-06-05 20:41:46.937</v>
      </c>
      <c r="H101" t="s">
        <v>21</v>
      </c>
    </row>
    <row r="102" spans="1:10" x14ac:dyDescent="0.25">
      <c r="A102" s="1">
        <v>2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"2026-06-05 20:28:46.763"</f>
        <v>2026-06-05 20:28:46.763</v>
      </c>
      <c r="H102" t="s">
        <v>21</v>
      </c>
      <c r="I102">
        <v>0</v>
      </c>
      <c r="J102" t="s">
        <v>22</v>
      </c>
    </row>
    <row r="103" spans="1:10" x14ac:dyDescent="0.25">
      <c r="A103" s="1">
        <v>3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"2026-06-05 19:33:33.779"</f>
        <v>2026-06-05 19:33:33.779</v>
      </c>
      <c r="H103" t="s">
        <v>21</v>
      </c>
      <c r="I103">
        <v>0</v>
      </c>
      <c r="J103" t="s">
        <v>22</v>
      </c>
    </row>
    <row r="104" spans="1:10" x14ac:dyDescent="0.25">
      <c r="A104" s="1">
        <v>4</v>
      </c>
      <c r="B104" t="s">
        <v>19</v>
      </c>
      <c r="C104">
        <v>706</v>
      </c>
      <c r="D104">
        <v>2</v>
      </c>
      <c r="E104" t="s">
        <v>32</v>
      </c>
      <c r="F104" t="s">
        <v>33</v>
      </c>
      <c r="G104" t="str">
        <f>"2026-06-05 18:51:13.560"</f>
        <v>2026-06-05 18:51:13.560</v>
      </c>
      <c r="H104" t="s">
        <v>21</v>
      </c>
      <c r="I104">
        <v>0</v>
      </c>
      <c r="J104" t="s">
        <v>34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"2026-06-05 18:49:00.780"</f>
        <v>2026-06-05 18:49:00.780</v>
      </c>
      <c r="H105" t="s">
        <v>21</v>
      </c>
      <c r="I105">
        <v>0</v>
      </c>
      <c r="J105" t="s">
        <v>22</v>
      </c>
    </row>
    <row r="106" spans="1:10" x14ac:dyDescent="0.25">
      <c r="A106" s="1">
        <v>6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"2026-06-05 18:07:02.767"</f>
        <v>2026-06-05 18:07:02.767</v>
      </c>
      <c r="H106" t="s">
        <v>21</v>
      </c>
      <c r="I106">
        <v>0</v>
      </c>
      <c r="J106" t="s">
        <v>22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"2026-06-05 17:28:22.752"</f>
        <v>2026-06-05 17:28:22.752</v>
      </c>
      <c r="H107" t="s">
        <v>21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"2026-06-05 15:08:34.762"</f>
        <v>2026-06-05 15:08:34.762</v>
      </c>
      <c r="H108" t="s">
        <v>21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"2026-06-05 14:53:46.754"</f>
        <v>2026-06-05 14:53:46.754</v>
      </c>
      <c r="H109" t="s">
        <v>21</v>
      </c>
      <c r="I109">
        <v>0</v>
      </c>
      <c r="J109" t="s">
        <v>22</v>
      </c>
    </row>
    <row r="110" spans="1:10" x14ac:dyDescent="0.25">
      <c r="A110" s="1">
        <v>0</v>
      </c>
      <c r="B110" t="s">
        <v>38</v>
      </c>
      <c r="C110">
        <v>47</v>
      </c>
      <c r="D110">
        <v>2</v>
      </c>
      <c r="E110" t="s">
        <v>43</v>
      </c>
      <c r="F110" t="s">
        <v>44</v>
      </c>
      <c r="G110" t="str">
        <f>"2026-06-05 14:50:10.748"</f>
        <v>2026-06-05 14:50:10.748</v>
      </c>
      <c r="H110" t="s">
        <v>45</v>
      </c>
      <c r="I110">
        <v>0</v>
      </c>
      <c r="J110" t="s">
        <v>34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"2026-06-05 14:50:04.846"</f>
        <v>2026-06-05 14:50:04.846</v>
      </c>
      <c r="H111" t="s">
        <v>21</v>
      </c>
      <c r="I111">
        <v>0</v>
      </c>
      <c r="J111" t="s">
        <v>22</v>
      </c>
    </row>
    <row r="112" spans="1:10" x14ac:dyDescent="0.25">
      <c r="A112" s="1">
        <v>2</v>
      </c>
      <c r="B112" t="s">
        <v>23</v>
      </c>
      <c r="C112">
        <v>635</v>
      </c>
      <c r="D112">
        <v>1</v>
      </c>
      <c r="E112" t="s">
        <v>24</v>
      </c>
      <c r="F112" t="s">
        <v>25</v>
      </c>
      <c r="G112" t="str">
        <f>"2026-06-05 14:30:08.285"</f>
        <v>2026-06-05 14:30:08.285</v>
      </c>
      <c r="H112" t="s">
        <v>21</v>
      </c>
    </row>
    <row r="113" spans="1:10" x14ac:dyDescent="0.25">
      <c r="A113" s="1">
        <v>3</v>
      </c>
      <c r="B113" t="s">
        <v>26</v>
      </c>
      <c r="C113">
        <v>635</v>
      </c>
      <c r="D113">
        <v>1</v>
      </c>
      <c r="E113" t="s">
        <v>24</v>
      </c>
      <c r="F113" t="s">
        <v>25</v>
      </c>
      <c r="G113" t="str">
        <f>"2026-06-05 13:58:18.285"</f>
        <v>2026-06-05 13:58:18.285</v>
      </c>
      <c r="H113" t="s">
        <v>21</v>
      </c>
      <c r="I113">
        <v>1.45</v>
      </c>
      <c r="J113" t="s">
        <v>29</v>
      </c>
    </row>
    <row r="114" spans="1:10" x14ac:dyDescent="0.25">
      <c r="A114" s="1">
        <v>4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"2026-06-05 12:44:33.786"</f>
        <v>2026-06-05 12:44:33.786</v>
      </c>
      <c r="H114" t="s">
        <v>21</v>
      </c>
      <c r="I114">
        <v>0</v>
      </c>
      <c r="J114" t="s">
        <v>22</v>
      </c>
    </row>
    <row r="115" spans="1:10" s="3" customFormat="1" x14ac:dyDescent="0.25">
      <c r="A115" s="2">
        <v>5</v>
      </c>
      <c r="B115" s="3" t="s">
        <v>23</v>
      </c>
      <c r="C115" s="3">
        <v>647</v>
      </c>
      <c r="D115" s="3">
        <v>1</v>
      </c>
      <c r="E115" s="3" t="s">
        <v>30</v>
      </c>
      <c r="F115" s="3" t="s">
        <v>31</v>
      </c>
      <c r="G115" s="3" t="str">
        <f>"2026-06-05 02:19:53.337"</f>
        <v>2026-06-05 02:19:53.337</v>
      </c>
      <c r="H115" s="3" t="s">
        <v>21</v>
      </c>
    </row>
    <row r="116" spans="1:10" s="3" customFormat="1" x14ac:dyDescent="0.25">
      <c r="A116" s="2">
        <v>6</v>
      </c>
      <c r="B116" s="3" t="s">
        <v>26</v>
      </c>
      <c r="C116" s="3">
        <v>647</v>
      </c>
      <c r="D116" s="3">
        <v>1</v>
      </c>
      <c r="E116" s="3" t="s">
        <v>30</v>
      </c>
      <c r="F116" s="3" t="s">
        <v>31</v>
      </c>
      <c r="G116" s="3" t="str">
        <f>"2026-06-05 02:19:51.437"</f>
        <v>2026-06-05 02:19:51.437</v>
      </c>
      <c r="H116" s="3" t="s">
        <v>21</v>
      </c>
      <c r="I116" s="3">
        <v>9.07</v>
      </c>
      <c r="J116" s="3" t="s">
        <v>28</v>
      </c>
    </row>
    <row r="117" spans="1:10" x14ac:dyDescent="0.25">
      <c r="A117" s="1">
        <v>8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"2026-06-04 21:15:06.947"</f>
        <v>2026-06-04 21:15:06.947</v>
      </c>
      <c r="H117" t="s">
        <v>21</v>
      </c>
      <c r="I117">
        <v>0</v>
      </c>
      <c r="J117" t="s">
        <v>22</v>
      </c>
    </row>
    <row r="118" spans="1:10" x14ac:dyDescent="0.25">
      <c r="A118" s="1">
        <v>9</v>
      </c>
      <c r="B118" t="s">
        <v>23</v>
      </c>
      <c r="C118">
        <v>635</v>
      </c>
      <c r="D118">
        <v>1</v>
      </c>
      <c r="E118" t="s">
        <v>24</v>
      </c>
      <c r="F118" t="s">
        <v>25</v>
      </c>
      <c r="G118" t="str">
        <f>"2026-06-04 20:03:08.649"</f>
        <v>2026-06-04 20:03:08.649</v>
      </c>
      <c r="H118" t="s">
        <v>21</v>
      </c>
    </row>
    <row r="119" spans="1:10" x14ac:dyDescent="0.25">
      <c r="A119" s="1">
        <v>10</v>
      </c>
      <c r="B119" t="s">
        <v>26</v>
      </c>
      <c r="C119">
        <v>635</v>
      </c>
      <c r="D119">
        <v>1</v>
      </c>
      <c r="E119" t="s">
        <v>24</v>
      </c>
      <c r="F119" t="s">
        <v>25</v>
      </c>
      <c r="G119" t="str">
        <f>"2026-06-04 19:58:49.650"</f>
        <v>2026-06-04 19:58:49.650</v>
      </c>
      <c r="H119" t="s">
        <v>21</v>
      </c>
      <c r="I119">
        <v>3.39</v>
      </c>
      <c r="J119" t="s">
        <v>27</v>
      </c>
    </row>
    <row r="120" spans="1:10" x14ac:dyDescent="0.25">
      <c r="A120" s="1">
        <v>11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"2026-06-04 13:42:26.748"</f>
        <v>2026-06-04 13:42:26.748</v>
      </c>
      <c r="H120" t="s">
        <v>21</v>
      </c>
    </row>
    <row r="121" spans="1:10" x14ac:dyDescent="0.25">
      <c r="A121" s="1">
        <v>12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"2026-06-04 12:57:01.753"</f>
        <v>2026-06-04 12:57:01.753</v>
      </c>
      <c r="H121" t="s">
        <v>21</v>
      </c>
      <c r="I121">
        <v>0</v>
      </c>
      <c r="J121" t="s">
        <v>22</v>
      </c>
    </row>
    <row r="122" spans="1:10" x14ac:dyDescent="0.25">
      <c r="A122" s="1">
        <v>13</v>
      </c>
      <c r="B122" t="s">
        <v>23</v>
      </c>
      <c r="C122">
        <v>635</v>
      </c>
      <c r="D122">
        <v>1</v>
      </c>
      <c r="E122" t="s">
        <v>24</v>
      </c>
      <c r="F122" t="s">
        <v>25</v>
      </c>
      <c r="G122" t="str">
        <f>"2026-06-04 10:22:57.285"</f>
        <v>2026-06-04 10:22:57.285</v>
      </c>
      <c r="H122" t="s">
        <v>21</v>
      </c>
    </row>
    <row r="123" spans="1:10" x14ac:dyDescent="0.25">
      <c r="A123" s="1">
        <v>14</v>
      </c>
      <c r="B123" t="s">
        <v>26</v>
      </c>
      <c r="C123">
        <v>635</v>
      </c>
      <c r="D123">
        <v>1</v>
      </c>
      <c r="E123" t="s">
        <v>24</v>
      </c>
      <c r="F123" t="s">
        <v>25</v>
      </c>
      <c r="G123" t="str">
        <f>"2026-06-04 10:17:45.285"</f>
        <v>2026-06-04 10:17:45.285</v>
      </c>
      <c r="H123" t="s">
        <v>21</v>
      </c>
      <c r="I123">
        <v>-0.12</v>
      </c>
      <c r="J123" t="s">
        <v>29</v>
      </c>
    </row>
    <row r="124" spans="1:10" s="3" customFormat="1" x14ac:dyDescent="0.25">
      <c r="A124" s="2">
        <v>15</v>
      </c>
      <c r="B124" s="3" t="s">
        <v>23</v>
      </c>
      <c r="C124" s="3">
        <v>647</v>
      </c>
      <c r="D124" s="3">
        <v>1</v>
      </c>
      <c r="E124" s="3" t="s">
        <v>30</v>
      </c>
      <c r="F124" s="3" t="s">
        <v>31</v>
      </c>
      <c r="G124" s="3" t="str">
        <f>"2026-06-04 10:05:08.586"</f>
        <v>2026-06-04 10:05:08.586</v>
      </c>
      <c r="H124" s="3" t="s">
        <v>21</v>
      </c>
    </row>
    <row r="125" spans="1:10" s="3" customFormat="1" x14ac:dyDescent="0.25">
      <c r="A125" s="2">
        <v>16</v>
      </c>
      <c r="B125" s="3" t="s">
        <v>26</v>
      </c>
      <c r="C125" s="3">
        <v>647</v>
      </c>
      <c r="D125" s="3">
        <v>1</v>
      </c>
      <c r="E125" s="3" t="s">
        <v>30</v>
      </c>
      <c r="F125" s="3" t="s">
        <v>31</v>
      </c>
      <c r="G125" s="3" t="str">
        <f>"2026-06-04 10:05:06.486"</f>
        <v>2026-06-04 10:05:06.486</v>
      </c>
      <c r="H125" s="3" t="s">
        <v>21</v>
      </c>
      <c r="I125" s="3">
        <v>8.66</v>
      </c>
      <c r="J125" s="3" t="s">
        <v>28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"2026-06-03 18:47:02.785"</f>
        <v>2026-06-03 18:47:02.785</v>
      </c>
      <c r="H126" t="s">
        <v>21</v>
      </c>
      <c r="I126">
        <v>0</v>
      </c>
      <c r="J126" t="s">
        <v>22</v>
      </c>
    </row>
    <row r="127" spans="1:10" x14ac:dyDescent="0.25">
      <c r="A127" s="1">
        <v>18</v>
      </c>
      <c r="B127" t="s">
        <v>23</v>
      </c>
      <c r="C127">
        <v>635</v>
      </c>
      <c r="D127">
        <v>1</v>
      </c>
      <c r="E127" t="s">
        <v>24</v>
      </c>
      <c r="F127" t="s">
        <v>25</v>
      </c>
      <c r="G127" t="str">
        <f>"2026-06-03 15:28:00.067"</f>
        <v>2026-06-03 15:28:00.067</v>
      </c>
      <c r="H127" t="s">
        <v>21</v>
      </c>
    </row>
    <row r="128" spans="1:10" x14ac:dyDescent="0.25">
      <c r="A128" s="1">
        <v>19</v>
      </c>
      <c r="B128" t="s">
        <v>26</v>
      </c>
      <c r="C128">
        <v>635</v>
      </c>
      <c r="D128">
        <v>1</v>
      </c>
      <c r="E128" t="s">
        <v>24</v>
      </c>
      <c r="F128" t="s">
        <v>25</v>
      </c>
      <c r="G128" t="str">
        <f>"2026-06-03 15:00:44.167"</f>
        <v>2026-06-03 15:00:44.167</v>
      </c>
      <c r="H128" t="s">
        <v>21</v>
      </c>
      <c r="I128">
        <v>4.16</v>
      </c>
      <c r="J128" t="s">
        <v>29</v>
      </c>
    </row>
    <row r="129" spans="1:10" s="3" customFormat="1" x14ac:dyDescent="0.25">
      <c r="A129" s="2">
        <v>20</v>
      </c>
      <c r="B129" s="3" t="s">
        <v>23</v>
      </c>
      <c r="C129" s="3">
        <v>647</v>
      </c>
      <c r="D129" s="3">
        <v>1</v>
      </c>
      <c r="E129" s="3" t="s">
        <v>30</v>
      </c>
      <c r="F129" s="3" t="s">
        <v>31</v>
      </c>
      <c r="G129" s="3" t="str">
        <f>"2026-06-03 13:25:30.567"</f>
        <v>2026-06-03 13:25:30.567</v>
      </c>
      <c r="H129" s="3" t="s">
        <v>21</v>
      </c>
    </row>
    <row r="130" spans="1:10" s="3" customFormat="1" x14ac:dyDescent="0.25">
      <c r="A130" s="2">
        <v>21</v>
      </c>
      <c r="B130" s="3" t="s">
        <v>26</v>
      </c>
      <c r="C130" s="3">
        <v>647</v>
      </c>
      <c r="D130" s="3">
        <v>1</v>
      </c>
      <c r="E130" s="3" t="s">
        <v>30</v>
      </c>
      <c r="F130" s="3" t="s">
        <v>31</v>
      </c>
      <c r="G130" s="3" t="str">
        <f>"2026-06-03 13:25:28.468"</f>
        <v>2026-06-03 13:25:28.468</v>
      </c>
      <c r="H130" s="3" t="s">
        <v>21</v>
      </c>
      <c r="I130" s="3">
        <v>19.96</v>
      </c>
      <c r="J130" s="3" t="s">
        <v>28</v>
      </c>
    </row>
    <row r="131" spans="1:10" x14ac:dyDescent="0.25">
      <c r="A131" s="1">
        <v>22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"2026-06-03 12:47:12.754"</f>
        <v>2026-06-03 12:47:12.754</v>
      </c>
      <c r="H131" t="s">
        <v>21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"2026-06-03 10:47:52.750"</f>
        <v>2026-06-03 10:47:52.750</v>
      </c>
      <c r="H132" t="s">
        <v>21</v>
      </c>
      <c r="I132">
        <v>0</v>
      </c>
      <c r="J132" t="s">
        <v>22</v>
      </c>
    </row>
    <row r="133" spans="1:10" x14ac:dyDescent="0.25">
      <c r="A133" s="1">
        <v>24</v>
      </c>
      <c r="B133" t="s">
        <v>23</v>
      </c>
      <c r="C133">
        <v>635</v>
      </c>
      <c r="D133">
        <v>1</v>
      </c>
      <c r="E133" t="s">
        <v>24</v>
      </c>
      <c r="F133" t="s">
        <v>25</v>
      </c>
      <c r="G133" t="str">
        <f>"2026-06-03 09:58:26.256"</f>
        <v>2026-06-03 09:58:26.256</v>
      </c>
      <c r="H133" t="s">
        <v>21</v>
      </c>
    </row>
    <row r="134" spans="1:10" x14ac:dyDescent="0.25">
      <c r="A134" s="1">
        <v>25</v>
      </c>
      <c r="B134" t="s">
        <v>26</v>
      </c>
      <c r="C134">
        <v>635</v>
      </c>
      <c r="D134">
        <v>1</v>
      </c>
      <c r="E134" t="s">
        <v>24</v>
      </c>
      <c r="F134" t="s">
        <v>25</v>
      </c>
      <c r="G134" t="str">
        <f>"2026-06-03 09:54:58.756"</f>
        <v>2026-06-03 09:54:58.756</v>
      </c>
      <c r="H134" t="s">
        <v>21</v>
      </c>
      <c r="I134">
        <v>0.28999999999999998</v>
      </c>
      <c r="J134" t="s">
        <v>29</v>
      </c>
    </row>
    <row r="135" spans="1:10" s="3" customFormat="1" x14ac:dyDescent="0.25">
      <c r="A135" s="2">
        <v>26</v>
      </c>
      <c r="B135" s="3" t="s">
        <v>23</v>
      </c>
      <c r="C135" s="3">
        <v>647</v>
      </c>
      <c r="D135" s="3">
        <v>1</v>
      </c>
      <c r="E135" s="3" t="s">
        <v>30</v>
      </c>
      <c r="F135" s="3" t="s">
        <v>31</v>
      </c>
      <c r="G135" s="3" t="str">
        <f>"2026-06-03 09:00:12.056"</f>
        <v>2026-06-03 09:00:12.056</v>
      </c>
      <c r="H135" s="3" t="s">
        <v>21</v>
      </c>
    </row>
    <row r="136" spans="1:10" s="3" customFormat="1" x14ac:dyDescent="0.25">
      <c r="A136" s="2">
        <v>27</v>
      </c>
      <c r="B136" s="3" t="s">
        <v>26</v>
      </c>
      <c r="C136" s="3">
        <v>647</v>
      </c>
      <c r="D136" s="3">
        <v>1</v>
      </c>
      <c r="E136" s="3" t="s">
        <v>30</v>
      </c>
      <c r="F136" s="3" t="s">
        <v>31</v>
      </c>
      <c r="G136" s="3" t="str">
        <f>"2026-06-03 09:00:05.356"</f>
        <v>2026-06-03 09:00:05.356</v>
      </c>
      <c r="H136" s="3" t="s">
        <v>21</v>
      </c>
      <c r="I136" s="3">
        <v>19.309999999999999</v>
      </c>
      <c r="J136" s="3" t="s">
        <v>28</v>
      </c>
    </row>
    <row r="137" spans="1:10" x14ac:dyDescent="0.25">
      <c r="A137" s="1">
        <v>28</v>
      </c>
      <c r="B137" t="s">
        <v>23</v>
      </c>
      <c r="C137">
        <v>635</v>
      </c>
      <c r="D137">
        <v>1</v>
      </c>
      <c r="E137" t="s">
        <v>24</v>
      </c>
      <c r="F137" t="s">
        <v>25</v>
      </c>
      <c r="G137" t="str">
        <f>"2026-06-03 08:18:40.456"</f>
        <v>2026-06-03 08:18:40.456</v>
      </c>
      <c r="H137" t="s">
        <v>21</v>
      </c>
    </row>
    <row r="138" spans="1:10" x14ac:dyDescent="0.25">
      <c r="A138" s="1">
        <v>29</v>
      </c>
      <c r="B138" t="s">
        <v>26</v>
      </c>
      <c r="C138">
        <v>635</v>
      </c>
      <c r="D138">
        <v>1</v>
      </c>
      <c r="E138" t="s">
        <v>24</v>
      </c>
      <c r="F138" t="s">
        <v>25</v>
      </c>
      <c r="G138" t="str">
        <f>"2026-06-03 07:58:08.456"</f>
        <v>2026-06-03 07:58:08.456</v>
      </c>
      <c r="H138" t="s">
        <v>21</v>
      </c>
      <c r="I138">
        <v>5.97</v>
      </c>
      <c r="J138" t="s">
        <v>29</v>
      </c>
    </row>
    <row r="139" spans="1:10" x14ac:dyDescent="0.25">
      <c r="A139" s="1">
        <v>30</v>
      </c>
      <c r="B139" t="s">
        <v>23</v>
      </c>
      <c r="C139">
        <v>635</v>
      </c>
      <c r="D139">
        <v>1</v>
      </c>
      <c r="E139" t="s">
        <v>24</v>
      </c>
      <c r="F139" t="s">
        <v>25</v>
      </c>
      <c r="G139" t="str">
        <f>"2026-06-03 02:57:22.656"</f>
        <v>2026-06-03 02:57:22.656</v>
      </c>
      <c r="H139" t="s">
        <v>21</v>
      </c>
    </row>
    <row r="140" spans="1:10" x14ac:dyDescent="0.25">
      <c r="A140" s="1">
        <v>31</v>
      </c>
      <c r="B140" t="s">
        <v>26</v>
      </c>
      <c r="C140">
        <v>635</v>
      </c>
      <c r="D140">
        <v>1</v>
      </c>
      <c r="E140" t="s">
        <v>24</v>
      </c>
      <c r="F140" t="s">
        <v>25</v>
      </c>
      <c r="G140" t="str">
        <f>"2026-06-03 02:52:43.656"</f>
        <v>2026-06-03 02:52:43.656</v>
      </c>
      <c r="H140" t="s">
        <v>21</v>
      </c>
      <c r="I140">
        <v>3.4</v>
      </c>
      <c r="J140" t="s">
        <v>29</v>
      </c>
    </row>
    <row r="141" spans="1:10" x14ac:dyDescent="0.25">
      <c r="A141" s="1">
        <v>32</v>
      </c>
      <c r="B141" t="s">
        <v>23</v>
      </c>
      <c r="C141">
        <v>61</v>
      </c>
      <c r="D141">
        <v>2</v>
      </c>
      <c r="E141" t="s">
        <v>46</v>
      </c>
      <c r="F141" t="s">
        <v>47</v>
      </c>
      <c r="G141" t="str">
        <f>"2026-06-03 01:37:29.368"</f>
        <v>2026-06-03 01:37:29.368</v>
      </c>
      <c r="H141" t="s">
        <v>21</v>
      </c>
    </row>
    <row r="142" spans="1:10" x14ac:dyDescent="0.25">
      <c r="A142" s="1">
        <v>33</v>
      </c>
      <c r="B142" t="s">
        <v>38</v>
      </c>
      <c r="C142">
        <v>61</v>
      </c>
      <c r="D142">
        <v>2</v>
      </c>
      <c r="E142" t="s">
        <v>46</v>
      </c>
      <c r="F142" t="s">
        <v>47</v>
      </c>
      <c r="G142" t="str">
        <f>"2026-06-03 01:37:11.569"</f>
        <v>2026-06-03 01:37:11.569</v>
      </c>
      <c r="H142" t="s">
        <v>21</v>
      </c>
      <c r="I142">
        <v>30.66</v>
      </c>
      <c r="J142" t="s">
        <v>28</v>
      </c>
    </row>
    <row r="143" spans="1:10" x14ac:dyDescent="0.25">
      <c r="A143" s="1">
        <v>34</v>
      </c>
      <c r="B143" t="s">
        <v>23</v>
      </c>
      <c r="C143">
        <v>635</v>
      </c>
      <c r="D143">
        <v>1</v>
      </c>
      <c r="E143" t="s">
        <v>24</v>
      </c>
      <c r="F143" t="s">
        <v>25</v>
      </c>
      <c r="G143" t="str">
        <f>"2026-06-02 23:29:08.656"</f>
        <v>2026-06-02 23:29:08.656</v>
      </c>
      <c r="H143" t="s">
        <v>21</v>
      </c>
    </row>
    <row r="144" spans="1:10" x14ac:dyDescent="0.25">
      <c r="A144" s="1">
        <v>35</v>
      </c>
      <c r="B144" t="s">
        <v>26</v>
      </c>
      <c r="C144">
        <v>635</v>
      </c>
      <c r="D144">
        <v>1</v>
      </c>
      <c r="E144" t="s">
        <v>24</v>
      </c>
      <c r="F144" t="s">
        <v>25</v>
      </c>
      <c r="G144" t="str">
        <f>"2026-06-02 23:26:35.656"</f>
        <v>2026-06-02 23:26:35.656</v>
      </c>
      <c r="H144" t="s">
        <v>21</v>
      </c>
      <c r="I144">
        <v>3.91</v>
      </c>
      <c r="J144" t="s">
        <v>27</v>
      </c>
    </row>
    <row r="145" spans="1:10" x14ac:dyDescent="0.25">
      <c r="A145" s="1">
        <v>36</v>
      </c>
      <c r="B145" t="s">
        <v>23</v>
      </c>
      <c r="C145">
        <v>635</v>
      </c>
      <c r="D145">
        <v>1</v>
      </c>
      <c r="E145" t="s">
        <v>24</v>
      </c>
      <c r="F145" t="s">
        <v>25</v>
      </c>
      <c r="G145" t="str">
        <f>"2026-06-02 15:04:00.356"</f>
        <v>2026-06-02 15:04:00.356</v>
      </c>
      <c r="H145" t="s">
        <v>21</v>
      </c>
    </row>
    <row r="146" spans="1:10" x14ac:dyDescent="0.25">
      <c r="A146" s="1">
        <v>37</v>
      </c>
      <c r="B146" t="s">
        <v>26</v>
      </c>
      <c r="C146">
        <v>635</v>
      </c>
      <c r="D146">
        <v>1</v>
      </c>
      <c r="E146" t="s">
        <v>24</v>
      </c>
      <c r="F146" t="s">
        <v>25</v>
      </c>
      <c r="G146" t="str">
        <f>"2026-06-02 14:52:09.356"</f>
        <v>2026-06-02 14:52:09.356</v>
      </c>
      <c r="H146" t="s">
        <v>21</v>
      </c>
      <c r="I146">
        <v>7.47</v>
      </c>
      <c r="J146" t="s">
        <v>29</v>
      </c>
    </row>
    <row r="147" spans="1:10" x14ac:dyDescent="0.25">
      <c r="A147" s="1">
        <v>38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"2026-06-02 14:04:02.743"</f>
        <v>2026-06-02 14:04:02.743</v>
      </c>
      <c r="H147" t="s">
        <v>21</v>
      </c>
      <c r="I147">
        <v>0</v>
      </c>
      <c r="J147" t="s">
        <v>22</v>
      </c>
    </row>
    <row r="148" spans="1:10" x14ac:dyDescent="0.25">
      <c r="A148" s="1">
        <v>39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"2026-06-02 13:47:31.778"</f>
        <v>2026-06-02 13:47:31.778</v>
      </c>
      <c r="H148" t="s">
        <v>21</v>
      </c>
    </row>
    <row r="149" spans="1:10" s="3" customFormat="1" x14ac:dyDescent="0.25">
      <c r="A149" s="2">
        <v>40</v>
      </c>
      <c r="B149" s="3" t="s">
        <v>23</v>
      </c>
      <c r="C149" s="3">
        <v>647</v>
      </c>
      <c r="D149" s="3">
        <v>1</v>
      </c>
      <c r="E149" s="3" t="s">
        <v>30</v>
      </c>
      <c r="F149" s="3" t="s">
        <v>31</v>
      </c>
      <c r="G149" s="3" t="str">
        <f>"2026-06-02 09:18:38.662"</f>
        <v>2026-06-02 09:18:38.662</v>
      </c>
      <c r="H149" s="3" t="s">
        <v>21</v>
      </c>
    </row>
    <row r="150" spans="1:10" s="3" customFormat="1" x14ac:dyDescent="0.25">
      <c r="A150" s="2">
        <v>41</v>
      </c>
      <c r="B150" s="3" t="s">
        <v>26</v>
      </c>
      <c r="C150" s="3">
        <v>647</v>
      </c>
      <c r="D150" s="3">
        <v>1</v>
      </c>
      <c r="E150" s="3" t="s">
        <v>30</v>
      </c>
      <c r="F150" s="3" t="s">
        <v>31</v>
      </c>
      <c r="G150" s="3" t="str">
        <f>"2026-06-02 09:18:32.963"</f>
        <v>2026-06-02 09:18:32.963</v>
      </c>
      <c r="H150" s="3" t="s">
        <v>21</v>
      </c>
      <c r="I150" s="3">
        <v>14.39</v>
      </c>
      <c r="J150" s="3" t="s">
        <v>28</v>
      </c>
    </row>
    <row r="151" spans="1:10" x14ac:dyDescent="0.25">
      <c r="A151" s="1">
        <v>42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"2026-06-01 23:59:07.739"</f>
        <v>2026-06-01 23:59:07.739</v>
      </c>
      <c r="H151" t="s">
        <v>21</v>
      </c>
      <c r="I151">
        <v>0</v>
      </c>
      <c r="J151" t="s">
        <v>22</v>
      </c>
    </row>
    <row r="152" spans="1:10" x14ac:dyDescent="0.25">
      <c r="A152" s="1">
        <v>43</v>
      </c>
      <c r="B152" t="s">
        <v>23</v>
      </c>
      <c r="C152">
        <v>635</v>
      </c>
      <c r="D152">
        <v>1</v>
      </c>
      <c r="E152" t="s">
        <v>24</v>
      </c>
      <c r="F152" t="s">
        <v>25</v>
      </c>
      <c r="G152" t="str">
        <f>"2026-06-01 21:16:16.215"</f>
        <v>2026-06-01 21:16:16.215</v>
      </c>
      <c r="H152" t="s">
        <v>21</v>
      </c>
    </row>
    <row r="153" spans="1:10" x14ac:dyDescent="0.25">
      <c r="A153" s="1">
        <v>44</v>
      </c>
      <c r="B153" t="s">
        <v>26</v>
      </c>
      <c r="C153">
        <v>635</v>
      </c>
      <c r="D153">
        <v>1</v>
      </c>
      <c r="E153" t="s">
        <v>24</v>
      </c>
      <c r="F153" t="s">
        <v>25</v>
      </c>
      <c r="G153" t="str">
        <f>"2026-06-01 21:13:46.215"</f>
        <v>2026-06-01 21:13:46.215</v>
      </c>
      <c r="H153" t="s">
        <v>21</v>
      </c>
      <c r="I153">
        <v>2.65</v>
      </c>
      <c r="J153" t="s">
        <v>29</v>
      </c>
    </row>
    <row r="154" spans="1:10" x14ac:dyDescent="0.25">
      <c r="A154" s="1">
        <v>45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"2026-06-01 12:36:22.742"</f>
        <v>2026-06-01 12:36:22.742</v>
      </c>
      <c r="H154" t="s">
        <v>21</v>
      </c>
      <c r="I154">
        <v>0</v>
      </c>
      <c r="J154" t="s">
        <v>22</v>
      </c>
    </row>
    <row r="155" spans="1:10" x14ac:dyDescent="0.25">
      <c r="A155" s="1">
        <v>46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"2026-06-01 10:52:54.738"</f>
        <v>2026-06-01 10:52:54.738</v>
      </c>
      <c r="H155" t="s">
        <v>21</v>
      </c>
      <c r="I155">
        <v>0</v>
      </c>
      <c r="J155" t="s">
        <v>22</v>
      </c>
    </row>
    <row r="156" spans="1:10" x14ac:dyDescent="0.25">
      <c r="A156" s="1">
        <v>47</v>
      </c>
      <c r="B156" t="s">
        <v>23</v>
      </c>
      <c r="C156">
        <v>635</v>
      </c>
      <c r="D156">
        <v>1</v>
      </c>
      <c r="E156" t="s">
        <v>24</v>
      </c>
      <c r="F156" t="s">
        <v>25</v>
      </c>
      <c r="G156" t="str">
        <f>"2026-06-01 08:20:17.300"</f>
        <v>2026-06-01 08:20:17.300</v>
      </c>
      <c r="H156" t="s">
        <v>21</v>
      </c>
    </row>
    <row r="157" spans="1:10" x14ac:dyDescent="0.25">
      <c r="A157" s="1">
        <v>48</v>
      </c>
      <c r="B157" t="s">
        <v>26</v>
      </c>
      <c r="C157">
        <v>635</v>
      </c>
      <c r="D157">
        <v>1</v>
      </c>
      <c r="E157" t="s">
        <v>24</v>
      </c>
      <c r="F157" t="s">
        <v>25</v>
      </c>
      <c r="G157" t="str">
        <f>"2026-06-01 07:54:53.300"</f>
        <v>2026-06-01 07:54:53.300</v>
      </c>
      <c r="H157" t="s">
        <v>21</v>
      </c>
      <c r="I157">
        <v>0.53</v>
      </c>
      <c r="J157" t="s">
        <v>28</v>
      </c>
    </row>
    <row r="158" spans="1:10" x14ac:dyDescent="0.25">
      <c r="A158" s="1">
        <v>49</v>
      </c>
      <c r="B158" t="s">
        <v>23</v>
      </c>
      <c r="C158">
        <v>635</v>
      </c>
      <c r="D158">
        <v>1</v>
      </c>
      <c r="E158" t="s">
        <v>24</v>
      </c>
      <c r="F158" t="s">
        <v>25</v>
      </c>
      <c r="G158" t="str">
        <f>"2026-05-31 15:11:46.200"</f>
        <v>2026-05-31 15:11:46.200</v>
      </c>
      <c r="H158" t="s">
        <v>21</v>
      </c>
    </row>
    <row r="159" spans="1:10" x14ac:dyDescent="0.25">
      <c r="A159" s="1">
        <v>50</v>
      </c>
      <c r="B159" t="s">
        <v>26</v>
      </c>
      <c r="C159">
        <v>635</v>
      </c>
      <c r="D159">
        <v>1</v>
      </c>
      <c r="E159" t="s">
        <v>24</v>
      </c>
      <c r="F159" t="s">
        <v>25</v>
      </c>
      <c r="G159" t="str">
        <f>"2026-05-31 15:06:09.700"</f>
        <v>2026-05-31 15:06:09.700</v>
      </c>
      <c r="H159" t="s">
        <v>21</v>
      </c>
      <c r="I159">
        <v>2.3199999999999998</v>
      </c>
      <c r="J159" t="s">
        <v>29</v>
      </c>
    </row>
    <row r="160" spans="1:10" s="3" customFormat="1" x14ac:dyDescent="0.25">
      <c r="A160" s="2">
        <v>51</v>
      </c>
      <c r="B160" s="3" t="s">
        <v>23</v>
      </c>
      <c r="C160" s="3">
        <v>647</v>
      </c>
      <c r="D160" s="3">
        <v>1</v>
      </c>
      <c r="E160" s="3" t="s">
        <v>30</v>
      </c>
      <c r="F160" s="3" t="s">
        <v>31</v>
      </c>
      <c r="G160" s="3" t="str">
        <f>"2026-05-31 14:59:45.649"</f>
        <v>2026-05-31 14:59:45.649</v>
      </c>
      <c r="H160" s="3" t="s">
        <v>21</v>
      </c>
    </row>
    <row r="161" spans="1:10" s="3" customFormat="1" x14ac:dyDescent="0.25">
      <c r="A161" s="2">
        <v>52</v>
      </c>
      <c r="B161" s="3" t="s">
        <v>26</v>
      </c>
      <c r="C161" s="3">
        <v>647</v>
      </c>
      <c r="D161" s="3">
        <v>1</v>
      </c>
      <c r="E161" s="3" t="s">
        <v>30</v>
      </c>
      <c r="F161" s="3" t="s">
        <v>31</v>
      </c>
      <c r="G161" s="3" t="str">
        <f>"2026-05-31 14:59:42.349"</f>
        <v>2026-05-31 14:59:42.349</v>
      </c>
      <c r="H161" s="3" t="s">
        <v>21</v>
      </c>
      <c r="I161" s="3">
        <v>9.49</v>
      </c>
      <c r="J161" s="3" t="s">
        <v>28</v>
      </c>
    </row>
    <row r="162" spans="1:10" x14ac:dyDescent="0.25">
      <c r="A162" s="1">
        <v>53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"2026-05-31 13:10:48.727"</f>
        <v>2026-05-31 13:10:48.727</v>
      </c>
      <c r="H162" t="s">
        <v>21</v>
      </c>
    </row>
    <row r="163" spans="1:10" x14ac:dyDescent="0.25">
      <c r="A163" s="1">
        <v>54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"2026-05-31 11:52:53.737"</f>
        <v>2026-05-31 11:52:53.737</v>
      </c>
      <c r="H163" t="s">
        <v>21</v>
      </c>
      <c r="I163">
        <v>0</v>
      </c>
      <c r="J163" t="s">
        <v>22</v>
      </c>
    </row>
    <row r="164" spans="1:10" x14ac:dyDescent="0.25">
      <c r="A164" s="1">
        <v>55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"2026-05-31 10:12:39.752"</f>
        <v>2026-05-31 10:12:39.752</v>
      </c>
      <c r="H164" t="s">
        <v>21</v>
      </c>
      <c r="I164">
        <v>0</v>
      </c>
      <c r="J164" t="s">
        <v>22</v>
      </c>
    </row>
    <row r="165" spans="1:10" x14ac:dyDescent="0.25">
      <c r="A165" s="1">
        <v>56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"2026-05-31 09:35:23.739"</f>
        <v>2026-05-31 09:35:23.739</v>
      </c>
      <c r="H165" t="s">
        <v>21</v>
      </c>
      <c r="I165">
        <v>0</v>
      </c>
      <c r="J165" t="s">
        <v>22</v>
      </c>
    </row>
    <row r="166" spans="1:10" x14ac:dyDescent="0.25">
      <c r="A166" s="1">
        <v>57</v>
      </c>
      <c r="B166" t="s">
        <v>19</v>
      </c>
      <c r="C166">
        <v>706</v>
      </c>
      <c r="D166">
        <v>4</v>
      </c>
      <c r="E166" t="s">
        <v>32</v>
      </c>
      <c r="F166" t="s">
        <v>48</v>
      </c>
      <c r="G166" t="str">
        <f>"2026-05-31 08:39:15.644"</f>
        <v>2026-05-31 08:39:15.644</v>
      </c>
      <c r="H166" t="s">
        <v>21</v>
      </c>
      <c r="I166">
        <v>0</v>
      </c>
      <c r="J166" t="s">
        <v>34</v>
      </c>
    </row>
    <row r="167" spans="1:10" x14ac:dyDescent="0.25">
      <c r="A167" s="1">
        <v>58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"2026-05-31 08:24:56.744"</f>
        <v>2026-05-31 08:24:56.744</v>
      </c>
      <c r="H167" t="s">
        <v>21</v>
      </c>
    </row>
    <row r="168" spans="1:10" x14ac:dyDescent="0.25">
      <c r="A168" s="1">
        <v>59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"2026-05-31 08:04:13.719"</f>
        <v>2026-05-31 08:04:13.719</v>
      </c>
      <c r="H168" t="s">
        <v>21</v>
      </c>
    </row>
    <row r="169" spans="1:10" x14ac:dyDescent="0.25">
      <c r="A169" s="1">
        <v>60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"2026-05-31 07:49:49.731"</f>
        <v>2026-05-31 07:49:49.731</v>
      </c>
      <c r="H169" t="s">
        <v>21</v>
      </c>
      <c r="I169">
        <v>0</v>
      </c>
      <c r="J169" t="s">
        <v>22</v>
      </c>
    </row>
    <row r="170" spans="1:10" x14ac:dyDescent="0.25">
      <c r="A170" s="1">
        <v>61</v>
      </c>
      <c r="B170" t="s">
        <v>23</v>
      </c>
      <c r="C170">
        <v>98</v>
      </c>
      <c r="D170">
        <v>1</v>
      </c>
      <c r="E170" t="s">
        <v>49</v>
      </c>
      <c r="F170" t="s">
        <v>50</v>
      </c>
      <c r="G170" t="str">
        <f>"2026-05-31 07:45:20.549"</f>
        <v>2026-05-31 07:45:20.549</v>
      </c>
      <c r="H170" t="s">
        <v>21</v>
      </c>
    </row>
    <row r="171" spans="1:10" x14ac:dyDescent="0.25">
      <c r="A171" s="1">
        <v>62</v>
      </c>
      <c r="B171" t="s">
        <v>26</v>
      </c>
      <c r="C171">
        <v>98</v>
      </c>
      <c r="D171">
        <v>1</v>
      </c>
      <c r="E171" t="s">
        <v>49</v>
      </c>
      <c r="F171" t="s">
        <v>50</v>
      </c>
      <c r="G171" t="str">
        <f>"2026-05-31 07:45:19.550"</f>
        <v>2026-05-31 07:45:19.550</v>
      </c>
      <c r="H171" t="s">
        <v>21</v>
      </c>
      <c r="I171">
        <v>0</v>
      </c>
      <c r="J171" t="s">
        <v>34</v>
      </c>
    </row>
    <row r="172" spans="1:10" x14ac:dyDescent="0.25">
      <c r="A172" s="1">
        <v>63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"2026-05-31 07:39:15.728"</f>
        <v>2026-05-31 07:39:15.728</v>
      </c>
      <c r="H172" t="s">
        <v>21</v>
      </c>
    </row>
    <row r="173" spans="1:10" x14ac:dyDescent="0.25">
      <c r="A173" s="1">
        <v>64</v>
      </c>
      <c r="B173" t="s">
        <v>23</v>
      </c>
      <c r="C173">
        <v>61</v>
      </c>
      <c r="D173">
        <v>2</v>
      </c>
      <c r="E173" t="s">
        <v>46</v>
      </c>
      <c r="F173" t="s">
        <v>47</v>
      </c>
      <c r="G173" t="str">
        <f>"2026-05-31 06:31:49.089"</f>
        <v>2026-05-31 06:31:49.089</v>
      </c>
      <c r="H173" t="s">
        <v>21</v>
      </c>
    </row>
    <row r="174" spans="1:10" x14ac:dyDescent="0.25">
      <c r="A174" s="1">
        <v>65</v>
      </c>
      <c r="B174" t="s">
        <v>38</v>
      </c>
      <c r="C174">
        <v>61</v>
      </c>
      <c r="D174">
        <v>2</v>
      </c>
      <c r="E174" t="s">
        <v>46</v>
      </c>
      <c r="F174" t="s">
        <v>47</v>
      </c>
      <c r="G174" t="str">
        <f>"2026-05-31 06:31:31.789"</f>
        <v>2026-05-31 06:31:31.789</v>
      </c>
      <c r="H174" t="s">
        <v>21</v>
      </c>
      <c r="I174">
        <v>29.21</v>
      </c>
      <c r="J174" t="s">
        <v>28</v>
      </c>
    </row>
    <row r="175" spans="1:10" s="3" customFormat="1" x14ac:dyDescent="0.25">
      <c r="A175" s="2">
        <v>66</v>
      </c>
      <c r="B175" s="3" t="s">
        <v>23</v>
      </c>
      <c r="C175" s="3">
        <v>647</v>
      </c>
      <c r="D175" s="3">
        <v>1</v>
      </c>
      <c r="E175" s="3" t="s">
        <v>30</v>
      </c>
      <c r="F175" s="3" t="s">
        <v>31</v>
      </c>
      <c r="G175" s="3" t="str">
        <f>"2026-05-30 19:28:13.349"</f>
        <v>2026-05-30 19:28:13.349</v>
      </c>
      <c r="H175" s="3" t="s">
        <v>21</v>
      </c>
    </row>
    <row r="176" spans="1:10" s="3" customFormat="1" x14ac:dyDescent="0.25">
      <c r="A176" s="2">
        <v>67</v>
      </c>
      <c r="B176" s="3" t="s">
        <v>26</v>
      </c>
      <c r="C176" s="3">
        <v>647</v>
      </c>
      <c r="D176" s="3">
        <v>1</v>
      </c>
      <c r="E176" s="3" t="s">
        <v>30</v>
      </c>
      <c r="F176" s="3" t="s">
        <v>31</v>
      </c>
      <c r="G176" s="3" t="str">
        <f>"2026-05-30 19:28:10.249"</f>
        <v>2026-05-30 19:28:10.249</v>
      </c>
      <c r="H176" s="3" t="s">
        <v>21</v>
      </c>
      <c r="I176" s="3">
        <v>8.4499999999999993</v>
      </c>
      <c r="J176" s="3" t="s">
        <v>28</v>
      </c>
    </row>
    <row r="177" spans="1:10" x14ac:dyDescent="0.25">
      <c r="A177" s="1">
        <v>68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"2026-05-30 12:58:37.877"</f>
        <v>2026-05-30 12:58:37.877</v>
      </c>
      <c r="H177" t="s">
        <v>21</v>
      </c>
    </row>
    <row r="178" spans="1:10" x14ac:dyDescent="0.25">
      <c r="A178" s="1">
        <v>69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"2026-05-30 10:27:26.761"</f>
        <v>2026-05-30 10:27:26.761</v>
      </c>
      <c r="H178" t="s">
        <v>21</v>
      </c>
      <c r="I178">
        <v>0</v>
      </c>
      <c r="J178" t="s">
        <v>22</v>
      </c>
    </row>
    <row r="179" spans="1:10" x14ac:dyDescent="0.25">
      <c r="A179" s="1">
        <v>70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"2026-05-29 16:17:48.732"</f>
        <v>2026-05-29 16:17:48.732</v>
      </c>
      <c r="H179" t="s">
        <v>21</v>
      </c>
      <c r="I179">
        <v>0</v>
      </c>
      <c r="J179" t="s">
        <v>22</v>
      </c>
    </row>
    <row r="180" spans="1:10" x14ac:dyDescent="0.25">
      <c r="A180" s="1">
        <v>71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"2026-05-29 15:45:56.727"</f>
        <v>2026-05-29 15:45:56.727</v>
      </c>
      <c r="H180" t="s">
        <v>21</v>
      </c>
      <c r="I180">
        <v>0</v>
      </c>
      <c r="J180" t="s">
        <v>22</v>
      </c>
    </row>
    <row r="181" spans="1:10" s="3" customFormat="1" x14ac:dyDescent="0.25">
      <c r="A181" s="2">
        <v>72</v>
      </c>
      <c r="B181" s="3" t="s">
        <v>23</v>
      </c>
      <c r="C181" s="3">
        <v>647</v>
      </c>
      <c r="D181" s="3">
        <v>1</v>
      </c>
      <c r="E181" s="3" t="s">
        <v>30</v>
      </c>
      <c r="F181" s="3" t="s">
        <v>31</v>
      </c>
      <c r="G181" s="3" t="str">
        <f>"2026-05-29 14:05:23.714"</f>
        <v>2026-05-29 14:05:23.714</v>
      </c>
      <c r="H181" s="3" t="s">
        <v>21</v>
      </c>
    </row>
    <row r="182" spans="1:10" s="3" customFormat="1" x14ac:dyDescent="0.25">
      <c r="A182" s="2">
        <v>73</v>
      </c>
      <c r="B182" s="3" t="s">
        <v>26</v>
      </c>
      <c r="C182" s="3">
        <v>647</v>
      </c>
      <c r="D182" s="3">
        <v>1</v>
      </c>
      <c r="E182" s="3" t="s">
        <v>30</v>
      </c>
      <c r="F182" s="3" t="s">
        <v>31</v>
      </c>
      <c r="G182" s="3" t="str">
        <f>"2026-05-29 14:05:12.414"</f>
        <v>2026-05-29 14:05:12.414</v>
      </c>
      <c r="H182" s="3" t="s">
        <v>21</v>
      </c>
      <c r="I182" s="3">
        <v>9.5500000000000007</v>
      </c>
      <c r="J182" s="3" t="s">
        <v>28</v>
      </c>
    </row>
    <row r="183" spans="1:10" s="3" customFormat="1" x14ac:dyDescent="0.25">
      <c r="A183" s="2">
        <v>74</v>
      </c>
      <c r="B183" s="3" t="s">
        <v>23</v>
      </c>
      <c r="C183" s="3">
        <v>647</v>
      </c>
      <c r="D183" s="3">
        <v>1</v>
      </c>
      <c r="E183" s="3" t="s">
        <v>30</v>
      </c>
      <c r="F183" s="3" t="s">
        <v>31</v>
      </c>
      <c r="G183" s="3" t="str">
        <f>"2026-05-29 12:51:07.114"</f>
        <v>2026-05-29 12:51:07.114</v>
      </c>
      <c r="H183" s="3" t="s">
        <v>21</v>
      </c>
    </row>
    <row r="184" spans="1:10" s="3" customFormat="1" x14ac:dyDescent="0.25">
      <c r="A184" s="2">
        <v>75</v>
      </c>
      <c r="B184" s="3" t="s">
        <v>26</v>
      </c>
      <c r="C184" s="3">
        <v>647</v>
      </c>
      <c r="D184" s="3">
        <v>1</v>
      </c>
      <c r="E184" s="3" t="s">
        <v>30</v>
      </c>
      <c r="F184" s="3" t="s">
        <v>31</v>
      </c>
      <c r="G184" s="3" t="str">
        <f>"2026-05-29 12:50:59.614"</f>
        <v>2026-05-29 12:50:59.614</v>
      </c>
      <c r="H184" s="3" t="s">
        <v>21</v>
      </c>
      <c r="I184" s="3">
        <v>26.69</v>
      </c>
      <c r="J184" s="3" t="s">
        <v>28</v>
      </c>
    </row>
    <row r="185" spans="1:10" x14ac:dyDescent="0.25">
      <c r="A185" s="1">
        <v>76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"2026-05-29 09:31:27.731"</f>
        <v>2026-05-29 09:31:27.731</v>
      </c>
      <c r="H185" t="s">
        <v>21</v>
      </c>
    </row>
    <row r="186" spans="1:10" x14ac:dyDescent="0.25">
      <c r="A186" s="1">
        <v>77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"2026-05-29 09:11:48.706"</f>
        <v>2026-05-29 09:11:48.706</v>
      </c>
      <c r="H186" t="s">
        <v>21</v>
      </c>
    </row>
    <row r="187" spans="1:10" x14ac:dyDescent="0.25">
      <c r="A187" s="1">
        <v>78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"2026-05-29 08:28:00.728"</f>
        <v>2026-05-29 08:28:00.728</v>
      </c>
      <c r="H187" t="s">
        <v>21</v>
      </c>
      <c r="I187">
        <v>0</v>
      </c>
      <c r="J187" t="s">
        <v>22</v>
      </c>
    </row>
    <row r="188" spans="1:10" x14ac:dyDescent="0.25">
      <c r="A188" s="1">
        <v>79</v>
      </c>
      <c r="B188" t="s">
        <v>23</v>
      </c>
      <c r="C188">
        <v>619</v>
      </c>
      <c r="D188">
        <v>1</v>
      </c>
      <c r="E188" t="s">
        <v>51</v>
      </c>
      <c r="F188" t="s">
        <v>25</v>
      </c>
      <c r="G188" t="str">
        <f>"2026-05-29 08:01:59.333"</f>
        <v>2026-05-29 08:01:59.333</v>
      </c>
      <c r="H188" t="s">
        <v>52</v>
      </c>
    </row>
    <row r="189" spans="1:10" x14ac:dyDescent="0.25">
      <c r="A189" s="1">
        <v>80</v>
      </c>
      <c r="B189" t="s">
        <v>26</v>
      </c>
      <c r="C189">
        <v>619</v>
      </c>
      <c r="D189">
        <v>1</v>
      </c>
      <c r="E189" t="s">
        <v>51</v>
      </c>
      <c r="F189" t="s">
        <v>25</v>
      </c>
      <c r="G189" t="str">
        <f>"2026-05-29 08:00:50.285"</f>
        <v>2026-05-29 08:00:50.285</v>
      </c>
      <c r="H189" t="s">
        <v>52</v>
      </c>
      <c r="I189">
        <v>0</v>
      </c>
      <c r="J189" t="s">
        <v>34</v>
      </c>
    </row>
    <row r="190" spans="1:10" x14ac:dyDescent="0.25">
      <c r="A190" s="1">
        <v>81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"2026-05-29 08:00:20.824"</f>
        <v>2026-05-29 08:00:20.824</v>
      </c>
      <c r="H190" t="s">
        <v>21</v>
      </c>
      <c r="I190">
        <v>0</v>
      </c>
      <c r="J190" t="s">
        <v>22</v>
      </c>
    </row>
    <row r="191" spans="1:10" x14ac:dyDescent="0.25">
      <c r="A191" s="1">
        <v>82</v>
      </c>
      <c r="B191" t="s">
        <v>23</v>
      </c>
      <c r="C191">
        <v>619</v>
      </c>
      <c r="D191">
        <v>1</v>
      </c>
      <c r="E191" t="s">
        <v>51</v>
      </c>
      <c r="F191" t="s">
        <v>25</v>
      </c>
      <c r="G191" t="str">
        <f>"2026-05-29 07:57:28.999"</f>
        <v>2026-05-29 07:57:28.999</v>
      </c>
      <c r="H191" t="s">
        <v>52</v>
      </c>
    </row>
    <row r="192" spans="1:10" x14ac:dyDescent="0.25">
      <c r="A192" s="1">
        <v>83</v>
      </c>
      <c r="B192" t="s">
        <v>26</v>
      </c>
      <c r="C192">
        <v>619</v>
      </c>
      <c r="D192">
        <v>1</v>
      </c>
      <c r="E192" t="s">
        <v>51</v>
      </c>
      <c r="F192" t="s">
        <v>25</v>
      </c>
      <c r="G192" t="str">
        <f>"2026-05-29 07:56:20.499"</f>
        <v>2026-05-29 07:56:20.499</v>
      </c>
      <c r="H192" t="s">
        <v>52</v>
      </c>
      <c r="I192">
        <v>0</v>
      </c>
      <c r="J192" t="s">
        <v>34</v>
      </c>
    </row>
    <row r="193" spans="1:10" x14ac:dyDescent="0.25">
      <c r="A193" s="1">
        <v>84</v>
      </c>
      <c r="B193" t="s">
        <v>19</v>
      </c>
      <c r="C193">
        <v>706</v>
      </c>
      <c r="D193">
        <v>4</v>
      </c>
      <c r="E193" t="s">
        <v>32</v>
      </c>
      <c r="F193" t="s">
        <v>48</v>
      </c>
      <c r="G193" t="str">
        <f>"2026-05-29 07:56:10.768"</f>
        <v>2026-05-29 07:56:10.768</v>
      </c>
      <c r="H193" t="s">
        <v>21</v>
      </c>
      <c r="I193">
        <v>0</v>
      </c>
      <c r="J193" t="s">
        <v>34</v>
      </c>
    </row>
    <row r="194" spans="1:10" x14ac:dyDescent="0.25">
      <c r="A194" s="1">
        <v>85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"2026-05-29 07:55:17.728"</f>
        <v>2026-05-29 07:55:17.728</v>
      </c>
      <c r="H194" t="s">
        <v>21</v>
      </c>
      <c r="I194">
        <v>0</v>
      </c>
      <c r="J194" t="s">
        <v>22</v>
      </c>
    </row>
    <row r="195" spans="1:10" x14ac:dyDescent="0.25">
      <c r="A195" s="1">
        <v>86</v>
      </c>
      <c r="B195" t="s">
        <v>23</v>
      </c>
      <c r="C195">
        <v>619</v>
      </c>
      <c r="D195">
        <v>1</v>
      </c>
      <c r="E195" t="s">
        <v>51</v>
      </c>
      <c r="F195" t="s">
        <v>25</v>
      </c>
      <c r="G195" t="str">
        <f>"2026-05-29 07:52:47.836"</f>
        <v>2026-05-29 07:52:47.836</v>
      </c>
      <c r="H195" t="s">
        <v>52</v>
      </c>
    </row>
    <row r="196" spans="1:10" x14ac:dyDescent="0.25">
      <c r="A196" s="1">
        <v>87</v>
      </c>
      <c r="B196" t="s">
        <v>26</v>
      </c>
      <c r="C196">
        <v>619</v>
      </c>
      <c r="D196">
        <v>1</v>
      </c>
      <c r="E196" t="s">
        <v>51</v>
      </c>
      <c r="F196" t="s">
        <v>25</v>
      </c>
      <c r="G196" t="str">
        <f>"2026-05-29 07:51:49.588"</f>
        <v>2026-05-29 07:51:49.588</v>
      </c>
      <c r="H196" t="s">
        <v>52</v>
      </c>
      <c r="I196">
        <v>0</v>
      </c>
      <c r="J196" t="s">
        <v>27</v>
      </c>
    </row>
    <row r="197" spans="1:10" s="3" customFormat="1" x14ac:dyDescent="0.25">
      <c r="A197" s="2">
        <v>88</v>
      </c>
      <c r="B197" s="3" t="s">
        <v>23</v>
      </c>
      <c r="C197" s="3">
        <v>647</v>
      </c>
      <c r="D197" s="3">
        <v>1</v>
      </c>
      <c r="E197" s="3" t="s">
        <v>30</v>
      </c>
      <c r="F197" s="3" t="s">
        <v>31</v>
      </c>
      <c r="G197" s="3" t="str">
        <f>"2026-05-29 02:33:41.136"</f>
        <v>2026-05-29 02:33:41.136</v>
      </c>
      <c r="H197" s="3" t="s">
        <v>21</v>
      </c>
    </row>
    <row r="198" spans="1:10" s="3" customFormat="1" x14ac:dyDescent="0.25">
      <c r="A198" s="2">
        <v>89</v>
      </c>
      <c r="B198" s="3" t="s">
        <v>26</v>
      </c>
      <c r="C198" s="3">
        <v>647</v>
      </c>
      <c r="D198" s="3">
        <v>1</v>
      </c>
      <c r="E198" s="3" t="s">
        <v>30</v>
      </c>
      <c r="F198" s="3" t="s">
        <v>31</v>
      </c>
      <c r="G198" s="3" t="str">
        <f>"2026-05-29 02:33:38.036"</f>
        <v>2026-05-29 02:33:38.036</v>
      </c>
      <c r="H198" s="3" t="s">
        <v>21</v>
      </c>
      <c r="I198" s="3">
        <v>24.05</v>
      </c>
      <c r="J198" s="3" t="s">
        <v>28</v>
      </c>
    </row>
    <row r="199" spans="1:10" x14ac:dyDescent="0.25">
      <c r="A199" s="1">
        <v>90</v>
      </c>
      <c r="B199" t="s">
        <v>23</v>
      </c>
      <c r="C199">
        <v>635</v>
      </c>
      <c r="D199">
        <v>1</v>
      </c>
      <c r="E199" t="s">
        <v>24</v>
      </c>
      <c r="F199" t="s">
        <v>25</v>
      </c>
      <c r="G199" t="str">
        <f>"2026-05-28 16:08:44.088"</f>
        <v>2026-05-28 16:08:44.088</v>
      </c>
      <c r="H199" t="s">
        <v>21</v>
      </c>
    </row>
    <row r="200" spans="1:10" x14ac:dyDescent="0.25">
      <c r="A200" s="1">
        <v>91</v>
      </c>
      <c r="B200" t="s">
        <v>26</v>
      </c>
      <c r="C200">
        <v>635</v>
      </c>
      <c r="D200">
        <v>1</v>
      </c>
      <c r="E200" t="s">
        <v>24</v>
      </c>
      <c r="F200" t="s">
        <v>25</v>
      </c>
      <c r="G200" t="str">
        <f>"2026-05-28 16:04:58.088"</f>
        <v>2026-05-28 16:04:58.088</v>
      </c>
      <c r="H200" t="s">
        <v>21</v>
      </c>
      <c r="I200">
        <v>1.61</v>
      </c>
      <c r="J200" t="s">
        <v>28</v>
      </c>
    </row>
    <row r="201" spans="1:10" x14ac:dyDescent="0.25">
      <c r="A201" s="1">
        <v>92</v>
      </c>
      <c r="B201" t="s">
        <v>23</v>
      </c>
      <c r="C201">
        <v>635</v>
      </c>
      <c r="D201">
        <v>1</v>
      </c>
      <c r="E201" t="s">
        <v>24</v>
      </c>
      <c r="F201" t="s">
        <v>25</v>
      </c>
      <c r="G201" t="str">
        <f>"2026-05-28 15:55:47.188"</f>
        <v>2026-05-28 15:55:47.188</v>
      </c>
      <c r="H201" t="s">
        <v>21</v>
      </c>
    </row>
    <row r="202" spans="1:10" x14ac:dyDescent="0.25">
      <c r="A202" s="1">
        <v>93</v>
      </c>
      <c r="B202" t="s">
        <v>26</v>
      </c>
      <c r="C202">
        <v>635</v>
      </c>
      <c r="D202">
        <v>1</v>
      </c>
      <c r="E202" t="s">
        <v>24</v>
      </c>
      <c r="F202" t="s">
        <v>25</v>
      </c>
      <c r="G202" t="str">
        <f>"2026-05-28 15:32:34.188"</f>
        <v>2026-05-28 15:32:34.188</v>
      </c>
      <c r="H202" t="s">
        <v>21</v>
      </c>
      <c r="I202">
        <v>5.96</v>
      </c>
      <c r="J202" t="s">
        <v>29</v>
      </c>
    </row>
    <row r="203" spans="1:10" x14ac:dyDescent="0.25">
      <c r="A203" s="1">
        <v>94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"2026-05-28 13:31:46.728"</f>
        <v>2026-05-28 13:31:46.728</v>
      </c>
      <c r="H203" t="s">
        <v>21</v>
      </c>
      <c r="I203">
        <v>0</v>
      </c>
      <c r="J203" t="s">
        <v>22</v>
      </c>
    </row>
    <row r="204" spans="1:10" x14ac:dyDescent="0.25">
      <c r="A204" s="1">
        <v>95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"2026-05-28 12:46:53.758"</f>
        <v>2026-05-28 12:46:53.758</v>
      </c>
      <c r="H204" t="s">
        <v>21</v>
      </c>
      <c r="I204">
        <v>0</v>
      </c>
      <c r="J204" t="s">
        <v>22</v>
      </c>
    </row>
    <row r="205" spans="1:10" s="3" customFormat="1" x14ac:dyDescent="0.25">
      <c r="A205" s="2">
        <v>96</v>
      </c>
      <c r="B205" s="3" t="s">
        <v>23</v>
      </c>
      <c r="C205" s="3">
        <v>647</v>
      </c>
      <c r="D205" s="3">
        <v>1</v>
      </c>
      <c r="E205" s="3" t="s">
        <v>30</v>
      </c>
      <c r="F205" s="3" t="s">
        <v>31</v>
      </c>
      <c r="G205" s="3" t="str">
        <f>"2026-05-28 11:00:09.332"</f>
        <v>2026-05-28 11:00:09.332</v>
      </c>
      <c r="H205" s="3" t="s">
        <v>21</v>
      </c>
    </row>
    <row r="206" spans="1:10" s="3" customFormat="1" x14ac:dyDescent="0.25">
      <c r="A206" s="2">
        <v>97</v>
      </c>
      <c r="B206" s="3" t="s">
        <v>26</v>
      </c>
      <c r="C206" s="3">
        <v>647</v>
      </c>
      <c r="D206" s="3">
        <v>1</v>
      </c>
      <c r="E206" s="3" t="s">
        <v>30</v>
      </c>
      <c r="F206" s="3" t="s">
        <v>31</v>
      </c>
      <c r="G206" s="3" t="str">
        <f>"2026-05-28 11:00:02.632"</f>
        <v>2026-05-28 11:00:02.632</v>
      </c>
      <c r="H206" s="3" t="s">
        <v>21</v>
      </c>
      <c r="I206" s="3">
        <v>16.77</v>
      </c>
      <c r="J206" s="3" t="s">
        <v>28</v>
      </c>
    </row>
    <row r="207" spans="1:10" s="3" customFormat="1" x14ac:dyDescent="0.25">
      <c r="A207" s="2">
        <v>98</v>
      </c>
      <c r="B207" s="3" t="s">
        <v>23</v>
      </c>
      <c r="C207" s="3">
        <v>647</v>
      </c>
      <c r="D207" s="3">
        <v>1</v>
      </c>
      <c r="E207" s="3" t="s">
        <v>30</v>
      </c>
      <c r="F207" s="3" t="s">
        <v>31</v>
      </c>
      <c r="G207" s="3" t="str">
        <f>"2026-05-28 10:59:51.132"</f>
        <v>2026-05-28 10:59:51.132</v>
      </c>
      <c r="H207" s="3" t="s">
        <v>21</v>
      </c>
    </row>
    <row r="208" spans="1:10" s="3" customFormat="1" x14ac:dyDescent="0.25">
      <c r="A208" s="2">
        <v>99</v>
      </c>
      <c r="B208" s="3" t="s">
        <v>26</v>
      </c>
      <c r="C208" s="3">
        <v>647</v>
      </c>
      <c r="D208" s="3">
        <v>1</v>
      </c>
      <c r="E208" s="3" t="s">
        <v>30</v>
      </c>
      <c r="F208" s="3" t="s">
        <v>31</v>
      </c>
      <c r="G208" s="3" t="str">
        <f>"2026-05-28 10:59:48.532"</f>
        <v>2026-05-28 10:59:48.532</v>
      </c>
      <c r="H208" s="3" t="s">
        <v>21</v>
      </c>
      <c r="I208" s="3">
        <v>8.17</v>
      </c>
      <c r="J208" s="3" t="s">
        <v>28</v>
      </c>
    </row>
    <row r="209" spans="1:10" s="3" customFormat="1" x14ac:dyDescent="0.25">
      <c r="A209" s="2">
        <v>0</v>
      </c>
      <c r="B209" s="3" t="s">
        <v>23</v>
      </c>
      <c r="C209" s="3">
        <v>647</v>
      </c>
      <c r="D209" s="3">
        <v>1</v>
      </c>
      <c r="E209" s="3" t="s">
        <v>30</v>
      </c>
      <c r="F209" s="3" t="s">
        <v>31</v>
      </c>
      <c r="G209" s="3" t="str">
        <f>"2026-05-28 10:59:07.332"</f>
        <v>2026-05-28 10:59:07.332</v>
      </c>
      <c r="H209" s="3" t="s">
        <v>21</v>
      </c>
    </row>
    <row r="210" spans="1:10" s="3" customFormat="1" x14ac:dyDescent="0.25">
      <c r="A210" s="2">
        <v>1</v>
      </c>
      <c r="B210" s="3" t="s">
        <v>26</v>
      </c>
      <c r="C210" s="3">
        <v>647</v>
      </c>
      <c r="D210" s="3">
        <v>1</v>
      </c>
      <c r="E210" s="3" t="s">
        <v>30</v>
      </c>
      <c r="F210" s="3" t="s">
        <v>31</v>
      </c>
      <c r="G210" s="3" t="str">
        <f>"2026-05-28 10:58:55.832"</f>
        <v>2026-05-28 10:58:55.832</v>
      </c>
      <c r="H210" s="3" t="s">
        <v>21</v>
      </c>
      <c r="I210" s="3">
        <v>14.21</v>
      </c>
      <c r="J210" s="3" t="s">
        <v>28</v>
      </c>
    </row>
    <row r="211" spans="1:10" s="3" customFormat="1" x14ac:dyDescent="0.25">
      <c r="A211" s="2">
        <v>2</v>
      </c>
      <c r="B211" s="3" t="s">
        <v>23</v>
      </c>
      <c r="C211" s="3">
        <v>647</v>
      </c>
      <c r="D211" s="3">
        <v>1</v>
      </c>
      <c r="E211" s="3" t="s">
        <v>30</v>
      </c>
      <c r="F211" s="3" t="s">
        <v>31</v>
      </c>
      <c r="G211" s="3" t="str">
        <f>"2026-05-28 10:11:56.232"</f>
        <v>2026-05-28 10:11:56.232</v>
      </c>
      <c r="H211" s="3" t="s">
        <v>21</v>
      </c>
    </row>
    <row r="212" spans="1:10" s="3" customFormat="1" x14ac:dyDescent="0.25">
      <c r="A212" s="2">
        <v>3</v>
      </c>
      <c r="B212" s="3" t="s">
        <v>26</v>
      </c>
      <c r="C212" s="3">
        <v>647</v>
      </c>
      <c r="D212" s="3">
        <v>1</v>
      </c>
      <c r="E212" s="3" t="s">
        <v>30</v>
      </c>
      <c r="F212" s="3" t="s">
        <v>31</v>
      </c>
      <c r="G212" s="3" t="str">
        <f>"2026-05-28 10:11:54.932"</f>
        <v>2026-05-28 10:11:54.932</v>
      </c>
      <c r="H212" s="3" t="s">
        <v>21</v>
      </c>
      <c r="I212" s="3">
        <v>9.82</v>
      </c>
      <c r="J212" s="3" t="s">
        <v>28</v>
      </c>
    </row>
    <row r="213" spans="1:10" s="3" customFormat="1" x14ac:dyDescent="0.25">
      <c r="A213" s="2">
        <v>4</v>
      </c>
      <c r="B213" s="3" t="s">
        <v>23</v>
      </c>
      <c r="C213" s="3">
        <v>647</v>
      </c>
      <c r="D213" s="3">
        <v>1</v>
      </c>
      <c r="E213" s="3" t="s">
        <v>30</v>
      </c>
      <c r="F213" s="3" t="s">
        <v>31</v>
      </c>
      <c r="G213" s="3" t="str">
        <f>"2026-05-28 10:11:46.232"</f>
        <v>2026-05-28 10:11:46.232</v>
      </c>
      <c r="H213" s="3" t="s">
        <v>21</v>
      </c>
    </row>
    <row r="214" spans="1:10" s="3" customFormat="1" x14ac:dyDescent="0.25">
      <c r="A214" s="2">
        <v>5</v>
      </c>
      <c r="B214" s="3" t="s">
        <v>26</v>
      </c>
      <c r="C214" s="3">
        <v>647</v>
      </c>
      <c r="D214" s="3">
        <v>1</v>
      </c>
      <c r="E214" s="3" t="s">
        <v>30</v>
      </c>
      <c r="F214" s="3" t="s">
        <v>31</v>
      </c>
      <c r="G214" s="3" t="str">
        <f>"2026-05-28 10:11:41.932"</f>
        <v>2026-05-28 10:11:41.932</v>
      </c>
      <c r="H214" s="3" t="s">
        <v>21</v>
      </c>
      <c r="I214" s="3">
        <v>9.92</v>
      </c>
      <c r="J214" s="3" t="s">
        <v>28</v>
      </c>
    </row>
    <row r="215" spans="1:10" x14ac:dyDescent="0.25">
      <c r="A215" s="1">
        <v>6</v>
      </c>
      <c r="B215" t="s">
        <v>23</v>
      </c>
      <c r="C215">
        <v>635</v>
      </c>
      <c r="D215">
        <v>1</v>
      </c>
      <c r="E215" t="s">
        <v>24</v>
      </c>
      <c r="F215" t="s">
        <v>25</v>
      </c>
      <c r="G215" t="str">
        <f>"2026-05-28 03:38:01.531"</f>
        <v>2026-05-28 03:38:01.531</v>
      </c>
      <c r="H215" t="s">
        <v>21</v>
      </c>
    </row>
    <row r="216" spans="1:10" x14ac:dyDescent="0.25">
      <c r="A216" s="1">
        <v>7</v>
      </c>
      <c r="B216" t="s">
        <v>26</v>
      </c>
      <c r="C216">
        <v>635</v>
      </c>
      <c r="D216">
        <v>1</v>
      </c>
      <c r="E216" t="s">
        <v>24</v>
      </c>
      <c r="F216" t="s">
        <v>25</v>
      </c>
      <c r="G216" t="str">
        <f>"2026-05-28 03:35:07.031"</f>
        <v>2026-05-28 03:35:07.031</v>
      </c>
      <c r="H216" t="s">
        <v>21</v>
      </c>
      <c r="I216">
        <v>1.72</v>
      </c>
      <c r="J216" t="s">
        <v>29</v>
      </c>
    </row>
    <row r="217" spans="1:10" x14ac:dyDescent="0.25">
      <c r="A217" s="1">
        <v>8</v>
      </c>
      <c r="B217" t="s">
        <v>23</v>
      </c>
      <c r="C217">
        <v>635</v>
      </c>
      <c r="D217">
        <v>1</v>
      </c>
      <c r="E217" t="s">
        <v>24</v>
      </c>
      <c r="F217" t="s">
        <v>25</v>
      </c>
      <c r="G217" t="str">
        <f>"2026-05-27 16:46:58.531"</f>
        <v>2026-05-27 16:46:58.531</v>
      </c>
      <c r="H217" t="s">
        <v>21</v>
      </c>
    </row>
    <row r="218" spans="1:10" x14ac:dyDescent="0.25">
      <c r="A218" s="1">
        <v>9</v>
      </c>
      <c r="B218" t="s">
        <v>26</v>
      </c>
      <c r="C218">
        <v>635</v>
      </c>
      <c r="D218">
        <v>1</v>
      </c>
      <c r="E218" t="s">
        <v>24</v>
      </c>
      <c r="F218" t="s">
        <v>25</v>
      </c>
      <c r="G218" t="str">
        <f>"2026-05-27 16:44:15.531"</f>
        <v>2026-05-27 16:44:15.531</v>
      </c>
      <c r="H218" t="s">
        <v>21</v>
      </c>
      <c r="I218">
        <v>1.47</v>
      </c>
      <c r="J218" t="s">
        <v>28</v>
      </c>
    </row>
    <row r="219" spans="1:10" x14ac:dyDescent="0.25">
      <c r="A219" s="1">
        <v>10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"2026-05-27 13:21:02.711"</f>
        <v>2026-05-27 13:21:02.711</v>
      </c>
      <c r="H219" t="s">
        <v>21</v>
      </c>
      <c r="I219">
        <v>0</v>
      </c>
      <c r="J219" t="s">
        <v>22</v>
      </c>
    </row>
    <row r="220" spans="1:10" x14ac:dyDescent="0.25">
      <c r="A220" s="1">
        <v>11</v>
      </c>
      <c r="B220" t="s">
        <v>35</v>
      </c>
      <c r="C220">
        <v>86</v>
      </c>
      <c r="D220">
        <v>17</v>
      </c>
      <c r="E220" t="s">
        <v>36</v>
      </c>
      <c r="F220" t="s">
        <v>53</v>
      </c>
      <c r="G220" t="str">
        <f>"2026-05-27 11:21:20.417"</f>
        <v>2026-05-27 11:21:20.417</v>
      </c>
      <c r="H220" t="s">
        <v>21</v>
      </c>
    </row>
    <row r="221" spans="1:10" x14ac:dyDescent="0.25">
      <c r="A221" s="1">
        <v>12</v>
      </c>
      <c r="B221" t="s">
        <v>38</v>
      </c>
      <c r="C221">
        <v>86</v>
      </c>
      <c r="D221">
        <v>17</v>
      </c>
      <c r="E221" t="s">
        <v>36</v>
      </c>
      <c r="F221" t="s">
        <v>53</v>
      </c>
      <c r="G221" t="str">
        <f>"2026-05-27 11:20:50.358"</f>
        <v>2026-05-27 11:20:50.358</v>
      </c>
      <c r="H221" t="s">
        <v>21</v>
      </c>
      <c r="I221">
        <v>-0.68</v>
      </c>
      <c r="J221" t="s">
        <v>34</v>
      </c>
    </row>
    <row r="222" spans="1:10" x14ac:dyDescent="0.25">
      <c r="A222" s="1">
        <v>13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"2026-05-27 11:20:42.717"</f>
        <v>2026-05-27 11:20:42.717</v>
      </c>
      <c r="H222" t="s">
        <v>21</v>
      </c>
      <c r="I222">
        <v>0</v>
      </c>
      <c r="J222" t="s">
        <v>22</v>
      </c>
    </row>
    <row r="223" spans="1:10" x14ac:dyDescent="0.25">
      <c r="A223" s="1">
        <v>14</v>
      </c>
      <c r="B223" t="s">
        <v>23</v>
      </c>
      <c r="C223">
        <v>61</v>
      </c>
      <c r="D223">
        <v>2</v>
      </c>
      <c r="E223" t="s">
        <v>46</v>
      </c>
      <c r="F223" t="s">
        <v>47</v>
      </c>
      <c r="G223" t="str">
        <f>"2026-05-27 06:02:54.134"</f>
        <v>2026-05-27 06:02:54.134</v>
      </c>
      <c r="H223" t="s">
        <v>21</v>
      </c>
    </row>
    <row r="224" spans="1:10" x14ac:dyDescent="0.25">
      <c r="A224" s="1">
        <v>15</v>
      </c>
      <c r="B224" t="s">
        <v>38</v>
      </c>
      <c r="C224">
        <v>61</v>
      </c>
      <c r="D224">
        <v>2</v>
      </c>
      <c r="E224" t="s">
        <v>46</v>
      </c>
      <c r="F224" t="s">
        <v>47</v>
      </c>
      <c r="G224" t="str">
        <f>"2026-05-27 06:02:33.834"</f>
        <v>2026-05-27 06:02:33.834</v>
      </c>
      <c r="H224" t="s">
        <v>21</v>
      </c>
      <c r="I224">
        <v>29.79</v>
      </c>
      <c r="J224" t="s">
        <v>28</v>
      </c>
    </row>
    <row r="225" spans="1:10" x14ac:dyDescent="0.25">
      <c r="A225" s="1">
        <v>16</v>
      </c>
      <c r="B225" t="s">
        <v>23</v>
      </c>
      <c r="C225">
        <v>61</v>
      </c>
      <c r="D225">
        <v>2</v>
      </c>
      <c r="E225" t="s">
        <v>46</v>
      </c>
      <c r="F225" t="s">
        <v>47</v>
      </c>
      <c r="G225" t="str">
        <f>"2026-05-27 02:18:34.034"</f>
        <v>2026-05-27 02:18:34.034</v>
      </c>
      <c r="H225" t="s">
        <v>21</v>
      </c>
    </row>
    <row r="226" spans="1:10" x14ac:dyDescent="0.25">
      <c r="A226" s="1">
        <v>17</v>
      </c>
      <c r="B226" t="s">
        <v>38</v>
      </c>
      <c r="C226">
        <v>61</v>
      </c>
      <c r="D226">
        <v>2</v>
      </c>
      <c r="E226" t="s">
        <v>46</v>
      </c>
      <c r="F226" t="s">
        <v>47</v>
      </c>
      <c r="G226" t="str">
        <f>"2026-05-27 02:18:16.434"</f>
        <v>2026-05-27 02:18:16.434</v>
      </c>
      <c r="H226" t="s">
        <v>21</v>
      </c>
      <c r="I226">
        <v>30.81</v>
      </c>
      <c r="J226" t="s">
        <v>28</v>
      </c>
    </row>
    <row r="227" spans="1:10" x14ac:dyDescent="0.25">
      <c r="A227" s="1">
        <v>18</v>
      </c>
      <c r="B227" t="s">
        <v>23</v>
      </c>
      <c r="C227">
        <v>635</v>
      </c>
      <c r="D227">
        <v>1</v>
      </c>
      <c r="E227" t="s">
        <v>24</v>
      </c>
      <c r="F227" t="s">
        <v>25</v>
      </c>
      <c r="G227" t="str">
        <f>"2026-05-26 22:38:04.673"</f>
        <v>2026-05-26 22:38:04.673</v>
      </c>
      <c r="H227" t="s">
        <v>21</v>
      </c>
    </row>
    <row r="228" spans="1:10" x14ac:dyDescent="0.25">
      <c r="A228" s="1">
        <v>19</v>
      </c>
      <c r="B228" t="s">
        <v>26</v>
      </c>
      <c r="C228">
        <v>635</v>
      </c>
      <c r="D228">
        <v>1</v>
      </c>
      <c r="E228" t="s">
        <v>24</v>
      </c>
      <c r="F228" t="s">
        <v>25</v>
      </c>
      <c r="G228" t="str">
        <f>"2026-05-26 22:35:46.173"</f>
        <v>2026-05-26 22:35:46.173</v>
      </c>
      <c r="H228" t="s">
        <v>21</v>
      </c>
      <c r="I228">
        <v>2.75</v>
      </c>
      <c r="J228" t="s">
        <v>28</v>
      </c>
    </row>
    <row r="229" spans="1:10" x14ac:dyDescent="0.25">
      <c r="A229" s="1">
        <v>20</v>
      </c>
      <c r="B229" t="s">
        <v>23</v>
      </c>
      <c r="C229">
        <v>619</v>
      </c>
      <c r="D229">
        <v>1</v>
      </c>
      <c r="E229" t="s">
        <v>51</v>
      </c>
      <c r="F229" t="s">
        <v>25</v>
      </c>
      <c r="G229" t="str">
        <f>"2026-05-26 13:38:34.721"</f>
        <v>2026-05-26 13:38:34.721</v>
      </c>
      <c r="H229" t="s">
        <v>52</v>
      </c>
    </row>
    <row r="230" spans="1:10" x14ac:dyDescent="0.25">
      <c r="A230" s="1">
        <v>21</v>
      </c>
      <c r="B230" t="s">
        <v>26</v>
      </c>
      <c r="C230">
        <v>619</v>
      </c>
      <c r="D230">
        <v>1</v>
      </c>
      <c r="E230" t="s">
        <v>51</v>
      </c>
      <c r="F230" t="s">
        <v>25</v>
      </c>
      <c r="G230" t="str">
        <f>"2026-05-26 13:38:24.921"</f>
        <v>2026-05-26 13:38:24.921</v>
      </c>
      <c r="H230" t="s">
        <v>52</v>
      </c>
      <c r="I230">
        <v>0</v>
      </c>
      <c r="J230" t="s">
        <v>34</v>
      </c>
    </row>
    <row r="231" spans="1:10" x14ac:dyDescent="0.25">
      <c r="A231" s="1">
        <v>22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"2026-05-26 13:38:01.701"</f>
        <v>2026-05-26 13:38:01.701</v>
      </c>
      <c r="H231" t="s">
        <v>21</v>
      </c>
      <c r="I231">
        <v>0</v>
      </c>
      <c r="J231" t="s">
        <v>22</v>
      </c>
    </row>
    <row r="232" spans="1:10" x14ac:dyDescent="0.25">
      <c r="A232" s="1">
        <v>23</v>
      </c>
      <c r="B232" t="s">
        <v>19</v>
      </c>
      <c r="C232">
        <v>706</v>
      </c>
      <c r="D232">
        <v>2</v>
      </c>
      <c r="E232" t="s">
        <v>32</v>
      </c>
      <c r="F232" t="s">
        <v>33</v>
      </c>
      <c r="G232" t="str">
        <f>"2026-05-26 10:37:12.699"</f>
        <v>2026-05-26 10:37:12.699</v>
      </c>
      <c r="H232" t="s">
        <v>21</v>
      </c>
      <c r="I232">
        <v>0</v>
      </c>
      <c r="J232" t="s">
        <v>34</v>
      </c>
    </row>
    <row r="233" spans="1:10" x14ac:dyDescent="0.25">
      <c r="A233" s="1">
        <v>24</v>
      </c>
      <c r="B233" t="s">
        <v>23</v>
      </c>
      <c r="C233">
        <v>61</v>
      </c>
      <c r="D233">
        <v>2</v>
      </c>
      <c r="E233" t="s">
        <v>46</v>
      </c>
      <c r="F233" t="s">
        <v>47</v>
      </c>
      <c r="G233" t="str">
        <f>"2026-05-26 07:27:48.669"</f>
        <v>2026-05-26 07:27:48.669</v>
      </c>
      <c r="H233" t="s">
        <v>21</v>
      </c>
    </row>
    <row r="234" spans="1:10" x14ac:dyDescent="0.25">
      <c r="A234" s="1">
        <v>25</v>
      </c>
      <c r="B234" t="s">
        <v>38</v>
      </c>
      <c r="C234">
        <v>61</v>
      </c>
      <c r="D234">
        <v>2</v>
      </c>
      <c r="E234" t="s">
        <v>46</v>
      </c>
      <c r="F234" t="s">
        <v>47</v>
      </c>
      <c r="G234" t="str">
        <f>"2026-05-26 07:27:36.470"</f>
        <v>2026-05-26 07:27:36.470</v>
      </c>
      <c r="H234" t="s">
        <v>21</v>
      </c>
      <c r="I234">
        <v>29.37</v>
      </c>
      <c r="J234" t="s">
        <v>28</v>
      </c>
    </row>
    <row r="235" spans="1:10" x14ac:dyDescent="0.25">
      <c r="A235" s="1">
        <v>26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"2026-05-26 00:20:50.839"</f>
        <v>2026-05-26 00:20:50.839</v>
      </c>
      <c r="H235" t="s">
        <v>21</v>
      </c>
    </row>
    <row r="236" spans="1:10" x14ac:dyDescent="0.25">
      <c r="A236" s="1">
        <v>27</v>
      </c>
      <c r="B236" t="s">
        <v>23</v>
      </c>
      <c r="C236">
        <v>635</v>
      </c>
      <c r="D236">
        <v>1</v>
      </c>
      <c r="E236" t="s">
        <v>24</v>
      </c>
      <c r="F236" t="s">
        <v>25</v>
      </c>
      <c r="G236" t="str">
        <f>"2026-05-25 14:11:01.561"</f>
        <v>2026-05-25 14:11:01.561</v>
      </c>
      <c r="H236" t="s">
        <v>21</v>
      </c>
    </row>
    <row r="237" spans="1:10" x14ac:dyDescent="0.25">
      <c r="A237" s="1">
        <v>28</v>
      </c>
      <c r="B237" t="s">
        <v>26</v>
      </c>
      <c r="C237">
        <v>635</v>
      </c>
      <c r="D237">
        <v>1</v>
      </c>
      <c r="E237" t="s">
        <v>24</v>
      </c>
      <c r="F237" t="s">
        <v>25</v>
      </c>
      <c r="G237" t="str">
        <f>"2026-05-25 13:36:08.561"</f>
        <v>2026-05-25 13:36:08.561</v>
      </c>
      <c r="H237" t="s">
        <v>21</v>
      </c>
      <c r="I237">
        <v>3.65</v>
      </c>
      <c r="J237" t="s">
        <v>29</v>
      </c>
    </row>
    <row r="238" spans="1:10" x14ac:dyDescent="0.25">
      <c r="A238" s="1">
        <v>29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"2026-05-25 11:08:21.776"</f>
        <v>2026-05-25 11:08:21.776</v>
      </c>
      <c r="H238" t="s">
        <v>21</v>
      </c>
    </row>
    <row r="239" spans="1:10" x14ac:dyDescent="0.25">
      <c r="A239" s="1">
        <v>30</v>
      </c>
      <c r="B239" t="s">
        <v>19</v>
      </c>
      <c r="C239">
        <v>706</v>
      </c>
      <c r="D239">
        <v>4</v>
      </c>
      <c r="E239" t="s">
        <v>32</v>
      </c>
      <c r="F239" t="s">
        <v>48</v>
      </c>
      <c r="G239" t="str">
        <f>"2026-05-25 09:56:49.057"</f>
        <v>2026-05-25 09:56:49.057</v>
      </c>
      <c r="H239" t="s">
        <v>21</v>
      </c>
      <c r="I239">
        <v>0</v>
      </c>
      <c r="J239" t="s">
        <v>34</v>
      </c>
    </row>
    <row r="240" spans="1:10" x14ac:dyDescent="0.25">
      <c r="A240" s="1">
        <v>31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"2026-05-25 09:53:45.717"</f>
        <v>2026-05-25 09:53:45.717</v>
      </c>
      <c r="H240" t="s">
        <v>21</v>
      </c>
    </row>
    <row r="241" spans="1:10" x14ac:dyDescent="0.25">
      <c r="A241" s="1">
        <v>32</v>
      </c>
      <c r="B241" t="s">
        <v>19</v>
      </c>
      <c r="C241">
        <v>706</v>
      </c>
      <c r="D241">
        <v>4</v>
      </c>
      <c r="E241" t="s">
        <v>32</v>
      </c>
      <c r="F241" t="s">
        <v>48</v>
      </c>
      <c r="G241" t="str">
        <f>"2026-05-25 09:14:32.236"</f>
        <v>2026-05-25 09:14:32.236</v>
      </c>
      <c r="H241" t="s">
        <v>21</v>
      </c>
      <c r="I241">
        <v>0</v>
      </c>
      <c r="J241" t="s">
        <v>34</v>
      </c>
    </row>
    <row r="242" spans="1:10" x14ac:dyDescent="0.25">
      <c r="A242" s="1">
        <v>33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"2026-05-25 08:57:31.696"</f>
        <v>2026-05-25 08:57:31.696</v>
      </c>
      <c r="H242" t="s">
        <v>21</v>
      </c>
    </row>
    <row r="243" spans="1:10" x14ac:dyDescent="0.25">
      <c r="A243" s="1">
        <v>34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"2026-05-25 08:18:46.707"</f>
        <v>2026-05-25 08:18:46.707</v>
      </c>
      <c r="H243" t="s">
        <v>21</v>
      </c>
      <c r="I243">
        <v>0</v>
      </c>
      <c r="J243" t="s">
        <v>22</v>
      </c>
    </row>
    <row r="244" spans="1:10" x14ac:dyDescent="0.25">
      <c r="A244" s="1">
        <v>35</v>
      </c>
      <c r="B244" t="s">
        <v>19</v>
      </c>
      <c r="C244">
        <v>706</v>
      </c>
      <c r="D244">
        <v>3</v>
      </c>
      <c r="E244" t="s">
        <v>32</v>
      </c>
      <c r="F244" t="s">
        <v>39</v>
      </c>
      <c r="G244" t="str">
        <f>"2026-05-25 04:46:13.109"</f>
        <v>2026-05-25 04:46:13.109</v>
      </c>
      <c r="H244" t="s">
        <v>21</v>
      </c>
      <c r="I244">
        <v>0</v>
      </c>
      <c r="J244" t="s">
        <v>34</v>
      </c>
    </row>
    <row r="245" spans="1:10" x14ac:dyDescent="0.25">
      <c r="A245" s="1">
        <v>36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"2026-05-25 04:28:21.699"</f>
        <v>2026-05-25 04:28:21.699</v>
      </c>
      <c r="H245" t="s">
        <v>21</v>
      </c>
      <c r="I245">
        <v>0</v>
      </c>
      <c r="J245" t="s">
        <v>22</v>
      </c>
    </row>
    <row r="246" spans="1:10" x14ac:dyDescent="0.25">
      <c r="A246" s="1">
        <v>37</v>
      </c>
      <c r="B246" t="s">
        <v>23</v>
      </c>
      <c r="C246">
        <v>619</v>
      </c>
      <c r="D246">
        <v>1</v>
      </c>
      <c r="E246" t="s">
        <v>51</v>
      </c>
      <c r="F246" t="s">
        <v>25</v>
      </c>
      <c r="G246" t="str">
        <f>"2026-05-25 04:26:42.264"</f>
        <v>2026-05-25 04:26:42.264</v>
      </c>
      <c r="H246" t="s">
        <v>52</v>
      </c>
    </row>
    <row r="247" spans="1:10" x14ac:dyDescent="0.25">
      <c r="A247" s="1">
        <v>38</v>
      </c>
      <c r="B247" t="s">
        <v>26</v>
      </c>
      <c r="C247">
        <v>619</v>
      </c>
      <c r="D247">
        <v>1</v>
      </c>
      <c r="E247" t="s">
        <v>51</v>
      </c>
      <c r="F247" t="s">
        <v>25</v>
      </c>
      <c r="G247" t="str">
        <f>"2026-05-25 04:26:29.565"</f>
        <v>2026-05-25 04:26:29.565</v>
      </c>
      <c r="H247" t="s">
        <v>52</v>
      </c>
      <c r="I247">
        <v>0</v>
      </c>
      <c r="J247" t="s">
        <v>27</v>
      </c>
    </row>
    <row r="248" spans="1:10" x14ac:dyDescent="0.25">
      <c r="A248" s="1">
        <v>39</v>
      </c>
      <c r="B248" t="s">
        <v>19</v>
      </c>
      <c r="C248">
        <v>706</v>
      </c>
      <c r="D248">
        <v>4</v>
      </c>
      <c r="E248" t="s">
        <v>32</v>
      </c>
      <c r="F248" t="s">
        <v>48</v>
      </c>
      <c r="G248" t="str">
        <f>"2026-05-25 04:25:38.984"</f>
        <v>2026-05-25 04:25:38.984</v>
      </c>
      <c r="H248" t="s">
        <v>21</v>
      </c>
      <c r="I248">
        <v>0</v>
      </c>
      <c r="J248" t="s">
        <v>34</v>
      </c>
    </row>
    <row r="249" spans="1:10" x14ac:dyDescent="0.25">
      <c r="A249" s="1">
        <v>40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"2026-05-25 03:51:35.694"</f>
        <v>2026-05-25 03:51:35.694</v>
      </c>
      <c r="H249" t="s">
        <v>21</v>
      </c>
      <c r="I249">
        <v>0</v>
      </c>
      <c r="J249" t="s">
        <v>22</v>
      </c>
    </row>
    <row r="250" spans="1:10" x14ac:dyDescent="0.25">
      <c r="A250" s="1">
        <v>41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"2026-05-25 03:30:04.715"</f>
        <v>2026-05-25 03:30:04.715</v>
      </c>
      <c r="H250" t="s">
        <v>21</v>
      </c>
      <c r="I250">
        <v>0</v>
      </c>
      <c r="J250" t="s">
        <v>22</v>
      </c>
    </row>
    <row r="251" spans="1:10" x14ac:dyDescent="0.25">
      <c r="A251" s="1">
        <v>42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"2026-05-25 03:18:49.962"</f>
        <v>2026-05-25 03:18:49.962</v>
      </c>
      <c r="H251" t="s">
        <v>21</v>
      </c>
    </row>
    <row r="252" spans="1:10" x14ac:dyDescent="0.25">
      <c r="A252" s="1">
        <v>43</v>
      </c>
      <c r="B252" t="s">
        <v>23</v>
      </c>
      <c r="C252">
        <v>619</v>
      </c>
      <c r="D252">
        <v>1</v>
      </c>
      <c r="E252" t="s">
        <v>51</v>
      </c>
      <c r="F252" t="s">
        <v>25</v>
      </c>
      <c r="G252" t="str">
        <f>"2026-05-25 02:36:12.324"</f>
        <v>2026-05-25 02:36:12.324</v>
      </c>
      <c r="H252" t="s">
        <v>52</v>
      </c>
    </row>
    <row r="253" spans="1:10" x14ac:dyDescent="0.25">
      <c r="A253" s="1">
        <v>44</v>
      </c>
      <c r="B253" t="s">
        <v>26</v>
      </c>
      <c r="C253">
        <v>619</v>
      </c>
      <c r="D253">
        <v>1</v>
      </c>
      <c r="E253" t="s">
        <v>51</v>
      </c>
      <c r="F253" t="s">
        <v>25</v>
      </c>
      <c r="G253" t="str">
        <f>"2026-05-25 02:36:01.476"</f>
        <v>2026-05-25 02:36:01.476</v>
      </c>
      <c r="H253" t="s">
        <v>52</v>
      </c>
      <c r="I253">
        <v>0</v>
      </c>
      <c r="J253" t="s">
        <v>27</v>
      </c>
    </row>
    <row r="254" spans="1:10" x14ac:dyDescent="0.25">
      <c r="A254" s="1">
        <v>45</v>
      </c>
      <c r="B254" t="s">
        <v>23</v>
      </c>
      <c r="C254">
        <v>635</v>
      </c>
      <c r="D254">
        <v>1</v>
      </c>
      <c r="E254" t="s">
        <v>24</v>
      </c>
      <c r="F254" t="s">
        <v>25</v>
      </c>
      <c r="G254" t="str">
        <f>"2026-05-24 23:17:22.576"</f>
        <v>2026-05-24 23:17:22.576</v>
      </c>
      <c r="H254" t="s">
        <v>21</v>
      </c>
    </row>
    <row r="255" spans="1:10" x14ac:dyDescent="0.25">
      <c r="A255" s="1">
        <v>46</v>
      </c>
      <c r="B255" t="s">
        <v>26</v>
      </c>
      <c r="C255">
        <v>635</v>
      </c>
      <c r="D255">
        <v>1</v>
      </c>
      <c r="E255" t="s">
        <v>24</v>
      </c>
      <c r="F255" t="s">
        <v>25</v>
      </c>
      <c r="G255" t="str">
        <f>"2026-05-24 23:12:48.077"</f>
        <v>2026-05-24 23:12:48.077</v>
      </c>
      <c r="H255" t="s">
        <v>21</v>
      </c>
      <c r="I255">
        <v>0.81</v>
      </c>
      <c r="J255" t="s">
        <v>28</v>
      </c>
    </row>
    <row r="256" spans="1:10" x14ac:dyDescent="0.25">
      <c r="A256" s="1">
        <v>47</v>
      </c>
      <c r="B256" t="s">
        <v>23</v>
      </c>
      <c r="C256">
        <v>635</v>
      </c>
      <c r="D256">
        <v>1</v>
      </c>
      <c r="E256" t="s">
        <v>24</v>
      </c>
      <c r="F256" t="s">
        <v>25</v>
      </c>
      <c r="G256" t="str">
        <f>"2026-05-24 20:36:40.476"</f>
        <v>2026-05-24 20:36:40.476</v>
      </c>
      <c r="H256" t="s">
        <v>21</v>
      </c>
    </row>
    <row r="257" spans="1:10" x14ac:dyDescent="0.25">
      <c r="A257" s="1">
        <v>48</v>
      </c>
      <c r="B257" t="s">
        <v>26</v>
      </c>
      <c r="C257">
        <v>635</v>
      </c>
      <c r="D257">
        <v>1</v>
      </c>
      <c r="E257" t="s">
        <v>24</v>
      </c>
      <c r="F257" t="s">
        <v>25</v>
      </c>
      <c r="G257" t="str">
        <f>"2026-05-24 20:30:52.977"</f>
        <v>2026-05-24 20:30:52.977</v>
      </c>
      <c r="H257" t="s">
        <v>21</v>
      </c>
      <c r="I257">
        <v>0.53</v>
      </c>
      <c r="J257" t="s">
        <v>27</v>
      </c>
    </row>
    <row r="258" spans="1:10" x14ac:dyDescent="0.25">
      <c r="A258" s="1">
        <v>49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"2026-05-24 20:18:49.706"</f>
        <v>2026-05-24 20:18:49.706</v>
      </c>
      <c r="H258" t="s">
        <v>21</v>
      </c>
      <c r="I258">
        <v>0</v>
      </c>
      <c r="J258" t="s">
        <v>22</v>
      </c>
    </row>
    <row r="259" spans="1:10" x14ac:dyDescent="0.25">
      <c r="A259" s="1">
        <v>50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"2026-05-24 19:45:32.921"</f>
        <v>2026-05-24 19:45:32.921</v>
      </c>
      <c r="H259" t="s">
        <v>21</v>
      </c>
      <c r="I259">
        <v>0</v>
      </c>
      <c r="J259" t="s">
        <v>22</v>
      </c>
    </row>
    <row r="260" spans="1:10" s="3" customFormat="1" x14ac:dyDescent="0.25">
      <c r="A260" s="2">
        <v>51</v>
      </c>
      <c r="B260" s="3" t="s">
        <v>23</v>
      </c>
      <c r="C260" s="3">
        <v>647</v>
      </c>
      <c r="D260" s="3">
        <v>1</v>
      </c>
      <c r="E260" s="3" t="s">
        <v>30</v>
      </c>
      <c r="F260" s="3" t="s">
        <v>31</v>
      </c>
      <c r="G260" s="3" t="str">
        <f>"2026-05-24 17:09:56.428"</f>
        <v>2026-05-24 17:09:56.428</v>
      </c>
      <c r="H260" s="3" t="s">
        <v>21</v>
      </c>
    </row>
    <row r="261" spans="1:10" s="3" customFormat="1" x14ac:dyDescent="0.25">
      <c r="A261" s="2">
        <v>52</v>
      </c>
      <c r="B261" s="3" t="s">
        <v>26</v>
      </c>
      <c r="C261" s="3">
        <v>647</v>
      </c>
      <c r="D261" s="3">
        <v>1</v>
      </c>
      <c r="E261" s="3" t="s">
        <v>30</v>
      </c>
      <c r="F261" s="3" t="s">
        <v>31</v>
      </c>
      <c r="G261" s="3" t="str">
        <f>"2026-05-24 17:09:53.129"</f>
        <v>2026-05-24 17:09:53.129</v>
      </c>
      <c r="H261" s="3" t="s">
        <v>21</v>
      </c>
      <c r="I261" s="3">
        <v>10.31</v>
      </c>
      <c r="J261" s="3" t="s">
        <v>28</v>
      </c>
    </row>
    <row r="262" spans="1:10" x14ac:dyDescent="0.25">
      <c r="A262" s="1">
        <v>53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"2026-05-24 14:01:53.705"</f>
        <v>2026-05-24 14:01:53.705</v>
      </c>
      <c r="H262" t="s">
        <v>21</v>
      </c>
    </row>
    <row r="263" spans="1:10" x14ac:dyDescent="0.25">
      <c r="A263" s="1">
        <v>54</v>
      </c>
      <c r="B263" t="s">
        <v>19</v>
      </c>
      <c r="C263">
        <v>706</v>
      </c>
      <c r="D263">
        <v>2</v>
      </c>
      <c r="E263" t="s">
        <v>32</v>
      </c>
      <c r="F263" t="s">
        <v>33</v>
      </c>
      <c r="G263" t="str">
        <f>"2026-05-24 05:13:49.049"</f>
        <v>2026-05-24 05:13:49.049</v>
      </c>
      <c r="H263" t="s">
        <v>21</v>
      </c>
      <c r="I263">
        <v>0</v>
      </c>
      <c r="J263" t="s">
        <v>34</v>
      </c>
    </row>
    <row r="264" spans="1:10" x14ac:dyDescent="0.25">
      <c r="A264" s="1">
        <v>55</v>
      </c>
      <c r="B264" t="s">
        <v>23</v>
      </c>
      <c r="C264">
        <v>619</v>
      </c>
      <c r="D264">
        <v>1</v>
      </c>
      <c r="E264" t="s">
        <v>51</v>
      </c>
      <c r="F264" t="s">
        <v>25</v>
      </c>
      <c r="G264" t="str">
        <f>"2026-05-24 05:13:40.676"</f>
        <v>2026-05-24 05:13:40.676</v>
      </c>
      <c r="H264" t="s">
        <v>52</v>
      </c>
    </row>
    <row r="265" spans="1:10" x14ac:dyDescent="0.25">
      <c r="A265" s="1">
        <v>56</v>
      </c>
      <c r="B265" t="s">
        <v>26</v>
      </c>
      <c r="C265">
        <v>619</v>
      </c>
      <c r="D265">
        <v>1</v>
      </c>
      <c r="E265" t="s">
        <v>51</v>
      </c>
      <c r="F265" t="s">
        <v>25</v>
      </c>
      <c r="G265" t="str">
        <f>"2026-05-24 05:13:23.928"</f>
        <v>2026-05-24 05:13:23.928</v>
      </c>
      <c r="H265" t="s">
        <v>52</v>
      </c>
      <c r="I265">
        <v>0</v>
      </c>
      <c r="J265" t="s">
        <v>27</v>
      </c>
    </row>
    <row r="266" spans="1:10" x14ac:dyDescent="0.25">
      <c r="A266" s="1">
        <v>57</v>
      </c>
      <c r="B266" t="s">
        <v>23</v>
      </c>
      <c r="C266">
        <v>619</v>
      </c>
      <c r="D266">
        <v>1</v>
      </c>
      <c r="E266" t="s">
        <v>51</v>
      </c>
      <c r="F266" t="s">
        <v>25</v>
      </c>
      <c r="G266" t="str">
        <f>"2026-05-24 05:13:09.776"</f>
        <v>2026-05-24 05:13:09.776</v>
      </c>
      <c r="H266" t="s">
        <v>52</v>
      </c>
    </row>
    <row r="267" spans="1:10" x14ac:dyDescent="0.25">
      <c r="A267" s="1">
        <v>58</v>
      </c>
      <c r="B267" t="s">
        <v>26</v>
      </c>
      <c r="C267">
        <v>619</v>
      </c>
      <c r="D267">
        <v>1</v>
      </c>
      <c r="E267" t="s">
        <v>51</v>
      </c>
      <c r="F267" t="s">
        <v>25</v>
      </c>
      <c r="G267" t="str">
        <f>"2026-05-24 05:11:38.876"</f>
        <v>2026-05-24 05:11:38.876</v>
      </c>
      <c r="H267" t="s">
        <v>52</v>
      </c>
      <c r="I267">
        <v>10.63</v>
      </c>
      <c r="J267" t="s">
        <v>28</v>
      </c>
    </row>
    <row r="268" spans="1:10" x14ac:dyDescent="0.25">
      <c r="A268" s="1">
        <v>59</v>
      </c>
      <c r="B268" t="s">
        <v>23</v>
      </c>
      <c r="C268">
        <v>619</v>
      </c>
      <c r="D268">
        <v>1</v>
      </c>
      <c r="E268" t="s">
        <v>51</v>
      </c>
      <c r="F268" t="s">
        <v>25</v>
      </c>
      <c r="G268" t="str">
        <f>"2026-05-24 05:08:38.328"</f>
        <v>2026-05-24 05:08:38.328</v>
      </c>
      <c r="H268" t="s">
        <v>52</v>
      </c>
    </row>
    <row r="269" spans="1:10" x14ac:dyDescent="0.25">
      <c r="A269" s="1">
        <v>60</v>
      </c>
      <c r="B269" t="s">
        <v>26</v>
      </c>
      <c r="C269">
        <v>619</v>
      </c>
      <c r="D269">
        <v>1</v>
      </c>
      <c r="E269" t="s">
        <v>51</v>
      </c>
      <c r="F269" t="s">
        <v>25</v>
      </c>
      <c r="G269" t="str">
        <f>"2026-05-24 05:08:24.428"</f>
        <v>2026-05-24 05:08:24.428</v>
      </c>
      <c r="H269" t="s">
        <v>52</v>
      </c>
      <c r="I269">
        <v>22.91</v>
      </c>
      <c r="J269" t="s">
        <v>29</v>
      </c>
    </row>
    <row r="270" spans="1:10" x14ac:dyDescent="0.25">
      <c r="A270" s="1">
        <v>61</v>
      </c>
      <c r="B270" t="s">
        <v>23</v>
      </c>
      <c r="C270">
        <v>619</v>
      </c>
      <c r="D270">
        <v>1</v>
      </c>
      <c r="E270" t="s">
        <v>51</v>
      </c>
      <c r="F270" t="s">
        <v>25</v>
      </c>
      <c r="G270" t="str">
        <f>"2026-05-24 05:06:51.228"</f>
        <v>2026-05-24 05:06:51.228</v>
      </c>
      <c r="H270" t="s">
        <v>52</v>
      </c>
    </row>
    <row r="271" spans="1:10" x14ac:dyDescent="0.25">
      <c r="A271" s="1">
        <v>62</v>
      </c>
      <c r="B271" t="s">
        <v>26</v>
      </c>
      <c r="C271">
        <v>619</v>
      </c>
      <c r="D271">
        <v>1</v>
      </c>
      <c r="E271" t="s">
        <v>51</v>
      </c>
      <c r="F271" t="s">
        <v>25</v>
      </c>
      <c r="G271" t="str">
        <f>"2026-05-24 05:06:15.476"</f>
        <v>2026-05-24 05:06:15.476</v>
      </c>
      <c r="H271" t="s">
        <v>52</v>
      </c>
      <c r="I271">
        <v>12.84</v>
      </c>
      <c r="J271" t="s">
        <v>28</v>
      </c>
    </row>
    <row r="272" spans="1:10" x14ac:dyDescent="0.25">
      <c r="A272" s="1">
        <v>63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"2026-05-24 04:50:55.829"</f>
        <v>2026-05-24 04:50:55.829</v>
      </c>
      <c r="H272" t="s">
        <v>21</v>
      </c>
    </row>
    <row r="273" spans="1:10" x14ac:dyDescent="0.25">
      <c r="A273" s="1">
        <v>64</v>
      </c>
      <c r="B273" t="s">
        <v>23</v>
      </c>
      <c r="C273">
        <v>619</v>
      </c>
      <c r="D273">
        <v>1</v>
      </c>
      <c r="E273" t="s">
        <v>51</v>
      </c>
      <c r="F273" t="s">
        <v>25</v>
      </c>
      <c r="G273" t="str">
        <f>"2026-05-24 04:42:12.730"</f>
        <v>2026-05-24 04:42:12.730</v>
      </c>
      <c r="H273" t="s">
        <v>52</v>
      </c>
    </row>
    <row r="274" spans="1:10" x14ac:dyDescent="0.25">
      <c r="A274" s="1">
        <v>65</v>
      </c>
      <c r="B274" t="s">
        <v>26</v>
      </c>
      <c r="C274">
        <v>619</v>
      </c>
      <c r="D274">
        <v>1</v>
      </c>
      <c r="E274" t="s">
        <v>51</v>
      </c>
      <c r="F274" t="s">
        <v>25</v>
      </c>
      <c r="G274" t="str">
        <f>"2026-05-24 04:42:04.030"</f>
        <v>2026-05-24 04:42:04.030</v>
      </c>
      <c r="H274" t="s">
        <v>52</v>
      </c>
      <c r="I274">
        <v>0</v>
      </c>
      <c r="J274" t="s">
        <v>27</v>
      </c>
    </row>
    <row r="275" spans="1:10" x14ac:dyDescent="0.25">
      <c r="A275" s="1">
        <v>66</v>
      </c>
      <c r="B275" t="s">
        <v>23</v>
      </c>
      <c r="C275">
        <v>619</v>
      </c>
      <c r="D275">
        <v>1</v>
      </c>
      <c r="E275" t="s">
        <v>51</v>
      </c>
      <c r="F275" t="s">
        <v>25</v>
      </c>
      <c r="G275" t="str">
        <f>"2026-05-24 04:40:17.277"</f>
        <v>2026-05-24 04:40:17.277</v>
      </c>
      <c r="H275" t="s">
        <v>52</v>
      </c>
    </row>
    <row r="276" spans="1:10" x14ac:dyDescent="0.25">
      <c r="A276" s="1">
        <v>67</v>
      </c>
      <c r="B276" t="s">
        <v>26</v>
      </c>
      <c r="C276">
        <v>619</v>
      </c>
      <c r="D276">
        <v>1</v>
      </c>
      <c r="E276" t="s">
        <v>51</v>
      </c>
      <c r="F276" t="s">
        <v>25</v>
      </c>
      <c r="G276" t="str">
        <f>"2026-05-24 04:40:02.330"</f>
        <v>2026-05-24 04:40:02.330</v>
      </c>
      <c r="H276" t="s">
        <v>52</v>
      </c>
      <c r="I276">
        <v>0</v>
      </c>
      <c r="J276" t="s">
        <v>27</v>
      </c>
    </row>
    <row r="277" spans="1:10" x14ac:dyDescent="0.25">
      <c r="A277" s="1">
        <v>68</v>
      </c>
      <c r="B277" t="s">
        <v>23</v>
      </c>
      <c r="C277">
        <v>619</v>
      </c>
      <c r="D277">
        <v>1</v>
      </c>
      <c r="E277" t="s">
        <v>51</v>
      </c>
      <c r="F277" t="s">
        <v>25</v>
      </c>
      <c r="G277" t="str">
        <f>"2026-05-24 04:39:38.830"</f>
        <v>2026-05-24 04:39:38.830</v>
      </c>
      <c r="H277" t="s">
        <v>52</v>
      </c>
    </row>
    <row r="278" spans="1:10" x14ac:dyDescent="0.25">
      <c r="A278" s="1">
        <v>69</v>
      </c>
      <c r="B278" t="s">
        <v>26</v>
      </c>
      <c r="C278">
        <v>619</v>
      </c>
      <c r="D278">
        <v>1</v>
      </c>
      <c r="E278" t="s">
        <v>51</v>
      </c>
      <c r="F278" t="s">
        <v>25</v>
      </c>
      <c r="G278" t="str">
        <f>"2026-05-24 04:39:17.630"</f>
        <v>2026-05-24 04:39:17.630</v>
      </c>
      <c r="H278" t="s">
        <v>52</v>
      </c>
      <c r="I278">
        <v>0</v>
      </c>
      <c r="J278" t="s">
        <v>27</v>
      </c>
    </row>
    <row r="279" spans="1:10" x14ac:dyDescent="0.25">
      <c r="A279" s="1">
        <v>70</v>
      </c>
      <c r="B279" t="s">
        <v>23</v>
      </c>
      <c r="C279">
        <v>619</v>
      </c>
      <c r="D279">
        <v>1</v>
      </c>
      <c r="E279" t="s">
        <v>51</v>
      </c>
      <c r="F279" t="s">
        <v>25</v>
      </c>
      <c r="G279" t="str">
        <f>"2026-05-24 04:38:28.077"</f>
        <v>2026-05-24 04:38:28.077</v>
      </c>
      <c r="H279" t="s">
        <v>52</v>
      </c>
    </row>
    <row r="280" spans="1:10" x14ac:dyDescent="0.25">
      <c r="A280" s="1">
        <v>71</v>
      </c>
      <c r="B280" t="s">
        <v>26</v>
      </c>
      <c r="C280">
        <v>619</v>
      </c>
      <c r="D280">
        <v>1</v>
      </c>
      <c r="E280" t="s">
        <v>51</v>
      </c>
      <c r="F280" t="s">
        <v>25</v>
      </c>
      <c r="G280" t="str">
        <f>"2026-05-24 04:38:19.377"</f>
        <v>2026-05-24 04:38:19.377</v>
      </c>
      <c r="H280" t="s">
        <v>52</v>
      </c>
      <c r="I280">
        <v>0</v>
      </c>
      <c r="J280" t="s">
        <v>27</v>
      </c>
    </row>
    <row r="281" spans="1:10" x14ac:dyDescent="0.25">
      <c r="A281" s="1">
        <v>72</v>
      </c>
      <c r="B281" t="s">
        <v>23</v>
      </c>
      <c r="C281">
        <v>619</v>
      </c>
      <c r="D281">
        <v>1</v>
      </c>
      <c r="E281" t="s">
        <v>51</v>
      </c>
      <c r="F281" t="s">
        <v>25</v>
      </c>
      <c r="G281" t="str">
        <f>"2026-05-24 04:37:50.676"</f>
        <v>2026-05-24 04:37:50.676</v>
      </c>
      <c r="H281" t="s">
        <v>52</v>
      </c>
    </row>
    <row r="282" spans="1:10" x14ac:dyDescent="0.25">
      <c r="A282" s="1">
        <v>73</v>
      </c>
      <c r="B282" t="s">
        <v>26</v>
      </c>
      <c r="C282">
        <v>619</v>
      </c>
      <c r="D282">
        <v>1</v>
      </c>
      <c r="E282" t="s">
        <v>51</v>
      </c>
      <c r="F282" t="s">
        <v>25</v>
      </c>
      <c r="G282" t="str">
        <f>"2026-05-24 04:37:42.977"</f>
        <v>2026-05-24 04:37:42.977</v>
      </c>
      <c r="H282" t="s">
        <v>52</v>
      </c>
      <c r="I282">
        <v>0</v>
      </c>
      <c r="J282" t="s">
        <v>27</v>
      </c>
    </row>
    <row r="283" spans="1:10" x14ac:dyDescent="0.25">
      <c r="A283" s="1">
        <v>74</v>
      </c>
      <c r="B283" t="s">
        <v>23</v>
      </c>
      <c r="C283">
        <v>619</v>
      </c>
      <c r="D283">
        <v>1</v>
      </c>
      <c r="E283" t="s">
        <v>51</v>
      </c>
      <c r="F283" t="s">
        <v>25</v>
      </c>
      <c r="G283" t="str">
        <f>"2026-05-24 04:37:36.077"</f>
        <v>2026-05-24 04:37:36.077</v>
      </c>
      <c r="H283" t="s">
        <v>52</v>
      </c>
    </row>
    <row r="284" spans="1:10" x14ac:dyDescent="0.25">
      <c r="A284" s="1">
        <v>75</v>
      </c>
      <c r="B284" t="s">
        <v>26</v>
      </c>
      <c r="C284">
        <v>619</v>
      </c>
      <c r="D284">
        <v>1</v>
      </c>
      <c r="E284" t="s">
        <v>51</v>
      </c>
      <c r="F284" t="s">
        <v>25</v>
      </c>
      <c r="G284" t="str">
        <f>"2026-05-24 04:33:26.077"</f>
        <v>2026-05-24 04:33:26.077</v>
      </c>
      <c r="H284" t="s">
        <v>52</v>
      </c>
      <c r="I284">
        <v>4.26</v>
      </c>
      <c r="J284" t="s">
        <v>29</v>
      </c>
    </row>
    <row r="285" spans="1:10" x14ac:dyDescent="0.25">
      <c r="A285" s="1">
        <v>80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"2026-05-23 19:28:02.139"</f>
        <v>2026-05-23 19:28:02.139</v>
      </c>
      <c r="H285" t="s">
        <v>21</v>
      </c>
      <c r="I285">
        <v>0</v>
      </c>
      <c r="J285" t="s">
        <v>22</v>
      </c>
    </row>
    <row r="286" spans="1:10" x14ac:dyDescent="0.25">
      <c r="A286" s="1">
        <v>81</v>
      </c>
      <c r="B286" t="s">
        <v>23</v>
      </c>
      <c r="C286">
        <v>635</v>
      </c>
      <c r="D286">
        <v>1</v>
      </c>
      <c r="E286" t="s">
        <v>24</v>
      </c>
      <c r="F286" t="s">
        <v>25</v>
      </c>
      <c r="G286" t="str">
        <f>"2026-05-23 15:33:51.821"</f>
        <v>2026-05-23 15:33:51.821</v>
      </c>
      <c r="H286" t="s">
        <v>21</v>
      </c>
    </row>
    <row r="287" spans="1:10" x14ac:dyDescent="0.25">
      <c r="A287" s="1">
        <v>82</v>
      </c>
      <c r="B287" t="s">
        <v>26</v>
      </c>
      <c r="C287">
        <v>635</v>
      </c>
      <c r="D287">
        <v>1</v>
      </c>
      <c r="E287" t="s">
        <v>24</v>
      </c>
      <c r="F287" t="s">
        <v>25</v>
      </c>
      <c r="G287" t="str">
        <f>"2026-05-23 15:27:15.921"</f>
        <v>2026-05-23 15:27:15.921</v>
      </c>
      <c r="H287" t="s">
        <v>21</v>
      </c>
      <c r="I287">
        <v>1.35</v>
      </c>
      <c r="J287" t="s">
        <v>29</v>
      </c>
    </row>
    <row r="288" spans="1:10" x14ac:dyDescent="0.25">
      <c r="A288" s="1">
        <v>83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"2026-05-23 14:32:33.684"</f>
        <v>2026-05-23 14:32:33.684</v>
      </c>
      <c r="H288" t="s">
        <v>21</v>
      </c>
      <c r="I288">
        <v>0</v>
      </c>
      <c r="J288" t="s">
        <v>22</v>
      </c>
    </row>
    <row r="289" spans="1:10" x14ac:dyDescent="0.25">
      <c r="A289" s="1">
        <v>84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"2026-05-23 12:28:27.708"</f>
        <v>2026-05-23 12:28:27.708</v>
      </c>
      <c r="H289" t="s">
        <v>21</v>
      </c>
    </row>
    <row r="290" spans="1:10" x14ac:dyDescent="0.25">
      <c r="A290" s="1">
        <v>85</v>
      </c>
      <c r="B290" t="s">
        <v>23</v>
      </c>
      <c r="C290">
        <v>635</v>
      </c>
      <c r="D290">
        <v>1</v>
      </c>
      <c r="E290" t="s">
        <v>24</v>
      </c>
      <c r="F290" t="s">
        <v>25</v>
      </c>
      <c r="G290" t="str">
        <f>"2026-05-23 02:11:39.002"</f>
        <v>2026-05-23 02:11:39.002</v>
      </c>
      <c r="H290" t="s">
        <v>21</v>
      </c>
    </row>
    <row r="291" spans="1:10" x14ac:dyDescent="0.25">
      <c r="A291" s="1">
        <v>86</v>
      </c>
      <c r="B291" t="s">
        <v>26</v>
      </c>
      <c r="C291">
        <v>635</v>
      </c>
      <c r="D291">
        <v>1</v>
      </c>
      <c r="E291" t="s">
        <v>24</v>
      </c>
      <c r="F291" t="s">
        <v>25</v>
      </c>
      <c r="G291" t="str">
        <f>"2026-05-23 02:09:23.502"</f>
        <v>2026-05-23 02:09:23.502</v>
      </c>
      <c r="H291" t="s">
        <v>21</v>
      </c>
      <c r="I291">
        <v>1.04</v>
      </c>
      <c r="J291" t="s">
        <v>29</v>
      </c>
    </row>
    <row r="292" spans="1:10" s="3" customFormat="1" x14ac:dyDescent="0.25">
      <c r="A292" s="2">
        <v>87</v>
      </c>
      <c r="B292" s="3" t="s">
        <v>23</v>
      </c>
      <c r="C292" s="3">
        <v>647</v>
      </c>
      <c r="D292" s="3">
        <v>1</v>
      </c>
      <c r="E292" s="3" t="s">
        <v>30</v>
      </c>
      <c r="F292" s="3" t="s">
        <v>31</v>
      </c>
      <c r="G292" s="3" t="str">
        <f>"2026-05-23 00:09:59.702"</f>
        <v>2026-05-23 00:09:59.702</v>
      </c>
      <c r="H292" s="3" t="s">
        <v>21</v>
      </c>
    </row>
    <row r="293" spans="1:10" s="3" customFormat="1" x14ac:dyDescent="0.25">
      <c r="A293" s="2">
        <v>88</v>
      </c>
      <c r="B293" s="3" t="s">
        <v>26</v>
      </c>
      <c r="C293" s="3">
        <v>647</v>
      </c>
      <c r="D293" s="3">
        <v>1</v>
      </c>
      <c r="E293" s="3" t="s">
        <v>30</v>
      </c>
      <c r="F293" s="3" t="s">
        <v>31</v>
      </c>
      <c r="G293" s="3" t="str">
        <f>"2026-05-23 00:09:55.603"</f>
        <v>2026-05-23 00:09:55.603</v>
      </c>
      <c r="H293" s="3" t="s">
        <v>21</v>
      </c>
      <c r="I293" s="3">
        <v>14.84</v>
      </c>
      <c r="J293" s="3" t="s">
        <v>28</v>
      </c>
    </row>
    <row r="294" spans="1:10" x14ac:dyDescent="0.25">
      <c r="A294" s="1">
        <v>89</v>
      </c>
      <c r="B294" t="s">
        <v>23</v>
      </c>
      <c r="C294">
        <v>61</v>
      </c>
      <c r="D294">
        <v>2</v>
      </c>
      <c r="E294" t="s">
        <v>46</v>
      </c>
      <c r="F294" t="s">
        <v>47</v>
      </c>
      <c r="G294" t="str">
        <f>"2026-05-22 20:06:49.735"</f>
        <v>2026-05-22 20:06:49.735</v>
      </c>
      <c r="H294" t="s">
        <v>21</v>
      </c>
    </row>
    <row r="295" spans="1:10" x14ac:dyDescent="0.25">
      <c r="A295" s="1">
        <v>90</v>
      </c>
      <c r="B295" t="s">
        <v>38</v>
      </c>
      <c r="C295">
        <v>61</v>
      </c>
      <c r="D295">
        <v>2</v>
      </c>
      <c r="E295" t="s">
        <v>46</v>
      </c>
      <c r="F295" t="s">
        <v>47</v>
      </c>
      <c r="G295" t="str">
        <f>"2026-05-22 20:06:32.235"</f>
        <v>2026-05-22 20:06:32.235</v>
      </c>
      <c r="H295" t="s">
        <v>21</v>
      </c>
      <c r="I295">
        <v>30.54</v>
      </c>
      <c r="J295" t="s">
        <v>28</v>
      </c>
    </row>
    <row r="296" spans="1:10" s="3" customFormat="1" x14ac:dyDescent="0.25">
      <c r="A296" s="2">
        <v>91</v>
      </c>
      <c r="B296" s="3" t="s">
        <v>23</v>
      </c>
      <c r="C296" s="3">
        <v>647</v>
      </c>
      <c r="D296" s="3">
        <v>1</v>
      </c>
      <c r="E296" s="3" t="s">
        <v>30</v>
      </c>
      <c r="F296" s="3" t="s">
        <v>31</v>
      </c>
      <c r="G296" s="3" t="str">
        <f>"2026-05-22 17:50:03.903"</f>
        <v>2026-05-22 17:50:03.903</v>
      </c>
      <c r="H296" s="3" t="s">
        <v>21</v>
      </c>
    </row>
    <row r="297" spans="1:10" s="3" customFormat="1" x14ac:dyDescent="0.25">
      <c r="A297" s="2">
        <v>92</v>
      </c>
      <c r="B297" s="3" t="s">
        <v>26</v>
      </c>
      <c r="C297" s="3">
        <v>647</v>
      </c>
      <c r="D297" s="3">
        <v>1</v>
      </c>
      <c r="E297" s="3" t="s">
        <v>30</v>
      </c>
      <c r="F297" s="3" t="s">
        <v>31</v>
      </c>
      <c r="G297" s="3" t="str">
        <f>"2026-05-22 17:50:00.503"</f>
        <v>2026-05-22 17:50:00.503</v>
      </c>
      <c r="H297" s="3" t="s">
        <v>21</v>
      </c>
      <c r="I297" s="3">
        <v>9.93</v>
      </c>
      <c r="J297" s="3" t="s">
        <v>28</v>
      </c>
    </row>
    <row r="298" spans="1:10" x14ac:dyDescent="0.25">
      <c r="A298" s="1">
        <v>93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"2026-05-22 15:49:28.684"</f>
        <v>2026-05-22 15:49:28.684</v>
      </c>
      <c r="H298" t="s">
        <v>21</v>
      </c>
      <c r="I298">
        <v>0</v>
      </c>
      <c r="J298" t="s">
        <v>22</v>
      </c>
    </row>
    <row r="299" spans="1:10" x14ac:dyDescent="0.25">
      <c r="A299" s="1">
        <v>94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"2026-05-22 15:31:49.698"</f>
        <v>2026-05-22 15:31:49.698</v>
      </c>
      <c r="H299" t="s">
        <v>21</v>
      </c>
      <c r="I299">
        <v>0</v>
      </c>
      <c r="J299" t="s">
        <v>22</v>
      </c>
    </row>
    <row r="300" spans="1:10" x14ac:dyDescent="0.25">
      <c r="A300" s="1">
        <v>95</v>
      </c>
      <c r="B300" t="s">
        <v>23</v>
      </c>
      <c r="C300">
        <v>635</v>
      </c>
      <c r="D300">
        <v>1</v>
      </c>
      <c r="E300" t="s">
        <v>24</v>
      </c>
      <c r="F300" t="s">
        <v>25</v>
      </c>
      <c r="G300" t="str">
        <f>"2026-05-22 15:03:06.344"</f>
        <v>2026-05-22 15:03:06.344</v>
      </c>
      <c r="H300" t="s">
        <v>21</v>
      </c>
    </row>
    <row r="301" spans="1:10" x14ac:dyDescent="0.25">
      <c r="A301" s="1">
        <v>96</v>
      </c>
      <c r="B301" t="s">
        <v>26</v>
      </c>
      <c r="C301">
        <v>635</v>
      </c>
      <c r="D301">
        <v>1</v>
      </c>
      <c r="E301" t="s">
        <v>24</v>
      </c>
      <c r="F301" t="s">
        <v>25</v>
      </c>
      <c r="G301" t="str">
        <f>"2026-05-22 14:49:34.444"</f>
        <v>2026-05-22 14:49:34.444</v>
      </c>
      <c r="H301" t="s">
        <v>21</v>
      </c>
      <c r="I301">
        <v>7.01</v>
      </c>
      <c r="J301" t="s">
        <v>29</v>
      </c>
    </row>
    <row r="302" spans="1:10" x14ac:dyDescent="0.25">
      <c r="A302" s="1">
        <v>97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"2026-05-22 14:31:50.707"</f>
        <v>2026-05-22 14:31:50.707</v>
      </c>
      <c r="H302" t="s">
        <v>21</v>
      </c>
    </row>
    <row r="303" spans="1:10" x14ac:dyDescent="0.25">
      <c r="A303" s="1">
        <v>98</v>
      </c>
      <c r="B303" t="s">
        <v>23</v>
      </c>
      <c r="C303">
        <v>635</v>
      </c>
      <c r="D303">
        <v>1</v>
      </c>
      <c r="E303" t="s">
        <v>24</v>
      </c>
      <c r="F303" t="s">
        <v>25</v>
      </c>
      <c r="G303" t="str">
        <f>"2026-05-22 12:17:33.279"</f>
        <v>2026-05-22 12:17:33.279</v>
      </c>
      <c r="H303" t="s">
        <v>21</v>
      </c>
    </row>
    <row r="304" spans="1:10" x14ac:dyDescent="0.25">
      <c r="A304" s="1">
        <v>99</v>
      </c>
      <c r="B304" t="s">
        <v>26</v>
      </c>
      <c r="C304">
        <v>635</v>
      </c>
      <c r="D304">
        <v>1</v>
      </c>
      <c r="E304" t="s">
        <v>24</v>
      </c>
      <c r="F304" t="s">
        <v>25</v>
      </c>
      <c r="G304" t="str">
        <f>"2026-05-22 11:45:43.879"</f>
        <v>2026-05-22 11:45:43.879</v>
      </c>
      <c r="H304" t="s">
        <v>21</v>
      </c>
      <c r="I304">
        <v>8.8699999999999992</v>
      </c>
      <c r="J304" t="s">
        <v>28</v>
      </c>
    </row>
    <row r="305" spans="1:10" x14ac:dyDescent="0.25">
      <c r="A305" s="1">
        <v>0</v>
      </c>
      <c r="B305" t="s">
        <v>23</v>
      </c>
      <c r="C305">
        <v>635</v>
      </c>
      <c r="D305">
        <v>1</v>
      </c>
      <c r="E305" t="s">
        <v>24</v>
      </c>
      <c r="F305" t="s">
        <v>25</v>
      </c>
      <c r="G305" t="str">
        <f>"2026-05-22 02:44:24.679"</f>
        <v>2026-05-22 02:44:24.679</v>
      </c>
      <c r="H305" t="s">
        <v>21</v>
      </c>
    </row>
    <row r="306" spans="1:10" x14ac:dyDescent="0.25">
      <c r="A306" s="1">
        <v>1</v>
      </c>
      <c r="B306" t="s">
        <v>26</v>
      </c>
      <c r="C306">
        <v>635</v>
      </c>
      <c r="D306">
        <v>1</v>
      </c>
      <c r="E306" t="s">
        <v>24</v>
      </c>
      <c r="F306" t="s">
        <v>25</v>
      </c>
      <c r="G306" t="str">
        <f>"2026-05-22 02:40:45.179"</f>
        <v>2026-05-22 02:40:45.179</v>
      </c>
      <c r="H306" t="s">
        <v>21</v>
      </c>
      <c r="I306">
        <v>1.85</v>
      </c>
      <c r="J306" t="s">
        <v>27</v>
      </c>
    </row>
    <row r="307" spans="1:10" x14ac:dyDescent="0.25">
      <c r="A307" s="1">
        <v>2</v>
      </c>
      <c r="B307" t="s">
        <v>23</v>
      </c>
      <c r="C307">
        <v>635</v>
      </c>
      <c r="D307">
        <v>1</v>
      </c>
      <c r="E307" t="s">
        <v>24</v>
      </c>
      <c r="F307" t="s">
        <v>25</v>
      </c>
      <c r="G307" t="str">
        <f>"2026-05-21 22:02:21.279"</f>
        <v>2026-05-21 22:02:21.279</v>
      </c>
      <c r="H307" t="s">
        <v>21</v>
      </c>
    </row>
    <row r="308" spans="1:10" x14ac:dyDescent="0.25">
      <c r="A308" s="1">
        <v>3</v>
      </c>
      <c r="B308" t="s">
        <v>26</v>
      </c>
      <c r="C308">
        <v>635</v>
      </c>
      <c r="D308">
        <v>1</v>
      </c>
      <c r="E308" t="s">
        <v>24</v>
      </c>
      <c r="F308" t="s">
        <v>25</v>
      </c>
      <c r="G308" t="str">
        <f>"2026-05-21 21:58:54.279"</f>
        <v>2026-05-21 21:58:54.279</v>
      </c>
      <c r="H308" t="s">
        <v>21</v>
      </c>
      <c r="I308">
        <v>0.93</v>
      </c>
      <c r="J308" t="s">
        <v>28</v>
      </c>
    </row>
    <row r="309" spans="1:10" x14ac:dyDescent="0.25">
      <c r="A309" s="1">
        <v>4</v>
      </c>
      <c r="B309" t="s">
        <v>23</v>
      </c>
      <c r="C309">
        <v>635</v>
      </c>
      <c r="D309">
        <v>1</v>
      </c>
      <c r="E309" t="s">
        <v>24</v>
      </c>
      <c r="F309" t="s">
        <v>25</v>
      </c>
      <c r="G309" t="str">
        <f>"2026-05-21 20:04:44.079"</f>
        <v>2026-05-21 20:04:44.079</v>
      </c>
      <c r="H309" t="s">
        <v>21</v>
      </c>
    </row>
    <row r="310" spans="1:10" x14ac:dyDescent="0.25">
      <c r="A310" s="1">
        <v>5</v>
      </c>
      <c r="B310" t="s">
        <v>26</v>
      </c>
      <c r="C310">
        <v>635</v>
      </c>
      <c r="D310">
        <v>1</v>
      </c>
      <c r="E310" t="s">
        <v>24</v>
      </c>
      <c r="F310" t="s">
        <v>25</v>
      </c>
      <c r="G310" t="str">
        <f>"2026-05-21 19:57:45.579"</f>
        <v>2026-05-21 19:57:45.579</v>
      </c>
      <c r="H310" t="s">
        <v>21</v>
      </c>
      <c r="I310">
        <v>1.62</v>
      </c>
      <c r="J310" t="s">
        <v>27</v>
      </c>
    </row>
    <row r="311" spans="1:10" x14ac:dyDescent="0.25">
      <c r="A311" s="1">
        <v>6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"2026-05-21 13:44:39.681"</f>
        <v>2026-05-21 13:44:39.681</v>
      </c>
      <c r="H311" t="s">
        <v>21</v>
      </c>
      <c r="I311">
        <v>0</v>
      </c>
      <c r="J311" t="s">
        <v>22</v>
      </c>
    </row>
    <row r="312" spans="1:10" x14ac:dyDescent="0.25">
      <c r="A312" s="1">
        <v>7</v>
      </c>
      <c r="B312" t="s">
        <v>23</v>
      </c>
      <c r="C312">
        <v>635</v>
      </c>
      <c r="D312">
        <v>1</v>
      </c>
      <c r="E312" t="s">
        <v>24</v>
      </c>
      <c r="F312" t="s">
        <v>25</v>
      </c>
      <c r="G312" t="str">
        <f>"2026-05-21 06:08:38.826"</f>
        <v>2026-05-21 06:08:38.826</v>
      </c>
      <c r="H312" t="s">
        <v>21</v>
      </c>
    </row>
    <row r="313" spans="1:10" x14ac:dyDescent="0.25">
      <c r="A313" s="1">
        <v>8</v>
      </c>
      <c r="B313" t="s">
        <v>26</v>
      </c>
      <c r="C313">
        <v>635</v>
      </c>
      <c r="D313">
        <v>1</v>
      </c>
      <c r="E313" t="s">
        <v>24</v>
      </c>
      <c r="F313" t="s">
        <v>25</v>
      </c>
      <c r="G313" t="str">
        <f>"2026-05-21 06:06:22.326"</f>
        <v>2026-05-21 06:06:22.326</v>
      </c>
      <c r="H313" t="s">
        <v>21</v>
      </c>
      <c r="I313">
        <v>0.44</v>
      </c>
      <c r="J313" t="s">
        <v>28</v>
      </c>
    </row>
    <row r="314" spans="1:10" s="3" customFormat="1" x14ac:dyDescent="0.25">
      <c r="A314" s="2">
        <v>9</v>
      </c>
      <c r="B314" s="3" t="s">
        <v>23</v>
      </c>
      <c r="C314" s="3">
        <v>647</v>
      </c>
      <c r="D314" s="3">
        <v>1</v>
      </c>
      <c r="E314" s="3" t="s">
        <v>30</v>
      </c>
      <c r="F314" s="3" t="s">
        <v>31</v>
      </c>
      <c r="G314" s="3" t="str">
        <f>"2026-05-20 21:27:05.627"</f>
        <v>2026-05-20 21:27:05.627</v>
      </c>
      <c r="H314" s="3" t="s">
        <v>21</v>
      </c>
    </row>
    <row r="315" spans="1:10" s="3" customFormat="1" x14ac:dyDescent="0.25">
      <c r="A315" s="2">
        <v>10</v>
      </c>
      <c r="B315" s="3" t="s">
        <v>26</v>
      </c>
      <c r="C315" s="3">
        <v>647</v>
      </c>
      <c r="D315" s="3">
        <v>1</v>
      </c>
      <c r="E315" s="3" t="s">
        <v>30</v>
      </c>
      <c r="F315" s="3" t="s">
        <v>31</v>
      </c>
      <c r="G315" s="3" t="str">
        <f>"2026-05-20 21:27:02.227"</f>
        <v>2026-05-20 21:27:02.227</v>
      </c>
      <c r="H315" s="3" t="s">
        <v>21</v>
      </c>
      <c r="I315" s="3">
        <v>10.49</v>
      </c>
      <c r="J315" s="3" t="s">
        <v>27</v>
      </c>
    </row>
    <row r="316" spans="1:10" x14ac:dyDescent="0.25">
      <c r="A316" s="1">
        <v>11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"2026-05-20 18:00:08.675"</f>
        <v>2026-05-20 18:00:08.675</v>
      </c>
      <c r="H316" t="s">
        <v>21</v>
      </c>
      <c r="I316">
        <v>0</v>
      </c>
      <c r="J316" t="s">
        <v>22</v>
      </c>
    </row>
    <row r="317" spans="1:10" x14ac:dyDescent="0.25">
      <c r="A317" s="1">
        <v>12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"2026-05-20 13:09:44.690"</f>
        <v>2026-05-20 13:09:44.690</v>
      </c>
      <c r="H317" t="s">
        <v>21</v>
      </c>
      <c r="I317">
        <v>0</v>
      </c>
      <c r="J317" t="s">
        <v>22</v>
      </c>
    </row>
    <row r="318" spans="1:10" s="3" customFormat="1" x14ac:dyDescent="0.25">
      <c r="A318" s="2">
        <v>13</v>
      </c>
      <c r="B318" s="3" t="s">
        <v>23</v>
      </c>
      <c r="C318" s="3">
        <v>647</v>
      </c>
      <c r="D318" s="3">
        <v>1</v>
      </c>
      <c r="E318" s="3" t="s">
        <v>30</v>
      </c>
      <c r="F318" s="3" t="s">
        <v>31</v>
      </c>
      <c r="G318" s="3" t="str">
        <f>"2026-05-20 09:40:00.436"</f>
        <v>2026-05-20 09:40:00.436</v>
      </c>
      <c r="H318" s="3" t="s">
        <v>21</v>
      </c>
    </row>
    <row r="319" spans="1:10" s="3" customFormat="1" x14ac:dyDescent="0.25">
      <c r="A319" s="2">
        <v>14</v>
      </c>
      <c r="B319" s="3" t="s">
        <v>26</v>
      </c>
      <c r="C319" s="3">
        <v>647</v>
      </c>
      <c r="D319" s="3">
        <v>1</v>
      </c>
      <c r="E319" s="3" t="s">
        <v>30</v>
      </c>
      <c r="F319" s="3" t="s">
        <v>31</v>
      </c>
      <c r="G319" s="3" t="str">
        <f>"2026-05-20 09:39:54.536"</f>
        <v>2026-05-20 09:39:54.536</v>
      </c>
      <c r="H319" s="3" t="s">
        <v>21</v>
      </c>
      <c r="I319" s="3">
        <v>11.48</v>
      </c>
      <c r="J319" s="3" t="s">
        <v>28</v>
      </c>
    </row>
    <row r="320" spans="1:10" x14ac:dyDescent="0.25">
      <c r="A320" s="1">
        <v>15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"2026-05-20 09:30:28.685"</f>
        <v>2026-05-20 09:30:28.685</v>
      </c>
      <c r="H320" t="s">
        <v>21</v>
      </c>
      <c r="I320">
        <v>0</v>
      </c>
      <c r="J320" t="s">
        <v>22</v>
      </c>
    </row>
    <row r="321" spans="1:10" x14ac:dyDescent="0.25">
      <c r="A321" s="1">
        <v>16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"2026-05-19 15:20:32.680"</f>
        <v>2026-05-19 15:20:32.680</v>
      </c>
      <c r="H321" t="s">
        <v>21</v>
      </c>
      <c r="I321">
        <v>0</v>
      </c>
      <c r="J321" t="s">
        <v>22</v>
      </c>
    </row>
    <row r="322" spans="1:10" x14ac:dyDescent="0.25">
      <c r="A322" s="1">
        <v>17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"2026-05-19 08:24:47.705"</f>
        <v>2026-05-19 08:24:47.705</v>
      </c>
      <c r="H322" t="s">
        <v>21</v>
      </c>
      <c r="I322">
        <v>0</v>
      </c>
      <c r="J322" t="s">
        <v>22</v>
      </c>
    </row>
    <row r="323" spans="1:10" x14ac:dyDescent="0.25">
      <c r="A323" s="1">
        <v>18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"2026-05-18 13:41:26.683"</f>
        <v>2026-05-18 13:41:26.683</v>
      </c>
      <c r="H323" t="s">
        <v>21</v>
      </c>
      <c r="I323">
        <v>0</v>
      </c>
      <c r="J323" t="s">
        <v>22</v>
      </c>
    </row>
    <row r="324" spans="1:10" x14ac:dyDescent="0.25">
      <c r="A324" s="1">
        <v>19</v>
      </c>
      <c r="B324" t="s">
        <v>23</v>
      </c>
      <c r="C324">
        <v>635</v>
      </c>
      <c r="D324">
        <v>1</v>
      </c>
      <c r="E324" t="s">
        <v>24</v>
      </c>
      <c r="F324" t="s">
        <v>25</v>
      </c>
      <c r="G324" t="str">
        <f>"2026-05-17 17:30:13.257"</f>
        <v>2026-05-17 17:30:13.257</v>
      </c>
      <c r="H324" t="s">
        <v>21</v>
      </c>
    </row>
    <row r="325" spans="1:10" x14ac:dyDescent="0.25">
      <c r="A325" s="1">
        <v>20</v>
      </c>
      <c r="B325" t="s">
        <v>26</v>
      </c>
      <c r="C325">
        <v>635</v>
      </c>
      <c r="D325">
        <v>1</v>
      </c>
      <c r="E325" t="s">
        <v>24</v>
      </c>
      <c r="F325" t="s">
        <v>25</v>
      </c>
      <c r="G325" t="str">
        <f>"2026-05-17 17:27:25.258"</f>
        <v>2026-05-17 17:27:25.258</v>
      </c>
      <c r="H325" t="s">
        <v>21</v>
      </c>
      <c r="I325">
        <v>4.2699999999999996</v>
      </c>
      <c r="J325" t="s">
        <v>27</v>
      </c>
    </row>
    <row r="326" spans="1:10" x14ac:dyDescent="0.25">
      <c r="A326" s="1">
        <v>21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"2026-05-17 08:20:22.700"</f>
        <v>2026-05-17 08:20:22.700</v>
      </c>
      <c r="H326" t="s">
        <v>21</v>
      </c>
    </row>
    <row r="327" spans="1:10" x14ac:dyDescent="0.25">
      <c r="A327" s="1">
        <v>22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"2026-05-17 04:57:45.671"</f>
        <v>2026-05-17 04:57:45.671</v>
      </c>
      <c r="H327" t="s">
        <v>21</v>
      </c>
    </row>
    <row r="328" spans="1:10" x14ac:dyDescent="0.25">
      <c r="A328" s="1">
        <v>23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"2026-05-17 04:28:18.671"</f>
        <v>2026-05-17 04:28:18.671</v>
      </c>
      <c r="H328" t="s">
        <v>21</v>
      </c>
    </row>
    <row r="329" spans="1:10" x14ac:dyDescent="0.25">
      <c r="A329" s="1">
        <v>24</v>
      </c>
      <c r="B329" t="s">
        <v>19</v>
      </c>
      <c r="C329">
        <v>706</v>
      </c>
      <c r="D329">
        <v>2</v>
      </c>
      <c r="E329" t="s">
        <v>32</v>
      </c>
      <c r="F329" t="s">
        <v>33</v>
      </c>
      <c r="G329" t="str">
        <f>"2026-05-17 03:51:03.730"</f>
        <v>2026-05-17 03:51:03.730</v>
      </c>
      <c r="H329" t="s">
        <v>21</v>
      </c>
      <c r="I329">
        <v>0</v>
      </c>
      <c r="J329" t="s">
        <v>34</v>
      </c>
    </row>
    <row r="330" spans="1:10" x14ac:dyDescent="0.25">
      <c r="A330" s="1">
        <v>25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"2026-05-17 03:49:55.670"</f>
        <v>2026-05-17 03:49:55.670</v>
      </c>
      <c r="H330" t="s">
        <v>21</v>
      </c>
      <c r="I330">
        <v>0</v>
      </c>
      <c r="J330" t="s">
        <v>22</v>
      </c>
    </row>
    <row r="331" spans="1:10" x14ac:dyDescent="0.25">
      <c r="A331" s="1">
        <v>26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"2026-05-17 03:01:06.700"</f>
        <v>2026-05-17 03:01:06.700</v>
      </c>
      <c r="H331" t="s">
        <v>21</v>
      </c>
      <c r="I331">
        <v>0</v>
      </c>
      <c r="J331" t="s">
        <v>22</v>
      </c>
    </row>
    <row r="332" spans="1:10" s="3" customFormat="1" x14ac:dyDescent="0.25">
      <c r="A332" s="2">
        <v>27</v>
      </c>
      <c r="B332" s="3" t="s">
        <v>23</v>
      </c>
      <c r="C332" s="3">
        <v>647</v>
      </c>
      <c r="D332" s="3">
        <v>1</v>
      </c>
      <c r="E332" s="3" t="s">
        <v>30</v>
      </c>
      <c r="F332" s="3" t="s">
        <v>31</v>
      </c>
      <c r="G332" s="3" t="str">
        <f>"2026-05-16 20:23:15.334"</f>
        <v>2026-05-16 20:23:15.334</v>
      </c>
      <c r="H332" s="3" t="s">
        <v>21</v>
      </c>
    </row>
    <row r="333" spans="1:10" s="3" customFormat="1" x14ac:dyDescent="0.25">
      <c r="A333" s="2">
        <v>28</v>
      </c>
      <c r="B333" s="3" t="s">
        <v>26</v>
      </c>
      <c r="C333" s="3">
        <v>647</v>
      </c>
      <c r="D333" s="3">
        <v>1</v>
      </c>
      <c r="E333" s="3" t="s">
        <v>30</v>
      </c>
      <c r="F333" s="3" t="s">
        <v>31</v>
      </c>
      <c r="G333" s="3" t="str">
        <f>"2026-05-16 20:23:12.834"</f>
        <v>2026-05-16 20:23:12.834</v>
      </c>
      <c r="H333" s="3" t="s">
        <v>21</v>
      </c>
      <c r="I333" s="3">
        <v>11.88</v>
      </c>
      <c r="J333" s="3" t="s">
        <v>28</v>
      </c>
    </row>
    <row r="334" spans="1:10" x14ac:dyDescent="0.25">
      <c r="A334" s="1">
        <v>29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"2026-05-16 13:45:39.672"</f>
        <v>2026-05-16 13:45:39.672</v>
      </c>
      <c r="H334" t="s">
        <v>21</v>
      </c>
      <c r="I334">
        <v>0</v>
      </c>
      <c r="J334" t="s">
        <v>22</v>
      </c>
    </row>
    <row r="335" spans="1:10" x14ac:dyDescent="0.25">
      <c r="A335" s="1">
        <v>30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"2026-05-16 12:39:23.660"</f>
        <v>2026-05-16 12:39:23.660</v>
      </c>
      <c r="H335" t="s">
        <v>21</v>
      </c>
    </row>
    <row r="336" spans="1:10" x14ac:dyDescent="0.25">
      <c r="A336" s="1">
        <v>31</v>
      </c>
      <c r="B336" t="s">
        <v>23</v>
      </c>
      <c r="C336">
        <v>635</v>
      </c>
      <c r="D336">
        <v>1</v>
      </c>
      <c r="E336" t="s">
        <v>24</v>
      </c>
      <c r="F336" t="s">
        <v>25</v>
      </c>
      <c r="G336" t="str">
        <f>"2026-05-16 10:34:28.296"</f>
        <v>2026-05-16 10:34:28.296</v>
      </c>
      <c r="H336" t="s">
        <v>21</v>
      </c>
    </row>
    <row r="337" spans="1:10" x14ac:dyDescent="0.25">
      <c r="A337" s="1">
        <v>32</v>
      </c>
      <c r="B337" t="s">
        <v>26</v>
      </c>
      <c r="C337">
        <v>635</v>
      </c>
      <c r="D337">
        <v>1</v>
      </c>
      <c r="E337" t="s">
        <v>24</v>
      </c>
      <c r="F337" t="s">
        <v>25</v>
      </c>
      <c r="G337" t="str">
        <f>"2026-05-16 10:28:03.796"</f>
        <v>2026-05-16 10:28:03.796</v>
      </c>
      <c r="H337" t="s">
        <v>21</v>
      </c>
      <c r="I337">
        <v>-0.28999999999999998</v>
      </c>
      <c r="J337" t="s">
        <v>27</v>
      </c>
    </row>
    <row r="338" spans="1:10" s="3" customFormat="1" x14ac:dyDescent="0.25">
      <c r="A338" s="2">
        <v>33</v>
      </c>
      <c r="B338" s="3" t="s">
        <v>23</v>
      </c>
      <c r="C338" s="3">
        <v>647</v>
      </c>
      <c r="D338" s="3">
        <v>1</v>
      </c>
      <c r="E338" s="3" t="s">
        <v>30</v>
      </c>
      <c r="F338" s="3" t="s">
        <v>31</v>
      </c>
      <c r="G338" s="3" t="str">
        <f>"2026-05-16 03:40:41.250"</f>
        <v>2026-05-16 03:40:41.250</v>
      </c>
      <c r="H338" s="3" t="s">
        <v>21</v>
      </c>
    </row>
    <row r="339" spans="1:10" s="3" customFormat="1" x14ac:dyDescent="0.25">
      <c r="A339" s="2">
        <v>34</v>
      </c>
      <c r="B339" s="3" t="s">
        <v>26</v>
      </c>
      <c r="C339" s="3">
        <v>647</v>
      </c>
      <c r="D339" s="3">
        <v>1</v>
      </c>
      <c r="E339" s="3" t="s">
        <v>30</v>
      </c>
      <c r="F339" s="3" t="s">
        <v>31</v>
      </c>
      <c r="G339" s="3" t="str">
        <f>"2026-05-16 03:40:23.350"</f>
        <v>2026-05-16 03:40:23.350</v>
      </c>
      <c r="H339" s="3" t="s">
        <v>21</v>
      </c>
      <c r="I339" s="3">
        <v>8.27</v>
      </c>
      <c r="J339" s="3" t="s">
        <v>28</v>
      </c>
    </row>
    <row r="340" spans="1:10" s="3" customFormat="1" x14ac:dyDescent="0.25">
      <c r="A340" s="2">
        <v>35</v>
      </c>
      <c r="B340" s="3" t="s">
        <v>23</v>
      </c>
      <c r="C340" s="3">
        <v>647</v>
      </c>
      <c r="D340" s="3">
        <v>1</v>
      </c>
      <c r="E340" s="3" t="s">
        <v>30</v>
      </c>
      <c r="F340" s="3" t="s">
        <v>31</v>
      </c>
      <c r="G340" s="3" t="str">
        <f>"2026-05-16 01:58:20.150"</f>
        <v>2026-05-16 01:58:20.150</v>
      </c>
      <c r="H340" s="3" t="s">
        <v>21</v>
      </c>
    </row>
    <row r="341" spans="1:10" s="3" customFormat="1" x14ac:dyDescent="0.25">
      <c r="A341" s="2">
        <v>36</v>
      </c>
      <c r="B341" s="3" t="s">
        <v>26</v>
      </c>
      <c r="C341" s="3">
        <v>647</v>
      </c>
      <c r="D341" s="3">
        <v>1</v>
      </c>
      <c r="E341" s="3" t="s">
        <v>30</v>
      </c>
      <c r="F341" s="3" t="s">
        <v>31</v>
      </c>
      <c r="G341" s="3" t="str">
        <f>"2026-05-16 01:58:18.350"</f>
        <v>2026-05-16 01:58:18.350</v>
      </c>
      <c r="H341" s="3" t="s">
        <v>21</v>
      </c>
      <c r="I341" s="3">
        <v>15.23</v>
      </c>
      <c r="J341" s="3" t="s">
        <v>28</v>
      </c>
    </row>
    <row r="342" spans="1:10" s="3" customFormat="1" x14ac:dyDescent="0.25">
      <c r="A342" s="2">
        <v>37</v>
      </c>
      <c r="B342" s="3" t="s">
        <v>23</v>
      </c>
      <c r="C342" s="3">
        <v>647</v>
      </c>
      <c r="D342" s="3">
        <v>1</v>
      </c>
      <c r="E342" s="3" t="s">
        <v>30</v>
      </c>
      <c r="F342" s="3" t="s">
        <v>31</v>
      </c>
      <c r="G342" s="3" t="str">
        <f>"2026-05-16 01:56:19.850"</f>
        <v>2026-05-16 01:56:19.850</v>
      </c>
      <c r="H342" s="3" t="s">
        <v>21</v>
      </c>
    </row>
    <row r="343" spans="1:10" s="3" customFormat="1" x14ac:dyDescent="0.25">
      <c r="A343" s="2">
        <v>38</v>
      </c>
      <c r="B343" s="3" t="s">
        <v>26</v>
      </c>
      <c r="C343" s="3">
        <v>647</v>
      </c>
      <c r="D343" s="3">
        <v>1</v>
      </c>
      <c r="E343" s="3" t="s">
        <v>30</v>
      </c>
      <c r="F343" s="3" t="s">
        <v>31</v>
      </c>
      <c r="G343" s="3" t="str">
        <f>"2026-05-16 01:56:18.150"</f>
        <v>2026-05-16 01:56:18.150</v>
      </c>
      <c r="H343" s="3" t="s">
        <v>21</v>
      </c>
      <c r="I343" s="3">
        <v>21</v>
      </c>
      <c r="J343" s="3" t="s">
        <v>28</v>
      </c>
    </row>
    <row r="344" spans="1:10" s="3" customFormat="1" x14ac:dyDescent="0.25">
      <c r="A344" s="2">
        <v>39</v>
      </c>
      <c r="B344" s="3" t="s">
        <v>23</v>
      </c>
      <c r="C344" s="3">
        <v>647</v>
      </c>
      <c r="D344" s="3">
        <v>1</v>
      </c>
      <c r="E344" s="3" t="s">
        <v>30</v>
      </c>
      <c r="F344" s="3" t="s">
        <v>31</v>
      </c>
      <c r="G344" s="3" t="str">
        <f>"2026-05-16 01:22:35.749"</f>
        <v>2026-05-16 01:22:35.749</v>
      </c>
      <c r="H344" s="3" t="s">
        <v>21</v>
      </c>
    </row>
    <row r="345" spans="1:10" s="3" customFormat="1" x14ac:dyDescent="0.25">
      <c r="A345" s="2">
        <v>40</v>
      </c>
      <c r="B345" s="3" t="s">
        <v>26</v>
      </c>
      <c r="C345" s="3">
        <v>647</v>
      </c>
      <c r="D345" s="3">
        <v>1</v>
      </c>
      <c r="E345" s="3" t="s">
        <v>30</v>
      </c>
      <c r="F345" s="3" t="s">
        <v>31</v>
      </c>
      <c r="G345" s="3" t="str">
        <f>"2026-05-16 01:22:33.049"</f>
        <v>2026-05-16 01:22:33.049</v>
      </c>
      <c r="H345" s="3" t="s">
        <v>21</v>
      </c>
      <c r="I345" s="3">
        <v>9.85</v>
      </c>
      <c r="J345" s="3" t="s">
        <v>28</v>
      </c>
    </row>
    <row r="346" spans="1:10" s="3" customFormat="1" x14ac:dyDescent="0.25">
      <c r="A346" s="2">
        <v>41</v>
      </c>
      <c r="B346" s="3" t="s">
        <v>23</v>
      </c>
      <c r="C346" s="3">
        <v>647</v>
      </c>
      <c r="D346" s="3">
        <v>1</v>
      </c>
      <c r="E346" s="3" t="s">
        <v>30</v>
      </c>
      <c r="F346" s="3" t="s">
        <v>31</v>
      </c>
      <c r="G346" s="3" t="str">
        <f>"2026-05-16 01:22:26.549"</f>
        <v>2026-05-16 01:22:26.549</v>
      </c>
      <c r="H346" s="3" t="s">
        <v>21</v>
      </c>
    </row>
    <row r="347" spans="1:10" s="3" customFormat="1" x14ac:dyDescent="0.25">
      <c r="A347" s="2">
        <v>42</v>
      </c>
      <c r="B347" s="3" t="s">
        <v>26</v>
      </c>
      <c r="C347" s="3">
        <v>647</v>
      </c>
      <c r="D347" s="3">
        <v>1</v>
      </c>
      <c r="E347" s="3" t="s">
        <v>30</v>
      </c>
      <c r="F347" s="3" t="s">
        <v>31</v>
      </c>
      <c r="G347" s="3" t="str">
        <f>"2026-05-16 01:22:22.450"</f>
        <v>2026-05-16 01:22:22.450</v>
      </c>
      <c r="H347" s="3" t="s">
        <v>21</v>
      </c>
      <c r="I347" s="3">
        <v>10.3</v>
      </c>
      <c r="J347" s="3" t="s">
        <v>28</v>
      </c>
    </row>
    <row r="348" spans="1:10" s="3" customFormat="1" x14ac:dyDescent="0.25">
      <c r="A348" s="2">
        <v>43</v>
      </c>
      <c r="B348" s="3" t="s">
        <v>23</v>
      </c>
      <c r="C348" s="3">
        <v>647</v>
      </c>
      <c r="D348" s="3">
        <v>1</v>
      </c>
      <c r="E348" s="3" t="s">
        <v>30</v>
      </c>
      <c r="F348" s="3" t="s">
        <v>31</v>
      </c>
      <c r="G348" s="3" t="str">
        <f>"2026-05-16 01:22:19.150"</f>
        <v>2026-05-16 01:22:19.150</v>
      </c>
      <c r="H348" s="3" t="s">
        <v>21</v>
      </c>
    </row>
    <row r="349" spans="1:10" s="3" customFormat="1" x14ac:dyDescent="0.25">
      <c r="A349" s="2">
        <v>44</v>
      </c>
      <c r="B349" s="3" t="s">
        <v>26</v>
      </c>
      <c r="C349" s="3">
        <v>647</v>
      </c>
      <c r="D349" s="3">
        <v>1</v>
      </c>
      <c r="E349" s="3" t="s">
        <v>30</v>
      </c>
      <c r="F349" s="3" t="s">
        <v>31</v>
      </c>
      <c r="G349" s="3" t="str">
        <f>"2026-05-16 01:22:18.150"</f>
        <v>2026-05-16 01:22:18.150</v>
      </c>
      <c r="H349" s="3" t="s">
        <v>21</v>
      </c>
      <c r="I349" s="3">
        <v>9.18</v>
      </c>
      <c r="J349" s="3" t="s">
        <v>28</v>
      </c>
    </row>
    <row r="350" spans="1:10" s="3" customFormat="1" x14ac:dyDescent="0.25">
      <c r="A350" s="2">
        <v>45</v>
      </c>
      <c r="B350" s="3" t="s">
        <v>23</v>
      </c>
      <c r="C350" s="3">
        <v>647</v>
      </c>
      <c r="D350" s="3">
        <v>1</v>
      </c>
      <c r="E350" s="3" t="s">
        <v>30</v>
      </c>
      <c r="F350" s="3" t="s">
        <v>31</v>
      </c>
      <c r="G350" s="3" t="str">
        <f>"2026-05-16 01:22:16.350"</f>
        <v>2026-05-16 01:22:16.350</v>
      </c>
      <c r="H350" s="3" t="s">
        <v>21</v>
      </c>
    </row>
    <row r="351" spans="1:10" s="3" customFormat="1" x14ac:dyDescent="0.25">
      <c r="A351" s="2">
        <v>46</v>
      </c>
      <c r="B351" s="3" t="s">
        <v>26</v>
      </c>
      <c r="C351" s="3">
        <v>647</v>
      </c>
      <c r="D351" s="3">
        <v>1</v>
      </c>
      <c r="E351" s="3" t="s">
        <v>30</v>
      </c>
      <c r="F351" s="3" t="s">
        <v>31</v>
      </c>
      <c r="G351" s="3" t="str">
        <f>"2026-05-16 01:22:12.450"</f>
        <v>2026-05-16 01:22:12.450</v>
      </c>
      <c r="H351" s="3" t="s">
        <v>21</v>
      </c>
      <c r="I351" s="3">
        <v>9.39</v>
      </c>
      <c r="J351" s="3" t="s">
        <v>28</v>
      </c>
    </row>
    <row r="352" spans="1:10" x14ac:dyDescent="0.25">
      <c r="A352" s="1">
        <v>47</v>
      </c>
      <c r="B352" t="s">
        <v>23</v>
      </c>
      <c r="C352">
        <v>635</v>
      </c>
      <c r="D352">
        <v>1</v>
      </c>
      <c r="E352" t="s">
        <v>24</v>
      </c>
      <c r="F352" t="s">
        <v>25</v>
      </c>
      <c r="G352" t="str">
        <f>"2026-05-15 21:16:27.496"</f>
        <v>2026-05-15 21:16:27.496</v>
      </c>
      <c r="H352" t="s">
        <v>21</v>
      </c>
    </row>
    <row r="353" spans="1:10" x14ac:dyDescent="0.25">
      <c r="A353" s="1">
        <v>48</v>
      </c>
      <c r="B353" t="s">
        <v>26</v>
      </c>
      <c r="C353">
        <v>635</v>
      </c>
      <c r="D353">
        <v>1</v>
      </c>
      <c r="E353" t="s">
        <v>24</v>
      </c>
      <c r="F353" t="s">
        <v>25</v>
      </c>
      <c r="G353" t="str">
        <f>"2026-05-15 20:52:59.096"</f>
        <v>2026-05-15 20:52:59.096</v>
      </c>
      <c r="H353" t="s">
        <v>21</v>
      </c>
      <c r="I353">
        <v>8.36</v>
      </c>
      <c r="J353" t="s">
        <v>29</v>
      </c>
    </row>
    <row r="354" spans="1:10" x14ac:dyDescent="0.25">
      <c r="A354" s="1">
        <v>49</v>
      </c>
      <c r="B354" t="s">
        <v>23</v>
      </c>
      <c r="C354">
        <v>635</v>
      </c>
      <c r="D354">
        <v>1</v>
      </c>
      <c r="E354" t="s">
        <v>24</v>
      </c>
      <c r="F354" t="s">
        <v>25</v>
      </c>
      <c r="G354" t="str">
        <f>"2026-05-15 06:54:57.496"</f>
        <v>2026-05-15 06:54:57.496</v>
      </c>
      <c r="H354" t="s">
        <v>21</v>
      </c>
    </row>
    <row r="355" spans="1:10" x14ac:dyDescent="0.25">
      <c r="A355" s="1">
        <v>50</v>
      </c>
      <c r="B355" t="s">
        <v>26</v>
      </c>
      <c r="C355">
        <v>635</v>
      </c>
      <c r="D355">
        <v>1</v>
      </c>
      <c r="E355" t="s">
        <v>24</v>
      </c>
      <c r="F355" t="s">
        <v>25</v>
      </c>
      <c r="G355" t="str">
        <f>"2026-05-15 06:30:21.996"</f>
        <v>2026-05-15 06:30:21.996</v>
      </c>
      <c r="H355" t="s">
        <v>21</v>
      </c>
      <c r="I355">
        <v>3.29</v>
      </c>
      <c r="J355" t="s">
        <v>29</v>
      </c>
    </row>
    <row r="356" spans="1:10" s="3" customFormat="1" x14ac:dyDescent="0.25">
      <c r="A356" s="2">
        <v>51</v>
      </c>
      <c r="B356" s="3" t="s">
        <v>23</v>
      </c>
      <c r="C356" s="3">
        <v>647</v>
      </c>
      <c r="D356" s="3">
        <v>1</v>
      </c>
      <c r="E356" s="3" t="s">
        <v>30</v>
      </c>
      <c r="F356" s="3" t="s">
        <v>31</v>
      </c>
      <c r="G356" s="3" t="str">
        <f>"2026-05-15 04:23:06.950"</f>
        <v>2026-05-15 04:23:06.950</v>
      </c>
      <c r="H356" s="3" t="s">
        <v>21</v>
      </c>
    </row>
    <row r="357" spans="1:10" s="3" customFormat="1" x14ac:dyDescent="0.25">
      <c r="A357" s="2">
        <v>52</v>
      </c>
      <c r="B357" s="3" t="s">
        <v>26</v>
      </c>
      <c r="C357" s="3">
        <v>647</v>
      </c>
      <c r="D357" s="3">
        <v>1</v>
      </c>
      <c r="E357" s="3" t="s">
        <v>30</v>
      </c>
      <c r="F357" s="3" t="s">
        <v>31</v>
      </c>
      <c r="G357" s="3" t="str">
        <f>"2026-05-15 04:23:01.450"</f>
        <v>2026-05-15 04:23:01.450</v>
      </c>
      <c r="H357" s="3" t="s">
        <v>21</v>
      </c>
      <c r="I357" s="3">
        <v>8.94</v>
      </c>
      <c r="J357" s="3" t="s">
        <v>28</v>
      </c>
    </row>
    <row r="358" spans="1:10" s="3" customFormat="1" x14ac:dyDescent="0.25">
      <c r="A358" s="2">
        <v>53</v>
      </c>
      <c r="B358" s="3" t="s">
        <v>23</v>
      </c>
      <c r="C358" s="3">
        <v>647</v>
      </c>
      <c r="D358" s="3">
        <v>1</v>
      </c>
      <c r="E358" s="3" t="s">
        <v>30</v>
      </c>
      <c r="F358" s="3" t="s">
        <v>31</v>
      </c>
      <c r="G358" s="3" t="str">
        <f>"2026-05-15 04:22:50.350"</f>
        <v>2026-05-15 04:22:50.350</v>
      </c>
      <c r="H358" s="3" t="s">
        <v>21</v>
      </c>
    </row>
    <row r="359" spans="1:10" s="3" customFormat="1" x14ac:dyDescent="0.25">
      <c r="A359" s="2">
        <v>54</v>
      </c>
      <c r="B359" s="3" t="s">
        <v>26</v>
      </c>
      <c r="C359" s="3">
        <v>647</v>
      </c>
      <c r="D359" s="3">
        <v>1</v>
      </c>
      <c r="E359" s="3" t="s">
        <v>30</v>
      </c>
      <c r="F359" s="3" t="s">
        <v>31</v>
      </c>
      <c r="G359" s="3" t="str">
        <f>"2026-05-15 04:22:27.850"</f>
        <v>2026-05-15 04:22:27.850</v>
      </c>
      <c r="H359" s="3" t="s">
        <v>21</v>
      </c>
      <c r="I359" s="3">
        <v>11.58</v>
      </c>
      <c r="J359" s="3" t="s">
        <v>28</v>
      </c>
    </row>
    <row r="360" spans="1:10" s="3" customFormat="1" x14ac:dyDescent="0.25">
      <c r="A360" s="2">
        <v>55</v>
      </c>
      <c r="B360" s="3" t="s">
        <v>23</v>
      </c>
      <c r="C360" s="3">
        <v>647</v>
      </c>
      <c r="D360" s="3">
        <v>1</v>
      </c>
      <c r="E360" s="3" t="s">
        <v>30</v>
      </c>
      <c r="F360" s="3" t="s">
        <v>31</v>
      </c>
      <c r="G360" s="3" t="str">
        <f>"2026-05-15 01:16:01.350"</f>
        <v>2026-05-15 01:16:01.350</v>
      </c>
      <c r="H360" s="3" t="s">
        <v>21</v>
      </c>
    </row>
    <row r="361" spans="1:10" s="3" customFormat="1" x14ac:dyDescent="0.25">
      <c r="A361" s="2">
        <v>56</v>
      </c>
      <c r="B361" s="3" t="s">
        <v>26</v>
      </c>
      <c r="C361" s="3">
        <v>647</v>
      </c>
      <c r="D361" s="3">
        <v>1</v>
      </c>
      <c r="E361" s="3" t="s">
        <v>30</v>
      </c>
      <c r="F361" s="3" t="s">
        <v>31</v>
      </c>
      <c r="G361" s="3" t="str">
        <f>"2026-05-15 01:15:56.250"</f>
        <v>2026-05-15 01:15:56.250</v>
      </c>
      <c r="H361" s="3" t="s">
        <v>21</v>
      </c>
      <c r="I361" s="3">
        <v>14.06</v>
      </c>
      <c r="J361" s="3" t="s">
        <v>28</v>
      </c>
    </row>
    <row r="362" spans="1:10" s="3" customFormat="1" x14ac:dyDescent="0.25">
      <c r="A362" s="2">
        <v>57</v>
      </c>
      <c r="B362" s="3" t="s">
        <v>23</v>
      </c>
      <c r="C362" s="3">
        <v>647</v>
      </c>
      <c r="D362" s="3">
        <v>1</v>
      </c>
      <c r="E362" s="3" t="s">
        <v>30</v>
      </c>
      <c r="F362" s="3" t="s">
        <v>31</v>
      </c>
      <c r="G362" s="3" t="str">
        <f>"2026-05-14 22:44:42.950"</f>
        <v>2026-05-14 22:44:42.950</v>
      </c>
      <c r="H362" s="3" t="s">
        <v>21</v>
      </c>
    </row>
    <row r="363" spans="1:10" s="3" customFormat="1" x14ac:dyDescent="0.25">
      <c r="A363" s="2">
        <v>58</v>
      </c>
      <c r="B363" s="3" t="s">
        <v>26</v>
      </c>
      <c r="C363" s="3">
        <v>647</v>
      </c>
      <c r="D363" s="3">
        <v>1</v>
      </c>
      <c r="E363" s="3" t="s">
        <v>30</v>
      </c>
      <c r="F363" s="3" t="s">
        <v>31</v>
      </c>
      <c r="G363" s="3" t="str">
        <f>"2026-05-14 22:44:41.450"</f>
        <v>2026-05-14 22:44:41.450</v>
      </c>
      <c r="H363" s="3" t="s">
        <v>21</v>
      </c>
      <c r="I363" s="3">
        <v>14.16</v>
      </c>
      <c r="J363" s="3" t="s">
        <v>28</v>
      </c>
    </row>
    <row r="364" spans="1:10" s="3" customFormat="1" x14ac:dyDescent="0.25">
      <c r="A364" s="2">
        <v>59</v>
      </c>
      <c r="B364" s="3" t="s">
        <v>23</v>
      </c>
      <c r="C364" s="3">
        <v>647</v>
      </c>
      <c r="D364" s="3">
        <v>1</v>
      </c>
      <c r="E364" s="3" t="s">
        <v>30</v>
      </c>
      <c r="F364" s="3" t="s">
        <v>31</v>
      </c>
      <c r="G364" s="3" t="str">
        <f>"2026-05-14 22:44:38.150"</f>
        <v>2026-05-14 22:44:38.150</v>
      </c>
      <c r="H364" s="3" t="s">
        <v>21</v>
      </c>
    </row>
    <row r="365" spans="1:10" s="3" customFormat="1" x14ac:dyDescent="0.25">
      <c r="A365" s="2">
        <v>60</v>
      </c>
      <c r="B365" s="3" t="s">
        <v>26</v>
      </c>
      <c r="C365" s="3">
        <v>647</v>
      </c>
      <c r="D365" s="3">
        <v>1</v>
      </c>
      <c r="E365" s="3" t="s">
        <v>30</v>
      </c>
      <c r="F365" s="3" t="s">
        <v>31</v>
      </c>
      <c r="G365" s="3" t="str">
        <f>"2026-05-14 22:44:22.050"</f>
        <v>2026-05-14 22:44:22.050</v>
      </c>
      <c r="H365" s="3" t="s">
        <v>21</v>
      </c>
      <c r="I365" s="3">
        <v>10.119999999999999</v>
      </c>
      <c r="J365" s="3" t="s">
        <v>28</v>
      </c>
    </row>
    <row r="366" spans="1:10" s="3" customFormat="1" x14ac:dyDescent="0.25">
      <c r="A366" s="2">
        <v>61</v>
      </c>
      <c r="B366" s="3" t="s">
        <v>23</v>
      </c>
      <c r="C366" s="3">
        <v>647</v>
      </c>
      <c r="D366" s="3">
        <v>1</v>
      </c>
      <c r="E366" s="3" t="s">
        <v>30</v>
      </c>
      <c r="F366" s="3" t="s">
        <v>31</v>
      </c>
      <c r="G366" s="3" t="str">
        <f>"2026-05-14 22:44:19.950"</f>
        <v>2026-05-14 22:44:19.950</v>
      </c>
      <c r="H366" s="3" t="s">
        <v>21</v>
      </c>
    </row>
    <row r="367" spans="1:10" s="3" customFormat="1" x14ac:dyDescent="0.25">
      <c r="A367" s="2">
        <v>62</v>
      </c>
      <c r="B367" s="3" t="s">
        <v>26</v>
      </c>
      <c r="C367" s="3">
        <v>647</v>
      </c>
      <c r="D367" s="3">
        <v>1</v>
      </c>
      <c r="E367" s="3" t="s">
        <v>30</v>
      </c>
      <c r="F367" s="3" t="s">
        <v>31</v>
      </c>
      <c r="G367" s="3" t="str">
        <f>"2026-05-14 22:43:55.850"</f>
        <v>2026-05-14 22:43:55.850</v>
      </c>
      <c r="H367" s="3" t="s">
        <v>21</v>
      </c>
      <c r="I367" s="3">
        <v>8.7899999999999991</v>
      </c>
      <c r="J367" s="3" t="s">
        <v>28</v>
      </c>
    </row>
    <row r="368" spans="1:10" x14ac:dyDescent="0.25">
      <c r="A368" s="1">
        <v>63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"2026-05-14 12:26:01.678"</f>
        <v>2026-05-14 12:26:01.678</v>
      </c>
      <c r="H368" t="s">
        <v>21</v>
      </c>
      <c r="I368">
        <v>0</v>
      </c>
      <c r="J368" t="s">
        <v>22</v>
      </c>
    </row>
    <row r="369" spans="1:10" x14ac:dyDescent="0.25">
      <c r="A369" s="1">
        <v>64</v>
      </c>
      <c r="B369" t="s">
        <v>23</v>
      </c>
      <c r="C369">
        <v>619</v>
      </c>
      <c r="D369">
        <v>1</v>
      </c>
      <c r="E369" t="s">
        <v>51</v>
      </c>
      <c r="F369" t="s">
        <v>25</v>
      </c>
      <c r="G369" t="str">
        <f>"2026-05-14 02:34:48.509"</f>
        <v>2026-05-14 02:34:48.509</v>
      </c>
      <c r="H369" t="s">
        <v>52</v>
      </c>
    </row>
    <row r="370" spans="1:10" x14ac:dyDescent="0.25">
      <c r="A370" s="1">
        <v>65</v>
      </c>
      <c r="B370" t="s">
        <v>26</v>
      </c>
      <c r="C370">
        <v>619</v>
      </c>
      <c r="D370">
        <v>1</v>
      </c>
      <c r="E370" t="s">
        <v>51</v>
      </c>
      <c r="F370" t="s">
        <v>25</v>
      </c>
      <c r="G370" t="str">
        <f>"2026-05-14 02:34:40.809"</f>
        <v>2026-05-14 02:34:40.809</v>
      </c>
      <c r="H370" t="s">
        <v>52</v>
      </c>
      <c r="I370">
        <v>8.14</v>
      </c>
      <c r="J370" t="s">
        <v>28</v>
      </c>
    </row>
    <row r="371" spans="1:10" x14ac:dyDescent="0.25">
      <c r="A371" s="1">
        <v>66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"2026-05-13 22:18:12.651"</f>
        <v>2026-05-13 22:18:12.651</v>
      </c>
      <c r="H371" t="s">
        <v>21</v>
      </c>
      <c r="I371">
        <v>0</v>
      </c>
      <c r="J371" t="s">
        <v>22</v>
      </c>
    </row>
    <row r="372" spans="1:10" x14ac:dyDescent="0.25">
      <c r="A372" s="1">
        <v>67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"2026-05-13 21:52:14.717"</f>
        <v>2026-05-13 21:52:14.717</v>
      </c>
      <c r="H372" t="s">
        <v>21</v>
      </c>
      <c r="I372">
        <v>0</v>
      </c>
      <c r="J372" t="s">
        <v>22</v>
      </c>
    </row>
    <row r="373" spans="1:10" x14ac:dyDescent="0.25">
      <c r="A373" s="1">
        <v>68</v>
      </c>
      <c r="B373" t="s">
        <v>54</v>
      </c>
      <c r="C373">
        <v>47</v>
      </c>
      <c r="D373">
        <v>2</v>
      </c>
      <c r="E373" t="s">
        <v>43</v>
      </c>
      <c r="F373" t="s">
        <v>44</v>
      </c>
      <c r="G373" t="str">
        <f>"2026-05-13 21:21:14.427"</f>
        <v>2026-05-13 21:21:14.427</v>
      </c>
      <c r="H373" t="s">
        <v>45</v>
      </c>
    </row>
    <row r="374" spans="1:10" x14ac:dyDescent="0.25">
      <c r="A374" s="1">
        <v>69</v>
      </c>
      <c r="B374" t="s">
        <v>19</v>
      </c>
      <c r="C374">
        <v>706</v>
      </c>
      <c r="D374">
        <v>2</v>
      </c>
      <c r="E374" t="s">
        <v>32</v>
      </c>
      <c r="F374" t="s">
        <v>33</v>
      </c>
      <c r="G374" t="str">
        <f>"2026-05-13 21:21:10.726"</f>
        <v>2026-05-13 21:21:10.726</v>
      </c>
      <c r="H374" t="s">
        <v>21</v>
      </c>
      <c r="I374">
        <v>0</v>
      </c>
      <c r="J374" t="s">
        <v>34</v>
      </c>
    </row>
    <row r="375" spans="1:10" x14ac:dyDescent="0.25">
      <c r="A375" s="1">
        <v>70</v>
      </c>
      <c r="B375" t="s">
        <v>38</v>
      </c>
      <c r="C375">
        <v>47</v>
      </c>
      <c r="D375">
        <v>2</v>
      </c>
      <c r="E375" t="s">
        <v>43</v>
      </c>
      <c r="F375" t="s">
        <v>44</v>
      </c>
      <c r="G375" t="str">
        <f>"2026-05-13 21:20:59.327"</f>
        <v>2026-05-13 21:20:59.327</v>
      </c>
      <c r="H375" t="s">
        <v>45</v>
      </c>
      <c r="I375">
        <v>0</v>
      </c>
      <c r="J375" t="s">
        <v>34</v>
      </c>
    </row>
    <row r="376" spans="1:10" x14ac:dyDescent="0.25">
      <c r="A376" s="1">
        <v>71</v>
      </c>
      <c r="B376" t="s">
        <v>19</v>
      </c>
      <c r="C376">
        <v>706</v>
      </c>
      <c r="D376">
        <v>2</v>
      </c>
      <c r="E376" t="s">
        <v>32</v>
      </c>
      <c r="F376" t="s">
        <v>33</v>
      </c>
      <c r="G376" t="str">
        <f>"2026-05-13 21:20:54.726"</f>
        <v>2026-05-13 21:20:54.726</v>
      </c>
      <c r="H376" t="s">
        <v>21</v>
      </c>
      <c r="I376">
        <v>0</v>
      </c>
      <c r="J376" t="s">
        <v>34</v>
      </c>
    </row>
    <row r="377" spans="1:10" x14ac:dyDescent="0.25">
      <c r="A377" s="1">
        <v>72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"2026-05-13 21:12:48.646"</f>
        <v>2026-05-13 21:12:48.646</v>
      </c>
      <c r="H377" t="s">
        <v>21</v>
      </c>
    </row>
    <row r="378" spans="1:10" x14ac:dyDescent="0.25">
      <c r="A378" s="1">
        <v>73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"2026-05-13 19:48:21.728"</f>
        <v>2026-05-13 19:48:21.728</v>
      </c>
      <c r="H378" t="s">
        <v>21</v>
      </c>
      <c r="I378">
        <v>0</v>
      </c>
      <c r="J378" t="s">
        <v>22</v>
      </c>
    </row>
    <row r="379" spans="1:10" x14ac:dyDescent="0.25">
      <c r="A379" s="1">
        <v>74</v>
      </c>
      <c r="B379" t="s">
        <v>19</v>
      </c>
      <c r="C379">
        <v>706</v>
      </c>
      <c r="D379">
        <v>4</v>
      </c>
      <c r="E379" t="s">
        <v>32</v>
      </c>
      <c r="F379" t="s">
        <v>48</v>
      </c>
      <c r="G379" t="str">
        <f>"2026-05-13 19:08:20.473"</f>
        <v>2026-05-13 19:08:20.473</v>
      </c>
      <c r="H379" t="s">
        <v>21</v>
      </c>
      <c r="I379">
        <v>0</v>
      </c>
      <c r="J379" t="s">
        <v>34</v>
      </c>
    </row>
    <row r="380" spans="1:10" x14ac:dyDescent="0.25">
      <c r="A380" s="1">
        <v>75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"2026-05-13 19:05:24.643"</f>
        <v>2026-05-13 19:05:24.643</v>
      </c>
      <c r="H380" t="s">
        <v>21</v>
      </c>
      <c r="I380">
        <v>0</v>
      </c>
      <c r="J380" t="s">
        <v>22</v>
      </c>
    </row>
    <row r="381" spans="1:10" x14ac:dyDescent="0.25">
      <c r="A381" s="1">
        <v>76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"2026-05-13 18:54:10.680"</f>
        <v>2026-05-13 18:54:10.680</v>
      </c>
      <c r="H381" t="s">
        <v>21</v>
      </c>
      <c r="I381">
        <v>0</v>
      </c>
      <c r="J381" t="s">
        <v>22</v>
      </c>
    </row>
    <row r="382" spans="1:10" x14ac:dyDescent="0.25">
      <c r="A382" s="1">
        <v>77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"2026-05-13 13:57:48.645"</f>
        <v>2026-05-13 13:57:48.645</v>
      </c>
      <c r="H382" t="s">
        <v>21</v>
      </c>
      <c r="I382">
        <v>0</v>
      </c>
      <c r="J382" t="s">
        <v>22</v>
      </c>
    </row>
    <row r="383" spans="1:10" x14ac:dyDescent="0.25">
      <c r="A383" s="1">
        <v>78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"2026-05-13 12:39:35.813"</f>
        <v>2026-05-13 12:39:35.813</v>
      </c>
      <c r="H383" t="s">
        <v>21</v>
      </c>
    </row>
    <row r="384" spans="1:10" x14ac:dyDescent="0.25">
      <c r="A384" s="1">
        <v>79</v>
      </c>
      <c r="B384" t="s">
        <v>23</v>
      </c>
      <c r="C384">
        <v>635</v>
      </c>
      <c r="D384">
        <v>1</v>
      </c>
      <c r="E384" t="s">
        <v>24</v>
      </c>
      <c r="F384" t="s">
        <v>25</v>
      </c>
      <c r="G384" t="str">
        <f>"2026-05-13 11:31:51.330"</f>
        <v>2026-05-13 11:31:51.330</v>
      </c>
      <c r="H384" t="s">
        <v>21</v>
      </c>
    </row>
    <row r="385" spans="1:10" x14ac:dyDescent="0.25">
      <c r="A385" s="1">
        <v>80</v>
      </c>
      <c r="B385" t="s">
        <v>26</v>
      </c>
      <c r="C385">
        <v>635</v>
      </c>
      <c r="D385">
        <v>1</v>
      </c>
      <c r="E385" t="s">
        <v>24</v>
      </c>
      <c r="F385" t="s">
        <v>25</v>
      </c>
      <c r="G385" t="str">
        <f>"2026-05-13 11:24:13.830"</f>
        <v>2026-05-13 11:24:13.830</v>
      </c>
      <c r="H385" t="s">
        <v>21</v>
      </c>
      <c r="I385">
        <v>3.83</v>
      </c>
      <c r="J385" t="s">
        <v>28</v>
      </c>
    </row>
    <row r="386" spans="1:10" x14ac:dyDescent="0.25">
      <c r="A386" s="1">
        <v>81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"2026-05-13 10:13:28.762"</f>
        <v>2026-05-13 10:13:28.762</v>
      </c>
      <c r="H386" t="s">
        <v>21</v>
      </c>
      <c r="I386">
        <v>0</v>
      </c>
      <c r="J386" t="s">
        <v>22</v>
      </c>
    </row>
    <row r="387" spans="1:10" x14ac:dyDescent="0.25">
      <c r="A387" s="1">
        <v>82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"2026-05-13 09:43:34.647"</f>
        <v>2026-05-13 09:43:34.647</v>
      </c>
      <c r="H387" t="s">
        <v>21</v>
      </c>
      <c r="I387">
        <v>0</v>
      </c>
      <c r="J387" t="s">
        <v>22</v>
      </c>
    </row>
    <row r="388" spans="1:10" x14ac:dyDescent="0.25">
      <c r="A388" s="1">
        <v>83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"2026-05-13 09:23:08.698"</f>
        <v>2026-05-13 09:23:08.698</v>
      </c>
      <c r="H388" t="s">
        <v>21</v>
      </c>
      <c r="I388">
        <v>0</v>
      </c>
      <c r="J388" t="s">
        <v>22</v>
      </c>
    </row>
    <row r="389" spans="1:10" x14ac:dyDescent="0.25">
      <c r="A389" s="1">
        <v>84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"2026-05-13 07:23:41.644"</f>
        <v>2026-05-13 07:23:41.644</v>
      </c>
      <c r="H389" t="s">
        <v>21</v>
      </c>
      <c r="I389">
        <v>0</v>
      </c>
      <c r="J389" t="s">
        <v>22</v>
      </c>
    </row>
    <row r="390" spans="1:10" x14ac:dyDescent="0.25">
      <c r="A390" s="1">
        <v>85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"2026-05-13 06:59:44.636"</f>
        <v>2026-05-13 06:59:44.636</v>
      </c>
      <c r="H390" t="s">
        <v>21</v>
      </c>
    </row>
    <row r="391" spans="1:10" x14ac:dyDescent="0.25">
      <c r="A391" s="1">
        <v>86</v>
      </c>
      <c r="B391" t="s">
        <v>23</v>
      </c>
      <c r="C391">
        <v>619</v>
      </c>
      <c r="D391">
        <v>1</v>
      </c>
      <c r="E391" t="s">
        <v>51</v>
      </c>
      <c r="F391" t="s">
        <v>25</v>
      </c>
      <c r="G391" t="str">
        <f>"2026-05-13 06:52:25.224"</f>
        <v>2026-05-13 06:52:25.224</v>
      </c>
      <c r="H391" t="s">
        <v>52</v>
      </c>
    </row>
    <row r="392" spans="1:10" x14ac:dyDescent="0.25">
      <c r="A392" s="1">
        <v>87</v>
      </c>
      <c r="B392" t="s">
        <v>26</v>
      </c>
      <c r="C392">
        <v>619</v>
      </c>
      <c r="D392">
        <v>1</v>
      </c>
      <c r="E392" t="s">
        <v>51</v>
      </c>
      <c r="F392" t="s">
        <v>25</v>
      </c>
      <c r="G392" t="str">
        <f>"2026-05-13 06:52:09.724"</f>
        <v>2026-05-13 06:52:09.724</v>
      </c>
      <c r="H392" t="s">
        <v>52</v>
      </c>
      <c r="I392">
        <v>0</v>
      </c>
      <c r="J392" t="s">
        <v>34</v>
      </c>
    </row>
    <row r="393" spans="1:10" x14ac:dyDescent="0.25">
      <c r="A393" s="1">
        <v>88</v>
      </c>
      <c r="B393" t="s">
        <v>19</v>
      </c>
      <c r="C393">
        <v>706</v>
      </c>
      <c r="D393">
        <v>4</v>
      </c>
      <c r="E393" t="s">
        <v>32</v>
      </c>
      <c r="F393" t="s">
        <v>48</v>
      </c>
      <c r="G393" t="str">
        <f>"2026-05-13 06:51:50.274"</f>
        <v>2026-05-13 06:51:50.274</v>
      </c>
      <c r="H393" t="s">
        <v>21</v>
      </c>
      <c r="I393">
        <v>0</v>
      </c>
      <c r="J393" t="s">
        <v>34</v>
      </c>
    </row>
    <row r="394" spans="1:10" x14ac:dyDescent="0.25">
      <c r="A394" s="1">
        <v>89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"2026-05-13 06:51:21.654"</f>
        <v>2026-05-13 06:51:21.654</v>
      </c>
      <c r="H394" t="s">
        <v>21</v>
      </c>
      <c r="I394">
        <v>0</v>
      </c>
      <c r="J394" t="s">
        <v>22</v>
      </c>
    </row>
    <row r="395" spans="1:10" x14ac:dyDescent="0.25">
      <c r="A395" s="1">
        <v>90</v>
      </c>
      <c r="B395" t="s">
        <v>23</v>
      </c>
      <c r="C395">
        <v>619</v>
      </c>
      <c r="D395">
        <v>1</v>
      </c>
      <c r="E395" t="s">
        <v>51</v>
      </c>
      <c r="F395" t="s">
        <v>25</v>
      </c>
      <c r="G395" t="str">
        <f>"2026-05-13 06:45:30.697"</f>
        <v>2026-05-13 06:45:30.697</v>
      </c>
      <c r="H395" t="s">
        <v>52</v>
      </c>
    </row>
    <row r="396" spans="1:10" x14ac:dyDescent="0.25">
      <c r="A396" s="1">
        <v>91</v>
      </c>
      <c r="B396" t="s">
        <v>26</v>
      </c>
      <c r="C396">
        <v>619</v>
      </c>
      <c r="D396">
        <v>1</v>
      </c>
      <c r="E396" t="s">
        <v>51</v>
      </c>
      <c r="F396" t="s">
        <v>25</v>
      </c>
      <c r="G396" t="str">
        <f>"2026-05-13 06:43:31.197"</f>
        <v>2026-05-13 06:43:31.197</v>
      </c>
      <c r="H396" t="s">
        <v>52</v>
      </c>
      <c r="I396">
        <v>0</v>
      </c>
      <c r="J396" t="s">
        <v>55</v>
      </c>
    </row>
    <row r="397" spans="1:10" x14ac:dyDescent="0.25">
      <c r="A397" s="1">
        <v>92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"2026-05-13 06:43:24.630"</f>
        <v>2026-05-13 06:43:24.630</v>
      </c>
      <c r="H397" t="s">
        <v>21</v>
      </c>
    </row>
    <row r="398" spans="1:10" x14ac:dyDescent="0.25">
      <c r="A398" s="1">
        <v>93</v>
      </c>
      <c r="B398" t="s">
        <v>23</v>
      </c>
      <c r="C398">
        <v>619</v>
      </c>
      <c r="D398">
        <v>1</v>
      </c>
      <c r="E398" t="s">
        <v>51</v>
      </c>
      <c r="F398" t="s">
        <v>25</v>
      </c>
      <c r="G398" t="str">
        <f>"2026-05-13 06:41:43.642"</f>
        <v>2026-05-13 06:41:43.642</v>
      </c>
      <c r="H398" t="s">
        <v>52</v>
      </c>
    </row>
    <row r="399" spans="1:10" x14ac:dyDescent="0.25">
      <c r="A399" s="1">
        <v>94</v>
      </c>
      <c r="B399" t="s">
        <v>26</v>
      </c>
      <c r="C399">
        <v>619</v>
      </c>
      <c r="D399">
        <v>1</v>
      </c>
      <c r="E399" t="s">
        <v>51</v>
      </c>
      <c r="F399" t="s">
        <v>25</v>
      </c>
      <c r="G399" t="str">
        <f>"2026-05-13 06:39:57.942"</f>
        <v>2026-05-13 06:39:57.942</v>
      </c>
      <c r="H399" t="s">
        <v>52</v>
      </c>
      <c r="I399">
        <v>0</v>
      </c>
      <c r="J399" t="s">
        <v>27</v>
      </c>
    </row>
    <row r="400" spans="1:10" x14ac:dyDescent="0.25">
      <c r="A400" s="1">
        <v>95</v>
      </c>
      <c r="B400" t="s">
        <v>19</v>
      </c>
      <c r="C400">
        <v>706</v>
      </c>
      <c r="D400">
        <v>3</v>
      </c>
      <c r="E400" t="s">
        <v>32</v>
      </c>
      <c r="F400" t="s">
        <v>39</v>
      </c>
      <c r="G400" t="str">
        <f>"2026-05-13 06:39:34.235"</f>
        <v>2026-05-13 06:39:34.235</v>
      </c>
      <c r="H400" t="s">
        <v>21</v>
      </c>
      <c r="I400">
        <v>0</v>
      </c>
      <c r="J400" t="s">
        <v>34</v>
      </c>
    </row>
    <row r="401" spans="1:10" x14ac:dyDescent="0.25">
      <c r="A401" s="1">
        <v>96</v>
      </c>
      <c r="B401" t="s">
        <v>23</v>
      </c>
      <c r="C401">
        <v>619</v>
      </c>
      <c r="D401">
        <v>1</v>
      </c>
      <c r="E401" t="s">
        <v>51</v>
      </c>
      <c r="F401" t="s">
        <v>25</v>
      </c>
      <c r="G401" t="str">
        <f>"2026-05-13 06:39:09.142"</f>
        <v>2026-05-13 06:39:09.142</v>
      </c>
      <c r="H401" t="s">
        <v>52</v>
      </c>
    </row>
    <row r="402" spans="1:10" x14ac:dyDescent="0.25">
      <c r="A402" s="1">
        <v>97</v>
      </c>
      <c r="B402" t="s">
        <v>26</v>
      </c>
      <c r="C402">
        <v>619</v>
      </c>
      <c r="D402">
        <v>1</v>
      </c>
      <c r="E402" t="s">
        <v>51</v>
      </c>
      <c r="F402" t="s">
        <v>25</v>
      </c>
      <c r="G402" t="str">
        <f>"2026-05-13 06:38:51.394"</f>
        <v>2026-05-13 06:38:51.394</v>
      </c>
      <c r="H402" t="s">
        <v>52</v>
      </c>
      <c r="I402">
        <v>0</v>
      </c>
      <c r="J402" t="s">
        <v>34</v>
      </c>
    </row>
    <row r="403" spans="1:10" x14ac:dyDescent="0.25">
      <c r="A403" s="1">
        <v>98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"2026-05-13 06:38:40.665"</f>
        <v>2026-05-13 06:38:40.665</v>
      </c>
      <c r="H403" t="s">
        <v>21</v>
      </c>
      <c r="I403">
        <v>0</v>
      </c>
      <c r="J403" t="s">
        <v>22</v>
      </c>
    </row>
    <row r="404" spans="1:10" x14ac:dyDescent="0.25">
      <c r="A404" s="1">
        <v>99</v>
      </c>
      <c r="B404" t="s">
        <v>23</v>
      </c>
      <c r="C404">
        <v>619</v>
      </c>
      <c r="D404">
        <v>1</v>
      </c>
      <c r="E404" t="s">
        <v>51</v>
      </c>
      <c r="F404" t="s">
        <v>25</v>
      </c>
      <c r="G404" t="str">
        <f>"2026-05-13 06:37:47.903"</f>
        <v>2026-05-13 06:37:47.903</v>
      </c>
      <c r="H404" t="s">
        <v>52</v>
      </c>
    </row>
    <row r="405" spans="1:10" x14ac:dyDescent="0.25">
      <c r="A405" s="1">
        <v>0</v>
      </c>
      <c r="B405" t="s">
        <v>23</v>
      </c>
      <c r="C405">
        <v>98</v>
      </c>
      <c r="D405">
        <v>1</v>
      </c>
      <c r="E405" t="s">
        <v>49</v>
      </c>
      <c r="F405" t="s">
        <v>50</v>
      </c>
      <c r="G405" t="str">
        <f>"2026-05-13 06:36:40.516"</f>
        <v>2026-05-13 06:36:40.516</v>
      </c>
      <c r="H405" t="s">
        <v>21</v>
      </c>
    </row>
    <row r="406" spans="1:10" x14ac:dyDescent="0.25">
      <c r="A406" s="1">
        <v>1</v>
      </c>
      <c r="B406" t="s">
        <v>26</v>
      </c>
      <c r="C406">
        <v>98</v>
      </c>
      <c r="D406">
        <v>1</v>
      </c>
      <c r="E406" t="s">
        <v>49</v>
      </c>
      <c r="F406" t="s">
        <v>50</v>
      </c>
      <c r="G406" t="str">
        <f>"2026-05-13 06:36:39.516"</f>
        <v>2026-05-13 06:36:39.516</v>
      </c>
      <c r="H406" t="s">
        <v>21</v>
      </c>
      <c r="I406">
        <v>0</v>
      </c>
      <c r="J406" t="s">
        <v>27</v>
      </c>
    </row>
    <row r="407" spans="1:10" x14ac:dyDescent="0.25">
      <c r="A407" s="1">
        <v>2</v>
      </c>
      <c r="B407" t="s">
        <v>26</v>
      </c>
      <c r="C407">
        <v>619</v>
      </c>
      <c r="D407">
        <v>1</v>
      </c>
      <c r="E407" t="s">
        <v>51</v>
      </c>
      <c r="F407" t="s">
        <v>25</v>
      </c>
      <c r="G407" t="str">
        <f>"2026-05-13 06:35:50.303"</f>
        <v>2026-05-13 06:35:50.303</v>
      </c>
      <c r="H407" t="s">
        <v>52</v>
      </c>
      <c r="I407">
        <v>4.01</v>
      </c>
      <c r="J407" t="s">
        <v>29</v>
      </c>
    </row>
    <row r="408" spans="1:10" s="3" customFormat="1" x14ac:dyDescent="0.25">
      <c r="A408" s="2">
        <v>3</v>
      </c>
      <c r="B408" s="3" t="s">
        <v>23</v>
      </c>
      <c r="C408" s="3">
        <v>647</v>
      </c>
      <c r="D408" s="3">
        <v>1</v>
      </c>
      <c r="E408" s="3" t="s">
        <v>30</v>
      </c>
      <c r="F408" s="3" t="s">
        <v>31</v>
      </c>
      <c r="G408" s="3" t="str">
        <f>"2026-05-13 01:07:00.503"</f>
        <v>2026-05-13 01:07:00.503</v>
      </c>
      <c r="H408" s="3" t="s">
        <v>21</v>
      </c>
    </row>
    <row r="409" spans="1:10" s="3" customFormat="1" x14ac:dyDescent="0.25">
      <c r="A409" s="2">
        <v>4</v>
      </c>
      <c r="B409" s="3" t="s">
        <v>26</v>
      </c>
      <c r="C409" s="3">
        <v>647</v>
      </c>
      <c r="D409" s="3">
        <v>1</v>
      </c>
      <c r="E409" s="3" t="s">
        <v>30</v>
      </c>
      <c r="F409" s="3" t="s">
        <v>31</v>
      </c>
      <c r="G409" s="3" t="str">
        <f>"2026-05-13 01:06:49.903"</f>
        <v>2026-05-13 01:06:49.903</v>
      </c>
      <c r="H409" s="3" t="s">
        <v>21</v>
      </c>
      <c r="I409" s="3">
        <v>15.45</v>
      </c>
      <c r="J409" s="3" t="s">
        <v>28</v>
      </c>
    </row>
    <row r="410" spans="1:10" x14ac:dyDescent="0.25">
      <c r="A410" s="1">
        <v>5</v>
      </c>
      <c r="B410" t="s">
        <v>23</v>
      </c>
      <c r="C410">
        <v>635</v>
      </c>
      <c r="D410">
        <v>1</v>
      </c>
      <c r="E410" t="s">
        <v>24</v>
      </c>
      <c r="F410" t="s">
        <v>25</v>
      </c>
      <c r="G410" t="str">
        <f>"2026-05-12 22:02:53.903"</f>
        <v>2026-05-12 22:02:53.903</v>
      </c>
      <c r="H410" t="s">
        <v>21</v>
      </c>
    </row>
    <row r="411" spans="1:10" x14ac:dyDescent="0.25">
      <c r="A411" s="1">
        <v>6</v>
      </c>
      <c r="B411" t="s">
        <v>26</v>
      </c>
      <c r="C411">
        <v>635</v>
      </c>
      <c r="D411">
        <v>1</v>
      </c>
      <c r="E411" t="s">
        <v>24</v>
      </c>
      <c r="F411" t="s">
        <v>25</v>
      </c>
      <c r="G411" t="str">
        <f>"2026-05-12 21:42:08.403"</f>
        <v>2026-05-12 21:42:08.403</v>
      </c>
      <c r="H411" t="s">
        <v>21</v>
      </c>
      <c r="I411">
        <v>9.4700000000000006</v>
      </c>
      <c r="J411" t="s">
        <v>29</v>
      </c>
    </row>
    <row r="412" spans="1:10" x14ac:dyDescent="0.25">
      <c r="A412" s="1">
        <v>7</v>
      </c>
      <c r="B412" t="s">
        <v>23</v>
      </c>
      <c r="C412">
        <v>635</v>
      </c>
      <c r="D412">
        <v>1</v>
      </c>
      <c r="E412" t="s">
        <v>24</v>
      </c>
      <c r="F412" t="s">
        <v>25</v>
      </c>
      <c r="G412" t="str">
        <f>"2026-05-12 15:27:07.803"</f>
        <v>2026-05-12 15:27:07.803</v>
      </c>
      <c r="H412" t="s">
        <v>21</v>
      </c>
    </row>
    <row r="413" spans="1:10" x14ac:dyDescent="0.25">
      <c r="A413" s="1">
        <v>8</v>
      </c>
      <c r="B413" t="s">
        <v>26</v>
      </c>
      <c r="C413">
        <v>635</v>
      </c>
      <c r="D413">
        <v>1</v>
      </c>
      <c r="E413" t="s">
        <v>24</v>
      </c>
      <c r="F413" t="s">
        <v>25</v>
      </c>
      <c r="G413" t="str">
        <f>"2026-05-12 15:22:01.803"</f>
        <v>2026-05-12 15:22:01.803</v>
      </c>
      <c r="H413" t="s">
        <v>21</v>
      </c>
      <c r="I413">
        <v>4.1500000000000004</v>
      </c>
      <c r="J413" t="s">
        <v>29</v>
      </c>
    </row>
    <row r="414" spans="1:10" x14ac:dyDescent="0.25">
      <c r="A414" s="1">
        <v>9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"2026-05-12 14:04:11.636"</f>
        <v>2026-05-12 14:04:11.636</v>
      </c>
      <c r="H414" t="s">
        <v>21</v>
      </c>
      <c r="I414">
        <v>0</v>
      </c>
      <c r="J414" t="s">
        <v>22</v>
      </c>
    </row>
    <row r="415" spans="1:10" x14ac:dyDescent="0.25">
      <c r="A415" s="1">
        <v>10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"2026-05-12 13:17:07.638"</f>
        <v>2026-05-12 13:17:07.638</v>
      </c>
      <c r="H415" t="s">
        <v>21</v>
      </c>
      <c r="I415">
        <v>0</v>
      </c>
      <c r="J415" t="s">
        <v>22</v>
      </c>
    </row>
    <row r="416" spans="1:10" x14ac:dyDescent="0.25">
      <c r="A416" s="1">
        <v>11</v>
      </c>
      <c r="B416" t="s">
        <v>23</v>
      </c>
      <c r="C416">
        <v>635</v>
      </c>
      <c r="D416">
        <v>1</v>
      </c>
      <c r="E416" t="s">
        <v>24</v>
      </c>
      <c r="F416" t="s">
        <v>25</v>
      </c>
      <c r="G416" t="str">
        <f>"2026-05-12 05:29:35.438"</f>
        <v>2026-05-12 05:29:35.438</v>
      </c>
      <c r="H416" t="s">
        <v>21</v>
      </c>
    </row>
    <row r="417" spans="1:10" x14ac:dyDescent="0.25">
      <c r="A417" s="1">
        <v>12</v>
      </c>
      <c r="B417" t="s">
        <v>26</v>
      </c>
      <c r="C417">
        <v>635</v>
      </c>
      <c r="D417">
        <v>1</v>
      </c>
      <c r="E417" t="s">
        <v>24</v>
      </c>
      <c r="F417" t="s">
        <v>25</v>
      </c>
      <c r="G417" t="str">
        <f>"2026-05-12 05:12:36.438"</f>
        <v>2026-05-12 05:12:36.438</v>
      </c>
      <c r="H417" t="s">
        <v>21</v>
      </c>
      <c r="I417">
        <v>9.5299999999999994</v>
      </c>
      <c r="J417" t="s">
        <v>29</v>
      </c>
    </row>
    <row r="418" spans="1:10" s="3" customFormat="1" x14ac:dyDescent="0.25">
      <c r="A418" s="2">
        <v>13</v>
      </c>
      <c r="B418" s="3" t="s">
        <v>23</v>
      </c>
      <c r="C418" s="3">
        <v>647</v>
      </c>
      <c r="D418" s="3">
        <v>1</v>
      </c>
      <c r="E418" s="3" t="s">
        <v>30</v>
      </c>
      <c r="F418" s="3" t="s">
        <v>31</v>
      </c>
      <c r="G418" s="3" t="str">
        <f>"2026-05-12 03:10:29.792"</f>
        <v>2026-05-12 03:10:29.792</v>
      </c>
      <c r="H418" s="3" t="s">
        <v>21</v>
      </c>
    </row>
    <row r="419" spans="1:10" s="3" customFormat="1" x14ac:dyDescent="0.25">
      <c r="A419" s="2">
        <v>14</v>
      </c>
      <c r="B419" s="3" t="s">
        <v>26</v>
      </c>
      <c r="C419" s="3">
        <v>647</v>
      </c>
      <c r="D419" s="3">
        <v>1</v>
      </c>
      <c r="E419" s="3" t="s">
        <v>30</v>
      </c>
      <c r="F419" s="3" t="s">
        <v>31</v>
      </c>
      <c r="G419" s="3" t="str">
        <f>"2026-05-12 03:10:26.692"</f>
        <v>2026-05-12 03:10:26.692</v>
      </c>
      <c r="H419" s="3" t="s">
        <v>21</v>
      </c>
      <c r="I419" s="3">
        <v>19.98</v>
      </c>
      <c r="J419" s="3" t="s">
        <v>28</v>
      </c>
    </row>
    <row r="420" spans="1:10" s="3" customFormat="1" x14ac:dyDescent="0.25">
      <c r="A420" s="2">
        <v>15</v>
      </c>
      <c r="B420" s="3" t="s">
        <v>23</v>
      </c>
      <c r="C420" s="3">
        <v>647</v>
      </c>
      <c r="D420" s="3">
        <v>1</v>
      </c>
      <c r="E420" s="3" t="s">
        <v>30</v>
      </c>
      <c r="F420" s="3" t="s">
        <v>31</v>
      </c>
      <c r="G420" s="3" t="str">
        <f>"2026-05-12 00:05:12.292"</f>
        <v>2026-05-12 00:05:12.292</v>
      </c>
      <c r="H420" s="3" t="s">
        <v>21</v>
      </c>
    </row>
    <row r="421" spans="1:10" s="3" customFormat="1" x14ac:dyDescent="0.25">
      <c r="A421" s="2">
        <v>16</v>
      </c>
      <c r="B421" s="3" t="s">
        <v>26</v>
      </c>
      <c r="C421" s="3">
        <v>647</v>
      </c>
      <c r="D421" s="3">
        <v>1</v>
      </c>
      <c r="E421" s="3" t="s">
        <v>30</v>
      </c>
      <c r="F421" s="3" t="s">
        <v>31</v>
      </c>
      <c r="G421" s="3" t="str">
        <f>"2026-05-12 00:05:07.092"</f>
        <v>2026-05-12 00:05:07.092</v>
      </c>
      <c r="H421" s="3" t="s">
        <v>21</v>
      </c>
      <c r="I421" s="3">
        <v>12.66</v>
      </c>
      <c r="J421" s="3" t="s">
        <v>28</v>
      </c>
    </row>
    <row r="422" spans="1:10" x14ac:dyDescent="0.25">
      <c r="A422" s="1">
        <v>17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"2026-05-11 21:55:08.730"</f>
        <v>2026-05-11 21:55:08.730</v>
      </c>
      <c r="H422" t="s">
        <v>21</v>
      </c>
    </row>
    <row r="423" spans="1:10" x14ac:dyDescent="0.25">
      <c r="A423" s="1">
        <v>18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"2026-05-11 21:02:20.658"</f>
        <v>2026-05-11 21:02:20.658</v>
      </c>
      <c r="H423" t="s">
        <v>21</v>
      </c>
    </row>
    <row r="424" spans="1:10" x14ac:dyDescent="0.25">
      <c r="A424" s="1">
        <v>19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"2026-05-11 12:28:29.635"</f>
        <v>2026-05-11 12:28:29.635</v>
      </c>
      <c r="H424" t="s">
        <v>21</v>
      </c>
    </row>
    <row r="425" spans="1:10" x14ac:dyDescent="0.25">
      <c r="A425" s="1">
        <v>20</v>
      </c>
      <c r="B425" t="s">
        <v>23</v>
      </c>
      <c r="C425">
        <v>635</v>
      </c>
      <c r="D425">
        <v>1</v>
      </c>
      <c r="E425" t="s">
        <v>24</v>
      </c>
      <c r="F425" t="s">
        <v>25</v>
      </c>
      <c r="G425" t="str">
        <f>"2026-05-11 10:03:57.801"</f>
        <v>2026-05-11 10:03:57.801</v>
      </c>
      <c r="H425" t="s">
        <v>21</v>
      </c>
    </row>
    <row r="426" spans="1:10" x14ac:dyDescent="0.25">
      <c r="A426" s="1">
        <v>21</v>
      </c>
      <c r="B426" t="s">
        <v>26</v>
      </c>
      <c r="C426">
        <v>635</v>
      </c>
      <c r="D426">
        <v>1</v>
      </c>
      <c r="E426" t="s">
        <v>24</v>
      </c>
      <c r="F426" t="s">
        <v>25</v>
      </c>
      <c r="G426" t="str">
        <f>"2026-05-11 09:59:26.901"</f>
        <v>2026-05-11 09:59:26.901</v>
      </c>
      <c r="H426" t="s">
        <v>21</v>
      </c>
      <c r="I426">
        <v>2.4</v>
      </c>
      <c r="J426" t="s">
        <v>28</v>
      </c>
    </row>
    <row r="427" spans="1:10" x14ac:dyDescent="0.25">
      <c r="A427" s="1">
        <v>22</v>
      </c>
      <c r="B427" t="s">
        <v>23</v>
      </c>
      <c r="C427">
        <v>635</v>
      </c>
      <c r="D427">
        <v>1</v>
      </c>
      <c r="E427" t="s">
        <v>24</v>
      </c>
      <c r="F427" t="s">
        <v>25</v>
      </c>
      <c r="G427" t="str">
        <f>"2026-05-10 22:05:40.501"</f>
        <v>2026-05-10 22:05:40.501</v>
      </c>
      <c r="H427" t="s">
        <v>21</v>
      </c>
    </row>
    <row r="428" spans="1:10" x14ac:dyDescent="0.25">
      <c r="A428" s="1">
        <v>23</v>
      </c>
      <c r="B428" t="s">
        <v>26</v>
      </c>
      <c r="C428">
        <v>635</v>
      </c>
      <c r="D428">
        <v>1</v>
      </c>
      <c r="E428" t="s">
        <v>24</v>
      </c>
      <c r="F428" t="s">
        <v>25</v>
      </c>
      <c r="G428" t="str">
        <f>"2026-05-10 22:02:22.001"</f>
        <v>2026-05-10 22:02:22.001</v>
      </c>
      <c r="H428" t="s">
        <v>21</v>
      </c>
      <c r="I428">
        <v>6.08</v>
      </c>
      <c r="J428" t="s">
        <v>27</v>
      </c>
    </row>
    <row r="429" spans="1:10" x14ac:dyDescent="0.25">
      <c r="A429" s="1">
        <v>24</v>
      </c>
      <c r="B429" t="s">
        <v>19</v>
      </c>
      <c r="C429">
        <v>706</v>
      </c>
      <c r="D429">
        <v>4</v>
      </c>
      <c r="E429" t="s">
        <v>32</v>
      </c>
      <c r="F429" t="s">
        <v>48</v>
      </c>
      <c r="G429" t="str">
        <f>"2026-05-10 02:39:19.991"</f>
        <v>2026-05-10 02:39:19.991</v>
      </c>
      <c r="H429" t="s">
        <v>21</v>
      </c>
      <c r="I429">
        <v>0</v>
      </c>
      <c r="J429" t="s">
        <v>34</v>
      </c>
    </row>
    <row r="430" spans="1:10" x14ac:dyDescent="0.25">
      <c r="A430" s="1">
        <v>25</v>
      </c>
      <c r="B430" t="s">
        <v>23</v>
      </c>
      <c r="C430">
        <v>635</v>
      </c>
      <c r="D430">
        <v>1</v>
      </c>
      <c r="E430" t="s">
        <v>24</v>
      </c>
      <c r="F430" t="s">
        <v>25</v>
      </c>
      <c r="G430" t="str">
        <f>"2026-05-10 00:25:10.401"</f>
        <v>2026-05-10 00:25:10.401</v>
      </c>
      <c r="H430" t="s">
        <v>21</v>
      </c>
    </row>
    <row r="431" spans="1:10" x14ac:dyDescent="0.25">
      <c r="A431" s="1">
        <v>26</v>
      </c>
      <c r="B431" t="s">
        <v>26</v>
      </c>
      <c r="C431">
        <v>635</v>
      </c>
      <c r="D431">
        <v>1</v>
      </c>
      <c r="E431" t="s">
        <v>24</v>
      </c>
      <c r="F431" t="s">
        <v>25</v>
      </c>
      <c r="G431" t="str">
        <f>"2026-05-10 00:01:41.401"</f>
        <v>2026-05-10 00:01:41.401</v>
      </c>
      <c r="H431" t="s">
        <v>21</v>
      </c>
      <c r="I431">
        <v>1.1399999999999999</v>
      </c>
      <c r="J431" t="s">
        <v>29</v>
      </c>
    </row>
    <row r="432" spans="1:10" x14ac:dyDescent="0.25">
      <c r="A432" s="1">
        <v>27</v>
      </c>
      <c r="B432" t="s">
        <v>23</v>
      </c>
      <c r="C432">
        <v>635</v>
      </c>
      <c r="D432">
        <v>1</v>
      </c>
      <c r="E432" t="s">
        <v>24</v>
      </c>
      <c r="F432" t="s">
        <v>25</v>
      </c>
      <c r="G432" t="str">
        <f>"2026-05-09 02:32:45.801"</f>
        <v>2026-05-09 02:32:45.801</v>
      </c>
      <c r="H432" t="s">
        <v>21</v>
      </c>
    </row>
    <row r="433" spans="1:10" x14ac:dyDescent="0.25">
      <c r="A433" s="1">
        <v>28</v>
      </c>
      <c r="B433" t="s">
        <v>26</v>
      </c>
      <c r="C433">
        <v>635</v>
      </c>
      <c r="D433">
        <v>1</v>
      </c>
      <c r="E433" t="s">
        <v>24</v>
      </c>
      <c r="F433" t="s">
        <v>25</v>
      </c>
      <c r="G433" t="str">
        <f>"2026-05-09 02:11:47.301"</f>
        <v>2026-05-09 02:11:47.301</v>
      </c>
      <c r="H433" t="s">
        <v>21</v>
      </c>
      <c r="I433">
        <v>3.63</v>
      </c>
      <c r="J433" t="s">
        <v>29</v>
      </c>
    </row>
    <row r="434" spans="1:10" s="3" customFormat="1" x14ac:dyDescent="0.25">
      <c r="A434" s="2">
        <v>29</v>
      </c>
      <c r="B434" s="3" t="s">
        <v>23</v>
      </c>
      <c r="C434" s="3">
        <v>647</v>
      </c>
      <c r="D434" s="3">
        <v>1</v>
      </c>
      <c r="E434" s="3" t="s">
        <v>30</v>
      </c>
      <c r="F434" s="3" t="s">
        <v>31</v>
      </c>
      <c r="G434" s="3" t="str">
        <f>"2026-05-08 21:30:52.455"</f>
        <v>2026-05-08 21:30:52.455</v>
      </c>
      <c r="H434" s="3" t="s">
        <v>21</v>
      </c>
    </row>
    <row r="435" spans="1:10" s="3" customFormat="1" x14ac:dyDescent="0.25">
      <c r="A435" s="2">
        <v>30</v>
      </c>
      <c r="B435" s="3" t="s">
        <v>26</v>
      </c>
      <c r="C435" s="3">
        <v>647</v>
      </c>
      <c r="D435" s="3">
        <v>1</v>
      </c>
      <c r="E435" s="3" t="s">
        <v>30</v>
      </c>
      <c r="F435" s="3" t="s">
        <v>31</v>
      </c>
      <c r="G435" s="3" t="str">
        <f>"2026-05-08 21:30:38.555"</f>
        <v>2026-05-08 21:30:38.555</v>
      </c>
      <c r="H435" s="3" t="s">
        <v>21</v>
      </c>
      <c r="I435" s="3">
        <v>21.85</v>
      </c>
      <c r="J435" s="3" t="s">
        <v>28</v>
      </c>
    </row>
    <row r="436" spans="1:10" s="3" customFormat="1" x14ac:dyDescent="0.25">
      <c r="A436" s="2">
        <v>31</v>
      </c>
      <c r="B436" s="3" t="s">
        <v>23</v>
      </c>
      <c r="C436" s="3">
        <v>647</v>
      </c>
      <c r="D436" s="3">
        <v>1</v>
      </c>
      <c r="E436" s="3" t="s">
        <v>30</v>
      </c>
      <c r="F436" s="3" t="s">
        <v>31</v>
      </c>
      <c r="G436" s="3" t="str">
        <f>"2026-05-08 21:30:36.055"</f>
        <v>2026-05-08 21:30:36.055</v>
      </c>
      <c r="H436" s="3" t="s">
        <v>21</v>
      </c>
    </row>
    <row r="437" spans="1:10" s="3" customFormat="1" x14ac:dyDescent="0.25">
      <c r="A437" s="2">
        <v>32</v>
      </c>
      <c r="B437" s="3" t="s">
        <v>26</v>
      </c>
      <c r="C437" s="3">
        <v>647</v>
      </c>
      <c r="D437" s="3">
        <v>1</v>
      </c>
      <c r="E437" s="3" t="s">
        <v>30</v>
      </c>
      <c r="F437" s="3" t="s">
        <v>31</v>
      </c>
      <c r="G437" s="3" t="str">
        <f>"2026-05-08 21:30:31.955"</f>
        <v>2026-05-08 21:30:31.955</v>
      </c>
      <c r="H437" s="3" t="s">
        <v>21</v>
      </c>
      <c r="I437" s="3">
        <v>21.38</v>
      </c>
      <c r="J437" s="3" t="s">
        <v>28</v>
      </c>
    </row>
    <row r="438" spans="1:10" x14ac:dyDescent="0.25">
      <c r="A438" s="1">
        <v>33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"2026-05-08 13:51:15.661"</f>
        <v>2026-05-08 13:51:15.661</v>
      </c>
      <c r="H438" t="s">
        <v>21</v>
      </c>
    </row>
    <row r="439" spans="1:10" s="3" customFormat="1" x14ac:dyDescent="0.25">
      <c r="A439" s="2">
        <v>34</v>
      </c>
      <c r="B439" s="3" t="s">
        <v>23</v>
      </c>
      <c r="C439" s="3">
        <v>647</v>
      </c>
      <c r="D439" s="3">
        <v>1</v>
      </c>
      <c r="E439" s="3" t="s">
        <v>30</v>
      </c>
      <c r="F439" s="3" t="s">
        <v>31</v>
      </c>
      <c r="G439" s="3" t="str">
        <f>"2026-05-08 05:00:01.601"</f>
        <v>2026-05-08 05:00:01.601</v>
      </c>
      <c r="H439" s="3" t="s">
        <v>21</v>
      </c>
    </row>
    <row r="440" spans="1:10" s="3" customFormat="1" x14ac:dyDescent="0.25">
      <c r="A440" s="2">
        <v>35</v>
      </c>
      <c r="B440" s="3" t="s">
        <v>26</v>
      </c>
      <c r="C440" s="3">
        <v>647</v>
      </c>
      <c r="D440" s="3">
        <v>1</v>
      </c>
      <c r="E440" s="3" t="s">
        <v>30</v>
      </c>
      <c r="F440" s="3" t="s">
        <v>31</v>
      </c>
      <c r="G440" s="3" t="str">
        <f>"2026-05-08 04:59:59.701"</f>
        <v>2026-05-08 04:59:59.701</v>
      </c>
      <c r="H440" s="3" t="s">
        <v>21</v>
      </c>
      <c r="I440" s="3">
        <v>18.02</v>
      </c>
      <c r="J440" s="3" t="s">
        <v>28</v>
      </c>
    </row>
    <row r="441" spans="1:10" s="3" customFormat="1" x14ac:dyDescent="0.25">
      <c r="A441" s="2">
        <v>36</v>
      </c>
      <c r="B441" s="3" t="s">
        <v>23</v>
      </c>
      <c r="C441" s="3">
        <v>647</v>
      </c>
      <c r="D441" s="3">
        <v>1</v>
      </c>
      <c r="E441" s="3" t="s">
        <v>30</v>
      </c>
      <c r="F441" s="3" t="s">
        <v>31</v>
      </c>
      <c r="G441" s="3" t="str">
        <f>"2026-05-07 21:45:10.301"</f>
        <v>2026-05-07 21:45:10.301</v>
      </c>
      <c r="H441" s="3" t="s">
        <v>21</v>
      </c>
    </row>
    <row r="442" spans="1:10" s="3" customFormat="1" x14ac:dyDescent="0.25">
      <c r="A442" s="2">
        <v>37</v>
      </c>
      <c r="B442" s="3" t="s">
        <v>26</v>
      </c>
      <c r="C442" s="3">
        <v>647</v>
      </c>
      <c r="D442" s="3">
        <v>1</v>
      </c>
      <c r="E442" s="3" t="s">
        <v>30</v>
      </c>
      <c r="F442" s="3" t="s">
        <v>31</v>
      </c>
      <c r="G442" s="3" t="str">
        <f>"2026-05-07 21:45:06.601"</f>
        <v>2026-05-07 21:45:06.601</v>
      </c>
      <c r="H442" s="3" t="s">
        <v>21</v>
      </c>
      <c r="I442" s="3">
        <v>8.8800000000000008</v>
      </c>
      <c r="J442" s="3" t="s">
        <v>28</v>
      </c>
    </row>
    <row r="443" spans="1:10" s="3" customFormat="1" x14ac:dyDescent="0.25">
      <c r="A443" s="2">
        <v>38</v>
      </c>
      <c r="B443" s="3" t="s">
        <v>23</v>
      </c>
      <c r="C443" s="3">
        <v>647</v>
      </c>
      <c r="D443" s="3">
        <v>1</v>
      </c>
      <c r="E443" s="3" t="s">
        <v>30</v>
      </c>
      <c r="F443" s="3" t="s">
        <v>31</v>
      </c>
      <c r="G443" s="3" t="str">
        <f>"2026-05-07 20:09:33.001"</f>
        <v>2026-05-07 20:09:33.001</v>
      </c>
      <c r="H443" s="3" t="s">
        <v>21</v>
      </c>
    </row>
    <row r="444" spans="1:10" s="3" customFormat="1" x14ac:dyDescent="0.25">
      <c r="A444" s="2">
        <v>39</v>
      </c>
      <c r="B444" s="3" t="s">
        <v>26</v>
      </c>
      <c r="C444" s="3">
        <v>647</v>
      </c>
      <c r="D444" s="3">
        <v>1</v>
      </c>
      <c r="E444" s="3" t="s">
        <v>30</v>
      </c>
      <c r="F444" s="3" t="s">
        <v>31</v>
      </c>
      <c r="G444" s="3" t="str">
        <f>"2026-05-07 20:09:25.901"</f>
        <v>2026-05-07 20:09:25.901</v>
      </c>
      <c r="H444" s="3" t="s">
        <v>21</v>
      </c>
      <c r="I444" s="3">
        <v>12.44</v>
      </c>
      <c r="J444" s="3" t="s">
        <v>28</v>
      </c>
    </row>
    <row r="445" spans="1:10" s="3" customFormat="1" x14ac:dyDescent="0.25">
      <c r="A445" s="2">
        <v>40</v>
      </c>
      <c r="B445" s="3" t="s">
        <v>23</v>
      </c>
      <c r="C445" s="3">
        <v>647</v>
      </c>
      <c r="D445" s="3">
        <v>1</v>
      </c>
      <c r="E445" s="3" t="s">
        <v>30</v>
      </c>
      <c r="F445" s="3" t="s">
        <v>31</v>
      </c>
      <c r="G445" s="3" t="str">
        <f>"2026-05-07 20:09:21.601"</f>
        <v>2026-05-07 20:09:21.601</v>
      </c>
      <c r="H445" s="3" t="s">
        <v>21</v>
      </c>
    </row>
    <row r="446" spans="1:10" s="3" customFormat="1" x14ac:dyDescent="0.25">
      <c r="A446" s="2">
        <v>41</v>
      </c>
      <c r="B446" s="3" t="s">
        <v>26</v>
      </c>
      <c r="C446" s="3">
        <v>647</v>
      </c>
      <c r="D446" s="3">
        <v>1</v>
      </c>
      <c r="E446" s="3" t="s">
        <v>30</v>
      </c>
      <c r="F446" s="3" t="s">
        <v>31</v>
      </c>
      <c r="G446" s="3" t="str">
        <f>"2026-05-07 20:09:17.901"</f>
        <v>2026-05-07 20:09:17.901</v>
      </c>
      <c r="H446" s="3" t="s">
        <v>21</v>
      </c>
      <c r="I446" s="3">
        <v>10.53</v>
      </c>
      <c r="J446" s="3" t="s">
        <v>28</v>
      </c>
    </row>
    <row r="447" spans="1:10" s="3" customFormat="1" x14ac:dyDescent="0.25">
      <c r="A447" s="2">
        <v>42</v>
      </c>
      <c r="B447" s="3" t="s">
        <v>23</v>
      </c>
      <c r="C447" s="3">
        <v>647</v>
      </c>
      <c r="D447" s="3">
        <v>1</v>
      </c>
      <c r="E447" s="3" t="s">
        <v>30</v>
      </c>
      <c r="F447" s="3" t="s">
        <v>31</v>
      </c>
      <c r="G447" s="3" t="str">
        <f>"2026-05-07 20:09:12.401"</f>
        <v>2026-05-07 20:09:12.401</v>
      </c>
      <c r="H447" s="3" t="s">
        <v>21</v>
      </c>
    </row>
    <row r="448" spans="1:10" s="3" customFormat="1" x14ac:dyDescent="0.25">
      <c r="A448" s="2">
        <v>43</v>
      </c>
      <c r="B448" s="3" t="s">
        <v>26</v>
      </c>
      <c r="C448" s="3">
        <v>647</v>
      </c>
      <c r="D448" s="3">
        <v>1</v>
      </c>
      <c r="E448" s="3" t="s">
        <v>30</v>
      </c>
      <c r="F448" s="3" t="s">
        <v>31</v>
      </c>
      <c r="G448" s="3" t="str">
        <f>"2026-05-07 20:09:11.301"</f>
        <v>2026-05-07 20:09:11.301</v>
      </c>
      <c r="H448" s="3" t="s">
        <v>21</v>
      </c>
      <c r="I448" s="3">
        <v>8.81</v>
      </c>
      <c r="J448" s="3" t="s">
        <v>28</v>
      </c>
    </row>
    <row r="449" spans="1:10" s="3" customFormat="1" x14ac:dyDescent="0.25">
      <c r="A449" s="2">
        <v>44</v>
      </c>
      <c r="B449" s="3" t="s">
        <v>23</v>
      </c>
      <c r="C449" s="3">
        <v>647</v>
      </c>
      <c r="D449" s="3">
        <v>1</v>
      </c>
      <c r="E449" s="3" t="s">
        <v>30</v>
      </c>
      <c r="F449" s="3" t="s">
        <v>31</v>
      </c>
      <c r="G449" s="3" t="str">
        <f>"2026-05-07 20:09:09.301"</f>
        <v>2026-05-07 20:09:09.301</v>
      </c>
      <c r="H449" s="3" t="s">
        <v>21</v>
      </c>
    </row>
    <row r="450" spans="1:10" s="3" customFormat="1" x14ac:dyDescent="0.25">
      <c r="A450" s="2">
        <v>45</v>
      </c>
      <c r="B450" s="3" t="s">
        <v>26</v>
      </c>
      <c r="C450" s="3">
        <v>647</v>
      </c>
      <c r="D450" s="3">
        <v>1</v>
      </c>
      <c r="E450" s="3" t="s">
        <v>30</v>
      </c>
      <c r="F450" s="3" t="s">
        <v>31</v>
      </c>
      <c r="G450" s="3" t="str">
        <f>"2026-05-07 20:09:07.701"</f>
        <v>2026-05-07 20:09:07.701</v>
      </c>
      <c r="H450" s="3" t="s">
        <v>21</v>
      </c>
      <c r="I450" s="3">
        <v>9.01</v>
      </c>
      <c r="J450" s="3" t="s">
        <v>28</v>
      </c>
    </row>
    <row r="451" spans="1:10" x14ac:dyDescent="0.25">
      <c r="A451" s="1">
        <v>46</v>
      </c>
      <c r="B451" t="s">
        <v>23</v>
      </c>
      <c r="C451">
        <v>635</v>
      </c>
      <c r="D451">
        <v>1</v>
      </c>
      <c r="E451" t="s">
        <v>24</v>
      </c>
      <c r="F451" t="s">
        <v>25</v>
      </c>
      <c r="G451" t="str">
        <f>"2026-05-07 16:50:17.753"</f>
        <v>2026-05-07 16:50:17.753</v>
      </c>
      <c r="H451" t="s">
        <v>21</v>
      </c>
    </row>
    <row r="452" spans="1:10" x14ac:dyDescent="0.25">
      <c r="A452" s="1">
        <v>47</v>
      </c>
      <c r="B452" t="s">
        <v>26</v>
      </c>
      <c r="C452">
        <v>635</v>
      </c>
      <c r="D452">
        <v>1</v>
      </c>
      <c r="E452" t="s">
        <v>24</v>
      </c>
      <c r="F452" t="s">
        <v>25</v>
      </c>
      <c r="G452" t="str">
        <f>"2026-05-07 16:47:32.753"</f>
        <v>2026-05-07 16:47:32.753</v>
      </c>
      <c r="H452" t="s">
        <v>21</v>
      </c>
      <c r="I452">
        <v>5.9</v>
      </c>
      <c r="J452" t="s">
        <v>29</v>
      </c>
    </row>
    <row r="453" spans="1:10" x14ac:dyDescent="0.25">
      <c r="A453" s="1">
        <v>48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"2026-05-07 11:37:07.609"</f>
        <v>2026-05-07 11:37:07.609</v>
      </c>
      <c r="H453" t="s">
        <v>21</v>
      </c>
    </row>
    <row r="454" spans="1:10" x14ac:dyDescent="0.25">
      <c r="A454" s="1">
        <v>49</v>
      </c>
      <c r="B454" t="s">
        <v>23</v>
      </c>
      <c r="C454">
        <v>635</v>
      </c>
      <c r="D454">
        <v>1</v>
      </c>
      <c r="E454" t="s">
        <v>24</v>
      </c>
      <c r="F454" t="s">
        <v>25</v>
      </c>
      <c r="G454" t="str">
        <f>"2026-05-07 09:21:55.357"</f>
        <v>2026-05-07 09:21:55.357</v>
      </c>
      <c r="H454" t="s">
        <v>21</v>
      </c>
    </row>
    <row r="455" spans="1:10" x14ac:dyDescent="0.25">
      <c r="A455" s="1">
        <v>50</v>
      </c>
      <c r="B455" t="s">
        <v>26</v>
      </c>
      <c r="C455">
        <v>635</v>
      </c>
      <c r="D455">
        <v>1</v>
      </c>
      <c r="E455" t="s">
        <v>24</v>
      </c>
      <c r="F455" t="s">
        <v>25</v>
      </c>
      <c r="G455" t="str">
        <f>"2026-05-07 09:17:14.856"</f>
        <v>2026-05-07 09:17:14.856</v>
      </c>
      <c r="H455" t="s">
        <v>21</v>
      </c>
      <c r="I455">
        <v>2.4900000000000002</v>
      </c>
      <c r="J455" t="s">
        <v>29</v>
      </c>
    </row>
    <row r="456" spans="1:10" s="3" customFormat="1" x14ac:dyDescent="0.25">
      <c r="A456" s="2">
        <v>51</v>
      </c>
      <c r="B456" s="3" t="s">
        <v>23</v>
      </c>
      <c r="C456" s="3">
        <v>647</v>
      </c>
      <c r="D456" s="3">
        <v>1</v>
      </c>
      <c r="E456" s="3" t="s">
        <v>30</v>
      </c>
      <c r="F456" s="3" t="s">
        <v>31</v>
      </c>
      <c r="G456" s="3" t="str">
        <f>"2026-05-06 22:31:51.204"</f>
        <v>2026-05-06 22:31:51.204</v>
      </c>
      <c r="H456" s="3" t="s">
        <v>21</v>
      </c>
    </row>
    <row r="457" spans="1:10" s="3" customFormat="1" x14ac:dyDescent="0.25">
      <c r="A457" s="2">
        <v>52</v>
      </c>
      <c r="B457" s="3" t="s">
        <v>26</v>
      </c>
      <c r="C457" s="3">
        <v>647</v>
      </c>
      <c r="D457" s="3">
        <v>1</v>
      </c>
      <c r="E457" s="3" t="s">
        <v>30</v>
      </c>
      <c r="F457" s="3" t="s">
        <v>31</v>
      </c>
      <c r="G457" s="3" t="str">
        <f>"2026-05-06 22:31:44.505"</f>
        <v>2026-05-06 22:31:44.505</v>
      </c>
      <c r="H457" s="3" t="s">
        <v>21</v>
      </c>
      <c r="I457" s="3">
        <v>15.14</v>
      </c>
      <c r="J457" s="3" t="s">
        <v>28</v>
      </c>
    </row>
    <row r="458" spans="1:10" x14ac:dyDescent="0.25">
      <c r="A458" s="1">
        <v>53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"2026-05-06 14:04:31.625"</f>
        <v>2026-05-06 14:04:31.625</v>
      </c>
      <c r="H458" t="s">
        <v>21</v>
      </c>
      <c r="I458">
        <v>0</v>
      </c>
      <c r="J458" t="s">
        <v>22</v>
      </c>
    </row>
    <row r="459" spans="1:10" s="3" customFormat="1" x14ac:dyDescent="0.25">
      <c r="A459" s="2">
        <v>54</v>
      </c>
      <c r="B459" s="3" t="s">
        <v>23</v>
      </c>
      <c r="C459" s="3">
        <v>647</v>
      </c>
      <c r="D459" s="3">
        <v>1</v>
      </c>
      <c r="E459" s="3" t="s">
        <v>30</v>
      </c>
      <c r="F459" s="3" t="s">
        <v>31</v>
      </c>
      <c r="G459" s="3" t="str">
        <f>"2026-05-06 06:54:22.905"</f>
        <v>2026-05-06 06:54:22.905</v>
      </c>
      <c r="H459" s="3" t="s">
        <v>21</v>
      </c>
    </row>
    <row r="460" spans="1:10" s="3" customFormat="1" x14ac:dyDescent="0.25">
      <c r="A460" s="2">
        <v>55</v>
      </c>
      <c r="B460" s="3" t="s">
        <v>26</v>
      </c>
      <c r="C460" s="3">
        <v>647</v>
      </c>
      <c r="D460" s="3">
        <v>1</v>
      </c>
      <c r="E460" s="3" t="s">
        <v>30</v>
      </c>
      <c r="F460" s="3" t="s">
        <v>31</v>
      </c>
      <c r="G460" s="3" t="str">
        <f>"2026-05-06 06:54:04.806"</f>
        <v>2026-05-06 06:54:04.806</v>
      </c>
      <c r="H460" s="3" t="s">
        <v>21</v>
      </c>
      <c r="I460" s="3">
        <v>8.91</v>
      </c>
      <c r="J460" s="3" t="s">
        <v>28</v>
      </c>
    </row>
    <row r="461" spans="1:10" x14ac:dyDescent="0.25">
      <c r="A461" s="1">
        <v>56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"2026-05-06 06:05:11.612"</f>
        <v>2026-05-06 06:05:11.612</v>
      </c>
      <c r="H461" t="s">
        <v>21</v>
      </c>
    </row>
    <row r="462" spans="1:10" x14ac:dyDescent="0.25">
      <c r="A462" s="1">
        <v>57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"2026-05-06 06:02:06.623"</f>
        <v>2026-05-06 06:02:06.623</v>
      </c>
      <c r="H462" t="s">
        <v>21</v>
      </c>
    </row>
    <row r="463" spans="1:10" s="3" customFormat="1" x14ac:dyDescent="0.25">
      <c r="A463" s="2">
        <v>58</v>
      </c>
      <c r="B463" s="3" t="s">
        <v>23</v>
      </c>
      <c r="C463" s="3">
        <v>647</v>
      </c>
      <c r="D463" s="3">
        <v>1</v>
      </c>
      <c r="E463" s="3" t="s">
        <v>30</v>
      </c>
      <c r="F463" s="3" t="s">
        <v>31</v>
      </c>
      <c r="G463" s="3" t="str">
        <f>"2026-05-05 21:17:00.747"</f>
        <v>2026-05-05 21:17:00.747</v>
      </c>
      <c r="H463" s="3" t="s">
        <v>21</v>
      </c>
    </row>
    <row r="464" spans="1:10" s="3" customFormat="1" x14ac:dyDescent="0.25">
      <c r="A464" s="2">
        <v>59</v>
      </c>
      <c r="B464" s="3" t="s">
        <v>26</v>
      </c>
      <c r="C464" s="3">
        <v>647</v>
      </c>
      <c r="D464" s="3">
        <v>1</v>
      </c>
      <c r="E464" s="3" t="s">
        <v>30</v>
      </c>
      <c r="F464" s="3" t="s">
        <v>31</v>
      </c>
      <c r="G464" s="3" t="str">
        <f>"2026-05-05 21:16:56.247"</f>
        <v>2026-05-05 21:16:56.247</v>
      </c>
      <c r="H464" s="3" t="s">
        <v>21</v>
      </c>
      <c r="I464" s="3">
        <v>12.71</v>
      </c>
      <c r="J464" s="3" t="s">
        <v>28</v>
      </c>
    </row>
    <row r="465" spans="1:10" s="3" customFormat="1" x14ac:dyDescent="0.25">
      <c r="A465" s="2">
        <v>60</v>
      </c>
      <c r="B465" s="3" t="s">
        <v>23</v>
      </c>
      <c r="C465" s="3">
        <v>647</v>
      </c>
      <c r="D465" s="3">
        <v>1</v>
      </c>
      <c r="E465" s="3" t="s">
        <v>30</v>
      </c>
      <c r="F465" s="3" t="s">
        <v>31</v>
      </c>
      <c r="G465" s="3" t="str">
        <f>"2026-05-05 20:23:50.047"</f>
        <v>2026-05-05 20:23:50.047</v>
      </c>
      <c r="H465" s="3" t="s">
        <v>21</v>
      </c>
    </row>
    <row r="466" spans="1:10" s="3" customFormat="1" x14ac:dyDescent="0.25">
      <c r="A466" s="2">
        <v>61</v>
      </c>
      <c r="B466" s="3" t="s">
        <v>26</v>
      </c>
      <c r="C466" s="3">
        <v>647</v>
      </c>
      <c r="D466" s="3">
        <v>1</v>
      </c>
      <c r="E466" s="3" t="s">
        <v>30</v>
      </c>
      <c r="F466" s="3" t="s">
        <v>31</v>
      </c>
      <c r="G466" s="3" t="str">
        <f>"2026-05-05 20:23:48.147"</f>
        <v>2026-05-05 20:23:48.147</v>
      </c>
      <c r="H466" s="3" t="s">
        <v>21</v>
      </c>
      <c r="I466" s="3">
        <v>8.32</v>
      </c>
      <c r="J466" s="3" t="s">
        <v>28</v>
      </c>
    </row>
    <row r="467" spans="1:10" s="3" customFormat="1" x14ac:dyDescent="0.25">
      <c r="A467" s="2">
        <v>62</v>
      </c>
      <c r="B467" s="3" t="s">
        <v>23</v>
      </c>
      <c r="C467" s="3">
        <v>647</v>
      </c>
      <c r="D467" s="3">
        <v>1</v>
      </c>
      <c r="E467" s="3" t="s">
        <v>30</v>
      </c>
      <c r="F467" s="3" t="s">
        <v>31</v>
      </c>
      <c r="G467" s="3" t="str">
        <f>"2026-05-05 20:20:10.647"</f>
        <v>2026-05-05 20:20:10.647</v>
      </c>
      <c r="H467" s="3" t="s">
        <v>21</v>
      </c>
    </row>
    <row r="468" spans="1:10" s="3" customFormat="1" x14ac:dyDescent="0.25">
      <c r="A468" s="2">
        <v>63</v>
      </c>
      <c r="B468" s="3" t="s">
        <v>26</v>
      </c>
      <c r="C468" s="3">
        <v>647</v>
      </c>
      <c r="D468" s="3">
        <v>1</v>
      </c>
      <c r="E468" s="3" t="s">
        <v>30</v>
      </c>
      <c r="F468" s="3" t="s">
        <v>31</v>
      </c>
      <c r="G468" s="3" t="str">
        <f>"2026-05-05 20:20:09.147"</f>
        <v>2026-05-05 20:20:09.147</v>
      </c>
      <c r="H468" s="3" t="s">
        <v>21</v>
      </c>
      <c r="I468" s="3">
        <v>21.21</v>
      </c>
      <c r="J468" s="3" t="s">
        <v>28</v>
      </c>
    </row>
    <row r="469" spans="1:10" x14ac:dyDescent="0.25">
      <c r="A469" s="1">
        <v>64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"2026-05-05 13:51:01.645"</f>
        <v>2026-05-05 13:51:01.645</v>
      </c>
      <c r="H469" t="s">
        <v>21</v>
      </c>
      <c r="I469">
        <v>0</v>
      </c>
      <c r="J469" t="s">
        <v>22</v>
      </c>
    </row>
    <row r="470" spans="1:10" s="3" customFormat="1" x14ac:dyDescent="0.25">
      <c r="A470" s="2">
        <v>65</v>
      </c>
      <c r="B470" s="3" t="s">
        <v>23</v>
      </c>
      <c r="C470" s="3">
        <v>647</v>
      </c>
      <c r="D470" s="3">
        <v>1</v>
      </c>
      <c r="E470" s="3" t="s">
        <v>30</v>
      </c>
      <c r="F470" s="3" t="s">
        <v>31</v>
      </c>
      <c r="G470" s="3" t="str">
        <f>"2026-05-05 07:10:10.808"</f>
        <v>2026-05-05 07:10:10.808</v>
      </c>
      <c r="H470" s="3" t="s">
        <v>21</v>
      </c>
    </row>
    <row r="471" spans="1:10" s="3" customFormat="1" x14ac:dyDescent="0.25">
      <c r="A471" s="2">
        <v>66</v>
      </c>
      <c r="B471" s="3" t="s">
        <v>26</v>
      </c>
      <c r="C471" s="3">
        <v>647</v>
      </c>
      <c r="D471" s="3">
        <v>1</v>
      </c>
      <c r="E471" s="3" t="s">
        <v>30</v>
      </c>
      <c r="F471" s="3" t="s">
        <v>31</v>
      </c>
      <c r="G471" s="3" t="str">
        <f>"2026-05-05 07:10:07.708"</f>
        <v>2026-05-05 07:10:07.708</v>
      </c>
      <c r="H471" s="3" t="s">
        <v>21</v>
      </c>
      <c r="I471" s="3">
        <v>13.37</v>
      </c>
      <c r="J471" s="3" t="s">
        <v>28</v>
      </c>
    </row>
    <row r="472" spans="1:10" x14ac:dyDescent="0.25">
      <c r="A472" s="1">
        <v>67</v>
      </c>
      <c r="B472" t="s">
        <v>23</v>
      </c>
      <c r="C472">
        <v>635</v>
      </c>
      <c r="D472">
        <v>1</v>
      </c>
      <c r="E472" t="s">
        <v>24</v>
      </c>
      <c r="F472" t="s">
        <v>25</v>
      </c>
      <c r="G472" t="str">
        <f>"2026-05-05 07:02:05.708"</f>
        <v>2026-05-05 07:02:05.708</v>
      </c>
      <c r="H472" t="s">
        <v>21</v>
      </c>
    </row>
    <row r="473" spans="1:10" x14ac:dyDescent="0.25">
      <c r="A473" s="1">
        <v>68</v>
      </c>
      <c r="B473" t="s">
        <v>26</v>
      </c>
      <c r="C473">
        <v>635</v>
      </c>
      <c r="D473">
        <v>1</v>
      </c>
      <c r="E473" t="s">
        <v>24</v>
      </c>
      <c r="F473" t="s">
        <v>25</v>
      </c>
      <c r="G473" t="str">
        <f>"2026-05-05 06:36:08.808"</f>
        <v>2026-05-05 06:36:08.808</v>
      </c>
      <c r="H473" t="s">
        <v>21</v>
      </c>
      <c r="I473">
        <v>0</v>
      </c>
      <c r="J473" t="s">
        <v>27</v>
      </c>
    </row>
    <row r="474" spans="1:10" x14ac:dyDescent="0.25">
      <c r="A474" s="1">
        <v>69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"2026-05-04 21:40:57.705"</f>
        <v>2026-05-04 21:40:57.705</v>
      </c>
      <c r="H474" t="s">
        <v>21</v>
      </c>
      <c r="I474">
        <v>0</v>
      </c>
      <c r="J474" t="s">
        <v>22</v>
      </c>
    </row>
    <row r="475" spans="1:10" x14ac:dyDescent="0.25">
      <c r="A475" s="1">
        <v>70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"2026-05-04 21:30:46.633"</f>
        <v>2026-05-04 21:30:46.633</v>
      </c>
      <c r="H475" t="s">
        <v>21</v>
      </c>
      <c r="I475">
        <v>0</v>
      </c>
      <c r="J475" t="s">
        <v>22</v>
      </c>
    </row>
    <row r="476" spans="1:10" s="3" customFormat="1" x14ac:dyDescent="0.25">
      <c r="A476" s="2">
        <v>71</v>
      </c>
      <c r="B476" s="3" t="s">
        <v>23</v>
      </c>
      <c r="C476" s="3">
        <v>647</v>
      </c>
      <c r="D476" s="3">
        <v>1</v>
      </c>
      <c r="E476" s="3" t="s">
        <v>30</v>
      </c>
      <c r="F476" s="3" t="s">
        <v>31</v>
      </c>
      <c r="G476" s="3" t="str">
        <f>"2026-05-04 19:54:46.901"</f>
        <v>2026-05-04 19:54:46.901</v>
      </c>
      <c r="H476" s="3" t="s">
        <v>21</v>
      </c>
    </row>
    <row r="477" spans="1:10" s="3" customFormat="1" x14ac:dyDescent="0.25">
      <c r="A477" s="2">
        <v>72</v>
      </c>
      <c r="B477" s="3" t="s">
        <v>26</v>
      </c>
      <c r="C477" s="3">
        <v>647</v>
      </c>
      <c r="D477" s="3">
        <v>1</v>
      </c>
      <c r="E477" s="3" t="s">
        <v>30</v>
      </c>
      <c r="F477" s="3" t="s">
        <v>31</v>
      </c>
      <c r="G477" s="3" t="str">
        <f>"2026-05-04 19:54:45.401"</f>
        <v>2026-05-04 19:54:45.401</v>
      </c>
      <c r="H477" s="3" t="s">
        <v>21</v>
      </c>
      <c r="I477" s="3">
        <v>19.73</v>
      </c>
      <c r="J477" s="3" t="s">
        <v>28</v>
      </c>
    </row>
    <row r="478" spans="1:10" x14ac:dyDescent="0.25">
      <c r="A478" s="1">
        <v>73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"2026-05-04 13:07:36.604"</f>
        <v>2026-05-04 13:07:36.604</v>
      </c>
      <c r="H478" t="s">
        <v>21</v>
      </c>
      <c r="I478">
        <v>0</v>
      </c>
      <c r="J478" t="s">
        <v>22</v>
      </c>
    </row>
    <row r="479" spans="1:10" x14ac:dyDescent="0.25">
      <c r="A479" s="1">
        <v>74</v>
      </c>
      <c r="B479" t="s">
        <v>23</v>
      </c>
      <c r="C479">
        <v>619</v>
      </c>
      <c r="D479">
        <v>1</v>
      </c>
      <c r="E479" t="s">
        <v>51</v>
      </c>
      <c r="F479" t="s">
        <v>25</v>
      </c>
      <c r="G479" t="str">
        <f>"2026-05-04 01:10:27.134"</f>
        <v>2026-05-04 01:10:27.134</v>
      </c>
      <c r="H479" t="s">
        <v>52</v>
      </c>
    </row>
    <row r="480" spans="1:10" x14ac:dyDescent="0.25">
      <c r="A480" s="1">
        <v>75</v>
      </c>
      <c r="B480" t="s">
        <v>26</v>
      </c>
      <c r="C480">
        <v>619</v>
      </c>
      <c r="D480">
        <v>1</v>
      </c>
      <c r="E480" t="s">
        <v>51</v>
      </c>
      <c r="F480" t="s">
        <v>25</v>
      </c>
      <c r="G480" t="str">
        <f>"2026-05-04 01:09:24.334"</f>
        <v>2026-05-04 01:09:24.334</v>
      </c>
      <c r="H480" t="s">
        <v>52</v>
      </c>
      <c r="I480">
        <v>0</v>
      </c>
      <c r="J480" t="s">
        <v>27</v>
      </c>
    </row>
    <row r="481" spans="1:10" x14ac:dyDescent="0.25">
      <c r="A481" s="1">
        <v>76</v>
      </c>
      <c r="B481" t="s">
        <v>23</v>
      </c>
      <c r="C481">
        <v>635</v>
      </c>
      <c r="D481">
        <v>1</v>
      </c>
      <c r="E481" t="s">
        <v>24</v>
      </c>
      <c r="F481" t="s">
        <v>25</v>
      </c>
      <c r="G481" t="str">
        <f>"2026-05-04 00:52:03.034"</f>
        <v>2026-05-04 00:52:03.034</v>
      </c>
      <c r="H481" t="s">
        <v>21</v>
      </c>
    </row>
    <row r="482" spans="1:10" x14ac:dyDescent="0.25">
      <c r="A482" s="1">
        <v>77</v>
      </c>
      <c r="B482" t="s">
        <v>26</v>
      </c>
      <c r="C482">
        <v>635</v>
      </c>
      <c r="D482">
        <v>1</v>
      </c>
      <c r="E482" t="s">
        <v>24</v>
      </c>
      <c r="F482" t="s">
        <v>25</v>
      </c>
      <c r="G482" t="str">
        <f>"2026-05-04 00:25:37.534"</f>
        <v>2026-05-04 00:25:37.534</v>
      </c>
      <c r="H482" t="s">
        <v>21</v>
      </c>
      <c r="I482">
        <v>2.41</v>
      </c>
      <c r="J482" t="s">
        <v>29</v>
      </c>
    </row>
    <row r="483" spans="1:10" x14ac:dyDescent="0.25">
      <c r="A483" s="1">
        <v>78</v>
      </c>
      <c r="B483" t="s">
        <v>19</v>
      </c>
      <c r="C483">
        <v>706</v>
      </c>
      <c r="D483">
        <v>4</v>
      </c>
      <c r="E483" t="s">
        <v>32</v>
      </c>
      <c r="F483" t="s">
        <v>48</v>
      </c>
      <c r="G483" t="str">
        <f>"2026-05-03 22:58:55.879"</f>
        <v>2026-05-03 22:58:55.879</v>
      </c>
      <c r="H483" t="s">
        <v>21</v>
      </c>
      <c r="I483">
        <v>0</v>
      </c>
      <c r="J483" t="s">
        <v>34</v>
      </c>
    </row>
    <row r="484" spans="1:10" x14ac:dyDescent="0.25">
      <c r="A484" s="1">
        <v>79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"2026-05-03 14:20:10.839"</f>
        <v>2026-05-03 14:20:10.839</v>
      </c>
      <c r="H484" t="s">
        <v>21</v>
      </c>
      <c r="I484">
        <v>0</v>
      </c>
      <c r="J484" t="s">
        <v>22</v>
      </c>
    </row>
    <row r="485" spans="1:10" x14ac:dyDescent="0.25">
      <c r="A485" s="1">
        <v>80</v>
      </c>
      <c r="B485" t="s">
        <v>54</v>
      </c>
      <c r="C485">
        <v>33</v>
      </c>
      <c r="D485">
        <v>1</v>
      </c>
      <c r="E485" t="s">
        <v>56</v>
      </c>
      <c r="F485" t="s">
        <v>57</v>
      </c>
      <c r="G485" t="str">
        <f>"2026-05-03 07:24:02.465"</f>
        <v>2026-05-03 07:24:02.465</v>
      </c>
      <c r="H485" t="s">
        <v>58</v>
      </c>
    </row>
    <row r="486" spans="1:10" x14ac:dyDescent="0.25">
      <c r="A486" s="1">
        <v>81</v>
      </c>
      <c r="B486" t="s">
        <v>38</v>
      </c>
      <c r="C486">
        <v>33</v>
      </c>
      <c r="D486">
        <v>1</v>
      </c>
      <c r="E486" t="s">
        <v>56</v>
      </c>
      <c r="F486" t="s">
        <v>57</v>
      </c>
      <c r="G486" t="str">
        <f>"2026-05-03 07:23:54.697"</f>
        <v>2026-05-03 07:23:54.697</v>
      </c>
      <c r="H486" t="s">
        <v>58</v>
      </c>
      <c r="I486">
        <v>8.7899999999999991</v>
      </c>
      <c r="J486" t="s">
        <v>29</v>
      </c>
    </row>
    <row r="487" spans="1:10" x14ac:dyDescent="0.25">
      <c r="A487" s="1">
        <v>82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"2026-05-03 04:41:34.596"</f>
        <v>2026-05-03 04:41:34.596</v>
      </c>
      <c r="H487" t="s">
        <v>21</v>
      </c>
    </row>
    <row r="488" spans="1:10" x14ac:dyDescent="0.25">
      <c r="A488" s="1">
        <v>83</v>
      </c>
      <c r="B488" t="s">
        <v>19</v>
      </c>
      <c r="C488">
        <v>706</v>
      </c>
      <c r="D488">
        <v>4</v>
      </c>
      <c r="E488" t="s">
        <v>32</v>
      </c>
      <c r="F488" t="s">
        <v>48</v>
      </c>
      <c r="G488" t="str">
        <f>"2026-05-03 04:35:13.420"</f>
        <v>2026-05-03 04:35:13.420</v>
      </c>
      <c r="H488" t="s">
        <v>21</v>
      </c>
      <c r="I488">
        <v>0</v>
      </c>
      <c r="J488" t="s">
        <v>34</v>
      </c>
    </row>
    <row r="489" spans="1:10" x14ac:dyDescent="0.25">
      <c r="A489" s="1">
        <v>84</v>
      </c>
      <c r="B489" t="s">
        <v>19</v>
      </c>
      <c r="C489">
        <v>706</v>
      </c>
      <c r="D489">
        <v>2</v>
      </c>
      <c r="E489" t="s">
        <v>32</v>
      </c>
      <c r="F489" t="s">
        <v>33</v>
      </c>
      <c r="G489" t="str">
        <f>"2026-05-03 04:33:39.270"</f>
        <v>2026-05-03 04:33:39.270</v>
      </c>
      <c r="H489" t="s">
        <v>21</v>
      </c>
      <c r="I489">
        <v>0</v>
      </c>
      <c r="J489" t="s">
        <v>34</v>
      </c>
    </row>
    <row r="490" spans="1:10" x14ac:dyDescent="0.25">
      <c r="A490" s="1">
        <v>85</v>
      </c>
      <c r="B490" t="s">
        <v>19</v>
      </c>
      <c r="C490">
        <v>706</v>
      </c>
      <c r="D490">
        <v>2</v>
      </c>
      <c r="E490" t="s">
        <v>32</v>
      </c>
      <c r="F490" t="s">
        <v>33</v>
      </c>
      <c r="G490" t="str">
        <f>"2026-05-03 04:33:29.270"</f>
        <v>2026-05-03 04:33:29.270</v>
      </c>
      <c r="H490" t="s">
        <v>21</v>
      </c>
      <c r="I490">
        <v>0</v>
      </c>
      <c r="J490" t="s">
        <v>34</v>
      </c>
    </row>
    <row r="491" spans="1:10" x14ac:dyDescent="0.25">
      <c r="A491" s="1">
        <v>86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"2026-05-03 04:18:58.600"</f>
        <v>2026-05-03 04:18:58.600</v>
      </c>
      <c r="H491" t="s">
        <v>21</v>
      </c>
    </row>
    <row r="492" spans="1:10" x14ac:dyDescent="0.25">
      <c r="A492" s="1">
        <v>87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"2026-05-03 02:36:51.597"</f>
        <v>2026-05-03 02:36:51.597</v>
      </c>
      <c r="H492" t="s">
        <v>21</v>
      </c>
    </row>
    <row r="493" spans="1:10" x14ac:dyDescent="0.25">
      <c r="A493" s="1">
        <v>88</v>
      </c>
      <c r="B493" t="s">
        <v>19</v>
      </c>
      <c r="C493">
        <v>706</v>
      </c>
      <c r="D493">
        <v>2</v>
      </c>
      <c r="E493" t="s">
        <v>32</v>
      </c>
      <c r="F493" t="s">
        <v>33</v>
      </c>
      <c r="G493" t="str">
        <f>"2026-05-03 02:30:50.067"</f>
        <v>2026-05-03 02:30:50.067</v>
      </c>
      <c r="H493" t="s">
        <v>21</v>
      </c>
      <c r="I493">
        <v>0</v>
      </c>
      <c r="J493" t="s">
        <v>34</v>
      </c>
    </row>
    <row r="494" spans="1:10" x14ac:dyDescent="0.25">
      <c r="A494" s="1">
        <v>89</v>
      </c>
      <c r="B494" t="s">
        <v>19</v>
      </c>
      <c r="C494">
        <v>706</v>
      </c>
      <c r="D494">
        <v>4</v>
      </c>
      <c r="E494" t="s">
        <v>32</v>
      </c>
      <c r="F494" t="s">
        <v>48</v>
      </c>
      <c r="G494" t="str">
        <f>"2026-05-03 00:30:58.267"</f>
        <v>2026-05-03 00:30:58.267</v>
      </c>
      <c r="H494" t="s">
        <v>21</v>
      </c>
      <c r="I494">
        <v>0</v>
      </c>
      <c r="J494" t="s">
        <v>34</v>
      </c>
    </row>
    <row r="495" spans="1:10" x14ac:dyDescent="0.25">
      <c r="A495" s="1">
        <v>90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"2026-05-03 00:24:44.607"</f>
        <v>2026-05-03 00:24:44.607</v>
      </c>
      <c r="H495" t="s">
        <v>21</v>
      </c>
    </row>
    <row r="496" spans="1:10" s="3" customFormat="1" x14ac:dyDescent="0.25">
      <c r="A496" s="2">
        <v>91</v>
      </c>
      <c r="B496" s="3" t="s">
        <v>23</v>
      </c>
      <c r="C496" s="3">
        <v>647</v>
      </c>
      <c r="D496" s="3">
        <v>1</v>
      </c>
      <c r="E496" s="3" t="s">
        <v>30</v>
      </c>
      <c r="F496" s="3" t="s">
        <v>31</v>
      </c>
      <c r="G496" s="3" t="str">
        <f>"2026-05-02 19:40:17.707"</f>
        <v>2026-05-02 19:40:17.707</v>
      </c>
      <c r="H496" s="3" t="s">
        <v>21</v>
      </c>
    </row>
    <row r="497" spans="1:10" s="3" customFormat="1" x14ac:dyDescent="0.25">
      <c r="A497" s="2">
        <v>92</v>
      </c>
      <c r="B497" s="3" t="s">
        <v>26</v>
      </c>
      <c r="C497" s="3">
        <v>647</v>
      </c>
      <c r="D497" s="3">
        <v>1</v>
      </c>
      <c r="E497" s="3" t="s">
        <v>30</v>
      </c>
      <c r="F497" s="3" t="s">
        <v>31</v>
      </c>
      <c r="G497" s="3" t="str">
        <f>"2026-05-02 19:40:15.708"</f>
        <v>2026-05-02 19:40:15.708</v>
      </c>
      <c r="H497" s="3" t="s">
        <v>21</v>
      </c>
      <c r="I497" s="3">
        <v>20.49</v>
      </c>
      <c r="J497" s="3" t="s">
        <v>28</v>
      </c>
    </row>
    <row r="498" spans="1:10" x14ac:dyDescent="0.25">
      <c r="A498" s="1">
        <v>93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"2026-05-02 16:11:34.594"</f>
        <v>2026-05-02 16:11:34.594</v>
      </c>
      <c r="H498" t="s">
        <v>21</v>
      </c>
    </row>
    <row r="499" spans="1:10" x14ac:dyDescent="0.25">
      <c r="A499" s="1">
        <v>94</v>
      </c>
      <c r="B499" t="s">
        <v>23</v>
      </c>
      <c r="C499">
        <v>635</v>
      </c>
      <c r="D499">
        <v>1</v>
      </c>
      <c r="E499" t="s">
        <v>24</v>
      </c>
      <c r="F499" t="s">
        <v>25</v>
      </c>
      <c r="G499" t="str">
        <f>"2026-05-02 15:11:06.321"</f>
        <v>2026-05-02 15:11:06.321</v>
      </c>
      <c r="H499" t="s">
        <v>21</v>
      </c>
    </row>
    <row r="500" spans="1:10" x14ac:dyDescent="0.25">
      <c r="A500" s="1">
        <v>95</v>
      </c>
      <c r="B500" t="s">
        <v>26</v>
      </c>
      <c r="C500">
        <v>635</v>
      </c>
      <c r="D500">
        <v>1</v>
      </c>
      <c r="E500" t="s">
        <v>24</v>
      </c>
      <c r="F500" t="s">
        <v>25</v>
      </c>
      <c r="G500" t="str">
        <f>"2026-05-02 15:05:15.822"</f>
        <v>2026-05-02 15:05:15.822</v>
      </c>
      <c r="H500" t="s">
        <v>21</v>
      </c>
      <c r="I500">
        <v>3.3</v>
      </c>
      <c r="J500" t="s">
        <v>29</v>
      </c>
    </row>
    <row r="501" spans="1:10" x14ac:dyDescent="0.25">
      <c r="A501" s="1">
        <v>96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"2026-05-02 13:32:28.620"</f>
        <v>2026-05-02 13:32:28.620</v>
      </c>
      <c r="H501" t="s">
        <v>21</v>
      </c>
    </row>
    <row r="502" spans="1:10" x14ac:dyDescent="0.25">
      <c r="A502" s="1">
        <v>97</v>
      </c>
      <c r="B502" t="s">
        <v>23</v>
      </c>
      <c r="C502">
        <v>635</v>
      </c>
      <c r="D502">
        <v>1</v>
      </c>
      <c r="E502" t="s">
        <v>24</v>
      </c>
      <c r="F502" t="s">
        <v>25</v>
      </c>
      <c r="G502" t="str">
        <f>"2026-05-02 08:10:25.693"</f>
        <v>2026-05-02 08:10:25.693</v>
      </c>
      <c r="H502" t="s">
        <v>21</v>
      </c>
    </row>
    <row r="503" spans="1:10" x14ac:dyDescent="0.25">
      <c r="A503" s="1">
        <v>98</v>
      </c>
      <c r="B503" t="s">
        <v>26</v>
      </c>
      <c r="C503">
        <v>635</v>
      </c>
      <c r="D503">
        <v>1</v>
      </c>
      <c r="E503" t="s">
        <v>24</v>
      </c>
      <c r="F503" t="s">
        <v>25</v>
      </c>
      <c r="G503" t="str">
        <f>"2026-05-02 08:02:18.193"</f>
        <v>2026-05-02 08:02:18.193</v>
      </c>
      <c r="H503" t="s">
        <v>21</v>
      </c>
      <c r="I503">
        <v>0.4</v>
      </c>
      <c r="J503" t="s">
        <v>29</v>
      </c>
    </row>
    <row r="504" spans="1:10" x14ac:dyDescent="0.25">
      <c r="A504" s="1">
        <v>99</v>
      </c>
      <c r="B504" t="s">
        <v>23</v>
      </c>
      <c r="C504">
        <v>635</v>
      </c>
      <c r="D504">
        <v>1</v>
      </c>
      <c r="E504" t="s">
        <v>24</v>
      </c>
      <c r="F504" t="s">
        <v>25</v>
      </c>
      <c r="G504" t="str">
        <f>"2026-05-02 05:25:26.093"</f>
        <v>2026-05-02 05:25:26.093</v>
      </c>
      <c r="H504" t="s">
        <v>21</v>
      </c>
    </row>
    <row r="505" spans="1:10" x14ac:dyDescent="0.25">
      <c r="A505" s="1">
        <v>0</v>
      </c>
      <c r="B505" t="s">
        <v>26</v>
      </c>
      <c r="C505">
        <v>635</v>
      </c>
      <c r="D505">
        <v>1</v>
      </c>
      <c r="E505" t="s">
        <v>24</v>
      </c>
      <c r="F505" t="s">
        <v>25</v>
      </c>
      <c r="G505" t="str">
        <f>"2026-05-02 05:20:10.593"</f>
        <v>2026-05-02 05:20:10.593</v>
      </c>
      <c r="H505" t="s">
        <v>21</v>
      </c>
      <c r="I505">
        <v>0.21</v>
      </c>
      <c r="J505" t="s">
        <v>29</v>
      </c>
    </row>
    <row r="506" spans="1:10" x14ac:dyDescent="0.25">
      <c r="A506" s="1">
        <v>1</v>
      </c>
      <c r="B506" t="s">
        <v>19</v>
      </c>
      <c r="C506">
        <v>706</v>
      </c>
      <c r="D506">
        <v>4</v>
      </c>
      <c r="E506" t="s">
        <v>32</v>
      </c>
      <c r="F506" t="s">
        <v>48</v>
      </c>
      <c r="G506" t="str">
        <f>"2026-05-02 04:12:54.272"</f>
        <v>2026-05-02 04:12:54.272</v>
      </c>
      <c r="H506" t="s">
        <v>21</v>
      </c>
      <c r="I506">
        <v>0</v>
      </c>
      <c r="J506" t="s">
        <v>34</v>
      </c>
    </row>
    <row r="507" spans="1:10" x14ac:dyDescent="0.25">
      <c r="A507" s="1">
        <v>2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"2026-05-02 04:02:36.632"</f>
        <v>2026-05-02 04:02:36.632</v>
      </c>
      <c r="H507" t="s">
        <v>21</v>
      </c>
      <c r="I507">
        <v>0</v>
      </c>
      <c r="J507" t="s">
        <v>22</v>
      </c>
    </row>
    <row r="508" spans="1:10" x14ac:dyDescent="0.25">
      <c r="A508" s="1">
        <v>3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"2026-05-01 18:27:02.607"</f>
        <v>2026-05-01 18:27:02.607</v>
      </c>
      <c r="H508" t="s">
        <v>21</v>
      </c>
      <c r="I508">
        <v>0</v>
      </c>
      <c r="J508" t="s">
        <v>22</v>
      </c>
    </row>
    <row r="509" spans="1:10" x14ac:dyDescent="0.25">
      <c r="A509" s="1">
        <v>4</v>
      </c>
      <c r="B509" t="s">
        <v>23</v>
      </c>
      <c r="C509">
        <v>619</v>
      </c>
      <c r="D509">
        <v>1</v>
      </c>
      <c r="E509" t="s">
        <v>51</v>
      </c>
      <c r="F509" t="s">
        <v>25</v>
      </c>
      <c r="G509" t="str">
        <f>"2026-05-01 18:25:12.396"</f>
        <v>2026-05-01 18:25:12.396</v>
      </c>
      <c r="H509" t="s">
        <v>52</v>
      </c>
    </row>
    <row r="510" spans="1:10" x14ac:dyDescent="0.25">
      <c r="A510" s="1">
        <v>5</v>
      </c>
      <c r="B510" t="s">
        <v>26</v>
      </c>
      <c r="C510">
        <v>619</v>
      </c>
      <c r="D510">
        <v>1</v>
      </c>
      <c r="E510" t="s">
        <v>51</v>
      </c>
      <c r="F510" t="s">
        <v>25</v>
      </c>
      <c r="G510" t="str">
        <f>"2026-05-01 18:24:54.697"</f>
        <v>2026-05-01 18:24:54.697</v>
      </c>
      <c r="H510" t="s">
        <v>52</v>
      </c>
      <c r="I510">
        <v>0</v>
      </c>
      <c r="J510" t="s">
        <v>34</v>
      </c>
    </row>
    <row r="511" spans="1:10" x14ac:dyDescent="0.25">
      <c r="A511" s="1">
        <v>6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"2026-05-01 18:24:34.631"</f>
        <v>2026-05-01 18:24:34.631</v>
      </c>
      <c r="H511" t="s">
        <v>21</v>
      </c>
      <c r="I511">
        <v>0</v>
      </c>
      <c r="J511" t="s">
        <v>22</v>
      </c>
    </row>
    <row r="512" spans="1:10" x14ac:dyDescent="0.25">
      <c r="A512" s="1">
        <v>7</v>
      </c>
      <c r="B512" t="s">
        <v>23</v>
      </c>
      <c r="C512">
        <v>619</v>
      </c>
      <c r="D512">
        <v>1</v>
      </c>
      <c r="E512" t="s">
        <v>51</v>
      </c>
      <c r="F512" t="s">
        <v>25</v>
      </c>
      <c r="G512" t="str">
        <f>"2026-05-01 18:23:45.626"</f>
        <v>2026-05-01 18:23:45.626</v>
      </c>
      <c r="H512" t="s">
        <v>52</v>
      </c>
    </row>
    <row r="513" spans="1:10" x14ac:dyDescent="0.25">
      <c r="A513" s="1">
        <v>8</v>
      </c>
      <c r="B513" t="s">
        <v>26</v>
      </c>
      <c r="C513">
        <v>619</v>
      </c>
      <c r="D513">
        <v>1</v>
      </c>
      <c r="E513" t="s">
        <v>51</v>
      </c>
      <c r="F513" t="s">
        <v>25</v>
      </c>
      <c r="G513" t="str">
        <f>"2026-05-01 18:23:26.226"</f>
        <v>2026-05-01 18:23:26.226</v>
      </c>
      <c r="H513" t="s">
        <v>52</v>
      </c>
      <c r="I513">
        <v>0</v>
      </c>
      <c r="J513" t="s">
        <v>27</v>
      </c>
    </row>
    <row r="514" spans="1:10" x14ac:dyDescent="0.25">
      <c r="A514" s="1">
        <v>9</v>
      </c>
      <c r="B514" t="s">
        <v>19</v>
      </c>
      <c r="C514">
        <v>706</v>
      </c>
      <c r="D514">
        <v>4</v>
      </c>
      <c r="E514" t="s">
        <v>32</v>
      </c>
      <c r="F514" t="s">
        <v>48</v>
      </c>
      <c r="G514" t="str">
        <f>"2026-05-01 18:23:14.743"</f>
        <v>2026-05-01 18:23:14.743</v>
      </c>
      <c r="H514" t="s">
        <v>21</v>
      </c>
      <c r="I514">
        <v>0</v>
      </c>
      <c r="J514" t="s">
        <v>34</v>
      </c>
    </row>
    <row r="515" spans="1:10" x14ac:dyDescent="0.25">
      <c r="A515" s="1">
        <v>10</v>
      </c>
      <c r="B515" t="s">
        <v>23</v>
      </c>
      <c r="C515">
        <v>619</v>
      </c>
      <c r="D515">
        <v>1</v>
      </c>
      <c r="E515" t="s">
        <v>51</v>
      </c>
      <c r="F515" t="s">
        <v>25</v>
      </c>
      <c r="G515" t="str">
        <f>"2026-05-01 18:23:07.826"</f>
        <v>2026-05-01 18:23:07.826</v>
      </c>
      <c r="H515" t="s">
        <v>52</v>
      </c>
    </row>
    <row r="516" spans="1:10" x14ac:dyDescent="0.25">
      <c r="A516" s="1">
        <v>11</v>
      </c>
      <c r="B516" t="s">
        <v>26</v>
      </c>
      <c r="C516">
        <v>619</v>
      </c>
      <c r="D516">
        <v>1</v>
      </c>
      <c r="E516" t="s">
        <v>51</v>
      </c>
      <c r="F516" t="s">
        <v>25</v>
      </c>
      <c r="G516" t="str">
        <f>"2026-05-01 18:22:04.073"</f>
        <v>2026-05-01 18:22:04.073</v>
      </c>
      <c r="H516" t="s">
        <v>52</v>
      </c>
      <c r="I516">
        <v>7.64</v>
      </c>
      <c r="J516" t="s">
        <v>29</v>
      </c>
    </row>
    <row r="517" spans="1:10" x14ac:dyDescent="0.25">
      <c r="A517" s="1">
        <v>12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"2026-05-01 14:29:18.613"</f>
        <v>2026-05-01 14:29:18.613</v>
      </c>
      <c r="H517" t="s">
        <v>21</v>
      </c>
      <c r="I517">
        <v>0</v>
      </c>
      <c r="J517" t="s">
        <v>22</v>
      </c>
    </row>
    <row r="518" spans="1:10" x14ac:dyDescent="0.25">
      <c r="A518" s="1">
        <v>13</v>
      </c>
      <c r="B518" t="s">
        <v>23</v>
      </c>
      <c r="C518">
        <v>635</v>
      </c>
      <c r="D518">
        <v>1</v>
      </c>
      <c r="E518" t="s">
        <v>24</v>
      </c>
      <c r="F518" t="s">
        <v>25</v>
      </c>
      <c r="G518" t="str">
        <f>"2026-05-01 07:17:57.658"</f>
        <v>2026-05-01 07:17:57.658</v>
      </c>
      <c r="H518" t="s">
        <v>21</v>
      </c>
    </row>
    <row r="519" spans="1:10" x14ac:dyDescent="0.25">
      <c r="A519" s="1">
        <v>14</v>
      </c>
      <c r="B519" t="s">
        <v>26</v>
      </c>
      <c r="C519">
        <v>635</v>
      </c>
      <c r="D519">
        <v>1</v>
      </c>
      <c r="E519" t="s">
        <v>24</v>
      </c>
      <c r="F519" t="s">
        <v>25</v>
      </c>
      <c r="G519" t="str">
        <f>"2026-05-01 07:15:15.658"</f>
        <v>2026-05-01 07:15:15.658</v>
      </c>
      <c r="H519" t="s">
        <v>21</v>
      </c>
      <c r="I519">
        <v>0</v>
      </c>
      <c r="J519" t="s">
        <v>27</v>
      </c>
    </row>
    <row r="520" spans="1:10" s="3" customFormat="1" x14ac:dyDescent="0.25">
      <c r="A520" s="2">
        <v>15</v>
      </c>
      <c r="B520" s="3" t="s">
        <v>23</v>
      </c>
      <c r="C520" s="3">
        <v>647</v>
      </c>
      <c r="D520" s="3">
        <v>1</v>
      </c>
      <c r="E520" s="3" t="s">
        <v>30</v>
      </c>
      <c r="F520" s="3" t="s">
        <v>31</v>
      </c>
      <c r="G520" s="3" t="str">
        <f>"2026-05-01 02:51:13.206"</f>
        <v>2026-05-01 02:51:13.206</v>
      </c>
      <c r="H520" s="3" t="s">
        <v>21</v>
      </c>
    </row>
    <row r="521" spans="1:10" s="3" customFormat="1" x14ac:dyDescent="0.25">
      <c r="A521" s="2">
        <v>16</v>
      </c>
      <c r="B521" s="3" t="s">
        <v>26</v>
      </c>
      <c r="C521" s="3">
        <v>647</v>
      </c>
      <c r="D521" s="3">
        <v>1</v>
      </c>
      <c r="E521" s="3" t="s">
        <v>30</v>
      </c>
      <c r="F521" s="3" t="s">
        <v>31</v>
      </c>
      <c r="G521" s="3" t="str">
        <f>"2026-05-01 02:51:12.107"</f>
        <v>2026-05-01 02:51:12.107</v>
      </c>
      <c r="H521" s="3" t="s">
        <v>21</v>
      </c>
      <c r="I521" s="3">
        <v>13.87</v>
      </c>
      <c r="J521" s="3" t="s">
        <v>28</v>
      </c>
    </row>
    <row r="522" spans="1:10" x14ac:dyDescent="0.25">
      <c r="A522" s="1">
        <v>17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"2026-04-30 14:19:23.598"</f>
        <v>2026-04-30 14:19:23.598</v>
      </c>
      <c r="H522" t="s">
        <v>21</v>
      </c>
      <c r="I522">
        <v>0</v>
      </c>
      <c r="J522" t="s">
        <v>22</v>
      </c>
    </row>
    <row r="523" spans="1:10" s="3" customFormat="1" x14ac:dyDescent="0.25">
      <c r="A523" s="2">
        <v>18</v>
      </c>
      <c r="B523" s="3" t="s">
        <v>23</v>
      </c>
      <c r="C523" s="3">
        <v>647</v>
      </c>
      <c r="D523" s="3">
        <v>1</v>
      </c>
      <c r="E523" s="3" t="s">
        <v>30</v>
      </c>
      <c r="F523" s="3" t="s">
        <v>31</v>
      </c>
      <c r="G523" s="3" t="str">
        <f>"2026-04-30 06:34:06.006"</f>
        <v>2026-04-30 06:34:06.006</v>
      </c>
      <c r="H523" s="3" t="s">
        <v>21</v>
      </c>
    </row>
    <row r="524" spans="1:10" s="3" customFormat="1" x14ac:dyDescent="0.25">
      <c r="A524" s="2">
        <v>19</v>
      </c>
      <c r="B524" s="3" t="s">
        <v>26</v>
      </c>
      <c r="C524" s="3">
        <v>647</v>
      </c>
      <c r="D524" s="3">
        <v>1</v>
      </c>
      <c r="E524" s="3" t="s">
        <v>30</v>
      </c>
      <c r="F524" s="3" t="s">
        <v>31</v>
      </c>
      <c r="G524" s="3" t="str">
        <f>"2026-04-30 06:34:03.507"</f>
        <v>2026-04-30 06:34:03.507</v>
      </c>
      <c r="H524" s="3" t="s">
        <v>21</v>
      </c>
      <c r="I524" s="3">
        <v>15.54</v>
      </c>
      <c r="J524" s="3" t="s">
        <v>28</v>
      </c>
    </row>
    <row r="525" spans="1:10" x14ac:dyDescent="0.25">
      <c r="A525" s="1">
        <v>20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"2026-04-29 13:24:20.588"</f>
        <v>2026-04-29 13:24:20.588</v>
      </c>
      <c r="H525" t="s">
        <v>21</v>
      </c>
      <c r="I525">
        <v>0</v>
      </c>
      <c r="J525" t="s">
        <v>22</v>
      </c>
    </row>
    <row r="526" spans="1:10" x14ac:dyDescent="0.25">
      <c r="A526" s="1">
        <v>21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"2026-04-29 11:56:55.585"</f>
        <v>2026-04-29 11:56:55.585</v>
      </c>
      <c r="H526" t="s">
        <v>21</v>
      </c>
    </row>
    <row r="527" spans="1:10" x14ac:dyDescent="0.25">
      <c r="A527" s="1">
        <v>22</v>
      </c>
      <c r="B527" t="s">
        <v>23</v>
      </c>
      <c r="C527">
        <v>635</v>
      </c>
      <c r="D527">
        <v>1</v>
      </c>
      <c r="E527" t="s">
        <v>24</v>
      </c>
      <c r="F527" t="s">
        <v>25</v>
      </c>
      <c r="G527" t="str">
        <f>"2026-04-29 08:40:57.505"</f>
        <v>2026-04-29 08:40:57.505</v>
      </c>
      <c r="H527" t="s">
        <v>21</v>
      </c>
    </row>
    <row r="528" spans="1:10" x14ac:dyDescent="0.25">
      <c r="A528" s="1">
        <v>23</v>
      </c>
      <c r="B528" t="s">
        <v>26</v>
      </c>
      <c r="C528">
        <v>635</v>
      </c>
      <c r="D528">
        <v>1</v>
      </c>
      <c r="E528" t="s">
        <v>24</v>
      </c>
      <c r="F528" t="s">
        <v>25</v>
      </c>
      <c r="G528" t="str">
        <f>"2026-04-29 08:37:51.505"</f>
        <v>2026-04-29 08:37:51.505</v>
      </c>
      <c r="H528" t="s">
        <v>21</v>
      </c>
      <c r="I528">
        <v>2.29</v>
      </c>
      <c r="J528" t="s">
        <v>28</v>
      </c>
    </row>
    <row r="529" spans="1:10" x14ac:dyDescent="0.25">
      <c r="A529" s="1">
        <v>24</v>
      </c>
      <c r="B529" t="s">
        <v>23</v>
      </c>
      <c r="C529">
        <v>635</v>
      </c>
      <c r="D529">
        <v>1</v>
      </c>
      <c r="E529" t="s">
        <v>24</v>
      </c>
      <c r="F529" t="s">
        <v>25</v>
      </c>
      <c r="G529" t="str">
        <f>"2026-04-29 08:30:18.005"</f>
        <v>2026-04-29 08:30:18.005</v>
      </c>
      <c r="H529" t="s">
        <v>21</v>
      </c>
    </row>
    <row r="530" spans="1:10" x14ac:dyDescent="0.25">
      <c r="A530" s="1">
        <v>25</v>
      </c>
      <c r="B530" t="s">
        <v>26</v>
      </c>
      <c r="C530">
        <v>635</v>
      </c>
      <c r="D530">
        <v>1</v>
      </c>
      <c r="E530" t="s">
        <v>24</v>
      </c>
      <c r="F530" t="s">
        <v>25</v>
      </c>
      <c r="G530" t="str">
        <f>"2026-04-29 08:27:13.005"</f>
        <v>2026-04-29 08:27:13.005</v>
      </c>
      <c r="H530" t="s">
        <v>21</v>
      </c>
      <c r="I530">
        <v>2.08</v>
      </c>
      <c r="J530" t="s">
        <v>29</v>
      </c>
    </row>
    <row r="531" spans="1:10" x14ac:dyDescent="0.25">
      <c r="A531" s="1">
        <v>26</v>
      </c>
      <c r="B531" t="s">
        <v>23</v>
      </c>
      <c r="C531">
        <v>635</v>
      </c>
      <c r="D531">
        <v>1</v>
      </c>
      <c r="E531" t="s">
        <v>24</v>
      </c>
      <c r="F531" t="s">
        <v>25</v>
      </c>
      <c r="G531" t="str">
        <f>"2026-04-29 04:02:04.105"</f>
        <v>2026-04-29 04:02:04.105</v>
      </c>
      <c r="H531" t="s">
        <v>21</v>
      </c>
    </row>
    <row r="532" spans="1:10" x14ac:dyDescent="0.25">
      <c r="A532" s="1">
        <v>27</v>
      </c>
      <c r="B532" t="s">
        <v>26</v>
      </c>
      <c r="C532">
        <v>635</v>
      </c>
      <c r="D532">
        <v>1</v>
      </c>
      <c r="E532" t="s">
        <v>24</v>
      </c>
      <c r="F532" t="s">
        <v>25</v>
      </c>
      <c r="G532" t="str">
        <f>"2026-04-29 03:59:23.105"</f>
        <v>2026-04-29 03:59:23.105</v>
      </c>
      <c r="H532" t="s">
        <v>21</v>
      </c>
      <c r="I532">
        <v>5.91</v>
      </c>
      <c r="J532" t="s">
        <v>29</v>
      </c>
    </row>
    <row r="533" spans="1:10" x14ac:dyDescent="0.25">
      <c r="A533" s="1">
        <v>28</v>
      </c>
      <c r="B533" t="s">
        <v>23</v>
      </c>
      <c r="C533">
        <v>635</v>
      </c>
      <c r="D533">
        <v>1</v>
      </c>
      <c r="E533" t="s">
        <v>24</v>
      </c>
      <c r="F533" t="s">
        <v>25</v>
      </c>
      <c r="G533" t="str">
        <f>"2026-04-28 21:30:24.905"</f>
        <v>2026-04-28 21:30:24.905</v>
      </c>
      <c r="H533" t="s">
        <v>21</v>
      </c>
    </row>
    <row r="534" spans="1:10" x14ac:dyDescent="0.25">
      <c r="A534" s="1">
        <v>29</v>
      </c>
      <c r="B534" t="s">
        <v>26</v>
      </c>
      <c r="C534">
        <v>635</v>
      </c>
      <c r="D534">
        <v>1</v>
      </c>
      <c r="E534" t="s">
        <v>24</v>
      </c>
      <c r="F534" t="s">
        <v>25</v>
      </c>
      <c r="G534" t="str">
        <f>"2026-04-28 21:26:39.905"</f>
        <v>2026-04-28 21:26:39.905</v>
      </c>
      <c r="H534" t="s">
        <v>21</v>
      </c>
      <c r="I534">
        <v>1.07</v>
      </c>
      <c r="J534" t="s">
        <v>29</v>
      </c>
    </row>
    <row r="535" spans="1:10" x14ac:dyDescent="0.25">
      <c r="A535" s="1">
        <v>30</v>
      </c>
      <c r="B535" t="s">
        <v>23</v>
      </c>
      <c r="C535">
        <v>635</v>
      </c>
      <c r="D535">
        <v>1</v>
      </c>
      <c r="E535" t="s">
        <v>24</v>
      </c>
      <c r="F535" t="s">
        <v>25</v>
      </c>
      <c r="G535" t="str">
        <f>"2026-04-28 20:17:29.105"</f>
        <v>2026-04-28 20:17:29.105</v>
      </c>
      <c r="H535" t="s">
        <v>21</v>
      </c>
    </row>
    <row r="536" spans="1:10" x14ac:dyDescent="0.25">
      <c r="A536" s="1">
        <v>31</v>
      </c>
      <c r="B536" t="s">
        <v>26</v>
      </c>
      <c r="C536">
        <v>635</v>
      </c>
      <c r="D536">
        <v>1</v>
      </c>
      <c r="E536" t="s">
        <v>24</v>
      </c>
      <c r="F536" t="s">
        <v>25</v>
      </c>
      <c r="G536" t="str">
        <f>"2026-04-28 19:55:50.705"</f>
        <v>2026-04-28 19:55:50.705</v>
      </c>
      <c r="H536" t="s">
        <v>21</v>
      </c>
      <c r="I536">
        <v>5.07</v>
      </c>
      <c r="J536" t="s">
        <v>29</v>
      </c>
    </row>
    <row r="537" spans="1:10" x14ac:dyDescent="0.25">
      <c r="A537" s="1">
        <v>32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"2026-04-28 13:48:05.735"</f>
        <v>2026-04-28 13:48:05.735</v>
      </c>
      <c r="H537" t="s">
        <v>21</v>
      </c>
      <c r="I537">
        <v>0</v>
      </c>
      <c r="J537" t="s">
        <v>22</v>
      </c>
    </row>
    <row r="538" spans="1:10" x14ac:dyDescent="0.25">
      <c r="A538" s="1">
        <v>33</v>
      </c>
      <c r="B538" t="s">
        <v>23</v>
      </c>
      <c r="C538">
        <v>635</v>
      </c>
      <c r="D538">
        <v>1</v>
      </c>
      <c r="E538" t="s">
        <v>24</v>
      </c>
      <c r="F538" t="s">
        <v>25</v>
      </c>
      <c r="G538" t="str">
        <f>"2026-04-28 12:01:42.007"</f>
        <v>2026-04-28 12:01:42.007</v>
      </c>
      <c r="H538" t="s">
        <v>21</v>
      </c>
    </row>
    <row r="539" spans="1:10" x14ac:dyDescent="0.25">
      <c r="A539" s="1">
        <v>34</v>
      </c>
      <c r="B539" t="s">
        <v>26</v>
      </c>
      <c r="C539">
        <v>635</v>
      </c>
      <c r="D539">
        <v>1</v>
      </c>
      <c r="E539" t="s">
        <v>24</v>
      </c>
      <c r="F539" t="s">
        <v>25</v>
      </c>
      <c r="G539" t="str">
        <f>"2026-04-28 11:58:33.007"</f>
        <v>2026-04-28 11:58:33.007</v>
      </c>
      <c r="H539" t="s">
        <v>21</v>
      </c>
      <c r="I539">
        <v>4.4800000000000004</v>
      </c>
      <c r="J539" t="s">
        <v>28</v>
      </c>
    </row>
    <row r="540" spans="1:10" x14ac:dyDescent="0.25">
      <c r="A540" s="1">
        <v>35</v>
      </c>
      <c r="B540" t="s">
        <v>19</v>
      </c>
      <c r="C540">
        <v>706</v>
      </c>
      <c r="D540">
        <v>2</v>
      </c>
      <c r="E540" t="s">
        <v>32</v>
      </c>
      <c r="F540" t="s">
        <v>33</v>
      </c>
      <c r="G540" t="str">
        <f>"2026-04-28 11:04:44.704"</f>
        <v>2026-04-28 11:04:44.704</v>
      </c>
      <c r="H540" t="s">
        <v>21</v>
      </c>
      <c r="I540">
        <v>0</v>
      </c>
      <c r="J540" t="s">
        <v>34</v>
      </c>
    </row>
    <row r="541" spans="1:10" x14ac:dyDescent="0.25">
      <c r="A541" s="1">
        <v>36</v>
      </c>
      <c r="B541" t="s">
        <v>23</v>
      </c>
      <c r="C541">
        <v>635</v>
      </c>
      <c r="D541">
        <v>1</v>
      </c>
      <c r="E541" t="s">
        <v>24</v>
      </c>
      <c r="F541" t="s">
        <v>25</v>
      </c>
      <c r="G541" t="str">
        <f>"2026-04-28 10:02:13.307"</f>
        <v>2026-04-28 10:02:13.307</v>
      </c>
      <c r="H541" t="s">
        <v>21</v>
      </c>
    </row>
    <row r="542" spans="1:10" x14ac:dyDescent="0.25">
      <c r="A542" s="1">
        <v>37</v>
      </c>
      <c r="B542" t="s">
        <v>26</v>
      </c>
      <c r="C542">
        <v>635</v>
      </c>
      <c r="D542">
        <v>1</v>
      </c>
      <c r="E542" t="s">
        <v>24</v>
      </c>
      <c r="F542" t="s">
        <v>25</v>
      </c>
      <c r="G542" t="str">
        <f>"2026-04-28 09:56:34.807"</f>
        <v>2026-04-28 09:56:34.807</v>
      </c>
      <c r="H542" t="s">
        <v>21</v>
      </c>
      <c r="I542">
        <v>2.19</v>
      </c>
      <c r="J542" t="s">
        <v>29</v>
      </c>
    </row>
    <row r="543" spans="1:10" x14ac:dyDescent="0.25">
      <c r="A543" s="1">
        <v>38</v>
      </c>
      <c r="B543" t="s">
        <v>23</v>
      </c>
      <c r="C543">
        <v>619</v>
      </c>
      <c r="D543">
        <v>1</v>
      </c>
      <c r="E543" t="s">
        <v>51</v>
      </c>
      <c r="F543" t="s">
        <v>25</v>
      </c>
      <c r="G543" t="str">
        <f>"2026-04-28 09:42:58.254"</f>
        <v>2026-04-28 09:42:58.254</v>
      </c>
      <c r="H543" t="s">
        <v>52</v>
      </c>
    </row>
    <row r="544" spans="1:10" x14ac:dyDescent="0.25">
      <c r="A544" s="1">
        <v>39</v>
      </c>
      <c r="B544" t="s">
        <v>26</v>
      </c>
      <c r="C544">
        <v>619</v>
      </c>
      <c r="D544">
        <v>1</v>
      </c>
      <c r="E544" t="s">
        <v>51</v>
      </c>
      <c r="F544" t="s">
        <v>25</v>
      </c>
      <c r="G544" t="str">
        <f>"2026-04-28 09:42:22.453"</f>
        <v>2026-04-28 09:42:22.453</v>
      </c>
      <c r="H544" t="s">
        <v>52</v>
      </c>
      <c r="I544">
        <v>4.78</v>
      </c>
      <c r="J544" t="s">
        <v>28</v>
      </c>
    </row>
    <row r="545" spans="1:10" x14ac:dyDescent="0.25">
      <c r="A545" s="1">
        <v>40</v>
      </c>
      <c r="B545" t="s">
        <v>23</v>
      </c>
      <c r="C545">
        <v>635</v>
      </c>
      <c r="D545">
        <v>1</v>
      </c>
      <c r="E545" t="s">
        <v>24</v>
      </c>
      <c r="F545" t="s">
        <v>25</v>
      </c>
      <c r="G545" t="str">
        <f>"2026-04-27 23:34:34.607"</f>
        <v>2026-04-27 23:34:34.607</v>
      </c>
      <c r="H545" t="s">
        <v>21</v>
      </c>
    </row>
    <row r="546" spans="1:10" x14ac:dyDescent="0.25">
      <c r="A546" s="1">
        <v>41</v>
      </c>
      <c r="B546" t="s">
        <v>26</v>
      </c>
      <c r="C546">
        <v>635</v>
      </c>
      <c r="D546">
        <v>1</v>
      </c>
      <c r="E546" t="s">
        <v>24</v>
      </c>
      <c r="F546" t="s">
        <v>25</v>
      </c>
      <c r="G546" t="str">
        <f>"2026-04-27 23:31:47.107"</f>
        <v>2026-04-27 23:31:47.107</v>
      </c>
      <c r="H546" t="s">
        <v>21</v>
      </c>
      <c r="I546">
        <v>0</v>
      </c>
      <c r="J546" t="s">
        <v>27</v>
      </c>
    </row>
    <row r="547" spans="1:10" x14ac:dyDescent="0.25">
      <c r="A547" s="1">
        <v>42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"2026-04-27 21:12:33.774"</f>
        <v>2026-04-27 21:12:33.774</v>
      </c>
      <c r="H547" t="s">
        <v>21</v>
      </c>
    </row>
    <row r="548" spans="1:10" x14ac:dyDescent="0.25">
      <c r="A548" s="1">
        <v>43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"2026-04-27 08:51:20.818"</f>
        <v>2026-04-27 08:51:20.818</v>
      </c>
      <c r="H548" t="s">
        <v>21</v>
      </c>
      <c r="I548">
        <v>0</v>
      </c>
      <c r="J548" t="s">
        <v>22</v>
      </c>
    </row>
    <row r="549" spans="1:10" s="3" customFormat="1" x14ac:dyDescent="0.25">
      <c r="A549" s="2">
        <v>44</v>
      </c>
      <c r="B549" s="3" t="s">
        <v>23</v>
      </c>
      <c r="C549" s="3">
        <v>647</v>
      </c>
      <c r="D549" s="3">
        <v>1</v>
      </c>
      <c r="E549" s="3" t="s">
        <v>30</v>
      </c>
      <c r="F549" s="3" t="s">
        <v>31</v>
      </c>
      <c r="G549" s="3" t="str">
        <f>"2026-04-27 04:19:54.508"</f>
        <v>2026-04-27 04:19:54.508</v>
      </c>
      <c r="H549" s="3" t="s">
        <v>21</v>
      </c>
    </row>
    <row r="550" spans="1:10" s="3" customFormat="1" x14ac:dyDescent="0.25">
      <c r="A550" s="2">
        <v>45</v>
      </c>
      <c r="B550" s="3" t="s">
        <v>26</v>
      </c>
      <c r="C550" s="3">
        <v>647</v>
      </c>
      <c r="D550" s="3">
        <v>1</v>
      </c>
      <c r="E550" s="3" t="s">
        <v>30</v>
      </c>
      <c r="F550" s="3" t="s">
        <v>31</v>
      </c>
      <c r="G550" s="3" t="str">
        <f>"2026-04-27 04:19:52.809"</f>
        <v>2026-04-27 04:19:52.809</v>
      </c>
      <c r="H550" s="3" t="s">
        <v>21</v>
      </c>
      <c r="I550" s="3">
        <v>16.86</v>
      </c>
      <c r="J550" s="3" t="s">
        <v>28</v>
      </c>
    </row>
    <row r="551" spans="1:10" x14ac:dyDescent="0.25">
      <c r="A551" s="1">
        <v>46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"2026-04-26 14:00:02.701"</f>
        <v>2026-04-26 14:00:02.701</v>
      </c>
      <c r="H551" t="s">
        <v>21</v>
      </c>
      <c r="I551">
        <v>0</v>
      </c>
      <c r="J551" t="s">
        <v>22</v>
      </c>
    </row>
    <row r="552" spans="1:10" x14ac:dyDescent="0.25">
      <c r="A552" s="1">
        <v>47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"2026-04-25 19:55:27.574"</f>
        <v>2026-04-25 19:55:27.574</v>
      </c>
      <c r="H552" t="s">
        <v>21</v>
      </c>
    </row>
    <row r="553" spans="1:10" x14ac:dyDescent="0.25">
      <c r="A553" s="1">
        <v>48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"2026-04-25 12:34:40.609"</f>
        <v>2026-04-25 12:34:40.609</v>
      </c>
      <c r="H553" t="s">
        <v>21</v>
      </c>
    </row>
    <row r="554" spans="1:10" x14ac:dyDescent="0.25">
      <c r="A554" s="1">
        <v>49</v>
      </c>
      <c r="B554" t="s">
        <v>23</v>
      </c>
      <c r="C554">
        <v>635</v>
      </c>
      <c r="D554">
        <v>1</v>
      </c>
      <c r="E554" t="s">
        <v>24</v>
      </c>
      <c r="F554" t="s">
        <v>25</v>
      </c>
      <c r="G554" t="str">
        <f>"2026-04-25 02:45:03.674"</f>
        <v>2026-04-25 02:45:03.674</v>
      </c>
      <c r="H554" t="s">
        <v>21</v>
      </c>
    </row>
    <row r="555" spans="1:10" x14ac:dyDescent="0.25">
      <c r="A555" s="1">
        <v>50</v>
      </c>
      <c r="B555" t="s">
        <v>26</v>
      </c>
      <c r="C555">
        <v>635</v>
      </c>
      <c r="D555">
        <v>1</v>
      </c>
      <c r="E555" t="s">
        <v>24</v>
      </c>
      <c r="F555" t="s">
        <v>25</v>
      </c>
      <c r="G555" t="str">
        <f>"2026-04-25 02:27:56.674"</f>
        <v>2026-04-25 02:27:56.674</v>
      </c>
      <c r="H555" t="s">
        <v>21</v>
      </c>
      <c r="I555">
        <v>5.62</v>
      </c>
      <c r="J555" t="s">
        <v>29</v>
      </c>
    </row>
    <row r="556" spans="1:10" x14ac:dyDescent="0.25">
      <c r="A556" s="1">
        <v>51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"2026-04-24 13:37:24.578"</f>
        <v>2026-04-24 13:37:24.578</v>
      </c>
      <c r="H556" t="s">
        <v>21</v>
      </c>
      <c r="I556">
        <v>0</v>
      </c>
      <c r="J556" t="s">
        <v>22</v>
      </c>
    </row>
    <row r="557" spans="1:10" x14ac:dyDescent="0.25">
      <c r="A557" s="1">
        <v>52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"2026-04-24 12:54:27.595"</f>
        <v>2026-04-24 12:54:27.595</v>
      </c>
      <c r="H557" t="s">
        <v>21</v>
      </c>
    </row>
    <row r="558" spans="1:10" x14ac:dyDescent="0.25">
      <c r="A558" s="1">
        <v>53</v>
      </c>
      <c r="B558" t="s">
        <v>23</v>
      </c>
      <c r="C558">
        <v>635</v>
      </c>
      <c r="D558">
        <v>1</v>
      </c>
      <c r="E558" t="s">
        <v>24</v>
      </c>
      <c r="F558" t="s">
        <v>25</v>
      </c>
      <c r="G558" t="str">
        <f>"2026-04-24 07:24:30.644"</f>
        <v>2026-04-24 07:24:30.644</v>
      </c>
      <c r="H558" t="s">
        <v>21</v>
      </c>
    </row>
    <row r="559" spans="1:10" x14ac:dyDescent="0.25">
      <c r="A559" s="1">
        <v>54</v>
      </c>
      <c r="B559" t="s">
        <v>26</v>
      </c>
      <c r="C559">
        <v>635</v>
      </c>
      <c r="D559">
        <v>1</v>
      </c>
      <c r="E559" t="s">
        <v>24</v>
      </c>
      <c r="F559" t="s">
        <v>25</v>
      </c>
      <c r="G559" t="str">
        <f>"2026-04-24 07:01:21.644"</f>
        <v>2026-04-24 07:01:21.644</v>
      </c>
      <c r="H559" t="s">
        <v>21</v>
      </c>
      <c r="I559">
        <v>8.6</v>
      </c>
      <c r="J559" t="s">
        <v>29</v>
      </c>
    </row>
    <row r="560" spans="1:10" x14ac:dyDescent="0.25">
      <c r="A560" s="1">
        <v>55</v>
      </c>
      <c r="B560" t="s">
        <v>23</v>
      </c>
      <c r="C560">
        <v>635</v>
      </c>
      <c r="D560">
        <v>1</v>
      </c>
      <c r="E560" t="s">
        <v>24</v>
      </c>
      <c r="F560" t="s">
        <v>25</v>
      </c>
      <c r="G560" t="str">
        <f>"2026-04-24 06:49:26.744"</f>
        <v>2026-04-24 06:49:26.744</v>
      </c>
      <c r="H560" t="s">
        <v>21</v>
      </c>
    </row>
    <row r="561" spans="1:10" x14ac:dyDescent="0.25">
      <c r="A561" s="1">
        <v>56</v>
      </c>
      <c r="B561" t="s">
        <v>26</v>
      </c>
      <c r="C561">
        <v>635</v>
      </c>
      <c r="D561">
        <v>1</v>
      </c>
      <c r="E561" t="s">
        <v>24</v>
      </c>
      <c r="F561" t="s">
        <v>25</v>
      </c>
      <c r="G561" t="str">
        <f>"2026-04-24 06:45:54.244"</f>
        <v>2026-04-24 06:45:54.244</v>
      </c>
      <c r="H561" t="s">
        <v>21</v>
      </c>
      <c r="I561">
        <v>7.58</v>
      </c>
      <c r="J561" t="s">
        <v>29</v>
      </c>
    </row>
    <row r="562" spans="1:10" x14ac:dyDescent="0.25">
      <c r="A562" s="1">
        <v>57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"2026-04-24 01:13:12.616"</f>
        <v>2026-04-24 01:13:12.616</v>
      </c>
      <c r="H562" t="s">
        <v>21</v>
      </c>
      <c r="I562">
        <v>0</v>
      </c>
      <c r="J562" t="s">
        <v>22</v>
      </c>
    </row>
    <row r="563" spans="1:10" x14ac:dyDescent="0.25">
      <c r="A563" s="1">
        <v>58</v>
      </c>
      <c r="B563" t="s">
        <v>23</v>
      </c>
      <c r="C563">
        <v>619</v>
      </c>
      <c r="D563">
        <v>1</v>
      </c>
      <c r="E563" t="s">
        <v>51</v>
      </c>
      <c r="F563" t="s">
        <v>25</v>
      </c>
      <c r="G563" t="str">
        <f>"2026-04-23 21:39:05.758"</f>
        <v>2026-04-23 21:39:05.758</v>
      </c>
      <c r="H563" t="s">
        <v>52</v>
      </c>
    </row>
    <row r="564" spans="1:10" x14ac:dyDescent="0.25">
      <c r="A564" s="1">
        <v>59</v>
      </c>
      <c r="B564" t="s">
        <v>26</v>
      </c>
      <c r="C564">
        <v>619</v>
      </c>
      <c r="D564">
        <v>1</v>
      </c>
      <c r="E564" t="s">
        <v>51</v>
      </c>
      <c r="F564" t="s">
        <v>25</v>
      </c>
      <c r="G564" t="str">
        <f>"2026-04-23 21:39:00.159"</f>
        <v>2026-04-23 21:39:00.159</v>
      </c>
      <c r="H564" t="s">
        <v>52</v>
      </c>
      <c r="I564">
        <v>0</v>
      </c>
      <c r="J564" t="s">
        <v>34</v>
      </c>
    </row>
    <row r="565" spans="1:10" x14ac:dyDescent="0.25">
      <c r="A565" s="1">
        <v>60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"2026-04-23 21:38:53.585"</f>
        <v>2026-04-23 21:38:53.585</v>
      </c>
      <c r="H565" t="s">
        <v>21</v>
      </c>
      <c r="I565">
        <v>0</v>
      </c>
      <c r="J565" t="s">
        <v>22</v>
      </c>
    </row>
    <row r="566" spans="1:10" x14ac:dyDescent="0.25">
      <c r="A566" s="1">
        <v>61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"2026-04-23 21:33:44.608"</f>
        <v>2026-04-23 21:33:44.608</v>
      </c>
      <c r="H566" t="s">
        <v>21</v>
      </c>
    </row>
    <row r="567" spans="1:10" x14ac:dyDescent="0.25">
      <c r="A567" s="1">
        <v>62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"2026-04-23 15:58:22.583"</f>
        <v>2026-04-23 15:58:22.583</v>
      </c>
      <c r="H567" t="s">
        <v>21</v>
      </c>
      <c r="I567">
        <v>0</v>
      </c>
      <c r="J567" t="s">
        <v>22</v>
      </c>
    </row>
    <row r="568" spans="1:10" x14ac:dyDescent="0.25">
      <c r="A568" s="1">
        <v>63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"2026-04-23 15:39:38.571"</f>
        <v>2026-04-23 15:39:38.571</v>
      </c>
      <c r="H568" t="s">
        <v>21</v>
      </c>
    </row>
    <row r="569" spans="1:10" x14ac:dyDescent="0.25">
      <c r="A569" s="1">
        <v>64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"2026-04-23 13:37:59.609"</f>
        <v>2026-04-23 13:37:59.609</v>
      </c>
      <c r="H569" t="s">
        <v>21</v>
      </c>
    </row>
    <row r="570" spans="1:10" s="3" customFormat="1" x14ac:dyDescent="0.25">
      <c r="A570" s="2">
        <v>66</v>
      </c>
      <c r="B570" s="3" t="s">
        <v>23</v>
      </c>
      <c r="C570" s="3">
        <v>647</v>
      </c>
      <c r="D570" s="3">
        <v>1</v>
      </c>
      <c r="E570" s="3" t="s">
        <v>30</v>
      </c>
      <c r="F570" s="3" t="s">
        <v>31</v>
      </c>
      <c r="G570" s="3" t="str">
        <f>"2026-04-23 04:52:55.065"</f>
        <v>2026-04-23 04:52:55.065</v>
      </c>
      <c r="H570" s="3" t="s">
        <v>21</v>
      </c>
    </row>
    <row r="571" spans="1:10" s="3" customFormat="1" x14ac:dyDescent="0.25">
      <c r="A571" s="2">
        <v>67</v>
      </c>
      <c r="B571" s="3" t="s">
        <v>26</v>
      </c>
      <c r="C571" s="3">
        <v>647</v>
      </c>
      <c r="D571" s="3">
        <v>1</v>
      </c>
      <c r="E571" s="3" t="s">
        <v>30</v>
      </c>
      <c r="F571" s="3" t="s">
        <v>31</v>
      </c>
      <c r="G571" s="3" t="str">
        <f>"2026-04-23 04:52:52.765"</f>
        <v>2026-04-23 04:52:52.765</v>
      </c>
      <c r="H571" s="3" t="s">
        <v>21</v>
      </c>
      <c r="I571" s="3">
        <v>18.84</v>
      </c>
      <c r="J571" s="3" t="s">
        <v>28</v>
      </c>
    </row>
    <row r="572" spans="1:10" x14ac:dyDescent="0.25">
      <c r="A572" s="1">
        <v>68</v>
      </c>
      <c r="B572" t="s">
        <v>23</v>
      </c>
      <c r="C572">
        <v>619</v>
      </c>
      <c r="D572">
        <v>1</v>
      </c>
      <c r="E572" t="s">
        <v>51</v>
      </c>
      <c r="F572" t="s">
        <v>25</v>
      </c>
      <c r="G572" t="str">
        <f>"2026-04-23 02:15:27.711"</f>
        <v>2026-04-23 02:15:27.711</v>
      </c>
      <c r="H572" t="s">
        <v>52</v>
      </c>
    </row>
    <row r="573" spans="1:10" x14ac:dyDescent="0.25">
      <c r="A573" s="1">
        <v>69</v>
      </c>
      <c r="B573" t="s">
        <v>26</v>
      </c>
      <c r="C573">
        <v>619</v>
      </c>
      <c r="D573">
        <v>1</v>
      </c>
      <c r="E573" t="s">
        <v>51</v>
      </c>
      <c r="F573" t="s">
        <v>25</v>
      </c>
      <c r="G573" t="str">
        <f>"2026-04-23 02:15:17.964"</f>
        <v>2026-04-23 02:15:17.964</v>
      </c>
      <c r="H573" t="s">
        <v>52</v>
      </c>
      <c r="I573">
        <v>0.57999999999999996</v>
      </c>
      <c r="J573" t="s">
        <v>29</v>
      </c>
    </row>
    <row r="574" spans="1:10" x14ac:dyDescent="0.25">
      <c r="A574" s="1">
        <v>70</v>
      </c>
      <c r="B574" t="s">
        <v>19</v>
      </c>
      <c r="C574">
        <v>706</v>
      </c>
      <c r="D574">
        <v>2</v>
      </c>
      <c r="E574" t="s">
        <v>32</v>
      </c>
      <c r="F574" t="s">
        <v>33</v>
      </c>
      <c r="G574" t="str">
        <f>"2026-04-23 01:59:28.353"</f>
        <v>2026-04-23 01:59:28.353</v>
      </c>
      <c r="H574" t="s">
        <v>21</v>
      </c>
      <c r="I574">
        <v>0</v>
      </c>
      <c r="J574" t="s">
        <v>34</v>
      </c>
    </row>
    <row r="575" spans="1:10" x14ac:dyDescent="0.25">
      <c r="A575" s="1">
        <v>71</v>
      </c>
      <c r="B575" t="s">
        <v>19</v>
      </c>
      <c r="C575">
        <v>706</v>
      </c>
      <c r="D575">
        <v>2</v>
      </c>
      <c r="E575" t="s">
        <v>32</v>
      </c>
      <c r="F575" t="s">
        <v>33</v>
      </c>
      <c r="G575" t="str">
        <f>"2026-04-22 23:02:30.953"</f>
        <v>2026-04-22 23:02:30.953</v>
      </c>
      <c r="H575" t="s">
        <v>21</v>
      </c>
      <c r="I575">
        <v>0</v>
      </c>
      <c r="J575" t="s">
        <v>34</v>
      </c>
    </row>
    <row r="576" spans="1:10" x14ac:dyDescent="0.25">
      <c r="A576" s="1">
        <v>72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"2026-04-22 13:01:27.633"</f>
        <v>2026-04-22 13:01:27.633</v>
      </c>
      <c r="H576" t="s">
        <v>21</v>
      </c>
      <c r="I576">
        <v>0</v>
      </c>
      <c r="J576" t="s">
        <v>22</v>
      </c>
    </row>
    <row r="577" spans="1:10" x14ac:dyDescent="0.25">
      <c r="A577" s="1">
        <v>73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"2026-04-22 05:54:56.580"</f>
        <v>2026-04-22 05:54:56.580</v>
      </c>
      <c r="H577" t="s">
        <v>21</v>
      </c>
      <c r="I577">
        <v>0</v>
      </c>
      <c r="J577" t="s">
        <v>22</v>
      </c>
    </row>
    <row r="578" spans="1:10" x14ac:dyDescent="0.25">
      <c r="A578" s="1">
        <v>74</v>
      </c>
      <c r="B578" t="s">
        <v>19</v>
      </c>
      <c r="C578">
        <v>706</v>
      </c>
      <c r="D578">
        <v>4</v>
      </c>
      <c r="E578" t="s">
        <v>32</v>
      </c>
      <c r="F578" t="s">
        <v>48</v>
      </c>
      <c r="G578" t="str">
        <f>"2026-04-22 05:26:35.456"</f>
        <v>2026-04-22 05:26:35.456</v>
      </c>
      <c r="H578" t="s">
        <v>21</v>
      </c>
      <c r="I578">
        <v>0</v>
      </c>
      <c r="J578" t="s">
        <v>34</v>
      </c>
    </row>
    <row r="579" spans="1:10" x14ac:dyDescent="0.25">
      <c r="A579" s="1">
        <v>75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"2026-04-22 05:11:42.606"</f>
        <v>2026-04-22 05:11:42.606</v>
      </c>
      <c r="H579" t="s">
        <v>21</v>
      </c>
      <c r="I579">
        <v>0</v>
      </c>
      <c r="J579" t="s">
        <v>22</v>
      </c>
    </row>
    <row r="580" spans="1:10" x14ac:dyDescent="0.25">
      <c r="A580" s="1">
        <v>76</v>
      </c>
      <c r="B580" t="s">
        <v>19</v>
      </c>
      <c r="C580">
        <v>706</v>
      </c>
      <c r="D580">
        <v>2</v>
      </c>
      <c r="E580" t="s">
        <v>32</v>
      </c>
      <c r="F580" t="s">
        <v>33</v>
      </c>
      <c r="G580" t="str">
        <f>"2026-04-21 22:04:43.032"</f>
        <v>2026-04-21 22:04:43.032</v>
      </c>
      <c r="H580" t="s">
        <v>21</v>
      </c>
      <c r="I580">
        <v>0</v>
      </c>
      <c r="J580" t="s">
        <v>34</v>
      </c>
    </row>
    <row r="581" spans="1:10" s="3" customFormat="1" x14ac:dyDescent="0.25">
      <c r="A581" s="2">
        <v>77</v>
      </c>
      <c r="B581" s="3" t="s">
        <v>23</v>
      </c>
      <c r="C581" s="3">
        <v>647</v>
      </c>
      <c r="D581" s="3">
        <v>1</v>
      </c>
      <c r="E581" s="3" t="s">
        <v>30</v>
      </c>
      <c r="F581" s="3" t="s">
        <v>31</v>
      </c>
      <c r="G581" s="3" t="str">
        <f>"2026-04-21 21:20:54.244"</f>
        <v>2026-04-21 21:20:54.244</v>
      </c>
      <c r="H581" s="3" t="s">
        <v>21</v>
      </c>
    </row>
    <row r="582" spans="1:10" s="3" customFormat="1" x14ac:dyDescent="0.25">
      <c r="A582" s="2">
        <v>78</v>
      </c>
      <c r="B582" s="3" t="s">
        <v>26</v>
      </c>
      <c r="C582" s="3">
        <v>647</v>
      </c>
      <c r="D582" s="3">
        <v>1</v>
      </c>
      <c r="E582" s="3" t="s">
        <v>30</v>
      </c>
      <c r="F582" s="3" t="s">
        <v>31</v>
      </c>
      <c r="G582" s="3" t="str">
        <f>"2026-04-21 21:20:52.144"</f>
        <v>2026-04-21 21:20:52.144</v>
      </c>
      <c r="H582" s="3" t="s">
        <v>21</v>
      </c>
      <c r="I582" s="3">
        <v>21.31</v>
      </c>
      <c r="J582" s="3" t="s">
        <v>28</v>
      </c>
    </row>
    <row r="583" spans="1:10" x14ac:dyDescent="0.25">
      <c r="A583" s="1">
        <v>79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"2026-04-21 13:46:47.602"</f>
        <v>2026-04-21 13:46:47.602</v>
      </c>
      <c r="H583" t="s">
        <v>21</v>
      </c>
    </row>
    <row r="584" spans="1:10" x14ac:dyDescent="0.25">
      <c r="A584" s="1">
        <v>80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"2026-04-21 11:10:19.638"</f>
        <v>2026-04-21 11:10:19.638</v>
      </c>
      <c r="H584" t="s">
        <v>21</v>
      </c>
    </row>
    <row r="585" spans="1:10" x14ac:dyDescent="0.25">
      <c r="A585" s="1">
        <v>81</v>
      </c>
      <c r="B585" t="s">
        <v>19</v>
      </c>
      <c r="C585">
        <v>706</v>
      </c>
      <c r="D585">
        <v>2</v>
      </c>
      <c r="E585" t="s">
        <v>32</v>
      </c>
      <c r="F585" t="s">
        <v>33</v>
      </c>
      <c r="G585" t="str">
        <f>"2026-04-20 22:07:22.629"</f>
        <v>2026-04-20 22:07:22.629</v>
      </c>
      <c r="H585" t="s">
        <v>21</v>
      </c>
      <c r="I585">
        <v>0</v>
      </c>
      <c r="J585" t="s">
        <v>34</v>
      </c>
    </row>
    <row r="586" spans="1:10" x14ac:dyDescent="0.25">
      <c r="A586" s="1">
        <v>82</v>
      </c>
      <c r="B586" t="s">
        <v>19</v>
      </c>
      <c r="C586">
        <v>706</v>
      </c>
      <c r="D586">
        <v>4</v>
      </c>
      <c r="E586" t="s">
        <v>32</v>
      </c>
      <c r="F586" t="s">
        <v>48</v>
      </c>
      <c r="G586" t="str">
        <f>"2026-04-20 13:49:24.079"</f>
        <v>2026-04-20 13:49:24.079</v>
      </c>
      <c r="H586" t="s">
        <v>21</v>
      </c>
      <c r="I586">
        <v>0</v>
      </c>
      <c r="J586" t="s">
        <v>34</v>
      </c>
    </row>
    <row r="587" spans="1:10" x14ac:dyDescent="0.25">
      <c r="A587" s="1">
        <v>83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"2026-04-20 13:49:01.589"</f>
        <v>2026-04-20 13:49:01.589</v>
      </c>
      <c r="H587" t="s">
        <v>21</v>
      </c>
    </row>
    <row r="588" spans="1:10" x14ac:dyDescent="0.25">
      <c r="A588" s="1">
        <v>84</v>
      </c>
      <c r="B588" t="s">
        <v>23</v>
      </c>
      <c r="C588">
        <v>635</v>
      </c>
      <c r="D588">
        <v>1</v>
      </c>
      <c r="E588" t="s">
        <v>24</v>
      </c>
      <c r="F588" t="s">
        <v>25</v>
      </c>
      <c r="G588" t="str">
        <f>"2026-04-20 06:10:57.411"</f>
        <v>2026-04-20 06:10:57.411</v>
      </c>
      <c r="H588" t="s">
        <v>21</v>
      </c>
    </row>
    <row r="589" spans="1:10" x14ac:dyDescent="0.25">
      <c r="A589" s="1">
        <v>85</v>
      </c>
      <c r="B589" t="s">
        <v>26</v>
      </c>
      <c r="C589">
        <v>635</v>
      </c>
      <c r="D589">
        <v>1</v>
      </c>
      <c r="E589" t="s">
        <v>24</v>
      </c>
      <c r="F589" t="s">
        <v>25</v>
      </c>
      <c r="G589" t="str">
        <f>"2026-04-20 06:08:33.911"</f>
        <v>2026-04-20 06:08:33.911</v>
      </c>
      <c r="H589" t="s">
        <v>21</v>
      </c>
      <c r="I589">
        <v>0.04</v>
      </c>
      <c r="J589" t="s">
        <v>27</v>
      </c>
    </row>
    <row r="590" spans="1:10" x14ac:dyDescent="0.25">
      <c r="A590" s="1">
        <v>86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"2026-04-19 15:05:46.576"</f>
        <v>2026-04-19 15:05:46.576</v>
      </c>
      <c r="H590" t="s">
        <v>21</v>
      </c>
      <c r="I590">
        <v>0</v>
      </c>
      <c r="J590" t="s">
        <v>22</v>
      </c>
    </row>
    <row r="591" spans="1:10" x14ac:dyDescent="0.25">
      <c r="A591" s="1">
        <v>87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"2026-04-19 02:56:33.574"</f>
        <v>2026-04-19 02:56:33.574</v>
      </c>
      <c r="H591" t="s">
        <v>21</v>
      </c>
      <c r="I591">
        <v>0</v>
      </c>
      <c r="J591" t="s">
        <v>22</v>
      </c>
    </row>
    <row r="592" spans="1:10" x14ac:dyDescent="0.25">
      <c r="A592" s="1">
        <v>88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"2026-04-17 22:19:03.574"</f>
        <v>2026-04-17 22:19:03.574</v>
      </c>
      <c r="H592" t="s">
        <v>21</v>
      </c>
      <c r="I592">
        <v>0</v>
      </c>
      <c r="J592" t="s">
        <v>22</v>
      </c>
    </row>
    <row r="593" spans="1:10" x14ac:dyDescent="0.25">
      <c r="A593" s="1">
        <v>89</v>
      </c>
      <c r="B593" t="s">
        <v>23</v>
      </c>
      <c r="C593">
        <v>635</v>
      </c>
      <c r="D593">
        <v>1</v>
      </c>
      <c r="E593" t="s">
        <v>24</v>
      </c>
      <c r="F593" t="s">
        <v>25</v>
      </c>
      <c r="G593" t="str">
        <f>"2026-04-17 17:39:02.745"</f>
        <v>2026-04-17 17:39:02.745</v>
      </c>
      <c r="H593" t="s">
        <v>21</v>
      </c>
    </row>
    <row r="594" spans="1:10" x14ac:dyDescent="0.25">
      <c r="A594" s="1">
        <v>90</v>
      </c>
      <c r="B594" t="s">
        <v>26</v>
      </c>
      <c r="C594">
        <v>635</v>
      </c>
      <c r="D594">
        <v>1</v>
      </c>
      <c r="E594" t="s">
        <v>24</v>
      </c>
      <c r="F594" t="s">
        <v>25</v>
      </c>
      <c r="G594" t="str">
        <f>"2026-04-17 17:30:32.245"</f>
        <v>2026-04-17 17:30:32.245</v>
      </c>
      <c r="H594" t="s">
        <v>21</v>
      </c>
      <c r="I594">
        <v>5.23</v>
      </c>
      <c r="J594" t="s">
        <v>29</v>
      </c>
    </row>
    <row r="595" spans="1:10" x14ac:dyDescent="0.25">
      <c r="A595" s="1">
        <v>91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"2026-04-16 13:55:09.605"</f>
        <v>2026-04-16 13:55:09.605</v>
      </c>
      <c r="H595" t="s">
        <v>21</v>
      </c>
    </row>
    <row r="596" spans="1:10" x14ac:dyDescent="0.25">
      <c r="A596" s="1">
        <v>92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"2026-04-16 02:00:51.603"</f>
        <v>2026-04-16 02:00:51.603</v>
      </c>
      <c r="H596" t="s">
        <v>21</v>
      </c>
    </row>
    <row r="597" spans="1:10" x14ac:dyDescent="0.25">
      <c r="A597" s="1">
        <v>93</v>
      </c>
      <c r="B597" t="s">
        <v>19</v>
      </c>
      <c r="C597">
        <v>706</v>
      </c>
      <c r="D597">
        <v>4</v>
      </c>
      <c r="E597" t="s">
        <v>32</v>
      </c>
      <c r="F597" t="s">
        <v>48</v>
      </c>
      <c r="G597" t="str">
        <f>"2026-04-15 17:07:15.661"</f>
        <v>2026-04-15 17:07:15.661</v>
      </c>
      <c r="H597" t="s">
        <v>21</v>
      </c>
      <c r="I597">
        <v>0</v>
      </c>
      <c r="J597" t="s">
        <v>34</v>
      </c>
    </row>
    <row r="598" spans="1:10" x14ac:dyDescent="0.25">
      <c r="A598" s="1">
        <v>94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"2026-04-15 17:03:19.601"</f>
        <v>2026-04-15 17:03:19.601</v>
      </c>
      <c r="H598" t="s">
        <v>21</v>
      </c>
      <c r="I598">
        <v>0</v>
      </c>
      <c r="J598" t="s">
        <v>22</v>
      </c>
    </row>
    <row r="599" spans="1:10" x14ac:dyDescent="0.25">
      <c r="A599" s="1">
        <v>95</v>
      </c>
      <c r="B599" t="s">
        <v>23</v>
      </c>
      <c r="C599">
        <v>635</v>
      </c>
      <c r="D599">
        <v>1</v>
      </c>
      <c r="E599" t="s">
        <v>24</v>
      </c>
      <c r="F599" t="s">
        <v>25</v>
      </c>
      <c r="G599" t="str">
        <f>"2026-04-15 11:44:12.085"</f>
        <v>2026-04-15 11:44:12.085</v>
      </c>
      <c r="H599" t="s">
        <v>21</v>
      </c>
    </row>
    <row r="600" spans="1:10" x14ac:dyDescent="0.25">
      <c r="A600" s="1">
        <v>96</v>
      </c>
      <c r="B600" t="s">
        <v>26</v>
      </c>
      <c r="C600">
        <v>635</v>
      </c>
      <c r="D600">
        <v>1</v>
      </c>
      <c r="E600" t="s">
        <v>24</v>
      </c>
      <c r="F600" t="s">
        <v>25</v>
      </c>
      <c r="G600" t="str">
        <f>"2026-04-15 11:40:44.185"</f>
        <v>2026-04-15 11:40:44.185</v>
      </c>
      <c r="H600" t="s">
        <v>21</v>
      </c>
      <c r="I600">
        <v>0.59</v>
      </c>
      <c r="J600" t="s">
        <v>29</v>
      </c>
    </row>
    <row r="601" spans="1:10" x14ac:dyDescent="0.25">
      <c r="A601" s="1">
        <v>97</v>
      </c>
      <c r="B601" t="s">
        <v>23</v>
      </c>
      <c r="C601">
        <v>61</v>
      </c>
      <c r="D601">
        <v>2</v>
      </c>
      <c r="E601" t="s">
        <v>46</v>
      </c>
      <c r="F601" t="s">
        <v>47</v>
      </c>
      <c r="G601" t="str">
        <f>"2026-04-15 07:30:49.198"</f>
        <v>2026-04-15 07:30:49.198</v>
      </c>
      <c r="H601" t="s">
        <v>21</v>
      </c>
    </row>
    <row r="602" spans="1:10" x14ac:dyDescent="0.25">
      <c r="A602" s="1">
        <v>98</v>
      </c>
      <c r="B602" t="s">
        <v>38</v>
      </c>
      <c r="C602">
        <v>61</v>
      </c>
      <c r="D602">
        <v>2</v>
      </c>
      <c r="E602" t="s">
        <v>46</v>
      </c>
      <c r="F602" t="s">
        <v>47</v>
      </c>
      <c r="G602" t="str">
        <f>"2026-04-15 07:30:37.298"</f>
        <v>2026-04-15 07:30:37.298</v>
      </c>
      <c r="H602" t="s">
        <v>21</v>
      </c>
      <c r="I602">
        <v>29.47</v>
      </c>
      <c r="J602" t="s">
        <v>28</v>
      </c>
    </row>
    <row r="603" spans="1:10" x14ac:dyDescent="0.25">
      <c r="A603" s="1">
        <v>99</v>
      </c>
      <c r="B603" t="s">
        <v>23</v>
      </c>
      <c r="C603">
        <v>635</v>
      </c>
      <c r="D603">
        <v>1</v>
      </c>
      <c r="E603" t="s">
        <v>24</v>
      </c>
      <c r="F603" t="s">
        <v>25</v>
      </c>
      <c r="G603" t="str">
        <f>"2026-04-14 21:28:21.485"</f>
        <v>2026-04-14 21:28:21.485</v>
      </c>
      <c r="H603" t="s">
        <v>21</v>
      </c>
    </row>
    <row r="604" spans="1:10" x14ac:dyDescent="0.25">
      <c r="A604" s="1">
        <v>0</v>
      </c>
      <c r="B604" t="s">
        <v>26</v>
      </c>
      <c r="C604">
        <v>635</v>
      </c>
      <c r="D604">
        <v>1</v>
      </c>
      <c r="E604" t="s">
        <v>24</v>
      </c>
      <c r="F604" t="s">
        <v>25</v>
      </c>
      <c r="G604" t="str">
        <f>"2026-04-14 21:24:41.485"</f>
        <v>2026-04-14 21:24:41.485</v>
      </c>
      <c r="H604" t="s">
        <v>21</v>
      </c>
      <c r="I604">
        <v>7.78</v>
      </c>
      <c r="J604" t="s">
        <v>29</v>
      </c>
    </row>
    <row r="605" spans="1:10" x14ac:dyDescent="0.25">
      <c r="A605" s="1">
        <v>1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"2026-04-14 14:05:10.557"</f>
        <v>2026-04-14 14:05:10.557</v>
      </c>
      <c r="H605" t="s">
        <v>21</v>
      </c>
      <c r="I605">
        <v>0</v>
      </c>
      <c r="J605" t="s">
        <v>22</v>
      </c>
    </row>
    <row r="606" spans="1:10" x14ac:dyDescent="0.25">
      <c r="A606" s="1">
        <v>2</v>
      </c>
      <c r="B606" t="s">
        <v>23</v>
      </c>
      <c r="C606">
        <v>635</v>
      </c>
      <c r="D606">
        <v>1</v>
      </c>
      <c r="E606" t="s">
        <v>24</v>
      </c>
      <c r="F606" t="s">
        <v>25</v>
      </c>
      <c r="G606" t="str">
        <f>"2026-04-14 11:49:28.340"</f>
        <v>2026-04-14 11:49:28.340</v>
      </c>
      <c r="H606" t="s">
        <v>21</v>
      </c>
    </row>
    <row r="607" spans="1:10" x14ac:dyDescent="0.25">
      <c r="A607" s="1">
        <v>3</v>
      </c>
      <c r="B607" t="s">
        <v>26</v>
      </c>
      <c r="C607">
        <v>635</v>
      </c>
      <c r="D607">
        <v>1</v>
      </c>
      <c r="E607" t="s">
        <v>24</v>
      </c>
      <c r="F607" t="s">
        <v>25</v>
      </c>
      <c r="G607" t="str">
        <f>"2026-04-14 11:47:25.840"</f>
        <v>2026-04-14 11:47:25.840</v>
      </c>
      <c r="H607" t="s">
        <v>21</v>
      </c>
      <c r="I607">
        <v>4.25</v>
      </c>
      <c r="J607" t="s">
        <v>29</v>
      </c>
    </row>
    <row r="608" spans="1:10" x14ac:dyDescent="0.25">
      <c r="A608" s="1">
        <v>4</v>
      </c>
      <c r="B608" t="s">
        <v>23</v>
      </c>
      <c r="C608">
        <v>635</v>
      </c>
      <c r="D608">
        <v>1</v>
      </c>
      <c r="E608" t="s">
        <v>24</v>
      </c>
      <c r="F608" t="s">
        <v>25</v>
      </c>
      <c r="G608" t="str">
        <f>"2026-04-14 02:32:13.540"</f>
        <v>2026-04-14 02:32:13.540</v>
      </c>
      <c r="H608" t="s">
        <v>21</v>
      </c>
    </row>
    <row r="609" spans="1:10" x14ac:dyDescent="0.25">
      <c r="A609" s="1">
        <v>5</v>
      </c>
      <c r="B609" t="s">
        <v>26</v>
      </c>
      <c r="C609">
        <v>635</v>
      </c>
      <c r="D609">
        <v>1</v>
      </c>
      <c r="E609" t="s">
        <v>24</v>
      </c>
      <c r="F609" t="s">
        <v>25</v>
      </c>
      <c r="G609" t="str">
        <f>"2026-04-14 02:21:02.540"</f>
        <v>2026-04-14 02:21:02.540</v>
      </c>
      <c r="H609" t="s">
        <v>21</v>
      </c>
      <c r="I609">
        <v>2.65</v>
      </c>
      <c r="J609" t="s">
        <v>27</v>
      </c>
    </row>
    <row r="610" spans="1:10" x14ac:dyDescent="0.25">
      <c r="A610" s="1">
        <v>6</v>
      </c>
      <c r="B610" t="s">
        <v>23</v>
      </c>
      <c r="C610">
        <v>635</v>
      </c>
      <c r="D610">
        <v>1</v>
      </c>
      <c r="E610" t="s">
        <v>24</v>
      </c>
      <c r="F610" t="s">
        <v>25</v>
      </c>
      <c r="G610" t="str">
        <f>"2026-04-13 16:58:15.240"</f>
        <v>2026-04-13 16:58:15.240</v>
      </c>
      <c r="H610" t="s">
        <v>21</v>
      </c>
    </row>
    <row r="611" spans="1:10" x14ac:dyDescent="0.25">
      <c r="A611" s="1">
        <v>7</v>
      </c>
      <c r="B611" t="s">
        <v>26</v>
      </c>
      <c r="C611">
        <v>635</v>
      </c>
      <c r="D611">
        <v>1</v>
      </c>
      <c r="E611" t="s">
        <v>24</v>
      </c>
      <c r="F611" t="s">
        <v>25</v>
      </c>
      <c r="G611" t="str">
        <f>"2026-04-13 16:47:25.340"</f>
        <v>2026-04-13 16:47:25.340</v>
      </c>
      <c r="H611" t="s">
        <v>21</v>
      </c>
      <c r="I611">
        <v>2.93</v>
      </c>
      <c r="J611" t="s">
        <v>29</v>
      </c>
    </row>
    <row r="612" spans="1:10" x14ac:dyDescent="0.25">
      <c r="A612" s="1">
        <v>8</v>
      </c>
      <c r="B612" t="s">
        <v>23</v>
      </c>
      <c r="C612">
        <v>61</v>
      </c>
      <c r="D612">
        <v>2</v>
      </c>
      <c r="E612" t="s">
        <v>46</v>
      </c>
      <c r="F612" t="s">
        <v>47</v>
      </c>
      <c r="G612" t="str">
        <f>"2026-04-13 07:35:12.640"</f>
        <v>2026-04-13 07:35:12.640</v>
      </c>
      <c r="H612" t="s">
        <v>21</v>
      </c>
    </row>
    <row r="613" spans="1:10" x14ac:dyDescent="0.25">
      <c r="A613" s="1">
        <v>9</v>
      </c>
      <c r="B613" t="s">
        <v>38</v>
      </c>
      <c r="C613">
        <v>61</v>
      </c>
      <c r="D613">
        <v>2</v>
      </c>
      <c r="E613" t="s">
        <v>46</v>
      </c>
      <c r="F613" t="s">
        <v>47</v>
      </c>
      <c r="G613" t="str">
        <f>"2026-04-13 07:35:00.841"</f>
        <v>2026-04-13 07:35:00.841</v>
      </c>
      <c r="H613" t="s">
        <v>21</v>
      </c>
      <c r="I613">
        <v>29.15</v>
      </c>
      <c r="J613" t="s">
        <v>28</v>
      </c>
    </row>
    <row r="614" spans="1:10" x14ac:dyDescent="0.25">
      <c r="A614" s="1">
        <v>10</v>
      </c>
      <c r="B614" t="s">
        <v>23</v>
      </c>
      <c r="C614">
        <v>635</v>
      </c>
      <c r="D614">
        <v>1</v>
      </c>
      <c r="E614" t="s">
        <v>24</v>
      </c>
      <c r="F614" t="s">
        <v>25</v>
      </c>
      <c r="G614" t="str">
        <f>"2026-04-13 07:24:59.040"</f>
        <v>2026-04-13 07:24:59.040</v>
      </c>
      <c r="H614" t="s">
        <v>21</v>
      </c>
    </row>
    <row r="615" spans="1:10" x14ac:dyDescent="0.25">
      <c r="A615" s="1">
        <v>11</v>
      </c>
      <c r="B615" t="s">
        <v>26</v>
      </c>
      <c r="C615">
        <v>635</v>
      </c>
      <c r="D615">
        <v>1</v>
      </c>
      <c r="E615" t="s">
        <v>24</v>
      </c>
      <c r="F615" t="s">
        <v>25</v>
      </c>
      <c r="G615" t="str">
        <f>"2026-04-13 07:21:23.540"</f>
        <v>2026-04-13 07:21:23.540</v>
      </c>
      <c r="H615" t="s">
        <v>21</v>
      </c>
      <c r="I615">
        <v>6.81</v>
      </c>
      <c r="J615" t="s">
        <v>29</v>
      </c>
    </row>
    <row r="616" spans="1:10" x14ac:dyDescent="0.25">
      <c r="A616" s="1">
        <v>12</v>
      </c>
      <c r="B616" t="s">
        <v>23</v>
      </c>
      <c r="C616">
        <v>635</v>
      </c>
      <c r="D616">
        <v>1</v>
      </c>
      <c r="E616" t="s">
        <v>24</v>
      </c>
      <c r="F616" t="s">
        <v>25</v>
      </c>
      <c r="G616" t="str">
        <f>"2026-04-12 23:39:42.540"</f>
        <v>2026-04-12 23:39:42.540</v>
      </c>
      <c r="H616" t="s">
        <v>21</v>
      </c>
    </row>
    <row r="617" spans="1:10" x14ac:dyDescent="0.25">
      <c r="A617" s="1">
        <v>13</v>
      </c>
      <c r="B617" t="s">
        <v>26</v>
      </c>
      <c r="C617">
        <v>635</v>
      </c>
      <c r="D617">
        <v>1</v>
      </c>
      <c r="E617" t="s">
        <v>24</v>
      </c>
      <c r="F617" t="s">
        <v>25</v>
      </c>
      <c r="G617" t="str">
        <f>"2026-04-12 23:33:58.540"</f>
        <v>2026-04-12 23:33:58.540</v>
      </c>
      <c r="H617" t="s">
        <v>21</v>
      </c>
      <c r="I617">
        <v>6.55</v>
      </c>
      <c r="J617" t="s">
        <v>29</v>
      </c>
    </row>
    <row r="618" spans="1:10" x14ac:dyDescent="0.25">
      <c r="A618" s="1">
        <v>14</v>
      </c>
      <c r="B618" t="s">
        <v>23</v>
      </c>
      <c r="C618">
        <v>635</v>
      </c>
      <c r="D618">
        <v>1</v>
      </c>
      <c r="E618" t="s">
        <v>24</v>
      </c>
      <c r="F618" t="s">
        <v>25</v>
      </c>
      <c r="G618" t="str">
        <f>"2026-04-12 17:46:10.340"</f>
        <v>2026-04-12 17:46:10.340</v>
      </c>
      <c r="H618" t="s">
        <v>21</v>
      </c>
    </row>
    <row r="619" spans="1:10" x14ac:dyDescent="0.25">
      <c r="A619" s="1">
        <v>15</v>
      </c>
      <c r="B619" t="s">
        <v>26</v>
      </c>
      <c r="C619">
        <v>635</v>
      </c>
      <c r="D619">
        <v>1</v>
      </c>
      <c r="E619" t="s">
        <v>24</v>
      </c>
      <c r="F619" t="s">
        <v>25</v>
      </c>
      <c r="G619" t="str">
        <f>"2026-04-12 17:42:31.840"</f>
        <v>2026-04-12 17:42:31.840</v>
      </c>
      <c r="H619" t="s">
        <v>21</v>
      </c>
      <c r="I619">
        <v>3.69</v>
      </c>
      <c r="J619" t="s">
        <v>29</v>
      </c>
    </row>
    <row r="620" spans="1:10" x14ac:dyDescent="0.25">
      <c r="A620" s="1">
        <v>16</v>
      </c>
      <c r="B620" t="s">
        <v>23</v>
      </c>
      <c r="C620">
        <v>635</v>
      </c>
      <c r="D620">
        <v>1</v>
      </c>
      <c r="E620" t="s">
        <v>24</v>
      </c>
      <c r="F620" t="s">
        <v>25</v>
      </c>
      <c r="G620" t="str">
        <f>"2026-04-12 17:33:35.340"</f>
        <v>2026-04-12 17:33:35.340</v>
      </c>
      <c r="H620" t="s">
        <v>21</v>
      </c>
    </row>
    <row r="621" spans="1:10" x14ac:dyDescent="0.25">
      <c r="A621" s="1">
        <v>17</v>
      </c>
      <c r="B621" t="s">
        <v>26</v>
      </c>
      <c r="C621">
        <v>635</v>
      </c>
      <c r="D621">
        <v>1</v>
      </c>
      <c r="E621" t="s">
        <v>24</v>
      </c>
      <c r="F621" t="s">
        <v>25</v>
      </c>
      <c r="G621" t="str">
        <f>"2026-04-12 17:29:38.340"</f>
        <v>2026-04-12 17:29:38.340</v>
      </c>
      <c r="H621" t="s">
        <v>21</v>
      </c>
      <c r="I621">
        <v>6.62</v>
      </c>
      <c r="J621" t="s">
        <v>29</v>
      </c>
    </row>
    <row r="622" spans="1:10" x14ac:dyDescent="0.25">
      <c r="A622" s="1">
        <v>18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"2026-04-11 13:55:38.729"</f>
        <v>2026-04-11 13:55:38.729</v>
      </c>
      <c r="H622" t="s">
        <v>21</v>
      </c>
      <c r="I622">
        <v>0</v>
      </c>
      <c r="J622" t="s">
        <v>22</v>
      </c>
    </row>
    <row r="623" spans="1:10" x14ac:dyDescent="0.25">
      <c r="A623" s="1">
        <v>19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"2026-04-11 10:48:20.555"</f>
        <v>2026-04-11 10:48:20.555</v>
      </c>
      <c r="H623" t="s">
        <v>21</v>
      </c>
    </row>
    <row r="624" spans="1:10" x14ac:dyDescent="0.25">
      <c r="A624" s="1">
        <v>20</v>
      </c>
      <c r="B624" t="s">
        <v>19</v>
      </c>
      <c r="C624">
        <v>706</v>
      </c>
      <c r="D624">
        <v>2</v>
      </c>
      <c r="E624" t="s">
        <v>32</v>
      </c>
      <c r="F624" t="s">
        <v>33</v>
      </c>
      <c r="G624" t="str">
        <f>"2026-04-11 10:32:50.494"</f>
        <v>2026-04-11 10:32:50.494</v>
      </c>
      <c r="H624" t="s">
        <v>21</v>
      </c>
      <c r="I624">
        <v>0</v>
      </c>
      <c r="J624" t="s">
        <v>34</v>
      </c>
    </row>
    <row r="625" spans="1:10" x14ac:dyDescent="0.25">
      <c r="A625" s="1">
        <v>21</v>
      </c>
      <c r="B625" t="s">
        <v>19</v>
      </c>
      <c r="C625">
        <v>706</v>
      </c>
      <c r="D625">
        <v>2</v>
      </c>
      <c r="E625" t="s">
        <v>32</v>
      </c>
      <c r="F625" t="s">
        <v>33</v>
      </c>
      <c r="G625" t="str">
        <f>"2026-04-11 10:19:37.494"</f>
        <v>2026-04-11 10:19:37.494</v>
      </c>
      <c r="H625" t="s">
        <v>21</v>
      </c>
      <c r="I625">
        <v>0</v>
      </c>
      <c r="J625" t="s">
        <v>34</v>
      </c>
    </row>
    <row r="626" spans="1:10" x14ac:dyDescent="0.25">
      <c r="A626" s="1">
        <v>22</v>
      </c>
      <c r="B626" t="s">
        <v>19</v>
      </c>
      <c r="C626">
        <v>706</v>
      </c>
      <c r="D626">
        <v>2</v>
      </c>
      <c r="E626" t="s">
        <v>32</v>
      </c>
      <c r="F626" t="s">
        <v>33</v>
      </c>
      <c r="G626" t="str">
        <f>"2026-04-11 10:10:42.494"</f>
        <v>2026-04-11 10:10:42.494</v>
      </c>
      <c r="H626" t="s">
        <v>21</v>
      </c>
      <c r="I626">
        <v>0</v>
      </c>
      <c r="J626" t="s">
        <v>34</v>
      </c>
    </row>
    <row r="627" spans="1:10" x14ac:dyDescent="0.25">
      <c r="A627" s="1">
        <v>23</v>
      </c>
      <c r="B627" t="s">
        <v>19</v>
      </c>
      <c r="C627">
        <v>706</v>
      </c>
      <c r="D627">
        <v>4</v>
      </c>
      <c r="E627" t="s">
        <v>32</v>
      </c>
      <c r="F627" t="s">
        <v>48</v>
      </c>
      <c r="G627" t="str">
        <f>"2026-04-11 10:09:33.664"</f>
        <v>2026-04-11 10:09:33.664</v>
      </c>
      <c r="H627" t="s">
        <v>21</v>
      </c>
      <c r="I627">
        <v>0</v>
      </c>
      <c r="J627" t="s">
        <v>34</v>
      </c>
    </row>
    <row r="628" spans="1:10" x14ac:dyDescent="0.25">
      <c r="A628" s="1">
        <v>24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"2026-04-11 10:01:58.554"</f>
        <v>2026-04-11 10:01:58.554</v>
      </c>
      <c r="H628" t="s">
        <v>21</v>
      </c>
      <c r="I628">
        <v>0</v>
      </c>
      <c r="J628" t="s">
        <v>22</v>
      </c>
    </row>
    <row r="629" spans="1:10" x14ac:dyDescent="0.25">
      <c r="A629" s="1">
        <v>25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"2026-04-11 09:03:31.555"</f>
        <v>2026-04-11 09:03:31.555</v>
      </c>
      <c r="H629" t="s">
        <v>21</v>
      </c>
      <c r="I629">
        <v>0</v>
      </c>
      <c r="J629" t="s">
        <v>22</v>
      </c>
    </row>
    <row r="630" spans="1:10" x14ac:dyDescent="0.25">
      <c r="A630" s="1">
        <v>26</v>
      </c>
      <c r="B630" t="s">
        <v>23</v>
      </c>
      <c r="C630">
        <v>635</v>
      </c>
      <c r="D630">
        <v>1</v>
      </c>
      <c r="E630" t="s">
        <v>24</v>
      </c>
      <c r="F630" t="s">
        <v>25</v>
      </c>
      <c r="G630" t="str">
        <f>"2026-04-10 14:13:46.897"</f>
        <v>2026-04-10 14:13:46.897</v>
      </c>
      <c r="H630" t="s">
        <v>21</v>
      </c>
    </row>
    <row r="631" spans="1:10" x14ac:dyDescent="0.25">
      <c r="A631" s="1">
        <v>27</v>
      </c>
      <c r="B631" t="s">
        <v>26</v>
      </c>
      <c r="C631">
        <v>635</v>
      </c>
      <c r="D631">
        <v>1</v>
      </c>
      <c r="E631" t="s">
        <v>24</v>
      </c>
      <c r="F631" t="s">
        <v>25</v>
      </c>
      <c r="G631" t="str">
        <f>"2026-04-10 14:08:04.497"</f>
        <v>2026-04-10 14:08:04.497</v>
      </c>
      <c r="H631" t="s">
        <v>21</v>
      </c>
      <c r="I631">
        <v>5.8</v>
      </c>
      <c r="J631" t="s">
        <v>29</v>
      </c>
    </row>
    <row r="632" spans="1:10" x14ac:dyDescent="0.25">
      <c r="A632" s="1">
        <v>28</v>
      </c>
      <c r="B632" t="s">
        <v>23</v>
      </c>
      <c r="C632">
        <v>61</v>
      </c>
      <c r="D632">
        <v>2</v>
      </c>
      <c r="E632" t="s">
        <v>46</v>
      </c>
      <c r="F632" t="s">
        <v>47</v>
      </c>
      <c r="G632" t="str">
        <f>"2026-04-10 07:35:41.798"</f>
        <v>2026-04-10 07:35:41.798</v>
      </c>
      <c r="H632" t="s">
        <v>21</v>
      </c>
    </row>
    <row r="633" spans="1:10" x14ac:dyDescent="0.25">
      <c r="A633" s="1">
        <v>29</v>
      </c>
      <c r="B633" t="s">
        <v>38</v>
      </c>
      <c r="C633">
        <v>61</v>
      </c>
      <c r="D633">
        <v>2</v>
      </c>
      <c r="E633" t="s">
        <v>46</v>
      </c>
      <c r="F633" t="s">
        <v>47</v>
      </c>
      <c r="G633" t="str">
        <f>"2026-04-10 07:35:29.098"</f>
        <v>2026-04-10 07:35:29.098</v>
      </c>
      <c r="H633" t="s">
        <v>21</v>
      </c>
      <c r="I633">
        <v>30.34</v>
      </c>
      <c r="J633" t="s">
        <v>28</v>
      </c>
    </row>
    <row r="634" spans="1:10" x14ac:dyDescent="0.25">
      <c r="A634" s="1">
        <v>30</v>
      </c>
      <c r="B634" t="s">
        <v>23</v>
      </c>
      <c r="C634">
        <v>619</v>
      </c>
      <c r="D634">
        <v>1</v>
      </c>
      <c r="E634" t="s">
        <v>51</v>
      </c>
      <c r="F634" t="s">
        <v>25</v>
      </c>
      <c r="G634" t="str">
        <f>"2026-04-10 01:05:10.697"</f>
        <v>2026-04-10 01:05:10.697</v>
      </c>
      <c r="H634" t="s">
        <v>52</v>
      </c>
    </row>
    <row r="635" spans="1:10" x14ac:dyDescent="0.25">
      <c r="A635" s="1">
        <v>31</v>
      </c>
      <c r="B635" t="s">
        <v>26</v>
      </c>
      <c r="C635">
        <v>619</v>
      </c>
      <c r="D635">
        <v>1</v>
      </c>
      <c r="E635" t="s">
        <v>51</v>
      </c>
      <c r="F635" t="s">
        <v>25</v>
      </c>
      <c r="G635" t="str">
        <f>"2026-04-10 01:05:04.044"</f>
        <v>2026-04-10 01:05:04.044</v>
      </c>
      <c r="H635" t="s">
        <v>52</v>
      </c>
      <c r="I635">
        <v>0</v>
      </c>
      <c r="J635" t="s">
        <v>34</v>
      </c>
    </row>
    <row r="636" spans="1:10" x14ac:dyDescent="0.25">
      <c r="A636" s="1">
        <v>32</v>
      </c>
      <c r="B636" t="s">
        <v>19</v>
      </c>
      <c r="C636">
        <v>706</v>
      </c>
      <c r="D636">
        <v>4</v>
      </c>
      <c r="E636" t="s">
        <v>32</v>
      </c>
      <c r="F636" t="s">
        <v>48</v>
      </c>
      <c r="G636" t="str">
        <f>"2026-04-10 01:04:50.637"</f>
        <v>2026-04-10 01:04:50.637</v>
      </c>
      <c r="H636" t="s">
        <v>21</v>
      </c>
      <c r="I636">
        <v>0</v>
      </c>
      <c r="J636" t="s">
        <v>34</v>
      </c>
    </row>
    <row r="637" spans="1:10" x14ac:dyDescent="0.25">
      <c r="A637" s="1">
        <v>33</v>
      </c>
      <c r="B637" t="s">
        <v>19</v>
      </c>
      <c r="C637">
        <v>706</v>
      </c>
      <c r="D637">
        <v>3</v>
      </c>
      <c r="E637" t="s">
        <v>32</v>
      </c>
      <c r="F637" t="s">
        <v>39</v>
      </c>
      <c r="G637" t="str">
        <f>"2026-04-10 01:04:41.887"</f>
        <v>2026-04-10 01:04:41.887</v>
      </c>
      <c r="H637" t="s">
        <v>21</v>
      </c>
      <c r="I637">
        <v>0</v>
      </c>
      <c r="J637" t="s">
        <v>34</v>
      </c>
    </row>
    <row r="638" spans="1:10" x14ac:dyDescent="0.25">
      <c r="A638" s="1">
        <v>34</v>
      </c>
      <c r="B638" t="s">
        <v>23</v>
      </c>
      <c r="C638">
        <v>619</v>
      </c>
      <c r="D638">
        <v>1</v>
      </c>
      <c r="E638" t="s">
        <v>51</v>
      </c>
      <c r="F638" t="s">
        <v>25</v>
      </c>
      <c r="G638" t="str">
        <f>"2026-04-10 01:04:16.597"</f>
        <v>2026-04-10 01:04:16.597</v>
      </c>
      <c r="H638" t="s">
        <v>52</v>
      </c>
    </row>
    <row r="639" spans="1:10" x14ac:dyDescent="0.25">
      <c r="A639" s="1">
        <v>35</v>
      </c>
      <c r="B639" t="s">
        <v>26</v>
      </c>
      <c r="C639">
        <v>619</v>
      </c>
      <c r="D639">
        <v>1</v>
      </c>
      <c r="E639" t="s">
        <v>51</v>
      </c>
      <c r="F639" t="s">
        <v>25</v>
      </c>
      <c r="G639" t="str">
        <f>"2026-04-10 01:04:03.744"</f>
        <v>2026-04-10 01:04:03.744</v>
      </c>
      <c r="H639" t="s">
        <v>52</v>
      </c>
      <c r="I639">
        <v>0</v>
      </c>
      <c r="J639" t="s">
        <v>27</v>
      </c>
    </row>
    <row r="640" spans="1:10" x14ac:dyDescent="0.25">
      <c r="A640" s="1">
        <v>36</v>
      </c>
      <c r="B640" t="s">
        <v>23</v>
      </c>
      <c r="C640">
        <v>635</v>
      </c>
      <c r="D640">
        <v>1</v>
      </c>
      <c r="E640" t="s">
        <v>24</v>
      </c>
      <c r="F640" t="s">
        <v>25</v>
      </c>
      <c r="G640" t="str">
        <f>"2026-04-10 00:11:02.097"</f>
        <v>2026-04-10 00:11:02.097</v>
      </c>
      <c r="H640" t="s">
        <v>21</v>
      </c>
    </row>
    <row r="641" spans="1:10" x14ac:dyDescent="0.25">
      <c r="A641" s="1">
        <v>37</v>
      </c>
      <c r="B641" t="s">
        <v>26</v>
      </c>
      <c r="C641">
        <v>635</v>
      </c>
      <c r="D641">
        <v>1</v>
      </c>
      <c r="E641" t="s">
        <v>24</v>
      </c>
      <c r="F641" t="s">
        <v>25</v>
      </c>
      <c r="G641" t="str">
        <f>"2026-04-10 00:07:16.097"</f>
        <v>2026-04-10 00:07:16.097</v>
      </c>
      <c r="H641" t="s">
        <v>21</v>
      </c>
      <c r="I641">
        <v>4.38</v>
      </c>
      <c r="J641" t="s">
        <v>29</v>
      </c>
    </row>
    <row r="642" spans="1:10" x14ac:dyDescent="0.25">
      <c r="A642" s="1">
        <v>38</v>
      </c>
      <c r="B642" t="s">
        <v>23</v>
      </c>
      <c r="C642">
        <v>635</v>
      </c>
      <c r="D642">
        <v>1</v>
      </c>
      <c r="E642" t="s">
        <v>24</v>
      </c>
      <c r="F642" t="s">
        <v>25</v>
      </c>
      <c r="G642" t="str">
        <f>"2026-04-09 07:23:15.797"</f>
        <v>2026-04-09 07:23:15.797</v>
      </c>
      <c r="H642" t="s">
        <v>21</v>
      </c>
    </row>
    <row r="643" spans="1:10" x14ac:dyDescent="0.25">
      <c r="A643" s="1">
        <v>39</v>
      </c>
      <c r="B643" t="s">
        <v>26</v>
      </c>
      <c r="C643">
        <v>635</v>
      </c>
      <c r="D643">
        <v>1</v>
      </c>
      <c r="E643" t="s">
        <v>24</v>
      </c>
      <c r="F643" t="s">
        <v>25</v>
      </c>
      <c r="G643" t="str">
        <f>"2026-04-09 07:19:53.797"</f>
        <v>2026-04-09 07:19:53.797</v>
      </c>
      <c r="H643" t="s">
        <v>21</v>
      </c>
      <c r="I643">
        <v>5.57</v>
      </c>
      <c r="J643" t="s">
        <v>29</v>
      </c>
    </row>
    <row r="644" spans="1:10" x14ac:dyDescent="0.25">
      <c r="A644" s="1">
        <v>42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"2026-04-08 21:45:13.537"</f>
        <v>2026-04-08 21:45:13.537</v>
      </c>
      <c r="H644" t="s">
        <v>21</v>
      </c>
    </row>
    <row r="645" spans="1:10" x14ac:dyDescent="0.25">
      <c r="A645" s="1">
        <v>44</v>
      </c>
      <c r="B645" t="s">
        <v>23</v>
      </c>
      <c r="C645">
        <v>635</v>
      </c>
      <c r="D645">
        <v>1</v>
      </c>
      <c r="E645" t="s">
        <v>24</v>
      </c>
      <c r="F645" t="s">
        <v>25</v>
      </c>
      <c r="G645" t="str">
        <f>"2026-04-07 12:18:49.496"</f>
        <v>2026-04-07 12:18:49.496</v>
      </c>
      <c r="H645" t="s">
        <v>21</v>
      </c>
    </row>
    <row r="646" spans="1:10" x14ac:dyDescent="0.25">
      <c r="A646" s="1">
        <v>45</v>
      </c>
      <c r="B646" t="s">
        <v>26</v>
      </c>
      <c r="C646">
        <v>635</v>
      </c>
      <c r="D646">
        <v>1</v>
      </c>
      <c r="E646" t="s">
        <v>24</v>
      </c>
      <c r="F646" t="s">
        <v>25</v>
      </c>
      <c r="G646" t="str">
        <f>"2026-04-07 12:11:04.997"</f>
        <v>2026-04-07 12:11:04.997</v>
      </c>
      <c r="H646" t="s">
        <v>21</v>
      </c>
      <c r="I646">
        <v>1.82</v>
      </c>
      <c r="J646" t="s">
        <v>29</v>
      </c>
    </row>
    <row r="647" spans="1:10" x14ac:dyDescent="0.25">
      <c r="A647" s="1">
        <v>46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"2026-04-07 05:01:55.547"</f>
        <v>2026-04-07 05:01:55.547</v>
      </c>
      <c r="H647" t="s">
        <v>21</v>
      </c>
    </row>
    <row r="648" spans="1:10" x14ac:dyDescent="0.25">
      <c r="A648" s="1">
        <v>47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"2026-04-07 04:25:43.563"</f>
        <v>2026-04-07 04:25:43.563</v>
      </c>
      <c r="H648" t="s">
        <v>21</v>
      </c>
    </row>
    <row r="649" spans="1:10" x14ac:dyDescent="0.25">
      <c r="A649" s="1">
        <v>48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"2026-04-07 01:22:58.554"</f>
        <v>2026-04-07 01:22:58.554</v>
      </c>
      <c r="H649" t="s">
        <v>21</v>
      </c>
      <c r="I649">
        <v>0</v>
      </c>
      <c r="J649" t="s">
        <v>22</v>
      </c>
    </row>
    <row r="650" spans="1:10" x14ac:dyDescent="0.25">
      <c r="A650" s="1">
        <v>49</v>
      </c>
      <c r="B650" t="s">
        <v>23</v>
      </c>
      <c r="C650">
        <v>619</v>
      </c>
      <c r="D650">
        <v>1</v>
      </c>
      <c r="E650" t="s">
        <v>51</v>
      </c>
      <c r="F650" t="s">
        <v>25</v>
      </c>
      <c r="G650" t="str">
        <f>"2026-04-07 01:20:16.804"</f>
        <v>2026-04-07 01:20:16.804</v>
      </c>
      <c r="H650" t="s">
        <v>52</v>
      </c>
    </row>
    <row r="651" spans="1:10" x14ac:dyDescent="0.25">
      <c r="A651" s="1">
        <v>50</v>
      </c>
      <c r="B651" t="s">
        <v>26</v>
      </c>
      <c r="C651">
        <v>619</v>
      </c>
      <c r="D651">
        <v>1</v>
      </c>
      <c r="E651" t="s">
        <v>51</v>
      </c>
      <c r="F651" t="s">
        <v>25</v>
      </c>
      <c r="G651" t="str">
        <f>"2026-04-07 01:20:10.104"</f>
        <v>2026-04-07 01:20:10.104</v>
      </c>
      <c r="H651" t="s">
        <v>52</v>
      </c>
      <c r="I651">
        <v>0</v>
      </c>
      <c r="J651" t="s">
        <v>27</v>
      </c>
    </row>
    <row r="652" spans="1:10" x14ac:dyDescent="0.25">
      <c r="A652" s="1">
        <v>51</v>
      </c>
      <c r="B652" t="s">
        <v>23</v>
      </c>
      <c r="C652">
        <v>635</v>
      </c>
      <c r="D652">
        <v>1</v>
      </c>
      <c r="E652" t="s">
        <v>24</v>
      </c>
      <c r="F652" t="s">
        <v>25</v>
      </c>
      <c r="G652" t="str">
        <f>"2026-04-07 00:22:33.004"</f>
        <v>2026-04-07 00:22:33.004</v>
      </c>
      <c r="H652" t="s">
        <v>21</v>
      </c>
    </row>
    <row r="653" spans="1:10" x14ac:dyDescent="0.25">
      <c r="A653" s="1">
        <v>52</v>
      </c>
      <c r="B653" t="s">
        <v>26</v>
      </c>
      <c r="C653">
        <v>635</v>
      </c>
      <c r="D653">
        <v>1</v>
      </c>
      <c r="E653" t="s">
        <v>24</v>
      </c>
      <c r="F653" t="s">
        <v>25</v>
      </c>
      <c r="G653" t="str">
        <f>"2026-04-07 00:17:18.005"</f>
        <v>2026-04-07 00:17:18.005</v>
      </c>
      <c r="H653" t="s">
        <v>21</v>
      </c>
      <c r="I653">
        <v>0.43</v>
      </c>
      <c r="J653" t="s">
        <v>29</v>
      </c>
    </row>
    <row r="654" spans="1:10" x14ac:dyDescent="0.25">
      <c r="A654" s="1">
        <v>53</v>
      </c>
      <c r="B654" t="s">
        <v>19</v>
      </c>
      <c r="C654">
        <v>706</v>
      </c>
      <c r="D654">
        <v>4</v>
      </c>
      <c r="E654" t="s">
        <v>32</v>
      </c>
      <c r="F654" t="s">
        <v>48</v>
      </c>
      <c r="G654" t="str">
        <f>"2026-04-06 23:12:11.355"</f>
        <v>2026-04-06 23:12:11.355</v>
      </c>
      <c r="H654" t="s">
        <v>21</v>
      </c>
      <c r="I654">
        <v>0</v>
      </c>
      <c r="J654" t="s">
        <v>34</v>
      </c>
    </row>
    <row r="655" spans="1:10" x14ac:dyDescent="0.25">
      <c r="A655" s="1">
        <v>54</v>
      </c>
      <c r="B655" t="s">
        <v>19</v>
      </c>
      <c r="C655">
        <v>706</v>
      </c>
      <c r="D655">
        <v>3</v>
      </c>
      <c r="E655" t="s">
        <v>32</v>
      </c>
      <c r="F655" t="s">
        <v>39</v>
      </c>
      <c r="G655" t="str">
        <f>"2026-04-06 23:12:02.465"</f>
        <v>2026-04-06 23:12:02.465</v>
      </c>
      <c r="H655" t="s">
        <v>21</v>
      </c>
      <c r="I655">
        <v>0</v>
      </c>
      <c r="J655" t="s">
        <v>34</v>
      </c>
    </row>
    <row r="656" spans="1:10" x14ac:dyDescent="0.25">
      <c r="A656" s="1">
        <v>55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"2026-04-06 23:11:46.535"</f>
        <v>2026-04-06 23:11:46.535</v>
      </c>
      <c r="H656" t="s">
        <v>21</v>
      </c>
      <c r="I656">
        <v>0</v>
      </c>
      <c r="J656" t="s">
        <v>22</v>
      </c>
    </row>
    <row r="657" spans="1:10" x14ac:dyDescent="0.25">
      <c r="A657" s="1">
        <v>56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"2026-04-06 23:09:03.574"</f>
        <v>2026-04-06 23:09:03.574</v>
      </c>
      <c r="H657" t="s">
        <v>21</v>
      </c>
    </row>
    <row r="658" spans="1:10" x14ac:dyDescent="0.25">
      <c r="A658" s="1">
        <v>57</v>
      </c>
      <c r="B658" t="s">
        <v>23</v>
      </c>
      <c r="C658">
        <v>635</v>
      </c>
      <c r="D658">
        <v>1</v>
      </c>
      <c r="E658" t="s">
        <v>24</v>
      </c>
      <c r="F658" t="s">
        <v>25</v>
      </c>
      <c r="G658" t="str">
        <f>"2026-04-06 19:34:06.535"</f>
        <v>2026-04-06 19:34:06.535</v>
      </c>
      <c r="H658" t="s">
        <v>21</v>
      </c>
    </row>
    <row r="659" spans="1:10" x14ac:dyDescent="0.25">
      <c r="A659" s="1">
        <v>58</v>
      </c>
      <c r="B659" t="s">
        <v>26</v>
      </c>
      <c r="C659">
        <v>635</v>
      </c>
      <c r="D659">
        <v>1</v>
      </c>
      <c r="E659" t="s">
        <v>24</v>
      </c>
      <c r="F659" t="s">
        <v>25</v>
      </c>
      <c r="G659" t="str">
        <f>"2026-04-06 19:30:11.036"</f>
        <v>2026-04-06 19:30:11.036</v>
      </c>
      <c r="H659" t="s">
        <v>21</v>
      </c>
      <c r="I659">
        <v>4.5599999999999996</v>
      </c>
      <c r="J659" t="s">
        <v>28</v>
      </c>
    </row>
    <row r="660" spans="1:10" x14ac:dyDescent="0.25">
      <c r="A660" s="1">
        <v>59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"2026-04-05 17:03:16.535"</f>
        <v>2026-04-05 17:03:16.535</v>
      </c>
      <c r="H660" t="s">
        <v>21</v>
      </c>
    </row>
    <row r="661" spans="1:10" x14ac:dyDescent="0.25">
      <c r="A661" s="1">
        <v>60</v>
      </c>
      <c r="B661" t="s">
        <v>19</v>
      </c>
      <c r="C661">
        <v>706</v>
      </c>
      <c r="D661">
        <v>4</v>
      </c>
      <c r="E661" t="s">
        <v>32</v>
      </c>
      <c r="F661" t="s">
        <v>48</v>
      </c>
      <c r="G661" t="str">
        <f>"2026-04-05 16:46:57.573"</f>
        <v>2026-04-05 16:46:57.573</v>
      </c>
      <c r="H661" t="s">
        <v>21</v>
      </c>
      <c r="I661">
        <v>0</v>
      </c>
      <c r="J661" t="s">
        <v>34</v>
      </c>
    </row>
    <row r="662" spans="1:10" x14ac:dyDescent="0.25">
      <c r="A662" s="1">
        <v>61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"2026-04-05 16:45:20.533"</f>
        <v>2026-04-05 16:45:20.533</v>
      </c>
      <c r="H662" t="s">
        <v>21</v>
      </c>
    </row>
    <row r="663" spans="1:10" x14ac:dyDescent="0.25">
      <c r="A663" s="1">
        <v>62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"2026-04-05 16:18:15.536"</f>
        <v>2026-04-05 16:18:15.536</v>
      </c>
      <c r="H663" t="s">
        <v>21</v>
      </c>
      <c r="I663">
        <v>0</v>
      </c>
      <c r="J663" t="s">
        <v>22</v>
      </c>
    </row>
    <row r="664" spans="1:10" x14ac:dyDescent="0.25">
      <c r="A664" s="1">
        <v>63</v>
      </c>
      <c r="B664" t="s">
        <v>19</v>
      </c>
      <c r="C664">
        <v>706</v>
      </c>
      <c r="D664">
        <v>2</v>
      </c>
      <c r="E664" t="s">
        <v>32</v>
      </c>
      <c r="F664" t="s">
        <v>33</v>
      </c>
      <c r="G664" t="str">
        <f>"2026-04-05 16:04:31.777"</f>
        <v>2026-04-05 16:04:31.777</v>
      </c>
      <c r="H664" t="s">
        <v>21</v>
      </c>
      <c r="I664">
        <v>0</v>
      </c>
      <c r="J664" t="s">
        <v>34</v>
      </c>
    </row>
    <row r="665" spans="1:10" x14ac:dyDescent="0.25">
      <c r="A665" s="1">
        <v>64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"2026-04-05 14:46:30.547"</f>
        <v>2026-04-05 14:46:30.547</v>
      </c>
      <c r="H665" t="s">
        <v>21</v>
      </c>
      <c r="I665">
        <v>0</v>
      </c>
      <c r="J665" t="s">
        <v>22</v>
      </c>
    </row>
    <row r="666" spans="1:10" x14ac:dyDescent="0.25">
      <c r="A666" s="1">
        <v>65</v>
      </c>
      <c r="B666" t="s">
        <v>19</v>
      </c>
      <c r="C666">
        <v>706</v>
      </c>
      <c r="D666">
        <v>3</v>
      </c>
      <c r="E666" t="s">
        <v>32</v>
      </c>
      <c r="F666" t="s">
        <v>39</v>
      </c>
      <c r="G666" t="str">
        <f>"2026-04-05 13:48:21.944"</f>
        <v>2026-04-05 13:48:21.944</v>
      </c>
      <c r="H666" t="s">
        <v>21</v>
      </c>
      <c r="I666">
        <v>0</v>
      </c>
      <c r="J666" t="s">
        <v>34</v>
      </c>
    </row>
    <row r="667" spans="1:10" x14ac:dyDescent="0.25">
      <c r="A667" s="1">
        <v>66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"2026-04-05 13:47:51.534"</f>
        <v>2026-04-05 13:47:51.534</v>
      </c>
      <c r="H667" t="s">
        <v>21</v>
      </c>
      <c r="I667">
        <v>0</v>
      </c>
      <c r="J667" t="s">
        <v>22</v>
      </c>
    </row>
    <row r="668" spans="1:10" x14ac:dyDescent="0.25">
      <c r="A668" s="1">
        <v>67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"2026-04-05 12:46:59.535"</f>
        <v>2026-04-05 12:46:59.535</v>
      </c>
      <c r="H668" t="s">
        <v>21</v>
      </c>
      <c r="I668">
        <v>0</v>
      </c>
      <c r="J668" t="s">
        <v>22</v>
      </c>
    </row>
    <row r="669" spans="1:10" x14ac:dyDescent="0.25">
      <c r="A669" s="1">
        <v>68</v>
      </c>
      <c r="B669" t="s">
        <v>23</v>
      </c>
      <c r="C669">
        <v>635</v>
      </c>
      <c r="D669">
        <v>1</v>
      </c>
      <c r="E669" t="s">
        <v>24</v>
      </c>
      <c r="F669" t="s">
        <v>25</v>
      </c>
      <c r="G669" t="str">
        <f>"2026-04-03 22:19:33.753"</f>
        <v>2026-04-03 22:19:33.753</v>
      </c>
      <c r="H669" t="s">
        <v>21</v>
      </c>
    </row>
    <row r="670" spans="1:10" x14ac:dyDescent="0.25">
      <c r="A670" s="1">
        <v>69</v>
      </c>
      <c r="B670" t="s">
        <v>26</v>
      </c>
      <c r="C670">
        <v>635</v>
      </c>
      <c r="D670">
        <v>1</v>
      </c>
      <c r="E670" t="s">
        <v>24</v>
      </c>
      <c r="F670" t="s">
        <v>25</v>
      </c>
      <c r="G670" t="str">
        <f>"2026-04-03 22:14:24.853"</f>
        <v>2026-04-03 22:14:24.853</v>
      </c>
      <c r="H670" t="s">
        <v>21</v>
      </c>
      <c r="I670">
        <v>0.28000000000000003</v>
      </c>
      <c r="J670" t="s">
        <v>29</v>
      </c>
    </row>
    <row r="671" spans="1:10" x14ac:dyDescent="0.25">
      <c r="A671" s="1">
        <v>70</v>
      </c>
      <c r="B671" t="s">
        <v>23</v>
      </c>
      <c r="C671">
        <v>635</v>
      </c>
      <c r="D671">
        <v>1</v>
      </c>
      <c r="E671" t="s">
        <v>24</v>
      </c>
      <c r="F671" t="s">
        <v>25</v>
      </c>
      <c r="G671" t="str">
        <f>"2026-04-03 21:13:46.953"</f>
        <v>2026-04-03 21:13:46.953</v>
      </c>
      <c r="H671" t="s">
        <v>21</v>
      </c>
    </row>
    <row r="672" spans="1:10" x14ac:dyDescent="0.25">
      <c r="A672" s="1">
        <v>71</v>
      </c>
      <c r="B672" t="s">
        <v>26</v>
      </c>
      <c r="C672">
        <v>635</v>
      </c>
      <c r="D672">
        <v>1</v>
      </c>
      <c r="E672" t="s">
        <v>24</v>
      </c>
      <c r="F672" t="s">
        <v>25</v>
      </c>
      <c r="G672" t="str">
        <f>"2026-04-03 21:08:15.453"</f>
        <v>2026-04-03 21:08:15.453</v>
      </c>
      <c r="H672" t="s">
        <v>21</v>
      </c>
      <c r="I672">
        <v>2.95</v>
      </c>
      <c r="J672" t="s">
        <v>27</v>
      </c>
    </row>
    <row r="673" spans="1:10" x14ac:dyDescent="0.25">
      <c r="A673" s="1">
        <v>72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"2026-04-02 00:19:40.533"</f>
        <v>2026-04-02 00:19:40.533</v>
      </c>
      <c r="H673" t="s">
        <v>21</v>
      </c>
      <c r="I673">
        <v>0</v>
      </c>
      <c r="J673" t="s">
        <v>22</v>
      </c>
    </row>
    <row r="674" spans="1:10" x14ac:dyDescent="0.25">
      <c r="A674" s="1">
        <v>73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"2026-04-02 00:09:55.526"</f>
        <v>2026-04-02 00:09:55.526</v>
      </c>
      <c r="H674" t="s">
        <v>21</v>
      </c>
      <c r="I674">
        <v>0</v>
      </c>
      <c r="J674" t="s">
        <v>22</v>
      </c>
    </row>
    <row r="675" spans="1:10" x14ac:dyDescent="0.25">
      <c r="A675" s="1">
        <v>74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"2026-04-01 23:59:20.525"</f>
        <v>2026-04-01 23:59:20.525</v>
      </c>
      <c r="H675" t="s">
        <v>21</v>
      </c>
    </row>
    <row r="676" spans="1:10" x14ac:dyDescent="0.25">
      <c r="A676" s="1">
        <v>75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"2026-04-01 23:54:58.517"</f>
        <v>2026-04-01 23:54:58.517</v>
      </c>
      <c r="H676" t="s">
        <v>21</v>
      </c>
      <c r="I676">
        <v>0</v>
      </c>
      <c r="J676" t="s">
        <v>22</v>
      </c>
    </row>
    <row r="677" spans="1:10" x14ac:dyDescent="0.25">
      <c r="A677" s="1">
        <v>76</v>
      </c>
      <c r="B677" t="s">
        <v>19</v>
      </c>
      <c r="C677">
        <v>706</v>
      </c>
      <c r="D677">
        <v>3</v>
      </c>
      <c r="E677" t="s">
        <v>32</v>
      </c>
      <c r="F677" t="s">
        <v>39</v>
      </c>
      <c r="G677" t="str">
        <f>"2026-04-01 23:48:44.331"</f>
        <v>2026-04-01 23:48:44.331</v>
      </c>
      <c r="H677" t="s">
        <v>21</v>
      </c>
      <c r="I677">
        <v>0</v>
      </c>
      <c r="J677" t="s">
        <v>34</v>
      </c>
    </row>
    <row r="678" spans="1:10" x14ac:dyDescent="0.25">
      <c r="A678" s="1">
        <v>77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"2026-04-01 23:47:15.541"</f>
        <v>2026-04-01 23:47:15.541</v>
      </c>
      <c r="H678" t="s">
        <v>21</v>
      </c>
      <c r="I678">
        <v>0</v>
      </c>
      <c r="J678" t="s">
        <v>22</v>
      </c>
    </row>
    <row r="679" spans="1:10" x14ac:dyDescent="0.25">
      <c r="A679" s="1">
        <v>78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"2026-04-01 23:05:49.532"</f>
        <v>2026-04-01 23:05:49.532</v>
      </c>
      <c r="H679" t="s">
        <v>21</v>
      </c>
    </row>
    <row r="680" spans="1:10" x14ac:dyDescent="0.25">
      <c r="A680" s="1">
        <v>79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"2026-04-01 22:47:28.658"</f>
        <v>2026-04-01 22:47:28.658</v>
      </c>
      <c r="H680" t="s">
        <v>21</v>
      </c>
    </row>
    <row r="681" spans="1:10" x14ac:dyDescent="0.25">
      <c r="A681" s="1">
        <v>80</v>
      </c>
      <c r="B681" t="s">
        <v>19</v>
      </c>
      <c r="C681">
        <v>706</v>
      </c>
      <c r="D681">
        <v>3</v>
      </c>
      <c r="E681" t="s">
        <v>32</v>
      </c>
      <c r="F681" t="s">
        <v>39</v>
      </c>
      <c r="G681" t="str">
        <f>"2026-04-01 22:45:26.544"</f>
        <v>2026-04-01 22:45:26.544</v>
      </c>
      <c r="H681" t="s">
        <v>21</v>
      </c>
      <c r="I681">
        <v>0</v>
      </c>
      <c r="J681" t="s">
        <v>34</v>
      </c>
    </row>
    <row r="682" spans="1:10" x14ac:dyDescent="0.25">
      <c r="A682" s="1">
        <v>81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"2026-04-01 19:37:23.544"</f>
        <v>2026-04-01 19:37:23.544</v>
      </c>
      <c r="H682" t="s">
        <v>21</v>
      </c>
    </row>
    <row r="683" spans="1:10" x14ac:dyDescent="0.25">
      <c r="A683" s="1">
        <v>82</v>
      </c>
      <c r="B683" t="s">
        <v>19</v>
      </c>
      <c r="C683">
        <v>706</v>
      </c>
      <c r="D683">
        <v>4</v>
      </c>
      <c r="E683" t="s">
        <v>32</v>
      </c>
      <c r="F683" t="s">
        <v>48</v>
      </c>
      <c r="G683" t="str">
        <f>"2026-04-01 05:53:48.967"</f>
        <v>2026-04-01 05:53:48.967</v>
      </c>
      <c r="H683" t="s">
        <v>21</v>
      </c>
      <c r="I683">
        <v>0</v>
      </c>
      <c r="J683" t="s">
        <v>34</v>
      </c>
    </row>
    <row r="684" spans="1:10" x14ac:dyDescent="0.25">
      <c r="A684" s="1">
        <v>83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"2026-04-01 05:53:13.667"</f>
        <v>2026-04-01 05:53:13.667</v>
      </c>
      <c r="H684" t="s">
        <v>21</v>
      </c>
    </row>
    <row r="685" spans="1:10" x14ac:dyDescent="0.25">
      <c r="A685" s="1">
        <v>84</v>
      </c>
      <c r="B685" t="s">
        <v>19</v>
      </c>
      <c r="C685">
        <v>706</v>
      </c>
      <c r="D685">
        <v>4</v>
      </c>
      <c r="E685" t="s">
        <v>32</v>
      </c>
      <c r="F685" t="s">
        <v>48</v>
      </c>
      <c r="G685" t="str">
        <f>"2026-04-01 05:26:21.696"</f>
        <v>2026-04-01 05:26:21.696</v>
      </c>
      <c r="H685" t="s">
        <v>21</v>
      </c>
      <c r="I685">
        <v>0</v>
      </c>
      <c r="J685" t="s">
        <v>34</v>
      </c>
    </row>
    <row r="686" spans="1:10" x14ac:dyDescent="0.25">
      <c r="A686" s="1">
        <v>85</v>
      </c>
      <c r="B686" t="s">
        <v>19</v>
      </c>
      <c r="C686">
        <v>706</v>
      </c>
      <c r="D686">
        <v>3</v>
      </c>
      <c r="E686" t="s">
        <v>32</v>
      </c>
      <c r="F686" t="s">
        <v>39</v>
      </c>
      <c r="G686" t="str">
        <f>"2026-04-01 05:26:14.946"</f>
        <v>2026-04-01 05:26:14.946</v>
      </c>
      <c r="H686" t="s">
        <v>21</v>
      </c>
      <c r="I686">
        <v>0</v>
      </c>
      <c r="J686" t="s">
        <v>34</v>
      </c>
    </row>
    <row r="687" spans="1:10" x14ac:dyDescent="0.25">
      <c r="A687" s="1">
        <v>86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"2026-04-01 04:12:00.566"</f>
        <v>2026-04-01 04:12:00.566</v>
      </c>
      <c r="H687" t="s">
        <v>21</v>
      </c>
      <c r="I687">
        <v>0</v>
      </c>
      <c r="J687" t="s">
        <v>22</v>
      </c>
    </row>
    <row r="688" spans="1:10" x14ac:dyDescent="0.25">
      <c r="A688" s="1">
        <v>87</v>
      </c>
      <c r="B688" t="s">
        <v>19</v>
      </c>
      <c r="C688">
        <v>706</v>
      </c>
      <c r="D688">
        <v>4</v>
      </c>
      <c r="E688" t="s">
        <v>32</v>
      </c>
      <c r="F688" t="s">
        <v>48</v>
      </c>
      <c r="G688" t="str">
        <f>"2026-03-31 20:03:31.905"</f>
        <v>2026-03-31 20:03:31.905</v>
      </c>
      <c r="H688" t="s">
        <v>21</v>
      </c>
      <c r="I688">
        <v>0</v>
      </c>
      <c r="J688" t="s">
        <v>34</v>
      </c>
    </row>
    <row r="689" spans="1:10" x14ac:dyDescent="0.25">
      <c r="A689" s="1">
        <v>88</v>
      </c>
      <c r="B689" t="s">
        <v>19</v>
      </c>
      <c r="C689">
        <v>706</v>
      </c>
      <c r="D689">
        <v>3</v>
      </c>
      <c r="E689" t="s">
        <v>32</v>
      </c>
      <c r="F689" t="s">
        <v>39</v>
      </c>
      <c r="G689" t="str">
        <f>"2026-03-31 20:03:12.975"</f>
        <v>2026-03-31 20:03:12.975</v>
      </c>
      <c r="H689" t="s">
        <v>21</v>
      </c>
      <c r="I689">
        <v>0</v>
      </c>
      <c r="J689" t="s">
        <v>34</v>
      </c>
    </row>
    <row r="690" spans="1:10" x14ac:dyDescent="0.25">
      <c r="A690" s="1">
        <v>89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"2026-03-31 19:41:49.525"</f>
        <v>2026-03-31 19:41:49.525</v>
      </c>
      <c r="H690" t="s">
        <v>21</v>
      </c>
    </row>
    <row r="691" spans="1:10" x14ac:dyDescent="0.25">
      <c r="A691" s="1">
        <v>90</v>
      </c>
      <c r="B691" t="s">
        <v>19</v>
      </c>
      <c r="C691">
        <v>706</v>
      </c>
      <c r="D691">
        <v>2</v>
      </c>
      <c r="E691" t="s">
        <v>32</v>
      </c>
      <c r="F691" t="s">
        <v>33</v>
      </c>
      <c r="G691" t="str">
        <f>"2026-03-31 16:26:55.761"</f>
        <v>2026-03-31 16:26:55.761</v>
      </c>
      <c r="H691" t="s">
        <v>21</v>
      </c>
      <c r="I691">
        <v>0</v>
      </c>
      <c r="J691" t="s">
        <v>34</v>
      </c>
    </row>
    <row r="692" spans="1:10" x14ac:dyDescent="0.25">
      <c r="A692" s="1">
        <v>91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"2026-03-31 16:23:04.531"</f>
        <v>2026-03-31 16:23:04.531</v>
      </c>
      <c r="H692" t="s">
        <v>21</v>
      </c>
    </row>
    <row r="693" spans="1:10" x14ac:dyDescent="0.25">
      <c r="A693" s="1">
        <v>92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"2026-03-31 14:51:57.536"</f>
        <v>2026-03-31 14:51:57.536</v>
      </c>
      <c r="H693" t="s">
        <v>21</v>
      </c>
      <c r="I693">
        <v>0</v>
      </c>
      <c r="J693" t="s">
        <v>22</v>
      </c>
    </row>
    <row r="694" spans="1:10" x14ac:dyDescent="0.25">
      <c r="A694" s="1">
        <v>93</v>
      </c>
      <c r="B694" t="s">
        <v>23</v>
      </c>
      <c r="C694">
        <v>635</v>
      </c>
      <c r="D694">
        <v>1</v>
      </c>
      <c r="E694" t="s">
        <v>24</v>
      </c>
      <c r="F694" t="s">
        <v>25</v>
      </c>
      <c r="G694" t="str">
        <f>"2026-03-31 08:39:01.598"</f>
        <v>2026-03-31 08:39:01.598</v>
      </c>
      <c r="H694" t="s">
        <v>21</v>
      </c>
    </row>
    <row r="695" spans="1:10" x14ac:dyDescent="0.25">
      <c r="A695" s="1">
        <v>94</v>
      </c>
      <c r="B695" t="s">
        <v>26</v>
      </c>
      <c r="C695">
        <v>635</v>
      </c>
      <c r="D695">
        <v>1</v>
      </c>
      <c r="E695" t="s">
        <v>24</v>
      </c>
      <c r="F695" t="s">
        <v>25</v>
      </c>
      <c r="G695" t="str">
        <f>"2026-03-31 08:35:15.598"</f>
        <v>2026-03-31 08:35:15.598</v>
      </c>
      <c r="H695" t="s">
        <v>21</v>
      </c>
      <c r="I695">
        <v>7.09</v>
      </c>
      <c r="J695" t="s">
        <v>29</v>
      </c>
    </row>
    <row r="696" spans="1:10" x14ac:dyDescent="0.25">
      <c r="A696" s="1">
        <v>95</v>
      </c>
      <c r="B696" t="s">
        <v>23</v>
      </c>
      <c r="C696">
        <v>61</v>
      </c>
      <c r="D696">
        <v>2</v>
      </c>
      <c r="E696" t="s">
        <v>46</v>
      </c>
      <c r="F696" t="s">
        <v>47</v>
      </c>
      <c r="G696" t="str">
        <f>"2026-03-31 07:37:04.911"</f>
        <v>2026-03-31 07:37:04.911</v>
      </c>
      <c r="H696" t="s">
        <v>21</v>
      </c>
    </row>
    <row r="697" spans="1:10" x14ac:dyDescent="0.25">
      <c r="A697" s="1">
        <v>96</v>
      </c>
      <c r="B697" t="s">
        <v>38</v>
      </c>
      <c r="C697">
        <v>61</v>
      </c>
      <c r="D697">
        <v>2</v>
      </c>
      <c r="E697" t="s">
        <v>46</v>
      </c>
      <c r="F697" t="s">
        <v>47</v>
      </c>
      <c r="G697" t="str">
        <f>"2026-03-31 07:36:33.611"</f>
        <v>2026-03-31 07:36:33.611</v>
      </c>
      <c r="H697" t="s">
        <v>21</v>
      </c>
      <c r="I697">
        <v>30.34</v>
      </c>
      <c r="J697" t="s">
        <v>28</v>
      </c>
    </row>
    <row r="698" spans="1:10" x14ac:dyDescent="0.25">
      <c r="A698" s="1">
        <v>97</v>
      </c>
      <c r="B698" t="s">
        <v>23</v>
      </c>
      <c r="C698">
        <v>635</v>
      </c>
      <c r="D698">
        <v>1</v>
      </c>
      <c r="E698" t="s">
        <v>24</v>
      </c>
      <c r="F698" t="s">
        <v>25</v>
      </c>
      <c r="G698" t="str">
        <f>"2026-03-30 05:28:48.198"</f>
        <v>2026-03-30 05:28:48.198</v>
      </c>
      <c r="H698" t="s">
        <v>21</v>
      </c>
    </row>
    <row r="699" spans="1:10" x14ac:dyDescent="0.25">
      <c r="A699" s="1">
        <v>98</v>
      </c>
      <c r="B699" t="s">
        <v>26</v>
      </c>
      <c r="C699">
        <v>635</v>
      </c>
      <c r="D699">
        <v>1</v>
      </c>
      <c r="E699" t="s">
        <v>24</v>
      </c>
      <c r="F699" t="s">
        <v>25</v>
      </c>
      <c r="G699" t="str">
        <f>"2026-03-30 05:23:36.698"</f>
        <v>2026-03-30 05:23:36.698</v>
      </c>
      <c r="H699" t="s">
        <v>21</v>
      </c>
      <c r="I699">
        <v>5.79</v>
      </c>
      <c r="J699" t="s">
        <v>29</v>
      </c>
    </row>
    <row r="700" spans="1:10" x14ac:dyDescent="0.25">
      <c r="A700" s="1">
        <v>99</v>
      </c>
      <c r="B700" t="s">
        <v>23</v>
      </c>
      <c r="C700">
        <v>635</v>
      </c>
      <c r="D700">
        <v>1</v>
      </c>
      <c r="E700" t="s">
        <v>24</v>
      </c>
      <c r="F700" t="s">
        <v>25</v>
      </c>
      <c r="G700" t="str">
        <f>"2026-03-29 05:39:13.298"</f>
        <v>2026-03-29 05:39:13.298</v>
      </c>
      <c r="H700" t="s">
        <v>21</v>
      </c>
    </row>
    <row r="701" spans="1:10" x14ac:dyDescent="0.25">
      <c r="A701" s="1">
        <v>0</v>
      </c>
      <c r="B701" t="s">
        <v>26</v>
      </c>
      <c r="C701">
        <v>635</v>
      </c>
      <c r="D701">
        <v>1</v>
      </c>
      <c r="E701" t="s">
        <v>24</v>
      </c>
      <c r="F701" t="s">
        <v>25</v>
      </c>
      <c r="G701" t="str">
        <f>"2026-03-29 05:37:14.798"</f>
        <v>2026-03-29 05:37:14.798</v>
      </c>
      <c r="H701" t="s">
        <v>21</v>
      </c>
      <c r="I701">
        <v>6.29</v>
      </c>
      <c r="J701" t="s">
        <v>29</v>
      </c>
    </row>
    <row r="702" spans="1:10" x14ac:dyDescent="0.25">
      <c r="A702" s="1">
        <v>1</v>
      </c>
      <c r="B702" t="s">
        <v>23</v>
      </c>
      <c r="C702">
        <v>635</v>
      </c>
      <c r="D702">
        <v>1</v>
      </c>
      <c r="E702" t="s">
        <v>24</v>
      </c>
      <c r="F702" t="s">
        <v>25</v>
      </c>
      <c r="G702" t="str">
        <f>"2026-03-28 21:50:56.298"</f>
        <v>2026-03-28 21:50:56.298</v>
      </c>
      <c r="H702" t="s">
        <v>21</v>
      </c>
    </row>
    <row r="703" spans="1:10" x14ac:dyDescent="0.25">
      <c r="A703" s="1">
        <v>2</v>
      </c>
      <c r="B703" t="s">
        <v>26</v>
      </c>
      <c r="C703">
        <v>635</v>
      </c>
      <c r="D703">
        <v>1</v>
      </c>
      <c r="E703" t="s">
        <v>24</v>
      </c>
      <c r="F703" t="s">
        <v>25</v>
      </c>
      <c r="G703" t="str">
        <f>"2026-03-28 21:48:05.798"</f>
        <v>2026-03-28 21:48:05.798</v>
      </c>
      <c r="H703" t="s">
        <v>21</v>
      </c>
      <c r="I703">
        <v>6.15</v>
      </c>
      <c r="J703" t="s">
        <v>29</v>
      </c>
    </row>
    <row r="704" spans="1:10" x14ac:dyDescent="0.25">
      <c r="A704" s="1">
        <v>3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"2026-03-28 09:24:55.528"</f>
        <v>2026-03-28 09:24:55.528</v>
      </c>
      <c r="H704" t="s">
        <v>21</v>
      </c>
    </row>
    <row r="705" spans="1:10" x14ac:dyDescent="0.25">
      <c r="A705" s="1">
        <v>4</v>
      </c>
      <c r="B705" t="s">
        <v>23</v>
      </c>
      <c r="C705">
        <v>61</v>
      </c>
      <c r="D705">
        <v>2</v>
      </c>
      <c r="E705" t="s">
        <v>46</v>
      </c>
      <c r="F705" t="s">
        <v>47</v>
      </c>
      <c r="G705" t="str">
        <f>"2026-03-28 07:36:19.164"</f>
        <v>2026-03-28 07:36:19.164</v>
      </c>
      <c r="H705" t="s">
        <v>21</v>
      </c>
    </row>
    <row r="706" spans="1:10" x14ac:dyDescent="0.25">
      <c r="A706" s="1">
        <v>5</v>
      </c>
      <c r="B706" t="s">
        <v>38</v>
      </c>
      <c r="C706">
        <v>61</v>
      </c>
      <c r="D706">
        <v>2</v>
      </c>
      <c r="E706" t="s">
        <v>46</v>
      </c>
      <c r="F706" t="s">
        <v>47</v>
      </c>
      <c r="G706" t="str">
        <f>"2026-03-28 07:36:07.265"</f>
        <v>2026-03-28 07:36:07.265</v>
      </c>
      <c r="H706" t="s">
        <v>21</v>
      </c>
      <c r="I706">
        <v>29.57</v>
      </c>
      <c r="J706" t="s">
        <v>28</v>
      </c>
    </row>
    <row r="707" spans="1:10" x14ac:dyDescent="0.25">
      <c r="A707" s="1">
        <v>6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"2026-03-28 00:26:54.524"</f>
        <v>2026-03-28 00:26:54.524</v>
      </c>
      <c r="H707" t="s">
        <v>21</v>
      </c>
    </row>
    <row r="708" spans="1:10" x14ac:dyDescent="0.25">
      <c r="A708" s="1">
        <v>7</v>
      </c>
      <c r="B708" t="s">
        <v>23</v>
      </c>
      <c r="C708">
        <v>635</v>
      </c>
      <c r="D708">
        <v>1</v>
      </c>
      <c r="E708" t="s">
        <v>24</v>
      </c>
      <c r="F708" t="s">
        <v>25</v>
      </c>
      <c r="G708" t="str">
        <f>"2026-03-27 17:31:07.539"</f>
        <v>2026-03-27 17:31:07.539</v>
      </c>
      <c r="H708" t="s">
        <v>21</v>
      </c>
    </row>
    <row r="709" spans="1:10" x14ac:dyDescent="0.25">
      <c r="A709" s="1">
        <v>8</v>
      </c>
      <c r="B709" t="s">
        <v>26</v>
      </c>
      <c r="C709">
        <v>635</v>
      </c>
      <c r="D709">
        <v>1</v>
      </c>
      <c r="E709" t="s">
        <v>24</v>
      </c>
      <c r="F709" t="s">
        <v>25</v>
      </c>
      <c r="G709" t="str">
        <f>"2026-03-27 17:28:07.539"</f>
        <v>2026-03-27 17:28:07.539</v>
      </c>
      <c r="H709" t="s">
        <v>21</v>
      </c>
      <c r="I709">
        <v>2.97</v>
      </c>
      <c r="J709" t="s">
        <v>29</v>
      </c>
    </row>
    <row r="710" spans="1:10" s="3" customFormat="1" x14ac:dyDescent="0.25">
      <c r="A710" s="2">
        <v>9</v>
      </c>
      <c r="B710" s="3" t="s">
        <v>23</v>
      </c>
      <c r="C710" s="3">
        <v>647</v>
      </c>
      <c r="D710" s="3">
        <v>1</v>
      </c>
      <c r="E710" s="3" t="s">
        <v>30</v>
      </c>
      <c r="F710" s="3" t="s">
        <v>31</v>
      </c>
      <c r="G710" s="3" t="str">
        <f>"2026-03-26 10:38:22.087"</f>
        <v>2026-03-26 10:38:22.087</v>
      </c>
      <c r="H710" s="3" t="s">
        <v>21</v>
      </c>
    </row>
    <row r="711" spans="1:10" s="3" customFormat="1" x14ac:dyDescent="0.25">
      <c r="A711" s="2">
        <v>10</v>
      </c>
      <c r="B711" s="3" t="s">
        <v>26</v>
      </c>
      <c r="C711" s="3">
        <v>647</v>
      </c>
      <c r="D711" s="3">
        <v>1</v>
      </c>
      <c r="E711" s="3" t="s">
        <v>30</v>
      </c>
      <c r="F711" s="3" t="s">
        <v>31</v>
      </c>
      <c r="G711" s="3" t="str">
        <f>"2026-03-26 10:38:13.587"</f>
        <v>2026-03-26 10:38:13.587</v>
      </c>
      <c r="H711" s="3" t="s">
        <v>21</v>
      </c>
      <c r="I711" s="3">
        <v>11.43</v>
      </c>
      <c r="J711" s="3" t="s">
        <v>28</v>
      </c>
    </row>
    <row r="712" spans="1:10" x14ac:dyDescent="0.25">
      <c r="A712" s="1">
        <v>11</v>
      </c>
      <c r="B712" t="s">
        <v>23</v>
      </c>
      <c r="C712">
        <v>635</v>
      </c>
      <c r="D712">
        <v>1</v>
      </c>
      <c r="E712" t="s">
        <v>24</v>
      </c>
      <c r="F712" t="s">
        <v>25</v>
      </c>
      <c r="G712" t="str">
        <f>"2026-03-26 09:57:46.639"</f>
        <v>2026-03-26 09:57:46.639</v>
      </c>
      <c r="H712" t="s">
        <v>21</v>
      </c>
    </row>
    <row r="713" spans="1:10" x14ac:dyDescent="0.25">
      <c r="A713" s="1">
        <v>12</v>
      </c>
      <c r="B713" t="s">
        <v>26</v>
      </c>
      <c r="C713">
        <v>635</v>
      </c>
      <c r="D713">
        <v>1</v>
      </c>
      <c r="E713" t="s">
        <v>24</v>
      </c>
      <c r="F713" t="s">
        <v>25</v>
      </c>
      <c r="G713" t="str">
        <f>"2026-03-26 09:53:31.640"</f>
        <v>2026-03-26 09:53:31.640</v>
      </c>
      <c r="H713" t="s">
        <v>21</v>
      </c>
      <c r="I713">
        <v>4.3499999999999996</v>
      </c>
      <c r="J713" t="s">
        <v>29</v>
      </c>
    </row>
    <row r="714" spans="1:10" x14ac:dyDescent="0.25">
      <c r="A714" s="1">
        <v>13</v>
      </c>
      <c r="B714" t="s">
        <v>23</v>
      </c>
      <c r="C714">
        <v>635</v>
      </c>
      <c r="D714">
        <v>1</v>
      </c>
      <c r="E714" t="s">
        <v>24</v>
      </c>
      <c r="F714" t="s">
        <v>25</v>
      </c>
      <c r="G714" t="str">
        <f>"2026-03-26 07:30:11.940"</f>
        <v>2026-03-26 07:30:11.940</v>
      </c>
      <c r="H714" t="s">
        <v>21</v>
      </c>
    </row>
    <row r="715" spans="1:10" x14ac:dyDescent="0.25">
      <c r="A715" s="1">
        <v>14</v>
      </c>
      <c r="B715" t="s">
        <v>26</v>
      </c>
      <c r="C715">
        <v>635</v>
      </c>
      <c r="D715">
        <v>1</v>
      </c>
      <c r="E715" t="s">
        <v>24</v>
      </c>
      <c r="F715" t="s">
        <v>25</v>
      </c>
      <c r="G715" t="str">
        <f>"2026-03-26 07:27:20.440"</f>
        <v>2026-03-26 07:27:20.440</v>
      </c>
      <c r="H715" t="s">
        <v>21</v>
      </c>
      <c r="I715">
        <v>5.81</v>
      </c>
      <c r="J715" t="s">
        <v>28</v>
      </c>
    </row>
    <row r="716" spans="1:10" x14ac:dyDescent="0.25">
      <c r="A716" s="1">
        <v>15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"2026-03-25 23:41:29.529"</f>
        <v>2026-03-25 23:41:29.529</v>
      </c>
      <c r="H716" t="s">
        <v>21</v>
      </c>
      <c r="I716">
        <v>0</v>
      </c>
      <c r="J716" t="s">
        <v>22</v>
      </c>
    </row>
    <row r="717" spans="1:10" x14ac:dyDescent="0.25">
      <c r="A717" s="1">
        <v>16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"2026-03-25 23:37:31.520"</f>
        <v>2026-03-25 23:37:31.520</v>
      </c>
      <c r="H717" t="s">
        <v>21</v>
      </c>
    </row>
    <row r="718" spans="1:10" x14ac:dyDescent="0.25">
      <c r="A718" s="1">
        <v>17</v>
      </c>
      <c r="B718" t="s">
        <v>23</v>
      </c>
      <c r="C718">
        <v>635</v>
      </c>
      <c r="D718">
        <v>1</v>
      </c>
      <c r="E718" t="s">
        <v>24</v>
      </c>
      <c r="F718" t="s">
        <v>25</v>
      </c>
      <c r="G718" t="str">
        <f>"2026-03-24 17:27:44.117"</f>
        <v>2026-03-24 17:27:44.117</v>
      </c>
      <c r="H718" t="s">
        <v>21</v>
      </c>
    </row>
    <row r="719" spans="1:10" x14ac:dyDescent="0.25">
      <c r="A719" s="1">
        <v>18</v>
      </c>
      <c r="B719" t="s">
        <v>26</v>
      </c>
      <c r="C719">
        <v>635</v>
      </c>
      <c r="D719">
        <v>1</v>
      </c>
      <c r="E719" t="s">
        <v>24</v>
      </c>
      <c r="F719" t="s">
        <v>25</v>
      </c>
      <c r="G719" t="str">
        <f>"2026-03-24 17:25:10.117"</f>
        <v>2026-03-24 17:25:10.117</v>
      </c>
      <c r="H719" t="s">
        <v>21</v>
      </c>
      <c r="I719">
        <v>4.29</v>
      </c>
      <c r="J719" t="s">
        <v>29</v>
      </c>
    </row>
    <row r="720" spans="1:10" x14ac:dyDescent="0.25">
      <c r="A720" s="1">
        <v>19</v>
      </c>
      <c r="B720" t="s">
        <v>23</v>
      </c>
      <c r="C720">
        <v>635</v>
      </c>
      <c r="D720">
        <v>1</v>
      </c>
      <c r="E720" t="s">
        <v>24</v>
      </c>
      <c r="F720" t="s">
        <v>25</v>
      </c>
      <c r="G720" t="str">
        <f>"2026-03-24 15:51:18.317"</f>
        <v>2026-03-24 15:51:18.317</v>
      </c>
      <c r="H720" t="s">
        <v>21</v>
      </c>
    </row>
    <row r="721" spans="1:10" x14ac:dyDescent="0.25">
      <c r="A721" s="1">
        <v>20</v>
      </c>
      <c r="B721" t="s">
        <v>26</v>
      </c>
      <c r="C721">
        <v>635</v>
      </c>
      <c r="D721">
        <v>1</v>
      </c>
      <c r="E721" t="s">
        <v>24</v>
      </c>
      <c r="F721" t="s">
        <v>25</v>
      </c>
      <c r="G721" t="str">
        <f>"2026-03-24 15:48:48.817"</f>
        <v>2026-03-24 15:48:48.817</v>
      </c>
      <c r="H721" t="s">
        <v>21</v>
      </c>
      <c r="I721">
        <v>4.8600000000000003</v>
      </c>
      <c r="J721" t="s">
        <v>29</v>
      </c>
    </row>
    <row r="722" spans="1:10" x14ac:dyDescent="0.25">
      <c r="A722" s="1">
        <v>21</v>
      </c>
      <c r="B722" t="s">
        <v>23</v>
      </c>
      <c r="C722">
        <v>619</v>
      </c>
      <c r="D722">
        <v>1</v>
      </c>
      <c r="E722" t="s">
        <v>51</v>
      </c>
      <c r="F722" t="s">
        <v>25</v>
      </c>
      <c r="G722" t="str">
        <f>"2026-03-24 12:18:18.164"</f>
        <v>2026-03-24 12:18:18.164</v>
      </c>
      <c r="H722" t="s">
        <v>52</v>
      </c>
    </row>
    <row r="723" spans="1:10" x14ac:dyDescent="0.25">
      <c r="A723" s="1">
        <v>22</v>
      </c>
      <c r="B723" t="s">
        <v>26</v>
      </c>
      <c r="C723">
        <v>619</v>
      </c>
      <c r="D723">
        <v>1</v>
      </c>
      <c r="E723" t="s">
        <v>51</v>
      </c>
      <c r="F723" t="s">
        <v>25</v>
      </c>
      <c r="G723" t="str">
        <f>"2026-03-24 12:17:59.065"</f>
        <v>2026-03-24 12:17:59.065</v>
      </c>
      <c r="H723" t="s">
        <v>52</v>
      </c>
      <c r="I723">
        <v>20.8</v>
      </c>
      <c r="J723" t="s">
        <v>28</v>
      </c>
    </row>
    <row r="724" spans="1:10" x14ac:dyDescent="0.25">
      <c r="A724" s="1">
        <v>23</v>
      </c>
      <c r="B724" t="s">
        <v>23</v>
      </c>
      <c r="C724">
        <v>635</v>
      </c>
      <c r="D724">
        <v>1</v>
      </c>
      <c r="E724" t="s">
        <v>24</v>
      </c>
      <c r="F724" t="s">
        <v>25</v>
      </c>
      <c r="G724" t="str">
        <f>"2026-03-24 04:23:47.817"</f>
        <v>2026-03-24 04:23:47.817</v>
      </c>
      <c r="H724" t="s">
        <v>21</v>
      </c>
    </row>
    <row r="725" spans="1:10" x14ac:dyDescent="0.25">
      <c r="A725" s="1">
        <v>24</v>
      </c>
      <c r="B725" t="s">
        <v>26</v>
      </c>
      <c r="C725">
        <v>635</v>
      </c>
      <c r="D725">
        <v>1</v>
      </c>
      <c r="E725" t="s">
        <v>24</v>
      </c>
      <c r="F725" t="s">
        <v>25</v>
      </c>
      <c r="G725" t="str">
        <f>"2026-03-24 04:20:52.317"</f>
        <v>2026-03-24 04:20:52.317</v>
      </c>
      <c r="H725" t="s">
        <v>21</v>
      </c>
      <c r="I725">
        <v>5.42</v>
      </c>
      <c r="J725" t="s">
        <v>29</v>
      </c>
    </row>
    <row r="726" spans="1:10" x14ac:dyDescent="0.25">
      <c r="A726" s="1">
        <v>25</v>
      </c>
      <c r="B726" t="s">
        <v>23</v>
      </c>
      <c r="C726">
        <v>635</v>
      </c>
      <c r="D726">
        <v>1</v>
      </c>
      <c r="E726" t="s">
        <v>24</v>
      </c>
      <c r="F726" t="s">
        <v>25</v>
      </c>
      <c r="G726" t="str">
        <f>"2026-03-22 22:36:04.717"</f>
        <v>2026-03-22 22:36:04.717</v>
      </c>
      <c r="H726" t="s">
        <v>21</v>
      </c>
    </row>
    <row r="727" spans="1:10" x14ac:dyDescent="0.25">
      <c r="A727" s="1">
        <v>26</v>
      </c>
      <c r="B727" t="s">
        <v>26</v>
      </c>
      <c r="C727">
        <v>635</v>
      </c>
      <c r="D727">
        <v>1</v>
      </c>
      <c r="E727" t="s">
        <v>24</v>
      </c>
      <c r="F727" t="s">
        <v>25</v>
      </c>
      <c r="G727" t="str">
        <f>"2026-03-22 22:28:57.718"</f>
        <v>2026-03-22 22:28:57.718</v>
      </c>
      <c r="H727" t="s">
        <v>21</v>
      </c>
      <c r="I727">
        <v>3.63</v>
      </c>
      <c r="J727" t="s">
        <v>29</v>
      </c>
    </row>
    <row r="728" spans="1:10" x14ac:dyDescent="0.25">
      <c r="A728" s="1">
        <v>27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"2026-03-22 13:05:11.537"</f>
        <v>2026-03-22 13:05:11.537</v>
      </c>
      <c r="H728" t="s">
        <v>21</v>
      </c>
      <c r="I728">
        <v>0</v>
      </c>
      <c r="J728" t="s">
        <v>22</v>
      </c>
    </row>
    <row r="729" spans="1:10" x14ac:dyDescent="0.25">
      <c r="A729" s="1">
        <v>28</v>
      </c>
      <c r="B729" t="s">
        <v>23</v>
      </c>
      <c r="C729">
        <v>619</v>
      </c>
      <c r="D729">
        <v>1</v>
      </c>
      <c r="E729" t="s">
        <v>51</v>
      </c>
      <c r="F729" t="s">
        <v>25</v>
      </c>
      <c r="G729" t="str">
        <f>"2026-03-22 13:04:20.197"</f>
        <v>2026-03-22 13:04:20.197</v>
      </c>
      <c r="H729" t="s">
        <v>52</v>
      </c>
    </row>
    <row r="730" spans="1:10" x14ac:dyDescent="0.25">
      <c r="A730" s="1">
        <v>29</v>
      </c>
      <c r="B730" t="s">
        <v>26</v>
      </c>
      <c r="C730">
        <v>619</v>
      </c>
      <c r="D730">
        <v>1</v>
      </c>
      <c r="E730" t="s">
        <v>51</v>
      </c>
      <c r="F730" t="s">
        <v>25</v>
      </c>
      <c r="G730" t="str">
        <f>"2026-03-22 13:04:13.544"</f>
        <v>2026-03-22 13:04:13.544</v>
      </c>
      <c r="H730" t="s">
        <v>52</v>
      </c>
      <c r="I730">
        <v>0</v>
      </c>
      <c r="J730" t="s">
        <v>27</v>
      </c>
    </row>
    <row r="731" spans="1:10" x14ac:dyDescent="0.25">
      <c r="A731" s="1">
        <v>30</v>
      </c>
      <c r="B731" t="s">
        <v>23</v>
      </c>
      <c r="C731">
        <v>635</v>
      </c>
      <c r="D731">
        <v>1</v>
      </c>
      <c r="E731" t="s">
        <v>24</v>
      </c>
      <c r="F731" t="s">
        <v>25</v>
      </c>
      <c r="G731" t="str">
        <f>"2026-03-21 20:39:08.697"</f>
        <v>2026-03-21 20:39:08.697</v>
      </c>
      <c r="H731" t="s">
        <v>21</v>
      </c>
    </row>
    <row r="732" spans="1:10" x14ac:dyDescent="0.25">
      <c r="A732" s="1">
        <v>31</v>
      </c>
      <c r="B732" t="s">
        <v>26</v>
      </c>
      <c r="C732">
        <v>635</v>
      </c>
      <c r="D732">
        <v>1</v>
      </c>
      <c r="E732" t="s">
        <v>24</v>
      </c>
      <c r="F732" t="s">
        <v>25</v>
      </c>
      <c r="G732" t="str">
        <f>"2026-03-21 20:36:45.197"</f>
        <v>2026-03-21 20:36:45.197</v>
      </c>
      <c r="H732" t="s">
        <v>21</v>
      </c>
      <c r="I732">
        <v>5.23</v>
      </c>
      <c r="J732" t="s">
        <v>29</v>
      </c>
    </row>
    <row r="733" spans="1:10" x14ac:dyDescent="0.25">
      <c r="A733" s="1">
        <v>32</v>
      </c>
      <c r="B733" t="s">
        <v>23</v>
      </c>
      <c r="C733">
        <v>635</v>
      </c>
      <c r="D733">
        <v>1</v>
      </c>
      <c r="E733" t="s">
        <v>24</v>
      </c>
      <c r="F733" t="s">
        <v>25</v>
      </c>
      <c r="G733" t="str">
        <f>"2026-03-21 19:57:22.797"</f>
        <v>2026-03-21 19:57:22.797</v>
      </c>
      <c r="H733" t="s">
        <v>21</v>
      </c>
    </row>
    <row r="734" spans="1:10" x14ac:dyDescent="0.25">
      <c r="A734" s="1">
        <v>33</v>
      </c>
      <c r="B734" t="s">
        <v>26</v>
      </c>
      <c r="C734">
        <v>635</v>
      </c>
      <c r="D734">
        <v>1</v>
      </c>
      <c r="E734" t="s">
        <v>24</v>
      </c>
      <c r="F734" t="s">
        <v>25</v>
      </c>
      <c r="G734" t="str">
        <f>"2026-03-21 19:53:53.797"</f>
        <v>2026-03-21 19:53:53.797</v>
      </c>
      <c r="H734" t="s">
        <v>21</v>
      </c>
      <c r="I734">
        <v>5.56</v>
      </c>
      <c r="J734" t="s">
        <v>29</v>
      </c>
    </row>
    <row r="735" spans="1:10" x14ac:dyDescent="0.25">
      <c r="A735" s="1">
        <v>34</v>
      </c>
      <c r="B735" t="s">
        <v>23</v>
      </c>
      <c r="C735">
        <v>635</v>
      </c>
      <c r="D735">
        <v>1</v>
      </c>
      <c r="E735" t="s">
        <v>24</v>
      </c>
      <c r="F735" t="s">
        <v>25</v>
      </c>
      <c r="G735" t="str">
        <f>"2026-03-21 14:35:50.497"</f>
        <v>2026-03-21 14:35:50.497</v>
      </c>
      <c r="H735" t="s">
        <v>21</v>
      </c>
    </row>
    <row r="736" spans="1:10" x14ac:dyDescent="0.25">
      <c r="A736" s="1">
        <v>35</v>
      </c>
      <c r="B736" t="s">
        <v>26</v>
      </c>
      <c r="C736">
        <v>635</v>
      </c>
      <c r="D736">
        <v>1</v>
      </c>
      <c r="E736" t="s">
        <v>24</v>
      </c>
      <c r="F736" t="s">
        <v>25</v>
      </c>
      <c r="G736" t="str">
        <f>"2026-03-21 14:32:09.497"</f>
        <v>2026-03-21 14:32:09.497</v>
      </c>
      <c r="H736" t="s">
        <v>21</v>
      </c>
      <c r="I736">
        <v>3.47</v>
      </c>
      <c r="J736" t="s">
        <v>29</v>
      </c>
    </row>
    <row r="737" spans="1:10" x14ac:dyDescent="0.25">
      <c r="A737" s="1">
        <v>36</v>
      </c>
      <c r="B737" t="s">
        <v>19</v>
      </c>
      <c r="C737">
        <v>706</v>
      </c>
      <c r="D737">
        <v>4</v>
      </c>
      <c r="E737" t="s">
        <v>32</v>
      </c>
      <c r="F737" t="s">
        <v>48</v>
      </c>
      <c r="G737" t="str">
        <f>"2026-03-21 11:17:37.066"</f>
        <v>2026-03-21 11:17:37.066</v>
      </c>
      <c r="H737" t="s">
        <v>21</v>
      </c>
      <c r="I737">
        <v>0</v>
      </c>
      <c r="J737" t="s">
        <v>34</v>
      </c>
    </row>
    <row r="738" spans="1:10" x14ac:dyDescent="0.25">
      <c r="A738" s="1">
        <v>37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"2026-03-21 11:16:54.516"</f>
        <v>2026-03-21 11:16:54.516</v>
      </c>
      <c r="H738" t="s">
        <v>21</v>
      </c>
      <c r="I738">
        <v>0</v>
      </c>
      <c r="J738" t="s">
        <v>22</v>
      </c>
    </row>
    <row r="739" spans="1:10" x14ac:dyDescent="0.25">
      <c r="A739" s="1">
        <v>38</v>
      </c>
      <c r="B739" t="s">
        <v>19</v>
      </c>
      <c r="C739">
        <v>706</v>
      </c>
      <c r="D739">
        <v>4</v>
      </c>
      <c r="E739" t="s">
        <v>32</v>
      </c>
      <c r="F739" t="s">
        <v>48</v>
      </c>
      <c r="G739" t="str">
        <f>"2026-03-21 11:03:03.071"</f>
        <v>2026-03-21 11:03:03.071</v>
      </c>
      <c r="H739" t="s">
        <v>21</v>
      </c>
      <c r="I739">
        <v>0</v>
      </c>
      <c r="J739" t="s">
        <v>34</v>
      </c>
    </row>
    <row r="740" spans="1:10" x14ac:dyDescent="0.25">
      <c r="A740" s="1">
        <v>39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"2026-03-21 10:57:47.511"</f>
        <v>2026-03-21 10:57:47.511</v>
      </c>
      <c r="H740" t="s">
        <v>21</v>
      </c>
    </row>
    <row r="741" spans="1:10" x14ac:dyDescent="0.25">
      <c r="A741" s="1">
        <v>40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"2026-03-21 10:49:17.527"</f>
        <v>2026-03-21 10:49:17.527</v>
      </c>
      <c r="H741" t="s">
        <v>21</v>
      </c>
    </row>
    <row r="742" spans="1:10" x14ac:dyDescent="0.25">
      <c r="A742" s="1">
        <v>41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"2026-03-21 09:17:57.529"</f>
        <v>2026-03-21 09:17:57.529</v>
      </c>
      <c r="H742" t="s">
        <v>21</v>
      </c>
      <c r="I742">
        <v>0</v>
      </c>
      <c r="J742" t="s">
        <v>22</v>
      </c>
    </row>
    <row r="743" spans="1:10" x14ac:dyDescent="0.25">
      <c r="A743" s="1">
        <v>42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"2026-03-21 08:34:38.530"</f>
        <v>2026-03-21 08:34:38.530</v>
      </c>
      <c r="H743" t="s">
        <v>21</v>
      </c>
      <c r="I743">
        <v>0</v>
      </c>
      <c r="J743" t="s">
        <v>22</v>
      </c>
    </row>
    <row r="744" spans="1:10" x14ac:dyDescent="0.25">
      <c r="A744" s="1">
        <v>43</v>
      </c>
      <c r="B744" t="s">
        <v>23</v>
      </c>
      <c r="C744">
        <v>635</v>
      </c>
      <c r="D744">
        <v>1</v>
      </c>
      <c r="E744" t="s">
        <v>24</v>
      </c>
      <c r="F744" t="s">
        <v>25</v>
      </c>
      <c r="G744" t="str">
        <f>"2026-03-21 03:50:39.001"</f>
        <v>2026-03-21 03:50:39.001</v>
      </c>
      <c r="H744" t="s">
        <v>21</v>
      </c>
    </row>
    <row r="745" spans="1:10" x14ac:dyDescent="0.25">
      <c r="A745" s="1">
        <v>44</v>
      </c>
      <c r="B745" t="s">
        <v>26</v>
      </c>
      <c r="C745">
        <v>635</v>
      </c>
      <c r="D745">
        <v>1</v>
      </c>
      <c r="E745" t="s">
        <v>24</v>
      </c>
      <c r="F745" t="s">
        <v>25</v>
      </c>
      <c r="G745" t="str">
        <f>"2026-03-21 03:43:44.001"</f>
        <v>2026-03-21 03:43:44.001</v>
      </c>
      <c r="H745" t="s">
        <v>21</v>
      </c>
      <c r="I745">
        <v>7.88</v>
      </c>
      <c r="J745" t="s">
        <v>27</v>
      </c>
    </row>
    <row r="746" spans="1:10" x14ac:dyDescent="0.25">
      <c r="A746" s="1">
        <v>45</v>
      </c>
      <c r="B746" t="s">
        <v>23</v>
      </c>
      <c r="C746">
        <v>61</v>
      </c>
      <c r="D746">
        <v>2</v>
      </c>
      <c r="E746" t="s">
        <v>46</v>
      </c>
      <c r="F746" t="s">
        <v>47</v>
      </c>
      <c r="G746" t="str">
        <f>"2026-03-20 23:24:09.214"</f>
        <v>2026-03-20 23:24:09.214</v>
      </c>
      <c r="H746" t="s">
        <v>21</v>
      </c>
    </row>
    <row r="747" spans="1:10" x14ac:dyDescent="0.25">
      <c r="A747" s="1">
        <v>46</v>
      </c>
      <c r="B747" t="s">
        <v>38</v>
      </c>
      <c r="C747">
        <v>61</v>
      </c>
      <c r="D747">
        <v>2</v>
      </c>
      <c r="E747" t="s">
        <v>46</v>
      </c>
      <c r="F747" t="s">
        <v>47</v>
      </c>
      <c r="G747" t="str">
        <f>"2026-03-20 23:24:01.114"</f>
        <v>2026-03-20 23:24:01.114</v>
      </c>
      <c r="H747" t="s">
        <v>21</v>
      </c>
      <c r="I747">
        <v>31.69</v>
      </c>
      <c r="J747" t="s">
        <v>28</v>
      </c>
    </row>
    <row r="748" spans="1:10" x14ac:dyDescent="0.25">
      <c r="A748" s="1">
        <v>47</v>
      </c>
      <c r="B748" t="s">
        <v>23</v>
      </c>
      <c r="C748">
        <v>635</v>
      </c>
      <c r="D748">
        <v>1</v>
      </c>
      <c r="E748" t="s">
        <v>24</v>
      </c>
      <c r="F748" t="s">
        <v>25</v>
      </c>
      <c r="G748" t="str">
        <f>"2026-03-19 00:58:03.201"</f>
        <v>2026-03-19 00:58:03.201</v>
      </c>
      <c r="H748" t="s">
        <v>21</v>
      </c>
    </row>
    <row r="749" spans="1:10" x14ac:dyDescent="0.25">
      <c r="A749" s="1">
        <v>48</v>
      </c>
      <c r="B749" t="s">
        <v>26</v>
      </c>
      <c r="C749">
        <v>635</v>
      </c>
      <c r="D749">
        <v>1</v>
      </c>
      <c r="E749" t="s">
        <v>24</v>
      </c>
      <c r="F749" t="s">
        <v>25</v>
      </c>
      <c r="G749" t="str">
        <f>"2026-03-19 00:54:07.701"</f>
        <v>2026-03-19 00:54:07.701</v>
      </c>
      <c r="H749" t="s">
        <v>21</v>
      </c>
      <c r="I749">
        <v>3.5</v>
      </c>
      <c r="J749" t="s">
        <v>27</v>
      </c>
    </row>
    <row r="750" spans="1:10" x14ac:dyDescent="0.25">
      <c r="A750" s="1">
        <v>49</v>
      </c>
      <c r="B750" t="s">
        <v>23</v>
      </c>
      <c r="C750">
        <v>61</v>
      </c>
      <c r="D750">
        <v>2</v>
      </c>
      <c r="E750" t="s">
        <v>46</v>
      </c>
      <c r="F750" t="s">
        <v>47</v>
      </c>
      <c r="G750" t="str">
        <f>"2026-03-18 14:50:23.914"</f>
        <v>2026-03-18 14:50:23.914</v>
      </c>
      <c r="H750" t="s">
        <v>21</v>
      </c>
    </row>
    <row r="751" spans="1:10" x14ac:dyDescent="0.25">
      <c r="A751" s="1">
        <v>50</v>
      </c>
      <c r="B751" t="s">
        <v>38</v>
      </c>
      <c r="C751">
        <v>61</v>
      </c>
      <c r="D751">
        <v>2</v>
      </c>
      <c r="E751" t="s">
        <v>46</v>
      </c>
      <c r="F751" t="s">
        <v>47</v>
      </c>
      <c r="G751" t="str">
        <f>"2026-03-18 14:50:18.714"</f>
        <v>2026-03-18 14:50:18.714</v>
      </c>
      <c r="H751" t="s">
        <v>21</v>
      </c>
      <c r="I751">
        <v>30.31</v>
      </c>
      <c r="J751" t="s">
        <v>28</v>
      </c>
    </row>
    <row r="752" spans="1:10" x14ac:dyDescent="0.25">
      <c r="A752" s="1">
        <v>51</v>
      </c>
      <c r="B752" t="s">
        <v>23</v>
      </c>
      <c r="C752">
        <v>61</v>
      </c>
      <c r="D752">
        <v>2</v>
      </c>
      <c r="E752" t="s">
        <v>46</v>
      </c>
      <c r="F752" t="s">
        <v>47</v>
      </c>
      <c r="G752" t="str">
        <f>"2026-03-18 14:30:44.914"</f>
        <v>2026-03-18 14:30:44.914</v>
      </c>
      <c r="H752" t="s">
        <v>21</v>
      </c>
    </row>
    <row r="753" spans="1:10" x14ac:dyDescent="0.25">
      <c r="A753" s="1">
        <v>52</v>
      </c>
      <c r="B753" t="s">
        <v>38</v>
      </c>
      <c r="C753">
        <v>61</v>
      </c>
      <c r="D753">
        <v>2</v>
      </c>
      <c r="E753" t="s">
        <v>46</v>
      </c>
      <c r="F753" t="s">
        <v>47</v>
      </c>
      <c r="G753" t="str">
        <f>"2026-03-18 14:30:35.014"</f>
        <v>2026-03-18 14:30:35.014</v>
      </c>
      <c r="H753" t="s">
        <v>21</v>
      </c>
      <c r="I753">
        <v>31.87</v>
      </c>
      <c r="J753" t="s">
        <v>28</v>
      </c>
    </row>
    <row r="754" spans="1:10" x14ac:dyDescent="0.25">
      <c r="A754" s="1">
        <v>53</v>
      </c>
      <c r="B754" t="s">
        <v>23</v>
      </c>
      <c r="C754">
        <v>61</v>
      </c>
      <c r="D754">
        <v>2</v>
      </c>
      <c r="E754" t="s">
        <v>46</v>
      </c>
      <c r="F754" t="s">
        <v>47</v>
      </c>
      <c r="G754" t="str">
        <f>"2026-03-18 14:05:58.214"</f>
        <v>2026-03-18 14:05:58.214</v>
      </c>
      <c r="H754" t="s">
        <v>21</v>
      </c>
    </row>
    <row r="755" spans="1:10" x14ac:dyDescent="0.25">
      <c r="A755" s="1">
        <v>54</v>
      </c>
      <c r="B755" t="s">
        <v>38</v>
      </c>
      <c r="C755">
        <v>61</v>
      </c>
      <c r="D755">
        <v>2</v>
      </c>
      <c r="E755" t="s">
        <v>46</v>
      </c>
      <c r="F755" t="s">
        <v>47</v>
      </c>
      <c r="G755" t="str">
        <f>"2026-03-18 14:05:47.614"</f>
        <v>2026-03-18 14:05:47.614</v>
      </c>
      <c r="H755" t="s">
        <v>21</v>
      </c>
      <c r="I755">
        <v>31.39</v>
      </c>
      <c r="J755" t="s">
        <v>28</v>
      </c>
    </row>
    <row r="756" spans="1:10" s="3" customFormat="1" x14ac:dyDescent="0.25">
      <c r="A756" s="2">
        <v>55</v>
      </c>
      <c r="B756" s="3" t="s">
        <v>23</v>
      </c>
      <c r="C756" s="3">
        <v>647</v>
      </c>
      <c r="D756" s="3">
        <v>1</v>
      </c>
      <c r="E756" s="3" t="s">
        <v>30</v>
      </c>
      <c r="F756" s="3" t="s">
        <v>31</v>
      </c>
      <c r="G756" s="3" t="str">
        <f>"2026-03-18 13:57:00.302"</f>
        <v>2026-03-18 13:57:00.302</v>
      </c>
      <c r="H756" s="3" t="s">
        <v>21</v>
      </c>
    </row>
    <row r="757" spans="1:10" s="3" customFormat="1" x14ac:dyDescent="0.25">
      <c r="A757" s="2">
        <v>56</v>
      </c>
      <c r="B757" s="3" t="s">
        <v>26</v>
      </c>
      <c r="C757" s="3">
        <v>647</v>
      </c>
      <c r="D757" s="3">
        <v>1</v>
      </c>
      <c r="E757" s="3" t="s">
        <v>30</v>
      </c>
      <c r="F757" s="3" t="s">
        <v>31</v>
      </c>
      <c r="G757" s="3" t="str">
        <f>"2026-03-18 13:56:55.902"</f>
        <v>2026-03-18 13:56:55.902</v>
      </c>
      <c r="H757" s="3" t="s">
        <v>21</v>
      </c>
      <c r="I757" s="3">
        <v>10.53</v>
      </c>
      <c r="J757" s="3" t="s">
        <v>28</v>
      </c>
    </row>
    <row r="758" spans="1:10" x14ac:dyDescent="0.25">
      <c r="A758" s="1">
        <v>57</v>
      </c>
      <c r="B758" t="s">
        <v>23</v>
      </c>
      <c r="C758">
        <v>61</v>
      </c>
      <c r="D758">
        <v>2</v>
      </c>
      <c r="E758" t="s">
        <v>46</v>
      </c>
      <c r="F758" t="s">
        <v>47</v>
      </c>
      <c r="G758" t="str">
        <f>"2026-03-18 13:50:43.913"</f>
        <v>2026-03-18 13:50:43.913</v>
      </c>
      <c r="H758" t="s">
        <v>21</v>
      </c>
    </row>
    <row r="759" spans="1:10" x14ac:dyDescent="0.25">
      <c r="A759" s="1">
        <v>58</v>
      </c>
      <c r="B759" t="s">
        <v>38</v>
      </c>
      <c r="C759">
        <v>61</v>
      </c>
      <c r="D759">
        <v>2</v>
      </c>
      <c r="E759" t="s">
        <v>46</v>
      </c>
      <c r="F759" t="s">
        <v>47</v>
      </c>
      <c r="G759" t="str">
        <f>"2026-03-18 13:50:36.514"</f>
        <v>2026-03-18 13:50:36.514</v>
      </c>
      <c r="H759" t="s">
        <v>21</v>
      </c>
      <c r="I759">
        <v>31.05</v>
      </c>
      <c r="J759" t="s">
        <v>28</v>
      </c>
    </row>
    <row r="760" spans="1:10" x14ac:dyDescent="0.25">
      <c r="A760" s="1">
        <v>59</v>
      </c>
      <c r="B760" t="s">
        <v>23</v>
      </c>
      <c r="C760">
        <v>61</v>
      </c>
      <c r="D760">
        <v>2</v>
      </c>
      <c r="E760" t="s">
        <v>46</v>
      </c>
      <c r="F760" t="s">
        <v>47</v>
      </c>
      <c r="G760" t="str">
        <f>"2026-03-18 13:37:23.114"</f>
        <v>2026-03-18 13:37:23.114</v>
      </c>
      <c r="H760" t="s">
        <v>21</v>
      </c>
    </row>
    <row r="761" spans="1:10" x14ac:dyDescent="0.25">
      <c r="A761" s="1">
        <v>60</v>
      </c>
      <c r="B761" t="s">
        <v>38</v>
      </c>
      <c r="C761">
        <v>61</v>
      </c>
      <c r="D761">
        <v>2</v>
      </c>
      <c r="E761" t="s">
        <v>46</v>
      </c>
      <c r="F761" t="s">
        <v>47</v>
      </c>
      <c r="G761" t="str">
        <f>"2026-03-18 13:37:14.214"</f>
        <v>2026-03-18 13:37:14.214</v>
      </c>
      <c r="H761" t="s">
        <v>21</v>
      </c>
      <c r="I761">
        <v>31.68</v>
      </c>
      <c r="J761" t="s">
        <v>28</v>
      </c>
    </row>
    <row r="762" spans="1:10" x14ac:dyDescent="0.25">
      <c r="A762" s="1">
        <v>61</v>
      </c>
      <c r="B762" t="s">
        <v>23</v>
      </c>
      <c r="C762">
        <v>635</v>
      </c>
      <c r="D762">
        <v>1</v>
      </c>
      <c r="E762" t="s">
        <v>24</v>
      </c>
      <c r="F762" t="s">
        <v>25</v>
      </c>
      <c r="G762" t="str">
        <f>"2026-03-18 13:30:51.701"</f>
        <v>2026-03-18 13:30:51.701</v>
      </c>
      <c r="H762" t="s">
        <v>21</v>
      </c>
    </row>
    <row r="763" spans="1:10" x14ac:dyDescent="0.25">
      <c r="A763" s="1">
        <v>62</v>
      </c>
      <c r="B763" t="s">
        <v>26</v>
      </c>
      <c r="C763">
        <v>635</v>
      </c>
      <c r="D763">
        <v>1</v>
      </c>
      <c r="E763" t="s">
        <v>24</v>
      </c>
      <c r="F763" t="s">
        <v>25</v>
      </c>
      <c r="G763" t="str">
        <f>"2026-03-18 13:27:32.201"</f>
        <v>2026-03-18 13:27:32.201</v>
      </c>
      <c r="H763" t="s">
        <v>21</v>
      </c>
      <c r="I763">
        <v>0</v>
      </c>
      <c r="J763" t="s">
        <v>27</v>
      </c>
    </row>
    <row r="764" spans="1:10" x14ac:dyDescent="0.25">
      <c r="A764" s="1">
        <v>63</v>
      </c>
      <c r="B764" t="s">
        <v>23</v>
      </c>
      <c r="C764">
        <v>61</v>
      </c>
      <c r="D764">
        <v>2</v>
      </c>
      <c r="E764" t="s">
        <v>46</v>
      </c>
      <c r="F764" t="s">
        <v>47</v>
      </c>
      <c r="G764" t="str">
        <f>"2026-03-18 13:04:15.214"</f>
        <v>2026-03-18 13:04:15.214</v>
      </c>
      <c r="H764" t="s">
        <v>21</v>
      </c>
    </row>
    <row r="765" spans="1:10" x14ac:dyDescent="0.25">
      <c r="A765" s="1">
        <v>64</v>
      </c>
      <c r="B765" t="s">
        <v>38</v>
      </c>
      <c r="C765">
        <v>61</v>
      </c>
      <c r="D765">
        <v>2</v>
      </c>
      <c r="E765" t="s">
        <v>46</v>
      </c>
      <c r="F765" t="s">
        <v>47</v>
      </c>
      <c r="G765" t="str">
        <f>"2026-03-18 13:04:08.414"</f>
        <v>2026-03-18 13:04:08.414</v>
      </c>
      <c r="H765" t="s">
        <v>21</v>
      </c>
      <c r="I765">
        <v>30.88</v>
      </c>
      <c r="J765" t="s">
        <v>28</v>
      </c>
    </row>
    <row r="766" spans="1:10" x14ac:dyDescent="0.25">
      <c r="A766" s="1">
        <v>65</v>
      </c>
      <c r="B766" t="s">
        <v>23</v>
      </c>
      <c r="C766">
        <v>635</v>
      </c>
      <c r="D766">
        <v>1</v>
      </c>
      <c r="E766" t="s">
        <v>24</v>
      </c>
      <c r="F766" t="s">
        <v>25</v>
      </c>
      <c r="G766" t="str">
        <f>"2026-03-18 10:22:02.601"</f>
        <v>2026-03-18 10:22:02.601</v>
      </c>
      <c r="H766" t="s">
        <v>21</v>
      </c>
    </row>
    <row r="767" spans="1:10" x14ac:dyDescent="0.25">
      <c r="A767" s="1">
        <v>66</v>
      </c>
      <c r="B767" t="s">
        <v>26</v>
      </c>
      <c r="C767">
        <v>635</v>
      </c>
      <c r="D767">
        <v>1</v>
      </c>
      <c r="E767" t="s">
        <v>24</v>
      </c>
      <c r="F767" t="s">
        <v>25</v>
      </c>
      <c r="G767" t="str">
        <f>"2026-03-18 10:18:52.602"</f>
        <v>2026-03-18 10:18:52.602</v>
      </c>
      <c r="H767" t="s">
        <v>21</v>
      </c>
      <c r="I767">
        <v>5.0199999999999996</v>
      </c>
      <c r="J767" t="s">
        <v>27</v>
      </c>
    </row>
    <row r="768" spans="1:10" x14ac:dyDescent="0.25">
      <c r="A768" s="1">
        <v>67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"2026-03-16 13:30:54.511"</f>
        <v>2026-03-16 13:30:54.511</v>
      </c>
      <c r="H768" t="s">
        <v>21</v>
      </c>
      <c r="I768">
        <v>0</v>
      </c>
      <c r="J768" t="s">
        <v>22</v>
      </c>
    </row>
    <row r="769" spans="1:10" s="3" customFormat="1" x14ac:dyDescent="0.25">
      <c r="A769" s="2">
        <v>68</v>
      </c>
      <c r="B769" s="3" t="s">
        <v>23</v>
      </c>
      <c r="C769" s="3">
        <v>647</v>
      </c>
      <c r="D769" s="3">
        <v>1</v>
      </c>
      <c r="E769" s="3" t="s">
        <v>30</v>
      </c>
      <c r="F769" s="3" t="s">
        <v>31</v>
      </c>
      <c r="G769" s="3" t="str">
        <f>"2026-03-16 12:06:41.149"</f>
        <v>2026-03-16 12:06:41.149</v>
      </c>
      <c r="H769" s="3" t="s">
        <v>21</v>
      </c>
    </row>
    <row r="770" spans="1:10" s="3" customFormat="1" x14ac:dyDescent="0.25">
      <c r="A770" s="2">
        <v>69</v>
      </c>
      <c r="B770" s="3" t="s">
        <v>26</v>
      </c>
      <c r="C770" s="3">
        <v>647</v>
      </c>
      <c r="D770" s="3">
        <v>1</v>
      </c>
      <c r="E770" s="3" t="s">
        <v>30</v>
      </c>
      <c r="F770" s="3" t="s">
        <v>31</v>
      </c>
      <c r="G770" s="3" t="str">
        <f>"2026-03-16 12:06:38.249"</f>
        <v>2026-03-16 12:06:38.249</v>
      </c>
      <c r="H770" s="3" t="s">
        <v>21</v>
      </c>
      <c r="I770" s="3">
        <v>14.07</v>
      </c>
      <c r="J770" s="3" t="s">
        <v>28</v>
      </c>
    </row>
    <row r="771" spans="1:10" x14ac:dyDescent="0.25">
      <c r="A771" s="1">
        <v>70</v>
      </c>
      <c r="B771" t="s">
        <v>23</v>
      </c>
      <c r="C771">
        <v>61</v>
      </c>
      <c r="D771">
        <v>2</v>
      </c>
      <c r="E771" t="s">
        <v>46</v>
      </c>
      <c r="F771" t="s">
        <v>47</v>
      </c>
      <c r="G771" t="str">
        <f>"2026-03-16 11:53:11.669"</f>
        <v>2026-03-16 11:53:11.669</v>
      </c>
      <c r="H771" t="s">
        <v>21</v>
      </c>
    </row>
    <row r="772" spans="1:10" x14ac:dyDescent="0.25">
      <c r="A772" s="1">
        <v>71</v>
      </c>
      <c r="B772" t="s">
        <v>38</v>
      </c>
      <c r="C772">
        <v>61</v>
      </c>
      <c r="D772">
        <v>2</v>
      </c>
      <c r="E772" t="s">
        <v>46</v>
      </c>
      <c r="F772" t="s">
        <v>47</v>
      </c>
      <c r="G772" t="str">
        <f>"2026-03-16 11:52:40.569"</f>
        <v>2026-03-16 11:52:40.569</v>
      </c>
      <c r="H772" t="s">
        <v>21</v>
      </c>
      <c r="I772">
        <v>30.34</v>
      </c>
      <c r="J772" t="s">
        <v>28</v>
      </c>
    </row>
    <row r="773" spans="1:10" x14ac:dyDescent="0.25">
      <c r="A773" s="1">
        <v>72</v>
      </c>
      <c r="B773" t="s">
        <v>23</v>
      </c>
      <c r="C773">
        <v>61</v>
      </c>
      <c r="D773">
        <v>2</v>
      </c>
      <c r="E773" t="s">
        <v>46</v>
      </c>
      <c r="F773" t="s">
        <v>47</v>
      </c>
      <c r="G773" t="str">
        <f>"2026-03-16 11:18:36.869"</f>
        <v>2026-03-16 11:18:36.869</v>
      </c>
      <c r="H773" t="s">
        <v>21</v>
      </c>
    </row>
    <row r="774" spans="1:10" x14ac:dyDescent="0.25">
      <c r="A774" s="1">
        <v>73</v>
      </c>
      <c r="B774" t="s">
        <v>38</v>
      </c>
      <c r="C774">
        <v>61</v>
      </c>
      <c r="D774">
        <v>2</v>
      </c>
      <c r="E774" t="s">
        <v>46</v>
      </c>
      <c r="F774" t="s">
        <v>47</v>
      </c>
      <c r="G774" t="str">
        <f>"2026-03-16 11:18:06.369"</f>
        <v>2026-03-16 11:18:06.369</v>
      </c>
      <c r="H774" t="s">
        <v>21</v>
      </c>
      <c r="I774">
        <v>30.13</v>
      </c>
      <c r="J774" t="s">
        <v>28</v>
      </c>
    </row>
    <row r="775" spans="1:10" x14ac:dyDescent="0.25">
      <c r="A775" s="1">
        <v>74</v>
      </c>
      <c r="B775" t="s">
        <v>23</v>
      </c>
      <c r="C775">
        <v>61</v>
      </c>
      <c r="D775">
        <v>2</v>
      </c>
      <c r="E775" t="s">
        <v>46</v>
      </c>
      <c r="F775" t="s">
        <v>47</v>
      </c>
      <c r="G775" t="str">
        <f>"2026-03-16 09:11:00.869"</f>
        <v>2026-03-16 09:11:00.869</v>
      </c>
      <c r="H775" t="s">
        <v>21</v>
      </c>
    </row>
    <row r="776" spans="1:10" x14ac:dyDescent="0.25">
      <c r="A776" s="1">
        <v>75</v>
      </c>
      <c r="B776" t="s">
        <v>38</v>
      </c>
      <c r="C776">
        <v>61</v>
      </c>
      <c r="D776">
        <v>2</v>
      </c>
      <c r="E776" t="s">
        <v>46</v>
      </c>
      <c r="F776" t="s">
        <v>47</v>
      </c>
      <c r="G776" t="str">
        <f>"2026-03-16 09:10:41.869"</f>
        <v>2026-03-16 09:10:41.869</v>
      </c>
      <c r="H776" t="s">
        <v>21</v>
      </c>
      <c r="I776">
        <v>30.27</v>
      </c>
      <c r="J776" t="s">
        <v>28</v>
      </c>
    </row>
    <row r="777" spans="1:10" x14ac:dyDescent="0.25">
      <c r="A777" s="1">
        <v>76</v>
      </c>
      <c r="B777" t="s">
        <v>23</v>
      </c>
      <c r="C777">
        <v>635</v>
      </c>
      <c r="D777">
        <v>1</v>
      </c>
      <c r="E777" t="s">
        <v>24</v>
      </c>
      <c r="F777" t="s">
        <v>25</v>
      </c>
      <c r="G777" t="str">
        <f>"2026-03-16 02:57:22.048"</f>
        <v>2026-03-16 02:57:22.048</v>
      </c>
      <c r="H777" t="s">
        <v>21</v>
      </c>
    </row>
    <row r="778" spans="1:10" x14ac:dyDescent="0.25">
      <c r="A778" s="1">
        <v>77</v>
      </c>
      <c r="B778" t="s">
        <v>26</v>
      </c>
      <c r="C778">
        <v>635</v>
      </c>
      <c r="D778">
        <v>1</v>
      </c>
      <c r="E778" t="s">
        <v>24</v>
      </c>
      <c r="F778" t="s">
        <v>25</v>
      </c>
      <c r="G778" t="str">
        <f>"2026-03-16 02:53:39.549"</f>
        <v>2026-03-16 02:53:39.549</v>
      </c>
      <c r="H778" t="s">
        <v>21</v>
      </c>
      <c r="I778">
        <v>2.63</v>
      </c>
      <c r="J778" t="s">
        <v>29</v>
      </c>
    </row>
    <row r="779" spans="1:10" x14ac:dyDescent="0.25">
      <c r="A779" s="1">
        <v>78</v>
      </c>
      <c r="B779" t="s">
        <v>23</v>
      </c>
      <c r="C779">
        <v>61</v>
      </c>
      <c r="D779">
        <v>2</v>
      </c>
      <c r="E779" t="s">
        <v>46</v>
      </c>
      <c r="F779" t="s">
        <v>47</v>
      </c>
      <c r="G779" t="str">
        <f>"2026-03-14 19:30:07.769"</f>
        <v>2026-03-14 19:30:07.769</v>
      </c>
      <c r="H779" t="s">
        <v>21</v>
      </c>
    </row>
    <row r="780" spans="1:10" x14ac:dyDescent="0.25">
      <c r="A780" s="1">
        <v>79</v>
      </c>
      <c r="B780" t="s">
        <v>38</v>
      </c>
      <c r="C780">
        <v>61</v>
      </c>
      <c r="D780">
        <v>2</v>
      </c>
      <c r="E780" t="s">
        <v>46</v>
      </c>
      <c r="F780" t="s">
        <v>47</v>
      </c>
      <c r="G780" t="str">
        <f>"2026-03-14 19:29:36.269"</f>
        <v>2026-03-14 19:29:36.269</v>
      </c>
      <c r="H780" t="s">
        <v>21</v>
      </c>
      <c r="I780">
        <v>30.22</v>
      </c>
      <c r="J780" t="s">
        <v>28</v>
      </c>
    </row>
    <row r="781" spans="1:10" x14ac:dyDescent="0.25">
      <c r="A781" s="1">
        <v>80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"2026-03-13 21:22:56.493"</f>
        <v>2026-03-13 21:22:56.493</v>
      </c>
      <c r="H781" t="s">
        <v>21</v>
      </c>
    </row>
    <row r="782" spans="1:10" x14ac:dyDescent="0.25">
      <c r="A782" s="1">
        <v>81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"2026-03-13 21:17:40.498"</f>
        <v>2026-03-13 21:17:40.498</v>
      </c>
      <c r="H782" t="s">
        <v>21</v>
      </c>
      <c r="I782">
        <v>0</v>
      </c>
      <c r="J782" t="s">
        <v>22</v>
      </c>
    </row>
    <row r="783" spans="1:10" x14ac:dyDescent="0.25">
      <c r="A783" s="1">
        <v>82</v>
      </c>
      <c r="B783" t="s">
        <v>23</v>
      </c>
      <c r="C783">
        <v>635</v>
      </c>
      <c r="D783">
        <v>1</v>
      </c>
      <c r="E783" t="s">
        <v>24</v>
      </c>
      <c r="F783" t="s">
        <v>25</v>
      </c>
      <c r="G783" t="str">
        <f>"2026-03-13 05:36:36.260"</f>
        <v>2026-03-13 05:36:36.260</v>
      </c>
      <c r="H783" t="s">
        <v>21</v>
      </c>
    </row>
    <row r="784" spans="1:10" x14ac:dyDescent="0.25">
      <c r="A784" s="1">
        <v>83</v>
      </c>
      <c r="B784" t="s">
        <v>26</v>
      </c>
      <c r="C784">
        <v>635</v>
      </c>
      <c r="D784">
        <v>1</v>
      </c>
      <c r="E784" t="s">
        <v>24</v>
      </c>
      <c r="F784" t="s">
        <v>25</v>
      </c>
      <c r="G784" t="str">
        <f>"2026-03-13 05:22:39.260"</f>
        <v>2026-03-13 05:22:39.260</v>
      </c>
      <c r="H784" t="s">
        <v>21</v>
      </c>
      <c r="I784">
        <v>8.65</v>
      </c>
      <c r="J784" t="s">
        <v>29</v>
      </c>
    </row>
    <row r="785" spans="1:10" x14ac:dyDescent="0.25">
      <c r="A785" s="1">
        <v>84</v>
      </c>
      <c r="B785" t="s">
        <v>23</v>
      </c>
      <c r="C785">
        <v>61</v>
      </c>
      <c r="D785">
        <v>2</v>
      </c>
      <c r="E785" t="s">
        <v>46</v>
      </c>
      <c r="F785" t="s">
        <v>47</v>
      </c>
      <c r="G785" t="str">
        <f>"2026-03-12 17:10:39.721"</f>
        <v>2026-03-12 17:10:39.721</v>
      </c>
      <c r="H785" t="s">
        <v>21</v>
      </c>
    </row>
    <row r="786" spans="1:10" x14ac:dyDescent="0.25">
      <c r="A786" s="1">
        <v>85</v>
      </c>
      <c r="B786" t="s">
        <v>38</v>
      </c>
      <c r="C786">
        <v>61</v>
      </c>
      <c r="D786">
        <v>2</v>
      </c>
      <c r="E786" t="s">
        <v>46</v>
      </c>
      <c r="F786" t="s">
        <v>47</v>
      </c>
      <c r="G786" t="str">
        <f>"2026-03-12 17:10:09.721"</f>
        <v>2026-03-12 17:10:09.721</v>
      </c>
      <c r="H786" t="s">
        <v>21</v>
      </c>
      <c r="I786">
        <v>30.21</v>
      </c>
      <c r="J786" t="s">
        <v>28</v>
      </c>
    </row>
    <row r="787" spans="1:10" x14ac:dyDescent="0.25">
      <c r="A787" s="1">
        <v>86</v>
      </c>
      <c r="B787" t="s">
        <v>23</v>
      </c>
      <c r="C787">
        <v>635</v>
      </c>
      <c r="D787">
        <v>1</v>
      </c>
      <c r="E787" t="s">
        <v>24</v>
      </c>
      <c r="F787" t="s">
        <v>25</v>
      </c>
      <c r="G787" t="str">
        <f>"2026-03-12 15:20:28.160"</f>
        <v>2026-03-12 15:20:28.160</v>
      </c>
      <c r="H787" t="s">
        <v>21</v>
      </c>
    </row>
    <row r="788" spans="1:10" x14ac:dyDescent="0.25">
      <c r="A788" s="1">
        <v>87</v>
      </c>
      <c r="B788" t="s">
        <v>26</v>
      </c>
      <c r="C788">
        <v>635</v>
      </c>
      <c r="D788">
        <v>1</v>
      </c>
      <c r="E788" t="s">
        <v>24</v>
      </c>
      <c r="F788" t="s">
        <v>25</v>
      </c>
      <c r="G788" t="str">
        <f>"2026-03-12 15:18:22.660"</f>
        <v>2026-03-12 15:18:22.660</v>
      </c>
      <c r="H788" t="s">
        <v>21</v>
      </c>
      <c r="I788">
        <v>2.67</v>
      </c>
      <c r="J788" t="s">
        <v>29</v>
      </c>
    </row>
    <row r="789" spans="1:10" x14ac:dyDescent="0.25">
      <c r="A789" s="1">
        <v>88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"2026-03-12 09:01:13.515"</f>
        <v>2026-03-12 09:01:13.515</v>
      </c>
      <c r="H789" t="s">
        <v>21</v>
      </c>
    </row>
    <row r="790" spans="1:10" s="3" customFormat="1" x14ac:dyDescent="0.25">
      <c r="A790" s="2">
        <v>89</v>
      </c>
      <c r="B790" s="3" t="s">
        <v>23</v>
      </c>
      <c r="C790" s="3">
        <v>647</v>
      </c>
      <c r="D790" s="3">
        <v>1</v>
      </c>
      <c r="E790" s="3" t="s">
        <v>30</v>
      </c>
      <c r="F790" s="3" t="s">
        <v>31</v>
      </c>
      <c r="G790" s="3" t="str">
        <f>"2026-03-12 06:08:57.395"</f>
        <v>2026-03-12 06:08:57.395</v>
      </c>
      <c r="H790" s="3" t="s">
        <v>21</v>
      </c>
    </row>
    <row r="791" spans="1:10" s="3" customFormat="1" x14ac:dyDescent="0.25">
      <c r="A791" s="2">
        <v>90</v>
      </c>
      <c r="B791" s="3" t="s">
        <v>26</v>
      </c>
      <c r="C791" s="3">
        <v>647</v>
      </c>
      <c r="D791" s="3">
        <v>1</v>
      </c>
      <c r="E791" s="3" t="s">
        <v>30</v>
      </c>
      <c r="F791" s="3" t="s">
        <v>31</v>
      </c>
      <c r="G791" s="3" t="str">
        <f>"2026-03-12 06:08:53.395"</f>
        <v>2026-03-12 06:08:53.395</v>
      </c>
      <c r="H791" s="3" t="s">
        <v>21</v>
      </c>
      <c r="I791" s="3">
        <v>8.27</v>
      </c>
      <c r="J791" s="3" t="s">
        <v>28</v>
      </c>
    </row>
    <row r="792" spans="1:10" x14ac:dyDescent="0.25">
      <c r="A792" s="1">
        <v>91</v>
      </c>
      <c r="B792" t="s">
        <v>23</v>
      </c>
      <c r="C792">
        <v>635</v>
      </c>
      <c r="D792">
        <v>1</v>
      </c>
      <c r="E792" t="s">
        <v>24</v>
      </c>
      <c r="F792" t="s">
        <v>25</v>
      </c>
      <c r="G792" t="str">
        <f>"2026-03-11 08:48:41.341"</f>
        <v>2026-03-11 08:48:41.341</v>
      </c>
      <c r="H792" t="s">
        <v>21</v>
      </c>
    </row>
    <row r="793" spans="1:10" x14ac:dyDescent="0.25">
      <c r="A793" s="1">
        <v>92</v>
      </c>
      <c r="B793" t="s">
        <v>26</v>
      </c>
      <c r="C793">
        <v>635</v>
      </c>
      <c r="D793">
        <v>1</v>
      </c>
      <c r="E793" t="s">
        <v>24</v>
      </c>
      <c r="F793" t="s">
        <v>25</v>
      </c>
      <c r="G793" t="str">
        <f>"2026-03-11 08:45:07.342"</f>
        <v>2026-03-11 08:45:07.342</v>
      </c>
      <c r="H793" t="s">
        <v>21</v>
      </c>
      <c r="I793">
        <v>4.5999999999999996</v>
      </c>
      <c r="J793" t="s">
        <v>29</v>
      </c>
    </row>
    <row r="794" spans="1:10" x14ac:dyDescent="0.25">
      <c r="A794" s="1">
        <v>93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"2026-03-11 07:43:02.511"</f>
        <v>2026-03-11 07:43:02.511</v>
      </c>
      <c r="H794" t="s">
        <v>21</v>
      </c>
      <c r="I794">
        <v>0</v>
      </c>
      <c r="J794" t="s">
        <v>22</v>
      </c>
    </row>
    <row r="795" spans="1:10" x14ac:dyDescent="0.25">
      <c r="A795" s="1">
        <v>94</v>
      </c>
      <c r="B795" t="s">
        <v>23</v>
      </c>
      <c r="C795">
        <v>635</v>
      </c>
      <c r="D795">
        <v>1</v>
      </c>
      <c r="E795" t="s">
        <v>24</v>
      </c>
      <c r="F795" t="s">
        <v>25</v>
      </c>
      <c r="G795" t="str">
        <f>"2026-03-11 07:10:34.069"</f>
        <v>2026-03-11 07:10:34.069</v>
      </c>
      <c r="H795" t="s">
        <v>21</v>
      </c>
    </row>
    <row r="796" spans="1:10" x14ac:dyDescent="0.25">
      <c r="A796" s="1">
        <v>95</v>
      </c>
      <c r="B796" t="s">
        <v>26</v>
      </c>
      <c r="C796">
        <v>635</v>
      </c>
      <c r="D796">
        <v>1</v>
      </c>
      <c r="E796" t="s">
        <v>24</v>
      </c>
      <c r="F796" t="s">
        <v>25</v>
      </c>
      <c r="G796" t="str">
        <f>"2026-03-11 07:08:07.070"</f>
        <v>2026-03-11 07:08:07.070</v>
      </c>
      <c r="H796" t="s">
        <v>21</v>
      </c>
      <c r="I796">
        <v>-1.29</v>
      </c>
      <c r="J796" t="s">
        <v>27</v>
      </c>
    </row>
    <row r="797" spans="1:10" x14ac:dyDescent="0.25">
      <c r="A797" s="1">
        <v>96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"2026-03-10 16:59:32.480"</f>
        <v>2026-03-10 16:59:32.480</v>
      </c>
      <c r="H797" t="s">
        <v>21</v>
      </c>
    </row>
    <row r="798" spans="1:10" x14ac:dyDescent="0.25">
      <c r="A798" s="1">
        <v>97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"2026-03-10 15:31:57.510"</f>
        <v>2026-03-10 15:31:57.510</v>
      </c>
      <c r="H798" t="s">
        <v>21</v>
      </c>
      <c r="I798">
        <v>0</v>
      </c>
      <c r="J798" t="s">
        <v>22</v>
      </c>
    </row>
    <row r="799" spans="1:10" x14ac:dyDescent="0.25">
      <c r="A799" s="1">
        <v>98</v>
      </c>
      <c r="B799" t="s">
        <v>19</v>
      </c>
      <c r="C799">
        <v>706</v>
      </c>
      <c r="D799">
        <v>4</v>
      </c>
      <c r="E799" t="s">
        <v>32</v>
      </c>
      <c r="F799" t="s">
        <v>48</v>
      </c>
      <c r="G799" t="str">
        <f>"2026-03-10 15:29:54.989"</f>
        <v>2026-03-10 15:29:54.989</v>
      </c>
      <c r="H799" t="s">
        <v>21</v>
      </c>
      <c r="I799">
        <v>0</v>
      </c>
      <c r="J799" t="s">
        <v>34</v>
      </c>
    </row>
    <row r="800" spans="1:10" x14ac:dyDescent="0.25">
      <c r="A800" s="1">
        <v>99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"2026-03-10 13:45:41.509"</f>
        <v>2026-03-10 13:45:41.509</v>
      </c>
      <c r="H800" t="s">
        <v>21</v>
      </c>
      <c r="I800">
        <v>0</v>
      </c>
      <c r="J800" t="s">
        <v>22</v>
      </c>
    </row>
    <row r="801" spans="1:10" x14ac:dyDescent="0.25">
      <c r="A801" s="1">
        <v>0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"2026-03-10 10:44:31.644"</f>
        <v>2026-03-10 10:44:31.644</v>
      </c>
      <c r="H801" t="s">
        <v>21</v>
      </c>
      <c r="I801">
        <v>0</v>
      </c>
      <c r="J801" t="s">
        <v>22</v>
      </c>
    </row>
    <row r="802" spans="1:10" x14ac:dyDescent="0.25">
      <c r="A802" s="1">
        <v>1</v>
      </c>
      <c r="B802" t="s">
        <v>19</v>
      </c>
      <c r="C802">
        <v>706</v>
      </c>
      <c r="D802">
        <v>4</v>
      </c>
      <c r="E802" t="s">
        <v>32</v>
      </c>
      <c r="F802" t="s">
        <v>48</v>
      </c>
      <c r="G802" t="str">
        <f>"2026-03-10 10:30:32.279"</f>
        <v>2026-03-10 10:30:32.279</v>
      </c>
      <c r="H802" t="s">
        <v>21</v>
      </c>
      <c r="I802">
        <v>0</v>
      </c>
      <c r="J802" t="s">
        <v>34</v>
      </c>
    </row>
    <row r="803" spans="1:10" x14ac:dyDescent="0.25">
      <c r="A803" s="1">
        <v>2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"2026-03-10 10:28:53.729"</f>
        <v>2026-03-10 10:28:53.729</v>
      </c>
      <c r="H803" t="s">
        <v>21</v>
      </c>
    </row>
    <row r="804" spans="1:10" x14ac:dyDescent="0.25">
      <c r="A804" s="1">
        <v>3</v>
      </c>
      <c r="B804" t="s">
        <v>23</v>
      </c>
      <c r="C804">
        <v>635</v>
      </c>
      <c r="D804">
        <v>1</v>
      </c>
      <c r="E804" t="s">
        <v>24</v>
      </c>
      <c r="F804" t="s">
        <v>25</v>
      </c>
      <c r="G804" t="str">
        <f>"2026-03-09 17:50:38.299"</f>
        <v>2026-03-09 17:50:38.299</v>
      </c>
      <c r="H804" t="s">
        <v>21</v>
      </c>
    </row>
    <row r="805" spans="1:10" x14ac:dyDescent="0.25">
      <c r="A805" s="1">
        <v>4</v>
      </c>
      <c r="B805" t="s">
        <v>26</v>
      </c>
      <c r="C805">
        <v>635</v>
      </c>
      <c r="D805">
        <v>1</v>
      </c>
      <c r="E805" t="s">
        <v>24</v>
      </c>
      <c r="F805" t="s">
        <v>25</v>
      </c>
      <c r="G805" t="str">
        <f>"2026-03-09 17:47:07.299"</f>
        <v>2026-03-09 17:47:07.299</v>
      </c>
      <c r="H805" t="s">
        <v>21</v>
      </c>
      <c r="I805">
        <v>3.55</v>
      </c>
      <c r="J805" t="s">
        <v>29</v>
      </c>
    </row>
    <row r="806" spans="1:10" s="3" customFormat="1" x14ac:dyDescent="0.25">
      <c r="A806" s="2">
        <v>5</v>
      </c>
      <c r="B806" s="3" t="s">
        <v>23</v>
      </c>
      <c r="C806" s="3">
        <v>647</v>
      </c>
      <c r="D806" s="3">
        <v>1</v>
      </c>
      <c r="E806" s="3" t="s">
        <v>30</v>
      </c>
      <c r="F806" s="3" t="s">
        <v>31</v>
      </c>
      <c r="G806" s="3" t="str">
        <f>"2026-03-08 10:51:16.099"</f>
        <v>2026-03-08 10:51:16.099</v>
      </c>
      <c r="H806" s="3" t="s">
        <v>21</v>
      </c>
    </row>
    <row r="807" spans="1:10" s="3" customFormat="1" x14ac:dyDescent="0.25">
      <c r="A807" s="2">
        <v>6</v>
      </c>
      <c r="B807" s="3" t="s">
        <v>26</v>
      </c>
      <c r="C807" s="3">
        <v>647</v>
      </c>
      <c r="D807" s="3">
        <v>1</v>
      </c>
      <c r="E807" s="3" t="s">
        <v>30</v>
      </c>
      <c r="F807" s="3" t="s">
        <v>31</v>
      </c>
      <c r="G807" s="3" t="str">
        <f>"2026-03-08 10:51:14.799"</f>
        <v>2026-03-08 10:51:14.799</v>
      </c>
      <c r="H807" s="3" t="s">
        <v>21</v>
      </c>
      <c r="I807" s="3">
        <v>13.12</v>
      </c>
      <c r="J807" s="3" t="s">
        <v>28</v>
      </c>
    </row>
    <row r="808" spans="1:10" x14ac:dyDescent="0.25">
      <c r="A808" s="1">
        <v>7</v>
      </c>
      <c r="B808" t="s">
        <v>23</v>
      </c>
      <c r="C808">
        <v>635</v>
      </c>
      <c r="D808">
        <v>1</v>
      </c>
      <c r="E808" t="s">
        <v>24</v>
      </c>
      <c r="F808" t="s">
        <v>25</v>
      </c>
      <c r="G808" t="str">
        <f>"2026-03-08 06:19:26.399"</f>
        <v>2026-03-08 06:19:26.399</v>
      </c>
      <c r="H808" t="s">
        <v>21</v>
      </c>
    </row>
    <row r="809" spans="1:10" x14ac:dyDescent="0.25">
      <c r="A809" s="1">
        <v>8</v>
      </c>
      <c r="B809" t="s">
        <v>26</v>
      </c>
      <c r="C809">
        <v>635</v>
      </c>
      <c r="D809">
        <v>1</v>
      </c>
      <c r="E809" t="s">
        <v>24</v>
      </c>
      <c r="F809" t="s">
        <v>25</v>
      </c>
      <c r="G809" t="str">
        <f>"2026-03-08 06:07:02.399"</f>
        <v>2026-03-08 06:07:02.399</v>
      </c>
      <c r="H809" t="s">
        <v>21</v>
      </c>
      <c r="I809">
        <v>5.01</v>
      </c>
      <c r="J809" t="s">
        <v>29</v>
      </c>
    </row>
    <row r="810" spans="1:10" x14ac:dyDescent="0.25">
      <c r="A810" s="1">
        <v>9</v>
      </c>
      <c r="B810" t="s">
        <v>23</v>
      </c>
      <c r="C810">
        <v>61</v>
      </c>
      <c r="D810">
        <v>2</v>
      </c>
      <c r="E810" t="s">
        <v>46</v>
      </c>
      <c r="F810" t="s">
        <v>47</v>
      </c>
      <c r="G810" t="str">
        <f>"2026-03-07 16:11:51.512"</f>
        <v>2026-03-07 16:11:51.512</v>
      </c>
      <c r="H810" t="s">
        <v>21</v>
      </c>
    </row>
    <row r="811" spans="1:10" x14ac:dyDescent="0.25">
      <c r="A811" s="1">
        <v>10</v>
      </c>
      <c r="B811" t="s">
        <v>38</v>
      </c>
      <c r="C811">
        <v>61</v>
      </c>
      <c r="D811">
        <v>2</v>
      </c>
      <c r="E811" t="s">
        <v>46</v>
      </c>
      <c r="F811" t="s">
        <v>47</v>
      </c>
      <c r="G811" t="str">
        <f>"2026-03-07 16:11:21.112"</f>
        <v>2026-03-07 16:11:21.112</v>
      </c>
      <c r="H811" t="s">
        <v>21</v>
      </c>
      <c r="I811">
        <v>30.13</v>
      </c>
      <c r="J811" t="s">
        <v>28</v>
      </c>
    </row>
    <row r="812" spans="1:10" x14ac:dyDescent="0.25">
      <c r="A812" s="1">
        <v>11</v>
      </c>
      <c r="B812" t="s">
        <v>23</v>
      </c>
      <c r="C812">
        <v>61</v>
      </c>
      <c r="D812">
        <v>2</v>
      </c>
      <c r="E812" t="s">
        <v>46</v>
      </c>
      <c r="F812" t="s">
        <v>47</v>
      </c>
      <c r="G812" t="str">
        <f>"2026-03-07 12:13:24.912"</f>
        <v>2026-03-07 12:13:24.912</v>
      </c>
      <c r="H812" t="s">
        <v>21</v>
      </c>
    </row>
    <row r="813" spans="1:10" x14ac:dyDescent="0.25">
      <c r="A813" s="1">
        <v>12</v>
      </c>
      <c r="B813" t="s">
        <v>38</v>
      </c>
      <c r="C813">
        <v>61</v>
      </c>
      <c r="D813">
        <v>2</v>
      </c>
      <c r="E813" t="s">
        <v>46</v>
      </c>
      <c r="F813" t="s">
        <v>47</v>
      </c>
      <c r="G813" t="str">
        <f>"2026-03-07 12:12:41.812"</f>
        <v>2026-03-07 12:12:41.812</v>
      </c>
      <c r="H813" t="s">
        <v>21</v>
      </c>
      <c r="I813">
        <v>30.73</v>
      </c>
      <c r="J813" t="s">
        <v>28</v>
      </c>
    </row>
    <row r="814" spans="1:10" x14ac:dyDescent="0.25">
      <c r="A814" s="1">
        <v>13</v>
      </c>
      <c r="B814" t="s">
        <v>23</v>
      </c>
      <c r="C814">
        <v>61</v>
      </c>
      <c r="D814">
        <v>2</v>
      </c>
      <c r="E814" t="s">
        <v>46</v>
      </c>
      <c r="F814" t="s">
        <v>47</v>
      </c>
      <c r="G814" t="str">
        <f>"2026-03-07 10:39:05.012"</f>
        <v>2026-03-07 10:39:05.012</v>
      </c>
      <c r="H814" t="s">
        <v>21</v>
      </c>
    </row>
    <row r="815" spans="1:10" x14ac:dyDescent="0.25">
      <c r="A815" s="1">
        <v>14</v>
      </c>
      <c r="B815" t="s">
        <v>38</v>
      </c>
      <c r="C815">
        <v>61</v>
      </c>
      <c r="D815">
        <v>2</v>
      </c>
      <c r="E815" t="s">
        <v>46</v>
      </c>
      <c r="F815" t="s">
        <v>47</v>
      </c>
      <c r="G815" t="str">
        <f>"2026-03-07 10:38:33.912"</f>
        <v>2026-03-07 10:38:33.912</v>
      </c>
      <c r="H815" t="s">
        <v>21</v>
      </c>
      <c r="I815">
        <v>30.41</v>
      </c>
      <c r="J815" t="s">
        <v>28</v>
      </c>
    </row>
    <row r="816" spans="1:10" x14ac:dyDescent="0.25">
      <c r="A816" s="1">
        <v>15</v>
      </c>
      <c r="B816" t="s">
        <v>23</v>
      </c>
      <c r="C816">
        <v>635</v>
      </c>
      <c r="D816">
        <v>1</v>
      </c>
      <c r="E816" t="s">
        <v>24</v>
      </c>
      <c r="F816" t="s">
        <v>25</v>
      </c>
      <c r="G816" t="str">
        <f>"2026-03-07 10:27:01.899"</f>
        <v>2026-03-07 10:27:01.899</v>
      </c>
      <c r="H816" t="s">
        <v>21</v>
      </c>
    </row>
    <row r="817" spans="1:10" x14ac:dyDescent="0.25">
      <c r="A817" s="1">
        <v>16</v>
      </c>
      <c r="B817" t="s">
        <v>26</v>
      </c>
      <c r="C817">
        <v>635</v>
      </c>
      <c r="D817">
        <v>1</v>
      </c>
      <c r="E817" t="s">
        <v>24</v>
      </c>
      <c r="F817" t="s">
        <v>25</v>
      </c>
      <c r="G817" t="str">
        <f>"2026-03-07 10:23:52.399"</f>
        <v>2026-03-07 10:23:52.399</v>
      </c>
      <c r="H817" t="s">
        <v>21</v>
      </c>
      <c r="I817">
        <v>0.01</v>
      </c>
      <c r="J817" t="s">
        <v>27</v>
      </c>
    </row>
    <row r="818" spans="1:10" s="3" customFormat="1" x14ac:dyDescent="0.25">
      <c r="A818" s="2">
        <v>17</v>
      </c>
      <c r="B818" s="3" t="s">
        <v>23</v>
      </c>
      <c r="C818" s="3">
        <v>647</v>
      </c>
      <c r="D818" s="3">
        <v>1</v>
      </c>
      <c r="E818" s="3" t="s">
        <v>30</v>
      </c>
      <c r="F818" s="3" t="s">
        <v>31</v>
      </c>
      <c r="G818" s="3" t="str">
        <f>"2026-03-05 15:40:00.899"</f>
        <v>2026-03-05 15:40:00.899</v>
      </c>
      <c r="H818" s="3" t="s">
        <v>21</v>
      </c>
    </row>
    <row r="819" spans="1:10" s="3" customFormat="1" x14ac:dyDescent="0.25">
      <c r="A819" s="2">
        <v>18</v>
      </c>
      <c r="B819" s="3" t="s">
        <v>26</v>
      </c>
      <c r="C819" s="3">
        <v>647</v>
      </c>
      <c r="D819" s="3">
        <v>1</v>
      </c>
      <c r="E819" s="3" t="s">
        <v>30</v>
      </c>
      <c r="F819" s="3" t="s">
        <v>31</v>
      </c>
      <c r="G819" s="3" t="str">
        <f>"2026-03-05 15:39:58.599"</f>
        <v>2026-03-05 15:39:58.599</v>
      </c>
      <c r="H819" s="3" t="s">
        <v>21</v>
      </c>
      <c r="I819" s="3">
        <v>9.68</v>
      </c>
      <c r="J819" s="3" t="s">
        <v>28</v>
      </c>
    </row>
    <row r="820" spans="1:10" x14ac:dyDescent="0.25">
      <c r="A820" s="1">
        <v>19</v>
      </c>
      <c r="B820" t="s">
        <v>23</v>
      </c>
      <c r="C820">
        <v>635</v>
      </c>
      <c r="D820">
        <v>1</v>
      </c>
      <c r="E820" t="s">
        <v>24</v>
      </c>
      <c r="F820" t="s">
        <v>25</v>
      </c>
      <c r="G820" t="str">
        <f>"2026-03-05 04:49:16.799"</f>
        <v>2026-03-05 04:49:16.799</v>
      </c>
      <c r="H820" t="s">
        <v>21</v>
      </c>
    </row>
    <row r="821" spans="1:10" x14ac:dyDescent="0.25">
      <c r="A821" s="1">
        <v>20</v>
      </c>
      <c r="B821" t="s">
        <v>26</v>
      </c>
      <c r="C821">
        <v>635</v>
      </c>
      <c r="D821">
        <v>1</v>
      </c>
      <c r="E821" t="s">
        <v>24</v>
      </c>
      <c r="F821" t="s">
        <v>25</v>
      </c>
      <c r="G821" t="str">
        <f>"2026-03-05 04:42:32.799"</f>
        <v>2026-03-05 04:42:32.799</v>
      </c>
      <c r="H821" t="s">
        <v>21</v>
      </c>
      <c r="I821">
        <v>1.07</v>
      </c>
      <c r="J821" t="s">
        <v>29</v>
      </c>
    </row>
    <row r="822" spans="1:10" s="3" customFormat="1" x14ac:dyDescent="0.25">
      <c r="A822" s="2">
        <v>21</v>
      </c>
      <c r="B822" s="3" t="s">
        <v>23</v>
      </c>
      <c r="C822" s="3">
        <v>647</v>
      </c>
      <c r="D822" s="3">
        <v>1</v>
      </c>
      <c r="E822" s="3" t="s">
        <v>30</v>
      </c>
      <c r="F822" s="3" t="s">
        <v>31</v>
      </c>
      <c r="G822" s="3" t="str">
        <f>"2026-03-04 20:00:27.199"</f>
        <v>2026-03-04 20:00:27.199</v>
      </c>
      <c r="H822" s="3" t="s">
        <v>21</v>
      </c>
    </row>
    <row r="823" spans="1:10" s="3" customFormat="1" x14ac:dyDescent="0.25">
      <c r="A823" s="2">
        <v>22</v>
      </c>
      <c r="B823" s="3" t="s">
        <v>26</v>
      </c>
      <c r="C823" s="3">
        <v>647</v>
      </c>
      <c r="D823" s="3">
        <v>1</v>
      </c>
      <c r="E823" s="3" t="s">
        <v>30</v>
      </c>
      <c r="F823" s="3" t="s">
        <v>31</v>
      </c>
      <c r="G823" s="3" t="str">
        <f>"2026-03-04 20:00:21.799"</f>
        <v>2026-03-04 20:00:21.799</v>
      </c>
      <c r="H823" s="3" t="s">
        <v>21</v>
      </c>
      <c r="I823" s="3">
        <v>13.11</v>
      </c>
      <c r="J823" s="3" t="s">
        <v>28</v>
      </c>
    </row>
    <row r="824" spans="1:10" s="3" customFormat="1" x14ac:dyDescent="0.25">
      <c r="A824" s="2">
        <v>23</v>
      </c>
      <c r="B824" s="3" t="s">
        <v>23</v>
      </c>
      <c r="C824" s="3">
        <v>647</v>
      </c>
      <c r="D824" s="3">
        <v>1</v>
      </c>
      <c r="E824" s="3" t="s">
        <v>30</v>
      </c>
      <c r="F824" s="3" t="s">
        <v>31</v>
      </c>
      <c r="G824" s="3" t="str">
        <f>"2026-03-04 19:00:11.199"</f>
        <v>2026-03-04 19:00:11.199</v>
      </c>
      <c r="H824" s="3" t="s">
        <v>21</v>
      </c>
    </row>
    <row r="825" spans="1:10" s="3" customFormat="1" x14ac:dyDescent="0.25">
      <c r="A825" s="2">
        <v>24</v>
      </c>
      <c r="B825" s="3" t="s">
        <v>26</v>
      </c>
      <c r="C825" s="3">
        <v>647</v>
      </c>
      <c r="D825" s="3">
        <v>1</v>
      </c>
      <c r="E825" s="3" t="s">
        <v>30</v>
      </c>
      <c r="F825" s="3" t="s">
        <v>31</v>
      </c>
      <c r="G825" s="3" t="str">
        <f>"2026-03-04 19:00:08.300"</f>
        <v>2026-03-04 19:00:08.300</v>
      </c>
      <c r="H825" s="3" t="s">
        <v>21</v>
      </c>
      <c r="I825" s="3">
        <v>22.7</v>
      </c>
      <c r="J825" s="3" t="s">
        <v>28</v>
      </c>
    </row>
    <row r="826" spans="1:10" x14ac:dyDescent="0.25">
      <c r="A826" s="1">
        <v>25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"2026-03-04 12:18:41.500"</f>
        <v>2026-03-04 12:18:41.500</v>
      </c>
      <c r="H826" t="s">
        <v>21</v>
      </c>
      <c r="I826">
        <v>0</v>
      </c>
      <c r="J826" t="s">
        <v>22</v>
      </c>
    </row>
    <row r="827" spans="1:10" x14ac:dyDescent="0.25">
      <c r="A827" s="1">
        <v>26</v>
      </c>
      <c r="B827" t="s">
        <v>23</v>
      </c>
      <c r="C827">
        <v>635</v>
      </c>
      <c r="D827">
        <v>1</v>
      </c>
      <c r="E827" t="s">
        <v>24</v>
      </c>
      <c r="F827" t="s">
        <v>25</v>
      </c>
      <c r="G827" t="str">
        <f>"2026-03-04 09:27:50.735"</f>
        <v>2026-03-04 09:27:50.735</v>
      </c>
      <c r="H827" t="s">
        <v>21</v>
      </c>
    </row>
    <row r="828" spans="1:10" x14ac:dyDescent="0.25">
      <c r="A828" s="1">
        <v>27</v>
      </c>
      <c r="B828" t="s">
        <v>26</v>
      </c>
      <c r="C828">
        <v>635</v>
      </c>
      <c r="D828">
        <v>1</v>
      </c>
      <c r="E828" t="s">
        <v>24</v>
      </c>
      <c r="F828" t="s">
        <v>25</v>
      </c>
      <c r="G828" t="str">
        <f>"2026-03-04 09:24:56.735"</f>
        <v>2026-03-04 09:24:56.735</v>
      </c>
      <c r="H828" t="s">
        <v>21</v>
      </c>
      <c r="I828">
        <v>3.85</v>
      </c>
      <c r="J828" t="s">
        <v>27</v>
      </c>
    </row>
    <row r="829" spans="1:10" x14ac:dyDescent="0.25">
      <c r="A829" s="1">
        <v>28</v>
      </c>
      <c r="B829" t="s">
        <v>23</v>
      </c>
      <c r="C829">
        <v>61</v>
      </c>
      <c r="D829">
        <v>2</v>
      </c>
      <c r="E829" t="s">
        <v>46</v>
      </c>
      <c r="F829" t="s">
        <v>47</v>
      </c>
      <c r="G829" t="str">
        <f>"2026-03-04 07:29:02.508"</f>
        <v>2026-03-04 07:29:02.508</v>
      </c>
      <c r="H829" t="s">
        <v>21</v>
      </c>
    </row>
    <row r="830" spans="1:10" x14ac:dyDescent="0.25">
      <c r="A830" s="1">
        <v>29</v>
      </c>
      <c r="B830" t="s">
        <v>38</v>
      </c>
      <c r="C830">
        <v>61</v>
      </c>
      <c r="D830">
        <v>2</v>
      </c>
      <c r="E830" t="s">
        <v>46</v>
      </c>
      <c r="F830" t="s">
        <v>47</v>
      </c>
      <c r="G830" t="str">
        <f>"2026-03-04 07:28:52.209"</f>
        <v>2026-03-04 07:28:52.209</v>
      </c>
      <c r="H830" t="s">
        <v>21</v>
      </c>
      <c r="I830">
        <v>30.7</v>
      </c>
      <c r="J830" t="s">
        <v>28</v>
      </c>
    </row>
    <row r="831" spans="1:10" x14ac:dyDescent="0.25">
      <c r="A831" s="1">
        <v>30</v>
      </c>
      <c r="B831" t="s">
        <v>23</v>
      </c>
      <c r="C831">
        <v>635</v>
      </c>
      <c r="D831">
        <v>1</v>
      </c>
      <c r="E831" t="s">
        <v>24</v>
      </c>
      <c r="F831" t="s">
        <v>25</v>
      </c>
      <c r="G831" t="str">
        <f>"2026-03-03 23:00:37.634"</f>
        <v>2026-03-03 23:00:37.634</v>
      </c>
      <c r="H831" t="s">
        <v>21</v>
      </c>
    </row>
    <row r="832" spans="1:10" x14ac:dyDescent="0.25">
      <c r="A832" s="1">
        <v>31</v>
      </c>
      <c r="B832" t="s">
        <v>26</v>
      </c>
      <c r="C832">
        <v>635</v>
      </c>
      <c r="D832">
        <v>1</v>
      </c>
      <c r="E832" t="s">
        <v>24</v>
      </c>
      <c r="F832" t="s">
        <v>25</v>
      </c>
      <c r="G832" t="str">
        <f>"2026-03-03 22:55:18.135"</f>
        <v>2026-03-03 22:55:18.135</v>
      </c>
      <c r="H832" t="s">
        <v>21</v>
      </c>
      <c r="I832">
        <v>6.01</v>
      </c>
      <c r="J832" t="s">
        <v>29</v>
      </c>
    </row>
    <row r="833" spans="1:10" x14ac:dyDescent="0.25">
      <c r="A833" s="1">
        <v>32</v>
      </c>
      <c r="B833" t="s">
        <v>23</v>
      </c>
      <c r="C833">
        <v>635</v>
      </c>
      <c r="D833">
        <v>1</v>
      </c>
      <c r="E833" t="s">
        <v>24</v>
      </c>
      <c r="F833" t="s">
        <v>25</v>
      </c>
      <c r="G833" t="str">
        <f>"2026-03-03 19:08:39.635"</f>
        <v>2026-03-03 19:08:39.635</v>
      </c>
      <c r="H833" t="s">
        <v>21</v>
      </c>
    </row>
    <row r="834" spans="1:10" x14ac:dyDescent="0.25">
      <c r="A834" s="1">
        <v>33</v>
      </c>
      <c r="B834" t="s">
        <v>26</v>
      </c>
      <c r="C834">
        <v>635</v>
      </c>
      <c r="D834">
        <v>1</v>
      </c>
      <c r="E834" t="s">
        <v>24</v>
      </c>
      <c r="F834" t="s">
        <v>25</v>
      </c>
      <c r="G834" t="str">
        <f>"2026-03-03 19:05:17.135"</f>
        <v>2026-03-03 19:05:17.135</v>
      </c>
      <c r="H834" t="s">
        <v>21</v>
      </c>
      <c r="I834">
        <v>0.88</v>
      </c>
      <c r="J834" t="s">
        <v>28</v>
      </c>
    </row>
    <row r="835" spans="1:10" s="3" customFormat="1" x14ac:dyDescent="0.25">
      <c r="A835" s="2">
        <v>34</v>
      </c>
      <c r="B835" s="3" t="s">
        <v>23</v>
      </c>
      <c r="C835" s="3">
        <v>647</v>
      </c>
      <c r="D835" s="3">
        <v>1</v>
      </c>
      <c r="E835" s="3" t="s">
        <v>30</v>
      </c>
      <c r="F835" s="3" t="s">
        <v>31</v>
      </c>
      <c r="G835" s="3" t="str">
        <f>"2026-03-03 08:02:48.788"</f>
        <v>2026-03-03 08:02:48.788</v>
      </c>
      <c r="H835" s="3" t="s">
        <v>21</v>
      </c>
    </row>
    <row r="836" spans="1:10" s="3" customFormat="1" x14ac:dyDescent="0.25">
      <c r="A836" s="2">
        <v>35</v>
      </c>
      <c r="B836" s="3" t="s">
        <v>26</v>
      </c>
      <c r="C836" s="3">
        <v>647</v>
      </c>
      <c r="D836" s="3">
        <v>1</v>
      </c>
      <c r="E836" s="3" t="s">
        <v>30</v>
      </c>
      <c r="F836" s="3" t="s">
        <v>31</v>
      </c>
      <c r="G836" s="3" t="str">
        <f>"2026-03-03 08:02:46.688"</f>
        <v>2026-03-03 08:02:46.688</v>
      </c>
      <c r="H836" s="3" t="s">
        <v>21</v>
      </c>
      <c r="I836" s="3">
        <v>21.4</v>
      </c>
      <c r="J836" s="3" t="s">
        <v>27</v>
      </c>
    </row>
    <row r="837" spans="1:10" x14ac:dyDescent="0.25">
      <c r="A837" s="1">
        <v>36</v>
      </c>
      <c r="B837" t="s">
        <v>23</v>
      </c>
      <c r="C837">
        <v>635</v>
      </c>
      <c r="D837">
        <v>1</v>
      </c>
      <c r="E837" t="s">
        <v>24</v>
      </c>
      <c r="F837" t="s">
        <v>25</v>
      </c>
      <c r="G837" t="str">
        <f>"2026-03-02 15:45:04.235"</f>
        <v>2026-03-02 15:45:04.235</v>
      </c>
      <c r="H837" t="s">
        <v>21</v>
      </c>
    </row>
    <row r="838" spans="1:10" x14ac:dyDescent="0.25">
      <c r="A838" s="1">
        <v>37</v>
      </c>
      <c r="B838" t="s">
        <v>26</v>
      </c>
      <c r="C838">
        <v>635</v>
      </c>
      <c r="D838">
        <v>1</v>
      </c>
      <c r="E838" t="s">
        <v>24</v>
      </c>
      <c r="F838" t="s">
        <v>25</v>
      </c>
      <c r="G838" t="str">
        <f>"2026-03-02 15:39:58.735"</f>
        <v>2026-03-02 15:39:58.735</v>
      </c>
      <c r="H838" t="s">
        <v>21</v>
      </c>
      <c r="I838">
        <v>2.4500000000000002</v>
      </c>
      <c r="J838" t="s">
        <v>27</v>
      </c>
    </row>
    <row r="839" spans="1:10" x14ac:dyDescent="0.25">
      <c r="A839" s="1">
        <v>38</v>
      </c>
      <c r="B839" t="s">
        <v>19</v>
      </c>
      <c r="C839">
        <v>706</v>
      </c>
      <c r="D839">
        <v>3</v>
      </c>
      <c r="E839" t="s">
        <v>32</v>
      </c>
      <c r="F839" t="s">
        <v>39</v>
      </c>
      <c r="G839" t="str">
        <f>"2026-03-02 11:11:03.547"</f>
        <v>2026-03-02 11:11:03.547</v>
      </c>
      <c r="H839" t="s">
        <v>21</v>
      </c>
      <c r="I839">
        <v>0</v>
      </c>
      <c r="J839" t="s">
        <v>34</v>
      </c>
    </row>
    <row r="840" spans="1:10" x14ac:dyDescent="0.25">
      <c r="A840" s="1">
        <v>39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"2026-03-02 11:10:42.607"</f>
        <v>2026-03-02 11:10:42.607</v>
      </c>
      <c r="H840" t="s">
        <v>21</v>
      </c>
    </row>
    <row r="841" spans="1:10" x14ac:dyDescent="0.25">
      <c r="A841" s="1">
        <v>40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"2026-02-28 08:43:11.480"</f>
        <v>2026-02-28 08:43:11.480</v>
      </c>
      <c r="H841" t="s">
        <v>21</v>
      </c>
    </row>
    <row r="842" spans="1:10" x14ac:dyDescent="0.25">
      <c r="A842" s="1">
        <v>41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"2026-02-27 16:40:06.459"</f>
        <v>2026-02-27 16:40:06.459</v>
      </c>
      <c r="H842" t="s">
        <v>21</v>
      </c>
    </row>
    <row r="843" spans="1:10" x14ac:dyDescent="0.25">
      <c r="A843" s="1">
        <v>42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"2026-02-27 16:36:06.500"</f>
        <v>2026-02-27 16:36:06.500</v>
      </c>
      <c r="H843" t="s">
        <v>21</v>
      </c>
    </row>
    <row r="844" spans="1:10" x14ac:dyDescent="0.25">
      <c r="A844" s="1">
        <v>43</v>
      </c>
      <c r="B844" t="s">
        <v>19</v>
      </c>
      <c r="C844">
        <v>706</v>
      </c>
      <c r="D844">
        <v>4</v>
      </c>
      <c r="E844" t="s">
        <v>32</v>
      </c>
      <c r="F844" t="s">
        <v>48</v>
      </c>
      <c r="G844" t="str">
        <f>"2026-02-27 10:57:41.875"</f>
        <v>2026-02-27 10:57:41.875</v>
      </c>
      <c r="H844" t="s">
        <v>21</v>
      </c>
      <c r="I844">
        <v>0</v>
      </c>
      <c r="J844" t="s">
        <v>34</v>
      </c>
    </row>
    <row r="845" spans="1:10" x14ac:dyDescent="0.25">
      <c r="A845" s="1">
        <v>44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"2026-02-27 09:41:06.475"</f>
        <v>2026-02-27 09:41:06.475</v>
      </c>
      <c r="H845" t="s">
        <v>21</v>
      </c>
      <c r="I845">
        <v>0</v>
      </c>
      <c r="J845" t="s">
        <v>22</v>
      </c>
    </row>
    <row r="846" spans="1:10" x14ac:dyDescent="0.25">
      <c r="A846" s="1">
        <v>45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"2026-02-27 09:24:42.464"</f>
        <v>2026-02-27 09:24:42.464</v>
      </c>
      <c r="H846" t="s">
        <v>21</v>
      </c>
    </row>
    <row r="847" spans="1:10" x14ac:dyDescent="0.25">
      <c r="A847" s="1">
        <v>46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"2026-02-27 08:38:42.457"</f>
        <v>2026-02-27 08:38:42.457</v>
      </c>
      <c r="H847" t="s">
        <v>21</v>
      </c>
    </row>
    <row r="848" spans="1:10" x14ac:dyDescent="0.25">
      <c r="A848" s="1">
        <v>47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"2026-02-27 08:33:45.707"</f>
        <v>2026-02-27 08:33:45.707</v>
      </c>
      <c r="H848" t="s">
        <v>21</v>
      </c>
    </row>
    <row r="849" spans="1:10" x14ac:dyDescent="0.25">
      <c r="A849" s="1">
        <v>48</v>
      </c>
      <c r="B849" t="s">
        <v>23</v>
      </c>
      <c r="C849">
        <v>635</v>
      </c>
      <c r="D849">
        <v>1</v>
      </c>
      <c r="E849" t="s">
        <v>24</v>
      </c>
      <c r="F849" t="s">
        <v>25</v>
      </c>
      <c r="G849" t="str">
        <f>"2026-02-25 21:38:17.948"</f>
        <v>2026-02-25 21:38:17.948</v>
      </c>
      <c r="H849" t="s">
        <v>21</v>
      </c>
    </row>
    <row r="850" spans="1:10" x14ac:dyDescent="0.25">
      <c r="A850" s="1">
        <v>49</v>
      </c>
      <c r="B850" t="s">
        <v>26</v>
      </c>
      <c r="C850">
        <v>635</v>
      </c>
      <c r="D850">
        <v>1</v>
      </c>
      <c r="E850" t="s">
        <v>24</v>
      </c>
      <c r="F850" t="s">
        <v>25</v>
      </c>
      <c r="G850" t="str">
        <f>"2026-02-25 21:34:30.948"</f>
        <v>2026-02-25 21:34:30.948</v>
      </c>
      <c r="H850" t="s">
        <v>21</v>
      </c>
      <c r="I850">
        <v>2.48</v>
      </c>
      <c r="J850" t="s">
        <v>29</v>
      </c>
    </row>
    <row r="851" spans="1:10" x14ac:dyDescent="0.25">
      <c r="A851" s="1">
        <v>51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"2026-02-25 21:18:08.480"</f>
        <v>2026-02-25 21:18:08.480</v>
      </c>
      <c r="H851" t="s">
        <v>21</v>
      </c>
      <c r="I851">
        <v>0</v>
      </c>
      <c r="J851" t="s">
        <v>22</v>
      </c>
    </row>
    <row r="852" spans="1:10" x14ac:dyDescent="0.25">
      <c r="A852" s="1">
        <v>53</v>
      </c>
      <c r="B852" t="s">
        <v>23</v>
      </c>
      <c r="C852">
        <v>61</v>
      </c>
      <c r="D852">
        <v>2</v>
      </c>
      <c r="E852" t="s">
        <v>46</v>
      </c>
      <c r="F852" t="s">
        <v>47</v>
      </c>
      <c r="G852" t="str">
        <f>"2026-02-25 19:15:55.292"</f>
        <v>2026-02-25 19:15:55.292</v>
      </c>
      <c r="H852" t="s">
        <v>21</v>
      </c>
    </row>
    <row r="853" spans="1:10" x14ac:dyDescent="0.25">
      <c r="A853" s="1">
        <v>54</v>
      </c>
      <c r="B853" t="s">
        <v>38</v>
      </c>
      <c r="C853">
        <v>61</v>
      </c>
      <c r="D853">
        <v>2</v>
      </c>
      <c r="E853" t="s">
        <v>46</v>
      </c>
      <c r="F853" t="s">
        <v>47</v>
      </c>
      <c r="G853" t="str">
        <f>"2026-02-25 19:15:35.392"</f>
        <v>2026-02-25 19:15:35.392</v>
      </c>
      <c r="H853" t="s">
        <v>21</v>
      </c>
      <c r="I853">
        <v>29.8</v>
      </c>
      <c r="J853" t="s">
        <v>28</v>
      </c>
    </row>
    <row r="854" spans="1:10" x14ac:dyDescent="0.25">
      <c r="A854" s="1">
        <v>55</v>
      </c>
      <c r="B854" t="s">
        <v>23</v>
      </c>
      <c r="C854">
        <v>635</v>
      </c>
      <c r="D854">
        <v>1</v>
      </c>
      <c r="E854" t="s">
        <v>24</v>
      </c>
      <c r="F854" t="s">
        <v>25</v>
      </c>
      <c r="G854" t="str">
        <f>"2026-02-25 16:35:29.231"</f>
        <v>2026-02-25 16:35:29.231</v>
      </c>
      <c r="H854" t="s">
        <v>21</v>
      </c>
    </row>
    <row r="855" spans="1:10" x14ac:dyDescent="0.25">
      <c r="A855" s="1">
        <v>56</v>
      </c>
      <c r="B855" t="s">
        <v>26</v>
      </c>
      <c r="C855">
        <v>635</v>
      </c>
      <c r="D855">
        <v>1</v>
      </c>
      <c r="E855" t="s">
        <v>24</v>
      </c>
      <c r="F855" t="s">
        <v>25</v>
      </c>
      <c r="G855" t="str">
        <f>"2026-02-25 16:22:19.731"</f>
        <v>2026-02-25 16:22:19.731</v>
      </c>
      <c r="H855" t="s">
        <v>21</v>
      </c>
      <c r="I855">
        <v>4.88</v>
      </c>
      <c r="J855" t="s">
        <v>27</v>
      </c>
    </row>
    <row r="856" spans="1:10" s="3" customFormat="1" x14ac:dyDescent="0.25">
      <c r="A856" s="2">
        <v>57</v>
      </c>
      <c r="B856" s="3" t="s">
        <v>23</v>
      </c>
      <c r="C856" s="3">
        <v>647</v>
      </c>
      <c r="D856" s="3">
        <v>1</v>
      </c>
      <c r="E856" s="3" t="s">
        <v>30</v>
      </c>
      <c r="F856" s="3" t="s">
        <v>31</v>
      </c>
      <c r="G856" s="3" t="str">
        <f>"2026-02-25 12:32:43.279"</f>
        <v>2026-02-25 12:32:43.279</v>
      </c>
      <c r="H856" s="3" t="s">
        <v>21</v>
      </c>
    </row>
    <row r="857" spans="1:10" s="3" customFormat="1" x14ac:dyDescent="0.25">
      <c r="A857" s="2">
        <v>58</v>
      </c>
      <c r="B857" s="3" t="s">
        <v>26</v>
      </c>
      <c r="C857" s="3">
        <v>647</v>
      </c>
      <c r="D857" s="3">
        <v>1</v>
      </c>
      <c r="E857" s="3" t="s">
        <v>30</v>
      </c>
      <c r="F857" s="3" t="s">
        <v>31</v>
      </c>
      <c r="G857" s="3" t="str">
        <f>"2026-02-25 12:32:40.979"</f>
        <v>2026-02-25 12:32:40.979</v>
      </c>
      <c r="H857" s="3" t="s">
        <v>21</v>
      </c>
      <c r="I857" s="3">
        <v>9.1999999999999993</v>
      </c>
      <c r="J857" s="3" t="s">
        <v>28</v>
      </c>
    </row>
    <row r="858" spans="1:10" x14ac:dyDescent="0.25">
      <c r="A858" s="1">
        <v>59</v>
      </c>
      <c r="B858" t="s">
        <v>23</v>
      </c>
      <c r="C858">
        <v>61</v>
      </c>
      <c r="D858">
        <v>2</v>
      </c>
      <c r="E858" t="s">
        <v>46</v>
      </c>
      <c r="F858" t="s">
        <v>47</v>
      </c>
      <c r="G858" t="str">
        <f>"2026-02-24 17:22:41.692"</f>
        <v>2026-02-24 17:22:41.692</v>
      </c>
      <c r="H858" t="s">
        <v>21</v>
      </c>
    </row>
    <row r="859" spans="1:10" x14ac:dyDescent="0.25">
      <c r="A859" s="1">
        <v>60</v>
      </c>
      <c r="B859" t="s">
        <v>38</v>
      </c>
      <c r="C859">
        <v>61</v>
      </c>
      <c r="D859">
        <v>2</v>
      </c>
      <c r="E859" t="s">
        <v>46</v>
      </c>
      <c r="F859" t="s">
        <v>47</v>
      </c>
      <c r="G859" t="str">
        <f>"2026-02-24 17:22:11.592"</f>
        <v>2026-02-24 17:22:11.592</v>
      </c>
      <c r="H859" t="s">
        <v>21</v>
      </c>
      <c r="I859">
        <v>30.06</v>
      </c>
      <c r="J859" t="s">
        <v>28</v>
      </c>
    </row>
    <row r="860" spans="1:10" x14ac:dyDescent="0.25">
      <c r="A860" s="1">
        <v>61</v>
      </c>
      <c r="B860" t="s">
        <v>23</v>
      </c>
      <c r="C860">
        <v>61</v>
      </c>
      <c r="D860">
        <v>2</v>
      </c>
      <c r="E860" t="s">
        <v>46</v>
      </c>
      <c r="F860" t="s">
        <v>47</v>
      </c>
      <c r="G860" t="str">
        <f>"2026-02-24 11:16:10.292"</f>
        <v>2026-02-24 11:16:10.292</v>
      </c>
      <c r="H860" t="s">
        <v>21</v>
      </c>
    </row>
    <row r="861" spans="1:10" x14ac:dyDescent="0.25">
      <c r="A861" s="1">
        <v>62</v>
      </c>
      <c r="B861" t="s">
        <v>38</v>
      </c>
      <c r="C861">
        <v>61</v>
      </c>
      <c r="D861">
        <v>2</v>
      </c>
      <c r="E861" t="s">
        <v>46</v>
      </c>
      <c r="F861" t="s">
        <v>47</v>
      </c>
      <c r="G861" t="str">
        <f>"2026-02-24 11:15:40.192"</f>
        <v>2026-02-24 11:15:40.192</v>
      </c>
      <c r="H861" t="s">
        <v>21</v>
      </c>
      <c r="I861">
        <v>30.22</v>
      </c>
      <c r="J861" t="s">
        <v>28</v>
      </c>
    </row>
    <row r="862" spans="1:10" s="3" customFormat="1" x14ac:dyDescent="0.25">
      <c r="A862" s="2">
        <v>63</v>
      </c>
      <c r="B862" s="3" t="s">
        <v>23</v>
      </c>
      <c r="C862" s="3">
        <v>647</v>
      </c>
      <c r="D862" s="3">
        <v>1</v>
      </c>
      <c r="E862" s="3" t="s">
        <v>30</v>
      </c>
      <c r="F862" s="3" t="s">
        <v>31</v>
      </c>
      <c r="G862" s="3" t="str">
        <f>"2026-02-24 10:15:10.079"</f>
        <v>2026-02-24 10:15:10.079</v>
      </c>
      <c r="H862" s="3" t="s">
        <v>21</v>
      </c>
    </row>
    <row r="863" spans="1:10" s="3" customFormat="1" x14ac:dyDescent="0.25">
      <c r="A863" s="2">
        <v>64</v>
      </c>
      <c r="B863" s="3" t="s">
        <v>26</v>
      </c>
      <c r="C863" s="3">
        <v>647</v>
      </c>
      <c r="D863" s="3">
        <v>1</v>
      </c>
      <c r="E863" s="3" t="s">
        <v>30</v>
      </c>
      <c r="F863" s="3" t="s">
        <v>31</v>
      </c>
      <c r="G863" s="3" t="str">
        <f>"2026-02-24 10:15:01.379"</f>
        <v>2026-02-24 10:15:01.379</v>
      </c>
      <c r="H863" s="3" t="s">
        <v>21</v>
      </c>
      <c r="I863" s="3">
        <v>9.41</v>
      </c>
      <c r="J863" s="3" t="s">
        <v>27</v>
      </c>
    </row>
    <row r="864" spans="1:10" s="3" customFormat="1" x14ac:dyDescent="0.25">
      <c r="A864" s="2">
        <v>65</v>
      </c>
      <c r="B864" s="3" t="s">
        <v>23</v>
      </c>
      <c r="C864" s="3">
        <v>647</v>
      </c>
      <c r="D864" s="3">
        <v>1</v>
      </c>
      <c r="E864" s="3" t="s">
        <v>30</v>
      </c>
      <c r="F864" s="3" t="s">
        <v>31</v>
      </c>
      <c r="G864" s="3" t="str">
        <f>"2026-02-24 10:14:56.879"</f>
        <v>2026-02-24 10:14:56.879</v>
      </c>
      <c r="H864" s="3" t="s">
        <v>21</v>
      </c>
    </row>
    <row r="865" spans="1:10" s="3" customFormat="1" x14ac:dyDescent="0.25">
      <c r="A865" s="2">
        <v>66</v>
      </c>
      <c r="B865" s="3" t="s">
        <v>26</v>
      </c>
      <c r="C865" s="3">
        <v>647</v>
      </c>
      <c r="D865" s="3">
        <v>1</v>
      </c>
      <c r="E865" s="3" t="s">
        <v>30</v>
      </c>
      <c r="F865" s="3" t="s">
        <v>31</v>
      </c>
      <c r="G865" s="3" t="str">
        <f>"2026-02-24 10:14:54.379"</f>
        <v>2026-02-24 10:14:54.379</v>
      </c>
      <c r="H865" s="3" t="s">
        <v>21</v>
      </c>
      <c r="I865" s="3">
        <v>9.18</v>
      </c>
      <c r="J865" s="3" t="s">
        <v>28</v>
      </c>
    </row>
    <row r="866" spans="1:10" x14ac:dyDescent="0.25">
      <c r="A866" s="1">
        <v>67</v>
      </c>
      <c r="B866" t="s">
        <v>23</v>
      </c>
      <c r="C866">
        <v>61</v>
      </c>
      <c r="D866">
        <v>2</v>
      </c>
      <c r="E866" t="s">
        <v>46</v>
      </c>
      <c r="F866" t="s">
        <v>47</v>
      </c>
      <c r="G866" t="str">
        <f>"2026-02-24 09:57:24.792"</f>
        <v>2026-02-24 09:57:24.792</v>
      </c>
      <c r="H866" t="s">
        <v>21</v>
      </c>
    </row>
    <row r="867" spans="1:10" x14ac:dyDescent="0.25">
      <c r="A867" s="1">
        <v>68</v>
      </c>
      <c r="B867" t="s">
        <v>38</v>
      </c>
      <c r="C867">
        <v>61</v>
      </c>
      <c r="D867">
        <v>2</v>
      </c>
      <c r="E867" t="s">
        <v>46</v>
      </c>
      <c r="F867" t="s">
        <v>47</v>
      </c>
      <c r="G867" t="str">
        <f>"2026-02-24 09:56:55.692"</f>
        <v>2026-02-24 09:56:55.692</v>
      </c>
      <c r="H867" t="s">
        <v>21</v>
      </c>
      <c r="I867">
        <v>30.27</v>
      </c>
      <c r="J867" t="s">
        <v>28</v>
      </c>
    </row>
    <row r="868" spans="1:10" x14ac:dyDescent="0.25">
      <c r="A868" s="1">
        <v>69</v>
      </c>
      <c r="B868" t="s">
        <v>23</v>
      </c>
      <c r="C868">
        <v>635</v>
      </c>
      <c r="D868">
        <v>1</v>
      </c>
      <c r="E868" t="s">
        <v>24</v>
      </c>
      <c r="F868" t="s">
        <v>25</v>
      </c>
      <c r="G868" t="str">
        <f>"2026-02-24 07:11:15.831"</f>
        <v>2026-02-24 07:11:15.831</v>
      </c>
      <c r="H868" t="s">
        <v>21</v>
      </c>
    </row>
    <row r="869" spans="1:10" x14ac:dyDescent="0.25">
      <c r="A869" s="1">
        <v>70</v>
      </c>
      <c r="B869" t="s">
        <v>26</v>
      </c>
      <c r="C869">
        <v>635</v>
      </c>
      <c r="D869">
        <v>1</v>
      </c>
      <c r="E869" t="s">
        <v>24</v>
      </c>
      <c r="F869" t="s">
        <v>25</v>
      </c>
      <c r="G869" t="str">
        <f>"2026-02-24 07:08:38.831"</f>
        <v>2026-02-24 07:08:38.831</v>
      </c>
      <c r="H869" t="s">
        <v>21</v>
      </c>
      <c r="I869">
        <v>5.44</v>
      </c>
      <c r="J869" t="s">
        <v>29</v>
      </c>
    </row>
    <row r="870" spans="1:10" x14ac:dyDescent="0.25">
      <c r="A870" s="1">
        <v>71</v>
      </c>
      <c r="B870" t="s">
        <v>23</v>
      </c>
      <c r="C870">
        <v>635</v>
      </c>
      <c r="D870">
        <v>1</v>
      </c>
      <c r="E870" t="s">
        <v>24</v>
      </c>
      <c r="F870" t="s">
        <v>25</v>
      </c>
      <c r="G870" t="str">
        <f>"2026-02-23 20:53:57.631"</f>
        <v>2026-02-23 20:53:57.631</v>
      </c>
      <c r="H870" t="s">
        <v>21</v>
      </c>
    </row>
    <row r="871" spans="1:10" x14ac:dyDescent="0.25">
      <c r="A871" s="1">
        <v>72</v>
      </c>
      <c r="B871" t="s">
        <v>26</v>
      </c>
      <c r="C871">
        <v>635</v>
      </c>
      <c r="D871">
        <v>1</v>
      </c>
      <c r="E871" t="s">
        <v>24</v>
      </c>
      <c r="F871" t="s">
        <v>25</v>
      </c>
      <c r="G871" t="str">
        <f>"2026-02-23 20:50:51.631"</f>
        <v>2026-02-23 20:50:51.631</v>
      </c>
      <c r="H871" t="s">
        <v>21</v>
      </c>
      <c r="I871">
        <v>3.23</v>
      </c>
      <c r="J871" t="s">
        <v>27</v>
      </c>
    </row>
    <row r="872" spans="1:10" x14ac:dyDescent="0.25">
      <c r="A872" s="1">
        <v>73</v>
      </c>
      <c r="B872" t="s">
        <v>23</v>
      </c>
      <c r="C872">
        <v>61</v>
      </c>
      <c r="D872">
        <v>2</v>
      </c>
      <c r="E872" t="s">
        <v>46</v>
      </c>
      <c r="F872" t="s">
        <v>47</v>
      </c>
      <c r="G872" t="str">
        <f>"2026-02-23 19:37:39.792"</f>
        <v>2026-02-23 19:37:39.792</v>
      </c>
      <c r="H872" t="s">
        <v>21</v>
      </c>
    </row>
    <row r="873" spans="1:10" x14ac:dyDescent="0.25">
      <c r="A873" s="1">
        <v>74</v>
      </c>
      <c r="B873" t="s">
        <v>38</v>
      </c>
      <c r="C873">
        <v>61</v>
      </c>
      <c r="D873">
        <v>2</v>
      </c>
      <c r="E873" t="s">
        <v>46</v>
      </c>
      <c r="F873" t="s">
        <v>47</v>
      </c>
      <c r="G873" t="str">
        <f>"2026-02-23 19:37:08.791"</f>
        <v>2026-02-23 19:37:08.791</v>
      </c>
      <c r="H873" t="s">
        <v>21</v>
      </c>
      <c r="I873">
        <v>30.25</v>
      </c>
      <c r="J873" t="s">
        <v>28</v>
      </c>
    </row>
    <row r="874" spans="1:10" x14ac:dyDescent="0.25">
      <c r="A874" s="1">
        <v>75</v>
      </c>
      <c r="B874" t="s">
        <v>23</v>
      </c>
      <c r="C874">
        <v>61</v>
      </c>
      <c r="D874">
        <v>2</v>
      </c>
      <c r="E874" t="s">
        <v>46</v>
      </c>
      <c r="F874" t="s">
        <v>47</v>
      </c>
      <c r="G874" t="str">
        <f>"2026-02-23 17:33:32.592"</f>
        <v>2026-02-23 17:33:32.592</v>
      </c>
      <c r="H874" t="s">
        <v>21</v>
      </c>
    </row>
    <row r="875" spans="1:10" x14ac:dyDescent="0.25">
      <c r="A875" s="1">
        <v>76</v>
      </c>
      <c r="B875" t="s">
        <v>38</v>
      </c>
      <c r="C875">
        <v>61</v>
      </c>
      <c r="D875">
        <v>2</v>
      </c>
      <c r="E875" t="s">
        <v>46</v>
      </c>
      <c r="F875" t="s">
        <v>47</v>
      </c>
      <c r="G875" t="str">
        <f>"2026-02-23 17:33:02.692"</f>
        <v>2026-02-23 17:33:02.692</v>
      </c>
      <c r="H875" t="s">
        <v>21</v>
      </c>
      <c r="I875">
        <v>30.02</v>
      </c>
      <c r="J875" t="s">
        <v>28</v>
      </c>
    </row>
    <row r="876" spans="1:10" s="3" customFormat="1" x14ac:dyDescent="0.25">
      <c r="A876" s="2">
        <v>77</v>
      </c>
      <c r="B876" s="3" t="s">
        <v>23</v>
      </c>
      <c r="C876" s="3">
        <v>647</v>
      </c>
      <c r="D876" s="3">
        <v>1</v>
      </c>
      <c r="E876" s="3" t="s">
        <v>30</v>
      </c>
      <c r="F876" s="3" t="s">
        <v>31</v>
      </c>
      <c r="G876" s="3" t="str">
        <f>"2026-02-23 13:27:26.079"</f>
        <v>2026-02-23 13:27:26.079</v>
      </c>
      <c r="H876" s="3" t="s">
        <v>21</v>
      </c>
    </row>
    <row r="877" spans="1:10" s="3" customFormat="1" x14ac:dyDescent="0.25">
      <c r="A877" s="2">
        <v>78</v>
      </c>
      <c r="B877" s="3" t="s">
        <v>26</v>
      </c>
      <c r="C877" s="3">
        <v>647</v>
      </c>
      <c r="D877" s="3">
        <v>1</v>
      </c>
      <c r="E877" s="3" t="s">
        <v>30</v>
      </c>
      <c r="F877" s="3" t="s">
        <v>31</v>
      </c>
      <c r="G877" s="3" t="str">
        <f>"2026-02-23 13:27:22.980"</f>
        <v>2026-02-23 13:27:22.980</v>
      </c>
      <c r="H877" s="3" t="s">
        <v>21</v>
      </c>
      <c r="I877" s="3">
        <v>22.45</v>
      </c>
      <c r="J877" s="3" t="s">
        <v>28</v>
      </c>
    </row>
    <row r="878" spans="1:10" x14ac:dyDescent="0.25">
      <c r="A878" s="1">
        <v>79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"2026-02-23 10:10:32.458"</f>
        <v>2026-02-23 10:10:32.458</v>
      </c>
      <c r="H878" t="s">
        <v>21</v>
      </c>
    </row>
    <row r="879" spans="1:10" x14ac:dyDescent="0.25">
      <c r="A879" s="1">
        <v>80</v>
      </c>
      <c r="B879" t="s">
        <v>23</v>
      </c>
      <c r="C879">
        <v>635</v>
      </c>
      <c r="D879">
        <v>1</v>
      </c>
      <c r="E879" t="s">
        <v>24</v>
      </c>
      <c r="F879" t="s">
        <v>25</v>
      </c>
      <c r="G879" t="str">
        <f>"2026-02-23 06:54:11.369"</f>
        <v>2026-02-23 06:54:11.369</v>
      </c>
      <c r="H879" t="s">
        <v>21</v>
      </c>
    </row>
    <row r="880" spans="1:10" x14ac:dyDescent="0.25">
      <c r="A880" s="1">
        <v>81</v>
      </c>
      <c r="B880" t="s">
        <v>26</v>
      </c>
      <c r="C880">
        <v>635</v>
      </c>
      <c r="D880">
        <v>1</v>
      </c>
      <c r="E880" t="s">
        <v>24</v>
      </c>
      <c r="F880" t="s">
        <v>25</v>
      </c>
      <c r="G880" t="str">
        <f>"2026-02-23 06:47:48.870"</f>
        <v>2026-02-23 06:47:48.870</v>
      </c>
      <c r="H880" t="s">
        <v>21</v>
      </c>
      <c r="I880">
        <v>2.68</v>
      </c>
      <c r="J880" t="s">
        <v>29</v>
      </c>
    </row>
    <row r="881" spans="1:10" x14ac:dyDescent="0.25">
      <c r="A881" s="1">
        <v>82</v>
      </c>
      <c r="B881" t="s">
        <v>23</v>
      </c>
      <c r="C881">
        <v>635</v>
      </c>
      <c r="D881">
        <v>1</v>
      </c>
      <c r="E881" t="s">
        <v>24</v>
      </c>
      <c r="F881" t="s">
        <v>25</v>
      </c>
      <c r="G881" t="str">
        <f>"2026-02-22 16:43:20.170"</f>
        <v>2026-02-22 16:43:20.170</v>
      </c>
      <c r="H881" t="s">
        <v>21</v>
      </c>
    </row>
    <row r="882" spans="1:10" x14ac:dyDescent="0.25">
      <c r="A882" s="1">
        <v>83</v>
      </c>
      <c r="B882" t="s">
        <v>26</v>
      </c>
      <c r="C882">
        <v>635</v>
      </c>
      <c r="D882">
        <v>1</v>
      </c>
      <c r="E882" t="s">
        <v>24</v>
      </c>
      <c r="F882" t="s">
        <v>25</v>
      </c>
      <c r="G882" t="str">
        <f>"2026-02-22 16:40:52.170"</f>
        <v>2026-02-22 16:40:52.170</v>
      </c>
      <c r="H882" t="s">
        <v>21</v>
      </c>
      <c r="I882">
        <v>8.24</v>
      </c>
      <c r="J882" t="s">
        <v>29</v>
      </c>
    </row>
    <row r="883" spans="1:10" x14ac:dyDescent="0.25">
      <c r="A883" s="1">
        <v>84</v>
      </c>
      <c r="B883" t="s">
        <v>23</v>
      </c>
      <c r="C883">
        <v>635</v>
      </c>
      <c r="D883">
        <v>1</v>
      </c>
      <c r="E883" t="s">
        <v>24</v>
      </c>
      <c r="F883" t="s">
        <v>25</v>
      </c>
      <c r="G883" t="str">
        <f>"2026-02-22 12:10:35.270"</f>
        <v>2026-02-22 12:10:35.270</v>
      </c>
      <c r="H883" t="s">
        <v>21</v>
      </c>
    </row>
    <row r="884" spans="1:10" x14ac:dyDescent="0.25">
      <c r="A884" s="1">
        <v>85</v>
      </c>
      <c r="B884" t="s">
        <v>26</v>
      </c>
      <c r="C884">
        <v>635</v>
      </c>
      <c r="D884">
        <v>1</v>
      </c>
      <c r="E884" t="s">
        <v>24</v>
      </c>
      <c r="F884" t="s">
        <v>25</v>
      </c>
      <c r="G884" t="str">
        <f>"2026-02-22 12:07:10.770"</f>
        <v>2026-02-22 12:07:10.770</v>
      </c>
      <c r="H884" t="s">
        <v>21</v>
      </c>
      <c r="I884">
        <v>2.08</v>
      </c>
      <c r="J884" t="s">
        <v>27</v>
      </c>
    </row>
    <row r="885" spans="1:10" s="3" customFormat="1" x14ac:dyDescent="0.25">
      <c r="A885" s="2">
        <v>86</v>
      </c>
      <c r="B885" s="3" t="s">
        <v>23</v>
      </c>
      <c r="C885" s="3">
        <v>647</v>
      </c>
      <c r="D885" s="3">
        <v>1</v>
      </c>
      <c r="E885" s="3" t="s">
        <v>30</v>
      </c>
      <c r="F885" s="3" t="s">
        <v>31</v>
      </c>
      <c r="G885" s="3" t="str">
        <f>"2026-02-22 09:36:45.170"</f>
        <v>2026-02-22 09:36:45.170</v>
      </c>
      <c r="H885" s="3" t="s">
        <v>21</v>
      </c>
    </row>
    <row r="886" spans="1:10" s="3" customFormat="1" x14ac:dyDescent="0.25">
      <c r="A886" s="2">
        <v>87</v>
      </c>
      <c r="B886" s="3" t="s">
        <v>26</v>
      </c>
      <c r="C886" s="3">
        <v>647</v>
      </c>
      <c r="D886" s="3">
        <v>1</v>
      </c>
      <c r="E886" s="3" t="s">
        <v>30</v>
      </c>
      <c r="F886" s="3" t="s">
        <v>31</v>
      </c>
      <c r="G886" s="3" t="str">
        <f>"2026-02-22 09:36:41.270"</f>
        <v>2026-02-22 09:36:41.270</v>
      </c>
      <c r="H886" s="3" t="s">
        <v>21</v>
      </c>
      <c r="I886" s="3">
        <v>11.95</v>
      </c>
      <c r="J886" s="3" t="s">
        <v>27</v>
      </c>
    </row>
    <row r="887" spans="1:10" s="3" customFormat="1" x14ac:dyDescent="0.25">
      <c r="A887" s="2">
        <v>88</v>
      </c>
      <c r="B887" s="3" t="s">
        <v>23</v>
      </c>
      <c r="C887" s="3">
        <v>647</v>
      </c>
      <c r="D887" s="3">
        <v>1</v>
      </c>
      <c r="E887" s="3" t="s">
        <v>30</v>
      </c>
      <c r="F887" s="3" t="s">
        <v>31</v>
      </c>
      <c r="G887" s="3" t="str">
        <f>"2026-02-21 07:46:34.470"</f>
        <v>2026-02-21 07:46:34.470</v>
      </c>
      <c r="H887" s="3" t="s">
        <v>21</v>
      </c>
    </row>
    <row r="888" spans="1:10" s="3" customFormat="1" x14ac:dyDescent="0.25">
      <c r="A888" s="2">
        <v>89</v>
      </c>
      <c r="B888" s="3" t="s">
        <v>26</v>
      </c>
      <c r="C888" s="3">
        <v>647</v>
      </c>
      <c r="D888" s="3">
        <v>1</v>
      </c>
      <c r="E888" s="3" t="s">
        <v>30</v>
      </c>
      <c r="F888" s="3" t="s">
        <v>31</v>
      </c>
      <c r="G888" s="3" t="str">
        <f>"2026-02-21 07:46:32.570"</f>
        <v>2026-02-21 07:46:32.570</v>
      </c>
      <c r="H888" s="3" t="s">
        <v>21</v>
      </c>
      <c r="I888" s="3">
        <v>10.51</v>
      </c>
      <c r="J888" s="3" t="s">
        <v>28</v>
      </c>
    </row>
    <row r="889" spans="1:10" x14ac:dyDescent="0.25">
      <c r="A889" s="1">
        <v>90</v>
      </c>
      <c r="B889" t="s">
        <v>23</v>
      </c>
      <c r="C889">
        <v>61</v>
      </c>
      <c r="D889">
        <v>2</v>
      </c>
      <c r="E889" t="s">
        <v>46</v>
      </c>
      <c r="F889" t="s">
        <v>47</v>
      </c>
      <c r="G889" t="str">
        <f>"2026-02-20 17:40:23.863"</f>
        <v>2026-02-20 17:40:23.863</v>
      </c>
      <c r="H889" t="s">
        <v>21</v>
      </c>
    </row>
    <row r="890" spans="1:10" x14ac:dyDescent="0.25">
      <c r="A890" s="1">
        <v>91</v>
      </c>
      <c r="B890" t="s">
        <v>38</v>
      </c>
      <c r="C890">
        <v>61</v>
      </c>
      <c r="D890">
        <v>2</v>
      </c>
      <c r="E890" t="s">
        <v>46</v>
      </c>
      <c r="F890" t="s">
        <v>47</v>
      </c>
      <c r="G890" t="str">
        <f>"2026-02-20 17:40:06.263"</f>
        <v>2026-02-20 17:40:06.263</v>
      </c>
      <c r="H890" t="s">
        <v>21</v>
      </c>
      <c r="I890">
        <v>30.42</v>
      </c>
      <c r="J890" t="s">
        <v>28</v>
      </c>
    </row>
    <row r="891" spans="1:10" x14ac:dyDescent="0.25">
      <c r="A891" s="1">
        <v>92</v>
      </c>
      <c r="B891" t="s">
        <v>23</v>
      </c>
      <c r="C891">
        <v>635</v>
      </c>
      <c r="D891">
        <v>1</v>
      </c>
      <c r="E891" t="s">
        <v>24</v>
      </c>
      <c r="F891" t="s">
        <v>25</v>
      </c>
      <c r="G891" t="str">
        <f>"2026-02-20 11:50:43.370"</f>
        <v>2026-02-20 11:50:43.370</v>
      </c>
      <c r="H891" t="s">
        <v>21</v>
      </c>
    </row>
    <row r="892" spans="1:10" x14ac:dyDescent="0.25">
      <c r="A892" s="1">
        <v>93</v>
      </c>
      <c r="B892" t="s">
        <v>26</v>
      </c>
      <c r="C892">
        <v>635</v>
      </c>
      <c r="D892">
        <v>1</v>
      </c>
      <c r="E892" t="s">
        <v>24</v>
      </c>
      <c r="F892" t="s">
        <v>25</v>
      </c>
      <c r="G892" t="str">
        <f>"2026-02-20 11:45:59.470"</f>
        <v>2026-02-20 11:45:59.470</v>
      </c>
      <c r="H892" t="s">
        <v>21</v>
      </c>
      <c r="I892">
        <v>3.34</v>
      </c>
      <c r="J892" t="s">
        <v>27</v>
      </c>
    </row>
    <row r="893" spans="1:10" x14ac:dyDescent="0.25">
      <c r="A893" s="1">
        <v>94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"2026-02-20 11:24:25.452"</f>
        <v>2026-02-20 11:24:25.452</v>
      </c>
      <c r="H893" t="s">
        <v>21</v>
      </c>
      <c r="I893">
        <v>0</v>
      </c>
      <c r="J893" t="s">
        <v>22</v>
      </c>
    </row>
    <row r="894" spans="1:10" x14ac:dyDescent="0.25">
      <c r="A894" s="1">
        <v>95</v>
      </c>
      <c r="B894" t="s">
        <v>23</v>
      </c>
      <c r="C894">
        <v>635</v>
      </c>
      <c r="D894">
        <v>1</v>
      </c>
      <c r="E894" t="s">
        <v>24</v>
      </c>
      <c r="F894" t="s">
        <v>25</v>
      </c>
      <c r="G894" t="str">
        <f>"2026-02-20 09:58:22.889"</f>
        <v>2026-02-20 09:58:22.889</v>
      </c>
      <c r="H894" t="s">
        <v>21</v>
      </c>
    </row>
    <row r="895" spans="1:10" x14ac:dyDescent="0.25">
      <c r="A895" s="1">
        <v>96</v>
      </c>
      <c r="B895" t="s">
        <v>26</v>
      </c>
      <c r="C895">
        <v>635</v>
      </c>
      <c r="D895">
        <v>1</v>
      </c>
      <c r="E895" t="s">
        <v>24</v>
      </c>
      <c r="F895" t="s">
        <v>25</v>
      </c>
      <c r="G895" t="str">
        <f>"2026-02-20 09:54:07.389"</f>
        <v>2026-02-20 09:54:07.389</v>
      </c>
      <c r="H895" t="s">
        <v>21</v>
      </c>
      <c r="I895">
        <v>3.37</v>
      </c>
      <c r="J895" t="s">
        <v>27</v>
      </c>
    </row>
    <row r="896" spans="1:10" x14ac:dyDescent="0.25">
      <c r="A896" s="1">
        <v>97</v>
      </c>
      <c r="B896" t="s">
        <v>23</v>
      </c>
      <c r="C896">
        <v>61</v>
      </c>
      <c r="D896">
        <v>2</v>
      </c>
      <c r="E896" t="s">
        <v>46</v>
      </c>
      <c r="F896" t="s">
        <v>47</v>
      </c>
      <c r="G896" t="str">
        <f>"2026-02-19 19:29:41.802"</f>
        <v>2026-02-19 19:29:41.802</v>
      </c>
      <c r="H896" t="s">
        <v>21</v>
      </c>
    </row>
    <row r="897" spans="1:10" x14ac:dyDescent="0.25">
      <c r="A897" s="1">
        <v>98</v>
      </c>
      <c r="B897" t="s">
        <v>38</v>
      </c>
      <c r="C897">
        <v>61</v>
      </c>
      <c r="D897">
        <v>2</v>
      </c>
      <c r="E897" t="s">
        <v>46</v>
      </c>
      <c r="F897" t="s">
        <v>47</v>
      </c>
      <c r="G897" t="str">
        <f>"2026-02-19 19:29:30.302"</f>
        <v>2026-02-19 19:29:30.302</v>
      </c>
      <c r="H897" t="s">
        <v>21</v>
      </c>
      <c r="I897">
        <v>29.65</v>
      </c>
      <c r="J897" t="s">
        <v>28</v>
      </c>
    </row>
    <row r="898" spans="1:10" x14ac:dyDescent="0.25">
      <c r="A898" s="1">
        <v>99</v>
      </c>
      <c r="B898" t="s">
        <v>23</v>
      </c>
      <c r="C898">
        <v>61</v>
      </c>
      <c r="D898">
        <v>2</v>
      </c>
      <c r="E898" t="s">
        <v>46</v>
      </c>
      <c r="F898" t="s">
        <v>47</v>
      </c>
      <c r="G898" t="str">
        <f>"2026-02-19 18:00:02.302"</f>
        <v>2026-02-19 18:00:02.302</v>
      </c>
      <c r="H898" t="s">
        <v>21</v>
      </c>
    </row>
    <row r="899" spans="1:10" x14ac:dyDescent="0.25">
      <c r="A899" s="1">
        <v>0</v>
      </c>
      <c r="B899" t="s">
        <v>38</v>
      </c>
      <c r="C899">
        <v>61</v>
      </c>
      <c r="D899">
        <v>2</v>
      </c>
      <c r="E899" t="s">
        <v>46</v>
      </c>
      <c r="F899" t="s">
        <v>47</v>
      </c>
      <c r="G899" t="str">
        <f>"2026-02-19 17:59:41.001"</f>
        <v>2026-02-19 17:59:41.001</v>
      </c>
      <c r="H899" t="s">
        <v>21</v>
      </c>
      <c r="I899">
        <v>30.03</v>
      </c>
      <c r="J899" t="s">
        <v>28</v>
      </c>
    </row>
    <row r="900" spans="1:10" x14ac:dyDescent="0.25">
      <c r="A900" s="1">
        <v>1</v>
      </c>
      <c r="B900" t="s">
        <v>23</v>
      </c>
      <c r="C900">
        <v>635</v>
      </c>
      <c r="D900">
        <v>1</v>
      </c>
      <c r="E900" t="s">
        <v>24</v>
      </c>
      <c r="F900" t="s">
        <v>25</v>
      </c>
      <c r="G900" t="str">
        <f>"2026-02-19 05:25:09.089"</f>
        <v>2026-02-19 05:25:09.089</v>
      </c>
      <c r="H900" t="s">
        <v>21</v>
      </c>
    </row>
    <row r="901" spans="1:10" x14ac:dyDescent="0.25">
      <c r="A901" s="1">
        <v>2</v>
      </c>
      <c r="B901" t="s">
        <v>26</v>
      </c>
      <c r="C901">
        <v>635</v>
      </c>
      <c r="D901">
        <v>1</v>
      </c>
      <c r="E901" t="s">
        <v>24</v>
      </c>
      <c r="F901" t="s">
        <v>25</v>
      </c>
      <c r="G901" t="str">
        <f>"2026-02-19 05:19:31.090"</f>
        <v>2026-02-19 05:19:31.090</v>
      </c>
      <c r="H901" t="s">
        <v>21</v>
      </c>
      <c r="I901">
        <v>1.69</v>
      </c>
      <c r="J901" t="s">
        <v>29</v>
      </c>
    </row>
    <row r="902" spans="1:10" x14ac:dyDescent="0.25">
      <c r="A902" s="1">
        <v>3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"2026-02-17 15:09:55.569"</f>
        <v>2026-02-17 15:09:55.569</v>
      </c>
      <c r="H902" t="s">
        <v>21</v>
      </c>
      <c r="I902">
        <v>0</v>
      </c>
      <c r="J902" t="s">
        <v>22</v>
      </c>
    </row>
    <row r="903" spans="1:10" x14ac:dyDescent="0.25">
      <c r="A903" s="1">
        <v>4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"2026-02-17 14:38:43.448"</f>
        <v>2026-02-17 14:38:43.448</v>
      </c>
      <c r="H903" t="s">
        <v>21</v>
      </c>
    </row>
    <row r="904" spans="1:10" x14ac:dyDescent="0.25">
      <c r="A904" s="1">
        <v>5</v>
      </c>
      <c r="B904" t="s">
        <v>23</v>
      </c>
      <c r="C904">
        <v>635</v>
      </c>
      <c r="D904">
        <v>1</v>
      </c>
      <c r="E904" t="s">
        <v>24</v>
      </c>
      <c r="F904" t="s">
        <v>25</v>
      </c>
      <c r="G904" t="str">
        <f>"2026-02-17 12:46:09.019"</f>
        <v>2026-02-17 12:46:09.019</v>
      </c>
      <c r="H904" t="s">
        <v>21</v>
      </c>
    </row>
    <row r="905" spans="1:10" x14ac:dyDescent="0.25">
      <c r="A905" s="1">
        <v>6</v>
      </c>
      <c r="B905" t="s">
        <v>26</v>
      </c>
      <c r="C905">
        <v>635</v>
      </c>
      <c r="D905">
        <v>1</v>
      </c>
      <c r="E905" t="s">
        <v>24</v>
      </c>
      <c r="F905" t="s">
        <v>25</v>
      </c>
      <c r="G905" t="str">
        <f>"2026-02-17 12:29:28.619"</f>
        <v>2026-02-17 12:29:28.619</v>
      </c>
      <c r="H905" t="s">
        <v>21</v>
      </c>
      <c r="I905">
        <v>0.43</v>
      </c>
      <c r="J905" t="s">
        <v>29</v>
      </c>
    </row>
    <row r="906" spans="1:10" x14ac:dyDescent="0.25">
      <c r="A906" s="1">
        <v>7</v>
      </c>
      <c r="B906" t="s">
        <v>23</v>
      </c>
      <c r="C906">
        <v>635</v>
      </c>
      <c r="D906">
        <v>1</v>
      </c>
      <c r="E906" t="s">
        <v>24</v>
      </c>
      <c r="F906" t="s">
        <v>25</v>
      </c>
      <c r="G906" t="str">
        <f>"2026-02-17 11:35:54.719"</f>
        <v>2026-02-17 11:35:54.719</v>
      </c>
      <c r="H906" t="s">
        <v>21</v>
      </c>
    </row>
    <row r="907" spans="1:10" x14ac:dyDescent="0.25">
      <c r="A907" s="1">
        <v>8</v>
      </c>
      <c r="B907" t="s">
        <v>26</v>
      </c>
      <c r="C907">
        <v>635</v>
      </c>
      <c r="D907">
        <v>1</v>
      </c>
      <c r="E907" t="s">
        <v>24</v>
      </c>
      <c r="F907" t="s">
        <v>25</v>
      </c>
      <c r="G907" t="str">
        <f>"2026-02-17 11:10:33.719"</f>
        <v>2026-02-17 11:10:33.719</v>
      </c>
      <c r="H907" t="s">
        <v>21</v>
      </c>
      <c r="I907">
        <v>7.48</v>
      </c>
      <c r="J907" t="s">
        <v>29</v>
      </c>
    </row>
    <row r="908" spans="1:10" x14ac:dyDescent="0.25">
      <c r="A908" s="1">
        <v>9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"2026-02-17 09:35:07.440"</f>
        <v>2026-02-17 09:35:07.440</v>
      </c>
      <c r="H908" t="s">
        <v>21</v>
      </c>
      <c r="I908">
        <v>0</v>
      </c>
      <c r="J908" t="s">
        <v>22</v>
      </c>
    </row>
    <row r="909" spans="1:10" x14ac:dyDescent="0.25">
      <c r="A909" s="1">
        <v>10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"2026-02-17 08:51:39.437"</f>
        <v>2026-02-17 08:51:39.437</v>
      </c>
      <c r="H909" t="s">
        <v>21</v>
      </c>
      <c r="I909">
        <v>0</v>
      </c>
      <c r="J909" t="s">
        <v>22</v>
      </c>
    </row>
    <row r="910" spans="1:10" x14ac:dyDescent="0.25">
      <c r="A910" s="1">
        <v>11</v>
      </c>
      <c r="B910" t="s">
        <v>19</v>
      </c>
      <c r="C910">
        <v>706</v>
      </c>
      <c r="D910">
        <v>3</v>
      </c>
      <c r="E910" t="s">
        <v>32</v>
      </c>
      <c r="F910" t="s">
        <v>39</v>
      </c>
      <c r="G910" t="str">
        <f>"2026-02-17 08:49:11.012"</f>
        <v>2026-02-17 08:49:11.012</v>
      </c>
      <c r="H910" t="s">
        <v>21</v>
      </c>
      <c r="I910">
        <v>0</v>
      </c>
      <c r="J910" t="s">
        <v>34</v>
      </c>
    </row>
    <row r="911" spans="1:10" x14ac:dyDescent="0.25">
      <c r="A911" s="1">
        <v>12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"2026-02-17 08:34:52.442"</f>
        <v>2026-02-17 08:34:52.442</v>
      </c>
      <c r="H911" t="s">
        <v>21</v>
      </c>
      <c r="I911">
        <v>0</v>
      </c>
      <c r="J911" t="s">
        <v>22</v>
      </c>
    </row>
    <row r="912" spans="1:10" x14ac:dyDescent="0.25">
      <c r="A912" s="1">
        <v>13</v>
      </c>
      <c r="B912" t="s">
        <v>19</v>
      </c>
      <c r="C912">
        <v>706</v>
      </c>
      <c r="D912">
        <v>2</v>
      </c>
      <c r="E912" t="s">
        <v>32</v>
      </c>
      <c r="F912" t="s">
        <v>33</v>
      </c>
      <c r="G912" t="str">
        <f>"2026-02-17 04:30:06.500"</f>
        <v>2026-02-17 04:30:06.500</v>
      </c>
      <c r="H912" t="s">
        <v>21</v>
      </c>
      <c r="I912">
        <v>0</v>
      </c>
      <c r="J912" t="s">
        <v>34</v>
      </c>
    </row>
    <row r="913" spans="1:10" x14ac:dyDescent="0.25">
      <c r="A913" s="1">
        <v>14</v>
      </c>
      <c r="B913" t="s">
        <v>19</v>
      </c>
      <c r="C913">
        <v>706</v>
      </c>
      <c r="D913">
        <v>3</v>
      </c>
      <c r="E913" t="s">
        <v>32</v>
      </c>
      <c r="F913" t="s">
        <v>39</v>
      </c>
      <c r="G913" t="str">
        <f>"2026-02-17 04:22:20.740"</f>
        <v>2026-02-17 04:22:20.740</v>
      </c>
      <c r="H913" t="s">
        <v>21</v>
      </c>
      <c r="I913">
        <v>0</v>
      </c>
      <c r="J913" t="s">
        <v>34</v>
      </c>
    </row>
    <row r="914" spans="1:10" x14ac:dyDescent="0.25">
      <c r="A914" s="1">
        <v>15</v>
      </c>
      <c r="B914" t="s">
        <v>19</v>
      </c>
      <c r="C914">
        <v>706</v>
      </c>
      <c r="D914">
        <v>4</v>
      </c>
      <c r="E914" t="s">
        <v>32</v>
      </c>
      <c r="F914" t="s">
        <v>48</v>
      </c>
      <c r="G914" t="str">
        <f>"2026-02-17 04:15:16.870"</f>
        <v>2026-02-17 04:15:16.870</v>
      </c>
      <c r="H914" t="s">
        <v>21</v>
      </c>
      <c r="I914">
        <v>0</v>
      </c>
      <c r="J914" t="s">
        <v>34</v>
      </c>
    </row>
    <row r="915" spans="1:10" x14ac:dyDescent="0.25">
      <c r="A915" s="1">
        <v>16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"2026-02-17 03:46:59.440"</f>
        <v>2026-02-17 03:46:59.440</v>
      </c>
      <c r="H915" t="s">
        <v>21</v>
      </c>
      <c r="I915">
        <v>0</v>
      </c>
      <c r="J915" t="s">
        <v>22</v>
      </c>
    </row>
    <row r="916" spans="1:10" x14ac:dyDescent="0.25">
      <c r="A916" s="1">
        <v>17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"2026-02-17 03:09:02.435"</f>
        <v>2026-02-17 03:09:02.435</v>
      </c>
      <c r="H916" t="s">
        <v>21</v>
      </c>
      <c r="I916">
        <v>0</v>
      </c>
      <c r="J916" t="s">
        <v>22</v>
      </c>
    </row>
    <row r="917" spans="1:10" x14ac:dyDescent="0.25">
      <c r="A917" s="1">
        <v>18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"2026-02-17 02:50:55.466"</f>
        <v>2026-02-17 02:50:55.466</v>
      </c>
      <c r="H917" t="s">
        <v>21</v>
      </c>
      <c r="I917">
        <v>0</v>
      </c>
      <c r="J917" t="s">
        <v>22</v>
      </c>
    </row>
    <row r="918" spans="1:10" x14ac:dyDescent="0.25">
      <c r="A918" s="1">
        <v>19</v>
      </c>
      <c r="B918" t="s">
        <v>23</v>
      </c>
      <c r="C918">
        <v>635</v>
      </c>
      <c r="D918">
        <v>1</v>
      </c>
      <c r="E918" t="s">
        <v>24</v>
      </c>
      <c r="F918" t="s">
        <v>25</v>
      </c>
      <c r="G918" t="str">
        <f>"2026-02-16 05:37:04.918"</f>
        <v>2026-02-16 05:37:04.918</v>
      </c>
      <c r="H918" t="s">
        <v>21</v>
      </c>
    </row>
    <row r="919" spans="1:10" x14ac:dyDescent="0.25">
      <c r="A919" s="1">
        <v>20</v>
      </c>
      <c r="B919" t="s">
        <v>26</v>
      </c>
      <c r="C919">
        <v>635</v>
      </c>
      <c r="D919">
        <v>1</v>
      </c>
      <c r="E919" t="s">
        <v>24</v>
      </c>
      <c r="F919" t="s">
        <v>25</v>
      </c>
      <c r="G919" t="str">
        <f>"2026-02-16 05:29:14.918"</f>
        <v>2026-02-16 05:29:14.918</v>
      </c>
      <c r="H919" t="s">
        <v>21</v>
      </c>
      <c r="I919">
        <v>0.23</v>
      </c>
      <c r="J919" t="s">
        <v>29</v>
      </c>
    </row>
    <row r="920" spans="1:10" x14ac:dyDescent="0.25">
      <c r="A920" s="1">
        <v>21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"2026-02-15 14:02:22.431"</f>
        <v>2026-02-15 14:02:22.431</v>
      </c>
      <c r="H920" t="s">
        <v>21</v>
      </c>
    </row>
    <row r="921" spans="1:10" x14ac:dyDescent="0.25">
      <c r="A921" s="1">
        <v>22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"2026-02-15 13:50:46.438"</f>
        <v>2026-02-15 13:50:46.438</v>
      </c>
      <c r="H921" t="s">
        <v>21</v>
      </c>
    </row>
    <row r="922" spans="1:10" x14ac:dyDescent="0.25">
      <c r="A922" s="1">
        <v>23</v>
      </c>
      <c r="B922" t="s">
        <v>23</v>
      </c>
      <c r="C922">
        <v>635</v>
      </c>
      <c r="D922">
        <v>1</v>
      </c>
      <c r="E922" t="s">
        <v>24</v>
      </c>
      <c r="F922" t="s">
        <v>25</v>
      </c>
      <c r="G922" t="str">
        <f>"2026-02-15 09:16:03.177"</f>
        <v>2026-02-15 09:16:03.177</v>
      </c>
      <c r="H922" t="s">
        <v>21</v>
      </c>
    </row>
    <row r="923" spans="1:10" x14ac:dyDescent="0.25">
      <c r="A923" s="1">
        <v>24</v>
      </c>
      <c r="B923" t="s">
        <v>26</v>
      </c>
      <c r="C923">
        <v>635</v>
      </c>
      <c r="D923">
        <v>1</v>
      </c>
      <c r="E923" t="s">
        <v>24</v>
      </c>
      <c r="F923" t="s">
        <v>25</v>
      </c>
      <c r="G923" t="str">
        <f>"2026-02-15 09:11:20.177"</f>
        <v>2026-02-15 09:11:20.177</v>
      </c>
      <c r="H923" t="s">
        <v>21</v>
      </c>
      <c r="I923">
        <v>6.42</v>
      </c>
      <c r="J923" t="s">
        <v>29</v>
      </c>
    </row>
    <row r="924" spans="1:10" x14ac:dyDescent="0.25">
      <c r="A924" s="1">
        <v>25</v>
      </c>
      <c r="B924" t="s">
        <v>23</v>
      </c>
      <c r="C924">
        <v>98</v>
      </c>
      <c r="D924">
        <v>1</v>
      </c>
      <c r="E924" t="s">
        <v>49</v>
      </c>
      <c r="F924" t="s">
        <v>50</v>
      </c>
      <c r="G924" t="str">
        <f>"2026-02-14 22:40:26.177"</f>
        <v>2026-02-14 22:40:26.177</v>
      </c>
      <c r="H924" t="s">
        <v>21</v>
      </c>
    </row>
    <row r="925" spans="1:10" x14ac:dyDescent="0.25">
      <c r="A925" s="1">
        <v>26</v>
      </c>
      <c r="B925" t="s">
        <v>26</v>
      </c>
      <c r="C925">
        <v>98</v>
      </c>
      <c r="D925">
        <v>1</v>
      </c>
      <c r="E925" t="s">
        <v>49</v>
      </c>
      <c r="F925" t="s">
        <v>50</v>
      </c>
      <c r="G925" t="str">
        <f>"2026-02-14 22:40:25.177"</f>
        <v>2026-02-14 22:40:25.177</v>
      </c>
      <c r="H925" t="s">
        <v>21</v>
      </c>
      <c r="I925">
        <v>3.91</v>
      </c>
      <c r="J925" t="s">
        <v>29</v>
      </c>
    </row>
    <row r="926" spans="1:10" x14ac:dyDescent="0.25">
      <c r="A926" s="1">
        <v>27</v>
      </c>
      <c r="B926" t="s">
        <v>23</v>
      </c>
      <c r="C926">
        <v>61</v>
      </c>
      <c r="D926">
        <v>2</v>
      </c>
      <c r="E926" t="s">
        <v>46</v>
      </c>
      <c r="F926" t="s">
        <v>47</v>
      </c>
      <c r="G926" t="str">
        <f>"2026-02-14 21:34:30.778"</f>
        <v>2026-02-14 21:34:30.778</v>
      </c>
      <c r="H926" t="s">
        <v>21</v>
      </c>
    </row>
    <row r="927" spans="1:10" x14ac:dyDescent="0.25">
      <c r="A927" s="1">
        <v>28</v>
      </c>
      <c r="B927" t="s">
        <v>38</v>
      </c>
      <c r="C927">
        <v>61</v>
      </c>
      <c r="D927">
        <v>2</v>
      </c>
      <c r="E927" t="s">
        <v>46</v>
      </c>
      <c r="F927" t="s">
        <v>47</v>
      </c>
      <c r="G927" t="str">
        <f>"2026-02-14 21:34:22.378"</f>
        <v>2026-02-14 21:34:22.378</v>
      </c>
      <c r="H927" t="s">
        <v>21</v>
      </c>
      <c r="I927">
        <v>30.15</v>
      </c>
      <c r="J927" t="s">
        <v>28</v>
      </c>
    </row>
    <row r="928" spans="1:10" x14ac:dyDescent="0.25">
      <c r="A928" s="1">
        <v>29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"2026-02-14 14:46:29.426"</f>
        <v>2026-02-14 14:46:29.426</v>
      </c>
      <c r="H928" t="s">
        <v>21</v>
      </c>
    </row>
    <row r="929" spans="1:10" x14ac:dyDescent="0.25">
      <c r="A929" s="1">
        <v>30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"2026-02-14 14:38:10.460"</f>
        <v>2026-02-14 14:38:10.460</v>
      </c>
      <c r="H929" t="s">
        <v>21</v>
      </c>
      <c r="I929">
        <v>0</v>
      </c>
      <c r="J929" t="s">
        <v>22</v>
      </c>
    </row>
    <row r="930" spans="1:10" x14ac:dyDescent="0.25">
      <c r="A930" s="1">
        <v>31</v>
      </c>
      <c r="B930" t="s">
        <v>23</v>
      </c>
      <c r="C930">
        <v>635</v>
      </c>
      <c r="D930">
        <v>1</v>
      </c>
      <c r="E930" t="s">
        <v>24</v>
      </c>
      <c r="F930" t="s">
        <v>25</v>
      </c>
      <c r="G930" t="str">
        <f>"2026-02-14 10:57:45.512"</f>
        <v>2026-02-14 10:57:45.512</v>
      </c>
      <c r="H930" t="s">
        <v>21</v>
      </c>
    </row>
    <row r="931" spans="1:10" x14ac:dyDescent="0.25">
      <c r="A931" s="1">
        <v>32</v>
      </c>
      <c r="B931" t="s">
        <v>26</v>
      </c>
      <c r="C931">
        <v>635</v>
      </c>
      <c r="D931">
        <v>1</v>
      </c>
      <c r="E931" t="s">
        <v>24</v>
      </c>
      <c r="F931" t="s">
        <v>25</v>
      </c>
      <c r="G931" t="str">
        <f>"2026-02-14 10:53:41.512"</f>
        <v>2026-02-14 10:53:41.512</v>
      </c>
      <c r="H931" t="s">
        <v>21</v>
      </c>
      <c r="I931">
        <v>7.83</v>
      </c>
      <c r="J931" t="s">
        <v>29</v>
      </c>
    </row>
    <row r="932" spans="1:10" x14ac:dyDescent="0.25">
      <c r="A932" s="1">
        <v>33</v>
      </c>
      <c r="B932" t="s">
        <v>23</v>
      </c>
      <c r="C932">
        <v>635</v>
      </c>
      <c r="D932">
        <v>1</v>
      </c>
      <c r="E932" t="s">
        <v>24</v>
      </c>
      <c r="F932" t="s">
        <v>25</v>
      </c>
      <c r="G932" t="str">
        <f>"2026-02-14 06:26:17.512"</f>
        <v>2026-02-14 06:26:17.512</v>
      </c>
      <c r="H932" t="s">
        <v>21</v>
      </c>
    </row>
    <row r="933" spans="1:10" x14ac:dyDescent="0.25">
      <c r="A933" s="1">
        <v>34</v>
      </c>
      <c r="B933" t="s">
        <v>26</v>
      </c>
      <c r="C933">
        <v>635</v>
      </c>
      <c r="D933">
        <v>1</v>
      </c>
      <c r="E933" t="s">
        <v>24</v>
      </c>
      <c r="F933" t="s">
        <v>25</v>
      </c>
      <c r="G933" t="str">
        <f>"2026-02-14 06:20:46.012"</f>
        <v>2026-02-14 06:20:46.012</v>
      </c>
      <c r="H933" t="s">
        <v>21</v>
      </c>
      <c r="I933">
        <v>1.52</v>
      </c>
      <c r="J933" t="s">
        <v>28</v>
      </c>
    </row>
    <row r="934" spans="1:10" x14ac:dyDescent="0.25">
      <c r="A934" s="1">
        <v>35</v>
      </c>
      <c r="B934" t="s">
        <v>23</v>
      </c>
      <c r="C934">
        <v>61</v>
      </c>
      <c r="D934">
        <v>2</v>
      </c>
      <c r="E934" t="s">
        <v>46</v>
      </c>
      <c r="F934" t="s">
        <v>47</v>
      </c>
      <c r="G934" t="str">
        <f>"2026-02-13 20:50:53.852"</f>
        <v>2026-02-13 20:50:53.852</v>
      </c>
      <c r="H934" t="s">
        <v>21</v>
      </c>
    </row>
    <row r="935" spans="1:10" x14ac:dyDescent="0.25">
      <c r="A935" s="1">
        <v>36</v>
      </c>
      <c r="B935" t="s">
        <v>38</v>
      </c>
      <c r="C935">
        <v>61</v>
      </c>
      <c r="D935">
        <v>2</v>
      </c>
      <c r="E935" t="s">
        <v>46</v>
      </c>
      <c r="F935" t="s">
        <v>47</v>
      </c>
      <c r="G935" t="str">
        <f>"2026-02-13 20:50:35.053"</f>
        <v>2026-02-13 20:50:35.053</v>
      </c>
      <c r="H935" t="s">
        <v>21</v>
      </c>
      <c r="I935">
        <v>29.87</v>
      </c>
      <c r="J935" t="s">
        <v>28</v>
      </c>
    </row>
    <row r="936" spans="1:10" x14ac:dyDescent="0.25">
      <c r="A936" s="1">
        <v>37</v>
      </c>
      <c r="B936" t="s">
        <v>19</v>
      </c>
      <c r="C936">
        <v>706</v>
      </c>
      <c r="D936">
        <v>3</v>
      </c>
      <c r="E936" t="s">
        <v>32</v>
      </c>
      <c r="F936" t="s">
        <v>39</v>
      </c>
      <c r="G936" t="str">
        <f>"2026-02-13 08:52:49.423"</f>
        <v>2026-02-13 08:52:49.423</v>
      </c>
      <c r="H936" t="s">
        <v>21</v>
      </c>
      <c r="I936">
        <v>0</v>
      </c>
      <c r="J936" t="s">
        <v>34</v>
      </c>
    </row>
    <row r="937" spans="1:10" x14ac:dyDescent="0.25">
      <c r="A937" s="1">
        <v>38</v>
      </c>
      <c r="B937" t="s">
        <v>19</v>
      </c>
      <c r="C937">
        <v>706</v>
      </c>
      <c r="D937">
        <v>4</v>
      </c>
      <c r="E937" t="s">
        <v>32</v>
      </c>
      <c r="F937" t="s">
        <v>48</v>
      </c>
      <c r="G937" t="str">
        <f>"2026-02-13 08:48:40.253"</f>
        <v>2026-02-13 08:48:40.253</v>
      </c>
      <c r="H937" t="s">
        <v>21</v>
      </c>
      <c r="I937">
        <v>0</v>
      </c>
      <c r="J937" t="s">
        <v>34</v>
      </c>
    </row>
    <row r="938" spans="1:10" x14ac:dyDescent="0.25">
      <c r="A938" s="1">
        <v>39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"2026-02-13 08:40:37.423"</f>
        <v>2026-02-13 08:40:37.423</v>
      </c>
      <c r="H938" t="s">
        <v>21</v>
      </c>
    </row>
    <row r="939" spans="1:10" x14ac:dyDescent="0.25">
      <c r="A939" s="1">
        <v>40</v>
      </c>
      <c r="B939" t="s">
        <v>19</v>
      </c>
      <c r="C939">
        <v>706</v>
      </c>
      <c r="D939">
        <v>4</v>
      </c>
      <c r="E939" t="s">
        <v>32</v>
      </c>
      <c r="F939" t="s">
        <v>48</v>
      </c>
      <c r="G939" t="str">
        <f>"2026-02-13 08:32:25.268"</f>
        <v>2026-02-13 08:32:25.268</v>
      </c>
      <c r="H939" t="s">
        <v>21</v>
      </c>
      <c r="I939">
        <v>0</v>
      </c>
      <c r="J939" t="s">
        <v>34</v>
      </c>
    </row>
    <row r="940" spans="1:10" x14ac:dyDescent="0.25">
      <c r="A940" s="1">
        <v>41</v>
      </c>
      <c r="B940" t="s">
        <v>19</v>
      </c>
      <c r="C940">
        <v>706</v>
      </c>
      <c r="D940">
        <v>2</v>
      </c>
      <c r="E940" t="s">
        <v>32</v>
      </c>
      <c r="F940" t="s">
        <v>33</v>
      </c>
      <c r="G940" t="str">
        <f>"2026-02-13 08:29:34.178"</f>
        <v>2026-02-13 08:29:34.178</v>
      </c>
      <c r="H940" t="s">
        <v>21</v>
      </c>
      <c r="I940">
        <v>0</v>
      </c>
      <c r="J940" t="s">
        <v>34</v>
      </c>
    </row>
    <row r="941" spans="1:10" x14ac:dyDescent="0.25">
      <c r="A941" s="1">
        <v>42</v>
      </c>
      <c r="B941" t="s">
        <v>19</v>
      </c>
      <c r="C941">
        <v>706</v>
      </c>
      <c r="D941">
        <v>4</v>
      </c>
      <c r="E941" t="s">
        <v>32</v>
      </c>
      <c r="F941" t="s">
        <v>48</v>
      </c>
      <c r="G941" t="str">
        <f>"2026-02-13 08:29:15.478"</f>
        <v>2026-02-13 08:29:15.478</v>
      </c>
      <c r="H941" t="s">
        <v>21</v>
      </c>
      <c r="I941">
        <v>0</v>
      </c>
      <c r="J941" t="s">
        <v>34</v>
      </c>
    </row>
    <row r="942" spans="1:10" x14ac:dyDescent="0.25">
      <c r="A942" s="1">
        <v>43</v>
      </c>
      <c r="B942" t="s">
        <v>19</v>
      </c>
      <c r="C942">
        <v>706</v>
      </c>
      <c r="D942">
        <v>4</v>
      </c>
      <c r="E942" t="s">
        <v>32</v>
      </c>
      <c r="F942" t="s">
        <v>48</v>
      </c>
      <c r="G942" t="str">
        <f>"2026-02-13 08:28:49.668"</f>
        <v>2026-02-13 08:28:49.668</v>
      </c>
      <c r="H942" t="s">
        <v>21</v>
      </c>
      <c r="I942">
        <v>0</v>
      </c>
      <c r="J942" t="s">
        <v>34</v>
      </c>
    </row>
    <row r="943" spans="1:10" x14ac:dyDescent="0.25">
      <c r="A943" s="1">
        <v>44</v>
      </c>
      <c r="B943" t="s">
        <v>19</v>
      </c>
      <c r="C943">
        <v>706</v>
      </c>
      <c r="D943">
        <v>3</v>
      </c>
      <c r="E943" t="s">
        <v>32</v>
      </c>
      <c r="F943" t="s">
        <v>39</v>
      </c>
      <c r="G943" t="str">
        <f>"2026-02-13 08:27:50.158"</f>
        <v>2026-02-13 08:27:50.158</v>
      </c>
      <c r="H943" t="s">
        <v>21</v>
      </c>
      <c r="I943">
        <v>0</v>
      </c>
      <c r="J943" t="s">
        <v>34</v>
      </c>
    </row>
    <row r="944" spans="1:10" x14ac:dyDescent="0.25">
      <c r="A944" s="1">
        <v>45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"2026-02-13 08:26:13.418"</f>
        <v>2026-02-13 08:26:13.418</v>
      </c>
      <c r="H944" t="s">
        <v>21</v>
      </c>
    </row>
    <row r="945" spans="1:10" x14ac:dyDescent="0.25">
      <c r="A945" s="1">
        <v>46</v>
      </c>
      <c r="B945" t="s">
        <v>19</v>
      </c>
      <c r="C945">
        <v>706</v>
      </c>
      <c r="D945">
        <v>2</v>
      </c>
      <c r="E945" t="s">
        <v>32</v>
      </c>
      <c r="F945" t="s">
        <v>33</v>
      </c>
      <c r="G945" t="str">
        <f>"2026-02-13 08:24:27.405"</f>
        <v>2026-02-13 08:24:27.405</v>
      </c>
      <c r="H945" t="s">
        <v>21</v>
      </c>
      <c r="I945">
        <v>0</v>
      </c>
      <c r="J945" t="s">
        <v>34</v>
      </c>
    </row>
    <row r="946" spans="1:10" x14ac:dyDescent="0.25">
      <c r="A946" s="1">
        <v>47</v>
      </c>
      <c r="B946" t="s">
        <v>19</v>
      </c>
      <c r="C946">
        <v>706</v>
      </c>
      <c r="D946">
        <v>4</v>
      </c>
      <c r="E946" t="s">
        <v>32</v>
      </c>
      <c r="F946" t="s">
        <v>48</v>
      </c>
      <c r="G946" t="str">
        <f>"2026-02-13 08:24:10.545"</f>
        <v>2026-02-13 08:24:10.545</v>
      </c>
      <c r="H946" t="s">
        <v>21</v>
      </c>
      <c r="I946">
        <v>0</v>
      </c>
      <c r="J946" t="s">
        <v>34</v>
      </c>
    </row>
    <row r="947" spans="1:10" x14ac:dyDescent="0.25">
      <c r="A947" s="1">
        <v>48</v>
      </c>
      <c r="B947" t="s">
        <v>19</v>
      </c>
      <c r="C947">
        <v>706</v>
      </c>
      <c r="D947">
        <v>3</v>
      </c>
      <c r="E947" t="s">
        <v>32</v>
      </c>
      <c r="F947" t="s">
        <v>39</v>
      </c>
      <c r="G947" t="str">
        <f>"2026-02-13 08:20:33.925"</f>
        <v>2026-02-13 08:20:33.925</v>
      </c>
      <c r="H947" t="s">
        <v>21</v>
      </c>
      <c r="I947">
        <v>0</v>
      </c>
      <c r="J947" t="s">
        <v>34</v>
      </c>
    </row>
    <row r="948" spans="1:10" x14ac:dyDescent="0.25">
      <c r="A948" s="1">
        <v>49</v>
      </c>
      <c r="B948" t="s">
        <v>19</v>
      </c>
      <c r="C948">
        <v>706</v>
      </c>
      <c r="D948">
        <v>4</v>
      </c>
      <c r="E948" t="s">
        <v>32</v>
      </c>
      <c r="F948" t="s">
        <v>48</v>
      </c>
      <c r="G948" t="str">
        <f>"2026-02-13 08:17:45.255"</f>
        <v>2026-02-13 08:17:45.255</v>
      </c>
      <c r="H948" t="s">
        <v>21</v>
      </c>
      <c r="I948">
        <v>0</v>
      </c>
      <c r="J948" t="s">
        <v>34</v>
      </c>
    </row>
    <row r="949" spans="1:10" x14ac:dyDescent="0.25">
      <c r="A949" s="1">
        <v>50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"2026-02-13 08:14:02.415"</f>
        <v>2026-02-13 08:14:02.415</v>
      </c>
      <c r="H949" t="s">
        <v>21</v>
      </c>
    </row>
    <row r="950" spans="1:10" x14ac:dyDescent="0.25">
      <c r="A950" s="1">
        <v>51</v>
      </c>
      <c r="B950" t="s">
        <v>19</v>
      </c>
      <c r="C950">
        <v>706</v>
      </c>
      <c r="D950">
        <v>2</v>
      </c>
      <c r="E950" t="s">
        <v>32</v>
      </c>
      <c r="F950" t="s">
        <v>33</v>
      </c>
      <c r="G950" t="str">
        <f>"2026-02-13 08:12:37.701"</f>
        <v>2026-02-13 08:12:37.701</v>
      </c>
      <c r="H950" t="s">
        <v>21</v>
      </c>
      <c r="I950">
        <v>0</v>
      </c>
      <c r="J950" t="s">
        <v>34</v>
      </c>
    </row>
    <row r="951" spans="1:10" x14ac:dyDescent="0.25">
      <c r="A951" s="1">
        <v>52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"2026-02-13 08:02:32.431"</f>
        <v>2026-02-13 08:02:32.431</v>
      </c>
      <c r="H951" t="s">
        <v>21</v>
      </c>
      <c r="I951">
        <v>0</v>
      </c>
      <c r="J951" t="s">
        <v>22</v>
      </c>
    </row>
    <row r="952" spans="1:10" x14ac:dyDescent="0.25">
      <c r="A952" s="1">
        <v>53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"2026-02-13 07:55:08.464"</f>
        <v>2026-02-13 07:55:08.464</v>
      </c>
      <c r="H952" t="s">
        <v>21</v>
      </c>
      <c r="I952">
        <v>0</v>
      </c>
      <c r="J952" t="s">
        <v>22</v>
      </c>
    </row>
    <row r="953" spans="1:10" x14ac:dyDescent="0.25">
      <c r="A953" s="1">
        <v>54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"2026-02-13 07:39:59.413"</f>
        <v>2026-02-13 07:39:59.413</v>
      </c>
      <c r="H953" t="s">
        <v>21</v>
      </c>
      <c r="I953">
        <v>0</v>
      </c>
      <c r="J953" t="s">
        <v>22</v>
      </c>
    </row>
    <row r="954" spans="1:10" x14ac:dyDescent="0.25">
      <c r="A954" s="1">
        <v>55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"2026-02-13 05:46:09.433"</f>
        <v>2026-02-13 05:46:09.433</v>
      </c>
      <c r="H954" t="s">
        <v>21</v>
      </c>
      <c r="I954">
        <v>0</v>
      </c>
      <c r="J954" t="s">
        <v>22</v>
      </c>
    </row>
    <row r="955" spans="1:10" x14ac:dyDescent="0.25">
      <c r="A955" s="1">
        <v>56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"2026-02-13 04:48:25.425"</f>
        <v>2026-02-13 04:48:25.425</v>
      </c>
      <c r="H955" t="s">
        <v>21</v>
      </c>
      <c r="I955">
        <v>0</v>
      </c>
      <c r="J955" t="s">
        <v>22</v>
      </c>
    </row>
    <row r="956" spans="1:10" x14ac:dyDescent="0.25">
      <c r="A956" s="1">
        <v>57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"2026-02-13 04:26:22.416"</f>
        <v>2026-02-13 04:26:22.416</v>
      </c>
      <c r="H956" t="s">
        <v>21</v>
      </c>
    </row>
    <row r="957" spans="1:10" x14ac:dyDescent="0.25">
      <c r="A957" s="1">
        <v>58</v>
      </c>
      <c r="B957" t="s">
        <v>19</v>
      </c>
      <c r="C957">
        <v>706</v>
      </c>
      <c r="D957">
        <v>3</v>
      </c>
      <c r="E957" t="s">
        <v>32</v>
      </c>
      <c r="F957" t="s">
        <v>39</v>
      </c>
      <c r="G957" t="str">
        <f>"2026-02-13 04:24:23.848"</f>
        <v>2026-02-13 04:24:23.848</v>
      </c>
      <c r="H957" t="s">
        <v>21</v>
      </c>
      <c r="I957">
        <v>0</v>
      </c>
      <c r="J957" t="s">
        <v>34</v>
      </c>
    </row>
    <row r="958" spans="1:10" x14ac:dyDescent="0.25">
      <c r="A958" s="1">
        <v>59</v>
      </c>
      <c r="B958" t="s">
        <v>19</v>
      </c>
      <c r="C958">
        <v>706</v>
      </c>
      <c r="D958">
        <v>4</v>
      </c>
      <c r="E958" t="s">
        <v>32</v>
      </c>
      <c r="F958" t="s">
        <v>48</v>
      </c>
      <c r="G958" t="str">
        <f>"2026-02-12 14:56:54.588"</f>
        <v>2026-02-12 14:56:54.588</v>
      </c>
      <c r="H958" t="s">
        <v>21</v>
      </c>
      <c r="I958">
        <v>0</v>
      </c>
      <c r="J958" t="s">
        <v>34</v>
      </c>
    </row>
    <row r="959" spans="1:10" x14ac:dyDescent="0.25">
      <c r="A959" s="1">
        <v>60</v>
      </c>
      <c r="B959" t="s">
        <v>19</v>
      </c>
      <c r="C959">
        <v>706</v>
      </c>
      <c r="D959">
        <v>3</v>
      </c>
      <c r="E959" t="s">
        <v>32</v>
      </c>
      <c r="F959" t="s">
        <v>39</v>
      </c>
      <c r="G959" t="str">
        <f>"2026-02-12 14:56:40.978"</f>
        <v>2026-02-12 14:56:40.978</v>
      </c>
      <c r="H959" t="s">
        <v>21</v>
      </c>
      <c r="I959">
        <v>0</v>
      </c>
      <c r="J959" t="s">
        <v>34</v>
      </c>
    </row>
    <row r="960" spans="1:10" x14ac:dyDescent="0.25">
      <c r="A960" s="1">
        <v>61</v>
      </c>
      <c r="B960" t="s">
        <v>19</v>
      </c>
      <c r="C960">
        <v>706</v>
      </c>
      <c r="D960">
        <v>2</v>
      </c>
      <c r="E960" t="s">
        <v>32</v>
      </c>
      <c r="F960" t="s">
        <v>33</v>
      </c>
      <c r="G960" t="str">
        <f>"2026-02-12 14:49:20.088"</f>
        <v>2026-02-12 14:49:20.088</v>
      </c>
      <c r="H960" t="s">
        <v>21</v>
      </c>
      <c r="I960">
        <v>0</v>
      </c>
      <c r="J960" t="s">
        <v>34</v>
      </c>
    </row>
    <row r="961" spans="1:10" x14ac:dyDescent="0.25">
      <c r="A961" s="1">
        <v>62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"2026-02-12 14:21:24.418"</f>
        <v>2026-02-12 14:21:24.418</v>
      </c>
      <c r="H961" t="s">
        <v>21</v>
      </c>
      <c r="I961">
        <v>0</v>
      </c>
      <c r="J961" t="s">
        <v>22</v>
      </c>
    </row>
    <row r="962" spans="1:10" x14ac:dyDescent="0.25">
      <c r="A962" s="1">
        <v>63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"2026-02-12 14:01:40.418"</f>
        <v>2026-02-12 14:01:40.418</v>
      </c>
      <c r="H962" t="s">
        <v>21</v>
      </c>
      <c r="I962">
        <v>0</v>
      </c>
      <c r="J962" t="s">
        <v>22</v>
      </c>
    </row>
    <row r="963" spans="1:10" x14ac:dyDescent="0.25">
      <c r="A963" s="1">
        <v>64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"2026-02-12 12:50:47.413"</f>
        <v>2026-02-12 12:50:47.413</v>
      </c>
      <c r="H963" t="s">
        <v>21</v>
      </c>
    </row>
    <row r="964" spans="1:10" x14ac:dyDescent="0.25">
      <c r="A964" s="1">
        <v>65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"2026-02-12 11:54:20.421"</f>
        <v>2026-02-12 11:54:20.421</v>
      </c>
      <c r="H964" t="s">
        <v>21</v>
      </c>
      <c r="I964">
        <v>0</v>
      </c>
      <c r="J964" t="s">
        <v>22</v>
      </c>
    </row>
    <row r="965" spans="1:10" x14ac:dyDescent="0.25">
      <c r="A965" s="1">
        <v>66</v>
      </c>
      <c r="B965" t="s">
        <v>19</v>
      </c>
      <c r="C965">
        <v>706</v>
      </c>
      <c r="D965">
        <v>2</v>
      </c>
      <c r="E965" t="s">
        <v>32</v>
      </c>
      <c r="F965" t="s">
        <v>33</v>
      </c>
      <c r="G965" t="str">
        <f>"2026-02-12 11:32:38.350"</f>
        <v>2026-02-12 11:32:38.350</v>
      </c>
      <c r="H965" t="s">
        <v>21</v>
      </c>
      <c r="I965">
        <v>0</v>
      </c>
      <c r="J965" t="s">
        <v>34</v>
      </c>
    </row>
    <row r="966" spans="1:10" x14ac:dyDescent="0.25">
      <c r="A966" s="1">
        <v>67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"2026-02-12 11:27:13.420"</f>
        <v>2026-02-12 11:27:13.420</v>
      </c>
      <c r="H966" t="s">
        <v>21</v>
      </c>
      <c r="I966">
        <v>0</v>
      </c>
      <c r="J966" t="s">
        <v>22</v>
      </c>
    </row>
    <row r="967" spans="1:10" x14ac:dyDescent="0.25">
      <c r="A967" s="1">
        <v>68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"2026-02-12 11:15:17.417"</f>
        <v>2026-02-12 11:15:17.417</v>
      </c>
      <c r="H967" t="s">
        <v>21</v>
      </c>
    </row>
    <row r="968" spans="1:10" x14ac:dyDescent="0.25">
      <c r="A968" s="1">
        <v>69</v>
      </c>
      <c r="B968" t="s">
        <v>23</v>
      </c>
      <c r="C968">
        <v>635</v>
      </c>
      <c r="D968">
        <v>1</v>
      </c>
      <c r="E968" t="s">
        <v>24</v>
      </c>
      <c r="F968" t="s">
        <v>25</v>
      </c>
      <c r="G968" t="str">
        <f>"2026-02-12 08:52:56.255"</f>
        <v>2026-02-12 08:52:56.255</v>
      </c>
      <c r="H968" t="s">
        <v>21</v>
      </c>
    </row>
    <row r="969" spans="1:10" x14ac:dyDescent="0.25">
      <c r="A969" s="1">
        <v>70</v>
      </c>
      <c r="B969" t="s">
        <v>26</v>
      </c>
      <c r="C969">
        <v>635</v>
      </c>
      <c r="D969">
        <v>1</v>
      </c>
      <c r="E969" t="s">
        <v>24</v>
      </c>
      <c r="F969" t="s">
        <v>25</v>
      </c>
      <c r="G969" t="str">
        <f>"2026-02-12 08:34:16.255"</f>
        <v>2026-02-12 08:34:16.255</v>
      </c>
      <c r="H969" t="s">
        <v>21</v>
      </c>
      <c r="I969">
        <v>3.33</v>
      </c>
      <c r="J969" t="s">
        <v>29</v>
      </c>
    </row>
    <row r="970" spans="1:10" x14ac:dyDescent="0.25">
      <c r="A970" s="1">
        <v>71</v>
      </c>
      <c r="B970" t="s">
        <v>23</v>
      </c>
      <c r="C970">
        <v>42</v>
      </c>
      <c r="D970">
        <v>1</v>
      </c>
      <c r="E970" t="s">
        <v>59</v>
      </c>
      <c r="F970" t="s">
        <v>60</v>
      </c>
      <c r="G970" t="str">
        <f>"2026-02-11 15:01:25.625"</f>
        <v>2026-02-11 15:01:25.625</v>
      </c>
      <c r="H970" t="s">
        <v>61</v>
      </c>
    </row>
    <row r="971" spans="1:10" x14ac:dyDescent="0.25">
      <c r="A971" s="1">
        <v>72</v>
      </c>
      <c r="B971" t="s">
        <v>26</v>
      </c>
      <c r="C971">
        <v>42</v>
      </c>
      <c r="D971">
        <v>1</v>
      </c>
      <c r="E971" t="s">
        <v>59</v>
      </c>
      <c r="F971" t="s">
        <v>60</v>
      </c>
      <c r="G971" t="str">
        <f>"2026-02-11 15:01:07.905"</f>
        <v>2026-02-11 15:01:07.905</v>
      </c>
      <c r="H971" t="s">
        <v>61</v>
      </c>
      <c r="I971">
        <v>0</v>
      </c>
      <c r="J971" t="s">
        <v>34</v>
      </c>
    </row>
    <row r="972" spans="1:10" x14ac:dyDescent="0.25">
      <c r="A972" s="1">
        <v>73</v>
      </c>
      <c r="B972" t="s">
        <v>23</v>
      </c>
      <c r="C972">
        <v>635</v>
      </c>
      <c r="D972">
        <v>1</v>
      </c>
      <c r="E972" t="s">
        <v>24</v>
      </c>
      <c r="F972" t="s">
        <v>25</v>
      </c>
      <c r="G972" t="str">
        <f>"2026-02-11 12:34:52.255"</f>
        <v>2026-02-11 12:34:52.255</v>
      </c>
      <c r="H972" t="s">
        <v>21</v>
      </c>
    </row>
    <row r="973" spans="1:10" x14ac:dyDescent="0.25">
      <c r="A973" s="1">
        <v>74</v>
      </c>
      <c r="B973" t="s">
        <v>26</v>
      </c>
      <c r="C973">
        <v>635</v>
      </c>
      <c r="D973">
        <v>1</v>
      </c>
      <c r="E973" t="s">
        <v>24</v>
      </c>
      <c r="F973" t="s">
        <v>25</v>
      </c>
      <c r="G973" t="str">
        <f>"2026-02-11 12:28:51.755"</f>
        <v>2026-02-11 12:28:51.755</v>
      </c>
      <c r="H973" t="s">
        <v>21</v>
      </c>
      <c r="I973">
        <v>8.57</v>
      </c>
      <c r="J973" t="s">
        <v>29</v>
      </c>
    </row>
    <row r="974" spans="1:10" x14ac:dyDescent="0.25">
      <c r="A974" s="1">
        <v>75</v>
      </c>
      <c r="B974" t="s">
        <v>23</v>
      </c>
      <c r="C974">
        <v>61</v>
      </c>
      <c r="D974">
        <v>2</v>
      </c>
      <c r="E974" t="s">
        <v>46</v>
      </c>
      <c r="F974" t="s">
        <v>47</v>
      </c>
      <c r="G974" t="str">
        <f>"2026-02-11 07:25:07.168"</f>
        <v>2026-02-11 07:25:07.168</v>
      </c>
      <c r="H974" t="s">
        <v>21</v>
      </c>
    </row>
    <row r="975" spans="1:10" x14ac:dyDescent="0.25">
      <c r="A975" s="1">
        <v>76</v>
      </c>
      <c r="B975" t="s">
        <v>38</v>
      </c>
      <c r="C975">
        <v>61</v>
      </c>
      <c r="D975">
        <v>2</v>
      </c>
      <c r="E975" t="s">
        <v>46</v>
      </c>
      <c r="F975" t="s">
        <v>47</v>
      </c>
      <c r="G975" t="str">
        <f>"2026-02-11 07:24:51.968"</f>
        <v>2026-02-11 07:24:51.968</v>
      </c>
      <c r="H975" t="s">
        <v>21</v>
      </c>
      <c r="I975">
        <v>30.47</v>
      </c>
      <c r="J975" t="s">
        <v>28</v>
      </c>
    </row>
    <row r="976" spans="1:10" x14ac:dyDescent="0.25">
      <c r="A976" s="1">
        <v>77</v>
      </c>
      <c r="B976" t="s">
        <v>23</v>
      </c>
      <c r="C976">
        <v>635</v>
      </c>
      <c r="D976">
        <v>1</v>
      </c>
      <c r="E976" t="s">
        <v>24</v>
      </c>
      <c r="F976" t="s">
        <v>25</v>
      </c>
      <c r="G976" t="str">
        <f>"2026-02-10 19:35:41.455"</f>
        <v>2026-02-10 19:35:41.455</v>
      </c>
      <c r="H976" t="s">
        <v>21</v>
      </c>
    </row>
    <row r="977" spans="1:10" x14ac:dyDescent="0.25">
      <c r="A977" s="1">
        <v>78</v>
      </c>
      <c r="B977" t="s">
        <v>26</v>
      </c>
      <c r="C977">
        <v>635</v>
      </c>
      <c r="D977">
        <v>1</v>
      </c>
      <c r="E977" t="s">
        <v>24</v>
      </c>
      <c r="F977" t="s">
        <v>25</v>
      </c>
      <c r="G977" t="str">
        <f>"2026-02-10 19:33:54.955"</f>
        <v>2026-02-10 19:33:54.955</v>
      </c>
      <c r="H977" t="s">
        <v>21</v>
      </c>
      <c r="I977">
        <v>0</v>
      </c>
      <c r="J977" t="s">
        <v>27</v>
      </c>
    </row>
    <row r="978" spans="1:10" x14ac:dyDescent="0.25">
      <c r="A978" s="1">
        <v>79</v>
      </c>
      <c r="B978" t="s">
        <v>23</v>
      </c>
      <c r="C978">
        <v>98</v>
      </c>
      <c r="D978">
        <v>1</v>
      </c>
      <c r="E978" t="s">
        <v>49</v>
      </c>
      <c r="F978" t="s">
        <v>50</v>
      </c>
      <c r="G978" t="str">
        <f>"2026-02-09 20:29:04.667"</f>
        <v>2026-02-09 20:29:04.667</v>
      </c>
      <c r="H978" t="s">
        <v>21</v>
      </c>
    </row>
    <row r="979" spans="1:10" x14ac:dyDescent="0.25">
      <c r="A979" s="1">
        <v>80</v>
      </c>
      <c r="B979" t="s">
        <v>26</v>
      </c>
      <c r="C979">
        <v>98</v>
      </c>
      <c r="D979">
        <v>1</v>
      </c>
      <c r="E979" t="s">
        <v>49</v>
      </c>
      <c r="F979" t="s">
        <v>50</v>
      </c>
      <c r="G979" t="str">
        <f>"2026-02-09 20:29:03.668"</f>
        <v>2026-02-09 20:29:03.668</v>
      </c>
      <c r="H979" t="s">
        <v>21</v>
      </c>
      <c r="I979">
        <v>0</v>
      </c>
      <c r="J979" t="s">
        <v>27</v>
      </c>
    </row>
    <row r="980" spans="1:10" x14ac:dyDescent="0.25">
      <c r="A980" s="1">
        <v>81</v>
      </c>
      <c r="B980" t="s">
        <v>19</v>
      </c>
      <c r="C980">
        <v>706</v>
      </c>
      <c r="D980">
        <v>4</v>
      </c>
      <c r="E980" t="s">
        <v>32</v>
      </c>
      <c r="F980" t="s">
        <v>48</v>
      </c>
      <c r="G980" t="str">
        <f>"2026-02-09 15:38:02.597"</f>
        <v>2026-02-09 15:38:02.597</v>
      </c>
      <c r="H980" t="s">
        <v>21</v>
      </c>
      <c r="I980">
        <v>0</v>
      </c>
      <c r="J980" t="s">
        <v>34</v>
      </c>
    </row>
    <row r="981" spans="1:10" x14ac:dyDescent="0.25">
      <c r="A981" s="1">
        <v>82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"2026-02-09 15:15:09.407"</f>
        <v>2026-02-09 15:15:09.407</v>
      </c>
      <c r="H981" t="s">
        <v>21</v>
      </c>
      <c r="I981">
        <v>0</v>
      </c>
      <c r="J981" t="s">
        <v>22</v>
      </c>
    </row>
    <row r="982" spans="1:10" x14ac:dyDescent="0.25">
      <c r="A982" s="1">
        <v>83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"2026-02-09 14:11:39.402"</f>
        <v>2026-02-09 14:11:39.402</v>
      </c>
      <c r="H982" t="s">
        <v>21</v>
      </c>
      <c r="I982">
        <v>0</v>
      </c>
      <c r="J982" t="s">
        <v>22</v>
      </c>
    </row>
    <row r="983" spans="1:10" x14ac:dyDescent="0.25">
      <c r="A983" s="1">
        <v>84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"2026-02-09 11:33:02.421"</f>
        <v>2026-02-09 11:33:02.421</v>
      </c>
      <c r="H983" t="s">
        <v>21</v>
      </c>
      <c r="I983">
        <v>0</v>
      </c>
      <c r="J983" t="s">
        <v>22</v>
      </c>
    </row>
    <row r="984" spans="1:10" x14ac:dyDescent="0.25">
      <c r="A984" s="1">
        <v>85</v>
      </c>
      <c r="B984" t="s">
        <v>23</v>
      </c>
      <c r="C984">
        <v>635</v>
      </c>
      <c r="D984">
        <v>1</v>
      </c>
      <c r="E984" t="s">
        <v>24</v>
      </c>
      <c r="F984" t="s">
        <v>25</v>
      </c>
      <c r="G984" t="str">
        <f>"2026-02-09 10:54:29.558"</f>
        <v>2026-02-09 10:54:29.558</v>
      </c>
      <c r="H984" t="s">
        <v>21</v>
      </c>
    </row>
    <row r="985" spans="1:10" x14ac:dyDescent="0.25">
      <c r="A985" s="1">
        <v>86</v>
      </c>
      <c r="B985" t="s">
        <v>26</v>
      </c>
      <c r="C985">
        <v>635</v>
      </c>
      <c r="D985">
        <v>1</v>
      </c>
      <c r="E985" t="s">
        <v>24</v>
      </c>
      <c r="F985" t="s">
        <v>25</v>
      </c>
      <c r="G985" t="str">
        <f>"2026-02-09 10:50:36.658"</f>
        <v>2026-02-09 10:50:36.658</v>
      </c>
      <c r="H985" t="s">
        <v>21</v>
      </c>
      <c r="I985">
        <v>3.39</v>
      </c>
      <c r="J985" t="s">
        <v>29</v>
      </c>
    </row>
    <row r="986" spans="1:10" x14ac:dyDescent="0.25">
      <c r="A986" s="1">
        <v>87</v>
      </c>
      <c r="B986" t="s">
        <v>23</v>
      </c>
      <c r="C986">
        <v>635</v>
      </c>
      <c r="D986">
        <v>1</v>
      </c>
      <c r="E986" t="s">
        <v>24</v>
      </c>
      <c r="F986" t="s">
        <v>25</v>
      </c>
      <c r="G986" t="str">
        <f>"2026-02-09 05:58:40.758"</f>
        <v>2026-02-09 05:58:40.758</v>
      </c>
      <c r="H986" t="s">
        <v>21</v>
      </c>
    </row>
    <row r="987" spans="1:10" x14ac:dyDescent="0.25">
      <c r="A987" s="1">
        <v>88</v>
      </c>
      <c r="B987" t="s">
        <v>26</v>
      </c>
      <c r="C987">
        <v>635</v>
      </c>
      <c r="D987">
        <v>1</v>
      </c>
      <c r="E987" t="s">
        <v>24</v>
      </c>
      <c r="F987" t="s">
        <v>25</v>
      </c>
      <c r="G987" t="str">
        <f>"2026-02-09 05:52:42.758"</f>
        <v>2026-02-09 05:52:42.758</v>
      </c>
      <c r="H987" t="s">
        <v>21</v>
      </c>
      <c r="I987">
        <v>0.02</v>
      </c>
      <c r="J987" t="s">
        <v>28</v>
      </c>
    </row>
    <row r="988" spans="1:10" x14ac:dyDescent="0.25">
      <c r="A988" s="1">
        <v>89</v>
      </c>
      <c r="B988" t="s">
        <v>19</v>
      </c>
      <c r="C988">
        <v>706</v>
      </c>
      <c r="D988">
        <v>2</v>
      </c>
      <c r="E988" t="s">
        <v>32</v>
      </c>
      <c r="F988" t="s">
        <v>33</v>
      </c>
      <c r="G988" t="str">
        <f>"2026-02-08 14:53:45.407"</f>
        <v>2026-02-08 14:53:45.407</v>
      </c>
      <c r="H988" t="s">
        <v>21</v>
      </c>
      <c r="I988">
        <v>0</v>
      </c>
      <c r="J988" t="s">
        <v>34</v>
      </c>
    </row>
    <row r="989" spans="1:10" x14ac:dyDescent="0.25">
      <c r="A989" s="1">
        <v>90</v>
      </c>
      <c r="B989" t="s">
        <v>19</v>
      </c>
      <c r="C989">
        <v>706</v>
      </c>
      <c r="D989">
        <v>3</v>
      </c>
      <c r="E989" t="s">
        <v>32</v>
      </c>
      <c r="F989" t="s">
        <v>39</v>
      </c>
      <c r="G989" t="str">
        <f>"2026-02-08 14:53:33.707"</f>
        <v>2026-02-08 14:53:33.707</v>
      </c>
      <c r="H989" t="s">
        <v>21</v>
      </c>
      <c r="I989">
        <v>0</v>
      </c>
      <c r="J989" t="s">
        <v>34</v>
      </c>
    </row>
    <row r="990" spans="1:10" x14ac:dyDescent="0.25">
      <c r="A990" s="1">
        <v>91</v>
      </c>
      <c r="B990" t="s">
        <v>23</v>
      </c>
      <c r="C990">
        <v>42</v>
      </c>
      <c r="D990">
        <v>1</v>
      </c>
      <c r="E990" t="s">
        <v>59</v>
      </c>
      <c r="F990" t="s">
        <v>60</v>
      </c>
      <c r="G990" t="str">
        <f>"2026-02-08 14:44:05.435"</f>
        <v>2026-02-08 14:44:05.435</v>
      </c>
      <c r="H990" t="s">
        <v>61</v>
      </c>
    </row>
    <row r="991" spans="1:10" x14ac:dyDescent="0.25">
      <c r="A991" s="1">
        <v>92</v>
      </c>
      <c r="B991" t="s">
        <v>26</v>
      </c>
      <c r="C991">
        <v>42</v>
      </c>
      <c r="D991">
        <v>1</v>
      </c>
      <c r="E991" t="s">
        <v>59</v>
      </c>
      <c r="F991" t="s">
        <v>60</v>
      </c>
      <c r="G991" t="str">
        <f>"2026-02-08 14:43:46.516"</f>
        <v>2026-02-08 14:43:46.516</v>
      </c>
      <c r="H991" t="s">
        <v>61</v>
      </c>
      <c r="I991">
        <v>0</v>
      </c>
      <c r="J991" t="s">
        <v>34</v>
      </c>
    </row>
    <row r="992" spans="1:10" x14ac:dyDescent="0.25">
      <c r="A992" s="1">
        <v>93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"2026-02-08 14:35:36.407"</f>
        <v>2026-02-08 14:35:36.407</v>
      </c>
      <c r="H992" t="s">
        <v>21</v>
      </c>
      <c r="I992">
        <v>0</v>
      </c>
      <c r="J992" t="s">
        <v>22</v>
      </c>
    </row>
    <row r="993" spans="1:10" x14ac:dyDescent="0.25">
      <c r="A993" s="1">
        <v>94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"2026-02-08 13:45:51.411"</f>
        <v>2026-02-08 13:45:51.411</v>
      </c>
      <c r="H993" t="s">
        <v>21</v>
      </c>
      <c r="I993">
        <v>0</v>
      </c>
      <c r="J993" t="s">
        <v>22</v>
      </c>
    </row>
    <row r="994" spans="1:10" x14ac:dyDescent="0.25">
      <c r="A994" s="1">
        <v>95</v>
      </c>
      <c r="B994" t="s">
        <v>23</v>
      </c>
      <c r="C994">
        <v>61</v>
      </c>
      <c r="D994">
        <v>2</v>
      </c>
      <c r="E994" t="s">
        <v>46</v>
      </c>
      <c r="F994" t="s">
        <v>47</v>
      </c>
      <c r="G994" t="str">
        <f>"2026-02-07 22:31:47.269"</f>
        <v>2026-02-07 22:31:47.269</v>
      </c>
      <c r="H994" t="s">
        <v>21</v>
      </c>
    </row>
    <row r="995" spans="1:10" x14ac:dyDescent="0.25">
      <c r="A995" s="1">
        <v>96</v>
      </c>
      <c r="B995" t="s">
        <v>38</v>
      </c>
      <c r="C995">
        <v>61</v>
      </c>
      <c r="D995">
        <v>2</v>
      </c>
      <c r="E995" t="s">
        <v>46</v>
      </c>
      <c r="F995" t="s">
        <v>47</v>
      </c>
      <c r="G995" t="str">
        <f>"2026-02-07 22:31:15.469"</f>
        <v>2026-02-07 22:31:15.469</v>
      </c>
      <c r="H995" t="s">
        <v>21</v>
      </c>
      <c r="I995">
        <v>30.43</v>
      </c>
      <c r="J995" t="s">
        <v>28</v>
      </c>
    </row>
    <row r="996" spans="1:10" x14ac:dyDescent="0.25">
      <c r="A996" s="1">
        <v>97</v>
      </c>
      <c r="B996" t="s">
        <v>23</v>
      </c>
      <c r="C996">
        <v>61</v>
      </c>
      <c r="D996">
        <v>2</v>
      </c>
      <c r="E996" t="s">
        <v>46</v>
      </c>
      <c r="F996" t="s">
        <v>47</v>
      </c>
      <c r="G996" t="str">
        <f>"2026-02-07 21:14:52.169"</f>
        <v>2026-02-07 21:14:52.169</v>
      </c>
      <c r="H996" t="s">
        <v>21</v>
      </c>
    </row>
    <row r="997" spans="1:10" x14ac:dyDescent="0.25">
      <c r="A997" s="1">
        <v>98</v>
      </c>
      <c r="B997" t="s">
        <v>38</v>
      </c>
      <c r="C997">
        <v>61</v>
      </c>
      <c r="D997">
        <v>2</v>
      </c>
      <c r="E997" t="s">
        <v>46</v>
      </c>
      <c r="F997" t="s">
        <v>47</v>
      </c>
      <c r="G997" t="str">
        <f>"2026-02-07 21:14:30.769"</f>
        <v>2026-02-07 21:14:30.769</v>
      </c>
      <c r="H997" t="s">
        <v>21</v>
      </c>
      <c r="I997">
        <v>30.29</v>
      </c>
      <c r="J997" t="s">
        <v>28</v>
      </c>
    </row>
    <row r="998" spans="1:10" x14ac:dyDescent="0.25">
      <c r="A998" s="1">
        <v>99</v>
      </c>
      <c r="B998" t="s">
        <v>23</v>
      </c>
      <c r="C998">
        <v>635</v>
      </c>
      <c r="D998">
        <v>1</v>
      </c>
      <c r="E998" t="s">
        <v>24</v>
      </c>
      <c r="F998" t="s">
        <v>25</v>
      </c>
      <c r="G998" t="str">
        <f>"2026-02-07 14:17:14.215"</f>
        <v>2026-02-07 14:17:14.215</v>
      </c>
      <c r="H998" t="s">
        <v>21</v>
      </c>
    </row>
    <row r="999" spans="1:10" x14ac:dyDescent="0.25">
      <c r="A999" s="1">
        <v>0</v>
      </c>
      <c r="B999" t="s">
        <v>26</v>
      </c>
      <c r="C999">
        <v>635</v>
      </c>
      <c r="D999">
        <v>1</v>
      </c>
      <c r="E999" t="s">
        <v>24</v>
      </c>
      <c r="F999" t="s">
        <v>25</v>
      </c>
      <c r="G999" t="str">
        <f>"2026-02-07 14:13:52.215"</f>
        <v>2026-02-07 14:13:52.215</v>
      </c>
      <c r="H999" t="s">
        <v>21</v>
      </c>
      <c r="I999">
        <v>0.19</v>
      </c>
      <c r="J999" t="s">
        <v>29</v>
      </c>
    </row>
    <row r="1000" spans="1:10" x14ac:dyDescent="0.25">
      <c r="A1000" s="1">
        <v>1</v>
      </c>
      <c r="B1000" t="s">
        <v>23</v>
      </c>
      <c r="C1000">
        <v>635</v>
      </c>
      <c r="D1000">
        <v>1</v>
      </c>
      <c r="E1000" t="s">
        <v>24</v>
      </c>
      <c r="F1000" t="s">
        <v>25</v>
      </c>
      <c r="G1000" t="str">
        <f>"2026-02-07 13:08:46.315"</f>
        <v>2026-02-07 13:08:46.315</v>
      </c>
      <c r="H1000" t="s">
        <v>21</v>
      </c>
    </row>
    <row r="1001" spans="1:10" x14ac:dyDescent="0.25">
      <c r="A1001" s="1">
        <v>2</v>
      </c>
      <c r="B1001" t="s">
        <v>26</v>
      </c>
      <c r="C1001">
        <v>635</v>
      </c>
      <c r="D1001">
        <v>1</v>
      </c>
      <c r="E1001" t="s">
        <v>24</v>
      </c>
      <c r="F1001" t="s">
        <v>25</v>
      </c>
      <c r="G1001" t="str">
        <f>"2026-02-07 12:41:30.415"</f>
        <v>2026-02-07 12:41:30.415</v>
      </c>
      <c r="H1001" t="s">
        <v>21</v>
      </c>
      <c r="I1001">
        <v>8.9499999999999993</v>
      </c>
      <c r="J1001" t="s">
        <v>28</v>
      </c>
    </row>
    <row r="1002" spans="1:10" x14ac:dyDescent="0.25">
      <c r="A1002" s="1">
        <v>3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"2026-02-07 12:16:45.398"</f>
        <v>2026-02-07 12:16:45.398</v>
      </c>
      <c r="H1002" t="s">
        <v>21</v>
      </c>
    </row>
    <row r="1003" spans="1:10" x14ac:dyDescent="0.25">
      <c r="A1003" s="1">
        <v>4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"2026-02-07 10:14:11.421"</f>
        <v>2026-02-07 10:14:11.421</v>
      </c>
      <c r="H1003" t="s">
        <v>21</v>
      </c>
    </row>
    <row r="1004" spans="1:10" x14ac:dyDescent="0.25">
      <c r="A1004" s="1">
        <v>5</v>
      </c>
      <c r="B1004" t="s">
        <v>23</v>
      </c>
      <c r="C1004">
        <v>635</v>
      </c>
      <c r="D1004">
        <v>1</v>
      </c>
      <c r="E1004" t="s">
        <v>24</v>
      </c>
      <c r="F1004" t="s">
        <v>25</v>
      </c>
      <c r="G1004" t="str">
        <f>"2026-02-06 18:28:59.614"</f>
        <v>2026-02-06 18:28:59.614</v>
      </c>
      <c r="H1004" t="s">
        <v>21</v>
      </c>
    </row>
    <row r="1005" spans="1:10" x14ac:dyDescent="0.25">
      <c r="A1005" s="1">
        <v>6</v>
      </c>
      <c r="B1005" t="s">
        <v>26</v>
      </c>
      <c r="C1005">
        <v>635</v>
      </c>
      <c r="D1005">
        <v>1</v>
      </c>
      <c r="E1005" t="s">
        <v>24</v>
      </c>
      <c r="F1005" t="s">
        <v>25</v>
      </c>
      <c r="G1005" t="str">
        <f>"2026-02-06 18:24:09.214"</f>
        <v>2026-02-06 18:24:09.214</v>
      </c>
      <c r="H1005" t="s">
        <v>21</v>
      </c>
      <c r="I1005">
        <v>3.73</v>
      </c>
      <c r="J1005" t="s">
        <v>29</v>
      </c>
    </row>
    <row r="1006" spans="1:10" x14ac:dyDescent="0.25">
      <c r="A1006" s="1">
        <v>8</v>
      </c>
      <c r="B1006" t="s">
        <v>23</v>
      </c>
      <c r="C1006">
        <v>98</v>
      </c>
      <c r="D1006">
        <v>1</v>
      </c>
      <c r="E1006" t="s">
        <v>49</v>
      </c>
      <c r="F1006" t="s">
        <v>50</v>
      </c>
      <c r="G1006" t="str">
        <f>"2026-02-06 04:12:51.067"</f>
        <v>2026-02-06 04:12:51.067</v>
      </c>
      <c r="H1006" t="s">
        <v>21</v>
      </c>
    </row>
    <row r="1007" spans="1:10" x14ac:dyDescent="0.25">
      <c r="A1007" s="1">
        <v>9</v>
      </c>
      <c r="B1007" t="s">
        <v>26</v>
      </c>
      <c r="C1007">
        <v>98</v>
      </c>
      <c r="D1007">
        <v>1</v>
      </c>
      <c r="E1007" t="s">
        <v>49</v>
      </c>
      <c r="F1007" t="s">
        <v>50</v>
      </c>
      <c r="G1007" t="str">
        <f>"2026-02-06 04:12:50.068"</f>
        <v>2026-02-06 04:12:50.068</v>
      </c>
      <c r="H1007" t="s">
        <v>21</v>
      </c>
      <c r="I1007">
        <v>4.59</v>
      </c>
      <c r="J1007" t="s">
        <v>29</v>
      </c>
    </row>
    <row r="1008" spans="1:10" x14ac:dyDescent="0.25">
      <c r="A1008" s="1">
        <v>10</v>
      </c>
      <c r="B1008" t="s">
        <v>23</v>
      </c>
      <c r="C1008">
        <v>635</v>
      </c>
      <c r="D1008">
        <v>1</v>
      </c>
      <c r="E1008" t="s">
        <v>24</v>
      </c>
      <c r="F1008" t="s">
        <v>25</v>
      </c>
      <c r="G1008" t="str">
        <f>"2026-02-05 10:15:04.214"</f>
        <v>2026-02-05 10:15:04.214</v>
      </c>
      <c r="H1008" t="s">
        <v>21</v>
      </c>
    </row>
    <row r="1009" spans="1:10" x14ac:dyDescent="0.25">
      <c r="A1009" s="1">
        <v>11</v>
      </c>
      <c r="B1009" t="s">
        <v>26</v>
      </c>
      <c r="C1009">
        <v>635</v>
      </c>
      <c r="D1009">
        <v>1</v>
      </c>
      <c r="E1009" t="s">
        <v>24</v>
      </c>
      <c r="F1009" t="s">
        <v>25</v>
      </c>
      <c r="G1009" t="str">
        <f>"2026-02-05 10:11:52.214"</f>
        <v>2026-02-05 10:11:52.214</v>
      </c>
      <c r="H1009" t="s">
        <v>21</v>
      </c>
      <c r="I1009">
        <v>5.07</v>
      </c>
      <c r="J1009" t="s">
        <v>29</v>
      </c>
    </row>
    <row r="1010" spans="1:10" x14ac:dyDescent="0.25">
      <c r="A1010" s="1">
        <v>12</v>
      </c>
      <c r="B1010" t="s">
        <v>23</v>
      </c>
      <c r="C1010">
        <v>635</v>
      </c>
      <c r="D1010">
        <v>1</v>
      </c>
      <c r="E1010" t="s">
        <v>24</v>
      </c>
      <c r="F1010" t="s">
        <v>25</v>
      </c>
      <c r="G1010" t="str">
        <f>"2026-02-05 08:27:09.514"</f>
        <v>2026-02-05 08:27:09.514</v>
      </c>
      <c r="H1010" t="s">
        <v>21</v>
      </c>
    </row>
    <row r="1011" spans="1:10" x14ac:dyDescent="0.25">
      <c r="A1011" s="1">
        <v>13</v>
      </c>
      <c r="B1011" t="s">
        <v>26</v>
      </c>
      <c r="C1011">
        <v>635</v>
      </c>
      <c r="D1011">
        <v>1</v>
      </c>
      <c r="E1011" t="s">
        <v>24</v>
      </c>
      <c r="F1011" t="s">
        <v>25</v>
      </c>
      <c r="G1011" t="str">
        <f>"2026-02-05 08:23:24.514"</f>
        <v>2026-02-05 08:23:24.514</v>
      </c>
      <c r="H1011" t="s">
        <v>21</v>
      </c>
      <c r="I1011">
        <v>-0.09</v>
      </c>
      <c r="J1011" t="s">
        <v>29</v>
      </c>
    </row>
    <row r="1012" spans="1:10" x14ac:dyDescent="0.25">
      <c r="A1012" s="1">
        <v>14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"2026-02-04 13:02:34.405"</f>
        <v>2026-02-04 13:02:34.405</v>
      </c>
      <c r="H1012" t="s">
        <v>21</v>
      </c>
      <c r="I1012">
        <v>0</v>
      </c>
      <c r="J1012" t="s">
        <v>22</v>
      </c>
    </row>
    <row r="1013" spans="1:10" x14ac:dyDescent="0.25">
      <c r="A1013" s="1">
        <v>15</v>
      </c>
      <c r="B1013" t="s">
        <v>23</v>
      </c>
      <c r="C1013">
        <v>635</v>
      </c>
      <c r="D1013">
        <v>1</v>
      </c>
      <c r="E1013" t="s">
        <v>24</v>
      </c>
      <c r="F1013" t="s">
        <v>25</v>
      </c>
      <c r="G1013" t="str">
        <f>"2026-02-03 11:36:47.418"</f>
        <v>2026-02-03 11:36:47.418</v>
      </c>
      <c r="H1013" t="s">
        <v>21</v>
      </c>
    </row>
    <row r="1014" spans="1:10" x14ac:dyDescent="0.25">
      <c r="A1014" s="1">
        <v>16</v>
      </c>
      <c r="B1014" t="s">
        <v>26</v>
      </c>
      <c r="C1014">
        <v>635</v>
      </c>
      <c r="D1014">
        <v>1</v>
      </c>
      <c r="E1014" t="s">
        <v>24</v>
      </c>
      <c r="F1014" t="s">
        <v>25</v>
      </c>
      <c r="G1014" t="str">
        <f>"2026-02-03 11:30:41.918"</f>
        <v>2026-02-03 11:30:41.918</v>
      </c>
      <c r="H1014" t="s">
        <v>21</v>
      </c>
      <c r="I1014">
        <v>1.38</v>
      </c>
      <c r="J1014" t="s">
        <v>29</v>
      </c>
    </row>
    <row r="1015" spans="1:10" x14ac:dyDescent="0.25">
      <c r="A1015" s="1">
        <v>17</v>
      </c>
      <c r="B1015" t="s">
        <v>23</v>
      </c>
      <c r="C1015">
        <v>61</v>
      </c>
      <c r="D1015">
        <v>2</v>
      </c>
      <c r="E1015" t="s">
        <v>46</v>
      </c>
      <c r="F1015" t="s">
        <v>47</v>
      </c>
      <c r="G1015" t="str">
        <f>"2026-02-03 06:20:57.079"</f>
        <v>2026-02-03 06:20:57.079</v>
      </c>
      <c r="H1015" t="s">
        <v>21</v>
      </c>
    </row>
    <row r="1016" spans="1:10" x14ac:dyDescent="0.25">
      <c r="A1016" s="1">
        <v>18</v>
      </c>
      <c r="B1016" t="s">
        <v>38</v>
      </c>
      <c r="C1016">
        <v>61</v>
      </c>
      <c r="D1016">
        <v>2</v>
      </c>
      <c r="E1016" t="s">
        <v>46</v>
      </c>
      <c r="F1016" t="s">
        <v>47</v>
      </c>
      <c r="G1016" t="str">
        <f>"2026-02-03 06:20:38.979"</f>
        <v>2026-02-03 06:20:38.979</v>
      </c>
      <c r="H1016" t="s">
        <v>21</v>
      </c>
      <c r="I1016">
        <v>30.35</v>
      </c>
      <c r="J1016" t="s">
        <v>28</v>
      </c>
    </row>
    <row r="1017" spans="1:10" x14ac:dyDescent="0.25">
      <c r="A1017" s="1">
        <v>19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"2026-02-02 11:27:06.388"</f>
        <v>2026-02-02 11:27:06.388</v>
      </c>
      <c r="H1017" t="s">
        <v>21</v>
      </c>
    </row>
    <row r="1018" spans="1:10" x14ac:dyDescent="0.25">
      <c r="A1018" s="1">
        <v>20</v>
      </c>
      <c r="B1018" t="s">
        <v>23</v>
      </c>
      <c r="C1018">
        <v>61</v>
      </c>
      <c r="D1018">
        <v>2</v>
      </c>
      <c r="E1018" t="s">
        <v>46</v>
      </c>
      <c r="F1018" t="s">
        <v>47</v>
      </c>
      <c r="G1018" t="str">
        <f>"2026-02-02 07:30:38.359"</f>
        <v>2026-02-02 07:30:38.359</v>
      </c>
      <c r="H1018" t="s">
        <v>21</v>
      </c>
    </row>
    <row r="1019" spans="1:10" x14ac:dyDescent="0.25">
      <c r="A1019" s="1">
        <v>21</v>
      </c>
      <c r="B1019" t="s">
        <v>38</v>
      </c>
      <c r="C1019">
        <v>61</v>
      </c>
      <c r="D1019">
        <v>2</v>
      </c>
      <c r="E1019" t="s">
        <v>46</v>
      </c>
      <c r="F1019" t="s">
        <v>47</v>
      </c>
      <c r="G1019" t="str">
        <f>"2026-02-02 07:30:08.659"</f>
        <v>2026-02-02 07:30:08.659</v>
      </c>
      <c r="H1019" t="s">
        <v>21</v>
      </c>
      <c r="I1019">
        <v>30.03</v>
      </c>
      <c r="J1019" t="s">
        <v>28</v>
      </c>
    </row>
    <row r="1020" spans="1:10" x14ac:dyDescent="0.25">
      <c r="A1020" s="1">
        <v>22</v>
      </c>
      <c r="B1020" t="s">
        <v>23</v>
      </c>
      <c r="C1020">
        <v>61</v>
      </c>
      <c r="D1020">
        <v>2</v>
      </c>
      <c r="E1020" t="s">
        <v>46</v>
      </c>
      <c r="F1020" t="s">
        <v>47</v>
      </c>
      <c r="G1020" t="str">
        <f>"2026-02-01 22:06:45.259"</f>
        <v>2026-02-01 22:06:45.259</v>
      </c>
      <c r="H1020" t="s">
        <v>21</v>
      </c>
    </row>
    <row r="1021" spans="1:10" x14ac:dyDescent="0.25">
      <c r="A1021" s="1">
        <v>23</v>
      </c>
      <c r="B1021" t="s">
        <v>38</v>
      </c>
      <c r="C1021">
        <v>61</v>
      </c>
      <c r="D1021">
        <v>2</v>
      </c>
      <c r="E1021" t="s">
        <v>46</v>
      </c>
      <c r="F1021" t="s">
        <v>47</v>
      </c>
      <c r="G1021" t="str">
        <f>"2026-02-01 22:06:23.059"</f>
        <v>2026-02-01 22:06:23.059</v>
      </c>
      <c r="H1021" t="s">
        <v>21</v>
      </c>
      <c r="I1021">
        <v>29.99</v>
      </c>
      <c r="J1021" t="s">
        <v>28</v>
      </c>
    </row>
    <row r="1022" spans="1:10" x14ac:dyDescent="0.25">
      <c r="A1022" s="1">
        <v>24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"2026-02-01 14:30:17.388"</f>
        <v>2026-02-01 14:30:17.388</v>
      </c>
      <c r="H1022" t="s">
        <v>21</v>
      </c>
    </row>
    <row r="1023" spans="1:10" x14ac:dyDescent="0.25">
      <c r="A1023" s="1">
        <v>26</v>
      </c>
      <c r="B1023" t="s">
        <v>23</v>
      </c>
      <c r="C1023">
        <v>61</v>
      </c>
      <c r="D1023">
        <v>2</v>
      </c>
      <c r="E1023" t="s">
        <v>46</v>
      </c>
      <c r="F1023" t="s">
        <v>47</v>
      </c>
      <c r="G1023" t="str">
        <f>"2026-01-31 11:33:50.359"</f>
        <v>2026-01-31 11:33:50.359</v>
      </c>
      <c r="H1023" t="s">
        <v>21</v>
      </c>
    </row>
    <row r="1024" spans="1:10" x14ac:dyDescent="0.25">
      <c r="A1024" s="1">
        <v>27</v>
      </c>
      <c r="B1024" t="s">
        <v>38</v>
      </c>
      <c r="C1024">
        <v>61</v>
      </c>
      <c r="D1024">
        <v>2</v>
      </c>
      <c r="E1024" t="s">
        <v>46</v>
      </c>
      <c r="F1024" t="s">
        <v>47</v>
      </c>
      <c r="G1024" t="str">
        <f>"2026-01-31 11:33:37.959"</f>
        <v>2026-01-31 11:33:37.959</v>
      </c>
      <c r="H1024" t="s">
        <v>21</v>
      </c>
      <c r="I1024">
        <v>30.35</v>
      </c>
      <c r="J1024" t="s">
        <v>28</v>
      </c>
    </row>
    <row r="1025" spans="1:10" x14ac:dyDescent="0.25">
      <c r="A1025" s="1">
        <v>28</v>
      </c>
      <c r="B1025" t="s">
        <v>23</v>
      </c>
      <c r="C1025">
        <v>61</v>
      </c>
      <c r="D1025">
        <v>2</v>
      </c>
      <c r="E1025" t="s">
        <v>46</v>
      </c>
      <c r="F1025" t="s">
        <v>47</v>
      </c>
      <c r="G1025" t="str">
        <f>"2026-01-31 03:57:03.559"</f>
        <v>2026-01-31 03:57:03.559</v>
      </c>
      <c r="H1025" t="s">
        <v>21</v>
      </c>
    </row>
    <row r="1026" spans="1:10" x14ac:dyDescent="0.25">
      <c r="A1026" s="1">
        <v>29</v>
      </c>
      <c r="B1026" t="s">
        <v>38</v>
      </c>
      <c r="C1026">
        <v>61</v>
      </c>
      <c r="D1026">
        <v>2</v>
      </c>
      <c r="E1026" t="s">
        <v>46</v>
      </c>
      <c r="F1026" t="s">
        <v>47</v>
      </c>
      <c r="G1026" t="str">
        <f>"2026-01-31 03:56:46.559"</f>
        <v>2026-01-31 03:56:46.559</v>
      </c>
      <c r="H1026" t="s">
        <v>21</v>
      </c>
      <c r="I1026">
        <v>30.15</v>
      </c>
      <c r="J1026" t="s">
        <v>28</v>
      </c>
    </row>
    <row r="1027" spans="1:10" x14ac:dyDescent="0.25">
      <c r="A1027" s="1">
        <v>30</v>
      </c>
      <c r="B1027" t="s">
        <v>23</v>
      </c>
      <c r="C1027">
        <v>635</v>
      </c>
      <c r="D1027">
        <v>1</v>
      </c>
      <c r="E1027" t="s">
        <v>24</v>
      </c>
      <c r="F1027" t="s">
        <v>25</v>
      </c>
      <c r="G1027" t="str">
        <f>"2026-01-30 21:59:48.958"</f>
        <v>2026-01-30 21:59:48.958</v>
      </c>
      <c r="H1027" t="s">
        <v>21</v>
      </c>
    </row>
    <row r="1028" spans="1:10" x14ac:dyDescent="0.25">
      <c r="A1028" s="1">
        <v>31</v>
      </c>
      <c r="B1028" t="s">
        <v>26</v>
      </c>
      <c r="C1028">
        <v>635</v>
      </c>
      <c r="D1028">
        <v>1</v>
      </c>
      <c r="E1028" t="s">
        <v>24</v>
      </c>
      <c r="F1028" t="s">
        <v>25</v>
      </c>
      <c r="G1028" t="str">
        <f>"2026-01-30 21:55:36.958"</f>
        <v>2026-01-30 21:55:36.958</v>
      </c>
      <c r="H1028" t="s">
        <v>21</v>
      </c>
      <c r="I1028">
        <v>0.1</v>
      </c>
      <c r="J1028" t="s">
        <v>27</v>
      </c>
    </row>
    <row r="1029" spans="1:10" x14ac:dyDescent="0.25">
      <c r="A1029" s="1">
        <v>33</v>
      </c>
      <c r="B1029" t="s">
        <v>19</v>
      </c>
      <c r="C1029">
        <v>700</v>
      </c>
      <c r="D1029">
        <v>0</v>
      </c>
      <c r="E1029" t="s">
        <v>20</v>
      </c>
      <c r="F1029" t="s">
        <v>20</v>
      </c>
      <c r="G1029" t="str">
        <f>"2026-01-29 10:13:55.388"</f>
        <v>2026-01-29 10:13:55.388</v>
      </c>
      <c r="H1029" t="s">
        <v>21</v>
      </c>
    </row>
    <row r="1030" spans="1:10" x14ac:dyDescent="0.25">
      <c r="A1030" s="1">
        <v>36</v>
      </c>
      <c r="B1030" t="s">
        <v>23</v>
      </c>
      <c r="C1030">
        <v>635</v>
      </c>
      <c r="D1030">
        <v>1</v>
      </c>
      <c r="E1030" t="s">
        <v>24</v>
      </c>
      <c r="F1030" t="s">
        <v>25</v>
      </c>
      <c r="G1030" t="str">
        <f>"2026-01-27 14:57:12.178"</f>
        <v>2026-01-27 14:57:12.178</v>
      </c>
      <c r="H1030" t="s">
        <v>21</v>
      </c>
    </row>
    <row r="1031" spans="1:10" x14ac:dyDescent="0.25">
      <c r="A1031" s="1">
        <v>37</v>
      </c>
      <c r="B1031" t="s">
        <v>26</v>
      </c>
      <c r="C1031">
        <v>635</v>
      </c>
      <c r="D1031">
        <v>1</v>
      </c>
      <c r="E1031" t="s">
        <v>24</v>
      </c>
      <c r="F1031" t="s">
        <v>25</v>
      </c>
      <c r="G1031" t="str">
        <f>"2026-01-27 14:52:50.678"</f>
        <v>2026-01-27 14:52:50.678</v>
      </c>
      <c r="H1031" t="s">
        <v>21</v>
      </c>
      <c r="I1031">
        <v>4.4800000000000004</v>
      </c>
      <c r="J1031" t="s">
        <v>29</v>
      </c>
    </row>
    <row r="1032" spans="1:10" x14ac:dyDescent="0.25">
      <c r="A1032" s="1">
        <v>38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"2026-01-27 12:54:36.408"</f>
        <v>2026-01-27 12:54:36.408</v>
      </c>
      <c r="H1032" t="s">
        <v>21</v>
      </c>
      <c r="I1032">
        <v>0</v>
      </c>
      <c r="J1032" t="s">
        <v>22</v>
      </c>
    </row>
    <row r="1033" spans="1:10" x14ac:dyDescent="0.25">
      <c r="A1033" s="1">
        <v>39</v>
      </c>
      <c r="B1033" t="s">
        <v>23</v>
      </c>
      <c r="C1033">
        <v>61</v>
      </c>
      <c r="D1033">
        <v>2</v>
      </c>
      <c r="E1033" t="s">
        <v>46</v>
      </c>
      <c r="F1033" t="s">
        <v>47</v>
      </c>
      <c r="G1033" t="str">
        <f>"2026-01-27 07:30:26.360"</f>
        <v>2026-01-27 07:30:26.360</v>
      </c>
      <c r="H1033" t="s">
        <v>21</v>
      </c>
    </row>
    <row r="1034" spans="1:10" x14ac:dyDescent="0.25">
      <c r="A1034" s="1">
        <v>40</v>
      </c>
      <c r="B1034" t="s">
        <v>38</v>
      </c>
      <c r="C1034">
        <v>61</v>
      </c>
      <c r="D1034">
        <v>2</v>
      </c>
      <c r="E1034" t="s">
        <v>46</v>
      </c>
      <c r="F1034" t="s">
        <v>47</v>
      </c>
      <c r="G1034" t="str">
        <f>"2026-01-27 07:30:07.160"</f>
        <v>2026-01-27 07:30:07.160</v>
      </c>
      <c r="H1034" t="s">
        <v>21</v>
      </c>
      <c r="I1034">
        <v>30.46</v>
      </c>
      <c r="J1034" t="s">
        <v>28</v>
      </c>
    </row>
    <row r="1035" spans="1:10" x14ac:dyDescent="0.25">
      <c r="A1035" s="1">
        <v>41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"2026-01-27 05:43:39.389"</f>
        <v>2026-01-27 05:43:39.389</v>
      </c>
      <c r="H1035" t="s">
        <v>21</v>
      </c>
      <c r="I1035">
        <v>0</v>
      </c>
      <c r="J1035" t="s">
        <v>22</v>
      </c>
    </row>
    <row r="1036" spans="1:10" x14ac:dyDescent="0.25">
      <c r="A1036" s="1">
        <v>42</v>
      </c>
      <c r="B1036" t="s">
        <v>23</v>
      </c>
      <c r="C1036">
        <v>635</v>
      </c>
      <c r="D1036">
        <v>1</v>
      </c>
      <c r="E1036" t="s">
        <v>24</v>
      </c>
      <c r="F1036" t="s">
        <v>25</v>
      </c>
      <c r="G1036" t="str">
        <f>"2026-01-27 03:57:53.868"</f>
        <v>2026-01-27 03:57:53.868</v>
      </c>
      <c r="H1036" t="s">
        <v>21</v>
      </c>
    </row>
    <row r="1037" spans="1:10" x14ac:dyDescent="0.25">
      <c r="A1037" s="1">
        <v>43</v>
      </c>
      <c r="B1037" t="s">
        <v>26</v>
      </c>
      <c r="C1037">
        <v>635</v>
      </c>
      <c r="D1037">
        <v>1</v>
      </c>
      <c r="E1037" t="s">
        <v>24</v>
      </c>
      <c r="F1037" t="s">
        <v>25</v>
      </c>
      <c r="G1037" t="str">
        <f>"2026-01-27 03:54:31.368"</f>
        <v>2026-01-27 03:54:31.368</v>
      </c>
      <c r="H1037" t="s">
        <v>21</v>
      </c>
      <c r="I1037">
        <v>6.09</v>
      </c>
      <c r="J1037" t="s">
        <v>28</v>
      </c>
    </row>
    <row r="1038" spans="1:10" x14ac:dyDescent="0.25">
      <c r="A1038" s="1">
        <v>44</v>
      </c>
      <c r="B1038" t="s">
        <v>23</v>
      </c>
      <c r="C1038">
        <v>635</v>
      </c>
      <c r="D1038">
        <v>1</v>
      </c>
      <c r="E1038" t="s">
        <v>24</v>
      </c>
      <c r="F1038" t="s">
        <v>25</v>
      </c>
      <c r="G1038" t="str">
        <f>"2026-01-27 00:59:34.268"</f>
        <v>2026-01-27 00:59:34.268</v>
      </c>
      <c r="H1038" t="s">
        <v>21</v>
      </c>
    </row>
    <row r="1039" spans="1:10" x14ac:dyDescent="0.25">
      <c r="A1039" s="1">
        <v>45</v>
      </c>
      <c r="B1039" t="s">
        <v>26</v>
      </c>
      <c r="C1039">
        <v>635</v>
      </c>
      <c r="D1039">
        <v>1</v>
      </c>
      <c r="E1039" t="s">
        <v>24</v>
      </c>
      <c r="F1039" t="s">
        <v>25</v>
      </c>
      <c r="G1039" t="str">
        <f>"2026-01-27 00:55:31.768"</f>
        <v>2026-01-27 00:55:31.768</v>
      </c>
      <c r="H1039" t="s">
        <v>21</v>
      </c>
      <c r="I1039">
        <v>0.99</v>
      </c>
      <c r="J1039" t="s">
        <v>28</v>
      </c>
    </row>
    <row r="1040" spans="1:10" x14ac:dyDescent="0.25">
      <c r="A1040" s="1">
        <v>46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"2026-01-26 23:16:28.450"</f>
        <v>2026-01-26 23:16:28.450</v>
      </c>
      <c r="H1040" t="s">
        <v>21</v>
      </c>
    </row>
    <row r="1041" spans="1:10" x14ac:dyDescent="0.25">
      <c r="A1041" s="1">
        <v>47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"2026-01-26 22:50:40.446"</f>
        <v>2026-01-26 22:50:40.446</v>
      </c>
      <c r="H1041" t="s">
        <v>21</v>
      </c>
      <c r="I1041">
        <v>0</v>
      </c>
      <c r="J1041" t="s">
        <v>22</v>
      </c>
    </row>
    <row r="1042" spans="1:10" x14ac:dyDescent="0.25">
      <c r="A1042" s="1">
        <v>48</v>
      </c>
      <c r="B1042" t="s">
        <v>19</v>
      </c>
      <c r="C1042">
        <v>706</v>
      </c>
      <c r="D1042">
        <v>4</v>
      </c>
      <c r="E1042" t="s">
        <v>32</v>
      </c>
      <c r="F1042" t="s">
        <v>48</v>
      </c>
      <c r="G1042" t="str">
        <f>"2026-01-26 22:35:34.411"</f>
        <v>2026-01-26 22:35:34.411</v>
      </c>
      <c r="H1042" t="s">
        <v>21</v>
      </c>
      <c r="I1042">
        <v>0</v>
      </c>
      <c r="J1042" t="s">
        <v>34</v>
      </c>
    </row>
    <row r="1043" spans="1:10" x14ac:dyDescent="0.25">
      <c r="A1043" s="1">
        <v>49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"2026-01-26 22:01:28.381"</f>
        <v>2026-01-26 22:01:28.381</v>
      </c>
      <c r="H1043" t="s">
        <v>21</v>
      </c>
      <c r="I1043">
        <v>0</v>
      </c>
      <c r="J1043" t="s">
        <v>22</v>
      </c>
    </row>
    <row r="1044" spans="1:10" x14ac:dyDescent="0.25">
      <c r="A1044" s="1">
        <v>50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"2026-01-26 21:20:10.413"</f>
        <v>2026-01-26 21:20:10.413</v>
      </c>
      <c r="H1044" t="s">
        <v>21</v>
      </c>
      <c r="I1044">
        <v>0</v>
      </c>
      <c r="J1044" t="s">
        <v>22</v>
      </c>
    </row>
    <row r="1045" spans="1:10" x14ac:dyDescent="0.25">
      <c r="A1045" s="1">
        <v>52</v>
      </c>
      <c r="B1045" t="s">
        <v>23</v>
      </c>
      <c r="C1045">
        <v>61</v>
      </c>
      <c r="D1045">
        <v>2</v>
      </c>
      <c r="E1045" t="s">
        <v>46</v>
      </c>
      <c r="F1045" t="s">
        <v>47</v>
      </c>
      <c r="G1045" t="str">
        <f>"2026-01-26 07:32:07.370"</f>
        <v>2026-01-26 07:32:07.370</v>
      </c>
      <c r="H1045" t="s">
        <v>21</v>
      </c>
    </row>
    <row r="1046" spans="1:10" x14ac:dyDescent="0.25">
      <c r="A1046" s="1">
        <v>53</v>
      </c>
      <c r="B1046" t="s">
        <v>38</v>
      </c>
      <c r="C1046">
        <v>61</v>
      </c>
      <c r="D1046">
        <v>2</v>
      </c>
      <c r="E1046" t="s">
        <v>46</v>
      </c>
      <c r="F1046" t="s">
        <v>47</v>
      </c>
      <c r="G1046" t="str">
        <f>"2026-01-26 07:31:55.871"</f>
        <v>2026-01-26 07:31:55.871</v>
      </c>
      <c r="H1046" t="s">
        <v>21</v>
      </c>
      <c r="I1046">
        <v>29.35</v>
      </c>
      <c r="J1046" t="s">
        <v>28</v>
      </c>
    </row>
    <row r="1047" spans="1:10" x14ac:dyDescent="0.25">
      <c r="A1047" s="1">
        <v>55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"2026-01-25 16:18:05.376"</f>
        <v>2026-01-25 16:18:05.376</v>
      </c>
      <c r="H1047" t="s">
        <v>21</v>
      </c>
    </row>
    <row r="1048" spans="1:10" x14ac:dyDescent="0.25">
      <c r="A1048" s="1">
        <v>56</v>
      </c>
      <c r="B1048" t="s">
        <v>23</v>
      </c>
      <c r="C1048">
        <v>635</v>
      </c>
      <c r="D1048">
        <v>1</v>
      </c>
      <c r="E1048" t="s">
        <v>24</v>
      </c>
      <c r="F1048" t="s">
        <v>25</v>
      </c>
      <c r="G1048" t="str">
        <f>"2026-01-25 15:06:59.851"</f>
        <v>2026-01-25 15:06:59.851</v>
      </c>
      <c r="H1048" t="s">
        <v>21</v>
      </c>
    </row>
    <row r="1049" spans="1:10" x14ac:dyDescent="0.25">
      <c r="A1049" s="1">
        <v>57</v>
      </c>
      <c r="B1049" t="s">
        <v>26</v>
      </c>
      <c r="C1049">
        <v>635</v>
      </c>
      <c r="D1049">
        <v>1</v>
      </c>
      <c r="E1049" t="s">
        <v>24</v>
      </c>
      <c r="F1049" t="s">
        <v>25</v>
      </c>
      <c r="G1049" t="str">
        <f>"2026-01-25 14:54:08.951"</f>
        <v>2026-01-25 14:54:08.951</v>
      </c>
      <c r="H1049" t="s">
        <v>21</v>
      </c>
      <c r="I1049">
        <v>10.6</v>
      </c>
      <c r="J1049" t="s">
        <v>28</v>
      </c>
    </row>
    <row r="1050" spans="1:10" x14ac:dyDescent="0.25">
      <c r="A1050" s="1">
        <v>58</v>
      </c>
      <c r="B1050" t="s">
        <v>23</v>
      </c>
      <c r="C1050">
        <v>61</v>
      </c>
      <c r="D1050">
        <v>2</v>
      </c>
      <c r="E1050" t="s">
        <v>46</v>
      </c>
      <c r="F1050" t="s">
        <v>47</v>
      </c>
      <c r="G1050" t="str">
        <f>"2026-01-25 07:24:26.052"</f>
        <v>2026-01-25 07:24:26.052</v>
      </c>
      <c r="H1050" t="s">
        <v>21</v>
      </c>
    </row>
    <row r="1051" spans="1:10" x14ac:dyDescent="0.25">
      <c r="A1051" s="1">
        <v>59</v>
      </c>
      <c r="B1051" t="s">
        <v>38</v>
      </c>
      <c r="C1051">
        <v>61</v>
      </c>
      <c r="D1051">
        <v>2</v>
      </c>
      <c r="E1051" t="s">
        <v>46</v>
      </c>
      <c r="F1051" t="s">
        <v>47</v>
      </c>
      <c r="G1051" t="str">
        <f>"2026-01-25 07:24:08.052"</f>
        <v>2026-01-25 07:24:08.052</v>
      </c>
      <c r="H1051" t="s">
        <v>21</v>
      </c>
      <c r="I1051">
        <v>30.26</v>
      </c>
      <c r="J1051" t="s">
        <v>28</v>
      </c>
    </row>
    <row r="1052" spans="1:10" x14ac:dyDescent="0.25">
      <c r="A1052" s="1">
        <v>60</v>
      </c>
      <c r="B1052" t="s">
        <v>19</v>
      </c>
      <c r="C1052">
        <v>706</v>
      </c>
      <c r="D1052">
        <v>2</v>
      </c>
      <c r="E1052" t="s">
        <v>32</v>
      </c>
      <c r="F1052" t="s">
        <v>33</v>
      </c>
      <c r="G1052" t="str">
        <f>"2026-01-24 18:32:24.107"</f>
        <v>2026-01-24 18:32:24.107</v>
      </c>
      <c r="H1052" t="s">
        <v>21</v>
      </c>
      <c r="I1052">
        <v>0</v>
      </c>
      <c r="J1052" t="s">
        <v>34</v>
      </c>
    </row>
    <row r="1053" spans="1:10" x14ac:dyDescent="0.25">
      <c r="A1053" s="1">
        <v>61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"2026-01-24 18:32:09.367"</f>
        <v>2026-01-24 18:32:09.367</v>
      </c>
      <c r="H1053" t="s">
        <v>21</v>
      </c>
    </row>
    <row r="1054" spans="1:10" x14ac:dyDescent="0.25">
      <c r="A1054" s="1">
        <v>62</v>
      </c>
      <c r="B1054" t="s">
        <v>19</v>
      </c>
      <c r="C1054">
        <v>706</v>
      </c>
      <c r="D1054">
        <v>2</v>
      </c>
      <c r="E1054" t="s">
        <v>32</v>
      </c>
      <c r="F1054" t="s">
        <v>33</v>
      </c>
      <c r="G1054" t="str">
        <f>"2026-01-24 18:28:56.321"</f>
        <v>2026-01-24 18:28:56.321</v>
      </c>
      <c r="H1054" t="s">
        <v>21</v>
      </c>
      <c r="I1054">
        <v>0</v>
      </c>
      <c r="J1054" t="s">
        <v>34</v>
      </c>
    </row>
    <row r="1055" spans="1:10" x14ac:dyDescent="0.25">
      <c r="A1055" s="1">
        <v>63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"2026-01-24 18:28:40.391"</f>
        <v>2026-01-24 18:28:40.391</v>
      </c>
      <c r="H1055" t="s">
        <v>21</v>
      </c>
    </row>
    <row r="1056" spans="1:10" x14ac:dyDescent="0.25">
      <c r="A1056" s="1">
        <v>64</v>
      </c>
      <c r="B1056" t="s">
        <v>38</v>
      </c>
      <c r="C1056">
        <v>33</v>
      </c>
      <c r="D1056">
        <v>1</v>
      </c>
      <c r="E1056" t="s">
        <v>56</v>
      </c>
      <c r="F1056" t="s">
        <v>57</v>
      </c>
      <c r="G1056" t="str">
        <f>"2026-01-24 18:06:38.753"</f>
        <v>2026-01-24 18:06:38.753</v>
      </c>
      <c r="H1056" t="s">
        <v>58</v>
      </c>
      <c r="I1056">
        <v>-1.4</v>
      </c>
      <c r="J1056" t="s">
        <v>29</v>
      </c>
    </row>
    <row r="1057" spans="1:10" x14ac:dyDescent="0.25">
      <c r="A1057" s="1">
        <v>71</v>
      </c>
      <c r="B1057" t="s">
        <v>19</v>
      </c>
      <c r="C1057">
        <v>706</v>
      </c>
      <c r="D1057">
        <v>2</v>
      </c>
      <c r="E1057" t="s">
        <v>32</v>
      </c>
      <c r="F1057" t="s">
        <v>33</v>
      </c>
      <c r="G1057" t="str">
        <f>"2026-01-23 13:04:09.290"</f>
        <v>2026-01-23 13:04:09.290</v>
      </c>
      <c r="H1057" t="s">
        <v>21</v>
      </c>
      <c r="I1057">
        <v>0</v>
      </c>
      <c r="J1057" t="s">
        <v>34</v>
      </c>
    </row>
    <row r="1058" spans="1:10" x14ac:dyDescent="0.25">
      <c r="A1058" s="1">
        <v>72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"2026-01-23 13:03:05.380"</f>
        <v>2026-01-23 13:03:05.380</v>
      </c>
      <c r="H1058" t="s">
        <v>21</v>
      </c>
      <c r="I1058">
        <v>0</v>
      </c>
      <c r="J1058" t="s">
        <v>22</v>
      </c>
    </row>
    <row r="1059" spans="1:10" x14ac:dyDescent="0.25">
      <c r="A1059" s="1">
        <v>73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"2026-01-23 13:01:32.380"</f>
        <v>2026-01-23 13:01:32.380</v>
      </c>
      <c r="H1059" t="s">
        <v>21</v>
      </c>
      <c r="I1059">
        <v>0</v>
      </c>
      <c r="J1059" t="s">
        <v>22</v>
      </c>
    </row>
    <row r="1060" spans="1:10" x14ac:dyDescent="0.25">
      <c r="A1060" s="1">
        <v>74</v>
      </c>
      <c r="B1060" t="s">
        <v>23</v>
      </c>
      <c r="C1060">
        <v>61</v>
      </c>
      <c r="D1060">
        <v>2</v>
      </c>
      <c r="E1060" t="s">
        <v>46</v>
      </c>
      <c r="F1060" t="s">
        <v>47</v>
      </c>
      <c r="G1060" t="str">
        <f>"2026-01-23 07:36:21.381"</f>
        <v>2026-01-23 07:36:21.381</v>
      </c>
      <c r="H1060" t="s">
        <v>21</v>
      </c>
    </row>
    <row r="1061" spans="1:10" x14ac:dyDescent="0.25">
      <c r="A1061" s="1">
        <v>75</v>
      </c>
      <c r="B1061" t="s">
        <v>38</v>
      </c>
      <c r="C1061">
        <v>61</v>
      </c>
      <c r="D1061">
        <v>2</v>
      </c>
      <c r="E1061" t="s">
        <v>46</v>
      </c>
      <c r="F1061" t="s">
        <v>47</v>
      </c>
      <c r="G1061" t="str">
        <f>"2026-01-23 07:36:06.082"</f>
        <v>2026-01-23 07:36:06.082</v>
      </c>
      <c r="H1061" t="s">
        <v>21</v>
      </c>
      <c r="I1061">
        <v>30.28</v>
      </c>
      <c r="J1061" t="s">
        <v>28</v>
      </c>
    </row>
    <row r="1062" spans="1:10" x14ac:dyDescent="0.25">
      <c r="A1062" s="1">
        <v>77</v>
      </c>
      <c r="B1062" t="s">
        <v>23</v>
      </c>
      <c r="C1062">
        <v>635</v>
      </c>
      <c r="D1062">
        <v>1</v>
      </c>
      <c r="E1062" t="s">
        <v>24</v>
      </c>
      <c r="F1062" t="s">
        <v>25</v>
      </c>
      <c r="G1062" t="str">
        <f>"2026-01-23 03:25:17.921"</f>
        <v>2026-01-23 03:25:17.921</v>
      </c>
      <c r="H1062" t="s">
        <v>21</v>
      </c>
    </row>
    <row r="1063" spans="1:10" x14ac:dyDescent="0.25">
      <c r="A1063" s="1">
        <v>78</v>
      </c>
      <c r="B1063" t="s">
        <v>26</v>
      </c>
      <c r="C1063">
        <v>635</v>
      </c>
      <c r="D1063">
        <v>1</v>
      </c>
      <c r="E1063" t="s">
        <v>24</v>
      </c>
      <c r="F1063" t="s">
        <v>25</v>
      </c>
      <c r="G1063" t="str">
        <f>"2026-01-23 03:19:04.521"</f>
        <v>2026-01-23 03:19:04.521</v>
      </c>
      <c r="H1063" t="s">
        <v>21</v>
      </c>
      <c r="I1063">
        <v>3.18</v>
      </c>
      <c r="J1063" t="s">
        <v>28</v>
      </c>
    </row>
    <row r="1064" spans="1:10" x14ac:dyDescent="0.25">
      <c r="A1064" s="1">
        <v>79</v>
      </c>
      <c r="B1064" t="s">
        <v>23</v>
      </c>
      <c r="C1064">
        <v>61</v>
      </c>
      <c r="D1064">
        <v>2</v>
      </c>
      <c r="E1064" t="s">
        <v>46</v>
      </c>
      <c r="F1064" t="s">
        <v>47</v>
      </c>
      <c r="G1064" t="str">
        <f>"2026-01-22 04:12:44.381"</f>
        <v>2026-01-22 04:12:44.381</v>
      </c>
      <c r="H1064" t="s">
        <v>21</v>
      </c>
    </row>
    <row r="1065" spans="1:10" x14ac:dyDescent="0.25">
      <c r="A1065" s="1">
        <v>80</v>
      </c>
      <c r="B1065" t="s">
        <v>38</v>
      </c>
      <c r="C1065">
        <v>61</v>
      </c>
      <c r="D1065">
        <v>2</v>
      </c>
      <c r="E1065" t="s">
        <v>46</v>
      </c>
      <c r="F1065" t="s">
        <v>47</v>
      </c>
      <c r="G1065" t="str">
        <f>"2026-01-22 04:12:12.682"</f>
        <v>2026-01-22 04:12:12.682</v>
      </c>
      <c r="H1065" t="s">
        <v>21</v>
      </c>
      <c r="I1065">
        <v>30.29</v>
      </c>
      <c r="J1065" t="s">
        <v>28</v>
      </c>
    </row>
    <row r="1066" spans="1:10" x14ac:dyDescent="0.25">
      <c r="A1066" s="1">
        <v>81</v>
      </c>
      <c r="B1066" t="s">
        <v>23</v>
      </c>
      <c r="C1066">
        <v>61</v>
      </c>
      <c r="D1066">
        <v>2</v>
      </c>
      <c r="E1066" t="s">
        <v>46</v>
      </c>
      <c r="F1066" t="s">
        <v>47</v>
      </c>
      <c r="G1066" t="str">
        <f>"2026-01-22 02:54:57.581"</f>
        <v>2026-01-22 02:54:57.581</v>
      </c>
      <c r="H1066" t="s">
        <v>21</v>
      </c>
    </row>
    <row r="1067" spans="1:10" x14ac:dyDescent="0.25">
      <c r="A1067" s="1">
        <v>82</v>
      </c>
      <c r="B1067" t="s">
        <v>38</v>
      </c>
      <c r="C1067">
        <v>61</v>
      </c>
      <c r="D1067">
        <v>2</v>
      </c>
      <c r="E1067" t="s">
        <v>46</v>
      </c>
      <c r="F1067" t="s">
        <v>47</v>
      </c>
      <c r="G1067" t="str">
        <f>"2026-01-22 02:54:40.482"</f>
        <v>2026-01-22 02:54:40.482</v>
      </c>
      <c r="H1067" t="s">
        <v>21</v>
      </c>
      <c r="I1067">
        <v>30.3</v>
      </c>
      <c r="J1067" t="s">
        <v>28</v>
      </c>
    </row>
    <row r="1068" spans="1:10" x14ac:dyDescent="0.25">
      <c r="A1068" s="1">
        <v>83</v>
      </c>
      <c r="B1068" t="s">
        <v>23</v>
      </c>
      <c r="C1068">
        <v>61</v>
      </c>
      <c r="D1068">
        <v>2</v>
      </c>
      <c r="E1068" t="s">
        <v>46</v>
      </c>
      <c r="F1068" t="s">
        <v>47</v>
      </c>
      <c r="G1068" t="str">
        <f>"2026-01-22 02:20:47.682"</f>
        <v>2026-01-22 02:20:47.682</v>
      </c>
      <c r="H1068" t="s">
        <v>21</v>
      </c>
    </row>
    <row r="1069" spans="1:10" x14ac:dyDescent="0.25">
      <c r="A1069" s="1">
        <v>84</v>
      </c>
      <c r="B1069" t="s">
        <v>38</v>
      </c>
      <c r="C1069">
        <v>61</v>
      </c>
      <c r="D1069">
        <v>2</v>
      </c>
      <c r="E1069" t="s">
        <v>46</v>
      </c>
      <c r="F1069" t="s">
        <v>47</v>
      </c>
      <c r="G1069" t="str">
        <f>"2026-01-22 02:20:25.882"</f>
        <v>2026-01-22 02:20:25.882</v>
      </c>
      <c r="H1069" t="s">
        <v>21</v>
      </c>
      <c r="I1069">
        <v>30.13</v>
      </c>
      <c r="J1069" t="s">
        <v>28</v>
      </c>
    </row>
    <row r="1070" spans="1:10" x14ac:dyDescent="0.25">
      <c r="A1070" s="1">
        <v>86</v>
      </c>
      <c r="B1070" t="s">
        <v>23</v>
      </c>
      <c r="C1070">
        <v>635</v>
      </c>
      <c r="D1070">
        <v>1</v>
      </c>
      <c r="E1070" t="s">
        <v>24</v>
      </c>
      <c r="F1070" t="s">
        <v>25</v>
      </c>
      <c r="G1070" t="str">
        <f>"2026-01-21 21:29:57.721"</f>
        <v>2026-01-21 21:29:57.721</v>
      </c>
      <c r="H1070" t="s">
        <v>21</v>
      </c>
    </row>
    <row r="1071" spans="1:10" x14ac:dyDescent="0.25">
      <c r="A1071" s="1">
        <v>87</v>
      </c>
      <c r="B1071" t="s">
        <v>26</v>
      </c>
      <c r="C1071">
        <v>635</v>
      </c>
      <c r="D1071">
        <v>1</v>
      </c>
      <c r="E1071" t="s">
        <v>24</v>
      </c>
      <c r="F1071" t="s">
        <v>25</v>
      </c>
      <c r="G1071" t="str">
        <f>"2026-01-21 21:25:04.221"</f>
        <v>2026-01-21 21:25:04.221</v>
      </c>
      <c r="H1071" t="s">
        <v>21</v>
      </c>
      <c r="I1071">
        <v>2.9</v>
      </c>
      <c r="J1071" t="s">
        <v>29</v>
      </c>
    </row>
    <row r="1072" spans="1:10" x14ac:dyDescent="0.25">
      <c r="A1072" s="1">
        <v>89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"2026-01-21 15:32:26.376"</f>
        <v>2026-01-21 15:32:26.376</v>
      </c>
      <c r="H1072" t="s">
        <v>21</v>
      </c>
      <c r="I1072">
        <v>0</v>
      </c>
      <c r="J1072" t="s">
        <v>22</v>
      </c>
    </row>
    <row r="1073" spans="1:10" x14ac:dyDescent="0.25">
      <c r="A1073" s="1">
        <v>91</v>
      </c>
      <c r="B1073" t="s">
        <v>23</v>
      </c>
      <c r="C1073">
        <v>61</v>
      </c>
      <c r="D1073">
        <v>2</v>
      </c>
      <c r="E1073" t="s">
        <v>46</v>
      </c>
      <c r="F1073" t="s">
        <v>47</v>
      </c>
      <c r="G1073" t="str">
        <f>"2026-01-21 05:17:25.090"</f>
        <v>2026-01-21 05:17:25.090</v>
      </c>
      <c r="H1073" t="s">
        <v>21</v>
      </c>
    </row>
    <row r="1074" spans="1:10" x14ac:dyDescent="0.25">
      <c r="A1074" s="1">
        <v>92</v>
      </c>
      <c r="B1074" t="s">
        <v>38</v>
      </c>
      <c r="C1074">
        <v>61</v>
      </c>
      <c r="D1074">
        <v>2</v>
      </c>
      <c r="E1074" t="s">
        <v>46</v>
      </c>
      <c r="F1074" t="s">
        <v>47</v>
      </c>
      <c r="G1074" t="str">
        <f>"2026-01-21 05:17:18.389"</f>
        <v>2026-01-21 05:17:18.389</v>
      </c>
      <c r="H1074" t="s">
        <v>21</v>
      </c>
      <c r="I1074">
        <v>31.07</v>
      </c>
      <c r="J1074" t="s">
        <v>28</v>
      </c>
    </row>
    <row r="1075" spans="1:10" x14ac:dyDescent="0.25">
      <c r="A1075" s="1">
        <v>93</v>
      </c>
      <c r="B1075" t="s">
        <v>23</v>
      </c>
      <c r="C1075">
        <v>635</v>
      </c>
      <c r="D1075">
        <v>1</v>
      </c>
      <c r="E1075" t="s">
        <v>24</v>
      </c>
      <c r="F1075" t="s">
        <v>25</v>
      </c>
      <c r="G1075" t="str">
        <f>"2026-01-21 04:49:28.229"</f>
        <v>2026-01-21 04:49:28.229</v>
      </c>
      <c r="H1075" t="s">
        <v>21</v>
      </c>
    </row>
    <row r="1076" spans="1:10" x14ac:dyDescent="0.25">
      <c r="A1076" s="1">
        <v>94</v>
      </c>
      <c r="B1076" t="s">
        <v>26</v>
      </c>
      <c r="C1076">
        <v>635</v>
      </c>
      <c r="D1076">
        <v>1</v>
      </c>
      <c r="E1076" t="s">
        <v>24</v>
      </c>
      <c r="F1076" t="s">
        <v>25</v>
      </c>
      <c r="G1076" t="str">
        <f>"2026-01-21 04:47:04.729"</f>
        <v>2026-01-21 04:47:04.729</v>
      </c>
      <c r="H1076" t="s">
        <v>21</v>
      </c>
      <c r="I1076">
        <v>-1.1599999999999999</v>
      </c>
      <c r="J1076" t="s">
        <v>27</v>
      </c>
    </row>
    <row r="1077" spans="1:10" x14ac:dyDescent="0.25">
      <c r="A1077" s="1">
        <v>95</v>
      </c>
      <c r="B1077" t="s">
        <v>23</v>
      </c>
      <c r="C1077">
        <v>61</v>
      </c>
      <c r="D1077">
        <v>2</v>
      </c>
      <c r="E1077" t="s">
        <v>46</v>
      </c>
      <c r="F1077" t="s">
        <v>47</v>
      </c>
      <c r="G1077" t="str">
        <f>"2026-01-21 02:02:51.290"</f>
        <v>2026-01-21 02:02:51.290</v>
      </c>
      <c r="H1077" t="s">
        <v>21</v>
      </c>
    </row>
    <row r="1078" spans="1:10" x14ac:dyDescent="0.25">
      <c r="A1078" s="1">
        <v>96</v>
      </c>
      <c r="B1078" t="s">
        <v>38</v>
      </c>
      <c r="C1078">
        <v>61</v>
      </c>
      <c r="D1078">
        <v>2</v>
      </c>
      <c r="E1078" t="s">
        <v>46</v>
      </c>
      <c r="F1078" t="s">
        <v>47</v>
      </c>
      <c r="G1078" t="str">
        <f>"2026-01-21 02:02:32.989"</f>
        <v>2026-01-21 02:02:32.989</v>
      </c>
      <c r="H1078" t="s">
        <v>21</v>
      </c>
      <c r="I1078">
        <v>30.02</v>
      </c>
      <c r="J1078" t="s">
        <v>28</v>
      </c>
    </row>
    <row r="1079" spans="1:10" x14ac:dyDescent="0.25">
      <c r="A1079" s="1">
        <v>97</v>
      </c>
      <c r="B1079" t="s">
        <v>23</v>
      </c>
      <c r="C1079">
        <v>61</v>
      </c>
      <c r="D1079">
        <v>2</v>
      </c>
      <c r="E1079" t="s">
        <v>46</v>
      </c>
      <c r="F1079" t="s">
        <v>47</v>
      </c>
      <c r="G1079" t="str">
        <f>"2026-01-20 22:49:33.589"</f>
        <v>2026-01-20 22:49:33.589</v>
      </c>
      <c r="H1079" t="s">
        <v>21</v>
      </c>
    </row>
    <row r="1080" spans="1:10" x14ac:dyDescent="0.25">
      <c r="A1080" s="1">
        <v>98</v>
      </c>
      <c r="B1080" t="s">
        <v>38</v>
      </c>
      <c r="C1080">
        <v>61</v>
      </c>
      <c r="D1080">
        <v>2</v>
      </c>
      <c r="E1080" t="s">
        <v>46</v>
      </c>
      <c r="F1080" t="s">
        <v>47</v>
      </c>
      <c r="G1080" t="str">
        <f>"2026-01-20 22:49:16.790"</f>
        <v>2026-01-20 22:49:16.790</v>
      </c>
      <c r="H1080" t="s">
        <v>21</v>
      </c>
      <c r="I1080">
        <v>30.31</v>
      </c>
      <c r="J1080" t="s">
        <v>28</v>
      </c>
    </row>
    <row r="1081" spans="1:10" x14ac:dyDescent="0.25">
      <c r="A1081" s="1">
        <v>99</v>
      </c>
      <c r="B1081" t="s">
        <v>23</v>
      </c>
      <c r="C1081">
        <v>635</v>
      </c>
      <c r="D1081">
        <v>1</v>
      </c>
      <c r="E1081" t="s">
        <v>24</v>
      </c>
      <c r="F1081" t="s">
        <v>25</v>
      </c>
      <c r="G1081" t="str">
        <f>"2026-01-20 22:19:00.129"</f>
        <v>2026-01-20 22:19:00.129</v>
      </c>
      <c r="H1081" t="s">
        <v>21</v>
      </c>
    </row>
    <row r="1082" spans="1:10" x14ac:dyDescent="0.25">
      <c r="A1082" s="1">
        <v>100</v>
      </c>
      <c r="B1082" t="s">
        <v>26</v>
      </c>
      <c r="C1082">
        <v>635</v>
      </c>
      <c r="D1082">
        <v>1</v>
      </c>
      <c r="E1082" t="s">
        <v>24</v>
      </c>
      <c r="F1082" t="s">
        <v>25</v>
      </c>
      <c r="G1082" t="str">
        <f>"2026-01-20 22:05:44.629"</f>
        <v>2026-01-20 22:05:44.629</v>
      </c>
      <c r="H1082" t="s">
        <v>21</v>
      </c>
      <c r="I1082">
        <v>10.26</v>
      </c>
      <c r="J1082" t="s">
        <v>28</v>
      </c>
    </row>
    <row r="1083" spans="1:10" x14ac:dyDescent="0.25">
      <c r="A1083" s="1">
        <v>101</v>
      </c>
      <c r="B1083" t="s">
        <v>23</v>
      </c>
      <c r="C1083">
        <v>635</v>
      </c>
      <c r="D1083">
        <v>1</v>
      </c>
      <c r="E1083" t="s">
        <v>24</v>
      </c>
      <c r="F1083" t="s">
        <v>25</v>
      </c>
      <c r="G1083" t="str">
        <f>"2026-01-20 20:16:15.829"</f>
        <v>2026-01-20 20:16:15.829</v>
      </c>
      <c r="H1083" t="s">
        <v>21</v>
      </c>
    </row>
    <row r="1084" spans="1:10" x14ac:dyDescent="0.25">
      <c r="A1084" s="1">
        <v>102</v>
      </c>
      <c r="B1084" t="s">
        <v>26</v>
      </c>
      <c r="C1084">
        <v>635</v>
      </c>
      <c r="D1084">
        <v>1</v>
      </c>
      <c r="E1084" t="s">
        <v>24</v>
      </c>
      <c r="F1084" t="s">
        <v>25</v>
      </c>
      <c r="G1084" t="str">
        <f>"2026-01-20 20:12:05.829"</f>
        <v>2026-01-20 20:12:05.829</v>
      </c>
      <c r="H1084" t="s">
        <v>21</v>
      </c>
      <c r="I1084">
        <v>3.78</v>
      </c>
      <c r="J1084" t="s">
        <v>27</v>
      </c>
    </row>
    <row r="1085" spans="1:10" x14ac:dyDescent="0.25">
      <c r="A1085" s="1">
        <v>105</v>
      </c>
      <c r="B1085" t="s">
        <v>23</v>
      </c>
      <c r="C1085">
        <v>635</v>
      </c>
      <c r="D1085">
        <v>1</v>
      </c>
      <c r="E1085" t="s">
        <v>24</v>
      </c>
      <c r="F1085" t="s">
        <v>25</v>
      </c>
      <c r="G1085" t="str">
        <f>"2026-01-20 05:41:07.129"</f>
        <v>2026-01-20 05:41:07.129</v>
      </c>
      <c r="H1085" t="s">
        <v>21</v>
      </c>
    </row>
    <row r="1086" spans="1:10" x14ac:dyDescent="0.25">
      <c r="A1086" s="1">
        <v>106</v>
      </c>
      <c r="B1086" t="s">
        <v>26</v>
      </c>
      <c r="C1086">
        <v>635</v>
      </c>
      <c r="D1086">
        <v>1</v>
      </c>
      <c r="E1086" t="s">
        <v>24</v>
      </c>
      <c r="F1086" t="s">
        <v>25</v>
      </c>
      <c r="G1086" t="str">
        <f>"2026-01-20 05:38:01.629"</f>
        <v>2026-01-20 05:38:01.629</v>
      </c>
      <c r="H1086" t="s">
        <v>21</v>
      </c>
      <c r="I1086">
        <v>2.97</v>
      </c>
      <c r="J1086" t="s">
        <v>29</v>
      </c>
    </row>
    <row r="1087" spans="1:10" x14ac:dyDescent="0.25">
      <c r="A1087" s="1">
        <v>107</v>
      </c>
      <c r="B1087" t="s">
        <v>23</v>
      </c>
      <c r="C1087">
        <v>635</v>
      </c>
      <c r="D1087">
        <v>1</v>
      </c>
      <c r="E1087" t="s">
        <v>24</v>
      </c>
      <c r="F1087" t="s">
        <v>25</v>
      </c>
      <c r="G1087" t="str">
        <f>"2026-01-19 15:41:42.429"</f>
        <v>2026-01-19 15:41:42.429</v>
      </c>
      <c r="H1087" t="s">
        <v>21</v>
      </c>
    </row>
    <row r="1088" spans="1:10" x14ac:dyDescent="0.25">
      <c r="A1088" s="1">
        <v>108</v>
      </c>
      <c r="B1088" t="s">
        <v>26</v>
      </c>
      <c r="C1088">
        <v>635</v>
      </c>
      <c r="D1088">
        <v>1</v>
      </c>
      <c r="E1088" t="s">
        <v>24</v>
      </c>
      <c r="F1088" t="s">
        <v>25</v>
      </c>
      <c r="G1088" t="str">
        <f>"2026-01-19 15:17:12.429"</f>
        <v>2026-01-19 15:17:12.429</v>
      </c>
      <c r="H1088" t="s">
        <v>21</v>
      </c>
      <c r="I1088">
        <v>7.62</v>
      </c>
      <c r="J1088" t="s">
        <v>29</v>
      </c>
    </row>
    <row r="1089" spans="1:10" x14ac:dyDescent="0.25">
      <c r="A1089" s="1">
        <v>109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"2026-01-19 07:43:15.374"</f>
        <v>2026-01-19 07:43:15.374</v>
      </c>
      <c r="H1089" t="s">
        <v>21</v>
      </c>
    </row>
    <row r="1090" spans="1:10" x14ac:dyDescent="0.25">
      <c r="A1090" s="1">
        <v>110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"2026-01-18 22:34:33.349"</f>
        <v>2026-01-18 22:34:33.349</v>
      </c>
      <c r="H1090" t="s">
        <v>21</v>
      </c>
    </row>
    <row r="1091" spans="1:10" x14ac:dyDescent="0.25">
      <c r="A1091" s="1">
        <v>111</v>
      </c>
      <c r="B1091" t="s">
        <v>23</v>
      </c>
      <c r="C1091">
        <v>635</v>
      </c>
      <c r="D1091">
        <v>1</v>
      </c>
      <c r="E1091" t="s">
        <v>24</v>
      </c>
      <c r="F1091" t="s">
        <v>25</v>
      </c>
      <c r="G1091" t="str">
        <f>"2026-01-18 15:40:30.195"</f>
        <v>2026-01-18 15:40:30.195</v>
      </c>
      <c r="H1091" t="s">
        <v>21</v>
      </c>
    </row>
    <row r="1092" spans="1:10" x14ac:dyDescent="0.25">
      <c r="A1092" s="1">
        <v>112</v>
      </c>
      <c r="B1092" t="s">
        <v>26</v>
      </c>
      <c r="C1092">
        <v>635</v>
      </c>
      <c r="D1092">
        <v>1</v>
      </c>
      <c r="E1092" t="s">
        <v>24</v>
      </c>
      <c r="F1092" t="s">
        <v>25</v>
      </c>
      <c r="G1092" t="str">
        <f>"2026-01-18 15:35:50.696"</f>
        <v>2026-01-18 15:35:50.696</v>
      </c>
      <c r="H1092" t="s">
        <v>21</v>
      </c>
      <c r="I1092">
        <v>-0.17</v>
      </c>
      <c r="J1092" t="s">
        <v>27</v>
      </c>
    </row>
    <row r="1093" spans="1:10" x14ac:dyDescent="0.25">
      <c r="A1093" s="1">
        <v>114</v>
      </c>
      <c r="B1093" t="s">
        <v>23</v>
      </c>
      <c r="C1093">
        <v>61</v>
      </c>
      <c r="D1093">
        <v>2</v>
      </c>
      <c r="E1093" t="s">
        <v>46</v>
      </c>
      <c r="F1093" t="s">
        <v>47</v>
      </c>
      <c r="G1093" t="str">
        <f>"2026-01-18 11:09:14.856"</f>
        <v>2026-01-18 11:09:14.856</v>
      </c>
      <c r="H1093" t="s">
        <v>21</v>
      </c>
    </row>
    <row r="1094" spans="1:10" x14ac:dyDescent="0.25">
      <c r="A1094" s="1">
        <v>115</v>
      </c>
      <c r="B1094" t="s">
        <v>38</v>
      </c>
      <c r="C1094">
        <v>61</v>
      </c>
      <c r="D1094">
        <v>2</v>
      </c>
      <c r="E1094" t="s">
        <v>46</v>
      </c>
      <c r="F1094" t="s">
        <v>47</v>
      </c>
      <c r="G1094" t="str">
        <f>"2026-01-18 11:09:09.256"</f>
        <v>2026-01-18 11:09:09.256</v>
      </c>
      <c r="H1094" t="s">
        <v>21</v>
      </c>
      <c r="I1094">
        <v>30.43</v>
      </c>
      <c r="J1094" t="s">
        <v>28</v>
      </c>
    </row>
    <row r="1095" spans="1:10" x14ac:dyDescent="0.25">
      <c r="A1095" s="1">
        <v>116</v>
      </c>
      <c r="B1095" t="s">
        <v>19</v>
      </c>
      <c r="C1095">
        <v>706</v>
      </c>
      <c r="D1095">
        <v>4</v>
      </c>
      <c r="E1095" t="s">
        <v>32</v>
      </c>
      <c r="F1095" t="s">
        <v>48</v>
      </c>
      <c r="G1095" t="str">
        <f>"2026-01-18 10:36:26.050"</f>
        <v>2026-01-18 10:36:26.050</v>
      </c>
      <c r="H1095" t="s">
        <v>21</v>
      </c>
      <c r="I1095">
        <v>0</v>
      </c>
      <c r="J1095" t="s">
        <v>34</v>
      </c>
    </row>
    <row r="1096" spans="1:10" x14ac:dyDescent="0.25">
      <c r="A1096" s="1">
        <v>117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"2026-01-18 09:48:59.330"</f>
        <v>2026-01-18 09:48:59.330</v>
      </c>
      <c r="H1096" t="s">
        <v>21</v>
      </c>
    </row>
    <row r="1097" spans="1:10" x14ac:dyDescent="0.25">
      <c r="A1097" s="1">
        <v>118</v>
      </c>
      <c r="B1097" t="s">
        <v>23</v>
      </c>
      <c r="C1097">
        <v>635</v>
      </c>
      <c r="D1097">
        <v>1</v>
      </c>
      <c r="E1097" t="s">
        <v>24</v>
      </c>
      <c r="F1097" t="s">
        <v>25</v>
      </c>
      <c r="G1097" t="str">
        <f>"2026-01-18 09:16:03.075"</f>
        <v>2026-01-18 09:16:03.075</v>
      </c>
      <c r="H1097" t="s">
        <v>21</v>
      </c>
    </row>
    <row r="1098" spans="1:10" x14ac:dyDescent="0.25">
      <c r="A1098" s="1">
        <v>119</v>
      </c>
      <c r="B1098" t="s">
        <v>26</v>
      </c>
      <c r="C1098">
        <v>635</v>
      </c>
      <c r="D1098">
        <v>1</v>
      </c>
      <c r="E1098" t="s">
        <v>24</v>
      </c>
      <c r="F1098" t="s">
        <v>25</v>
      </c>
      <c r="G1098" t="str">
        <f>"2026-01-18 09:06:21.575"</f>
        <v>2026-01-18 09:06:21.575</v>
      </c>
      <c r="H1098" t="s">
        <v>21</v>
      </c>
      <c r="I1098">
        <v>1.21</v>
      </c>
      <c r="J1098" t="s">
        <v>27</v>
      </c>
    </row>
    <row r="1099" spans="1:10" x14ac:dyDescent="0.25">
      <c r="A1099" s="1">
        <v>120</v>
      </c>
      <c r="B1099" t="s">
        <v>23</v>
      </c>
      <c r="C1099">
        <v>98</v>
      </c>
      <c r="D1099">
        <v>1</v>
      </c>
      <c r="E1099" t="s">
        <v>49</v>
      </c>
      <c r="F1099" t="s">
        <v>50</v>
      </c>
      <c r="G1099" t="str">
        <f>"2026-01-18 04:53:21.828"</f>
        <v>2026-01-18 04:53:21.828</v>
      </c>
      <c r="H1099" t="s">
        <v>21</v>
      </c>
    </row>
    <row r="1100" spans="1:10" x14ac:dyDescent="0.25">
      <c r="A1100" s="1">
        <v>121</v>
      </c>
      <c r="B1100" t="s">
        <v>26</v>
      </c>
      <c r="C1100">
        <v>98</v>
      </c>
      <c r="D1100">
        <v>1</v>
      </c>
      <c r="E1100" t="s">
        <v>49</v>
      </c>
      <c r="F1100" t="s">
        <v>50</v>
      </c>
      <c r="G1100" t="str">
        <f>"2026-01-18 04:53:20.828"</f>
        <v>2026-01-18 04:53:20.828</v>
      </c>
      <c r="H1100" t="s">
        <v>21</v>
      </c>
      <c r="I1100">
        <v>0</v>
      </c>
      <c r="J1100" t="s">
        <v>27</v>
      </c>
    </row>
    <row r="1101" spans="1:10" x14ac:dyDescent="0.25">
      <c r="A1101" s="1">
        <v>122</v>
      </c>
      <c r="B1101" t="s">
        <v>23</v>
      </c>
      <c r="C1101">
        <v>635</v>
      </c>
      <c r="D1101">
        <v>1</v>
      </c>
      <c r="E1101" t="s">
        <v>24</v>
      </c>
      <c r="F1101" t="s">
        <v>25</v>
      </c>
      <c r="G1101" t="str">
        <f>"2026-01-17 11:56:34.775"</f>
        <v>2026-01-17 11:56:34.775</v>
      </c>
      <c r="H1101" t="s">
        <v>21</v>
      </c>
    </row>
    <row r="1102" spans="1:10" x14ac:dyDescent="0.25">
      <c r="A1102" s="1">
        <v>123</v>
      </c>
      <c r="B1102" t="s">
        <v>26</v>
      </c>
      <c r="C1102">
        <v>635</v>
      </c>
      <c r="D1102">
        <v>1</v>
      </c>
      <c r="E1102" t="s">
        <v>24</v>
      </c>
      <c r="F1102" t="s">
        <v>25</v>
      </c>
      <c r="G1102" t="str">
        <f>"2026-01-17 11:49:41.775"</f>
        <v>2026-01-17 11:49:41.775</v>
      </c>
      <c r="H1102" t="s">
        <v>21</v>
      </c>
      <c r="I1102">
        <v>3.05</v>
      </c>
      <c r="J1102" t="s">
        <v>28</v>
      </c>
    </row>
    <row r="1103" spans="1:10" x14ac:dyDescent="0.25">
      <c r="A1103" s="1">
        <v>124</v>
      </c>
      <c r="B1103" t="s">
        <v>23</v>
      </c>
      <c r="C1103">
        <v>635</v>
      </c>
      <c r="D1103">
        <v>1</v>
      </c>
      <c r="E1103" t="s">
        <v>24</v>
      </c>
      <c r="F1103" t="s">
        <v>25</v>
      </c>
      <c r="G1103" t="str">
        <f>"2026-01-17 11:26:07.375"</f>
        <v>2026-01-17 11:26:07.375</v>
      </c>
      <c r="H1103" t="s">
        <v>21</v>
      </c>
    </row>
    <row r="1104" spans="1:10" x14ac:dyDescent="0.25">
      <c r="A1104" s="1">
        <v>125</v>
      </c>
      <c r="B1104" t="s">
        <v>26</v>
      </c>
      <c r="C1104">
        <v>635</v>
      </c>
      <c r="D1104">
        <v>1</v>
      </c>
      <c r="E1104" t="s">
        <v>24</v>
      </c>
      <c r="F1104" t="s">
        <v>25</v>
      </c>
      <c r="G1104" t="str">
        <f>"2026-01-17 11:21:01.875"</f>
        <v>2026-01-17 11:21:01.875</v>
      </c>
      <c r="H1104" t="s">
        <v>21</v>
      </c>
      <c r="I1104">
        <v>0.84</v>
      </c>
      <c r="J1104" t="s">
        <v>28</v>
      </c>
    </row>
    <row r="1105" spans="1:10" x14ac:dyDescent="0.25">
      <c r="A1105" s="1">
        <v>126</v>
      </c>
      <c r="B1105" t="s">
        <v>23</v>
      </c>
      <c r="C1105">
        <v>61</v>
      </c>
      <c r="D1105">
        <v>2</v>
      </c>
      <c r="E1105" t="s">
        <v>46</v>
      </c>
      <c r="F1105" t="s">
        <v>47</v>
      </c>
      <c r="G1105" t="str">
        <f>"2026-01-16 16:52:00.029"</f>
        <v>2026-01-16 16:52:00.029</v>
      </c>
      <c r="H1105" t="s">
        <v>21</v>
      </c>
    </row>
    <row r="1106" spans="1:10" x14ac:dyDescent="0.25">
      <c r="A1106" s="1">
        <v>127</v>
      </c>
      <c r="B1106" t="s">
        <v>38</v>
      </c>
      <c r="C1106">
        <v>61</v>
      </c>
      <c r="D1106">
        <v>2</v>
      </c>
      <c r="E1106" t="s">
        <v>46</v>
      </c>
      <c r="F1106" t="s">
        <v>47</v>
      </c>
      <c r="G1106" t="str">
        <f>"2026-01-16 16:51:28.229"</f>
        <v>2026-01-16 16:51:28.229</v>
      </c>
      <c r="H1106" t="s">
        <v>21</v>
      </c>
      <c r="I1106">
        <v>30.46</v>
      </c>
      <c r="J1106" t="s">
        <v>28</v>
      </c>
    </row>
    <row r="1107" spans="1:10" x14ac:dyDescent="0.25">
      <c r="A1107" s="1">
        <v>128</v>
      </c>
      <c r="B1107" t="s">
        <v>23</v>
      </c>
      <c r="C1107">
        <v>61</v>
      </c>
      <c r="D1107">
        <v>2</v>
      </c>
      <c r="E1107" t="s">
        <v>46</v>
      </c>
      <c r="F1107" t="s">
        <v>47</v>
      </c>
      <c r="G1107" t="str">
        <f>"2026-01-16 15:39:32.529"</f>
        <v>2026-01-16 15:39:32.529</v>
      </c>
      <c r="H1107" t="s">
        <v>21</v>
      </c>
    </row>
    <row r="1108" spans="1:10" x14ac:dyDescent="0.25">
      <c r="A1108" s="1">
        <v>129</v>
      </c>
      <c r="B1108" t="s">
        <v>38</v>
      </c>
      <c r="C1108">
        <v>61</v>
      </c>
      <c r="D1108">
        <v>2</v>
      </c>
      <c r="E1108" t="s">
        <v>46</v>
      </c>
      <c r="F1108" t="s">
        <v>47</v>
      </c>
      <c r="G1108" t="str">
        <f>"2026-01-16 15:38:50.329"</f>
        <v>2026-01-16 15:38:50.329</v>
      </c>
      <c r="H1108" t="s">
        <v>21</v>
      </c>
      <c r="I1108">
        <v>29.25</v>
      </c>
      <c r="J1108" t="s">
        <v>28</v>
      </c>
    </row>
    <row r="1109" spans="1:10" x14ac:dyDescent="0.25">
      <c r="A1109" s="1">
        <v>130</v>
      </c>
      <c r="B1109" t="s">
        <v>23</v>
      </c>
      <c r="C1109">
        <v>61</v>
      </c>
      <c r="D1109">
        <v>2</v>
      </c>
      <c r="E1109" t="s">
        <v>46</v>
      </c>
      <c r="F1109" t="s">
        <v>47</v>
      </c>
      <c r="G1109" t="str">
        <f>"2026-01-16 15:11:31.229"</f>
        <v>2026-01-16 15:11:31.229</v>
      </c>
      <c r="H1109" t="s">
        <v>21</v>
      </c>
    </row>
    <row r="1110" spans="1:10" x14ac:dyDescent="0.25">
      <c r="A1110" s="1">
        <v>131</v>
      </c>
      <c r="B1110" t="s">
        <v>38</v>
      </c>
      <c r="C1110">
        <v>61</v>
      </c>
      <c r="D1110">
        <v>2</v>
      </c>
      <c r="E1110" t="s">
        <v>46</v>
      </c>
      <c r="F1110" t="s">
        <v>47</v>
      </c>
      <c r="G1110" t="str">
        <f>"2026-01-16 15:10:59.729"</f>
        <v>2026-01-16 15:10:59.729</v>
      </c>
      <c r="H1110" t="s">
        <v>21</v>
      </c>
      <c r="I1110">
        <v>30.25</v>
      </c>
      <c r="J1110" t="s">
        <v>28</v>
      </c>
    </row>
    <row r="1111" spans="1:10" x14ac:dyDescent="0.25">
      <c r="A1111" s="1">
        <v>132</v>
      </c>
      <c r="B1111" t="s">
        <v>23</v>
      </c>
      <c r="C1111">
        <v>61</v>
      </c>
      <c r="D1111">
        <v>2</v>
      </c>
      <c r="E1111" t="s">
        <v>46</v>
      </c>
      <c r="F1111" t="s">
        <v>47</v>
      </c>
      <c r="G1111" t="str">
        <f>"2026-01-16 14:41:06.829"</f>
        <v>2026-01-16 14:41:06.829</v>
      </c>
      <c r="H1111" t="s">
        <v>21</v>
      </c>
    </row>
    <row r="1112" spans="1:10" x14ac:dyDescent="0.25">
      <c r="A1112" s="1">
        <v>133</v>
      </c>
      <c r="B1112" t="s">
        <v>38</v>
      </c>
      <c r="C1112">
        <v>61</v>
      </c>
      <c r="D1112">
        <v>2</v>
      </c>
      <c r="E1112" t="s">
        <v>46</v>
      </c>
      <c r="F1112" t="s">
        <v>47</v>
      </c>
      <c r="G1112" t="str">
        <f>"2026-01-16 14:40:46.229"</f>
        <v>2026-01-16 14:40:46.229</v>
      </c>
      <c r="H1112" t="s">
        <v>21</v>
      </c>
      <c r="I1112">
        <v>29.89</v>
      </c>
      <c r="J1112" t="s">
        <v>28</v>
      </c>
    </row>
    <row r="1113" spans="1:10" x14ac:dyDescent="0.25">
      <c r="A1113" s="1">
        <v>134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"2026-01-16 14:16:30.325"</f>
        <v>2026-01-16 14:16:30.325</v>
      </c>
      <c r="H1113" t="s">
        <v>21</v>
      </c>
      <c r="I1113">
        <v>0</v>
      </c>
      <c r="J1113" t="s">
        <v>22</v>
      </c>
    </row>
    <row r="1114" spans="1:10" x14ac:dyDescent="0.25">
      <c r="A1114" s="1">
        <v>135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"2026-01-16 11:31:38.324"</f>
        <v>2026-01-16 11:31:38.324</v>
      </c>
      <c r="H1114" t="s">
        <v>21</v>
      </c>
      <c r="I1114">
        <v>0</v>
      </c>
      <c r="J1114" t="s">
        <v>22</v>
      </c>
    </row>
    <row r="1115" spans="1:10" x14ac:dyDescent="0.25">
      <c r="A1115" s="1">
        <v>136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"2026-01-16 11:19:50.314"</f>
        <v>2026-01-16 11:19:50.314</v>
      </c>
      <c r="H1115" t="s">
        <v>21</v>
      </c>
      <c r="I1115">
        <v>0</v>
      </c>
      <c r="J1115" t="s">
        <v>22</v>
      </c>
    </row>
    <row r="1116" spans="1:10" x14ac:dyDescent="0.25">
      <c r="A1116" s="1">
        <v>137</v>
      </c>
      <c r="B1116" t="s">
        <v>19</v>
      </c>
      <c r="C1116">
        <v>706</v>
      </c>
      <c r="D1116">
        <v>4</v>
      </c>
      <c r="E1116" t="s">
        <v>32</v>
      </c>
      <c r="F1116" t="s">
        <v>48</v>
      </c>
      <c r="G1116" t="str">
        <f>"2026-01-16 10:25:04.448"</f>
        <v>2026-01-16 10:25:04.448</v>
      </c>
      <c r="H1116" t="s">
        <v>21</v>
      </c>
      <c r="I1116">
        <v>0</v>
      </c>
      <c r="J1116" t="s">
        <v>34</v>
      </c>
    </row>
    <row r="1117" spans="1:10" x14ac:dyDescent="0.25">
      <c r="A1117" s="1">
        <v>138</v>
      </c>
      <c r="B1117" t="s">
        <v>19</v>
      </c>
      <c r="C1117">
        <v>706</v>
      </c>
      <c r="D1117">
        <v>2</v>
      </c>
      <c r="E1117" t="s">
        <v>32</v>
      </c>
      <c r="F1117" t="s">
        <v>33</v>
      </c>
      <c r="G1117" t="str">
        <f>"2026-01-16 10:23:28.338"</f>
        <v>2026-01-16 10:23:28.338</v>
      </c>
      <c r="H1117" t="s">
        <v>21</v>
      </c>
      <c r="I1117">
        <v>0</v>
      </c>
      <c r="J1117" t="s">
        <v>34</v>
      </c>
    </row>
    <row r="1118" spans="1:10" x14ac:dyDescent="0.25">
      <c r="A1118" s="1">
        <v>139</v>
      </c>
      <c r="B1118" t="s">
        <v>19</v>
      </c>
      <c r="C1118">
        <v>706</v>
      </c>
      <c r="D1118">
        <v>4</v>
      </c>
      <c r="E1118" t="s">
        <v>32</v>
      </c>
      <c r="F1118" t="s">
        <v>48</v>
      </c>
      <c r="G1118" t="str">
        <f>"2026-01-16 10:23:09.258"</f>
        <v>2026-01-16 10:23:09.258</v>
      </c>
      <c r="H1118" t="s">
        <v>21</v>
      </c>
      <c r="I1118">
        <v>0</v>
      </c>
      <c r="J1118" t="s">
        <v>34</v>
      </c>
    </row>
    <row r="1119" spans="1:10" x14ac:dyDescent="0.25">
      <c r="A1119" s="1">
        <v>140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"2026-01-16 10:19:19.398"</f>
        <v>2026-01-16 10:19:19.398</v>
      </c>
      <c r="H1119" t="s">
        <v>21</v>
      </c>
    </row>
    <row r="1120" spans="1:10" x14ac:dyDescent="0.25">
      <c r="A1120" s="1">
        <v>141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"2026-01-16 09:04:38.319"</f>
        <v>2026-01-16 09:04:38.319</v>
      </c>
      <c r="H1120" t="s">
        <v>21</v>
      </c>
      <c r="I1120">
        <v>0</v>
      </c>
      <c r="J1120" t="s">
        <v>22</v>
      </c>
    </row>
    <row r="1121" spans="1:10" x14ac:dyDescent="0.25">
      <c r="A1121" s="1">
        <v>142</v>
      </c>
      <c r="B1121" t="s">
        <v>19</v>
      </c>
      <c r="C1121">
        <v>706</v>
      </c>
      <c r="D1121">
        <v>2</v>
      </c>
      <c r="E1121" t="s">
        <v>32</v>
      </c>
      <c r="F1121" t="s">
        <v>33</v>
      </c>
      <c r="G1121" t="str">
        <f>"2026-01-16 08:55:28.747"</f>
        <v>2026-01-16 08:55:28.747</v>
      </c>
      <c r="H1121" t="s">
        <v>21</v>
      </c>
      <c r="I1121">
        <v>0</v>
      </c>
      <c r="J1121" t="s">
        <v>34</v>
      </c>
    </row>
    <row r="1122" spans="1:10" x14ac:dyDescent="0.25">
      <c r="A1122" s="1">
        <v>143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"2026-01-16 08:50:27.407"</f>
        <v>2026-01-16 08:50:27.407</v>
      </c>
      <c r="H1122" t="s">
        <v>21</v>
      </c>
    </row>
    <row r="1123" spans="1:10" x14ac:dyDescent="0.25">
      <c r="A1123" s="1">
        <v>144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"2026-01-16 08:39:11.332"</f>
        <v>2026-01-16 08:39:11.332</v>
      </c>
      <c r="H1123" t="s">
        <v>21</v>
      </c>
    </row>
    <row r="1124" spans="1:10" x14ac:dyDescent="0.25">
      <c r="A1124" s="1">
        <v>145</v>
      </c>
      <c r="B1124" t="s">
        <v>23</v>
      </c>
      <c r="C1124">
        <v>635</v>
      </c>
      <c r="D1124">
        <v>1</v>
      </c>
      <c r="E1124" t="s">
        <v>24</v>
      </c>
      <c r="F1124" t="s">
        <v>25</v>
      </c>
      <c r="G1124" t="str">
        <f>"2026-01-15 20:32:34.794"</f>
        <v>2026-01-15 20:32:34.794</v>
      </c>
      <c r="H1124" t="s">
        <v>21</v>
      </c>
    </row>
    <row r="1125" spans="1:10" x14ac:dyDescent="0.25">
      <c r="A1125" s="1">
        <v>146</v>
      </c>
      <c r="B1125" t="s">
        <v>26</v>
      </c>
      <c r="C1125">
        <v>635</v>
      </c>
      <c r="D1125">
        <v>1</v>
      </c>
      <c r="E1125" t="s">
        <v>24</v>
      </c>
      <c r="F1125" t="s">
        <v>25</v>
      </c>
      <c r="G1125" t="str">
        <f>"2026-01-15 20:28:57.794"</f>
        <v>2026-01-15 20:28:57.794</v>
      </c>
      <c r="H1125" t="s">
        <v>21</v>
      </c>
      <c r="I1125">
        <v>4.63</v>
      </c>
      <c r="J1125" t="s">
        <v>29</v>
      </c>
    </row>
    <row r="1126" spans="1:10" x14ac:dyDescent="0.25">
      <c r="A1126" s="1">
        <v>147</v>
      </c>
      <c r="B1126" t="s">
        <v>23</v>
      </c>
      <c r="C1126">
        <v>635</v>
      </c>
      <c r="D1126">
        <v>1</v>
      </c>
      <c r="E1126" t="s">
        <v>24</v>
      </c>
      <c r="F1126" t="s">
        <v>25</v>
      </c>
      <c r="G1126" t="str">
        <f>"2026-01-15 20:08:03.794"</f>
        <v>2026-01-15 20:08:03.794</v>
      </c>
      <c r="H1126" t="s">
        <v>21</v>
      </c>
    </row>
    <row r="1127" spans="1:10" x14ac:dyDescent="0.25">
      <c r="A1127" s="1">
        <v>148</v>
      </c>
      <c r="B1127" t="s">
        <v>26</v>
      </c>
      <c r="C1127">
        <v>635</v>
      </c>
      <c r="D1127">
        <v>1</v>
      </c>
      <c r="E1127" t="s">
        <v>24</v>
      </c>
      <c r="F1127" t="s">
        <v>25</v>
      </c>
      <c r="G1127" t="str">
        <f>"2026-01-15 20:04:29.794"</f>
        <v>2026-01-15 20:04:29.794</v>
      </c>
      <c r="H1127" t="s">
        <v>21</v>
      </c>
      <c r="I1127">
        <v>6.4</v>
      </c>
      <c r="J1127" t="s">
        <v>29</v>
      </c>
    </row>
    <row r="1128" spans="1:10" x14ac:dyDescent="0.25">
      <c r="A1128" s="1">
        <v>149</v>
      </c>
      <c r="B1128" t="s">
        <v>23</v>
      </c>
      <c r="C1128">
        <v>635</v>
      </c>
      <c r="D1128">
        <v>1</v>
      </c>
      <c r="E1128" t="s">
        <v>24</v>
      </c>
      <c r="F1128" t="s">
        <v>25</v>
      </c>
      <c r="G1128" t="str">
        <f>"2026-01-15 04:31:16.194"</f>
        <v>2026-01-15 04:31:16.194</v>
      </c>
      <c r="H1128" t="s">
        <v>21</v>
      </c>
    </row>
    <row r="1129" spans="1:10" x14ac:dyDescent="0.25">
      <c r="A1129" s="1">
        <v>150</v>
      </c>
      <c r="B1129" t="s">
        <v>26</v>
      </c>
      <c r="C1129">
        <v>635</v>
      </c>
      <c r="D1129">
        <v>1</v>
      </c>
      <c r="E1129" t="s">
        <v>24</v>
      </c>
      <c r="F1129" t="s">
        <v>25</v>
      </c>
      <c r="G1129" t="str">
        <f>"2026-01-15 04:27:58.694"</f>
        <v>2026-01-15 04:27:58.694</v>
      </c>
      <c r="H1129" t="s">
        <v>21</v>
      </c>
      <c r="I1129">
        <v>8.1300000000000008</v>
      </c>
      <c r="J1129" t="s">
        <v>29</v>
      </c>
    </row>
    <row r="1130" spans="1:10" x14ac:dyDescent="0.25">
      <c r="A1130" s="1">
        <v>151</v>
      </c>
      <c r="B1130" t="s">
        <v>23</v>
      </c>
      <c r="C1130">
        <v>635</v>
      </c>
      <c r="D1130">
        <v>1</v>
      </c>
      <c r="E1130" t="s">
        <v>24</v>
      </c>
      <c r="F1130" t="s">
        <v>25</v>
      </c>
      <c r="G1130" t="str">
        <f>"2026-01-14 18:13:34.994"</f>
        <v>2026-01-14 18:13:34.994</v>
      </c>
      <c r="H1130" t="s">
        <v>21</v>
      </c>
    </row>
    <row r="1131" spans="1:10" x14ac:dyDescent="0.25">
      <c r="A1131" s="1">
        <v>152</v>
      </c>
      <c r="B1131" t="s">
        <v>26</v>
      </c>
      <c r="C1131">
        <v>635</v>
      </c>
      <c r="D1131">
        <v>1</v>
      </c>
      <c r="E1131" t="s">
        <v>24</v>
      </c>
      <c r="F1131" t="s">
        <v>25</v>
      </c>
      <c r="G1131" t="str">
        <f>"2026-01-14 18:09:53.494"</f>
        <v>2026-01-14 18:09:53.494</v>
      </c>
      <c r="H1131" t="s">
        <v>21</v>
      </c>
      <c r="I1131">
        <v>2.86</v>
      </c>
      <c r="J1131" t="s">
        <v>29</v>
      </c>
    </row>
    <row r="1132" spans="1:10" x14ac:dyDescent="0.25">
      <c r="A1132" s="1">
        <v>153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"2026-01-14 10:34:31.334"</f>
        <v>2026-01-14 10:34:31.334</v>
      </c>
      <c r="H1132" t="s">
        <v>21</v>
      </c>
    </row>
    <row r="1133" spans="1:10" x14ac:dyDescent="0.25">
      <c r="A1133" s="1">
        <v>154</v>
      </c>
      <c r="B1133" t="s">
        <v>23</v>
      </c>
      <c r="C1133">
        <v>61</v>
      </c>
      <c r="D1133">
        <v>2</v>
      </c>
      <c r="E1133" t="s">
        <v>46</v>
      </c>
      <c r="F1133" t="s">
        <v>47</v>
      </c>
      <c r="G1133" t="str">
        <f>"2026-01-14 04:39:46.432"</f>
        <v>2026-01-14 04:39:46.432</v>
      </c>
      <c r="H1133" t="s">
        <v>21</v>
      </c>
    </row>
    <row r="1134" spans="1:10" x14ac:dyDescent="0.25">
      <c r="A1134" s="1">
        <v>155</v>
      </c>
      <c r="B1134" t="s">
        <v>38</v>
      </c>
      <c r="C1134">
        <v>61</v>
      </c>
      <c r="D1134">
        <v>2</v>
      </c>
      <c r="E1134" t="s">
        <v>46</v>
      </c>
      <c r="F1134" t="s">
        <v>47</v>
      </c>
      <c r="G1134" t="str">
        <f>"2026-01-14 04:39:37.332"</f>
        <v>2026-01-14 04:39:37.332</v>
      </c>
      <c r="H1134" t="s">
        <v>21</v>
      </c>
      <c r="I1134">
        <v>29.66</v>
      </c>
      <c r="J1134" t="s">
        <v>28</v>
      </c>
    </row>
    <row r="1135" spans="1:10" x14ac:dyDescent="0.25">
      <c r="A1135" s="1">
        <v>156</v>
      </c>
      <c r="B1135" t="s">
        <v>23</v>
      </c>
      <c r="C1135">
        <v>635</v>
      </c>
      <c r="D1135">
        <v>1</v>
      </c>
      <c r="E1135" t="s">
        <v>24</v>
      </c>
      <c r="F1135" t="s">
        <v>25</v>
      </c>
      <c r="G1135" t="str">
        <f>"2026-01-13 06:01:55.378"</f>
        <v>2026-01-13 06:01:55.378</v>
      </c>
      <c r="H1135" t="s">
        <v>21</v>
      </c>
    </row>
    <row r="1136" spans="1:10" x14ac:dyDescent="0.25">
      <c r="A1136" s="1">
        <v>157</v>
      </c>
      <c r="B1136" t="s">
        <v>26</v>
      </c>
      <c r="C1136">
        <v>635</v>
      </c>
      <c r="D1136">
        <v>1</v>
      </c>
      <c r="E1136" t="s">
        <v>24</v>
      </c>
      <c r="F1136" t="s">
        <v>25</v>
      </c>
      <c r="G1136" t="str">
        <f>"2026-01-13 05:58:16.978"</f>
        <v>2026-01-13 05:58:16.978</v>
      </c>
      <c r="H1136" t="s">
        <v>21</v>
      </c>
      <c r="I1136">
        <v>9.89</v>
      </c>
      <c r="J1136" t="s">
        <v>28</v>
      </c>
    </row>
    <row r="1137" spans="1:10" x14ac:dyDescent="0.25">
      <c r="A1137" s="1">
        <v>158</v>
      </c>
      <c r="B1137" t="s">
        <v>23</v>
      </c>
      <c r="C1137">
        <v>635</v>
      </c>
      <c r="D1137">
        <v>1</v>
      </c>
      <c r="E1137" t="s">
        <v>24</v>
      </c>
      <c r="F1137" t="s">
        <v>25</v>
      </c>
      <c r="G1137" t="str">
        <f>"2026-01-11 17:42:12.478"</f>
        <v>2026-01-11 17:42:12.478</v>
      </c>
      <c r="H1137" t="s">
        <v>21</v>
      </c>
    </row>
    <row r="1138" spans="1:10" x14ac:dyDescent="0.25">
      <c r="A1138" s="1">
        <v>159</v>
      </c>
      <c r="B1138" t="s">
        <v>26</v>
      </c>
      <c r="C1138">
        <v>635</v>
      </c>
      <c r="D1138">
        <v>1</v>
      </c>
      <c r="E1138" t="s">
        <v>24</v>
      </c>
      <c r="F1138" t="s">
        <v>25</v>
      </c>
      <c r="G1138" t="str">
        <f>"2026-01-11 17:37:08.478"</f>
        <v>2026-01-11 17:37:08.478</v>
      </c>
      <c r="H1138" t="s">
        <v>21</v>
      </c>
      <c r="I1138">
        <v>0</v>
      </c>
      <c r="J1138" t="s">
        <v>27</v>
      </c>
    </row>
    <row r="1139" spans="1:10" x14ac:dyDescent="0.25">
      <c r="A1139" s="1">
        <v>160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"2026-01-11 10:10:21.320"</f>
        <v>2026-01-11 10:10:21.320</v>
      </c>
      <c r="H1139" t="s">
        <v>21</v>
      </c>
      <c r="I1139">
        <v>0</v>
      </c>
      <c r="J1139" t="s">
        <v>22</v>
      </c>
    </row>
    <row r="1140" spans="1:10" x14ac:dyDescent="0.25">
      <c r="A1140" s="1">
        <v>161</v>
      </c>
      <c r="B1140" t="s">
        <v>23</v>
      </c>
      <c r="C1140">
        <v>61</v>
      </c>
      <c r="D1140">
        <v>2</v>
      </c>
      <c r="E1140" t="s">
        <v>46</v>
      </c>
      <c r="F1140" t="s">
        <v>47</v>
      </c>
      <c r="G1140" t="str">
        <f>"2026-01-11 02:52:33.414"</f>
        <v>2026-01-11 02:52:33.414</v>
      </c>
      <c r="H1140" t="s">
        <v>21</v>
      </c>
    </row>
    <row r="1141" spans="1:10" x14ac:dyDescent="0.25">
      <c r="A1141" s="1">
        <v>162</v>
      </c>
      <c r="B1141" t="s">
        <v>38</v>
      </c>
      <c r="C1141">
        <v>61</v>
      </c>
      <c r="D1141">
        <v>2</v>
      </c>
      <c r="E1141" t="s">
        <v>46</v>
      </c>
      <c r="F1141" t="s">
        <v>47</v>
      </c>
      <c r="G1141" t="str">
        <f>"2026-01-11 02:52:19.315"</f>
        <v>2026-01-11 02:52:19.315</v>
      </c>
      <c r="H1141" t="s">
        <v>21</v>
      </c>
      <c r="I1141">
        <v>30.2</v>
      </c>
      <c r="J1141" t="s">
        <v>28</v>
      </c>
    </row>
    <row r="1142" spans="1:10" x14ac:dyDescent="0.25">
      <c r="A1142" s="1">
        <v>163</v>
      </c>
      <c r="B1142" t="s">
        <v>19</v>
      </c>
      <c r="C1142">
        <v>706</v>
      </c>
      <c r="D1142">
        <v>4</v>
      </c>
      <c r="E1142" t="s">
        <v>32</v>
      </c>
      <c r="F1142" t="s">
        <v>48</v>
      </c>
      <c r="G1142" t="str">
        <f>"2026-01-09 20:10:36.651"</f>
        <v>2026-01-09 20:10:36.651</v>
      </c>
      <c r="H1142" t="s">
        <v>21</v>
      </c>
      <c r="I1142">
        <v>0</v>
      </c>
      <c r="J1142" t="s">
        <v>34</v>
      </c>
    </row>
    <row r="1143" spans="1:10" x14ac:dyDescent="0.25">
      <c r="A1143" s="1">
        <v>164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"2026-01-09 20:06:19.301"</f>
        <v>2026-01-09 20:06:19.301</v>
      </c>
      <c r="H1143" t="s">
        <v>21</v>
      </c>
    </row>
    <row r="1144" spans="1:10" x14ac:dyDescent="0.25">
      <c r="A1144" s="1">
        <v>165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"2026-01-09 20:04:29.296"</f>
        <v>2026-01-09 20:04:29.296</v>
      </c>
      <c r="H1144" t="s">
        <v>21</v>
      </c>
    </row>
    <row r="1145" spans="1:10" x14ac:dyDescent="0.25">
      <c r="A1145" s="1">
        <v>166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"2026-01-09 20:01:58.293"</f>
        <v>2026-01-09 20:01:58.293</v>
      </c>
      <c r="H1145" t="s">
        <v>21</v>
      </c>
    </row>
    <row r="1146" spans="1:10" x14ac:dyDescent="0.25">
      <c r="A1146" s="1">
        <v>167</v>
      </c>
      <c r="B1146" t="s">
        <v>19</v>
      </c>
      <c r="C1146">
        <v>706</v>
      </c>
      <c r="D1146">
        <v>2</v>
      </c>
      <c r="E1146" t="s">
        <v>32</v>
      </c>
      <c r="F1146" t="s">
        <v>33</v>
      </c>
      <c r="G1146" t="str">
        <f>"2026-01-09 20:00:30.330"</f>
        <v>2026-01-09 20:00:30.330</v>
      </c>
      <c r="H1146" t="s">
        <v>21</v>
      </c>
      <c r="I1146">
        <v>0</v>
      </c>
      <c r="J1146" t="s">
        <v>34</v>
      </c>
    </row>
    <row r="1147" spans="1:10" x14ac:dyDescent="0.25">
      <c r="A1147" s="1">
        <v>168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"2026-01-09 19:59:45.310"</f>
        <v>2026-01-09 19:59:45.310</v>
      </c>
      <c r="H1147" t="s">
        <v>21</v>
      </c>
      <c r="I1147">
        <v>0</v>
      </c>
      <c r="J1147" t="s">
        <v>22</v>
      </c>
    </row>
    <row r="1148" spans="1:10" x14ac:dyDescent="0.25">
      <c r="A1148" s="1">
        <v>169</v>
      </c>
      <c r="B1148" t="s">
        <v>23</v>
      </c>
      <c r="C1148">
        <v>635</v>
      </c>
      <c r="D1148">
        <v>1</v>
      </c>
      <c r="E1148" t="s">
        <v>24</v>
      </c>
      <c r="F1148" t="s">
        <v>25</v>
      </c>
      <c r="G1148" t="str">
        <f>"2026-01-09 19:08:11.619"</f>
        <v>2026-01-09 19:08:11.619</v>
      </c>
      <c r="H1148" t="s">
        <v>21</v>
      </c>
    </row>
    <row r="1149" spans="1:10" x14ac:dyDescent="0.25">
      <c r="A1149" s="1">
        <v>170</v>
      </c>
      <c r="B1149" t="s">
        <v>26</v>
      </c>
      <c r="C1149">
        <v>635</v>
      </c>
      <c r="D1149">
        <v>1</v>
      </c>
      <c r="E1149" t="s">
        <v>24</v>
      </c>
      <c r="F1149" t="s">
        <v>25</v>
      </c>
      <c r="G1149" t="str">
        <f>"2026-01-09 19:04:36.119"</f>
        <v>2026-01-09 19:04:36.119</v>
      </c>
      <c r="H1149" t="s">
        <v>21</v>
      </c>
      <c r="I1149">
        <v>5.66</v>
      </c>
      <c r="J1149" t="s">
        <v>27</v>
      </c>
    </row>
    <row r="1150" spans="1:10" x14ac:dyDescent="0.25">
      <c r="A1150" s="1">
        <v>171</v>
      </c>
      <c r="B1150" t="s">
        <v>23</v>
      </c>
      <c r="C1150">
        <v>61</v>
      </c>
      <c r="D1150">
        <v>2</v>
      </c>
      <c r="E1150" t="s">
        <v>46</v>
      </c>
      <c r="F1150" t="s">
        <v>47</v>
      </c>
      <c r="G1150" t="str">
        <f>"2026-01-09 14:43:16.420"</f>
        <v>2026-01-09 14:43:16.420</v>
      </c>
      <c r="H1150" t="s">
        <v>21</v>
      </c>
    </row>
    <row r="1151" spans="1:10" x14ac:dyDescent="0.25">
      <c r="A1151" s="1">
        <v>172</v>
      </c>
      <c r="B1151" t="s">
        <v>38</v>
      </c>
      <c r="C1151">
        <v>61</v>
      </c>
      <c r="D1151">
        <v>2</v>
      </c>
      <c r="E1151" t="s">
        <v>46</v>
      </c>
      <c r="F1151" t="s">
        <v>47</v>
      </c>
      <c r="G1151" t="str">
        <f>"2026-01-09 14:42:55.820"</f>
        <v>2026-01-09 14:42:55.820</v>
      </c>
      <c r="H1151" t="s">
        <v>21</v>
      </c>
      <c r="I1151">
        <v>29.91</v>
      </c>
      <c r="J1151" t="s">
        <v>28</v>
      </c>
    </row>
    <row r="1152" spans="1:10" x14ac:dyDescent="0.25">
      <c r="A1152" s="1">
        <v>173</v>
      </c>
      <c r="B1152" t="s">
        <v>23</v>
      </c>
      <c r="C1152">
        <v>61</v>
      </c>
      <c r="D1152">
        <v>2</v>
      </c>
      <c r="E1152" t="s">
        <v>46</v>
      </c>
      <c r="F1152" t="s">
        <v>47</v>
      </c>
      <c r="G1152" t="str">
        <f>"2026-01-09 10:12:03.020"</f>
        <v>2026-01-09 10:12:03.020</v>
      </c>
      <c r="H1152" t="s">
        <v>21</v>
      </c>
    </row>
    <row r="1153" spans="1:10" x14ac:dyDescent="0.25">
      <c r="A1153" s="1">
        <v>174</v>
      </c>
      <c r="B1153" t="s">
        <v>38</v>
      </c>
      <c r="C1153">
        <v>61</v>
      </c>
      <c r="D1153">
        <v>2</v>
      </c>
      <c r="E1153" t="s">
        <v>46</v>
      </c>
      <c r="F1153" t="s">
        <v>47</v>
      </c>
      <c r="G1153" t="str">
        <f>"2026-01-09 10:11:46.720"</f>
        <v>2026-01-09 10:11:46.720</v>
      </c>
      <c r="H1153" t="s">
        <v>21</v>
      </c>
      <c r="I1153">
        <v>30.44</v>
      </c>
      <c r="J1153" t="s">
        <v>28</v>
      </c>
    </row>
    <row r="1154" spans="1:10" x14ac:dyDescent="0.25">
      <c r="A1154" s="1">
        <v>175</v>
      </c>
      <c r="B1154" t="s">
        <v>23</v>
      </c>
      <c r="C1154">
        <v>635</v>
      </c>
      <c r="D1154">
        <v>1</v>
      </c>
      <c r="E1154" t="s">
        <v>24</v>
      </c>
      <c r="F1154" t="s">
        <v>25</v>
      </c>
      <c r="G1154" t="str">
        <f>"2026-01-09 01:21:15.819"</f>
        <v>2026-01-09 01:21:15.819</v>
      </c>
      <c r="H1154" t="s">
        <v>21</v>
      </c>
    </row>
    <row r="1155" spans="1:10" x14ac:dyDescent="0.25">
      <c r="A1155" s="1">
        <v>176</v>
      </c>
      <c r="B1155" t="s">
        <v>26</v>
      </c>
      <c r="C1155">
        <v>635</v>
      </c>
      <c r="D1155">
        <v>1</v>
      </c>
      <c r="E1155" t="s">
        <v>24</v>
      </c>
      <c r="F1155" t="s">
        <v>25</v>
      </c>
      <c r="G1155" t="str">
        <f>"2026-01-09 01:17:10.319"</f>
        <v>2026-01-09 01:17:10.319</v>
      </c>
      <c r="H1155" t="s">
        <v>21</v>
      </c>
      <c r="I1155">
        <v>9.64</v>
      </c>
      <c r="J1155" t="s">
        <v>28</v>
      </c>
    </row>
    <row r="1156" spans="1:10" x14ac:dyDescent="0.25">
      <c r="A1156" s="1">
        <v>177</v>
      </c>
      <c r="B1156" t="s">
        <v>23</v>
      </c>
      <c r="C1156">
        <v>635</v>
      </c>
      <c r="D1156">
        <v>1</v>
      </c>
      <c r="E1156" t="s">
        <v>24</v>
      </c>
      <c r="F1156" t="s">
        <v>25</v>
      </c>
      <c r="G1156" t="str">
        <f>"2026-01-08 17:07:16.319"</f>
        <v>2026-01-08 17:07:16.319</v>
      </c>
      <c r="H1156" t="s">
        <v>21</v>
      </c>
    </row>
    <row r="1157" spans="1:10" x14ac:dyDescent="0.25">
      <c r="A1157" s="1">
        <v>178</v>
      </c>
      <c r="B1157" t="s">
        <v>26</v>
      </c>
      <c r="C1157">
        <v>635</v>
      </c>
      <c r="D1157">
        <v>1</v>
      </c>
      <c r="E1157" t="s">
        <v>24</v>
      </c>
      <c r="F1157" t="s">
        <v>25</v>
      </c>
      <c r="G1157" t="str">
        <f>"2026-01-08 17:02:52.819"</f>
        <v>2026-01-08 17:02:52.819</v>
      </c>
      <c r="H1157" t="s">
        <v>21</v>
      </c>
      <c r="I1157">
        <v>0.14000000000000001</v>
      </c>
      <c r="J1157" t="s">
        <v>27</v>
      </c>
    </row>
    <row r="1158" spans="1:10" x14ac:dyDescent="0.25">
      <c r="A1158" s="1">
        <v>179</v>
      </c>
      <c r="B1158" t="s">
        <v>23</v>
      </c>
      <c r="C1158">
        <v>635</v>
      </c>
      <c r="D1158">
        <v>1</v>
      </c>
      <c r="E1158" t="s">
        <v>24</v>
      </c>
      <c r="F1158" t="s">
        <v>25</v>
      </c>
      <c r="G1158" t="str">
        <f>"2026-01-07 09:26:22.319"</f>
        <v>2026-01-07 09:26:22.319</v>
      </c>
      <c r="H1158" t="s">
        <v>21</v>
      </c>
    </row>
    <row r="1159" spans="1:10" x14ac:dyDescent="0.25">
      <c r="A1159" s="1">
        <v>180</v>
      </c>
      <c r="B1159" t="s">
        <v>26</v>
      </c>
      <c r="C1159">
        <v>635</v>
      </c>
      <c r="D1159">
        <v>1</v>
      </c>
      <c r="E1159" t="s">
        <v>24</v>
      </c>
      <c r="F1159" t="s">
        <v>25</v>
      </c>
      <c r="G1159" t="str">
        <f>"2026-01-07 09:21:04.419"</f>
        <v>2026-01-07 09:21:04.419</v>
      </c>
      <c r="H1159" t="s">
        <v>21</v>
      </c>
      <c r="I1159">
        <v>2.87</v>
      </c>
      <c r="J1159" t="s">
        <v>27</v>
      </c>
    </row>
    <row r="1160" spans="1:10" x14ac:dyDescent="0.25">
      <c r="A1160" s="1">
        <v>181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"2026-01-07 08:49:26.298"</f>
        <v>2026-01-07 08:49:26.298</v>
      </c>
      <c r="H1160" t="s">
        <v>21</v>
      </c>
      <c r="I1160">
        <v>0</v>
      </c>
      <c r="J1160" t="s">
        <v>22</v>
      </c>
    </row>
    <row r="1161" spans="1:10" x14ac:dyDescent="0.25">
      <c r="A1161" s="1">
        <v>183</v>
      </c>
      <c r="B1161" t="s">
        <v>19</v>
      </c>
      <c r="C1161">
        <v>706</v>
      </c>
      <c r="D1161">
        <v>4</v>
      </c>
      <c r="E1161" t="s">
        <v>32</v>
      </c>
      <c r="F1161" t="s">
        <v>48</v>
      </c>
      <c r="G1161" t="str">
        <f>"2026-01-05 23:04:12.402"</f>
        <v>2026-01-05 23:04:12.402</v>
      </c>
      <c r="H1161" t="s">
        <v>21</v>
      </c>
      <c r="I1161">
        <v>0</v>
      </c>
      <c r="J1161" t="s">
        <v>34</v>
      </c>
    </row>
    <row r="1162" spans="1:10" x14ac:dyDescent="0.25">
      <c r="A1162" s="1">
        <v>184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"2026-01-05 23:02:52.282"</f>
        <v>2026-01-05 23:02:52.282</v>
      </c>
      <c r="H1162" t="s">
        <v>21</v>
      </c>
    </row>
    <row r="1163" spans="1:10" x14ac:dyDescent="0.25">
      <c r="A1163" s="1">
        <v>185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"2026-01-05 22:00:18.285"</f>
        <v>2026-01-05 22:00:18.285</v>
      </c>
      <c r="H1163" t="s">
        <v>21</v>
      </c>
    </row>
    <row r="1164" spans="1:10" x14ac:dyDescent="0.25">
      <c r="A1164" s="1">
        <v>186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"2026-01-05 21:05:16.550"</f>
        <v>2026-01-05 21:05:16.550</v>
      </c>
      <c r="H1164" t="s">
        <v>21</v>
      </c>
      <c r="I1164">
        <v>0</v>
      </c>
      <c r="J1164" t="s">
        <v>22</v>
      </c>
    </row>
    <row r="1165" spans="1:10" x14ac:dyDescent="0.25">
      <c r="A1165" s="1">
        <v>187</v>
      </c>
      <c r="B1165" t="s">
        <v>23</v>
      </c>
      <c r="C1165">
        <v>61</v>
      </c>
      <c r="D1165">
        <v>2</v>
      </c>
      <c r="E1165" t="s">
        <v>46</v>
      </c>
      <c r="F1165" t="s">
        <v>47</v>
      </c>
      <c r="G1165" t="str">
        <f>"2026-01-05 19:31:33.205"</f>
        <v>2026-01-05 19:31:33.205</v>
      </c>
      <c r="H1165" t="s">
        <v>21</v>
      </c>
    </row>
    <row r="1166" spans="1:10" x14ac:dyDescent="0.25">
      <c r="A1166" s="1">
        <v>188</v>
      </c>
      <c r="B1166" t="s">
        <v>38</v>
      </c>
      <c r="C1166">
        <v>61</v>
      </c>
      <c r="D1166">
        <v>2</v>
      </c>
      <c r="E1166" t="s">
        <v>46</v>
      </c>
      <c r="F1166" t="s">
        <v>47</v>
      </c>
      <c r="G1166" t="str">
        <f>"2026-01-05 19:31:26.805"</f>
        <v>2026-01-05 19:31:26.805</v>
      </c>
      <c r="H1166" t="s">
        <v>21</v>
      </c>
      <c r="I1166">
        <v>29.37</v>
      </c>
      <c r="J1166" t="s">
        <v>28</v>
      </c>
    </row>
    <row r="1167" spans="1:10" x14ac:dyDescent="0.25">
      <c r="A1167" s="1">
        <v>189</v>
      </c>
      <c r="B1167" t="s">
        <v>23</v>
      </c>
      <c r="C1167">
        <v>61</v>
      </c>
      <c r="D1167">
        <v>2</v>
      </c>
      <c r="E1167" t="s">
        <v>46</v>
      </c>
      <c r="F1167" t="s">
        <v>47</v>
      </c>
      <c r="G1167" t="str">
        <f>"2026-01-05 15:59:45.605"</f>
        <v>2026-01-05 15:59:45.605</v>
      </c>
      <c r="H1167" t="s">
        <v>21</v>
      </c>
    </row>
    <row r="1168" spans="1:10" x14ac:dyDescent="0.25">
      <c r="A1168" s="1">
        <v>190</v>
      </c>
      <c r="B1168" t="s">
        <v>38</v>
      </c>
      <c r="C1168">
        <v>61</v>
      </c>
      <c r="D1168">
        <v>2</v>
      </c>
      <c r="E1168" t="s">
        <v>46</v>
      </c>
      <c r="F1168" t="s">
        <v>47</v>
      </c>
      <c r="G1168" t="str">
        <f>"2026-01-05 15:59:25.705"</f>
        <v>2026-01-05 15:59:25.705</v>
      </c>
      <c r="H1168" t="s">
        <v>21</v>
      </c>
      <c r="I1168">
        <v>29.56</v>
      </c>
      <c r="J1168" t="s">
        <v>28</v>
      </c>
    </row>
    <row r="1169" spans="1:10" x14ac:dyDescent="0.25">
      <c r="A1169" s="1">
        <v>191</v>
      </c>
      <c r="B1169" t="s">
        <v>23</v>
      </c>
      <c r="C1169">
        <v>61</v>
      </c>
      <c r="D1169">
        <v>2</v>
      </c>
      <c r="E1169" t="s">
        <v>46</v>
      </c>
      <c r="F1169" t="s">
        <v>47</v>
      </c>
      <c r="G1169" t="str">
        <f>"2026-01-05 14:52:34.205"</f>
        <v>2026-01-05 14:52:34.205</v>
      </c>
      <c r="H1169" t="s">
        <v>21</v>
      </c>
    </row>
    <row r="1170" spans="1:10" x14ac:dyDescent="0.25">
      <c r="A1170" s="1">
        <v>192</v>
      </c>
      <c r="B1170" t="s">
        <v>38</v>
      </c>
      <c r="C1170">
        <v>61</v>
      </c>
      <c r="D1170">
        <v>2</v>
      </c>
      <c r="E1170" t="s">
        <v>46</v>
      </c>
      <c r="F1170" t="s">
        <v>47</v>
      </c>
      <c r="G1170" t="str">
        <f>"2026-01-05 14:52:13.806"</f>
        <v>2026-01-05 14:52:13.806</v>
      </c>
      <c r="H1170" t="s">
        <v>21</v>
      </c>
      <c r="I1170">
        <v>30.17</v>
      </c>
      <c r="J1170" t="s">
        <v>28</v>
      </c>
    </row>
    <row r="1171" spans="1:10" x14ac:dyDescent="0.25">
      <c r="A1171" s="1">
        <v>193</v>
      </c>
      <c r="B1171" t="s">
        <v>23</v>
      </c>
      <c r="C1171">
        <v>42</v>
      </c>
      <c r="D1171">
        <v>1</v>
      </c>
      <c r="E1171" t="s">
        <v>59</v>
      </c>
      <c r="F1171" t="s">
        <v>60</v>
      </c>
      <c r="G1171" t="str">
        <f>"2026-01-05 01:15:42.343"</f>
        <v>2026-01-05 01:15:42.343</v>
      </c>
      <c r="H1171" t="s">
        <v>61</v>
      </c>
    </row>
    <row r="1172" spans="1:10" x14ac:dyDescent="0.25">
      <c r="A1172" s="1">
        <v>194</v>
      </c>
      <c r="B1172" t="s">
        <v>26</v>
      </c>
      <c r="C1172">
        <v>42</v>
      </c>
      <c r="D1172">
        <v>1</v>
      </c>
      <c r="E1172" t="s">
        <v>59</v>
      </c>
      <c r="F1172" t="s">
        <v>60</v>
      </c>
      <c r="G1172" t="str">
        <f>"2026-01-05 01:15:25.024"</f>
        <v>2026-01-05 01:15:25.024</v>
      </c>
      <c r="H1172" t="s">
        <v>61</v>
      </c>
      <c r="I1172">
        <v>0</v>
      </c>
      <c r="J1172" t="s">
        <v>34</v>
      </c>
    </row>
    <row r="1173" spans="1:10" x14ac:dyDescent="0.25">
      <c r="A1173" s="1">
        <v>195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"2026-01-04 21:15:49.286"</f>
        <v>2026-01-04 21:15:49.286</v>
      </c>
      <c r="H1173" t="s">
        <v>21</v>
      </c>
      <c r="I1173">
        <v>0</v>
      </c>
      <c r="J1173" t="s">
        <v>22</v>
      </c>
    </row>
    <row r="1174" spans="1:10" x14ac:dyDescent="0.25">
      <c r="A1174" s="1">
        <v>196</v>
      </c>
      <c r="B1174" t="s">
        <v>23</v>
      </c>
      <c r="C1174">
        <v>635</v>
      </c>
      <c r="D1174">
        <v>1</v>
      </c>
      <c r="E1174" t="s">
        <v>24</v>
      </c>
      <c r="F1174" t="s">
        <v>25</v>
      </c>
      <c r="G1174" t="str">
        <f>"2026-01-04 00:15:36.111"</f>
        <v>2026-01-04 00:15:36.111</v>
      </c>
      <c r="H1174" t="s">
        <v>21</v>
      </c>
    </row>
    <row r="1175" spans="1:10" x14ac:dyDescent="0.25">
      <c r="A1175" s="1">
        <v>197</v>
      </c>
      <c r="B1175" t="s">
        <v>26</v>
      </c>
      <c r="C1175">
        <v>635</v>
      </c>
      <c r="D1175">
        <v>1</v>
      </c>
      <c r="E1175" t="s">
        <v>24</v>
      </c>
      <c r="F1175" t="s">
        <v>25</v>
      </c>
      <c r="G1175" t="str">
        <f>"2026-01-04 00:13:16.611"</f>
        <v>2026-01-04 00:13:16.611</v>
      </c>
      <c r="H1175" t="s">
        <v>21</v>
      </c>
      <c r="I1175">
        <v>7.57</v>
      </c>
      <c r="J1175" t="s">
        <v>28</v>
      </c>
    </row>
    <row r="1176" spans="1:10" x14ac:dyDescent="0.25">
      <c r="A1176" s="1">
        <v>198</v>
      </c>
      <c r="B1176" t="s">
        <v>23</v>
      </c>
      <c r="C1176">
        <v>635</v>
      </c>
      <c r="D1176">
        <v>1</v>
      </c>
      <c r="E1176" t="s">
        <v>24</v>
      </c>
      <c r="F1176" t="s">
        <v>25</v>
      </c>
      <c r="G1176" t="str">
        <f>"2026-01-03 15:12:00.211"</f>
        <v>2026-01-03 15:12:00.211</v>
      </c>
      <c r="H1176" t="s">
        <v>21</v>
      </c>
    </row>
    <row r="1177" spans="1:10" x14ac:dyDescent="0.25">
      <c r="A1177" s="1">
        <v>199</v>
      </c>
      <c r="B1177" t="s">
        <v>26</v>
      </c>
      <c r="C1177">
        <v>635</v>
      </c>
      <c r="D1177">
        <v>1</v>
      </c>
      <c r="E1177" t="s">
        <v>24</v>
      </c>
      <c r="F1177" t="s">
        <v>25</v>
      </c>
      <c r="G1177" t="str">
        <f>"2026-01-03 15:08:45.711"</f>
        <v>2026-01-03 15:08:45.711</v>
      </c>
      <c r="H1177" t="s">
        <v>21</v>
      </c>
      <c r="I1177">
        <v>-0.26</v>
      </c>
      <c r="J1177" t="s">
        <v>29</v>
      </c>
    </row>
    <row r="1178" spans="1:10" x14ac:dyDescent="0.25">
      <c r="A1178" s="1">
        <v>200</v>
      </c>
      <c r="B1178" t="s">
        <v>19</v>
      </c>
      <c r="C1178">
        <v>700</v>
      </c>
      <c r="D1178">
        <v>0</v>
      </c>
      <c r="E1178" t="s">
        <v>20</v>
      </c>
      <c r="F1178" t="s">
        <v>20</v>
      </c>
      <c r="G1178" t="str">
        <f>"2026-01-03 09:10:08.281"</f>
        <v>2026-01-03 09:10:08.281</v>
      </c>
      <c r="H1178" t="s">
        <v>21</v>
      </c>
      <c r="I1178">
        <v>0</v>
      </c>
      <c r="J1178" t="s">
        <v>22</v>
      </c>
    </row>
    <row r="1179" spans="1:10" x14ac:dyDescent="0.25">
      <c r="A1179" s="1">
        <v>201</v>
      </c>
      <c r="B1179" t="s">
        <v>23</v>
      </c>
      <c r="C1179">
        <v>61</v>
      </c>
      <c r="D1179">
        <v>2</v>
      </c>
      <c r="E1179" t="s">
        <v>46</v>
      </c>
      <c r="F1179" t="s">
        <v>47</v>
      </c>
      <c r="G1179" t="str">
        <f>"2026-01-02 08:39:25.553"</f>
        <v>2026-01-02 08:39:25.553</v>
      </c>
      <c r="H1179" t="s">
        <v>21</v>
      </c>
    </row>
    <row r="1180" spans="1:10" x14ac:dyDescent="0.25">
      <c r="A1180" s="1">
        <v>202</v>
      </c>
      <c r="B1180" t="s">
        <v>38</v>
      </c>
      <c r="C1180">
        <v>61</v>
      </c>
      <c r="D1180">
        <v>2</v>
      </c>
      <c r="E1180" t="s">
        <v>46</v>
      </c>
      <c r="F1180" t="s">
        <v>47</v>
      </c>
      <c r="G1180" t="str">
        <f>"2026-01-02 08:39:13.054"</f>
        <v>2026-01-02 08:39:13.054</v>
      </c>
      <c r="H1180" t="s">
        <v>21</v>
      </c>
      <c r="I1180">
        <v>30.58</v>
      </c>
      <c r="J1180" t="s">
        <v>28</v>
      </c>
    </row>
    <row r="1181" spans="1:10" x14ac:dyDescent="0.25">
      <c r="A1181" s="1">
        <v>203</v>
      </c>
      <c r="B1181" t="s">
        <v>23</v>
      </c>
      <c r="C1181">
        <v>61</v>
      </c>
      <c r="D1181">
        <v>2</v>
      </c>
      <c r="E1181" t="s">
        <v>46</v>
      </c>
      <c r="F1181" t="s">
        <v>47</v>
      </c>
      <c r="G1181" t="str">
        <f>"2026-01-01 12:26:03.553"</f>
        <v>2026-01-01 12:26:03.553</v>
      </c>
      <c r="H1181" t="s">
        <v>21</v>
      </c>
    </row>
    <row r="1182" spans="1:10" x14ac:dyDescent="0.25">
      <c r="A1182" s="1">
        <v>204</v>
      </c>
      <c r="B1182" t="s">
        <v>38</v>
      </c>
      <c r="C1182">
        <v>61</v>
      </c>
      <c r="D1182">
        <v>2</v>
      </c>
      <c r="E1182" t="s">
        <v>46</v>
      </c>
      <c r="F1182" t="s">
        <v>47</v>
      </c>
      <c r="G1182" t="str">
        <f>"2026-01-01 12:25:48.654"</f>
        <v>2026-01-01 12:25:48.654</v>
      </c>
      <c r="H1182" t="s">
        <v>21</v>
      </c>
      <c r="I1182">
        <v>30.17</v>
      </c>
      <c r="J1182" t="s">
        <v>28</v>
      </c>
    </row>
    <row r="1183" spans="1:10" x14ac:dyDescent="0.25">
      <c r="A1183" s="1">
        <v>205</v>
      </c>
      <c r="B1183" t="s">
        <v>23</v>
      </c>
      <c r="C1183">
        <v>635</v>
      </c>
      <c r="D1183">
        <v>1</v>
      </c>
      <c r="E1183" t="s">
        <v>24</v>
      </c>
      <c r="F1183" t="s">
        <v>25</v>
      </c>
      <c r="G1183" t="str">
        <f>"2026-01-01 07:14:36.241"</f>
        <v>2026-01-01 07:14:36.241</v>
      </c>
      <c r="H1183" t="s">
        <v>21</v>
      </c>
    </row>
    <row r="1184" spans="1:10" x14ac:dyDescent="0.25">
      <c r="A1184" s="1">
        <v>206</v>
      </c>
      <c r="B1184" t="s">
        <v>26</v>
      </c>
      <c r="C1184">
        <v>635</v>
      </c>
      <c r="D1184">
        <v>1</v>
      </c>
      <c r="E1184" t="s">
        <v>24</v>
      </c>
      <c r="F1184" t="s">
        <v>25</v>
      </c>
      <c r="G1184" t="str">
        <f>"2026-01-01 07:09:28.242"</f>
        <v>2026-01-01 07:09:28.242</v>
      </c>
      <c r="H1184" t="s">
        <v>21</v>
      </c>
      <c r="I1184">
        <v>0.14000000000000001</v>
      </c>
      <c r="J1184" t="s">
        <v>27</v>
      </c>
    </row>
    <row r="1185" spans="1:10" x14ac:dyDescent="0.25">
      <c r="A1185" s="1">
        <v>207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"2026-01-01 05:05:08.404"</f>
        <v>2026-01-01 05:05:08.404</v>
      </c>
      <c r="H1185" t="s">
        <v>21</v>
      </c>
    </row>
    <row r="1186" spans="1:10" x14ac:dyDescent="0.25">
      <c r="A1186" s="1">
        <v>208</v>
      </c>
      <c r="B1186" t="s">
        <v>19</v>
      </c>
      <c r="C1186">
        <v>706</v>
      </c>
      <c r="D1186">
        <v>2</v>
      </c>
      <c r="E1186" t="s">
        <v>32</v>
      </c>
      <c r="F1186" t="s">
        <v>33</v>
      </c>
      <c r="G1186" t="str">
        <f>"2026-01-01 04:26:09.795"</f>
        <v>2026-01-01 04:26:09.795</v>
      </c>
      <c r="H1186" t="s">
        <v>21</v>
      </c>
      <c r="I1186">
        <v>0</v>
      </c>
      <c r="J1186" t="s">
        <v>34</v>
      </c>
    </row>
    <row r="1187" spans="1:10" x14ac:dyDescent="0.25">
      <c r="A1187" s="1">
        <v>209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"2025-12-31 21:08:37.265"</f>
        <v>2025-12-31 21:08:37.265</v>
      </c>
      <c r="H1187" t="s">
        <v>21</v>
      </c>
    </row>
    <row r="1188" spans="1:10" x14ac:dyDescent="0.25">
      <c r="A1188" s="1">
        <v>210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"2025-12-31 18:05:54.337"</f>
        <v>2025-12-31 18:05:54.337</v>
      </c>
      <c r="H1188" t="s">
        <v>21</v>
      </c>
    </row>
    <row r="1189" spans="1:10" x14ac:dyDescent="0.25">
      <c r="A1189" s="1">
        <v>211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"2025-12-31 18:01:46.293"</f>
        <v>2025-12-31 18:01:46.293</v>
      </c>
      <c r="H1189" t="s">
        <v>21</v>
      </c>
    </row>
    <row r="1190" spans="1:10" x14ac:dyDescent="0.25">
      <c r="A1190" s="1">
        <v>212</v>
      </c>
      <c r="B1190" t="s">
        <v>23</v>
      </c>
      <c r="C1190">
        <v>61</v>
      </c>
      <c r="D1190">
        <v>2</v>
      </c>
      <c r="E1190" t="s">
        <v>46</v>
      </c>
      <c r="F1190" t="s">
        <v>47</v>
      </c>
      <c r="G1190" t="str">
        <f>"2025-12-31 11:31:00.244"</f>
        <v>2025-12-31 11:31:00.244</v>
      </c>
      <c r="H1190" t="s">
        <v>21</v>
      </c>
    </row>
    <row r="1191" spans="1:10" x14ac:dyDescent="0.25">
      <c r="A1191" s="1">
        <v>213</v>
      </c>
      <c r="B1191" t="s">
        <v>38</v>
      </c>
      <c r="C1191">
        <v>61</v>
      </c>
      <c r="D1191">
        <v>2</v>
      </c>
      <c r="E1191" t="s">
        <v>46</v>
      </c>
      <c r="F1191" t="s">
        <v>47</v>
      </c>
      <c r="G1191" t="str">
        <f>"2025-12-31 11:30:42.145"</f>
        <v>2025-12-31 11:30:42.145</v>
      </c>
      <c r="H1191" t="s">
        <v>21</v>
      </c>
      <c r="I1191">
        <v>30.27</v>
      </c>
      <c r="J1191" t="s">
        <v>28</v>
      </c>
    </row>
    <row r="1192" spans="1:10" x14ac:dyDescent="0.25">
      <c r="A1192" s="1">
        <v>214</v>
      </c>
      <c r="B1192" t="s">
        <v>23</v>
      </c>
      <c r="C1192">
        <v>61</v>
      </c>
      <c r="D1192">
        <v>2</v>
      </c>
      <c r="E1192" t="s">
        <v>46</v>
      </c>
      <c r="F1192" t="s">
        <v>47</v>
      </c>
      <c r="G1192" t="str">
        <f>"2025-12-31 10:56:00.945"</f>
        <v>2025-12-31 10:56:00.945</v>
      </c>
      <c r="H1192" t="s">
        <v>21</v>
      </c>
    </row>
    <row r="1193" spans="1:10" x14ac:dyDescent="0.25">
      <c r="A1193" s="1">
        <v>215</v>
      </c>
      <c r="B1193" t="s">
        <v>38</v>
      </c>
      <c r="C1193">
        <v>61</v>
      </c>
      <c r="D1193">
        <v>2</v>
      </c>
      <c r="E1193" t="s">
        <v>46</v>
      </c>
      <c r="F1193" t="s">
        <v>47</v>
      </c>
      <c r="G1193" t="str">
        <f>"2025-12-31 10:55:43.845"</f>
        <v>2025-12-31 10:55:43.845</v>
      </c>
      <c r="H1193" t="s">
        <v>21</v>
      </c>
      <c r="I1193">
        <v>30.36</v>
      </c>
      <c r="J1193" t="s">
        <v>28</v>
      </c>
    </row>
    <row r="1194" spans="1:10" x14ac:dyDescent="0.25">
      <c r="A1194" s="1">
        <v>216</v>
      </c>
      <c r="B1194" t="s">
        <v>23</v>
      </c>
      <c r="C1194">
        <v>635</v>
      </c>
      <c r="D1194">
        <v>1</v>
      </c>
      <c r="E1194" t="s">
        <v>24</v>
      </c>
      <c r="F1194" t="s">
        <v>25</v>
      </c>
      <c r="G1194" t="str">
        <f>"2025-12-30 21:58:49.532"</f>
        <v>2025-12-30 21:58:49.532</v>
      </c>
      <c r="H1194" t="s">
        <v>21</v>
      </c>
    </row>
    <row r="1195" spans="1:10" x14ac:dyDescent="0.25">
      <c r="A1195" s="1">
        <v>217</v>
      </c>
      <c r="B1195" t="s">
        <v>26</v>
      </c>
      <c r="C1195">
        <v>635</v>
      </c>
      <c r="D1195">
        <v>1</v>
      </c>
      <c r="E1195" t="s">
        <v>24</v>
      </c>
      <c r="F1195" t="s">
        <v>25</v>
      </c>
      <c r="G1195" t="str">
        <f>"2025-12-30 21:56:00.532"</f>
        <v>2025-12-30 21:56:00.532</v>
      </c>
      <c r="H1195" t="s">
        <v>21</v>
      </c>
      <c r="I1195">
        <v>8.41</v>
      </c>
      <c r="J1195" t="s">
        <v>29</v>
      </c>
    </row>
    <row r="1196" spans="1:10" x14ac:dyDescent="0.25">
      <c r="A1196" s="1">
        <v>218</v>
      </c>
      <c r="B1196" t="s">
        <v>23</v>
      </c>
      <c r="C1196">
        <v>635</v>
      </c>
      <c r="D1196">
        <v>1</v>
      </c>
      <c r="E1196" t="s">
        <v>24</v>
      </c>
      <c r="F1196" t="s">
        <v>25</v>
      </c>
      <c r="G1196" t="str">
        <f>"2025-12-30 21:44:57.632"</f>
        <v>2025-12-30 21:44:57.632</v>
      </c>
      <c r="H1196" t="s">
        <v>21</v>
      </c>
    </row>
    <row r="1197" spans="1:10" x14ac:dyDescent="0.25">
      <c r="A1197" s="1">
        <v>219</v>
      </c>
      <c r="B1197" t="s">
        <v>26</v>
      </c>
      <c r="C1197">
        <v>635</v>
      </c>
      <c r="D1197">
        <v>1</v>
      </c>
      <c r="E1197" t="s">
        <v>24</v>
      </c>
      <c r="F1197" t="s">
        <v>25</v>
      </c>
      <c r="G1197" t="str">
        <f>"2025-12-30 21:40:27.632"</f>
        <v>2025-12-30 21:40:27.632</v>
      </c>
      <c r="H1197" t="s">
        <v>21</v>
      </c>
      <c r="I1197">
        <v>6.74</v>
      </c>
      <c r="J1197" t="s">
        <v>29</v>
      </c>
    </row>
    <row r="1198" spans="1:10" x14ac:dyDescent="0.25">
      <c r="A1198" s="1">
        <v>220</v>
      </c>
      <c r="B1198" t="s">
        <v>23</v>
      </c>
      <c r="C1198">
        <v>635</v>
      </c>
      <c r="D1198">
        <v>1</v>
      </c>
      <c r="E1198" t="s">
        <v>24</v>
      </c>
      <c r="F1198" t="s">
        <v>25</v>
      </c>
      <c r="G1198" t="str">
        <f>"2025-12-30 18:55:46.932"</f>
        <v>2025-12-30 18:55:46.932</v>
      </c>
      <c r="H1198" t="s">
        <v>21</v>
      </c>
    </row>
    <row r="1199" spans="1:10" x14ac:dyDescent="0.25">
      <c r="A1199" s="1">
        <v>221</v>
      </c>
      <c r="B1199" t="s">
        <v>26</v>
      </c>
      <c r="C1199">
        <v>635</v>
      </c>
      <c r="D1199">
        <v>1</v>
      </c>
      <c r="E1199" t="s">
        <v>24</v>
      </c>
      <c r="F1199" t="s">
        <v>25</v>
      </c>
      <c r="G1199" t="str">
        <f>"2025-12-30 18:50:29.432"</f>
        <v>2025-12-30 18:50:29.432</v>
      </c>
      <c r="H1199" t="s">
        <v>21</v>
      </c>
      <c r="I1199">
        <v>9.06</v>
      </c>
      <c r="J1199" t="s">
        <v>29</v>
      </c>
    </row>
    <row r="1200" spans="1:10" x14ac:dyDescent="0.25">
      <c r="A1200" s="1">
        <v>222</v>
      </c>
      <c r="B1200" t="s">
        <v>23</v>
      </c>
      <c r="C1200">
        <v>635</v>
      </c>
      <c r="D1200">
        <v>1</v>
      </c>
      <c r="E1200" t="s">
        <v>24</v>
      </c>
      <c r="F1200" t="s">
        <v>25</v>
      </c>
      <c r="G1200" t="str">
        <f>"2025-12-29 17:38:16.032"</f>
        <v>2025-12-29 17:38:16.032</v>
      </c>
      <c r="H1200" t="s">
        <v>21</v>
      </c>
    </row>
    <row r="1201" spans="1:10" x14ac:dyDescent="0.25">
      <c r="A1201" s="1">
        <v>223</v>
      </c>
      <c r="B1201" t="s">
        <v>26</v>
      </c>
      <c r="C1201">
        <v>635</v>
      </c>
      <c r="D1201">
        <v>1</v>
      </c>
      <c r="E1201" t="s">
        <v>24</v>
      </c>
      <c r="F1201" t="s">
        <v>25</v>
      </c>
      <c r="G1201" t="str">
        <f>"2025-12-29 17:33:40.532"</f>
        <v>2025-12-29 17:33:40.532</v>
      </c>
      <c r="H1201" t="s">
        <v>21</v>
      </c>
      <c r="I1201">
        <v>0.11</v>
      </c>
      <c r="J1201" t="s">
        <v>27</v>
      </c>
    </row>
    <row r="1202" spans="1:10" x14ac:dyDescent="0.25">
      <c r="A1202" s="1">
        <v>224</v>
      </c>
      <c r="B1202" t="s">
        <v>23</v>
      </c>
      <c r="C1202">
        <v>635</v>
      </c>
      <c r="D1202">
        <v>1</v>
      </c>
      <c r="E1202" t="s">
        <v>24</v>
      </c>
      <c r="F1202" t="s">
        <v>25</v>
      </c>
      <c r="G1202" t="str">
        <f>"2025-12-29 17:26:59.032"</f>
        <v>2025-12-29 17:26:59.032</v>
      </c>
      <c r="H1202" t="s">
        <v>21</v>
      </c>
    </row>
    <row r="1203" spans="1:10" x14ac:dyDescent="0.25">
      <c r="A1203" s="1">
        <v>225</v>
      </c>
      <c r="B1203" t="s">
        <v>26</v>
      </c>
      <c r="C1203">
        <v>635</v>
      </c>
      <c r="D1203">
        <v>1</v>
      </c>
      <c r="E1203" t="s">
        <v>24</v>
      </c>
      <c r="F1203" t="s">
        <v>25</v>
      </c>
      <c r="G1203" t="str">
        <f>"2025-12-29 17:21:04.532"</f>
        <v>2025-12-29 17:21:04.532</v>
      </c>
      <c r="H1203" t="s">
        <v>21</v>
      </c>
      <c r="I1203">
        <v>0.46</v>
      </c>
      <c r="J1203" t="s">
        <v>29</v>
      </c>
    </row>
    <row r="1204" spans="1:10" x14ac:dyDescent="0.25">
      <c r="A1204" s="1">
        <v>226</v>
      </c>
      <c r="B1204" t="s">
        <v>19</v>
      </c>
      <c r="C1204">
        <v>700</v>
      </c>
      <c r="D1204">
        <v>0</v>
      </c>
      <c r="E1204" t="s">
        <v>20</v>
      </c>
      <c r="F1204" t="s">
        <v>20</v>
      </c>
      <c r="G1204" t="str">
        <f>"2025-12-29 13:49:56.285"</f>
        <v>2025-12-29 13:49:56.285</v>
      </c>
      <c r="H1204" t="s">
        <v>21</v>
      </c>
      <c r="I1204">
        <v>0</v>
      </c>
      <c r="J1204" t="s">
        <v>22</v>
      </c>
    </row>
    <row r="1205" spans="1:10" x14ac:dyDescent="0.25">
      <c r="A1205" s="1">
        <v>227</v>
      </c>
      <c r="B1205" t="s">
        <v>23</v>
      </c>
      <c r="C1205">
        <v>635</v>
      </c>
      <c r="D1205">
        <v>1</v>
      </c>
      <c r="E1205" t="s">
        <v>24</v>
      </c>
      <c r="F1205" t="s">
        <v>25</v>
      </c>
      <c r="G1205" t="str">
        <f>"2025-12-29 12:05:20.105"</f>
        <v>2025-12-29 12:05:20.105</v>
      </c>
      <c r="H1205" t="s">
        <v>21</v>
      </c>
    </row>
    <row r="1206" spans="1:10" x14ac:dyDescent="0.25">
      <c r="A1206" s="1">
        <v>228</v>
      </c>
      <c r="B1206" t="s">
        <v>26</v>
      </c>
      <c r="C1206">
        <v>635</v>
      </c>
      <c r="D1206">
        <v>1</v>
      </c>
      <c r="E1206" t="s">
        <v>24</v>
      </c>
      <c r="F1206" t="s">
        <v>25</v>
      </c>
      <c r="G1206" t="str">
        <f>"2025-12-29 12:00:55.105"</f>
        <v>2025-12-29 12:00:55.105</v>
      </c>
      <c r="H1206" t="s">
        <v>21</v>
      </c>
      <c r="I1206">
        <v>2.11</v>
      </c>
      <c r="J1206" t="s">
        <v>29</v>
      </c>
    </row>
    <row r="1207" spans="1:10" x14ac:dyDescent="0.25">
      <c r="A1207" s="1">
        <v>229</v>
      </c>
      <c r="B1207" t="s">
        <v>23</v>
      </c>
      <c r="C1207">
        <v>635</v>
      </c>
      <c r="D1207">
        <v>1</v>
      </c>
      <c r="E1207" t="s">
        <v>24</v>
      </c>
      <c r="F1207" t="s">
        <v>25</v>
      </c>
      <c r="G1207" t="str">
        <f>"2025-12-28 22:36:59.705"</f>
        <v>2025-12-28 22:36:59.705</v>
      </c>
      <c r="H1207" t="s">
        <v>21</v>
      </c>
    </row>
    <row r="1208" spans="1:10" x14ac:dyDescent="0.25">
      <c r="A1208" s="1">
        <v>230</v>
      </c>
      <c r="B1208" t="s">
        <v>26</v>
      </c>
      <c r="C1208">
        <v>635</v>
      </c>
      <c r="D1208">
        <v>1</v>
      </c>
      <c r="E1208" t="s">
        <v>24</v>
      </c>
      <c r="F1208" t="s">
        <v>25</v>
      </c>
      <c r="G1208" t="str">
        <f>"2025-12-28 22:23:17.805"</f>
        <v>2025-12-28 22:23:17.805</v>
      </c>
      <c r="H1208" t="s">
        <v>21</v>
      </c>
      <c r="I1208">
        <v>5.44</v>
      </c>
      <c r="J1208" t="s">
        <v>29</v>
      </c>
    </row>
    <row r="1209" spans="1:10" x14ac:dyDescent="0.25">
      <c r="A1209" s="1">
        <v>231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"2025-12-28 20:50:26.258"</f>
        <v>2025-12-28 20:50:26.258</v>
      </c>
      <c r="H1209" t="s">
        <v>21</v>
      </c>
      <c r="I1209">
        <v>0</v>
      </c>
      <c r="J1209" t="s">
        <v>22</v>
      </c>
    </row>
    <row r="1210" spans="1:10" x14ac:dyDescent="0.25">
      <c r="A1210" s="1">
        <v>232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"2025-12-28 09:07:37.320"</f>
        <v>2025-12-28 09:07:37.320</v>
      </c>
      <c r="H1210" t="s">
        <v>21</v>
      </c>
    </row>
    <row r="1211" spans="1:10" x14ac:dyDescent="0.25">
      <c r="A1211" s="1">
        <v>233</v>
      </c>
      <c r="B1211" t="s">
        <v>23</v>
      </c>
      <c r="C1211">
        <v>61</v>
      </c>
      <c r="D1211">
        <v>2</v>
      </c>
      <c r="E1211" t="s">
        <v>46</v>
      </c>
      <c r="F1211" t="s">
        <v>47</v>
      </c>
      <c r="G1211" t="str">
        <f>"2025-12-27 18:35:44.493"</f>
        <v>2025-12-27 18:35:44.493</v>
      </c>
      <c r="H1211" t="s">
        <v>21</v>
      </c>
    </row>
    <row r="1212" spans="1:10" x14ac:dyDescent="0.25">
      <c r="A1212" s="1">
        <v>234</v>
      </c>
      <c r="B1212" t="s">
        <v>38</v>
      </c>
      <c r="C1212">
        <v>61</v>
      </c>
      <c r="D1212">
        <v>2</v>
      </c>
      <c r="E1212" t="s">
        <v>46</v>
      </c>
      <c r="F1212" t="s">
        <v>47</v>
      </c>
      <c r="G1212" t="str">
        <f>"2025-12-27 18:35:25.593"</f>
        <v>2025-12-27 18:35:25.593</v>
      </c>
      <c r="H1212" t="s">
        <v>21</v>
      </c>
      <c r="I1212">
        <v>30.28</v>
      </c>
      <c r="J1212" t="s">
        <v>28</v>
      </c>
    </row>
    <row r="1213" spans="1:10" x14ac:dyDescent="0.25">
      <c r="A1213" s="1">
        <v>235</v>
      </c>
      <c r="B1213" t="s">
        <v>23</v>
      </c>
      <c r="C1213">
        <v>61</v>
      </c>
      <c r="D1213">
        <v>2</v>
      </c>
      <c r="E1213" t="s">
        <v>46</v>
      </c>
      <c r="F1213" t="s">
        <v>47</v>
      </c>
      <c r="G1213" t="str">
        <f>"2025-12-27 17:39:36.593"</f>
        <v>2025-12-27 17:39:36.593</v>
      </c>
      <c r="H1213" t="s">
        <v>21</v>
      </c>
    </row>
    <row r="1214" spans="1:10" x14ac:dyDescent="0.25">
      <c r="A1214" s="1">
        <v>236</v>
      </c>
      <c r="B1214" t="s">
        <v>38</v>
      </c>
      <c r="C1214">
        <v>61</v>
      </c>
      <c r="D1214">
        <v>2</v>
      </c>
      <c r="E1214" t="s">
        <v>46</v>
      </c>
      <c r="F1214" t="s">
        <v>47</v>
      </c>
      <c r="G1214" t="str">
        <f>"2025-12-27 17:39:19.993"</f>
        <v>2025-12-27 17:39:19.993</v>
      </c>
      <c r="H1214" t="s">
        <v>21</v>
      </c>
      <c r="I1214">
        <v>30.49</v>
      </c>
      <c r="J1214" t="s">
        <v>28</v>
      </c>
    </row>
    <row r="1215" spans="1:10" x14ac:dyDescent="0.25">
      <c r="A1215" s="1">
        <v>237</v>
      </c>
      <c r="B1215" t="s">
        <v>23</v>
      </c>
      <c r="C1215">
        <v>61</v>
      </c>
      <c r="D1215">
        <v>2</v>
      </c>
      <c r="E1215" t="s">
        <v>46</v>
      </c>
      <c r="F1215" t="s">
        <v>47</v>
      </c>
      <c r="G1215" t="str">
        <f>"2025-12-27 13:24:53.093"</f>
        <v>2025-12-27 13:24:53.093</v>
      </c>
      <c r="H1215" t="s">
        <v>21</v>
      </c>
    </row>
    <row r="1216" spans="1:10" x14ac:dyDescent="0.25">
      <c r="A1216" s="1">
        <v>238</v>
      </c>
      <c r="B1216" t="s">
        <v>38</v>
      </c>
      <c r="C1216">
        <v>61</v>
      </c>
      <c r="D1216">
        <v>2</v>
      </c>
      <c r="E1216" t="s">
        <v>46</v>
      </c>
      <c r="F1216" t="s">
        <v>47</v>
      </c>
      <c r="G1216" t="str">
        <f>"2025-12-27 13:24:32.793"</f>
        <v>2025-12-27 13:24:32.793</v>
      </c>
      <c r="H1216" t="s">
        <v>21</v>
      </c>
      <c r="I1216">
        <v>29.68</v>
      </c>
      <c r="J1216" t="s">
        <v>28</v>
      </c>
    </row>
    <row r="1217" spans="1:10" x14ac:dyDescent="0.25">
      <c r="A1217" s="1">
        <v>239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"2025-12-27 10:02:57.222"</f>
        <v>2025-12-27 10:02:57.222</v>
      </c>
      <c r="H1217" t="s">
        <v>21</v>
      </c>
    </row>
    <row r="1218" spans="1:10" x14ac:dyDescent="0.25">
      <c r="A1218" s="1">
        <v>240</v>
      </c>
      <c r="B1218" t="s">
        <v>19</v>
      </c>
      <c r="C1218">
        <v>706</v>
      </c>
      <c r="D1218">
        <v>2</v>
      </c>
      <c r="E1218" t="s">
        <v>32</v>
      </c>
      <c r="F1218" t="s">
        <v>33</v>
      </c>
      <c r="G1218" t="str">
        <f>"2025-12-26 15:20:12.805"</f>
        <v>2025-12-26 15:20:12.805</v>
      </c>
      <c r="H1218" t="s">
        <v>21</v>
      </c>
      <c r="I1218">
        <v>0</v>
      </c>
      <c r="J1218" t="s">
        <v>34</v>
      </c>
    </row>
    <row r="1219" spans="1:10" x14ac:dyDescent="0.25">
      <c r="A1219" s="1">
        <v>241</v>
      </c>
      <c r="B1219" t="s">
        <v>19</v>
      </c>
      <c r="C1219">
        <v>706</v>
      </c>
      <c r="D1219">
        <v>2</v>
      </c>
      <c r="E1219" t="s">
        <v>32</v>
      </c>
      <c r="F1219" t="s">
        <v>33</v>
      </c>
      <c r="G1219" t="str">
        <f>"2025-12-26 15:19:59.005"</f>
        <v>2025-12-26 15:19:59.005</v>
      </c>
      <c r="H1219" t="s">
        <v>21</v>
      </c>
      <c r="I1219">
        <v>0</v>
      </c>
      <c r="J1219" t="s">
        <v>34</v>
      </c>
    </row>
    <row r="1220" spans="1:10" x14ac:dyDescent="0.25">
      <c r="A1220" s="1">
        <v>242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"2025-12-26 14:05:37.225"</f>
        <v>2025-12-26 14:05:37.225</v>
      </c>
      <c r="H1220" t="s">
        <v>21</v>
      </c>
    </row>
    <row r="1221" spans="1:10" x14ac:dyDescent="0.25">
      <c r="A1221" s="1">
        <v>243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"2025-12-26 13:49:20.469"</f>
        <v>2025-12-26 13:49:20.469</v>
      </c>
      <c r="H1221" t="s">
        <v>21</v>
      </c>
      <c r="I1221">
        <v>0</v>
      </c>
      <c r="J1221" t="s">
        <v>22</v>
      </c>
    </row>
    <row r="1222" spans="1:10" x14ac:dyDescent="0.25">
      <c r="A1222" s="1">
        <v>244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"2025-12-26 01:08:45.247"</f>
        <v>2025-12-26 01:08:45.247</v>
      </c>
      <c r="H1222" t="s">
        <v>21</v>
      </c>
    </row>
    <row r="1223" spans="1:10" x14ac:dyDescent="0.25">
      <c r="A1223" s="1">
        <v>245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"2025-12-25 10:02:06.259"</f>
        <v>2025-12-25 10:02:06.259</v>
      </c>
      <c r="H1223" t="s">
        <v>21</v>
      </c>
      <c r="I1223">
        <v>0</v>
      </c>
      <c r="J1223" t="s">
        <v>22</v>
      </c>
    </row>
    <row r="1224" spans="1:10" x14ac:dyDescent="0.25">
      <c r="A1224" s="1">
        <v>246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"2025-12-24 21:17:20.256"</f>
        <v>2025-12-24 21:17:20.256</v>
      </c>
      <c r="H1224" t="s">
        <v>21</v>
      </c>
    </row>
    <row r="1225" spans="1:10" x14ac:dyDescent="0.25">
      <c r="A1225" s="1">
        <v>247</v>
      </c>
      <c r="B1225" t="s">
        <v>23</v>
      </c>
      <c r="C1225">
        <v>635</v>
      </c>
      <c r="D1225">
        <v>1</v>
      </c>
      <c r="E1225" t="s">
        <v>24</v>
      </c>
      <c r="F1225" t="s">
        <v>25</v>
      </c>
      <c r="G1225" t="str">
        <f>"2025-12-24 09:08:44.690"</f>
        <v>2025-12-24 09:08:44.690</v>
      </c>
      <c r="H1225" t="s">
        <v>21</v>
      </c>
    </row>
    <row r="1226" spans="1:10" x14ac:dyDescent="0.25">
      <c r="A1226" s="1">
        <v>248</v>
      </c>
      <c r="B1226" t="s">
        <v>26</v>
      </c>
      <c r="C1226">
        <v>635</v>
      </c>
      <c r="D1226">
        <v>1</v>
      </c>
      <c r="E1226" t="s">
        <v>24</v>
      </c>
      <c r="F1226" t="s">
        <v>25</v>
      </c>
      <c r="G1226" t="str">
        <f>"2025-12-24 08:54:30.690"</f>
        <v>2025-12-24 08:54:30.690</v>
      </c>
      <c r="H1226" t="s">
        <v>21</v>
      </c>
      <c r="I1226">
        <v>2.48</v>
      </c>
      <c r="J1226" t="s">
        <v>29</v>
      </c>
    </row>
    <row r="1227" spans="1:10" x14ac:dyDescent="0.25">
      <c r="A1227" s="1">
        <v>249</v>
      </c>
      <c r="B1227" t="s">
        <v>23</v>
      </c>
      <c r="C1227">
        <v>635</v>
      </c>
      <c r="D1227">
        <v>1</v>
      </c>
      <c r="E1227" t="s">
        <v>24</v>
      </c>
      <c r="F1227" t="s">
        <v>25</v>
      </c>
      <c r="G1227" t="str">
        <f>"2025-12-23 04:05:44.790"</f>
        <v>2025-12-23 04:05:44.790</v>
      </c>
      <c r="H1227" t="s">
        <v>21</v>
      </c>
    </row>
    <row r="1228" spans="1:10" x14ac:dyDescent="0.25">
      <c r="A1228" s="1">
        <v>250</v>
      </c>
      <c r="B1228" t="s">
        <v>26</v>
      </c>
      <c r="C1228">
        <v>635</v>
      </c>
      <c r="D1228">
        <v>1</v>
      </c>
      <c r="E1228" t="s">
        <v>24</v>
      </c>
      <c r="F1228" t="s">
        <v>25</v>
      </c>
      <c r="G1228" t="str">
        <f>"2025-12-23 04:01:45.790"</f>
        <v>2025-12-23 04:01:45.790</v>
      </c>
      <c r="H1228" t="s">
        <v>21</v>
      </c>
      <c r="I1228">
        <v>0.03</v>
      </c>
      <c r="J1228" t="s">
        <v>29</v>
      </c>
    </row>
    <row r="1229" spans="1:10" x14ac:dyDescent="0.25">
      <c r="A1229" s="1">
        <v>251</v>
      </c>
      <c r="B1229" t="s">
        <v>19</v>
      </c>
      <c r="C1229">
        <v>706</v>
      </c>
      <c r="D1229">
        <v>2</v>
      </c>
      <c r="E1229" t="s">
        <v>32</v>
      </c>
      <c r="F1229" t="s">
        <v>33</v>
      </c>
      <c r="G1229" t="str">
        <f>"2025-12-22 23:02:21.879"</f>
        <v>2025-12-22 23:02:21.879</v>
      </c>
      <c r="H1229" t="s">
        <v>21</v>
      </c>
      <c r="I1229">
        <v>0</v>
      </c>
      <c r="J1229" t="s">
        <v>34</v>
      </c>
    </row>
    <row r="1230" spans="1:10" x14ac:dyDescent="0.25">
      <c r="A1230" s="1">
        <v>252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"2025-12-22 23:02:07.219"</f>
        <v>2025-12-22 23:02:07.219</v>
      </c>
      <c r="H1230" t="s">
        <v>21</v>
      </c>
    </row>
    <row r="1231" spans="1:10" x14ac:dyDescent="0.25">
      <c r="A1231" s="1">
        <v>253</v>
      </c>
      <c r="B1231" t="s">
        <v>23</v>
      </c>
      <c r="C1231">
        <v>61</v>
      </c>
      <c r="D1231">
        <v>2</v>
      </c>
      <c r="E1231" t="s">
        <v>46</v>
      </c>
      <c r="F1231" t="s">
        <v>47</v>
      </c>
      <c r="G1231" t="str">
        <f>"2025-12-21 16:31:28.049"</f>
        <v>2025-12-21 16:31:28.049</v>
      </c>
      <c r="H1231" t="s">
        <v>21</v>
      </c>
    </row>
    <row r="1232" spans="1:10" x14ac:dyDescent="0.25">
      <c r="A1232" s="1">
        <v>254</v>
      </c>
      <c r="B1232" t="s">
        <v>38</v>
      </c>
      <c r="C1232">
        <v>61</v>
      </c>
      <c r="D1232">
        <v>2</v>
      </c>
      <c r="E1232" t="s">
        <v>46</v>
      </c>
      <c r="F1232" t="s">
        <v>47</v>
      </c>
      <c r="G1232" t="str">
        <f>"2025-12-21 16:31:11.449"</f>
        <v>2025-12-21 16:31:11.449</v>
      </c>
      <c r="H1232" t="s">
        <v>21</v>
      </c>
      <c r="I1232">
        <v>30.3</v>
      </c>
      <c r="J1232" t="s">
        <v>28</v>
      </c>
    </row>
    <row r="1233" spans="1:10" x14ac:dyDescent="0.25">
      <c r="A1233" s="1">
        <v>255</v>
      </c>
      <c r="B1233" t="s">
        <v>23</v>
      </c>
      <c r="C1233">
        <v>635</v>
      </c>
      <c r="D1233">
        <v>1</v>
      </c>
      <c r="E1233" t="s">
        <v>24</v>
      </c>
      <c r="F1233" t="s">
        <v>25</v>
      </c>
      <c r="G1233" t="str">
        <f>"2025-12-21 10:30:01.536"</f>
        <v>2025-12-21 10:30:01.536</v>
      </c>
      <c r="H1233" t="s">
        <v>21</v>
      </c>
    </row>
    <row r="1234" spans="1:10" x14ac:dyDescent="0.25">
      <c r="A1234" s="1">
        <v>256</v>
      </c>
      <c r="B1234" t="s">
        <v>26</v>
      </c>
      <c r="C1234">
        <v>635</v>
      </c>
      <c r="D1234">
        <v>1</v>
      </c>
      <c r="E1234" t="s">
        <v>24</v>
      </c>
      <c r="F1234" t="s">
        <v>25</v>
      </c>
      <c r="G1234" t="str">
        <f>"2025-12-21 10:27:00.536"</f>
        <v>2025-12-21 10:27:00.536</v>
      </c>
      <c r="H1234" t="s">
        <v>21</v>
      </c>
      <c r="I1234">
        <v>4.07</v>
      </c>
      <c r="J1234" t="s">
        <v>27</v>
      </c>
    </row>
    <row r="1235" spans="1:10" x14ac:dyDescent="0.25">
      <c r="A1235" s="1">
        <v>257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"2025-12-20 14:32:30.234"</f>
        <v>2025-12-20 14:32:30.234</v>
      </c>
      <c r="H1235" t="s">
        <v>21</v>
      </c>
    </row>
    <row r="1236" spans="1:10" x14ac:dyDescent="0.25">
      <c r="A1236" s="1">
        <v>258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"2025-12-19 16:21:01.211"</f>
        <v>2025-12-19 16:21:01.211</v>
      </c>
      <c r="H1236" t="s">
        <v>21</v>
      </c>
    </row>
    <row r="1237" spans="1:10" x14ac:dyDescent="0.25">
      <c r="A1237" s="1">
        <v>259</v>
      </c>
      <c r="B1237" t="s">
        <v>19</v>
      </c>
      <c r="C1237">
        <v>706</v>
      </c>
      <c r="D1237">
        <v>2</v>
      </c>
      <c r="E1237" t="s">
        <v>32</v>
      </c>
      <c r="F1237" t="s">
        <v>33</v>
      </c>
      <c r="G1237" t="str">
        <f>"2025-12-19 16:19:24.172"</f>
        <v>2025-12-19 16:19:24.172</v>
      </c>
      <c r="H1237" t="s">
        <v>21</v>
      </c>
      <c r="I1237">
        <v>0</v>
      </c>
      <c r="J1237" t="s">
        <v>34</v>
      </c>
    </row>
    <row r="1238" spans="1:10" x14ac:dyDescent="0.25">
      <c r="A1238" s="1">
        <v>260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"2025-12-19 13:45:52.202"</f>
        <v>2025-12-19 13:45:52.202</v>
      </c>
      <c r="H1238" t="s">
        <v>21</v>
      </c>
      <c r="I1238">
        <v>0</v>
      </c>
      <c r="J1238" t="s">
        <v>22</v>
      </c>
    </row>
    <row r="1239" spans="1:10" x14ac:dyDescent="0.25">
      <c r="A1239" s="1">
        <v>261</v>
      </c>
      <c r="B1239" t="s">
        <v>19</v>
      </c>
      <c r="C1239">
        <v>706</v>
      </c>
      <c r="D1239">
        <v>2</v>
      </c>
      <c r="E1239" t="s">
        <v>32</v>
      </c>
      <c r="F1239" t="s">
        <v>33</v>
      </c>
      <c r="G1239" t="str">
        <f>"2025-12-19 07:48:10.546"</f>
        <v>2025-12-19 07:48:10.546</v>
      </c>
      <c r="H1239" t="s">
        <v>21</v>
      </c>
      <c r="I1239">
        <v>0</v>
      </c>
      <c r="J1239" t="s">
        <v>34</v>
      </c>
    </row>
    <row r="1240" spans="1:10" x14ac:dyDescent="0.25">
      <c r="A1240" s="1">
        <v>262</v>
      </c>
      <c r="B1240" t="s">
        <v>23</v>
      </c>
      <c r="C1240">
        <v>98</v>
      </c>
      <c r="D1240">
        <v>1</v>
      </c>
      <c r="E1240" t="s">
        <v>49</v>
      </c>
      <c r="F1240" t="s">
        <v>50</v>
      </c>
      <c r="G1240" t="str">
        <f>"2025-12-18 22:32:08.395"</f>
        <v>2025-12-18 22:32:08.395</v>
      </c>
      <c r="H1240" t="s">
        <v>21</v>
      </c>
    </row>
    <row r="1241" spans="1:10" x14ac:dyDescent="0.25">
      <c r="A1241" s="1">
        <v>263</v>
      </c>
      <c r="B1241" t="s">
        <v>26</v>
      </c>
      <c r="C1241">
        <v>98</v>
      </c>
      <c r="D1241">
        <v>1</v>
      </c>
      <c r="E1241" t="s">
        <v>49</v>
      </c>
      <c r="F1241" t="s">
        <v>50</v>
      </c>
      <c r="G1241" t="str">
        <f>"2025-12-18 22:32:07.396"</f>
        <v>2025-12-18 22:32:07.396</v>
      </c>
      <c r="H1241" t="s">
        <v>21</v>
      </c>
      <c r="I1241">
        <v>16.079999999999998</v>
      </c>
      <c r="J1241" t="s">
        <v>29</v>
      </c>
    </row>
    <row r="1242" spans="1:10" x14ac:dyDescent="0.25">
      <c r="A1242" s="1">
        <v>264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"2025-12-18 11:29:20.186"</f>
        <v>2025-12-18 11:29:20.186</v>
      </c>
      <c r="H1242" t="s">
        <v>21</v>
      </c>
    </row>
    <row r="1243" spans="1:10" x14ac:dyDescent="0.25">
      <c r="A1243" s="1">
        <v>265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"2025-12-18 11:18:57.229"</f>
        <v>2025-12-18 11:18:57.229</v>
      </c>
      <c r="H1243" t="s">
        <v>21</v>
      </c>
      <c r="I1243">
        <v>0</v>
      </c>
      <c r="J1243" t="s">
        <v>22</v>
      </c>
    </row>
    <row r="1244" spans="1:10" x14ac:dyDescent="0.25">
      <c r="A1244" s="1">
        <v>266</v>
      </c>
      <c r="B1244" t="s">
        <v>19</v>
      </c>
      <c r="C1244">
        <v>706</v>
      </c>
      <c r="D1244">
        <v>2</v>
      </c>
      <c r="E1244" t="s">
        <v>32</v>
      </c>
      <c r="F1244" t="s">
        <v>33</v>
      </c>
      <c r="G1244" t="str">
        <f>"2025-12-17 16:47:10.957"</f>
        <v>2025-12-17 16:47:10.957</v>
      </c>
      <c r="H1244" t="s">
        <v>21</v>
      </c>
      <c r="I1244">
        <v>0</v>
      </c>
      <c r="J1244" t="s">
        <v>34</v>
      </c>
    </row>
    <row r="1245" spans="1:10" x14ac:dyDescent="0.25">
      <c r="A1245" s="1">
        <v>267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"2025-12-17 16:34:48.177"</f>
        <v>2025-12-17 16:34:48.177</v>
      </c>
      <c r="H1245" t="s">
        <v>21</v>
      </c>
      <c r="I1245">
        <v>0</v>
      </c>
      <c r="J1245" t="s">
        <v>22</v>
      </c>
    </row>
    <row r="1246" spans="1:10" x14ac:dyDescent="0.25">
      <c r="A1246" s="1">
        <v>268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"2025-12-17 14:54:54.187"</f>
        <v>2025-12-17 14:54:54.187</v>
      </c>
      <c r="H1246" t="s">
        <v>21</v>
      </c>
      <c r="I1246">
        <v>0</v>
      </c>
      <c r="J1246" t="s">
        <v>22</v>
      </c>
    </row>
    <row r="1247" spans="1:10" x14ac:dyDescent="0.25">
      <c r="A1247" s="1">
        <v>269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"2025-12-16 13:47:28.160"</f>
        <v>2025-12-16 13:47:28.160</v>
      </c>
      <c r="H1247" t="s">
        <v>21</v>
      </c>
      <c r="I1247">
        <v>0</v>
      </c>
      <c r="J1247" t="s">
        <v>22</v>
      </c>
    </row>
    <row r="1248" spans="1:10" x14ac:dyDescent="0.25">
      <c r="A1248" s="1">
        <v>270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"2025-12-16 11:08:10.160"</f>
        <v>2025-12-16 11:08:10.160</v>
      </c>
      <c r="H1248" t="s">
        <v>21</v>
      </c>
      <c r="I1248">
        <v>0</v>
      </c>
      <c r="J1248" t="s">
        <v>22</v>
      </c>
    </row>
    <row r="1249" spans="1:10" x14ac:dyDescent="0.25">
      <c r="A1249" s="1">
        <v>271</v>
      </c>
      <c r="B1249" t="s">
        <v>19</v>
      </c>
      <c r="C1249">
        <v>706</v>
      </c>
      <c r="D1249">
        <v>2</v>
      </c>
      <c r="E1249" t="s">
        <v>32</v>
      </c>
      <c r="F1249" t="s">
        <v>33</v>
      </c>
      <c r="G1249" t="str">
        <f>"2025-12-15 22:47:46.442"</f>
        <v>2025-12-15 22:47:46.442</v>
      </c>
      <c r="H1249" t="s">
        <v>21</v>
      </c>
      <c r="I1249">
        <v>0</v>
      </c>
      <c r="J1249" t="s">
        <v>34</v>
      </c>
    </row>
    <row r="1250" spans="1:10" x14ac:dyDescent="0.25">
      <c r="A1250" s="1">
        <v>272</v>
      </c>
      <c r="B1250" t="s">
        <v>23</v>
      </c>
      <c r="C1250">
        <v>98</v>
      </c>
      <c r="D1250">
        <v>1</v>
      </c>
      <c r="E1250" t="s">
        <v>49</v>
      </c>
      <c r="F1250" t="s">
        <v>50</v>
      </c>
      <c r="G1250" t="str">
        <f>"2025-12-15 22:38:13.078"</f>
        <v>2025-12-15 22:38:13.078</v>
      </c>
      <c r="H1250" t="s">
        <v>21</v>
      </c>
    </row>
    <row r="1251" spans="1:10" x14ac:dyDescent="0.25">
      <c r="A1251" s="1">
        <v>273</v>
      </c>
      <c r="B1251" t="s">
        <v>26</v>
      </c>
      <c r="C1251">
        <v>98</v>
      </c>
      <c r="D1251">
        <v>1</v>
      </c>
      <c r="E1251" t="s">
        <v>49</v>
      </c>
      <c r="F1251" t="s">
        <v>50</v>
      </c>
      <c r="G1251" t="str">
        <f>"2025-12-15 22:38:12.078"</f>
        <v>2025-12-15 22:38:12.078</v>
      </c>
      <c r="H1251" t="s">
        <v>21</v>
      </c>
      <c r="I1251">
        <v>0</v>
      </c>
      <c r="J1251" t="s">
        <v>34</v>
      </c>
    </row>
    <row r="1252" spans="1:10" x14ac:dyDescent="0.25">
      <c r="A1252" s="1">
        <v>274</v>
      </c>
      <c r="B1252" t="s">
        <v>23</v>
      </c>
      <c r="C1252">
        <v>98</v>
      </c>
      <c r="D1252">
        <v>1</v>
      </c>
      <c r="E1252" t="s">
        <v>49</v>
      </c>
      <c r="F1252" t="s">
        <v>50</v>
      </c>
      <c r="G1252" t="str">
        <f>"2025-12-15 22:38:10.078"</f>
        <v>2025-12-15 22:38:10.078</v>
      </c>
      <c r="H1252" t="s">
        <v>21</v>
      </c>
    </row>
    <row r="1253" spans="1:10" x14ac:dyDescent="0.25">
      <c r="A1253" s="1">
        <v>275</v>
      </c>
      <c r="B1253" t="s">
        <v>26</v>
      </c>
      <c r="C1253">
        <v>98</v>
      </c>
      <c r="D1253">
        <v>1</v>
      </c>
      <c r="E1253" t="s">
        <v>49</v>
      </c>
      <c r="F1253" t="s">
        <v>50</v>
      </c>
      <c r="G1253" t="str">
        <f>"2025-12-15 22:38:08.679"</f>
        <v>2025-12-15 22:38:08.679</v>
      </c>
      <c r="H1253" t="s">
        <v>21</v>
      </c>
      <c r="I1253">
        <v>0</v>
      </c>
      <c r="J1253" t="s">
        <v>34</v>
      </c>
    </row>
    <row r="1254" spans="1:10" x14ac:dyDescent="0.25">
      <c r="A1254" s="1">
        <v>276</v>
      </c>
      <c r="B1254" t="s">
        <v>19</v>
      </c>
      <c r="C1254">
        <v>706</v>
      </c>
      <c r="D1254">
        <v>3</v>
      </c>
      <c r="E1254" t="s">
        <v>32</v>
      </c>
      <c r="F1254" t="s">
        <v>39</v>
      </c>
      <c r="G1254" t="str">
        <f>"2025-12-15 22:30:35.022"</f>
        <v>2025-12-15 22:30:35.022</v>
      </c>
      <c r="H1254" t="s">
        <v>21</v>
      </c>
      <c r="I1254">
        <v>0</v>
      </c>
      <c r="J1254" t="s">
        <v>34</v>
      </c>
    </row>
    <row r="1255" spans="1:10" x14ac:dyDescent="0.25">
      <c r="A1255" s="1">
        <v>277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"2025-12-15 20:41:13.092"</f>
        <v>2025-12-15 20:41:13.092</v>
      </c>
      <c r="H1255" t="s">
        <v>21</v>
      </c>
      <c r="I1255">
        <v>0</v>
      </c>
      <c r="J1255" t="s">
        <v>22</v>
      </c>
    </row>
    <row r="1256" spans="1:10" x14ac:dyDescent="0.25">
      <c r="A1256" s="1">
        <v>278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"2025-12-15 09:32:46.089"</f>
        <v>2025-12-15 09:32:46.089</v>
      </c>
      <c r="H1256" t="s">
        <v>21</v>
      </c>
    </row>
    <row r="1257" spans="1:10" x14ac:dyDescent="0.25">
      <c r="A1257" s="1">
        <v>279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"2025-12-15 08:27:06.084"</f>
        <v>2025-12-15 08:27:06.084</v>
      </c>
      <c r="H1257" t="s">
        <v>21</v>
      </c>
    </row>
    <row r="1258" spans="1:10" x14ac:dyDescent="0.25">
      <c r="A1258" s="1">
        <v>280</v>
      </c>
      <c r="B1258" t="s">
        <v>19</v>
      </c>
      <c r="C1258">
        <v>706</v>
      </c>
      <c r="D1258">
        <v>2</v>
      </c>
      <c r="E1258" t="s">
        <v>32</v>
      </c>
      <c r="F1258" t="s">
        <v>33</v>
      </c>
      <c r="G1258" t="str">
        <f>"2025-12-15 08:06:36.148"</f>
        <v>2025-12-15 08:06:36.148</v>
      </c>
      <c r="H1258" t="s">
        <v>21</v>
      </c>
      <c r="I1258">
        <v>0</v>
      </c>
      <c r="J1258" t="s">
        <v>34</v>
      </c>
    </row>
    <row r="1259" spans="1:10" x14ac:dyDescent="0.25">
      <c r="A1259" s="1">
        <v>281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"2025-12-15 08:06:20.078"</f>
        <v>2025-12-15 08:06:20.078</v>
      </c>
      <c r="H1259" t="s">
        <v>21</v>
      </c>
    </row>
    <row r="1260" spans="1:10" x14ac:dyDescent="0.25">
      <c r="A1260" s="1">
        <v>282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"2025-12-14 10:34:00.071"</f>
        <v>2025-12-14 10:34:00.071</v>
      </c>
      <c r="H1260" t="s">
        <v>21</v>
      </c>
    </row>
    <row r="1261" spans="1:10" x14ac:dyDescent="0.25">
      <c r="A1261" s="1">
        <v>283</v>
      </c>
      <c r="B1261" t="s">
        <v>19</v>
      </c>
      <c r="C1261">
        <v>706</v>
      </c>
      <c r="D1261">
        <v>4</v>
      </c>
      <c r="E1261" t="s">
        <v>32</v>
      </c>
      <c r="F1261" t="s">
        <v>48</v>
      </c>
      <c r="G1261" t="str">
        <f>"2025-12-14 09:10:52.262"</f>
        <v>2025-12-14 09:10:52.262</v>
      </c>
      <c r="H1261" t="s">
        <v>21</v>
      </c>
      <c r="I1261">
        <v>0</v>
      </c>
      <c r="J1261" t="s">
        <v>34</v>
      </c>
    </row>
    <row r="1262" spans="1:10" x14ac:dyDescent="0.25">
      <c r="A1262" s="1">
        <v>284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"2025-12-14 09:07:30.092"</f>
        <v>2025-12-14 09:07:30.092</v>
      </c>
      <c r="H1262" t="s">
        <v>21</v>
      </c>
    </row>
    <row r="1263" spans="1:10" x14ac:dyDescent="0.25">
      <c r="A1263" s="1">
        <v>285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"2025-12-14 03:26:47.094"</f>
        <v>2025-12-14 03:26:47.094</v>
      </c>
      <c r="H1263" t="s">
        <v>21</v>
      </c>
      <c r="I1263">
        <v>0</v>
      </c>
      <c r="J1263" t="s">
        <v>22</v>
      </c>
    </row>
    <row r="1264" spans="1:10" x14ac:dyDescent="0.25">
      <c r="A1264" s="1">
        <v>286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"2025-12-11 15:37:15.083"</f>
        <v>2025-12-11 15:37:15.083</v>
      </c>
      <c r="H1264" t="s">
        <v>21</v>
      </c>
    </row>
    <row r="1265" spans="1:10" x14ac:dyDescent="0.25">
      <c r="A1265" s="1">
        <v>287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"2025-12-11 14:31:33.083"</f>
        <v>2025-12-11 14:31:33.083</v>
      </c>
      <c r="H1265" t="s">
        <v>21</v>
      </c>
      <c r="I1265">
        <v>0</v>
      </c>
      <c r="J1265" t="s">
        <v>22</v>
      </c>
    </row>
    <row r="1266" spans="1:10" x14ac:dyDescent="0.25">
      <c r="A1266" s="1">
        <v>288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"2025-12-11 11:36:06.085"</f>
        <v>2025-12-11 11:36:06.085</v>
      </c>
      <c r="H1266" t="s">
        <v>21</v>
      </c>
      <c r="I1266">
        <v>0</v>
      </c>
      <c r="J1266" t="s">
        <v>22</v>
      </c>
    </row>
    <row r="1267" spans="1:10" x14ac:dyDescent="0.25">
      <c r="A1267" s="1">
        <v>289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"2025-12-11 11:20:19.084"</f>
        <v>2025-12-11 11:20:19.084</v>
      </c>
      <c r="H1267" t="s">
        <v>21</v>
      </c>
      <c r="I1267">
        <v>0</v>
      </c>
      <c r="J1267" t="s">
        <v>22</v>
      </c>
    </row>
    <row r="1268" spans="1:10" x14ac:dyDescent="0.25">
      <c r="A1268" s="1">
        <v>290</v>
      </c>
      <c r="B1268" t="s">
        <v>19</v>
      </c>
      <c r="C1268">
        <v>706</v>
      </c>
      <c r="D1268">
        <v>2</v>
      </c>
      <c r="E1268" t="s">
        <v>32</v>
      </c>
      <c r="F1268" t="s">
        <v>33</v>
      </c>
      <c r="G1268" t="str">
        <f>"2025-12-11 11:05:18.755"</f>
        <v>2025-12-11 11:05:18.755</v>
      </c>
      <c r="H1268" t="s">
        <v>21</v>
      </c>
      <c r="I1268">
        <v>0</v>
      </c>
      <c r="J1268" t="s">
        <v>34</v>
      </c>
    </row>
    <row r="1269" spans="1:10" x14ac:dyDescent="0.25">
      <c r="A1269" s="1">
        <v>291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"2025-12-11 10:59:50.075"</f>
        <v>2025-12-11 10:59:50.075</v>
      </c>
      <c r="H1269" t="s">
        <v>21</v>
      </c>
      <c r="I1269">
        <v>0</v>
      </c>
      <c r="J1269" t="s">
        <v>22</v>
      </c>
    </row>
    <row r="1270" spans="1:10" x14ac:dyDescent="0.25">
      <c r="A1270" s="1">
        <v>292</v>
      </c>
      <c r="B1270" t="s">
        <v>19</v>
      </c>
      <c r="C1270">
        <v>706</v>
      </c>
      <c r="D1270">
        <v>2</v>
      </c>
      <c r="E1270" t="s">
        <v>32</v>
      </c>
      <c r="F1270" t="s">
        <v>33</v>
      </c>
      <c r="G1270" t="str">
        <f>"2025-12-11 09:19:34.635"</f>
        <v>2025-12-11 09:19:34.635</v>
      </c>
      <c r="H1270" t="s">
        <v>21</v>
      </c>
      <c r="I1270">
        <v>0</v>
      </c>
      <c r="J1270" t="s">
        <v>34</v>
      </c>
    </row>
    <row r="1271" spans="1:10" x14ac:dyDescent="0.25">
      <c r="A1271" s="1">
        <v>293</v>
      </c>
      <c r="B1271" t="s">
        <v>19</v>
      </c>
      <c r="C1271">
        <v>706</v>
      </c>
      <c r="D1271">
        <v>2</v>
      </c>
      <c r="E1271" t="s">
        <v>32</v>
      </c>
      <c r="F1271" t="s">
        <v>33</v>
      </c>
      <c r="G1271" t="str">
        <f>"2025-12-11 09:18:51.835"</f>
        <v>2025-12-11 09:18:51.835</v>
      </c>
      <c r="H1271" t="s">
        <v>21</v>
      </c>
      <c r="I1271">
        <v>0</v>
      </c>
      <c r="J1271" t="s">
        <v>34</v>
      </c>
    </row>
    <row r="1272" spans="1:10" x14ac:dyDescent="0.25">
      <c r="A1272" s="1">
        <v>294</v>
      </c>
      <c r="B1272" t="s">
        <v>19</v>
      </c>
      <c r="C1272">
        <v>706</v>
      </c>
      <c r="D1272">
        <v>4</v>
      </c>
      <c r="E1272" t="s">
        <v>32</v>
      </c>
      <c r="F1272" t="s">
        <v>48</v>
      </c>
      <c r="G1272" t="str">
        <f>"2025-12-11 09:12:39.785"</f>
        <v>2025-12-11 09:12:39.785</v>
      </c>
      <c r="H1272" t="s">
        <v>21</v>
      </c>
      <c r="I1272">
        <v>0</v>
      </c>
      <c r="J1272" t="s">
        <v>34</v>
      </c>
    </row>
    <row r="1273" spans="1:10" x14ac:dyDescent="0.25">
      <c r="A1273" s="1">
        <v>295</v>
      </c>
      <c r="B1273" t="s">
        <v>19</v>
      </c>
      <c r="C1273">
        <v>706</v>
      </c>
      <c r="D1273">
        <v>4</v>
      </c>
      <c r="E1273" t="s">
        <v>32</v>
      </c>
      <c r="F1273" t="s">
        <v>48</v>
      </c>
      <c r="G1273" t="str">
        <f>"2025-12-11 09:03:58.215"</f>
        <v>2025-12-11 09:03:58.215</v>
      </c>
      <c r="H1273" t="s">
        <v>21</v>
      </c>
      <c r="I1273">
        <v>0</v>
      </c>
      <c r="J1273" t="s">
        <v>34</v>
      </c>
    </row>
    <row r="1274" spans="1:10" x14ac:dyDescent="0.25">
      <c r="A1274" s="1">
        <v>296</v>
      </c>
      <c r="B1274" t="s">
        <v>19</v>
      </c>
      <c r="C1274">
        <v>706</v>
      </c>
      <c r="D1274">
        <v>4</v>
      </c>
      <c r="E1274" t="s">
        <v>32</v>
      </c>
      <c r="F1274" t="s">
        <v>48</v>
      </c>
      <c r="G1274" t="str">
        <f>"2025-12-11 08:56:02.625"</f>
        <v>2025-12-11 08:56:02.625</v>
      </c>
      <c r="H1274" t="s">
        <v>21</v>
      </c>
      <c r="I1274">
        <v>0</v>
      </c>
      <c r="J1274" t="s">
        <v>34</v>
      </c>
    </row>
    <row r="1275" spans="1:10" x14ac:dyDescent="0.25">
      <c r="A1275" s="1">
        <v>297</v>
      </c>
      <c r="B1275" t="s">
        <v>19</v>
      </c>
      <c r="C1275">
        <v>706</v>
      </c>
      <c r="D1275">
        <v>2</v>
      </c>
      <c r="E1275" t="s">
        <v>32</v>
      </c>
      <c r="F1275" t="s">
        <v>33</v>
      </c>
      <c r="G1275" t="str">
        <f>"2025-12-11 08:46:45.335"</f>
        <v>2025-12-11 08:46:45.335</v>
      </c>
      <c r="H1275" t="s">
        <v>21</v>
      </c>
      <c r="I1275">
        <v>0</v>
      </c>
      <c r="J1275" t="s">
        <v>34</v>
      </c>
    </row>
    <row r="1276" spans="1:10" x14ac:dyDescent="0.25">
      <c r="A1276" s="1">
        <v>298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"2025-12-11 08:40:29.065"</f>
        <v>2025-12-11 08:40:29.065</v>
      </c>
      <c r="H1276" t="s">
        <v>21</v>
      </c>
      <c r="I1276">
        <v>0</v>
      </c>
      <c r="J1276" t="s">
        <v>22</v>
      </c>
    </row>
    <row r="1277" spans="1:10" x14ac:dyDescent="0.25">
      <c r="A1277" s="1">
        <v>299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"2025-12-10 16:29:11.078"</f>
        <v>2025-12-10 16:29:11.078</v>
      </c>
      <c r="H1277" t="s">
        <v>21</v>
      </c>
      <c r="I1277">
        <v>0</v>
      </c>
      <c r="J1277" t="s">
        <v>22</v>
      </c>
    </row>
    <row r="1278" spans="1:10" x14ac:dyDescent="0.25">
      <c r="A1278" s="1">
        <v>300</v>
      </c>
      <c r="B1278" t="s">
        <v>19</v>
      </c>
      <c r="C1278">
        <v>706</v>
      </c>
      <c r="D1278">
        <v>4</v>
      </c>
      <c r="E1278" t="s">
        <v>32</v>
      </c>
      <c r="F1278" t="s">
        <v>48</v>
      </c>
      <c r="G1278" t="str">
        <f>"2025-12-10 16:21:23.449"</f>
        <v>2025-12-10 16:21:23.449</v>
      </c>
      <c r="H1278" t="s">
        <v>21</v>
      </c>
      <c r="I1278">
        <v>0</v>
      </c>
      <c r="J1278" t="s">
        <v>34</v>
      </c>
    </row>
    <row r="1279" spans="1:10" x14ac:dyDescent="0.25">
      <c r="A1279" s="1">
        <v>301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"2025-12-10 16:15:11.079"</f>
        <v>2025-12-10 16:15:11.079</v>
      </c>
      <c r="H1279" t="s">
        <v>21</v>
      </c>
      <c r="I1279">
        <v>0</v>
      </c>
      <c r="J1279" t="s">
        <v>22</v>
      </c>
    </row>
    <row r="1280" spans="1:10" x14ac:dyDescent="0.25">
      <c r="A1280" s="1">
        <v>302</v>
      </c>
      <c r="B1280" t="s">
        <v>19</v>
      </c>
      <c r="C1280">
        <v>706</v>
      </c>
      <c r="D1280">
        <v>4</v>
      </c>
      <c r="E1280" t="s">
        <v>32</v>
      </c>
      <c r="F1280" t="s">
        <v>48</v>
      </c>
      <c r="G1280" t="str">
        <f>"2025-12-10 16:10:27.951"</f>
        <v>2025-12-10 16:10:27.951</v>
      </c>
      <c r="H1280" t="s">
        <v>21</v>
      </c>
      <c r="I1280">
        <v>0</v>
      </c>
      <c r="J1280" t="s">
        <v>34</v>
      </c>
    </row>
    <row r="1281" spans="1:10" x14ac:dyDescent="0.25">
      <c r="A1281" s="1">
        <v>303</v>
      </c>
      <c r="B1281" t="s">
        <v>19</v>
      </c>
      <c r="C1281">
        <v>706</v>
      </c>
      <c r="D1281">
        <v>2</v>
      </c>
      <c r="E1281" t="s">
        <v>32</v>
      </c>
      <c r="F1281" t="s">
        <v>33</v>
      </c>
      <c r="G1281" t="str">
        <f>"2025-12-10 15:38:22.741"</f>
        <v>2025-12-10 15:38:22.741</v>
      </c>
      <c r="H1281" t="s">
        <v>21</v>
      </c>
      <c r="I1281">
        <v>0</v>
      </c>
      <c r="J1281" t="s">
        <v>34</v>
      </c>
    </row>
    <row r="1282" spans="1:10" x14ac:dyDescent="0.25">
      <c r="A1282" s="1">
        <v>304</v>
      </c>
      <c r="B1282" t="s">
        <v>19</v>
      </c>
      <c r="C1282">
        <v>700</v>
      </c>
      <c r="D1282">
        <v>0</v>
      </c>
      <c r="E1282" t="s">
        <v>20</v>
      </c>
      <c r="F1282" t="s">
        <v>20</v>
      </c>
      <c r="G1282" t="str">
        <f>"2025-12-10 15:28:48.071"</f>
        <v>2025-12-10 15:28:48.071</v>
      </c>
      <c r="H1282" t="s">
        <v>21</v>
      </c>
      <c r="I1282">
        <v>0</v>
      </c>
      <c r="J1282" t="s">
        <v>22</v>
      </c>
    </row>
    <row r="1283" spans="1:10" x14ac:dyDescent="0.25">
      <c r="A1283" s="1">
        <v>305</v>
      </c>
      <c r="B1283" t="s">
        <v>19</v>
      </c>
      <c r="C1283">
        <v>706</v>
      </c>
      <c r="D1283">
        <v>4</v>
      </c>
      <c r="E1283" t="s">
        <v>32</v>
      </c>
      <c r="F1283" t="s">
        <v>48</v>
      </c>
      <c r="G1283" t="str">
        <f>"2025-12-10 15:23:39.253"</f>
        <v>2025-12-10 15:23:39.253</v>
      </c>
      <c r="H1283" t="s">
        <v>21</v>
      </c>
      <c r="I1283">
        <v>0</v>
      </c>
      <c r="J1283" t="s">
        <v>34</v>
      </c>
    </row>
    <row r="1284" spans="1:10" x14ac:dyDescent="0.25">
      <c r="A1284" s="1">
        <v>306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"2025-12-10 15:21:11.063"</f>
        <v>2025-12-10 15:21:11.063</v>
      </c>
      <c r="H1284" t="s">
        <v>21</v>
      </c>
    </row>
    <row r="1285" spans="1:10" x14ac:dyDescent="0.25">
      <c r="A1285" s="1">
        <v>307</v>
      </c>
      <c r="B1285" t="s">
        <v>19</v>
      </c>
      <c r="C1285">
        <v>706</v>
      </c>
      <c r="D1285">
        <v>4</v>
      </c>
      <c r="E1285" t="s">
        <v>32</v>
      </c>
      <c r="F1285" t="s">
        <v>48</v>
      </c>
      <c r="G1285" t="str">
        <f>"2025-12-10 15:15:32.236"</f>
        <v>2025-12-10 15:15:32.236</v>
      </c>
      <c r="H1285" t="s">
        <v>21</v>
      </c>
      <c r="I1285">
        <v>0</v>
      </c>
      <c r="J1285" t="s">
        <v>34</v>
      </c>
    </row>
    <row r="1286" spans="1:10" x14ac:dyDescent="0.25">
      <c r="A1286" s="1">
        <v>308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"2025-12-10 15:04:02.046"</f>
        <v>2025-12-10 15:04:02.046</v>
      </c>
      <c r="H1286" t="s">
        <v>21</v>
      </c>
    </row>
    <row r="1287" spans="1:10" x14ac:dyDescent="0.25">
      <c r="A1287" s="1">
        <v>309</v>
      </c>
      <c r="B1287" t="s">
        <v>19</v>
      </c>
      <c r="C1287">
        <v>706</v>
      </c>
      <c r="D1287">
        <v>2</v>
      </c>
      <c r="E1287" t="s">
        <v>32</v>
      </c>
      <c r="F1287" t="s">
        <v>33</v>
      </c>
      <c r="G1287" t="str">
        <f>"2025-12-10 14:25:43.532"</f>
        <v>2025-12-10 14:25:43.532</v>
      </c>
      <c r="H1287" t="s">
        <v>21</v>
      </c>
      <c r="I1287">
        <v>0</v>
      </c>
      <c r="J1287" t="s">
        <v>34</v>
      </c>
    </row>
    <row r="1288" spans="1:10" x14ac:dyDescent="0.25">
      <c r="A1288" s="1">
        <v>310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"2025-12-10 14:25:00.062"</f>
        <v>2025-12-10 14:25:00.062</v>
      </c>
      <c r="H1288" t="s">
        <v>21</v>
      </c>
      <c r="I1288">
        <v>0</v>
      </c>
      <c r="J1288" t="s">
        <v>22</v>
      </c>
    </row>
    <row r="1289" spans="1:10" x14ac:dyDescent="0.25">
      <c r="A1289" s="1">
        <v>311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"2025-12-10 11:15:32.052"</f>
        <v>2025-12-10 11:15:32.052</v>
      </c>
      <c r="H1289" t="s">
        <v>21</v>
      </c>
    </row>
    <row r="1290" spans="1:10" x14ac:dyDescent="0.25">
      <c r="A1290" s="1">
        <v>312</v>
      </c>
      <c r="B1290" t="s">
        <v>19</v>
      </c>
      <c r="C1290">
        <v>706</v>
      </c>
      <c r="D1290">
        <v>4</v>
      </c>
      <c r="E1290" t="s">
        <v>32</v>
      </c>
      <c r="F1290" t="s">
        <v>48</v>
      </c>
      <c r="G1290" t="str">
        <f>"2025-12-10 10:31:20.278"</f>
        <v>2025-12-10 10:31:20.278</v>
      </c>
      <c r="H1290" t="s">
        <v>21</v>
      </c>
      <c r="I1290">
        <v>0</v>
      </c>
      <c r="J1290" t="s">
        <v>34</v>
      </c>
    </row>
    <row r="1291" spans="1:10" x14ac:dyDescent="0.25">
      <c r="A1291" s="1">
        <v>313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"2025-12-10 10:30:16.058"</f>
        <v>2025-12-10 10:30:16.058</v>
      </c>
      <c r="H1291" t="s">
        <v>21</v>
      </c>
      <c r="I1291">
        <v>0</v>
      </c>
      <c r="J1291" t="s">
        <v>22</v>
      </c>
    </row>
    <row r="1292" spans="1:10" x14ac:dyDescent="0.25">
      <c r="A1292" s="1">
        <v>314</v>
      </c>
      <c r="B1292" t="s">
        <v>19</v>
      </c>
      <c r="C1292">
        <v>706</v>
      </c>
      <c r="D1292">
        <v>4</v>
      </c>
      <c r="E1292" t="s">
        <v>32</v>
      </c>
      <c r="F1292" t="s">
        <v>48</v>
      </c>
      <c r="G1292" t="str">
        <f>"2025-12-10 10:19:42.814"</f>
        <v>2025-12-10 10:19:42.814</v>
      </c>
      <c r="H1292" t="s">
        <v>21</v>
      </c>
      <c r="I1292">
        <v>0</v>
      </c>
      <c r="J1292" t="s">
        <v>34</v>
      </c>
    </row>
    <row r="1293" spans="1:10" x14ac:dyDescent="0.25">
      <c r="A1293" s="1">
        <v>315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"2025-12-10 09:54:07.054"</f>
        <v>2025-12-10 09:54:07.054</v>
      </c>
      <c r="H1293" t="s">
        <v>21</v>
      </c>
    </row>
    <row r="1294" spans="1:10" x14ac:dyDescent="0.25">
      <c r="A1294" s="1">
        <v>316</v>
      </c>
      <c r="B1294" t="s">
        <v>19</v>
      </c>
      <c r="C1294">
        <v>706</v>
      </c>
      <c r="D1294">
        <v>2</v>
      </c>
      <c r="E1294" t="s">
        <v>32</v>
      </c>
      <c r="F1294" t="s">
        <v>33</v>
      </c>
      <c r="G1294" t="str">
        <f>"2025-12-09 17:55:35.154"</f>
        <v>2025-12-09 17:55:35.154</v>
      </c>
      <c r="H1294" t="s">
        <v>21</v>
      </c>
      <c r="I1294">
        <v>0</v>
      </c>
      <c r="J1294" t="s">
        <v>34</v>
      </c>
    </row>
    <row r="1295" spans="1:10" x14ac:dyDescent="0.25">
      <c r="A1295" s="1">
        <v>317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"2025-12-09 17:54:37.064"</f>
        <v>2025-12-09 17:54:37.064</v>
      </c>
      <c r="H1295" t="s">
        <v>21</v>
      </c>
    </row>
    <row r="1296" spans="1:10" x14ac:dyDescent="0.25">
      <c r="A1296" s="1">
        <v>318</v>
      </c>
      <c r="B1296" t="s">
        <v>19</v>
      </c>
      <c r="C1296">
        <v>706</v>
      </c>
      <c r="D1296">
        <v>2</v>
      </c>
      <c r="E1296" t="s">
        <v>32</v>
      </c>
      <c r="F1296" t="s">
        <v>33</v>
      </c>
      <c r="G1296" t="str">
        <f>"2025-12-09 16:41:56.033"</f>
        <v>2025-12-09 16:41:56.033</v>
      </c>
      <c r="H1296" t="s">
        <v>21</v>
      </c>
      <c r="I1296">
        <v>0</v>
      </c>
      <c r="J1296" t="s">
        <v>34</v>
      </c>
    </row>
    <row r="1297" spans="1:10" x14ac:dyDescent="0.25">
      <c r="A1297" s="1">
        <v>319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"2025-12-09 15:50:52.063"</f>
        <v>2025-12-09 15:50:52.063</v>
      </c>
      <c r="H1297" t="s">
        <v>21</v>
      </c>
      <c r="I1297">
        <v>0</v>
      </c>
      <c r="J1297" t="s">
        <v>22</v>
      </c>
    </row>
    <row r="1298" spans="1:10" x14ac:dyDescent="0.25">
      <c r="A1298" s="1">
        <v>320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"2025-12-09 15:45:20.047"</f>
        <v>2025-12-09 15:45:20.047</v>
      </c>
      <c r="H1298" t="s">
        <v>21</v>
      </c>
      <c r="I1298">
        <v>0</v>
      </c>
      <c r="J1298" t="s">
        <v>22</v>
      </c>
    </row>
    <row r="1299" spans="1:10" x14ac:dyDescent="0.25">
      <c r="A1299" s="1">
        <v>321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"2025-12-09 15:06:36.050"</f>
        <v>2025-12-09 15:06:36.050</v>
      </c>
      <c r="H1299" t="s">
        <v>21</v>
      </c>
    </row>
    <row r="1300" spans="1:10" x14ac:dyDescent="0.25">
      <c r="A1300" s="1">
        <v>322</v>
      </c>
      <c r="B1300" t="s">
        <v>19</v>
      </c>
      <c r="C1300">
        <v>706</v>
      </c>
      <c r="D1300">
        <v>2</v>
      </c>
      <c r="E1300" t="s">
        <v>32</v>
      </c>
      <c r="F1300" t="s">
        <v>33</v>
      </c>
      <c r="G1300" t="str">
        <f>"2025-12-09 14:17:26.739"</f>
        <v>2025-12-09 14:17:26.739</v>
      </c>
      <c r="H1300" t="s">
        <v>21</v>
      </c>
      <c r="I1300">
        <v>0</v>
      </c>
      <c r="J1300" t="s">
        <v>34</v>
      </c>
    </row>
    <row r="1301" spans="1:10" x14ac:dyDescent="0.25">
      <c r="A1301" s="1">
        <v>323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"2025-12-09 14:10:36.039"</f>
        <v>2025-12-09 14:10:36.039</v>
      </c>
      <c r="H1301" t="s">
        <v>21</v>
      </c>
    </row>
    <row r="1302" spans="1:10" x14ac:dyDescent="0.25">
      <c r="A1302" s="1">
        <v>324</v>
      </c>
      <c r="B1302" t="s">
        <v>19</v>
      </c>
      <c r="C1302">
        <v>706</v>
      </c>
      <c r="D1302">
        <v>2</v>
      </c>
      <c r="E1302" t="s">
        <v>32</v>
      </c>
      <c r="F1302" t="s">
        <v>33</v>
      </c>
      <c r="G1302" t="str">
        <f>"2025-12-09 10:41:01.719"</f>
        <v>2025-12-09 10:41:01.719</v>
      </c>
      <c r="H1302" t="s">
        <v>21</v>
      </c>
      <c r="I1302">
        <v>0</v>
      </c>
      <c r="J1302" t="s">
        <v>34</v>
      </c>
    </row>
    <row r="1303" spans="1:10" x14ac:dyDescent="0.25">
      <c r="A1303" s="1">
        <v>325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"2025-12-09 10:39:07.039"</f>
        <v>2025-12-09 10:39:07.039</v>
      </c>
      <c r="H1303" t="s">
        <v>21</v>
      </c>
      <c r="I1303">
        <v>0</v>
      </c>
      <c r="J1303" t="s">
        <v>22</v>
      </c>
    </row>
    <row r="1304" spans="1:10" x14ac:dyDescent="0.25">
      <c r="A1304" s="1">
        <v>326</v>
      </c>
      <c r="B1304" t="s">
        <v>19</v>
      </c>
      <c r="C1304">
        <v>706</v>
      </c>
      <c r="D1304">
        <v>4</v>
      </c>
      <c r="E1304" t="s">
        <v>32</v>
      </c>
      <c r="F1304" t="s">
        <v>48</v>
      </c>
      <c r="G1304" t="str">
        <f>"2025-12-08 15:52:19.070"</f>
        <v>2025-12-08 15:52:19.070</v>
      </c>
      <c r="H1304" t="s">
        <v>21</v>
      </c>
      <c r="I1304">
        <v>0</v>
      </c>
      <c r="J1304" t="s">
        <v>34</v>
      </c>
    </row>
    <row r="1305" spans="1:10" x14ac:dyDescent="0.25">
      <c r="A1305" s="1">
        <v>327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"2025-12-08 15:50:55.020"</f>
        <v>2025-12-08 15:50:55.020</v>
      </c>
      <c r="H1305" t="s">
        <v>21</v>
      </c>
      <c r="I1305">
        <v>0</v>
      </c>
      <c r="J1305" t="s">
        <v>22</v>
      </c>
    </row>
    <row r="1306" spans="1:10" x14ac:dyDescent="0.25">
      <c r="A1306" s="1">
        <v>328</v>
      </c>
      <c r="B1306" t="s">
        <v>23</v>
      </c>
      <c r="C1306">
        <v>98</v>
      </c>
      <c r="D1306">
        <v>1</v>
      </c>
      <c r="E1306" t="s">
        <v>49</v>
      </c>
      <c r="F1306" t="s">
        <v>50</v>
      </c>
      <c r="G1306" t="str">
        <f>"2025-12-08 15:24:16.207"</f>
        <v>2025-12-08 15:24:16.207</v>
      </c>
      <c r="H1306" t="s">
        <v>21</v>
      </c>
    </row>
    <row r="1307" spans="1:10" x14ac:dyDescent="0.25">
      <c r="A1307" s="1">
        <v>329</v>
      </c>
      <c r="B1307" t="s">
        <v>26</v>
      </c>
      <c r="C1307">
        <v>98</v>
      </c>
      <c r="D1307">
        <v>1</v>
      </c>
      <c r="E1307" t="s">
        <v>49</v>
      </c>
      <c r="F1307" t="s">
        <v>50</v>
      </c>
      <c r="G1307" t="str">
        <f>"2025-12-08 15:24:15.208"</f>
        <v>2025-12-08 15:24:15.208</v>
      </c>
      <c r="H1307" t="s">
        <v>21</v>
      </c>
      <c r="I1307">
        <v>0</v>
      </c>
      <c r="J1307" t="s">
        <v>34</v>
      </c>
    </row>
    <row r="1308" spans="1:10" x14ac:dyDescent="0.25">
      <c r="A1308" s="1">
        <v>330</v>
      </c>
      <c r="B1308" t="s">
        <v>23</v>
      </c>
      <c r="C1308">
        <v>98</v>
      </c>
      <c r="D1308">
        <v>1</v>
      </c>
      <c r="E1308" t="s">
        <v>49</v>
      </c>
      <c r="F1308" t="s">
        <v>50</v>
      </c>
      <c r="G1308" t="str">
        <f>"2025-12-08 15:22:52.207"</f>
        <v>2025-12-08 15:22:52.207</v>
      </c>
      <c r="H1308" t="s">
        <v>21</v>
      </c>
    </row>
    <row r="1309" spans="1:10" x14ac:dyDescent="0.25">
      <c r="A1309" s="1">
        <v>331</v>
      </c>
      <c r="B1309" t="s">
        <v>26</v>
      </c>
      <c r="C1309">
        <v>98</v>
      </c>
      <c r="D1309">
        <v>1</v>
      </c>
      <c r="E1309" t="s">
        <v>49</v>
      </c>
      <c r="F1309" t="s">
        <v>50</v>
      </c>
      <c r="G1309" t="str">
        <f>"2025-12-08 15:22:51.207"</f>
        <v>2025-12-08 15:22:51.207</v>
      </c>
      <c r="H1309" t="s">
        <v>21</v>
      </c>
      <c r="I1309">
        <v>0</v>
      </c>
      <c r="J1309" t="s">
        <v>34</v>
      </c>
    </row>
    <row r="1310" spans="1:10" x14ac:dyDescent="0.25">
      <c r="A1310" s="1">
        <v>332</v>
      </c>
      <c r="B1310" t="s">
        <v>23</v>
      </c>
      <c r="C1310">
        <v>98</v>
      </c>
      <c r="D1310">
        <v>1</v>
      </c>
      <c r="E1310" t="s">
        <v>49</v>
      </c>
      <c r="F1310" t="s">
        <v>50</v>
      </c>
      <c r="G1310" t="str">
        <f>"2025-12-08 15:21:19.058"</f>
        <v>2025-12-08 15:21:19.058</v>
      </c>
      <c r="H1310" t="s">
        <v>21</v>
      </c>
    </row>
    <row r="1311" spans="1:10" x14ac:dyDescent="0.25">
      <c r="A1311" s="1">
        <v>333</v>
      </c>
      <c r="B1311" t="s">
        <v>26</v>
      </c>
      <c r="C1311">
        <v>98</v>
      </c>
      <c r="D1311">
        <v>1</v>
      </c>
      <c r="E1311" t="s">
        <v>49</v>
      </c>
      <c r="F1311" t="s">
        <v>50</v>
      </c>
      <c r="G1311" t="str">
        <f>"2025-12-08 15:21:18.058"</f>
        <v>2025-12-08 15:21:18.058</v>
      </c>
      <c r="H1311" t="s">
        <v>21</v>
      </c>
      <c r="I1311">
        <v>0</v>
      </c>
      <c r="J1311" t="s">
        <v>34</v>
      </c>
    </row>
    <row r="1312" spans="1:10" x14ac:dyDescent="0.25">
      <c r="A1312" s="1">
        <v>334</v>
      </c>
      <c r="B1312" t="s">
        <v>23</v>
      </c>
      <c r="C1312">
        <v>98</v>
      </c>
      <c r="D1312">
        <v>1</v>
      </c>
      <c r="E1312" t="s">
        <v>49</v>
      </c>
      <c r="F1312" t="s">
        <v>50</v>
      </c>
      <c r="G1312" t="str">
        <f>"2025-12-08 15:21:17.257"</f>
        <v>2025-12-08 15:21:17.257</v>
      </c>
      <c r="H1312" t="s">
        <v>21</v>
      </c>
    </row>
    <row r="1313" spans="1:10" x14ac:dyDescent="0.25">
      <c r="A1313" s="1">
        <v>335</v>
      </c>
      <c r="B1313" t="s">
        <v>26</v>
      </c>
      <c r="C1313">
        <v>98</v>
      </c>
      <c r="D1313">
        <v>1</v>
      </c>
      <c r="E1313" t="s">
        <v>49</v>
      </c>
      <c r="F1313" t="s">
        <v>50</v>
      </c>
      <c r="G1313" t="str">
        <f>"2025-12-08 15:21:16.257"</f>
        <v>2025-12-08 15:21:16.257</v>
      </c>
      <c r="H1313" t="s">
        <v>21</v>
      </c>
      <c r="I1313">
        <v>0</v>
      </c>
      <c r="J1313" t="s">
        <v>34</v>
      </c>
    </row>
    <row r="1314" spans="1:10" x14ac:dyDescent="0.25">
      <c r="A1314" s="1">
        <v>336</v>
      </c>
      <c r="B1314" t="s">
        <v>23</v>
      </c>
      <c r="C1314">
        <v>98</v>
      </c>
      <c r="D1314">
        <v>1</v>
      </c>
      <c r="E1314" t="s">
        <v>49</v>
      </c>
      <c r="F1314" t="s">
        <v>50</v>
      </c>
      <c r="G1314" t="str">
        <f>"2025-12-08 15:21:16.057"</f>
        <v>2025-12-08 15:21:16.057</v>
      </c>
      <c r="H1314" t="s">
        <v>21</v>
      </c>
    </row>
    <row r="1315" spans="1:10" x14ac:dyDescent="0.25">
      <c r="A1315" s="1">
        <v>337</v>
      </c>
      <c r="B1315" t="s">
        <v>26</v>
      </c>
      <c r="C1315">
        <v>98</v>
      </c>
      <c r="D1315">
        <v>1</v>
      </c>
      <c r="E1315" t="s">
        <v>49</v>
      </c>
      <c r="F1315" t="s">
        <v>50</v>
      </c>
      <c r="G1315" t="str">
        <f>"2025-12-08 15:21:15.057"</f>
        <v>2025-12-08 15:21:15.057</v>
      </c>
      <c r="H1315" t="s">
        <v>21</v>
      </c>
      <c r="I1315">
        <v>0</v>
      </c>
      <c r="J1315" t="s">
        <v>34</v>
      </c>
    </row>
    <row r="1316" spans="1:10" x14ac:dyDescent="0.25">
      <c r="A1316" s="1">
        <v>338</v>
      </c>
      <c r="B1316" t="s">
        <v>23</v>
      </c>
      <c r="C1316">
        <v>98</v>
      </c>
      <c r="D1316">
        <v>1</v>
      </c>
      <c r="E1316" t="s">
        <v>49</v>
      </c>
      <c r="F1316" t="s">
        <v>50</v>
      </c>
      <c r="G1316" t="str">
        <f>"2025-12-08 15:18:07.657"</f>
        <v>2025-12-08 15:18:07.657</v>
      </c>
      <c r="H1316" t="s">
        <v>21</v>
      </c>
    </row>
    <row r="1317" spans="1:10" x14ac:dyDescent="0.25">
      <c r="A1317" s="1">
        <v>339</v>
      </c>
      <c r="B1317" t="s">
        <v>26</v>
      </c>
      <c r="C1317">
        <v>98</v>
      </c>
      <c r="D1317">
        <v>1</v>
      </c>
      <c r="E1317" t="s">
        <v>49</v>
      </c>
      <c r="F1317" t="s">
        <v>50</v>
      </c>
      <c r="G1317" t="str">
        <f>"2025-12-08 15:18:06.658"</f>
        <v>2025-12-08 15:18:06.658</v>
      </c>
      <c r="H1317" t="s">
        <v>21</v>
      </c>
      <c r="I1317">
        <v>0</v>
      </c>
      <c r="J1317" t="s">
        <v>34</v>
      </c>
    </row>
    <row r="1318" spans="1:10" x14ac:dyDescent="0.25">
      <c r="A1318" s="1">
        <v>342</v>
      </c>
      <c r="B1318" t="s">
        <v>19</v>
      </c>
      <c r="C1318">
        <v>782</v>
      </c>
      <c r="D1318">
        <v>7</v>
      </c>
      <c r="E1318" t="s">
        <v>62</v>
      </c>
      <c r="F1318" t="s">
        <v>63</v>
      </c>
      <c r="G1318" t="str">
        <f>"2025-12-08 15:10:46.010"</f>
        <v>2025-12-08 15:10:46.010</v>
      </c>
      <c r="H1318" t="s">
        <v>21</v>
      </c>
      <c r="I1318">
        <v>0</v>
      </c>
      <c r="J1318" t="s">
        <v>34</v>
      </c>
    </row>
    <row r="1319" spans="1:10" x14ac:dyDescent="0.25">
      <c r="A1319" s="1">
        <v>345</v>
      </c>
      <c r="B1319" t="s">
        <v>23</v>
      </c>
      <c r="C1319">
        <v>12</v>
      </c>
      <c r="D1319">
        <v>2</v>
      </c>
      <c r="E1319" t="s">
        <v>64</v>
      </c>
      <c r="F1319" t="s">
        <v>65</v>
      </c>
      <c r="G1319" t="str">
        <f>"2025-12-08 15:10:46.006"</f>
        <v>2025-12-08 15:10:46.006</v>
      </c>
      <c r="H1319" t="s">
        <v>21</v>
      </c>
    </row>
    <row r="1320" spans="1:10" x14ac:dyDescent="0.25">
      <c r="A1320" s="1">
        <v>346</v>
      </c>
      <c r="B1320" t="s">
        <v>23</v>
      </c>
      <c r="C1320">
        <v>12</v>
      </c>
      <c r="D1320">
        <v>1</v>
      </c>
      <c r="E1320" t="s">
        <v>64</v>
      </c>
      <c r="F1320" t="s">
        <v>66</v>
      </c>
      <c r="G1320" t="str">
        <f>"2025-12-08 15:10:46.005"</f>
        <v>2025-12-08 15:10:46.005</v>
      </c>
      <c r="H1320" t="s">
        <v>21</v>
      </c>
    </row>
    <row r="1321" spans="1:10" x14ac:dyDescent="0.25">
      <c r="A1321" s="1">
        <v>347</v>
      </c>
      <c r="B1321" t="s">
        <v>19</v>
      </c>
      <c r="C1321">
        <v>782</v>
      </c>
      <c r="D1321">
        <v>7</v>
      </c>
      <c r="E1321" t="s">
        <v>62</v>
      </c>
      <c r="F1321" t="s">
        <v>63</v>
      </c>
      <c r="G1321" t="str">
        <f>"2025-12-08 15:10:46.004"</f>
        <v>2025-12-08 15:10:46.004</v>
      </c>
      <c r="H1321" t="s">
        <v>21</v>
      </c>
      <c r="I1321">
        <v>0</v>
      </c>
      <c r="J1321" t="s">
        <v>34</v>
      </c>
    </row>
    <row r="1322" spans="1:10" x14ac:dyDescent="0.25">
      <c r="A1322" s="1">
        <v>348</v>
      </c>
      <c r="B1322" t="s">
        <v>23</v>
      </c>
      <c r="C1322">
        <v>650</v>
      </c>
      <c r="D1322">
        <v>4</v>
      </c>
      <c r="E1322" t="s">
        <v>67</v>
      </c>
      <c r="F1322" t="s">
        <v>68</v>
      </c>
      <c r="G1322" t="str">
        <f>"2025-12-08 15:10:18.758"</f>
        <v>2025-12-08 15:10:18.758</v>
      </c>
      <c r="H1322" t="s">
        <v>21</v>
      </c>
    </row>
    <row r="1323" spans="1:10" x14ac:dyDescent="0.25">
      <c r="A1323" s="1">
        <v>349</v>
      </c>
      <c r="B1323" t="s">
        <v>23</v>
      </c>
      <c r="C1323">
        <v>704</v>
      </c>
      <c r="D1323">
        <v>1</v>
      </c>
      <c r="E1323" t="s">
        <v>69</v>
      </c>
      <c r="F1323" t="s">
        <v>25</v>
      </c>
      <c r="G1323" t="str">
        <f>"2025-12-08 15:09:43.178"</f>
        <v>2025-12-08 15:09:43.178</v>
      </c>
      <c r="H1323" t="s">
        <v>21</v>
      </c>
    </row>
    <row r="1324" spans="1:10" x14ac:dyDescent="0.25">
      <c r="A1324" s="1">
        <v>350</v>
      </c>
      <c r="B1324" t="s">
        <v>19</v>
      </c>
      <c r="C1324">
        <v>719</v>
      </c>
      <c r="D1324">
        <v>5</v>
      </c>
      <c r="E1324" t="s">
        <v>70</v>
      </c>
      <c r="F1324" t="s">
        <v>71</v>
      </c>
      <c r="G1324" t="str">
        <f>"2025-12-08 15:09:40.337"</f>
        <v>2025-12-08 15:09:40.337</v>
      </c>
      <c r="H1324" t="s">
        <v>21</v>
      </c>
      <c r="I1324">
        <v>0</v>
      </c>
      <c r="J1324" t="s">
        <v>34</v>
      </c>
    </row>
    <row r="1325" spans="1:10" x14ac:dyDescent="0.25">
      <c r="A1325" s="1">
        <v>351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"2006-03-28 07:31:09.026"</f>
        <v>2006-03-28 07:31:09.026</v>
      </c>
      <c r="H1325" t="s">
        <v>21</v>
      </c>
      <c r="I1325">
        <v>0</v>
      </c>
      <c r="J1325" t="s">
        <v>22</v>
      </c>
    </row>
    <row r="1326" spans="1:10" x14ac:dyDescent="0.25">
      <c r="A1326" s="1">
        <v>354</v>
      </c>
      <c r="B1326" t="s">
        <v>26</v>
      </c>
      <c r="C1326">
        <v>704</v>
      </c>
      <c r="D1326">
        <v>1</v>
      </c>
      <c r="E1326" t="s">
        <v>69</v>
      </c>
      <c r="F1326" t="s">
        <v>25</v>
      </c>
      <c r="G1326" t="str">
        <f>"2006-03-28 07:25:42.935"</f>
        <v>2006-03-28 07:25:42.935</v>
      </c>
      <c r="H1326" t="s">
        <v>21</v>
      </c>
      <c r="I1326">
        <v>0</v>
      </c>
      <c r="J1326" t="s">
        <v>34</v>
      </c>
    </row>
    <row r="1327" spans="1:10" x14ac:dyDescent="0.25">
      <c r="A1327" s="1">
        <v>355</v>
      </c>
      <c r="B1327" t="s">
        <v>19</v>
      </c>
      <c r="C1327">
        <v>753</v>
      </c>
      <c r="D1327">
        <v>1</v>
      </c>
      <c r="E1327" t="s">
        <v>72</v>
      </c>
      <c r="F1327" t="s">
        <v>73</v>
      </c>
      <c r="G1327" t="str">
        <f>"2006-03-28 07:25:41.502"</f>
        <v>2006-03-28 07:25:41.502</v>
      </c>
      <c r="H1327" t="s">
        <v>21</v>
      </c>
      <c r="I1327">
        <v>0</v>
      </c>
      <c r="J1327" t="s">
        <v>34</v>
      </c>
    </row>
    <row r="1328" spans="1:10" x14ac:dyDescent="0.25">
      <c r="A1328" s="1">
        <v>356</v>
      </c>
      <c r="B1328" t="s">
        <v>38</v>
      </c>
      <c r="C1328">
        <v>641</v>
      </c>
      <c r="D1328">
        <v>1</v>
      </c>
      <c r="E1328" t="s">
        <v>74</v>
      </c>
      <c r="F1328" t="s">
        <v>65</v>
      </c>
      <c r="G1328" t="str">
        <f>"2006-03-28 07:25:35.801"</f>
        <v>2006-03-28 07:25:35.801</v>
      </c>
      <c r="H1328" t="s">
        <v>21</v>
      </c>
      <c r="I1328">
        <v>0</v>
      </c>
      <c r="J1328" t="s">
        <v>34</v>
      </c>
    </row>
    <row r="1329" spans="1:10" x14ac:dyDescent="0.25">
      <c r="A1329" s="1">
        <v>357</v>
      </c>
      <c r="B1329" t="s">
        <v>38</v>
      </c>
      <c r="C1329">
        <v>640</v>
      </c>
      <c r="D1329">
        <v>1</v>
      </c>
      <c r="E1329" t="s">
        <v>75</v>
      </c>
      <c r="F1329" t="s">
        <v>66</v>
      </c>
      <c r="G1329" t="str">
        <f>"2006-03-28 07:25:35.792"</f>
        <v>2006-03-28 07:25:35.792</v>
      </c>
      <c r="H1329" t="s">
        <v>52</v>
      </c>
      <c r="I1329">
        <v>0</v>
      </c>
      <c r="J1329" t="s">
        <v>34</v>
      </c>
    </row>
    <row r="1330" spans="1:10" x14ac:dyDescent="0.25">
      <c r="A1330" s="1">
        <v>358</v>
      </c>
      <c r="B1330" t="s">
        <v>26</v>
      </c>
      <c r="C1330">
        <v>12</v>
      </c>
      <c r="D1330">
        <v>1</v>
      </c>
      <c r="E1330" t="s">
        <v>64</v>
      </c>
      <c r="F1330" t="s">
        <v>66</v>
      </c>
      <c r="G1330" t="str">
        <f>"2006-03-28 07:25:29.653"</f>
        <v>2006-03-28 07:25:29.653</v>
      </c>
      <c r="H1330" t="s">
        <v>21</v>
      </c>
      <c r="I1330">
        <v>0</v>
      </c>
      <c r="J1330" t="s">
        <v>34</v>
      </c>
    </row>
    <row r="1331" spans="1:10" x14ac:dyDescent="0.25">
      <c r="A1331" s="1">
        <v>359</v>
      </c>
      <c r="B1331" t="s">
        <v>26</v>
      </c>
      <c r="C1331">
        <v>12</v>
      </c>
      <c r="D1331">
        <v>2</v>
      </c>
      <c r="E1331" t="s">
        <v>64</v>
      </c>
      <c r="F1331" t="s">
        <v>65</v>
      </c>
      <c r="G1331" t="str">
        <f>"2006-03-28 07:25:29.555"</f>
        <v>2006-03-28 07:25:29.555</v>
      </c>
      <c r="H1331" t="s">
        <v>21</v>
      </c>
      <c r="I1331">
        <v>0</v>
      </c>
      <c r="J1331" t="s">
        <v>34</v>
      </c>
    </row>
    <row r="1332" spans="1:10" x14ac:dyDescent="0.25">
      <c r="A1332" s="1">
        <v>360</v>
      </c>
      <c r="B1332" t="s">
        <v>26</v>
      </c>
      <c r="C1332">
        <v>650</v>
      </c>
      <c r="D1332">
        <v>4</v>
      </c>
      <c r="E1332" t="s">
        <v>67</v>
      </c>
      <c r="F1332" t="s">
        <v>68</v>
      </c>
      <c r="G1332" t="str">
        <f>"2006-03-28 07:25:28.260"</f>
        <v>2006-03-28 07:25:28.260</v>
      </c>
      <c r="H1332" t="s">
        <v>21</v>
      </c>
      <c r="I1332">
        <v>0</v>
      </c>
      <c r="J1332" t="s">
        <v>22</v>
      </c>
    </row>
    <row r="1333" spans="1:10" x14ac:dyDescent="0.25">
      <c r="A1333" s="1">
        <v>361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"2006-03-28 07:25:25.622"</f>
        <v>2006-03-28 07:25:25.622</v>
      </c>
      <c r="H1333" t="s">
        <v>21</v>
      </c>
      <c r="I1333">
        <v>0</v>
      </c>
      <c r="J1333" t="s">
        <v>22</v>
      </c>
    </row>
  </sheetData>
  <autoFilter ref="C1:C1333" xr:uid="{1E238427-BDFE-4A85-8CCE-3F8D38D9ECB1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121814-099A-4A47-9AC5-426EE5933E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events_ru_89_20260616-210538 98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2026-06-16T21:53:57Z</dcterms:modified>
</cp:coreProperties>
</file>
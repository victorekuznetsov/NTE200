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4739909-0E18-492E-8827-015AE628AD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5_20260515-100604 95" sheetId="2" r:id="rId1"/>
    <sheet name="Лист1" sheetId="1" r:id="rId2"/>
  </sheets>
  <definedNames>
    <definedName name="_xlnm._FilterDatabase" localSheetId="0" hidden="1">'events_ru_75_20260515-100604 95'!$A$9:$J$1854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533DE0-8112-4B90-A2E9-0175A8F41028}" keepAlive="1" name="Запрос — events_ru_75_20260515-100604 950" description="Соединение с запросом &quot;events_ru_75_20260515-100604 950&quot; в книге." type="5" refreshedVersion="0" background="1">
    <dbPr connection="Provider=Microsoft.Mashup.OleDb.1;Data Source=$Workbook$;Location=&quot;events_ru_75_20260515-100604 950&quot;;Extended Properties=&quot;&quot;" command="SELECT * FROM [events_ru_75_20260515-100604 950]"/>
  </connection>
</connections>
</file>

<file path=xl/sharedStrings.xml><?xml version="1.0" encoding="utf-8"?>
<sst xmlns="http://schemas.openxmlformats.org/spreadsheetml/2006/main" count="8551" uniqueCount="115">
  <si>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</si>
  <si>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</si>
  <si>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</si>
  <si>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</si>
  <si>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</si>
  <si>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</si>
  <si>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</si>
  <si>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</si>
  <si>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</si>
  <si>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</si>
  <si>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</si>
  <si>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</si>
  <si>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</si>
  <si>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</si>
  <si>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</si>
  <si>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</si>
  <si>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</si>
  <si>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</si>
  <si>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</si>
  <si>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</si>
  <si>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Температура окружающего воздуха вне пределов</t>
  </si>
  <si>
    <t>Высокий</t>
  </si>
  <si>
    <t>Неограничивающее событие</t>
  </si>
  <si>
    <t>Log+</t>
  </si>
  <si>
    <t>Test</t>
  </si>
  <si>
    <t>----</t>
  </si>
  <si>
    <t>--Включение питания системы--</t>
  </si>
  <si>
    <t>Null</t>
  </si>
  <si>
    <t>Самосвал перегружен - NR</t>
  </si>
  <si>
    <t>Не доступно</t>
  </si>
  <si>
    <t>Propel</t>
  </si>
  <si>
    <t>Retard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</si>
  <si>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</si>
  <si>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</si>
  <si>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</si>
  <si>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</si>
  <si>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Введен безопасный режим файловой системы - Низкий заряд батареи</t>
  </si>
  <si>
    <t xml:space="preserve">Log </t>
  </si>
  <si>
    <t>Вход в безопасный режим файловой системы - Запуск двигателя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</si>
  <si>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</si>
  <si>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</si>
  <si>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</si>
  <si>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ARst</t>
  </si>
  <si>
    <t>Ошибка ЗПТ</t>
  </si>
  <si>
    <t>КЗ ЗПТ или отказ цепи возбуждения от АКБ</t>
  </si>
  <si>
    <t>Нет питания</t>
  </si>
  <si>
    <t>Команда сохранения данных PTU</t>
  </si>
  <si>
    <t>Инициированное водителем сохранение данных</t>
  </si>
  <si>
    <t>Ready</t>
  </si>
  <si>
    <t>Рабочий тормоз на ходу</t>
  </si>
  <si>
    <t>Рабочие тормоза использованы на ходу</t>
  </si>
  <si>
    <t>Превышении скорости</t>
  </si>
  <si>
    <t>Управление скоростью - превышение</t>
  </si>
  <si>
    <t xml:space="preserve">TMC2 ИНВ Фаза А+ </t>
  </si>
  <si>
    <t>Сбой источника питания IGBT в A+</t>
  </si>
  <si>
    <t>Инв2 Выкл</t>
  </si>
  <si>
    <t>TMC1 Фаза С+ ИНВ</t>
  </si>
  <si>
    <t>Сбой источника питания IGBT фаза С+</t>
  </si>
  <si>
    <t>Инв1 Выкл</t>
  </si>
  <si>
    <t>WRst</t>
  </si>
  <si>
    <t>Самопроизвольный останов ДВС</t>
  </si>
  <si>
    <t>Unrequested Engine Speed Drop - While Stopped</t>
  </si>
  <si>
    <t>Вход в безопасный режим файловой системы - Ключ или CPS</t>
  </si>
  <si>
    <t>Rest</t>
  </si>
  <si>
    <t>Останов ДВС во время движения</t>
  </si>
  <si>
    <t>Запрет тяги</t>
  </si>
  <si>
    <t>Установка часов реального времени</t>
  </si>
  <si>
    <t>через WebPTU</t>
  </si>
  <si>
    <t>Тест VI не пройден</t>
  </si>
  <si>
    <t>Инвертор</t>
  </si>
  <si>
    <t>TMC2 Система ИНВ</t>
  </si>
  <si>
    <t>TIC системной связи не обновляется</t>
  </si>
  <si>
    <t>Reset All Faults</t>
  </si>
  <si>
    <t>Zero</t>
  </si>
  <si>
    <t>Получено предупреждение ДВС</t>
  </si>
  <si>
    <t>TMC1 Фаза С+/фаза С- ИНВ</t>
  </si>
  <si>
    <t>Ошибка насыщения IGBT фаза С+</t>
  </si>
  <si>
    <t>TMC1 Фаза В+ ИНВ</t>
  </si>
  <si>
    <t>Сбой источника питания IGBT фаза В+</t>
  </si>
  <si>
    <t>TMC1 Фаза С- ИНВ</t>
  </si>
  <si>
    <t>Модули фаз С+ и С- вкл.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</si>
  <si>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</si>
  <si>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</si>
  <si>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</si>
  <si>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Su-Sd</t>
  </si>
  <si>
    <t>Модуль фазы С+ не выключился</t>
  </si>
  <si>
    <t>Сбой источника питания IGBT фаза С-</t>
  </si>
  <si>
    <t>Превышение тока обмотки возбуждения генератора</t>
  </si>
  <si>
    <t>Мгновенно</t>
  </si>
  <si>
    <t>С инерцией</t>
  </si>
  <si>
    <t>Превышение тока третичной обмотки</t>
  </si>
  <si>
    <t>Слишком высокий ток третичной обмотки генератора</t>
  </si>
  <si>
    <t>КЗ на землю</t>
  </si>
  <si>
    <t>Ток утечки превысил пороговое значение</t>
  </si>
  <si>
    <t>TMC1 Фаза А- ИНВ</t>
  </si>
  <si>
    <t>Модуль фазы А- не выключился</t>
  </si>
  <si>
    <t>Сравнение CMD скорости вращения ДВС</t>
  </si>
  <si>
    <t>ОБ/МИН не соответствуют команде</t>
  </si>
  <si>
    <t>Низкая мощность</t>
  </si>
  <si>
    <t>Регулировка мощности в отрицательной зоне</t>
  </si>
  <si>
    <t>Низкое напряжение АКБ</t>
  </si>
  <si>
    <t>Низкий заряд АКБ 24В КС - ДВС остановлен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</si>
  <si>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</si>
  <si>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</si>
  <si>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</si>
  <si>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</si>
  <si>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</si>
  <si>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</si>
  <si>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Педаль акслератора вне пределов - низкий уровень</t>
  </si>
  <si>
    <t>Педаль акслератора вне пределов - высокий уровень</t>
  </si>
  <si>
    <t>Доступно обновление ПО</t>
  </si>
  <si>
    <t>Инвертор 2</t>
  </si>
  <si>
    <t>Инвертор 1</t>
  </si>
  <si>
    <t>--Обновлена версия ПО--</t>
  </si>
  <si>
    <t>Приложение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</si>
</sst>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93A0D-C024-4409-92E6-63C6A2FFDC6A}">
  <dimension ref="A1:J1854"/>
  <sheetViews>
    <sheetView tabSelected="1" workbookViewId="0">
      <selection activeCell="D152" sqref="D152"/>
    </sheetView>
  </sheetViews>
  <sheetFormatPr defaultRowHeight="15" x14ac:dyDescent="0.25"/>
  <cols>
    <col min="1" max="1" width="16" bestFit="1" customWidth="1"/>
    <col min="5" max="5" width="49" customWidth="1"/>
    <col min="6" max="6" width="67" bestFit="1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"2026-05-15 10:06:04.950"</f>
        <v>2026-05-15 10:06:04.950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631</v>
      </c>
      <c r="D10">
        <v>2</v>
      </c>
      <c r="E10" t="s">
        <v>20</v>
      </c>
      <c r="F10" t="s">
        <v>21</v>
      </c>
      <c r="G10" t="str">
        <f>"2026-05-15 09:43:37.180"</f>
        <v>2026-05-15 09:43:37.180</v>
      </c>
      <c r="H10" t="s">
        <v>22</v>
      </c>
    </row>
    <row r="11" spans="1:10" x14ac:dyDescent="0.25">
      <c r="A11" s="1"/>
      <c r="B11" t="s">
        <v>23</v>
      </c>
      <c r="C11">
        <v>631</v>
      </c>
      <c r="D11">
        <v>2</v>
      </c>
      <c r="E11" t="s">
        <v>20</v>
      </c>
      <c r="F11" t="s">
        <v>21</v>
      </c>
      <c r="G11" t="str">
        <f>"2026-05-15 09:28:31.380"</f>
        <v>2026-05-15 09:28:31.380</v>
      </c>
      <c r="H11" t="s">
        <v>22</v>
      </c>
      <c r="I11">
        <v>0</v>
      </c>
      <c r="J11" t="s">
        <v>24</v>
      </c>
    </row>
    <row r="12" spans="1:10" x14ac:dyDescent="0.25">
      <c r="A12" s="1"/>
      <c r="B12" t="s">
        <v>25</v>
      </c>
      <c r="C12">
        <v>700</v>
      </c>
      <c r="D12">
        <v>0</v>
      </c>
      <c r="E12" t="s">
        <v>26</v>
      </c>
      <c r="F12" t="s">
        <v>26</v>
      </c>
      <c r="G12" t="str">
        <f>"2026-05-15 09:28:18.089"</f>
        <v>2026-05-15 09:28:18.089</v>
      </c>
      <c r="H12" t="s">
        <v>22</v>
      </c>
      <c r="I12">
        <v>0</v>
      </c>
      <c r="J12" t="s">
        <v>27</v>
      </c>
    </row>
    <row r="13" spans="1:10" x14ac:dyDescent="0.25">
      <c r="A13" s="1"/>
      <c r="B13" t="s">
        <v>19</v>
      </c>
      <c r="C13">
        <v>635</v>
      </c>
      <c r="D13">
        <v>1</v>
      </c>
      <c r="E13" t="s">
        <v>28</v>
      </c>
      <c r="F13" t="s">
        <v>29</v>
      </c>
      <c r="G13" t="str">
        <f>"2026-05-15 06:29:54.368"</f>
        <v>2026-05-15 06:29:54.368</v>
      </c>
      <c r="H13" t="s">
        <v>22</v>
      </c>
    </row>
    <row r="14" spans="1:10" x14ac:dyDescent="0.25">
      <c r="A14" s="1"/>
      <c r="B14" t="s">
        <v>23</v>
      </c>
      <c r="C14">
        <v>635</v>
      </c>
      <c r="D14">
        <v>1</v>
      </c>
      <c r="E14" t="s">
        <v>28</v>
      </c>
      <c r="F14" t="s">
        <v>29</v>
      </c>
      <c r="G14" t="str">
        <f>"2026-05-15 06:25:43.868"</f>
        <v>2026-05-15 06:25:43.868</v>
      </c>
      <c r="H14" t="s">
        <v>22</v>
      </c>
      <c r="I14">
        <v>4.09</v>
      </c>
      <c r="J14" t="s">
        <v>30</v>
      </c>
    </row>
    <row r="15" spans="1:10" x14ac:dyDescent="0.25">
      <c r="A15" s="1"/>
      <c r="B15" t="s">
        <v>19</v>
      </c>
      <c r="C15">
        <v>635</v>
      </c>
      <c r="D15">
        <v>1</v>
      </c>
      <c r="E15" t="s">
        <v>28</v>
      </c>
      <c r="F15" t="s">
        <v>29</v>
      </c>
      <c r="G15" t="str">
        <f>"2026-05-15 02:57:56.768"</f>
        <v>2026-05-15 02:57:56.768</v>
      </c>
      <c r="H15" t="s">
        <v>22</v>
      </c>
    </row>
    <row r="16" spans="1:10" x14ac:dyDescent="0.25">
      <c r="A16" s="1"/>
      <c r="B16" t="s">
        <v>23</v>
      </c>
      <c r="C16">
        <v>635</v>
      </c>
      <c r="D16">
        <v>1</v>
      </c>
      <c r="E16" t="s">
        <v>28</v>
      </c>
      <c r="F16" t="s">
        <v>29</v>
      </c>
      <c r="G16" t="str">
        <f>"2026-05-15 02:54:12.768"</f>
        <v>2026-05-15 02:54:12.768</v>
      </c>
      <c r="H16" t="s">
        <v>22</v>
      </c>
      <c r="I16">
        <v>4.95</v>
      </c>
      <c r="J16" t="s">
        <v>30</v>
      </c>
    </row>
    <row r="17" spans="1:10" x14ac:dyDescent="0.25">
      <c r="A17" s="1"/>
      <c r="B17" t="s">
        <v>19</v>
      </c>
      <c r="C17">
        <v>635</v>
      </c>
      <c r="D17">
        <v>1</v>
      </c>
      <c r="E17" t="s">
        <v>28</v>
      </c>
      <c r="F17" t="s">
        <v>29</v>
      </c>
      <c r="G17" t="str">
        <f>"2026-05-14 23:13:12.168"</f>
        <v>2026-05-14 23:13:12.168</v>
      </c>
      <c r="H17" t="s">
        <v>22</v>
      </c>
    </row>
    <row r="18" spans="1:10" x14ac:dyDescent="0.25">
      <c r="A18" s="1"/>
      <c r="B18" t="s">
        <v>23</v>
      </c>
      <c r="C18">
        <v>635</v>
      </c>
      <c r="D18">
        <v>1</v>
      </c>
      <c r="E18" t="s">
        <v>28</v>
      </c>
      <c r="F18" t="s">
        <v>29</v>
      </c>
      <c r="G18" t="str">
        <f>"2026-05-14 23:08:26.168"</f>
        <v>2026-05-14 23:08:26.168</v>
      </c>
      <c r="H18" t="s">
        <v>22</v>
      </c>
      <c r="I18">
        <v>1.94</v>
      </c>
      <c r="J18" t="s">
        <v>31</v>
      </c>
    </row>
    <row r="19" spans="1:10" x14ac:dyDescent="0.25">
      <c r="A19" s="1"/>
      <c r="B19" t="s">
        <v>19</v>
      </c>
      <c r="C19">
        <v>630</v>
      </c>
      <c r="D19">
        <v>5</v>
      </c>
      <c r="E19" t="s">
        <v>32</v>
      </c>
      <c r="F19" t="s">
        <v>33</v>
      </c>
      <c r="G19" t="str">
        <f>"2026-05-14 02:07:56.568"</f>
        <v>2026-05-14 02:07:56.568</v>
      </c>
      <c r="H19" t="s">
        <v>34</v>
      </c>
    </row>
    <row r="20" spans="1:10" x14ac:dyDescent="0.25">
      <c r="A20" s="1">
        <v>0</v>
      </c>
      <c r="B20" t="s">
        <v>25</v>
      </c>
      <c r="C20">
        <v>706</v>
      </c>
      <c r="D20">
        <v>4</v>
      </c>
      <c r="E20" t="s">
        <v>35</v>
      </c>
      <c r="F20" t="s">
        <v>36</v>
      </c>
      <c r="G20" t="str">
        <f>"2026-05-14 02:07:26.431"</f>
        <v>2026-05-14 02:07:26.431</v>
      </c>
      <c r="H20" t="s">
        <v>22</v>
      </c>
      <c r="I20">
        <v>0</v>
      </c>
      <c r="J20" t="s">
        <v>24</v>
      </c>
    </row>
    <row r="21" spans="1:10" x14ac:dyDescent="0.25">
      <c r="A21" s="1">
        <v>1</v>
      </c>
      <c r="B21" t="s">
        <v>37</v>
      </c>
      <c r="C21">
        <v>630</v>
      </c>
      <c r="D21">
        <v>5</v>
      </c>
      <c r="E21" t="s">
        <v>32</v>
      </c>
      <c r="F21" t="s">
        <v>33</v>
      </c>
      <c r="G21" t="str">
        <f>"2026-05-14 02:01:34.569"</f>
        <v>2026-05-14 02:01:34.569</v>
      </c>
      <c r="H21" t="s">
        <v>34</v>
      </c>
      <c r="I21">
        <v>0</v>
      </c>
      <c r="J21" t="s">
        <v>24</v>
      </c>
    </row>
    <row r="22" spans="1:10" x14ac:dyDescent="0.25">
      <c r="A22" s="1">
        <v>2</v>
      </c>
      <c r="B22" t="s">
        <v>25</v>
      </c>
      <c r="C22">
        <v>700</v>
      </c>
      <c r="D22">
        <v>0</v>
      </c>
      <c r="E22" t="s">
        <v>26</v>
      </c>
      <c r="F22" t="s">
        <v>26</v>
      </c>
      <c r="G22" t="str">
        <f>"2026-05-14 01:56:31.901"</f>
        <v>2026-05-14 01:56:31.901</v>
      </c>
      <c r="H22" t="s">
        <v>22</v>
      </c>
      <c r="I22">
        <v>0</v>
      </c>
      <c r="J22" t="s">
        <v>27</v>
      </c>
    </row>
    <row r="23" spans="1:10" x14ac:dyDescent="0.25">
      <c r="A23" s="1">
        <v>3</v>
      </c>
      <c r="B23" t="s">
        <v>19</v>
      </c>
      <c r="C23">
        <v>630</v>
      </c>
      <c r="D23">
        <v>5</v>
      </c>
      <c r="E23" t="s">
        <v>32</v>
      </c>
      <c r="F23" t="s">
        <v>33</v>
      </c>
      <c r="G23" t="str">
        <f>"2026-05-13 13:38:29.794"</f>
        <v>2026-05-13 13:38:29.794</v>
      </c>
      <c r="H23" t="s">
        <v>34</v>
      </c>
    </row>
    <row r="24" spans="1:10" x14ac:dyDescent="0.25">
      <c r="A24" s="1">
        <v>4</v>
      </c>
      <c r="B24" t="s">
        <v>25</v>
      </c>
      <c r="C24">
        <v>706</v>
      </c>
      <c r="D24">
        <v>4</v>
      </c>
      <c r="E24" t="s">
        <v>35</v>
      </c>
      <c r="F24" t="s">
        <v>36</v>
      </c>
      <c r="G24" t="str">
        <f>"2026-05-13 13:37:59.750"</f>
        <v>2026-05-13 13:37:59.750</v>
      </c>
      <c r="H24" t="s">
        <v>22</v>
      </c>
      <c r="I24">
        <v>0</v>
      </c>
      <c r="J24" t="s">
        <v>24</v>
      </c>
    </row>
    <row r="25" spans="1:10" x14ac:dyDescent="0.25">
      <c r="A25" s="1">
        <v>5</v>
      </c>
      <c r="B25" t="s">
        <v>37</v>
      </c>
      <c r="C25">
        <v>630</v>
      </c>
      <c r="D25">
        <v>5</v>
      </c>
      <c r="E25" t="s">
        <v>32</v>
      </c>
      <c r="F25" t="s">
        <v>33</v>
      </c>
      <c r="G25" t="str">
        <f>"2026-05-13 12:38:58.894"</f>
        <v>2026-05-13 12:38:58.894</v>
      </c>
      <c r="H25" t="s">
        <v>34</v>
      </c>
      <c r="I25">
        <v>0</v>
      </c>
      <c r="J25" t="s">
        <v>24</v>
      </c>
    </row>
    <row r="26" spans="1:10" x14ac:dyDescent="0.25">
      <c r="A26" s="1">
        <v>6</v>
      </c>
      <c r="B26" t="s">
        <v>19</v>
      </c>
      <c r="C26">
        <v>635</v>
      </c>
      <c r="D26">
        <v>1</v>
      </c>
      <c r="E26" t="s">
        <v>28</v>
      </c>
      <c r="F26" t="s">
        <v>29</v>
      </c>
      <c r="G26" t="str">
        <f>"2026-05-11 12:01:18.892"</f>
        <v>2026-05-11 12:01:18.892</v>
      </c>
      <c r="H26" t="s">
        <v>22</v>
      </c>
    </row>
    <row r="27" spans="1:10" x14ac:dyDescent="0.25">
      <c r="A27" s="1">
        <v>7</v>
      </c>
      <c r="B27" t="s">
        <v>23</v>
      </c>
      <c r="C27">
        <v>635</v>
      </c>
      <c r="D27">
        <v>1</v>
      </c>
      <c r="E27" t="s">
        <v>28</v>
      </c>
      <c r="F27" t="s">
        <v>29</v>
      </c>
      <c r="G27" t="str">
        <f>"2026-05-11 11:58:30.393"</f>
        <v>2026-05-11 11:58:30.393</v>
      </c>
      <c r="H27" t="s">
        <v>22</v>
      </c>
      <c r="I27">
        <v>2.2400000000000002</v>
      </c>
      <c r="J27" t="s">
        <v>31</v>
      </c>
    </row>
    <row r="28" spans="1:10" x14ac:dyDescent="0.25">
      <c r="A28" s="1">
        <v>8</v>
      </c>
      <c r="B28" t="s">
        <v>19</v>
      </c>
      <c r="C28">
        <v>630</v>
      </c>
      <c r="D28">
        <v>5</v>
      </c>
      <c r="E28" t="s">
        <v>32</v>
      </c>
      <c r="F28" t="s">
        <v>33</v>
      </c>
      <c r="G28" t="str">
        <f>"2026-05-11 10:19:10.594"</f>
        <v>2026-05-11 10:19:10.594</v>
      </c>
      <c r="H28" t="s">
        <v>34</v>
      </c>
    </row>
    <row r="29" spans="1:10" x14ac:dyDescent="0.25">
      <c r="A29" s="1">
        <v>9</v>
      </c>
      <c r="B29" t="s">
        <v>25</v>
      </c>
      <c r="C29">
        <v>706</v>
      </c>
      <c r="D29">
        <v>4</v>
      </c>
      <c r="E29" t="s">
        <v>35</v>
      </c>
      <c r="F29" t="s">
        <v>36</v>
      </c>
      <c r="G29" t="str">
        <f>"2026-05-11 10:18:40.540"</f>
        <v>2026-05-11 10:18:40.540</v>
      </c>
      <c r="H29" t="s">
        <v>22</v>
      </c>
      <c r="I29">
        <v>0</v>
      </c>
      <c r="J29" t="s">
        <v>24</v>
      </c>
    </row>
    <row r="30" spans="1:10" x14ac:dyDescent="0.25">
      <c r="A30" s="1">
        <v>0</v>
      </c>
      <c r="B30" t="s">
        <v>37</v>
      </c>
      <c r="C30">
        <v>630</v>
      </c>
      <c r="D30">
        <v>5</v>
      </c>
      <c r="E30" t="s">
        <v>32</v>
      </c>
      <c r="F30" t="s">
        <v>33</v>
      </c>
      <c r="G30" t="str">
        <f>"2026-05-11 10:18:34.294"</f>
        <v>2026-05-11 10:18:34.294</v>
      </c>
      <c r="H30" t="s">
        <v>34</v>
      </c>
      <c r="I30">
        <v>0</v>
      </c>
      <c r="J30" t="s">
        <v>24</v>
      </c>
    </row>
    <row r="31" spans="1:10" x14ac:dyDescent="0.25">
      <c r="A31" s="1">
        <v>1</v>
      </c>
      <c r="B31" t="s">
        <v>19</v>
      </c>
      <c r="C31">
        <v>630</v>
      </c>
      <c r="D31">
        <v>5</v>
      </c>
      <c r="E31" t="s">
        <v>32</v>
      </c>
      <c r="F31" t="s">
        <v>33</v>
      </c>
      <c r="G31" t="str">
        <f>"2026-05-10 13:07:31.694"</f>
        <v>2026-05-10 13:07:31.694</v>
      </c>
      <c r="H31" t="s">
        <v>34</v>
      </c>
    </row>
    <row r="32" spans="1:10" x14ac:dyDescent="0.25">
      <c r="A32" s="1">
        <v>2</v>
      </c>
      <c r="B32" t="s">
        <v>25</v>
      </c>
      <c r="C32">
        <v>706</v>
      </c>
      <c r="D32">
        <v>2</v>
      </c>
      <c r="E32" t="s">
        <v>35</v>
      </c>
      <c r="F32" t="s">
        <v>38</v>
      </c>
      <c r="G32" t="str">
        <f>"2026-05-10 13:07:01.550"</f>
        <v>2026-05-10 13:07:01.550</v>
      </c>
      <c r="H32" t="s">
        <v>22</v>
      </c>
      <c r="I32">
        <v>0</v>
      </c>
      <c r="J32" t="s">
        <v>24</v>
      </c>
    </row>
    <row r="33" spans="1:10" x14ac:dyDescent="0.25">
      <c r="A33" s="1">
        <v>3</v>
      </c>
      <c r="B33" t="s">
        <v>37</v>
      </c>
      <c r="C33">
        <v>630</v>
      </c>
      <c r="D33">
        <v>5</v>
      </c>
      <c r="E33" t="s">
        <v>32</v>
      </c>
      <c r="F33" t="s">
        <v>33</v>
      </c>
      <c r="G33" t="str">
        <f>"2026-05-10 13:00:09.494"</f>
        <v>2026-05-10 13:00:09.494</v>
      </c>
      <c r="H33" t="s">
        <v>34</v>
      </c>
      <c r="I33">
        <v>0</v>
      </c>
      <c r="J33" t="s">
        <v>24</v>
      </c>
    </row>
    <row r="34" spans="1:10" x14ac:dyDescent="0.25">
      <c r="A34" s="1">
        <v>4</v>
      </c>
      <c r="B34" t="s">
        <v>25</v>
      </c>
      <c r="C34">
        <v>706</v>
      </c>
      <c r="D34">
        <v>4</v>
      </c>
      <c r="E34" t="s">
        <v>35</v>
      </c>
      <c r="F34" t="s">
        <v>36</v>
      </c>
      <c r="G34" t="str">
        <f>"2026-05-10 08:10:58.140"</f>
        <v>2026-05-10 08:10:58.140</v>
      </c>
      <c r="H34" t="s">
        <v>22</v>
      </c>
      <c r="I34">
        <v>0</v>
      </c>
      <c r="J34" t="s">
        <v>24</v>
      </c>
    </row>
    <row r="35" spans="1:10" x14ac:dyDescent="0.25">
      <c r="A35" s="1">
        <v>5</v>
      </c>
      <c r="B35" t="s">
        <v>25</v>
      </c>
      <c r="C35">
        <v>706</v>
      </c>
      <c r="D35">
        <v>4</v>
      </c>
      <c r="E35" t="s">
        <v>35</v>
      </c>
      <c r="F35" t="s">
        <v>36</v>
      </c>
      <c r="G35" t="str">
        <f>"2026-05-09 13:10:18.850"</f>
        <v>2026-05-09 13:10:18.850</v>
      </c>
      <c r="H35" t="s">
        <v>22</v>
      </c>
      <c r="I35">
        <v>0</v>
      </c>
      <c r="J35" t="s">
        <v>24</v>
      </c>
    </row>
    <row r="36" spans="1:10" x14ac:dyDescent="0.25">
      <c r="A36" s="1">
        <v>6</v>
      </c>
      <c r="B36" t="s">
        <v>19</v>
      </c>
      <c r="C36">
        <v>635</v>
      </c>
      <c r="D36">
        <v>1</v>
      </c>
      <c r="E36" t="s">
        <v>28</v>
      </c>
      <c r="F36" t="s">
        <v>29</v>
      </c>
      <c r="G36" t="str">
        <f>"2026-05-07 23:57:35.293"</f>
        <v>2026-05-07 23:57:35.293</v>
      </c>
      <c r="H36" t="s">
        <v>22</v>
      </c>
    </row>
    <row r="37" spans="1:10" x14ac:dyDescent="0.25">
      <c r="A37" s="1">
        <v>7</v>
      </c>
      <c r="B37" t="s">
        <v>23</v>
      </c>
      <c r="C37">
        <v>635</v>
      </c>
      <c r="D37">
        <v>1</v>
      </c>
      <c r="E37" t="s">
        <v>28</v>
      </c>
      <c r="F37" t="s">
        <v>29</v>
      </c>
      <c r="G37" t="str">
        <f>"2026-05-07 23:24:57.893"</f>
        <v>2026-05-07 23:24:57.893</v>
      </c>
      <c r="H37" t="s">
        <v>22</v>
      </c>
      <c r="I37">
        <v>7.34</v>
      </c>
      <c r="J37" t="s">
        <v>30</v>
      </c>
    </row>
    <row r="38" spans="1:10" x14ac:dyDescent="0.25">
      <c r="A38" s="1">
        <v>9</v>
      </c>
      <c r="B38" t="s">
        <v>19</v>
      </c>
      <c r="C38">
        <v>630</v>
      </c>
      <c r="D38">
        <v>5</v>
      </c>
      <c r="E38" t="s">
        <v>32</v>
      </c>
      <c r="F38" t="s">
        <v>33</v>
      </c>
      <c r="G38" t="str">
        <f>"2026-05-07 12:03:44.294"</f>
        <v>2026-05-07 12:03:44.294</v>
      </c>
      <c r="H38" t="s">
        <v>34</v>
      </c>
    </row>
    <row r="39" spans="1:10" x14ac:dyDescent="0.25">
      <c r="A39" s="1">
        <v>0</v>
      </c>
      <c r="B39" t="s">
        <v>25</v>
      </c>
      <c r="C39">
        <v>706</v>
      </c>
      <c r="D39">
        <v>2</v>
      </c>
      <c r="E39" t="s">
        <v>35</v>
      </c>
      <c r="F39" t="s">
        <v>38</v>
      </c>
      <c r="G39" t="str">
        <f>"2026-05-07 12:03:14.150"</f>
        <v>2026-05-07 12:03:14.150</v>
      </c>
      <c r="H39" t="s">
        <v>22</v>
      </c>
      <c r="I39">
        <v>0</v>
      </c>
      <c r="J39" t="s">
        <v>24</v>
      </c>
    </row>
    <row r="40" spans="1:10" x14ac:dyDescent="0.25">
      <c r="A40" s="1">
        <v>1</v>
      </c>
      <c r="B40" t="s">
        <v>37</v>
      </c>
      <c r="C40">
        <v>630</v>
      </c>
      <c r="D40">
        <v>5</v>
      </c>
      <c r="E40" t="s">
        <v>32</v>
      </c>
      <c r="F40" t="s">
        <v>33</v>
      </c>
      <c r="G40" t="str">
        <f>"2026-05-07 11:58:44.394"</f>
        <v>2026-05-07 11:58:44.394</v>
      </c>
      <c r="H40" t="s">
        <v>34</v>
      </c>
      <c r="I40">
        <v>0</v>
      </c>
      <c r="J40" t="s">
        <v>24</v>
      </c>
    </row>
    <row r="41" spans="1:10" x14ac:dyDescent="0.25">
      <c r="A41" s="1">
        <v>2</v>
      </c>
      <c r="B41" t="s">
        <v>25</v>
      </c>
      <c r="C41">
        <v>700</v>
      </c>
      <c r="D41">
        <v>0</v>
      </c>
      <c r="E41" t="s">
        <v>26</v>
      </c>
      <c r="F41" t="s">
        <v>26</v>
      </c>
      <c r="G41" t="str">
        <f>"2026-05-06 23:24:38.890"</f>
        <v>2026-05-06 23:24:38.890</v>
      </c>
      <c r="H41" t="s">
        <v>22</v>
      </c>
    </row>
    <row r="42" spans="1:10" x14ac:dyDescent="0.25">
      <c r="A42" s="1">
        <v>3</v>
      </c>
      <c r="B42" t="s">
        <v>25</v>
      </c>
      <c r="C42">
        <v>700</v>
      </c>
      <c r="D42">
        <v>0</v>
      </c>
      <c r="E42" t="s">
        <v>26</v>
      </c>
      <c r="F42" t="s">
        <v>26</v>
      </c>
      <c r="G42" t="str">
        <f>"2026-05-05 09:59:44.879"</f>
        <v>2026-05-05 09:59:44.879</v>
      </c>
      <c r="H42" t="s">
        <v>22</v>
      </c>
      <c r="I42">
        <v>0</v>
      </c>
      <c r="J42" t="s">
        <v>27</v>
      </c>
    </row>
    <row r="43" spans="1:10" x14ac:dyDescent="0.25">
      <c r="A43" s="1">
        <v>4</v>
      </c>
      <c r="B43" t="s">
        <v>25</v>
      </c>
      <c r="C43">
        <v>706</v>
      </c>
      <c r="D43">
        <v>2</v>
      </c>
      <c r="E43" t="s">
        <v>35</v>
      </c>
      <c r="F43" t="s">
        <v>38</v>
      </c>
      <c r="G43" t="str">
        <f>"2026-05-05 08:40:22.742"</f>
        <v>2026-05-05 08:40:22.742</v>
      </c>
      <c r="H43" t="s">
        <v>22</v>
      </c>
      <c r="I43">
        <v>0</v>
      </c>
      <c r="J43" t="s">
        <v>24</v>
      </c>
    </row>
    <row r="44" spans="1:10" x14ac:dyDescent="0.25">
      <c r="A44" s="1">
        <v>5</v>
      </c>
      <c r="B44" t="s">
        <v>25</v>
      </c>
      <c r="C44">
        <v>700</v>
      </c>
      <c r="D44">
        <v>0</v>
      </c>
      <c r="E44" t="s">
        <v>26</v>
      </c>
      <c r="F44" t="s">
        <v>26</v>
      </c>
      <c r="G44" t="str">
        <f>"2026-05-05 08:39:56.872"</f>
        <v>2026-05-05 08:39:56.872</v>
      </c>
      <c r="H44" t="s">
        <v>22</v>
      </c>
      <c r="I44">
        <v>0</v>
      </c>
      <c r="J44" t="s">
        <v>27</v>
      </c>
    </row>
    <row r="45" spans="1:10" x14ac:dyDescent="0.25">
      <c r="A45" s="1">
        <v>6</v>
      </c>
      <c r="B45" t="s">
        <v>25</v>
      </c>
      <c r="C45">
        <v>706</v>
      </c>
      <c r="D45">
        <v>4</v>
      </c>
      <c r="E45" t="s">
        <v>35</v>
      </c>
      <c r="F45" t="s">
        <v>36</v>
      </c>
      <c r="G45" t="str">
        <f>"2026-05-05 07:13:11.650"</f>
        <v>2026-05-05 07:13:11.650</v>
      </c>
      <c r="H45" t="s">
        <v>22</v>
      </c>
      <c r="I45">
        <v>0</v>
      </c>
      <c r="J45" t="s">
        <v>24</v>
      </c>
    </row>
    <row r="46" spans="1:10" x14ac:dyDescent="0.25">
      <c r="A46" s="1">
        <v>7</v>
      </c>
      <c r="B46" t="s">
        <v>25</v>
      </c>
      <c r="C46">
        <v>700</v>
      </c>
      <c r="D46">
        <v>0</v>
      </c>
      <c r="E46" t="s">
        <v>26</v>
      </c>
      <c r="F46" t="s">
        <v>26</v>
      </c>
      <c r="G46" t="str">
        <f>"2026-05-05 07:11:40.880"</f>
        <v>2026-05-05 07:11:40.880</v>
      </c>
      <c r="H46" t="s">
        <v>22</v>
      </c>
      <c r="I46">
        <v>0</v>
      </c>
      <c r="J46" t="s">
        <v>27</v>
      </c>
    </row>
    <row r="47" spans="1:10" x14ac:dyDescent="0.25">
      <c r="A47" s="1">
        <v>8</v>
      </c>
      <c r="B47" t="s">
        <v>25</v>
      </c>
      <c r="C47">
        <v>700</v>
      </c>
      <c r="D47">
        <v>0</v>
      </c>
      <c r="E47" t="s">
        <v>26</v>
      </c>
      <c r="F47" t="s">
        <v>26</v>
      </c>
      <c r="G47" t="str">
        <f>"2026-05-05 06:33:33.885"</f>
        <v>2026-05-05 06:33:33.885</v>
      </c>
      <c r="H47" t="s">
        <v>22</v>
      </c>
    </row>
    <row r="48" spans="1:10" x14ac:dyDescent="0.25">
      <c r="A48" s="1">
        <v>9</v>
      </c>
      <c r="B48" t="s">
        <v>25</v>
      </c>
      <c r="C48">
        <v>706</v>
      </c>
      <c r="D48">
        <v>2</v>
      </c>
      <c r="E48" t="s">
        <v>35</v>
      </c>
      <c r="F48" t="s">
        <v>38</v>
      </c>
      <c r="G48" t="str">
        <f>"2026-05-05 05:05:49.909"</f>
        <v>2026-05-05 05:05:49.909</v>
      </c>
      <c r="H48" t="s">
        <v>22</v>
      </c>
      <c r="I48">
        <v>0</v>
      </c>
      <c r="J48" t="s">
        <v>24</v>
      </c>
    </row>
    <row r="49" spans="1:10" x14ac:dyDescent="0.25">
      <c r="A49" s="1">
        <v>0</v>
      </c>
      <c r="B49" t="s">
        <v>25</v>
      </c>
      <c r="C49">
        <v>700</v>
      </c>
      <c r="D49">
        <v>0</v>
      </c>
      <c r="E49" t="s">
        <v>26</v>
      </c>
      <c r="F49" t="s">
        <v>26</v>
      </c>
      <c r="G49" t="str">
        <f>"2026-05-05 04:48:36.989"</f>
        <v>2026-05-05 04:48:36.989</v>
      </c>
      <c r="H49" t="s">
        <v>22</v>
      </c>
      <c r="I49">
        <v>0</v>
      </c>
      <c r="J49" t="s">
        <v>27</v>
      </c>
    </row>
    <row r="50" spans="1:10" x14ac:dyDescent="0.25">
      <c r="A50" s="1">
        <v>1</v>
      </c>
      <c r="B50" t="s">
        <v>19</v>
      </c>
      <c r="C50">
        <v>631</v>
      </c>
      <c r="D50">
        <v>2</v>
      </c>
      <c r="E50" t="s">
        <v>20</v>
      </c>
      <c r="F50" t="s">
        <v>21</v>
      </c>
      <c r="G50" t="str">
        <f>"2026-05-04 10:28:55.784"</f>
        <v>2026-05-04 10:28:55.784</v>
      </c>
      <c r="H50" t="s">
        <v>22</v>
      </c>
    </row>
    <row r="51" spans="1:10" x14ac:dyDescent="0.25">
      <c r="A51" s="1">
        <v>2</v>
      </c>
      <c r="B51" t="s">
        <v>25</v>
      </c>
      <c r="C51">
        <v>706</v>
      </c>
      <c r="D51">
        <v>2</v>
      </c>
      <c r="E51" t="s">
        <v>35</v>
      </c>
      <c r="F51" t="s">
        <v>38</v>
      </c>
      <c r="G51" t="str">
        <f>"2026-05-04 10:26:38.130"</f>
        <v>2026-05-04 10:26:38.130</v>
      </c>
      <c r="H51" t="s">
        <v>22</v>
      </c>
      <c r="I51">
        <v>0</v>
      </c>
      <c r="J51" t="s">
        <v>24</v>
      </c>
    </row>
    <row r="52" spans="1:10" x14ac:dyDescent="0.25">
      <c r="A52" s="1">
        <v>3</v>
      </c>
      <c r="B52" t="s">
        <v>23</v>
      </c>
      <c r="C52">
        <v>631</v>
      </c>
      <c r="D52">
        <v>2</v>
      </c>
      <c r="E52" t="s">
        <v>20</v>
      </c>
      <c r="F52" t="s">
        <v>21</v>
      </c>
      <c r="G52" t="str">
        <f>"2026-05-04 10:26:19.184"</f>
        <v>2026-05-04 10:26:19.184</v>
      </c>
      <c r="H52" t="s">
        <v>22</v>
      </c>
      <c r="I52">
        <v>0</v>
      </c>
      <c r="J52" t="s">
        <v>24</v>
      </c>
    </row>
    <row r="53" spans="1:10" x14ac:dyDescent="0.25">
      <c r="A53" s="1">
        <v>4</v>
      </c>
      <c r="B53" t="s">
        <v>25</v>
      </c>
      <c r="C53">
        <v>700</v>
      </c>
      <c r="D53">
        <v>0</v>
      </c>
      <c r="E53" t="s">
        <v>26</v>
      </c>
      <c r="F53" t="s">
        <v>26</v>
      </c>
      <c r="G53" t="str">
        <f>"2026-05-04 10:26:05.880"</f>
        <v>2026-05-04 10:26:05.880</v>
      </c>
      <c r="H53" t="s">
        <v>22</v>
      </c>
      <c r="I53">
        <v>0</v>
      </c>
      <c r="J53" t="s">
        <v>27</v>
      </c>
    </row>
    <row r="54" spans="1:10" x14ac:dyDescent="0.25">
      <c r="A54" s="1">
        <v>5</v>
      </c>
      <c r="B54" t="s">
        <v>25</v>
      </c>
      <c r="C54">
        <v>700</v>
      </c>
      <c r="D54">
        <v>0</v>
      </c>
      <c r="E54" t="s">
        <v>26</v>
      </c>
      <c r="F54" t="s">
        <v>26</v>
      </c>
      <c r="G54" t="str">
        <f>"2026-05-01 22:06:49.020"</f>
        <v>2026-05-01 22:06:49.020</v>
      </c>
      <c r="H54" t="s">
        <v>22</v>
      </c>
      <c r="I54">
        <v>0</v>
      </c>
      <c r="J54" t="s">
        <v>27</v>
      </c>
    </row>
    <row r="55" spans="1:10" x14ac:dyDescent="0.25">
      <c r="A55" s="1">
        <v>6</v>
      </c>
      <c r="B55" t="s">
        <v>19</v>
      </c>
      <c r="C55">
        <v>635</v>
      </c>
      <c r="D55">
        <v>1</v>
      </c>
      <c r="E55" t="s">
        <v>28</v>
      </c>
      <c r="F55" t="s">
        <v>29</v>
      </c>
      <c r="G55" t="str">
        <f>"2026-05-01 09:11:29.092"</f>
        <v>2026-05-01 09:11:29.092</v>
      </c>
      <c r="H55" t="s">
        <v>22</v>
      </c>
    </row>
    <row r="56" spans="1:10" x14ac:dyDescent="0.25">
      <c r="A56" s="1">
        <v>7</v>
      </c>
      <c r="B56" t="s">
        <v>23</v>
      </c>
      <c r="C56">
        <v>635</v>
      </c>
      <c r="D56">
        <v>1</v>
      </c>
      <c r="E56" t="s">
        <v>28</v>
      </c>
      <c r="F56" t="s">
        <v>29</v>
      </c>
      <c r="G56" t="str">
        <f>"2026-05-01 09:08:01.092"</f>
        <v>2026-05-01 09:08:01.092</v>
      </c>
      <c r="H56" t="s">
        <v>22</v>
      </c>
      <c r="I56">
        <v>1.9</v>
      </c>
      <c r="J56" t="s">
        <v>30</v>
      </c>
    </row>
    <row r="57" spans="1:10" x14ac:dyDescent="0.25">
      <c r="A57" s="1">
        <v>9</v>
      </c>
      <c r="B57" t="s">
        <v>19</v>
      </c>
      <c r="C57">
        <v>630</v>
      </c>
      <c r="D57">
        <v>5</v>
      </c>
      <c r="E57" t="s">
        <v>32</v>
      </c>
      <c r="F57" t="s">
        <v>33</v>
      </c>
      <c r="G57" t="str">
        <f>"2026-04-30 15:28:30.992"</f>
        <v>2026-04-30 15:28:30.992</v>
      </c>
      <c r="H57" t="s">
        <v>34</v>
      </c>
    </row>
    <row r="58" spans="1:10" x14ac:dyDescent="0.25">
      <c r="A58" s="1">
        <v>0</v>
      </c>
      <c r="B58" t="s">
        <v>25</v>
      </c>
      <c r="C58">
        <v>706</v>
      </c>
      <c r="D58">
        <v>2</v>
      </c>
      <c r="E58" t="s">
        <v>35</v>
      </c>
      <c r="F58" t="s">
        <v>38</v>
      </c>
      <c r="G58" t="str">
        <f>"2026-04-30 15:28:00.844"</f>
        <v>2026-04-30 15:28:00.844</v>
      </c>
      <c r="H58" t="s">
        <v>22</v>
      </c>
      <c r="I58">
        <v>7.0000000000000007E-2</v>
      </c>
      <c r="J58" t="s">
        <v>24</v>
      </c>
    </row>
    <row r="59" spans="1:10" x14ac:dyDescent="0.25">
      <c r="A59" s="1">
        <v>1</v>
      </c>
      <c r="B59" t="s">
        <v>37</v>
      </c>
      <c r="C59">
        <v>630</v>
      </c>
      <c r="D59">
        <v>5</v>
      </c>
      <c r="E59" t="s">
        <v>32</v>
      </c>
      <c r="F59" t="s">
        <v>33</v>
      </c>
      <c r="G59" t="str">
        <f>"2026-04-30 15:12:37.293"</f>
        <v>2026-04-30 15:12:37.293</v>
      </c>
      <c r="H59" t="s">
        <v>34</v>
      </c>
      <c r="I59">
        <v>0</v>
      </c>
      <c r="J59" t="s">
        <v>24</v>
      </c>
    </row>
    <row r="60" spans="1:10" x14ac:dyDescent="0.25">
      <c r="A60" s="1">
        <v>2</v>
      </c>
      <c r="B60" t="s">
        <v>25</v>
      </c>
      <c r="C60">
        <v>700</v>
      </c>
      <c r="D60">
        <v>0</v>
      </c>
      <c r="E60" t="s">
        <v>26</v>
      </c>
      <c r="F60" t="s">
        <v>26</v>
      </c>
      <c r="G60" t="str">
        <f>"2026-04-30 01:17:20.874"</f>
        <v>2026-04-30 01:17:20.874</v>
      </c>
      <c r="H60" t="s">
        <v>22</v>
      </c>
      <c r="I60">
        <v>0</v>
      </c>
      <c r="J60" t="s">
        <v>27</v>
      </c>
    </row>
    <row r="61" spans="1:10" x14ac:dyDescent="0.25">
      <c r="A61" s="1">
        <v>3</v>
      </c>
      <c r="B61" t="s">
        <v>25</v>
      </c>
      <c r="C61">
        <v>700</v>
      </c>
      <c r="D61">
        <v>0</v>
      </c>
      <c r="E61" t="s">
        <v>26</v>
      </c>
      <c r="F61" t="s">
        <v>26</v>
      </c>
      <c r="G61" t="str">
        <f>"2026-04-30 01:13:41.979"</f>
        <v>2026-04-30 01:13:41.979</v>
      </c>
      <c r="H61" t="s">
        <v>22</v>
      </c>
      <c r="I61">
        <v>0</v>
      </c>
      <c r="J61" t="s">
        <v>27</v>
      </c>
    </row>
    <row r="62" spans="1:10" x14ac:dyDescent="0.25">
      <c r="A62" s="1">
        <v>4</v>
      </c>
      <c r="B62" t="s">
        <v>25</v>
      </c>
      <c r="C62">
        <v>700</v>
      </c>
      <c r="D62">
        <v>0</v>
      </c>
      <c r="E62" t="s">
        <v>26</v>
      </c>
      <c r="F62" t="s">
        <v>26</v>
      </c>
      <c r="G62" t="str">
        <f>"2026-04-30 00:49:00.872"</f>
        <v>2026-04-30 00:49:00.872</v>
      </c>
      <c r="H62" t="s">
        <v>22</v>
      </c>
    </row>
    <row r="63" spans="1:10" x14ac:dyDescent="0.25">
      <c r="A63" s="1">
        <v>5</v>
      </c>
      <c r="B63" t="s">
        <v>25</v>
      </c>
      <c r="C63">
        <v>706</v>
      </c>
      <c r="D63">
        <v>2</v>
      </c>
      <c r="E63" t="s">
        <v>35</v>
      </c>
      <c r="F63" t="s">
        <v>38</v>
      </c>
      <c r="G63" t="str">
        <f>"2026-04-29 14:27:48.578"</f>
        <v>2026-04-29 14:27:48.578</v>
      </c>
      <c r="H63" t="s">
        <v>22</v>
      </c>
      <c r="I63">
        <v>0</v>
      </c>
      <c r="J63" t="s">
        <v>24</v>
      </c>
    </row>
    <row r="64" spans="1:10" x14ac:dyDescent="0.25">
      <c r="A64" s="1">
        <v>6</v>
      </c>
      <c r="B64" t="s">
        <v>25</v>
      </c>
      <c r="C64">
        <v>700</v>
      </c>
      <c r="D64">
        <v>0</v>
      </c>
      <c r="E64" t="s">
        <v>26</v>
      </c>
      <c r="F64" t="s">
        <v>26</v>
      </c>
      <c r="G64" t="str">
        <f>"2026-04-29 00:05:32.878"</f>
        <v>2026-04-29 00:05:32.878</v>
      </c>
      <c r="H64" t="s">
        <v>22</v>
      </c>
      <c r="I64">
        <v>0</v>
      </c>
      <c r="J64" t="s">
        <v>27</v>
      </c>
    </row>
    <row r="65" spans="1:10" x14ac:dyDescent="0.25">
      <c r="A65" s="1">
        <v>7</v>
      </c>
      <c r="B65" t="s">
        <v>25</v>
      </c>
      <c r="C65">
        <v>700</v>
      </c>
      <c r="D65">
        <v>0</v>
      </c>
      <c r="E65" t="s">
        <v>26</v>
      </c>
      <c r="F65" t="s">
        <v>26</v>
      </c>
      <c r="G65" t="str">
        <f>"2026-04-28 19:47:49.900"</f>
        <v>2026-04-28 19:47:49.900</v>
      </c>
      <c r="H65" t="s">
        <v>22</v>
      </c>
    </row>
    <row r="66" spans="1:10" x14ac:dyDescent="0.25">
      <c r="A66" s="1">
        <v>8</v>
      </c>
      <c r="B66" t="s">
        <v>37</v>
      </c>
      <c r="C66">
        <v>33</v>
      </c>
      <c r="D66">
        <v>1</v>
      </c>
      <c r="E66" t="s">
        <v>39</v>
      </c>
      <c r="F66" t="s">
        <v>40</v>
      </c>
      <c r="G66" t="str">
        <f>"2026-04-28 19:41:50.959"</f>
        <v>2026-04-28 19:41:50.959</v>
      </c>
      <c r="H66" t="s">
        <v>41</v>
      </c>
      <c r="I66">
        <v>1.18</v>
      </c>
      <c r="J66" t="s">
        <v>30</v>
      </c>
    </row>
    <row r="67" spans="1:10" x14ac:dyDescent="0.25">
      <c r="A67" s="1">
        <v>9</v>
      </c>
      <c r="B67" t="s">
        <v>42</v>
      </c>
      <c r="C67">
        <v>48</v>
      </c>
      <c r="D67">
        <v>1</v>
      </c>
      <c r="E67" t="s">
        <v>43</v>
      </c>
      <c r="F67" t="s">
        <v>44</v>
      </c>
      <c r="G67" t="str">
        <f>"2026-04-28 02:19:14.080"</f>
        <v>2026-04-28 02:19:14.080</v>
      </c>
      <c r="H67" t="s">
        <v>45</v>
      </c>
    </row>
    <row r="68" spans="1:10" x14ac:dyDescent="0.25">
      <c r="A68" s="1">
        <v>0</v>
      </c>
      <c r="B68" t="s">
        <v>37</v>
      </c>
      <c r="C68">
        <v>48</v>
      </c>
      <c r="D68">
        <v>1</v>
      </c>
      <c r="E68" t="s">
        <v>43</v>
      </c>
      <c r="F68" t="s">
        <v>44</v>
      </c>
      <c r="G68" t="str">
        <f>"2026-04-28 02:19:08.998"</f>
        <v>2026-04-28 02:19:08.998</v>
      </c>
      <c r="H68" t="s">
        <v>45</v>
      </c>
      <c r="I68">
        <v>0</v>
      </c>
      <c r="J68" t="s">
        <v>24</v>
      </c>
    </row>
    <row r="69" spans="1:10" x14ac:dyDescent="0.25">
      <c r="A69" s="1">
        <v>1</v>
      </c>
      <c r="B69" t="s">
        <v>25</v>
      </c>
      <c r="C69">
        <v>700</v>
      </c>
      <c r="D69">
        <v>0</v>
      </c>
      <c r="E69" t="s">
        <v>26</v>
      </c>
      <c r="F69" t="s">
        <v>26</v>
      </c>
      <c r="G69" t="str">
        <f>"2026-04-28 02:18:48.876"</f>
        <v>2026-04-28 02:18:48.876</v>
      </c>
      <c r="H69" t="s">
        <v>22</v>
      </c>
    </row>
    <row r="70" spans="1:10" x14ac:dyDescent="0.25">
      <c r="A70" s="1">
        <v>2</v>
      </c>
      <c r="B70" t="s">
        <v>25</v>
      </c>
      <c r="C70">
        <v>700</v>
      </c>
      <c r="D70">
        <v>0</v>
      </c>
      <c r="E70" t="s">
        <v>26</v>
      </c>
      <c r="F70" t="s">
        <v>26</v>
      </c>
      <c r="G70" t="str">
        <f>"2026-04-28 02:17:00.882"</f>
        <v>2026-04-28 02:17:00.882</v>
      </c>
      <c r="H70" t="s">
        <v>22</v>
      </c>
      <c r="I70">
        <v>0</v>
      </c>
      <c r="J70" t="s">
        <v>27</v>
      </c>
    </row>
    <row r="71" spans="1:10" x14ac:dyDescent="0.25">
      <c r="A71" s="1">
        <v>3</v>
      </c>
      <c r="B71" t="s">
        <v>25</v>
      </c>
      <c r="C71">
        <v>700</v>
      </c>
      <c r="D71">
        <v>0</v>
      </c>
      <c r="E71" t="s">
        <v>26</v>
      </c>
      <c r="F71" t="s">
        <v>26</v>
      </c>
      <c r="G71" t="str">
        <f>"2026-04-26 20:49:59.908"</f>
        <v>2026-04-26 20:49:59.908</v>
      </c>
      <c r="H71" t="s">
        <v>22</v>
      </c>
    </row>
    <row r="72" spans="1:10" x14ac:dyDescent="0.25">
      <c r="A72" s="1">
        <v>4</v>
      </c>
      <c r="B72" t="s">
        <v>19</v>
      </c>
      <c r="C72">
        <v>98</v>
      </c>
      <c r="D72">
        <v>1</v>
      </c>
      <c r="E72" t="s">
        <v>46</v>
      </c>
      <c r="F72" t="s">
        <v>47</v>
      </c>
      <c r="G72" t="str">
        <f>"2026-04-26 19:41:43.994"</f>
        <v>2026-04-26 19:41:43.994</v>
      </c>
      <c r="H72" t="s">
        <v>22</v>
      </c>
    </row>
    <row r="73" spans="1:10" x14ac:dyDescent="0.25">
      <c r="A73" s="1">
        <v>5</v>
      </c>
      <c r="B73" t="s">
        <v>23</v>
      </c>
      <c r="C73">
        <v>98</v>
      </c>
      <c r="D73">
        <v>1</v>
      </c>
      <c r="E73" t="s">
        <v>46</v>
      </c>
      <c r="F73" t="s">
        <v>47</v>
      </c>
      <c r="G73" t="str">
        <f>"2026-04-26 19:41:42.995"</f>
        <v>2026-04-26 19:41:42.995</v>
      </c>
      <c r="H73" t="s">
        <v>22</v>
      </c>
      <c r="I73">
        <v>0</v>
      </c>
      <c r="J73" t="s">
        <v>48</v>
      </c>
    </row>
    <row r="74" spans="1:10" x14ac:dyDescent="0.25">
      <c r="A74" s="1">
        <v>6</v>
      </c>
      <c r="B74" t="s">
        <v>25</v>
      </c>
      <c r="C74">
        <v>706</v>
      </c>
      <c r="D74">
        <v>4</v>
      </c>
      <c r="E74" t="s">
        <v>35</v>
      </c>
      <c r="F74" t="s">
        <v>36</v>
      </c>
      <c r="G74" t="str">
        <f>"2026-04-26 11:23:58.199"</f>
        <v>2026-04-26 11:23:58.199</v>
      </c>
      <c r="H74" t="s">
        <v>22</v>
      </c>
      <c r="I74">
        <v>0</v>
      </c>
      <c r="J74" t="s">
        <v>24</v>
      </c>
    </row>
    <row r="75" spans="1:10" x14ac:dyDescent="0.25">
      <c r="A75" s="1">
        <v>7</v>
      </c>
      <c r="B75" t="s">
        <v>25</v>
      </c>
      <c r="C75">
        <v>706</v>
      </c>
      <c r="D75">
        <v>4</v>
      </c>
      <c r="E75" t="s">
        <v>35</v>
      </c>
      <c r="F75" t="s">
        <v>36</v>
      </c>
      <c r="G75" t="str">
        <f>"2026-04-25 15:35:40.669"</f>
        <v>2026-04-25 15:35:40.669</v>
      </c>
      <c r="H75" t="s">
        <v>22</v>
      </c>
      <c r="I75">
        <v>0</v>
      </c>
      <c r="J75" t="s">
        <v>24</v>
      </c>
    </row>
    <row r="76" spans="1:10" x14ac:dyDescent="0.25">
      <c r="A76" s="1">
        <v>8</v>
      </c>
      <c r="B76" t="s">
        <v>25</v>
      </c>
      <c r="C76">
        <v>700</v>
      </c>
      <c r="D76">
        <v>0</v>
      </c>
      <c r="E76" t="s">
        <v>26</v>
      </c>
      <c r="F76" t="s">
        <v>26</v>
      </c>
      <c r="G76" t="str">
        <f>"2026-04-25 15:35:06.879"</f>
        <v>2026-04-25 15:35:06.879</v>
      </c>
      <c r="H76" t="s">
        <v>22</v>
      </c>
      <c r="I76">
        <v>0</v>
      </c>
      <c r="J76" t="s">
        <v>27</v>
      </c>
    </row>
    <row r="77" spans="1:10" x14ac:dyDescent="0.25">
      <c r="A77" s="1">
        <v>9</v>
      </c>
      <c r="B77" t="s">
        <v>25</v>
      </c>
      <c r="C77">
        <v>700</v>
      </c>
      <c r="D77">
        <v>0</v>
      </c>
      <c r="E77" t="s">
        <v>26</v>
      </c>
      <c r="F77" t="s">
        <v>26</v>
      </c>
      <c r="G77" t="str">
        <f>"2026-04-25 15:06:58.881"</f>
        <v>2026-04-25 15:06:58.881</v>
      </c>
      <c r="H77" t="s">
        <v>22</v>
      </c>
      <c r="I77">
        <v>0</v>
      </c>
      <c r="J77" t="s">
        <v>27</v>
      </c>
    </row>
    <row r="78" spans="1:10" x14ac:dyDescent="0.25">
      <c r="A78" s="1">
        <v>0</v>
      </c>
      <c r="B78" t="s">
        <v>25</v>
      </c>
      <c r="C78">
        <v>700</v>
      </c>
      <c r="D78">
        <v>0</v>
      </c>
      <c r="E78" t="s">
        <v>26</v>
      </c>
      <c r="F78" t="s">
        <v>26</v>
      </c>
      <c r="G78" t="str">
        <f>"2026-04-25 14:31:44.894"</f>
        <v>2026-04-25 14:31:44.894</v>
      </c>
      <c r="H78" t="s">
        <v>22</v>
      </c>
    </row>
    <row r="79" spans="1:10" x14ac:dyDescent="0.25">
      <c r="A79" s="1">
        <v>1</v>
      </c>
      <c r="B79" t="s">
        <v>37</v>
      </c>
      <c r="C79">
        <v>630</v>
      </c>
      <c r="D79">
        <v>5</v>
      </c>
      <c r="E79" t="s">
        <v>32</v>
      </c>
      <c r="F79" t="s">
        <v>33</v>
      </c>
      <c r="G79" t="str">
        <f>"2026-04-25 14:21:58.735"</f>
        <v>2026-04-25 14:21:58.735</v>
      </c>
      <c r="H79" t="s">
        <v>34</v>
      </c>
      <c r="I79">
        <v>0</v>
      </c>
      <c r="J79" t="s">
        <v>24</v>
      </c>
    </row>
    <row r="80" spans="1:10" x14ac:dyDescent="0.25">
      <c r="A80" s="1">
        <v>2</v>
      </c>
      <c r="B80" t="s">
        <v>19</v>
      </c>
      <c r="C80">
        <v>630</v>
      </c>
      <c r="D80">
        <v>5</v>
      </c>
      <c r="E80" t="s">
        <v>32</v>
      </c>
      <c r="F80" t="s">
        <v>33</v>
      </c>
      <c r="G80" t="str">
        <f>"2026-04-24 13:45:09.535"</f>
        <v>2026-04-24 13:45:09.535</v>
      </c>
      <c r="H80" t="s">
        <v>34</v>
      </c>
    </row>
    <row r="81" spans="1:10" x14ac:dyDescent="0.25">
      <c r="A81" s="1">
        <v>3</v>
      </c>
      <c r="B81" t="s">
        <v>25</v>
      </c>
      <c r="C81">
        <v>706</v>
      </c>
      <c r="D81">
        <v>2</v>
      </c>
      <c r="E81" t="s">
        <v>35</v>
      </c>
      <c r="F81" t="s">
        <v>38</v>
      </c>
      <c r="G81" t="str">
        <f>"2026-04-24 13:44:39.491"</f>
        <v>2026-04-24 13:44:39.491</v>
      </c>
      <c r="H81" t="s">
        <v>22</v>
      </c>
      <c r="I81">
        <v>0</v>
      </c>
      <c r="J81" t="s">
        <v>24</v>
      </c>
    </row>
    <row r="82" spans="1:10" x14ac:dyDescent="0.25">
      <c r="A82" s="1">
        <v>4</v>
      </c>
      <c r="B82" t="s">
        <v>37</v>
      </c>
      <c r="C82">
        <v>630</v>
      </c>
      <c r="D82">
        <v>5</v>
      </c>
      <c r="E82" t="s">
        <v>32</v>
      </c>
      <c r="F82" t="s">
        <v>33</v>
      </c>
      <c r="G82" t="str">
        <f>"2026-04-24 13:13:56.935"</f>
        <v>2026-04-24 13:13:56.935</v>
      </c>
      <c r="H82" t="s">
        <v>34</v>
      </c>
      <c r="I82">
        <v>0</v>
      </c>
      <c r="J82" t="s">
        <v>24</v>
      </c>
    </row>
    <row r="83" spans="1:10" x14ac:dyDescent="0.25">
      <c r="A83" s="1">
        <v>5</v>
      </c>
      <c r="B83" t="s">
        <v>25</v>
      </c>
      <c r="C83">
        <v>700</v>
      </c>
      <c r="D83">
        <v>0</v>
      </c>
      <c r="E83" t="s">
        <v>26</v>
      </c>
      <c r="F83" t="s">
        <v>26</v>
      </c>
      <c r="G83" t="str">
        <f>"2026-04-24 01:50:19.881"</f>
        <v>2026-04-24 01:50:19.881</v>
      </c>
      <c r="H83" t="s">
        <v>22</v>
      </c>
      <c r="I83">
        <v>0</v>
      </c>
      <c r="J83" t="s">
        <v>27</v>
      </c>
    </row>
    <row r="84" spans="1:10" x14ac:dyDescent="0.25">
      <c r="A84" s="1">
        <v>6</v>
      </c>
      <c r="B84" t="s">
        <v>19</v>
      </c>
      <c r="C84">
        <v>630</v>
      </c>
      <c r="D84">
        <v>5</v>
      </c>
      <c r="E84" t="s">
        <v>32</v>
      </c>
      <c r="F84" t="s">
        <v>33</v>
      </c>
      <c r="G84" t="str">
        <f>"2026-04-23 17:01:52.990"</f>
        <v>2026-04-23 17:01:52.990</v>
      </c>
      <c r="H84" t="s">
        <v>34</v>
      </c>
    </row>
    <row r="85" spans="1:10" x14ac:dyDescent="0.25">
      <c r="A85" s="1">
        <v>7</v>
      </c>
      <c r="B85" t="s">
        <v>25</v>
      </c>
      <c r="C85">
        <v>706</v>
      </c>
      <c r="D85">
        <v>4</v>
      </c>
      <c r="E85" t="s">
        <v>35</v>
      </c>
      <c r="F85" t="s">
        <v>36</v>
      </c>
      <c r="G85" t="str">
        <f>"2026-04-23 17:01:22.888"</f>
        <v>2026-04-23 17:01:22.888</v>
      </c>
      <c r="H85" t="s">
        <v>22</v>
      </c>
      <c r="I85">
        <v>0</v>
      </c>
      <c r="J85" t="s">
        <v>24</v>
      </c>
    </row>
    <row r="86" spans="1:10" x14ac:dyDescent="0.25">
      <c r="A86" s="1">
        <v>8</v>
      </c>
      <c r="B86" t="s">
        <v>37</v>
      </c>
      <c r="C86">
        <v>630</v>
      </c>
      <c r="D86">
        <v>5</v>
      </c>
      <c r="E86" t="s">
        <v>32</v>
      </c>
      <c r="F86" t="s">
        <v>33</v>
      </c>
      <c r="G86" t="str">
        <f>"2026-04-23 16:40:21.990"</f>
        <v>2026-04-23 16:40:21.990</v>
      </c>
      <c r="H86" t="s">
        <v>34</v>
      </c>
      <c r="I86">
        <v>0</v>
      </c>
      <c r="J86" t="s">
        <v>24</v>
      </c>
    </row>
    <row r="87" spans="1:10" x14ac:dyDescent="0.25">
      <c r="A87" s="1">
        <v>9</v>
      </c>
      <c r="B87" t="s">
        <v>19</v>
      </c>
      <c r="C87">
        <v>630</v>
      </c>
      <c r="D87">
        <v>5</v>
      </c>
      <c r="E87" t="s">
        <v>32</v>
      </c>
      <c r="F87" t="s">
        <v>33</v>
      </c>
      <c r="G87" t="str">
        <f>"2026-04-23 16:26:42.790"</f>
        <v>2026-04-23 16:26:42.790</v>
      </c>
      <c r="H87" t="s">
        <v>34</v>
      </c>
    </row>
    <row r="88" spans="1:10" x14ac:dyDescent="0.25">
      <c r="A88" s="1">
        <v>0</v>
      </c>
      <c r="B88" t="s">
        <v>25</v>
      </c>
      <c r="C88">
        <v>706</v>
      </c>
      <c r="D88">
        <v>2</v>
      </c>
      <c r="E88" t="s">
        <v>35</v>
      </c>
      <c r="F88" t="s">
        <v>38</v>
      </c>
      <c r="G88" t="str">
        <f>"2026-04-23 16:26:12.638"</f>
        <v>2026-04-23 16:26:12.638</v>
      </c>
      <c r="H88" t="s">
        <v>22</v>
      </c>
      <c r="I88">
        <v>0</v>
      </c>
      <c r="J88" t="s">
        <v>24</v>
      </c>
    </row>
    <row r="89" spans="1:10" x14ac:dyDescent="0.25">
      <c r="A89" s="1">
        <v>1</v>
      </c>
      <c r="B89" t="s">
        <v>37</v>
      </c>
      <c r="C89">
        <v>630</v>
      </c>
      <c r="D89">
        <v>5</v>
      </c>
      <c r="E89" t="s">
        <v>32</v>
      </c>
      <c r="F89" t="s">
        <v>33</v>
      </c>
      <c r="G89" t="str">
        <f>"2026-04-23 15:43:48.691"</f>
        <v>2026-04-23 15:43:48.691</v>
      </c>
      <c r="H89" t="s">
        <v>34</v>
      </c>
      <c r="I89">
        <v>0</v>
      </c>
      <c r="J89" t="s">
        <v>24</v>
      </c>
    </row>
    <row r="90" spans="1:10" x14ac:dyDescent="0.25">
      <c r="A90" s="1">
        <v>2</v>
      </c>
      <c r="B90" t="s">
        <v>25</v>
      </c>
      <c r="C90">
        <v>700</v>
      </c>
      <c r="D90">
        <v>0</v>
      </c>
      <c r="E90" t="s">
        <v>26</v>
      </c>
      <c r="F90" t="s">
        <v>26</v>
      </c>
      <c r="G90" t="str">
        <f>"2026-04-23 15:38:45.878"</f>
        <v>2026-04-23 15:38:45.878</v>
      </c>
      <c r="H90" t="s">
        <v>22</v>
      </c>
      <c r="I90">
        <v>0</v>
      </c>
      <c r="J90" t="s">
        <v>27</v>
      </c>
    </row>
    <row r="91" spans="1:10" x14ac:dyDescent="0.25">
      <c r="A91" s="1">
        <v>3</v>
      </c>
      <c r="B91" t="s">
        <v>25</v>
      </c>
      <c r="C91">
        <v>700</v>
      </c>
      <c r="D91">
        <v>0</v>
      </c>
      <c r="E91" t="s">
        <v>26</v>
      </c>
      <c r="F91" t="s">
        <v>26</v>
      </c>
      <c r="G91" t="str">
        <f>"2026-04-23 14:48:54.882"</f>
        <v>2026-04-23 14:48:54.882</v>
      </c>
      <c r="H91" t="s">
        <v>22</v>
      </c>
      <c r="I91">
        <v>0</v>
      </c>
      <c r="J91" t="s">
        <v>27</v>
      </c>
    </row>
    <row r="92" spans="1:10" x14ac:dyDescent="0.25">
      <c r="A92" s="1">
        <v>4</v>
      </c>
      <c r="B92" t="s">
        <v>25</v>
      </c>
      <c r="C92">
        <v>700</v>
      </c>
      <c r="D92">
        <v>0</v>
      </c>
      <c r="E92" t="s">
        <v>26</v>
      </c>
      <c r="F92" t="s">
        <v>26</v>
      </c>
      <c r="G92" t="str">
        <f>"2026-04-23 14:35:22.872"</f>
        <v>2026-04-23 14:35:22.872</v>
      </c>
      <c r="H92" t="s">
        <v>22</v>
      </c>
      <c r="I92">
        <v>0</v>
      </c>
      <c r="J92" t="s">
        <v>27</v>
      </c>
    </row>
    <row r="93" spans="1:10" x14ac:dyDescent="0.25">
      <c r="A93" s="1">
        <v>5</v>
      </c>
      <c r="B93" t="s">
        <v>37</v>
      </c>
      <c r="C93">
        <v>630</v>
      </c>
      <c r="D93">
        <v>5</v>
      </c>
      <c r="E93" t="s">
        <v>32</v>
      </c>
      <c r="F93" t="s">
        <v>33</v>
      </c>
      <c r="G93" t="str">
        <f>"2026-04-23 12:18:02.214"</f>
        <v>2026-04-23 12:18:02.214</v>
      </c>
      <c r="H93" t="s">
        <v>34</v>
      </c>
      <c r="I93">
        <v>0</v>
      </c>
      <c r="J93" t="s">
        <v>24</v>
      </c>
    </row>
    <row r="94" spans="1:10" x14ac:dyDescent="0.25">
      <c r="A94" s="1">
        <v>6</v>
      </c>
      <c r="B94" t="s">
        <v>19</v>
      </c>
      <c r="C94">
        <v>635</v>
      </c>
      <c r="D94">
        <v>1</v>
      </c>
      <c r="E94" t="s">
        <v>28</v>
      </c>
      <c r="F94" t="s">
        <v>29</v>
      </c>
      <c r="G94" t="str">
        <f>"2026-04-21 18:06:56.814"</f>
        <v>2026-04-21 18:06:56.814</v>
      </c>
      <c r="H94" t="s">
        <v>22</v>
      </c>
    </row>
    <row r="95" spans="1:10" x14ac:dyDescent="0.25">
      <c r="A95" s="1">
        <v>7</v>
      </c>
      <c r="B95" t="s">
        <v>23</v>
      </c>
      <c r="C95">
        <v>635</v>
      </c>
      <c r="D95">
        <v>1</v>
      </c>
      <c r="E95" t="s">
        <v>28</v>
      </c>
      <c r="F95" t="s">
        <v>29</v>
      </c>
      <c r="G95" t="str">
        <f>"2026-04-21 17:39:06.914"</f>
        <v>2026-04-21 17:39:06.914</v>
      </c>
      <c r="H95" t="s">
        <v>22</v>
      </c>
      <c r="I95">
        <v>6.79</v>
      </c>
      <c r="J95" t="s">
        <v>30</v>
      </c>
    </row>
    <row r="96" spans="1:10" x14ac:dyDescent="0.25">
      <c r="A96" s="1">
        <v>8</v>
      </c>
      <c r="B96" t="s">
        <v>19</v>
      </c>
      <c r="C96">
        <v>630</v>
      </c>
      <c r="D96">
        <v>5</v>
      </c>
      <c r="E96" t="s">
        <v>32</v>
      </c>
      <c r="F96" t="s">
        <v>33</v>
      </c>
      <c r="G96" t="str">
        <f>"2026-04-21 15:45:30.314"</f>
        <v>2026-04-21 15:45:30.314</v>
      </c>
      <c r="H96" t="s">
        <v>34</v>
      </c>
    </row>
    <row r="97" spans="1:10" x14ac:dyDescent="0.25">
      <c r="A97" s="1">
        <v>9</v>
      </c>
      <c r="B97" t="s">
        <v>25</v>
      </c>
      <c r="C97">
        <v>706</v>
      </c>
      <c r="D97">
        <v>2</v>
      </c>
      <c r="E97" t="s">
        <v>35</v>
      </c>
      <c r="F97" t="s">
        <v>38</v>
      </c>
      <c r="G97" t="str">
        <f>"2026-04-21 15:45:00.292"</f>
        <v>2026-04-21 15:45:00.292</v>
      </c>
      <c r="H97" t="s">
        <v>22</v>
      </c>
      <c r="I97">
        <v>0</v>
      </c>
      <c r="J97" t="s">
        <v>24</v>
      </c>
    </row>
    <row r="98" spans="1:10" x14ac:dyDescent="0.25">
      <c r="A98" s="1">
        <v>0</v>
      </c>
      <c r="B98" t="s">
        <v>37</v>
      </c>
      <c r="C98">
        <v>630</v>
      </c>
      <c r="D98">
        <v>5</v>
      </c>
      <c r="E98" t="s">
        <v>32</v>
      </c>
      <c r="F98" t="s">
        <v>33</v>
      </c>
      <c r="G98" t="str">
        <f>"2026-04-21 15:32:15.814"</f>
        <v>2026-04-21 15:32:15.814</v>
      </c>
      <c r="H98" t="s">
        <v>34</v>
      </c>
      <c r="I98">
        <v>0</v>
      </c>
      <c r="J98" t="s">
        <v>24</v>
      </c>
    </row>
    <row r="99" spans="1:10" x14ac:dyDescent="0.25">
      <c r="A99" s="1">
        <v>1</v>
      </c>
      <c r="B99" t="s">
        <v>25</v>
      </c>
      <c r="C99">
        <v>706</v>
      </c>
      <c r="D99">
        <v>4</v>
      </c>
      <c r="E99" t="s">
        <v>35</v>
      </c>
      <c r="F99" t="s">
        <v>36</v>
      </c>
      <c r="G99" t="str">
        <f>"2026-04-21 15:26:40.052"</f>
        <v>2026-04-21 15:26:40.052</v>
      </c>
      <c r="H99" t="s">
        <v>22</v>
      </c>
      <c r="I99">
        <v>0</v>
      </c>
      <c r="J99" t="s">
        <v>24</v>
      </c>
    </row>
    <row r="100" spans="1:10" x14ac:dyDescent="0.25">
      <c r="A100" s="1">
        <v>2</v>
      </c>
      <c r="B100" t="s">
        <v>19</v>
      </c>
      <c r="C100">
        <v>630</v>
      </c>
      <c r="D100">
        <v>5</v>
      </c>
      <c r="E100" t="s">
        <v>32</v>
      </c>
      <c r="F100" t="s">
        <v>33</v>
      </c>
      <c r="G100" t="str">
        <f>"2026-04-21 13:43:54.114"</f>
        <v>2026-04-21 13:43:54.114</v>
      </c>
      <c r="H100" t="s">
        <v>34</v>
      </c>
    </row>
    <row r="101" spans="1:10" x14ac:dyDescent="0.25">
      <c r="A101" s="1">
        <v>3</v>
      </c>
      <c r="B101" t="s">
        <v>25</v>
      </c>
      <c r="C101">
        <v>706</v>
      </c>
      <c r="D101">
        <v>4</v>
      </c>
      <c r="E101" t="s">
        <v>35</v>
      </c>
      <c r="F101" t="s">
        <v>36</v>
      </c>
      <c r="G101" t="str">
        <f>"2026-04-21 13:43:24.032"</f>
        <v>2026-04-21 13:43:24.032</v>
      </c>
      <c r="H101" t="s">
        <v>22</v>
      </c>
      <c r="I101">
        <v>0</v>
      </c>
      <c r="J101" t="s">
        <v>24</v>
      </c>
    </row>
    <row r="102" spans="1:10" x14ac:dyDescent="0.25">
      <c r="A102" s="1">
        <v>4</v>
      </c>
      <c r="B102" t="s">
        <v>37</v>
      </c>
      <c r="C102">
        <v>630</v>
      </c>
      <c r="D102">
        <v>5</v>
      </c>
      <c r="E102" t="s">
        <v>32</v>
      </c>
      <c r="F102" t="s">
        <v>33</v>
      </c>
      <c r="G102" t="str">
        <f>"2026-04-21 13:41:28.914"</f>
        <v>2026-04-21 13:41:28.914</v>
      </c>
      <c r="H102" t="s">
        <v>34</v>
      </c>
      <c r="I102">
        <v>0</v>
      </c>
      <c r="J102" t="s">
        <v>24</v>
      </c>
    </row>
    <row r="103" spans="1:10" x14ac:dyDescent="0.25">
      <c r="A103" s="1">
        <v>5</v>
      </c>
      <c r="B103" t="s">
        <v>25</v>
      </c>
      <c r="C103">
        <v>706</v>
      </c>
      <c r="D103">
        <v>4</v>
      </c>
      <c r="E103" t="s">
        <v>35</v>
      </c>
      <c r="F103" t="s">
        <v>36</v>
      </c>
      <c r="G103" t="str">
        <f>"2026-04-21 13:12:29.882"</f>
        <v>2026-04-21 13:12:29.882</v>
      </c>
      <c r="H103" t="s">
        <v>22</v>
      </c>
      <c r="I103">
        <v>0</v>
      </c>
      <c r="J103" t="s">
        <v>24</v>
      </c>
    </row>
    <row r="104" spans="1:10" x14ac:dyDescent="0.25">
      <c r="A104" s="1">
        <v>6</v>
      </c>
      <c r="B104" t="s">
        <v>19</v>
      </c>
      <c r="C104">
        <v>630</v>
      </c>
      <c r="D104">
        <v>5</v>
      </c>
      <c r="E104" t="s">
        <v>32</v>
      </c>
      <c r="F104" t="s">
        <v>33</v>
      </c>
      <c r="G104" t="str">
        <f>"2026-04-20 15:26:52.714"</f>
        <v>2026-04-20 15:26:52.714</v>
      </c>
      <c r="H104" t="s">
        <v>34</v>
      </c>
    </row>
    <row r="105" spans="1:10" x14ac:dyDescent="0.25">
      <c r="A105" s="1">
        <v>7</v>
      </c>
      <c r="B105" t="s">
        <v>25</v>
      </c>
      <c r="C105">
        <v>706</v>
      </c>
      <c r="D105">
        <v>2</v>
      </c>
      <c r="E105" t="s">
        <v>35</v>
      </c>
      <c r="F105" t="s">
        <v>38</v>
      </c>
      <c r="G105" t="str">
        <f>"2026-04-20 15:26:22.592"</f>
        <v>2026-04-20 15:26:22.592</v>
      </c>
      <c r="H105" t="s">
        <v>22</v>
      </c>
      <c r="I105">
        <v>0</v>
      </c>
      <c r="J105" t="s">
        <v>24</v>
      </c>
    </row>
    <row r="106" spans="1:10" x14ac:dyDescent="0.25">
      <c r="A106" s="1">
        <v>8</v>
      </c>
      <c r="B106" t="s">
        <v>37</v>
      </c>
      <c r="C106">
        <v>630</v>
      </c>
      <c r="D106">
        <v>5</v>
      </c>
      <c r="E106" t="s">
        <v>32</v>
      </c>
      <c r="F106" t="s">
        <v>33</v>
      </c>
      <c r="G106" t="str">
        <f>"2026-04-20 15:19:23.314"</f>
        <v>2026-04-20 15:19:23.314</v>
      </c>
      <c r="H106" t="s">
        <v>34</v>
      </c>
      <c r="I106">
        <v>0</v>
      </c>
      <c r="J106" t="s">
        <v>24</v>
      </c>
    </row>
    <row r="107" spans="1:10" x14ac:dyDescent="0.25">
      <c r="A107" s="1">
        <v>9</v>
      </c>
      <c r="B107" t="s">
        <v>19</v>
      </c>
      <c r="C107">
        <v>630</v>
      </c>
      <c r="D107">
        <v>5</v>
      </c>
      <c r="E107" t="s">
        <v>32</v>
      </c>
      <c r="F107" t="s">
        <v>33</v>
      </c>
      <c r="G107" t="str">
        <f>"2026-04-20 13:11:44.414"</f>
        <v>2026-04-20 13:11:44.414</v>
      </c>
      <c r="H107" t="s">
        <v>34</v>
      </c>
    </row>
    <row r="108" spans="1:10" x14ac:dyDescent="0.25">
      <c r="A108" s="1">
        <v>0</v>
      </c>
      <c r="B108" t="s">
        <v>25</v>
      </c>
      <c r="C108">
        <v>706</v>
      </c>
      <c r="D108">
        <v>4</v>
      </c>
      <c r="E108" t="s">
        <v>35</v>
      </c>
      <c r="F108" t="s">
        <v>36</v>
      </c>
      <c r="G108" t="str">
        <f>"2026-04-20 13:11:14.352"</f>
        <v>2026-04-20 13:11:14.352</v>
      </c>
      <c r="H108" t="s">
        <v>22</v>
      </c>
      <c r="I108">
        <v>0</v>
      </c>
      <c r="J108" t="s">
        <v>24</v>
      </c>
    </row>
    <row r="109" spans="1:10" x14ac:dyDescent="0.25">
      <c r="A109" s="1">
        <v>1</v>
      </c>
      <c r="B109" t="s">
        <v>37</v>
      </c>
      <c r="C109">
        <v>630</v>
      </c>
      <c r="D109">
        <v>5</v>
      </c>
      <c r="E109" t="s">
        <v>32</v>
      </c>
      <c r="F109" t="s">
        <v>33</v>
      </c>
      <c r="G109" t="str">
        <f>"2026-04-20 12:54:15.514"</f>
        <v>2026-04-20 12:54:15.514</v>
      </c>
      <c r="H109" t="s">
        <v>34</v>
      </c>
      <c r="I109">
        <v>0</v>
      </c>
      <c r="J109" t="s">
        <v>24</v>
      </c>
    </row>
    <row r="110" spans="1:10" x14ac:dyDescent="0.25">
      <c r="A110" s="1">
        <v>2</v>
      </c>
      <c r="B110" t="s">
        <v>19</v>
      </c>
      <c r="C110">
        <v>630</v>
      </c>
      <c r="D110">
        <v>5</v>
      </c>
      <c r="E110" t="s">
        <v>32</v>
      </c>
      <c r="F110" t="s">
        <v>33</v>
      </c>
      <c r="G110" t="str">
        <f>"2026-04-20 11:22:50.314"</f>
        <v>2026-04-20 11:22:50.314</v>
      </c>
      <c r="H110" t="s">
        <v>34</v>
      </c>
    </row>
    <row r="111" spans="1:10" x14ac:dyDescent="0.25">
      <c r="A111" s="1">
        <v>3</v>
      </c>
      <c r="B111" t="s">
        <v>25</v>
      </c>
      <c r="C111">
        <v>706</v>
      </c>
      <c r="D111">
        <v>4</v>
      </c>
      <c r="E111" t="s">
        <v>35</v>
      </c>
      <c r="F111" t="s">
        <v>36</v>
      </c>
      <c r="G111" t="str">
        <f>"2026-04-20 11:22:20.142"</f>
        <v>2026-04-20 11:22:20.142</v>
      </c>
      <c r="H111" t="s">
        <v>22</v>
      </c>
      <c r="I111">
        <v>0</v>
      </c>
      <c r="J111" t="s">
        <v>24</v>
      </c>
    </row>
    <row r="112" spans="1:10" x14ac:dyDescent="0.25">
      <c r="A112" s="1">
        <v>4</v>
      </c>
      <c r="B112" t="s">
        <v>37</v>
      </c>
      <c r="C112">
        <v>630</v>
      </c>
      <c r="D112">
        <v>5</v>
      </c>
      <c r="E112" t="s">
        <v>32</v>
      </c>
      <c r="F112" t="s">
        <v>33</v>
      </c>
      <c r="G112" t="str">
        <f>"2026-04-20 10:46:20.914"</f>
        <v>2026-04-20 10:46:20.914</v>
      </c>
      <c r="H112" t="s">
        <v>34</v>
      </c>
      <c r="I112">
        <v>0</v>
      </c>
      <c r="J112" t="s">
        <v>24</v>
      </c>
    </row>
    <row r="113" spans="1:10" x14ac:dyDescent="0.25">
      <c r="A113" s="1">
        <v>5</v>
      </c>
      <c r="B113" t="s">
        <v>19</v>
      </c>
      <c r="C113">
        <v>630</v>
      </c>
      <c r="D113">
        <v>5</v>
      </c>
      <c r="E113" t="s">
        <v>32</v>
      </c>
      <c r="F113" t="s">
        <v>33</v>
      </c>
      <c r="G113" t="str">
        <f>"2026-04-19 10:06:27.214"</f>
        <v>2026-04-19 10:06:27.214</v>
      </c>
      <c r="H113" t="s">
        <v>34</v>
      </c>
    </row>
    <row r="114" spans="1:10" x14ac:dyDescent="0.25">
      <c r="A114" s="1">
        <v>6</v>
      </c>
      <c r="B114" t="s">
        <v>25</v>
      </c>
      <c r="C114">
        <v>706</v>
      </c>
      <c r="D114">
        <v>4</v>
      </c>
      <c r="E114" t="s">
        <v>35</v>
      </c>
      <c r="F114" t="s">
        <v>36</v>
      </c>
      <c r="G114" t="str">
        <f>"2026-04-19 10:05:57.142"</f>
        <v>2026-04-19 10:05:57.142</v>
      </c>
      <c r="H114" t="s">
        <v>22</v>
      </c>
      <c r="I114">
        <v>0</v>
      </c>
      <c r="J114" t="s">
        <v>24</v>
      </c>
    </row>
    <row r="115" spans="1:10" x14ac:dyDescent="0.25">
      <c r="A115" s="1">
        <v>7</v>
      </c>
      <c r="B115" t="s">
        <v>37</v>
      </c>
      <c r="C115">
        <v>630</v>
      </c>
      <c r="D115">
        <v>5</v>
      </c>
      <c r="E115" t="s">
        <v>32</v>
      </c>
      <c r="F115" t="s">
        <v>33</v>
      </c>
      <c r="G115" t="str">
        <f>"2026-04-19 10:01:09.514"</f>
        <v>2026-04-19 10:01:09.514</v>
      </c>
      <c r="H115" t="s">
        <v>34</v>
      </c>
      <c r="I115">
        <v>0</v>
      </c>
      <c r="J115" t="s">
        <v>24</v>
      </c>
    </row>
    <row r="116" spans="1:10" x14ac:dyDescent="0.25">
      <c r="A116" s="1">
        <v>8</v>
      </c>
      <c r="B116" t="s">
        <v>19</v>
      </c>
      <c r="C116">
        <v>635</v>
      </c>
      <c r="D116">
        <v>1</v>
      </c>
      <c r="E116" t="s">
        <v>28</v>
      </c>
      <c r="F116" t="s">
        <v>29</v>
      </c>
      <c r="G116" t="str">
        <f>"2026-04-18 22:51:48.714"</f>
        <v>2026-04-18 22:51:48.714</v>
      </c>
      <c r="H116" t="s">
        <v>22</v>
      </c>
    </row>
    <row r="117" spans="1:10" x14ac:dyDescent="0.25">
      <c r="A117" s="1">
        <v>9</v>
      </c>
      <c r="B117" t="s">
        <v>23</v>
      </c>
      <c r="C117">
        <v>635</v>
      </c>
      <c r="D117">
        <v>1</v>
      </c>
      <c r="E117" t="s">
        <v>28</v>
      </c>
      <c r="F117" t="s">
        <v>29</v>
      </c>
      <c r="G117" t="str">
        <f>"2026-04-18 22:27:50.814"</f>
        <v>2026-04-18 22:27:50.814</v>
      </c>
      <c r="H117" t="s">
        <v>22</v>
      </c>
      <c r="I117">
        <v>6.36</v>
      </c>
      <c r="J117" t="s">
        <v>30</v>
      </c>
    </row>
    <row r="118" spans="1:10" x14ac:dyDescent="0.25">
      <c r="A118" s="1">
        <v>10</v>
      </c>
      <c r="B118" t="s">
        <v>25</v>
      </c>
      <c r="C118">
        <v>700</v>
      </c>
      <c r="D118">
        <v>0</v>
      </c>
      <c r="E118" t="s">
        <v>26</v>
      </c>
      <c r="F118" t="s">
        <v>26</v>
      </c>
      <c r="G118" t="str">
        <f>"2026-04-18 11:17:59.872"</f>
        <v>2026-04-18 11:17:59.872</v>
      </c>
      <c r="H118" t="s">
        <v>22</v>
      </c>
    </row>
    <row r="119" spans="1:10" x14ac:dyDescent="0.25">
      <c r="A119" s="1">
        <v>11</v>
      </c>
      <c r="B119" t="s">
        <v>19</v>
      </c>
      <c r="C119">
        <v>630</v>
      </c>
      <c r="D119">
        <v>5</v>
      </c>
      <c r="E119" t="s">
        <v>32</v>
      </c>
      <c r="F119" t="s">
        <v>33</v>
      </c>
      <c r="G119" t="str">
        <f>"2026-04-17 16:31:43.090"</f>
        <v>2026-04-17 16:31:43.090</v>
      </c>
      <c r="H119" t="s">
        <v>34</v>
      </c>
    </row>
    <row r="120" spans="1:10" x14ac:dyDescent="0.25">
      <c r="A120" s="1">
        <v>12</v>
      </c>
      <c r="B120" t="s">
        <v>25</v>
      </c>
      <c r="C120">
        <v>706</v>
      </c>
      <c r="D120">
        <v>4</v>
      </c>
      <c r="E120" t="s">
        <v>35</v>
      </c>
      <c r="F120" t="s">
        <v>36</v>
      </c>
      <c r="G120" t="str">
        <f>"2026-04-17 16:31:12.985"</f>
        <v>2026-04-17 16:31:12.985</v>
      </c>
      <c r="H120" t="s">
        <v>22</v>
      </c>
      <c r="I120">
        <v>0</v>
      </c>
      <c r="J120" t="s">
        <v>24</v>
      </c>
    </row>
    <row r="121" spans="1:10" x14ac:dyDescent="0.25">
      <c r="A121" s="1">
        <v>13</v>
      </c>
      <c r="B121" t="s">
        <v>25</v>
      </c>
      <c r="C121">
        <v>706</v>
      </c>
      <c r="D121">
        <v>4</v>
      </c>
      <c r="E121" t="s">
        <v>35</v>
      </c>
      <c r="F121" t="s">
        <v>36</v>
      </c>
      <c r="G121" t="str">
        <f>"2026-04-17 16:30:46.795"</f>
        <v>2026-04-17 16:30:46.795</v>
      </c>
      <c r="H121" t="s">
        <v>22</v>
      </c>
      <c r="I121">
        <v>0</v>
      </c>
      <c r="J121" t="s">
        <v>24</v>
      </c>
    </row>
    <row r="122" spans="1:10" x14ac:dyDescent="0.25">
      <c r="A122" s="1">
        <v>14</v>
      </c>
      <c r="B122" t="s">
        <v>37</v>
      </c>
      <c r="C122">
        <v>630</v>
      </c>
      <c r="D122">
        <v>5</v>
      </c>
      <c r="E122" t="s">
        <v>32</v>
      </c>
      <c r="F122" t="s">
        <v>33</v>
      </c>
      <c r="G122" t="str">
        <f>"2026-04-17 16:15:20.790"</f>
        <v>2026-04-17 16:15:20.790</v>
      </c>
      <c r="H122" t="s">
        <v>34</v>
      </c>
      <c r="I122">
        <v>0</v>
      </c>
      <c r="J122" t="s">
        <v>24</v>
      </c>
    </row>
    <row r="123" spans="1:10" x14ac:dyDescent="0.25">
      <c r="A123" s="1">
        <v>15</v>
      </c>
      <c r="B123" t="s">
        <v>19</v>
      </c>
      <c r="C123">
        <v>630</v>
      </c>
      <c r="D123">
        <v>5</v>
      </c>
      <c r="E123" t="s">
        <v>32</v>
      </c>
      <c r="F123" t="s">
        <v>33</v>
      </c>
      <c r="G123" t="str">
        <f>"2026-04-17 06:15:53.090"</f>
        <v>2026-04-17 06:15:53.090</v>
      </c>
      <c r="H123" t="s">
        <v>34</v>
      </c>
    </row>
    <row r="124" spans="1:10" x14ac:dyDescent="0.25">
      <c r="A124" s="1">
        <v>16</v>
      </c>
      <c r="B124" t="s">
        <v>25</v>
      </c>
      <c r="C124">
        <v>706</v>
      </c>
      <c r="D124">
        <v>2</v>
      </c>
      <c r="E124" t="s">
        <v>35</v>
      </c>
      <c r="F124" t="s">
        <v>38</v>
      </c>
      <c r="G124" t="str">
        <f>"2026-04-17 06:15:23.115"</f>
        <v>2026-04-17 06:15:23.115</v>
      </c>
      <c r="H124" t="s">
        <v>22</v>
      </c>
      <c r="I124">
        <v>0</v>
      </c>
      <c r="J124" t="s">
        <v>24</v>
      </c>
    </row>
    <row r="125" spans="1:10" x14ac:dyDescent="0.25">
      <c r="A125" s="1">
        <v>17</v>
      </c>
      <c r="B125" t="s">
        <v>37</v>
      </c>
      <c r="C125">
        <v>630</v>
      </c>
      <c r="D125">
        <v>5</v>
      </c>
      <c r="E125" t="s">
        <v>32</v>
      </c>
      <c r="F125" t="s">
        <v>33</v>
      </c>
      <c r="G125" t="str">
        <f>"2026-04-17 06:12:08.390"</f>
        <v>2026-04-17 06:12:08.390</v>
      </c>
      <c r="H125" t="s">
        <v>34</v>
      </c>
      <c r="I125">
        <v>0</v>
      </c>
      <c r="J125" t="s">
        <v>24</v>
      </c>
    </row>
    <row r="126" spans="1:10" x14ac:dyDescent="0.25">
      <c r="A126" s="1">
        <v>18</v>
      </c>
      <c r="B126" t="s">
        <v>19</v>
      </c>
      <c r="C126">
        <v>630</v>
      </c>
      <c r="D126">
        <v>5</v>
      </c>
      <c r="E126" t="s">
        <v>32</v>
      </c>
      <c r="F126" t="s">
        <v>33</v>
      </c>
      <c r="G126" t="str">
        <f>"2026-04-16 20:32:40.689"</f>
        <v>2026-04-16 20:32:40.689</v>
      </c>
      <c r="H126" t="s">
        <v>34</v>
      </c>
    </row>
    <row r="127" spans="1:10" x14ac:dyDescent="0.25">
      <c r="A127" s="1">
        <v>19</v>
      </c>
      <c r="B127" t="s">
        <v>25</v>
      </c>
      <c r="C127">
        <v>706</v>
      </c>
      <c r="D127">
        <v>2</v>
      </c>
      <c r="E127" t="s">
        <v>35</v>
      </c>
      <c r="F127" t="s">
        <v>38</v>
      </c>
      <c r="G127" t="str">
        <f>"2026-04-16 20:32:10.515"</f>
        <v>2026-04-16 20:32:10.515</v>
      </c>
      <c r="H127" t="s">
        <v>22</v>
      </c>
      <c r="I127">
        <v>0</v>
      </c>
      <c r="J127" t="s">
        <v>24</v>
      </c>
    </row>
    <row r="128" spans="1:10" x14ac:dyDescent="0.25">
      <c r="A128" s="1">
        <v>20</v>
      </c>
      <c r="B128" t="s">
        <v>37</v>
      </c>
      <c r="C128">
        <v>630</v>
      </c>
      <c r="D128">
        <v>5</v>
      </c>
      <c r="E128" t="s">
        <v>32</v>
      </c>
      <c r="F128" t="s">
        <v>33</v>
      </c>
      <c r="G128" t="str">
        <f>"2026-04-16 20:27:40.190"</f>
        <v>2026-04-16 20:27:40.190</v>
      </c>
      <c r="H128" t="s">
        <v>34</v>
      </c>
      <c r="I128">
        <v>0</v>
      </c>
      <c r="J128" t="s">
        <v>24</v>
      </c>
    </row>
    <row r="129" spans="1:10" x14ac:dyDescent="0.25">
      <c r="A129" s="1">
        <v>21</v>
      </c>
      <c r="B129" t="s">
        <v>25</v>
      </c>
      <c r="C129">
        <v>700</v>
      </c>
      <c r="D129">
        <v>0</v>
      </c>
      <c r="E129" t="s">
        <v>26</v>
      </c>
      <c r="F129" t="s">
        <v>26</v>
      </c>
      <c r="G129" t="str">
        <f>"2026-04-16 13:02:51.865"</f>
        <v>2026-04-16 13:02:51.865</v>
      </c>
      <c r="H129" t="s">
        <v>22</v>
      </c>
      <c r="I129">
        <v>0</v>
      </c>
      <c r="J129" t="s">
        <v>27</v>
      </c>
    </row>
    <row r="130" spans="1:10" x14ac:dyDescent="0.25">
      <c r="A130" s="1">
        <v>22</v>
      </c>
      <c r="B130" t="s">
        <v>19</v>
      </c>
      <c r="C130">
        <v>630</v>
      </c>
      <c r="D130">
        <v>5</v>
      </c>
      <c r="E130" t="s">
        <v>32</v>
      </c>
      <c r="F130" t="s">
        <v>33</v>
      </c>
      <c r="G130" t="str">
        <f>"2026-04-15 10:39:06.628"</f>
        <v>2026-04-15 10:39:06.628</v>
      </c>
      <c r="H130" t="s">
        <v>34</v>
      </c>
    </row>
    <row r="131" spans="1:10" x14ac:dyDescent="0.25">
      <c r="A131" s="1">
        <v>23</v>
      </c>
      <c r="B131" t="s">
        <v>25</v>
      </c>
      <c r="C131">
        <v>706</v>
      </c>
      <c r="D131">
        <v>2</v>
      </c>
      <c r="E131" t="s">
        <v>35</v>
      </c>
      <c r="F131" t="s">
        <v>38</v>
      </c>
      <c r="G131" t="str">
        <f>"2026-04-15 10:38:36.487"</f>
        <v>2026-04-15 10:38:36.487</v>
      </c>
      <c r="H131" t="s">
        <v>22</v>
      </c>
      <c r="I131">
        <v>0</v>
      </c>
      <c r="J131" t="s">
        <v>24</v>
      </c>
    </row>
    <row r="132" spans="1:10" x14ac:dyDescent="0.25">
      <c r="A132" s="1">
        <v>24</v>
      </c>
      <c r="B132" t="s">
        <v>37</v>
      </c>
      <c r="C132">
        <v>630</v>
      </c>
      <c r="D132">
        <v>5</v>
      </c>
      <c r="E132" t="s">
        <v>32</v>
      </c>
      <c r="F132" t="s">
        <v>33</v>
      </c>
      <c r="G132" t="str">
        <f>"2026-04-15 10:37:56.028"</f>
        <v>2026-04-15 10:37:56.028</v>
      </c>
      <c r="H132" t="s">
        <v>34</v>
      </c>
      <c r="I132">
        <v>0</v>
      </c>
      <c r="J132" t="s">
        <v>24</v>
      </c>
    </row>
    <row r="133" spans="1:10" x14ac:dyDescent="0.25">
      <c r="A133" s="1">
        <v>25</v>
      </c>
      <c r="B133" t="s">
        <v>19</v>
      </c>
      <c r="C133">
        <v>630</v>
      </c>
      <c r="D133">
        <v>5</v>
      </c>
      <c r="E133" t="s">
        <v>32</v>
      </c>
      <c r="F133" t="s">
        <v>33</v>
      </c>
      <c r="G133" t="str">
        <f>"2026-04-13 03:21:23.828"</f>
        <v>2026-04-13 03:21:23.828</v>
      </c>
      <c r="H133" t="s">
        <v>34</v>
      </c>
    </row>
    <row r="134" spans="1:10" x14ac:dyDescent="0.25">
      <c r="A134" s="1">
        <v>26</v>
      </c>
      <c r="B134" t="s">
        <v>25</v>
      </c>
      <c r="C134">
        <v>706</v>
      </c>
      <c r="D134">
        <v>2</v>
      </c>
      <c r="E134" t="s">
        <v>35</v>
      </c>
      <c r="F134" t="s">
        <v>38</v>
      </c>
      <c r="G134" t="str">
        <f>"2026-04-13 03:20:53.687"</f>
        <v>2026-04-13 03:20:53.687</v>
      </c>
      <c r="H134" t="s">
        <v>22</v>
      </c>
      <c r="I134">
        <v>0</v>
      </c>
      <c r="J134" t="s">
        <v>24</v>
      </c>
    </row>
    <row r="135" spans="1:10" x14ac:dyDescent="0.25">
      <c r="A135" s="1">
        <v>27</v>
      </c>
      <c r="B135" t="s">
        <v>37</v>
      </c>
      <c r="C135">
        <v>630</v>
      </c>
      <c r="D135">
        <v>5</v>
      </c>
      <c r="E135" t="s">
        <v>32</v>
      </c>
      <c r="F135" t="s">
        <v>33</v>
      </c>
      <c r="G135" t="str">
        <f>"2026-04-13 03:17:56.428"</f>
        <v>2026-04-13 03:17:56.428</v>
      </c>
      <c r="H135" t="s">
        <v>34</v>
      </c>
      <c r="I135">
        <v>0</v>
      </c>
      <c r="J135" t="s">
        <v>24</v>
      </c>
    </row>
    <row r="136" spans="1:10" x14ac:dyDescent="0.25">
      <c r="A136" s="1">
        <v>28</v>
      </c>
      <c r="B136" t="s">
        <v>19</v>
      </c>
      <c r="C136">
        <v>630</v>
      </c>
      <c r="D136">
        <v>5</v>
      </c>
      <c r="E136" t="s">
        <v>32</v>
      </c>
      <c r="F136" t="s">
        <v>33</v>
      </c>
      <c r="G136" t="str">
        <f>"2026-04-13 00:05:39.328"</f>
        <v>2026-04-13 00:05:39.328</v>
      </c>
      <c r="H136" t="s">
        <v>34</v>
      </c>
    </row>
    <row r="137" spans="1:10" x14ac:dyDescent="0.25">
      <c r="A137" s="1">
        <v>29</v>
      </c>
      <c r="B137" t="s">
        <v>25</v>
      </c>
      <c r="C137">
        <v>706</v>
      </c>
      <c r="D137">
        <v>4</v>
      </c>
      <c r="E137" t="s">
        <v>35</v>
      </c>
      <c r="F137" t="s">
        <v>36</v>
      </c>
      <c r="G137" t="str">
        <f>"2026-04-13 00:05:09.177"</f>
        <v>2026-04-13 00:05:09.177</v>
      </c>
      <c r="H137" t="s">
        <v>22</v>
      </c>
      <c r="I137">
        <v>0</v>
      </c>
      <c r="J137" t="s">
        <v>24</v>
      </c>
    </row>
    <row r="138" spans="1:10" x14ac:dyDescent="0.25">
      <c r="A138" s="1">
        <v>30</v>
      </c>
      <c r="B138" t="s">
        <v>37</v>
      </c>
      <c r="C138">
        <v>630</v>
      </c>
      <c r="D138">
        <v>5</v>
      </c>
      <c r="E138" t="s">
        <v>32</v>
      </c>
      <c r="F138" t="s">
        <v>33</v>
      </c>
      <c r="G138" t="str">
        <f>"2026-04-12 23:48:25.628"</f>
        <v>2026-04-12 23:48:25.628</v>
      </c>
      <c r="H138" t="s">
        <v>34</v>
      </c>
      <c r="I138">
        <v>0</v>
      </c>
      <c r="J138" t="s">
        <v>24</v>
      </c>
    </row>
    <row r="139" spans="1:10" x14ac:dyDescent="0.25">
      <c r="A139" s="1">
        <v>31</v>
      </c>
      <c r="B139" t="s">
        <v>19</v>
      </c>
      <c r="C139">
        <v>630</v>
      </c>
      <c r="D139">
        <v>5</v>
      </c>
      <c r="E139" t="s">
        <v>32</v>
      </c>
      <c r="F139" t="s">
        <v>33</v>
      </c>
      <c r="G139" t="str">
        <f>"2026-04-12 23:34:50.828"</f>
        <v>2026-04-12 23:34:50.828</v>
      </c>
      <c r="H139" t="s">
        <v>34</v>
      </c>
    </row>
    <row r="140" spans="1:10" x14ac:dyDescent="0.25">
      <c r="A140" s="1">
        <v>32</v>
      </c>
      <c r="B140" t="s">
        <v>25</v>
      </c>
      <c r="C140">
        <v>706</v>
      </c>
      <c r="D140">
        <v>2</v>
      </c>
      <c r="E140" t="s">
        <v>35</v>
      </c>
      <c r="F140" t="s">
        <v>38</v>
      </c>
      <c r="G140" t="str">
        <f>"2026-04-12 23:34:20.687"</f>
        <v>2026-04-12 23:34:20.687</v>
      </c>
      <c r="H140" t="s">
        <v>22</v>
      </c>
      <c r="I140">
        <v>0</v>
      </c>
      <c r="J140" t="s">
        <v>24</v>
      </c>
    </row>
    <row r="141" spans="1:10" x14ac:dyDescent="0.25">
      <c r="A141" s="1">
        <v>33</v>
      </c>
      <c r="B141" t="s">
        <v>37</v>
      </c>
      <c r="C141">
        <v>630</v>
      </c>
      <c r="D141">
        <v>5</v>
      </c>
      <c r="E141" t="s">
        <v>32</v>
      </c>
      <c r="F141" t="s">
        <v>33</v>
      </c>
      <c r="G141" t="str">
        <f>"2026-04-12 23:27:48.628"</f>
        <v>2026-04-12 23:27:48.628</v>
      </c>
      <c r="H141" t="s">
        <v>34</v>
      </c>
      <c r="I141">
        <v>0</v>
      </c>
      <c r="J141" t="s">
        <v>24</v>
      </c>
    </row>
    <row r="142" spans="1:10" x14ac:dyDescent="0.25">
      <c r="A142" s="1">
        <v>34</v>
      </c>
      <c r="B142" t="s">
        <v>25</v>
      </c>
      <c r="C142">
        <v>700</v>
      </c>
      <c r="D142">
        <v>0</v>
      </c>
      <c r="E142" t="s">
        <v>26</v>
      </c>
      <c r="F142" t="s">
        <v>26</v>
      </c>
      <c r="G142" t="str">
        <f>"2026-04-12 23:22:45.857"</f>
        <v>2026-04-12 23:22:45.857</v>
      </c>
      <c r="H142" t="s">
        <v>22</v>
      </c>
    </row>
    <row r="143" spans="1:10" x14ac:dyDescent="0.25">
      <c r="A143" s="1">
        <v>35</v>
      </c>
      <c r="B143" t="s">
        <v>25</v>
      </c>
      <c r="C143">
        <v>700</v>
      </c>
      <c r="D143">
        <v>0</v>
      </c>
      <c r="E143" t="s">
        <v>26</v>
      </c>
      <c r="F143" t="s">
        <v>26</v>
      </c>
      <c r="G143" t="str">
        <f>"2026-04-12 22:01:33.233"</f>
        <v>2026-04-12 22:01:33.233</v>
      </c>
      <c r="H143" t="s">
        <v>22</v>
      </c>
      <c r="I143">
        <v>0</v>
      </c>
      <c r="J143" t="s">
        <v>27</v>
      </c>
    </row>
    <row r="144" spans="1:10" x14ac:dyDescent="0.25">
      <c r="A144" s="1">
        <v>36</v>
      </c>
      <c r="B144" t="s">
        <v>25</v>
      </c>
      <c r="C144">
        <v>706</v>
      </c>
      <c r="D144">
        <v>2</v>
      </c>
      <c r="E144" t="s">
        <v>35</v>
      </c>
      <c r="F144" t="s">
        <v>38</v>
      </c>
      <c r="G144" t="str">
        <f>"2026-04-12 01:45:11.142"</f>
        <v>2026-04-12 01:45:11.142</v>
      </c>
      <c r="H144" t="s">
        <v>22</v>
      </c>
      <c r="I144">
        <v>0</v>
      </c>
      <c r="J144" t="s">
        <v>24</v>
      </c>
    </row>
    <row r="145" spans="1:10" x14ac:dyDescent="0.25">
      <c r="A145" s="1">
        <v>37</v>
      </c>
      <c r="B145" t="s">
        <v>19</v>
      </c>
      <c r="C145">
        <v>630</v>
      </c>
      <c r="D145">
        <v>5</v>
      </c>
      <c r="E145" t="s">
        <v>32</v>
      </c>
      <c r="F145" t="s">
        <v>33</v>
      </c>
      <c r="G145" t="str">
        <f>"2026-04-10 20:42:14.299"</f>
        <v>2026-04-10 20:42:14.299</v>
      </c>
      <c r="H145" t="s">
        <v>34</v>
      </c>
    </row>
    <row r="146" spans="1:10" x14ac:dyDescent="0.25">
      <c r="A146" s="1">
        <v>38</v>
      </c>
      <c r="B146" t="s">
        <v>25</v>
      </c>
      <c r="C146">
        <v>706</v>
      </c>
      <c r="D146">
        <v>4</v>
      </c>
      <c r="E146" t="s">
        <v>35</v>
      </c>
      <c r="F146" t="s">
        <v>36</v>
      </c>
      <c r="G146" t="str">
        <f>"2026-04-10 20:41:44.192"</f>
        <v>2026-04-10 20:41:44.192</v>
      </c>
      <c r="H146" t="s">
        <v>22</v>
      </c>
      <c r="I146">
        <v>0</v>
      </c>
      <c r="J146" t="s">
        <v>24</v>
      </c>
    </row>
    <row r="147" spans="1:10" x14ac:dyDescent="0.25">
      <c r="A147" s="1">
        <v>39</v>
      </c>
      <c r="B147" t="s">
        <v>37</v>
      </c>
      <c r="C147">
        <v>630</v>
      </c>
      <c r="D147">
        <v>5</v>
      </c>
      <c r="E147" t="s">
        <v>32</v>
      </c>
      <c r="F147" t="s">
        <v>33</v>
      </c>
      <c r="G147" t="str">
        <f>"2026-04-10 20:40:16.199"</f>
        <v>2026-04-10 20:40:16.199</v>
      </c>
      <c r="H147" t="s">
        <v>34</v>
      </c>
      <c r="I147">
        <v>0</v>
      </c>
      <c r="J147" t="s">
        <v>24</v>
      </c>
    </row>
    <row r="148" spans="1:10" x14ac:dyDescent="0.25">
      <c r="A148" s="1">
        <v>40</v>
      </c>
      <c r="B148" t="s">
        <v>19</v>
      </c>
      <c r="C148">
        <v>630</v>
      </c>
      <c r="D148">
        <v>5</v>
      </c>
      <c r="E148" t="s">
        <v>32</v>
      </c>
      <c r="F148" t="s">
        <v>33</v>
      </c>
      <c r="G148" t="str">
        <f>"2026-04-10 08:18:07.999"</f>
        <v>2026-04-10 08:18:07.999</v>
      </c>
      <c r="H148" t="s">
        <v>34</v>
      </c>
    </row>
    <row r="149" spans="1:10" x14ac:dyDescent="0.25">
      <c r="A149" s="1">
        <v>41</v>
      </c>
      <c r="B149" t="s">
        <v>25</v>
      </c>
      <c r="C149">
        <v>706</v>
      </c>
      <c r="D149">
        <v>4</v>
      </c>
      <c r="E149" t="s">
        <v>35</v>
      </c>
      <c r="F149" t="s">
        <v>36</v>
      </c>
      <c r="G149" t="str">
        <f>"2026-04-10 08:17:37.832"</f>
        <v>2026-04-10 08:17:37.832</v>
      </c>
      <c r="H149" t="s">
        <v>22</v>
      </c>
      <c r="I149">
        <v>0</v>
      </c>
      <c r="J149" t="s">
        <v>24</v>
      </c>
    </row>
    <row r="150" spans="1:10" x14ac:dyDescent="0.25">
      <c r="A150" s="1">
        <v>42</v>
      </c>
      <c r="B150" t="s">
        <v>37</v>
      </c>
      <c r="C150">
        <v>630</v>
      </c>
      <c r="D150">
        <v>5</v>
      </c>
      <c r="E150" t="s">
        <v>32</v>
      </c>
      <c r="F150" t="s">
        <v>33</v>
      </c>
      <c r="G150" t="str">
        <f>"2026-04-10 08:17:12.399"</f>
        <v>2026-04-10 08:17:12.399</v>
      </c>
      <c r="H150" t="s">
        <v>34</v>
      </c>
      <c r="I150">
        <v>0</v>
      </c>
      <c r="J150" t="s">
        <v>24</v>
      </c>
    </row>
    <row r="151" spans="1:10" s="3" customFormat="1" x14ac:dyDescent="0.25">
      <c r="A151" s="2">
        <v>44</v>
      </c>
      <c r="B151" s="3" t="s">
        <v>19</v>
      </c>
      <c r="C151" s="3">
        <v>647</v>
      </c>
      <c r="D151" s="3">
        <v>1</v>
      </c>
      <c r="E151" s="3" t="s">
        <v>49</v>
      </c>
      <c r="F151" s="3" t="s">
        <v>50</v>
      </c>
      <c r="G151" s="3" t="str">
        <f>"2026-04-09 18:11:52.299"</f>
        <v>2026-04-09 18:11:52.299</v>
      </c>
      <c r="H151" s="3" t="s">
        <v>22</v>
      </c>
    </row>
    <row r="152" spans="1:10" s="3" customFormat="1" x14ac:dyDescent="0.25">
      <c r="A152" s="2">
        <v>45</v>
      </c>
      <c r="B152" s="3" t="s">
        <v>23</v>
      </c>
      <c r="C152" s="3">
        <v>647</v>
      </c>
      <c r="D152" s="3">
        <v>1</v>
      </c>
      <c r="E152" s="3" t="s">
        <v>49</v>
      </c>
      <c r="F152" s="3" t="s">
        <v>50</v>
      </c>
      <c r="G152" s="3" t="str">
        <f>"2026-04-09 18:11:49.999"</f>
        <v>2026-04-09 18:11:49.999</v>
      </c>
      <c r="H152" s="3" t="s">
        <v>22</v>
      </c>
      <c r="I152" s="3">
        <v>18.510000000000002</v>
      </c>
      <c r="J152" s="3" t="s">
        <v>31</v>
      </c>
    </row>
    <row r="153" spans="1:10" x14ac:dyDescent="0.25">
      <c r="A153" s="1">
        <v>46</v>
      </c>
      <c r="B153" t="s">
        <v>19</v>
      </c>
      <c r="C153">
        <v>635</v>
      </c>
      <c r="D153">
        <v>1</v>
      </c>
      <c r="E153" t="s">
        <v>28</v>
      </c>
      <c r="F153" t="s">
        <v>29</v>
      </c>
      <c r="G153" t="str">
        <f>"2026-04-09 13:58:34.051"</f>
        <v>2026-04-09 13:58:34.051</v>
      </c>
      <c r="H153" t="s">
        <v>22</v>
      </c>
    </row>
    <row r="154" spans="1:10" x14ac:dyDescent="0.25">
      <c r="A154" s="1">
        <v>47</v>
      </c>
      <c r="B154" t="s">
        <v>23</v>
      </c>
      <c r="C154">
        <v>635</v>
      </c>
      <c r="D154">
        <v>1</v>
      </c>
      <c r="E154" t="s">
        <v>28</v>
      </c>
      <c r="F154" t="s">
        <v>29</v>
      </c>
      <c r="G154" t="str">
        <f>"2026-04-09 13:56:25.551"</f>
        <v>2026-04-09 13:56:25.551</v>
      </c>
      <c r="H154" t="s">
        <v>22</v>
      </c>
      <c r="I154">
        <v>-4.07</v>
      </c>
      <c r="J154" t="s">
        <v>30</v>
      </c>
    </row>
    <row r="155" spans="1:10" x14ac:dyDescent="0.25">
      <c r="A155" s="1">
        <v>48</v>
      </c>
      <c r="B155" t="s">
        <v>19</v>
      </c>
      <c r="C155">
        <v>630</v>
      </c>
      <c r="D155">
        <v>5</v>
      </c>
      <c r="E155" t="s">
        <v>32</v>
      </c>
      <c r="F155" t="s">
        <v>33</v>
      </c>
      <c r="G155" t="str">
        <f>"2026-04-09 10:12:18.599"</f>
        <v>2026-04-09 10:12:18.599</v>
      </c>
      <c r="H155" t="s">
        <v>34</v>
      </c>
    </row>
    <row r="156" spans="1:10" x14ac:dyDescent="0.25">
      <c r="A156" s="1">
        <v>49</v>
      </c>
      <c r="B156" t="s">
        <v>25</v>
      </c>
      <c r="C156">
        <v>706</v>
      </c>
      <c r="D156">
        <v>2</v>
      </c>
      <c r="E156" t="s">
        <v>35</v>
      </c>
      <c r="F156" t="s">
        <v>38</v>
      </c>
      <c r="G156" t="str">
        <f>"2026-04-09 10:11:48.442"</f>
        <v>2026-04-09 10:11:48.442</v>
      </c>
      <c r="H156" t="s">
        <v>22</v>
      </c>
      <c r="I156">
        <v>0</v>
      </c>
      <c r="J156" t="s">
        <v>24</v>
      </c>
    </row>
    <row r="157" spans="1:10" x14ac:dyDescent="0.25">
      <c r="A157" s="1">
        <v>50</v>
      </c>
      <c r="B157" t="s">
        <v>37</v>
      </c>
      <c r="C157">
        <v>630</v>
      </c>
      <c r="D157">
        <v>5</v>
      </c>
      <c r="E157" t="s">
        <v>32</v>
      </c>
      <c r="F157" t="s">
        <v>33</v>
      </c>
      <c r="G157" t="str">
        <f>"2026-04-09 10:11:24.400"</f>
        <v>2026-04-09 10:11:24.400</v>
      </c>
      <c r="H157" t="s">
        <v>34</v>
      </c>
      <c r="I157">
        <v>0</v>
      </c>
      <c r="J157" t="s">
        <v>24</v>
      </c>
    </row>
    <row r="158" spans="1:10" x14ac:dyDescent="0.25">
      <c r="A158" s="1">
        <v>51</v>
      </c>
      <c r="B158" t="s">
        <v>25</v>
      </c>
      <c r="C158">
        <v>700</v>
      </c>
      <c r="D158">
        <v>0</v>
      </c>
      <c r="E158" t="s">
        <v>26</v>
      </c>
      <c r="F158" t="s">
        <v>26</v>
      </c>
      <c r="G158" t="str">
        <f>"2026-04-08 13:52:27.872"</f>
        <v>2026-04-08 13:52:27.872</v>
      </c>
      <c r="H158" t="s">
        <v>22</v>
      </c>
      <c r="I158">
        <v>0</v>
      </c>
      <c r="J158" t="s">
        <v>27</v>
      </c>
    </row>
    <row r="159" spans="1:10" x14ac:dyDescent="0.25">
      <c r="A159" s="1">
        <v>52</v>
      </c>
      <c r="B159" t="s">
        <v>25</v>
      </c>
      <c r="C159">
        <v>706</v>
      </c>
      <c r="D159">
        <v>2</v>
      </c>
      <c r="E159" t="s">
        <v>35</v>
      </c>
      <c r="F159" t="s">
        <v>38</v>
      </c>
      <c r="G159" t="str">
        <f>"2026-04-08 13:44:39.918"</f>
        <v>2026-04-08 13:44:39.918</v>
      </c>
      <c r="H159" t="s">
        <v>22</v>
      </c>
      <c r="I159">
        <v>0</v>
      </c>
      <c r="J159" t="s">
        <v>24</v>
      </c>
    </row>
    <row r="160" spans="1:10" x14ac:dyDescent="0.25">
      <c r="A160" s="1">
        <v>53</v>
      </c>
      <c r="B160" t="s">
        <v>19</v>
      </c>
      <c r="C160">
        <v>630</v>
      </c>
      <c r="D160">
        <v>5</v>
      </c>
      <c r="E160" t="s">
        <v>32</v>
      </c>
      <c r="F160" t="s">
        <v>33</v>
      </c>
      <c r="G160" t="str">
        <f>"2026-04-07 00:13:13.704"</f>
        <v>2026-04-07 00:13:13.704</v>
      </c>
      <c r="H160" t="s">
        <v>34</v>
      </c>
    </row>
    <row r="161" spans="1:10" x14ac:dyDescent="0.25">
      <c r="A161" s="1">
        <v>54</v>
      </c>
      <c r="B161" t="s">
        <v>25</v>
      </c>
      <c r="C161">
        <v>706</v>
      </c>
      <c r="D161">
        <v>4</v>
      </c>
      <c r="E161" t="s">
        <v>35</v>
      </c>
      <c r="F161" t="s">
        <v>36</v>
      </c>
      <c r="G161" t="str">
        <f>"2026-04-07 00:12:43.648"</f>
        <v>2026-04-07 00:12:43.648</v>
      </c>
      <c r="H161" t="s">
        <v>22</v>
      </c>
      <c r="I161">
        <v>0</v>
      </c>
      <c r="J161" t="s">
        <v>24</v>
      </c>
    </row>
    <row r="162" spans="1:10" x14ac:dyDescent="0.25">
      <c r="A162" s="1">
        <v>55</v>
      </c>
      <c r="B162" t="s">
        <v>37</v>
      </c>
      <c r="C162">
        <v>630</v>
      </c>
      <c r="D162">
        <v>5</v>
      </c>
      <c r="E162" t="s">
        <v>32</v>
      </c>
      <c r="F162" t="s">
        <v>33</v>
      </c>
      <c r="G162" t="str">
        <f>"2026-04-07 00:06:36.204"</f>
        <v>2026-04-07 00:06:36.204</v>
      </c>
      <c r="H162" t="s">
        <v>34</v>
      </c>
      <c r="I162">
        <v>0</v>
      </c>
      <c r="J162" t="s">
        <v>24</v>
      </c>
    </row>
    <row r="163" spans="1:10" x14ac:dyDescent="0.25">
      <c r="A163" s="1">
        <v>56</v>
      </c>
      <c r="B163" t="s">
        <v>19</v>
      </c>
      <c r="C163">
        <v>635</v>
      </c>
      <c r="D163">
        <v>1</v>
      </c>
      <c r="E163" t="s">
        <v>28</v>
      </c>
      <c r="F163" t="s">
        <v>29</v>
      </c>
      <c r="G163" t="str">
        <f>"2026-04-06 00:00:16.450"</f>
        <v>2026-04-06 00:00:16.450</v>
      </c>
      <c r="H163" t="s">
        <v>22</v>
      </c>
    </row>
    <row r="164" spans="1:10" x14ac:dyDescent="0.25">
      <c r="A164" s="1">
        <v>57</v>
      </c>
      <c r="B164" t="s">
        <v>23</v>
      </c>
      <c r="C164">
        <v>635</v>
      </c>
      <c r="D164">
        <v>1</v>
      </c>
      <c r="E164" t="s">
        <v>28</v>
      </c>
      <c r="F164" t="s">
        <v>29</v>
      </c>
      <c r="G164" t="str">
        <f>"2026-04-05 23:55:38.950"</f>
        <v>2026-04-05 23:55:38.950</v>
      </c>
      <c r="H164" t="s">
        <v>22</v>
      </c>
      <c r="I164">
        <v>7.12</v>
      </c>
      <c r="J164" t="s">
        <v>30</v>
      </c>
    </row>
    <row r="165" spans="1:10" x14ac:dyDescent="0.25">
      <c r="A165" s="1">
        <v>58</v>
      </c>
      <c r="B165" t="s">
        <v>19</v>
      </c>
      <c r="C165">
        <v>635</v>
      </c>
      <c r="D165">
        <v>1</v>
      </c>
      <c r="E165" t="s">
        <v>28</v>
      </c>
      <c r="F165" t="s">
        <v>29</v>
      </c>
      <c r="G165" t="str">
        <f>"2026-04-05 13:35:17.050"</f>
        <v>2026-04-05 13:35:17.050</v>
      </c>
      <c r="H165" t="s">
        <v>22</v>
      </c>
    </row>
    <row r="166" spans="1:10" x14ac:dyDescent="0.25">
      <c r="A166" s="1">
        <v>59</v>
      </c>
      <c r="B166" t="s">
        <v>23</v>
      </c>
      <c r="C166">
        <v>635</v>
      </c>
      <c r="D166">
        <v>1</v>
      </c>
      <c r="E166" t="s">
        <v>28</v>
      </c>
      <c r="F166" t="s">
        <v>29</v>
      </c>
      <c r="G166" t="str">
        <f>"2026-04-05 13:29:13.050"</f>
        <v>2026-04-05 13:29:13.050</v>
      </c>
      <c r="H166" t="s">
        <v>22</v>
      </c>
      <c r="I166">
        <v>7.89</v>
      </c>
      <c r="J166" t="s">
        <v>30</v>
      </c>
    </row>
    <row r="167" spans="1:10" x14ac:dyDescent="0.25">
      <c r="A167" s="1">
        <v>60</v>
      </c>
      <c r="B167" t="s">
        <v>19</v>
      </c>
      <c r="C167">
        <v>630</v>
      </c>
      <c r="D167">
        <v>5</v>
      </c>
      <c r="E167" t="s">
        <v>32</v>
      </c>
      <c r="F167" t="s">
        <v>33</v>
      </c>
      <c r="G167" t="str">
        <f>"2026-04-05 08:35:39.204"</f>
        <v>2026-04-05 08:35:39.204</v>
      </c>
      <c r="H167" t="s">
        <v>34</v>
      </c>
    </row>
    <row r="168" spans="1:10" x14ac:dyDescent="0.25">
      <c r="A168" s="1">
        <v>61</v>
      </c>
      <c r="B168" t="s">
        <v>25</v>
      </c>
      <c r="C168">
        <v>706</v>
      </c>
      <c r="D168">
        <v>4</v>
      </c>
      <c r="E168" t="s">
        <v>35</v>
      </c>
      <c r="F168" t="s">
        <v>36</v>
      </c>
      <c r="G168" t="str">
        <f>"2026-04-05 08:35:09.068"</f>
        <v>2026-04-05 08:35:09.068</v>
      </c>
      <c r="H168" t="s">
        <v>22</v>
      </c>
      <c r="I168">
        <v>0</v>
      </c>
      <c r="J168" t="s">
        <v>24</v>
      </c>
    </row>
    <row r="169" spans="1:10" x14ac:dyDescent="0.25">
      <c r="A169" s="1">
        <v>62</v>
      </c>
      <c r="B169" t="s">
        <v>37</v>
      </c>
      <c r="C169">
        <v>630</v>
      </c>
      <c r="D169">
        <v>5</v>
      </c>
      <c r="E169" t="s">
        <v>32</v>
      </c>
      <c r="F169" t="s">
        <v>33</v>
      </c>
      <c r="G169" t="str">
        <f>"2026-04-05 08:31:48.304"</f>
        <v>2026-04-05 08:31:48.304</v>
      </c>
      <c r="H169" t="s">
        <v>34</v>
      </c>
      <c r="I169">
        <v>0</v>
      </c>
      <c r="J169" t="s">
        <v>24</v>
      </c>
    </row>
    <row r="170" spans="1:10" x14ac:dyDescent="0.25">
      <c r="A170" s="1">
        <v>63</v>
      </c>
      <c r="B170" t="s">
        <v>19</v>
      </c>
      <c r="C170">
        <v>630</v>
      </c>
      <c r="D170">
        <v>5</v>
      </c>
      <c r="E170" t="s">
        <v>32</v>
      </c>
      <c r="F170" t="s">
        <v>33</v>
      </c>
      <c r="G170" t="str">
        <f>"2026-04-02 18:56:42.804"</f>
        <v>2026-04-02 18:56:42.804</v>
      </c>
      <c r="H170" t="s">
        <v>34</v>
      </c>
    </row>
    <row r="171" spans="1:10" x14ac:dyDescent="0.25">
      <c r="A171" s="1">
        <v>64</v>
      </c>
      <c r="B171" t="s">
        <v>25</v>
      </c>
      <c r="C171">
        <v>706</v>
      </c>
      <c r="D171">
        <v>2</v>
      </c>
      <c r="E171" t="s">
        <v>35</v>
      </c>
      <c r="F171" t="s">
        <v>38</v>
      </c>
      <c r="G171" t="str">
        <f>"2026-04-02 18:56:12.718"</f>
        <v>2026-04-02 18:56:12.718</v>
      </c>
      <c r="H171" t="s">
        <v>22</v>
      </c>
      <c r="I171">
        <v>0</v>
      </c>
      <c r="J171" t="s">
        <v>24</v>
      </c>
    </row>
    <row r="172" spans="1:10" x14ac:dyDescent="0.25">
      <c r="A172" s="1">
        <v>65</v>
      </c>
      <c r="B172" t="s">
        <v>37</v>
      </c>
      <c r="C172">
        <v>630</v>
      </c>
      <c r="D172">
        <v>5</v>
      </c>
      <c r="E172" t="s">
        <v>32</v>
      </c>
      <c r="F172" t="s">
        <v>33</v>
      </c>
      <c r="G172" t="str">
        <f>"2026-04-02 18:48:54.704"</f>
        <v>2026-04-02 18:48:54.704</v>
      </c>
      <c r="H172" t="s">
        <v>34</v>
      </c>
      <c r="I172">
        <v>0</v>
      </c>
      <c r="J172" t="s">
        <v>24</v>
      </c>
    </row>
    <row r="173" spans="1:10" x14ac:dyDescent="0.25">
      <c r="A173" s="1">
        <v>66</v>
      </c>
      <c r="B173" t="s">
        <v>25</v>
      </c>
      <c r="C173">
        <v>700</v>
      </c>
      <c r="D173">
        <v>0</v>
      </c>
      <c r="E173" t="s">
        <v>26</v>
      </c>
      <c r="F173" t="s">
        <v>26</v>
      </c>
      <c r="G173" t="str">
        <f>"2026-04-02 18:43:51.858"</f>
        <v>2026-04-02 18:43:51.858</v>
      </c>
      <c r="H173" t="s">
        <v>22</v>
      </c>
      <c r="I173">
        <v>0</v>
      </c>
      <c r="J173" t="s">
        <v>27</v>
      </c>
    </row>
    <row r="174" spans="1:10" x14ac:dyDescent="0.25">
      <c r="A174" s="1">
        <v>67</v>
      </c>
      <c r="B174" t="s">
        <v>37</v>
      </c>
      <c r="C174">
        <v>630</v>
      </c>
      <c r="D174">
        <v>5</v>
      </c>
      <c r="E174" t="s">
        <v>32</v>
      </c>
      <c r="F174" t="s">
        <v>33</v>
      </c>
      <c r="G174" t="str">
        <f>"2026-04-02 18:25:14.837"</f>
        <v>2026-04-02 18:25:14.837</v>
      </c>
      <c r="H174" t="s">
        <v>34</v>
      </c>
      <c r="I174">
        <v>0</v>
      </c>
      <c r="J174" t="s">
        <v>24</v>
      </c>
    </row>
    <row r="175" spans="1:10" x14ac:dyDescent="0.25">
      <c r="A175" s="1">
        <v>68</v>
      </c>
      <c r="B175" t="s">
        <v>19</v>
      </c>
      <c r="C175">
        <v>630</v>
      </c>
      <c r="D175">
        <v>5</v>
      </c>
      <c r="E175" t="s">
        <v>32</v>
      </c>
      <c r="F175" t="s">
        <v>33</v>
      </c>
      <c r="G175" t="str">
        <f>"2026-04-02 18:15:47.037"</f>
        <v>2026-04-02 18:15:47.037</v>
      </c>
      <c r="H175" t="s">
        <v>34</v>
      </c>
    </row>
    <row r="176" spans="1:10" x14ac:dyDescent="0.25">
      <c r="A176" s="1">
        <v>69</v>
      </c>
      <c r="B176" t="s">
        <v>25</v>
      </c>
      <c r="C176">
        <v>706</v>
      </c>
      <c r="D176">
        <v>4</v>
      </c>
      <c r="E176" t="s">
        <v>35</v>
      </c>
      <c r="F176" t="s">
        <v>36</v>
      </c>
      <c r="G176" t="str">
        <f>"2026-04-02 18:15:16.966"</f>
        <v>2026-04-02 18:15:16.966</v>
      </c>
      <c r="H176" t="s">
        <v>22</v>
      </c>
      <c r="I176">
        <v>0</v>
      </c>
      <c r="J176" t="s">
        <v>24</v>
      </c>
    </row>
    <row r="177" spans="1:10" x14ac:dyDescent="0.25">
      <c r="A177" s="1">
        <v>70</v>
      </c>
      <c r="B177" t="s">
        <v>37</v>
      </c>
      <c r="C177">
        <v>630</v>
      </c>
      <c r="D177">
        <v>5</v>
      </c>
      <c r="E177" t="s">
        <v>32</v>
      </c>
      <c r="F177" t="s">
        <v>33</v>
      </c>
      <c r="G177" t="str">
        <f>"2026-04-02 17:42:41.737"</f>
        <v>2026-04-02 17:42:41.737</v>
      </c>
      <c r="H177" t="s">
        <v>34</v>
      </c>
      <c r="I177">
        <v>0</v>
      </c>
      <c r="J177" t="s">
        <v>24</v>
      </c>
    </row>
    <row r="178" spans="1:10" x14ac:dyDescent="0.25">
      <c r="A178" s="1">
        <v>71</v>
      </c>
      <c r="B178" t="s">
        <v>25</v>
      </c>
      <c r="C178">
        <v>700</v>
      </c>
      <c r="D178">
        <v>0</v>
      </c>
      <c r="E178" t="s">
        <v>26</v>
      </c>
      <c r="F178" t="s">
        <v>26</v>
      </c>
      <c r="G178" t="str">
        <f>"2026-04-02 17:37:38.986"</f>
        <v>2026-04-02 17:37:38.986</v>
      </c>
      <c r="H178" t="s">
        <v>22</v>
      </c>
    </row>
    <row r="179" spans="1:10" x14ac:dyDescent="0.25">
      <c r="A179" s="1">
        <v>72</v>
      </c>
      <c r="B179" t="s">
        <v>19</v>
      </c>
      <c r="C179">
        <v>630</v>
      </c>
      <c r="D179">
        <v>5</v>
      </c>
      <c r="E179" t="s">
        <v>32</v>
      </c>
      <c r="F179" t="s">
        <v>33</v>
      </c>
      <c r="G179" t="str">
        <f>"2026-04-02 16:11:12.192"</f>
        <v>2026-04-02 16:11:12.192</v>
      </c>
      <c r="H179" t="s">
        <v>34</v>
      </c>
    </row>
    <row r="180" spans="1:10" x14ac:dyDescent="0.25">
      <c r="A180" s="1">
        <v>73</v>
      </c>
      <c r="B180" t="s">
        <v>25</v>
      </c>
      <c r="C180">
        <v>706</v>
      </c>
      <c r="D180">
        <v>4</v>
      </c>
      <c r="E180" t="s">
        <v>35</v>
      </c>
      <c r="F180" t="s">
        <v>36</v>
      </c>
      <c r="G180" t="str">
        <f>"2026-04-02 16:10:42.034"</f>
        <v>2026-04-02 16:10:42.034</v>
      </c>
      <c r="H180" t="s">
        <v>22</v>
      </c>
      <c r="I180">
        <v>0</v>
      </c>
      <c r="J180" t="s">
        <v>24</v>
      </c>
    </row>
    <row r="181" spans="1:10" x14ac:dyDescent="0.25">
      <c r="A181" s="1">
        <v>74</v>
      </c>
      <c r="B181" t="s">
        <v>37</v>
      </c>
      <c r="C181">
        <v>630</v>
      </c>
      <c r="D181">
        <v>5</v>
      </c>
      <c r="E181" t="s">
        <v>32</v>
      </c>
      <c r="F181" t="s">
        <v>33</v>
      </c>
      <c r="G181" t="str">
        <f>"2026-04-02 16:05:01.693"</f>
        <v>2026-04-02 16:05:01.693</v>
      </c>
      <c r="H181" t="s">
        <v>34</v>
      </c>
      <c r="I181">
        <v>0</v>
      </c>
      <c r="J181" t="s">
        <v>24</v>
      </c>
    </row>
    <row r="182" spans="1:10" x14ac:dyDescent="0.25">
      <c r="A182" s="1">
        <v>75</v>
      </c>
      <c r="B182" t="s">
        <v>25</v>
      </c>
      <c r="C182">
        <v>700</v>
      </c>
      <c r="D182">
        <v>0</v>
      </c>
      <c r="E182" t="s">
        <v>26</v>
      </c>
      <c r="F182" t="s">
        <v>26</v>
      </c>
      <c r="G182" t="str">
        <f>"2026-04-02 15:59:58.854"</f>
        <v>2026-04-02 15:59:58.854</v>
      </c>
      <c r="H182" t="s">
        <v>22</v>
      </c>
      <c r="I182">
        <v>0</v>
      </c>
      <c r="J182" t="s">
        <v>27</v>
      </c>
    </row>
    <row r="183" spans="1:10" x14ac:dyDescent="0.25">
      <c r="A183" s="1">
        <v>76</v>
      </c>
      <c r="B183" t="s">
        <v>25</v>
      </c>
      <c r="C183">
        <v>700</v>
      </c>
      <c r="D183">
        <v>0</v>
      </c>
      <c r="E183" t="s">
        <v>26</v>
      </c>
      <c r="F183" t="s">
        <v>26</v>
      </c>
      <c r="G183" t="str">
        <f>"2026-04-02 15:38:41.836"</f>
        <v>2026-04-02 15:38:41.836</v>
      </c>
      <c r="H183" t="s">
        <v>22</v>
      </c>
    </row>
    <row r="184" spans="1:10" x14ac:dyDescent="0.25">
      <c r="A184" s="1">
        <v>77</v>
      </c>
      <c r="B184" t="s">
        <v>19</v>
      </c>
      <c r="C184">
        <v>630</v>
      </c>
      <c r="D184">
        <v>5</v>
      </c>
      <c r="E184" t="s">
        <v>32</v>
      </c>
      <c r="F184" t="s">
        <v>33</v>
      </c>
      <c r="G184" t="str">
        <f>"2026-04-02 14:50:47.732"</f>
        <v>2026-04-02 14:50:47.732</v>
      </c>
      <c r="H184" t="s">
        <v>34</v>
      </c>
    </row>
    <row r="185" spans="1:10" x14ac:dyDescent="0.25">
      <c r="A185" s="1">
        <v>78</v>
      </c>
      <c r="B185" t="s">
        <v>25</v>
      </c>
      <c r="C185">
        <v>706</v>
      </c>
      <c r="D185">
        <v>4</v>
      </c>
      <c r="E185" t="s">
        <v>35</v>
      </c>
      <c r="F185" t="s">
        <v>36</v>
      </c>
      <c r="G185" t="str">
        <f>"2026-04-02 14:50:17.634"</f>
        <v>2026-04-02 14:50:17.634</v>
      </c>
      <c r="H185" t="s">
        <v>22</v>
      </c>
      <c r="I185">
        <v>0</v>
      </c>
      <c r="J185" t="s">
        <v>24</v>
      </c>
    </row>
    <row r="186" spans="1:10" x14ac:dyDescent="0.25">
      <c r="A186" s="1">
        <v>79</v>
      </c>
      <c r="B186" t="s">
        <v>25</v>
      </c>
      <c r="C186">
        <v>706</v>
      </c>
      <c r="D186">
        <v>4</v>
      </c>
      <c r="E186" t="s">
        <v>35</v>
      </c>
      <c r="F186" t="s">
        <v>36</v>
      </c>
      <c r="G186" t="str">
        <f>"2026-04-02 14:48:18.244"</f>
        <v>2026-04-02 14:48:18.244</v>
      </c>
      <c r="H186" t="s">
        <v>22</v>
      </c>
      <c r="I186">
        <v>0</v>
      </c>
      <c r="J186" t="s">
        <v>24</v>
      </c>
    </row>
    <row r="187" spans="1:10" x14ac:dyDescent="0.25">
      <c r="A187" s="1">
        <v>80</v>
      </c>
      <c r="B187" t="s">
        <v>25</v>
      </c>
      <c r="C187">
        <v>706</v>
      </c>
      <c r="D187">
        <v>2</v>
      </c>
      <c r="E187" t="s">
        <v>35</v>
      </c>
      <c r="F187" t="s">
        <v>38</v>
      </c>
      <c r="G187" t="str">
        <f>"2026-04-02 14:45:41.874"</f>
        <v>2026-04-02 14:45:41.874</v>
      </c>
      <c r="H187" t="s">
        <v>22</v>
      </c>
      <c r="I187">
        <v>0</v>
      </c>
      <c r="J187" t="s">
        <v>24</v>
      </c>
    </row>
    <row r="188" spans="1:10" x14ac:dyDescent="0.25">
      <c r="A188" s="1">
        <v>81</v>
      </c>
      <c r="B188" t="s">
        <v>25</v>
      </c>
      <c r="C188">
        <v>706</v>
      </c>
      <c r="D188">
        <v>2</v>
      </c>
      <c r="E188" t="s">
        <v>35</v>
      </c>
      <c r="F188" t="s">
        <v>38</v>
      </c>
      <c r="G188" t="str">
        <f>"2026-04-02 14:43:02.874"</f>
        <v>2026-04-02 14:43:02.874</v>
      </c>
      <c r="H188" t="s">
        <v>22</v>
      </c>
      <c r="I188">
        <v>0</v>
      </c>
      <c r="J188" t="s">
        <v>24</v>
      </c>
    </row>
    <row r="189" spans="1:10" x14ac:dyDescent="0.25">
      <c r="A189" s="1">
        <v>82</v>
      </c>
      <c r="B189" t="s">
        <v>25</v>
      </c>
      <c r="C189">
        <v>706</v>
      </c>
      <c r="D189">
        <v>2</v>
      </c>
      <c r="E189" t="s">
        <v>35</v>
      </c>
      <c r="F189" t="s">
        <v>38</v>
      </c>
      <c r="G189" t="str">
        <f>"2026-04-02 14:41:11.674"</f>
        <v>2026-04-02 14:41:11.674</v>
      </c>
      <c r="H189" t="s">
        <v>22</v>
      </c>
      <c r="I189">
        <v>0</v>
      </c>
      <c r="J189" t="s">
        <v>24</v>
      </c>
    </row>
    <row r="190" spans="1:10" x14ac:dyDescent="0.25">
      <c r="A190" s="1">
        <v>83</v>
      </c>
      <c r="B190" t="s">
        <v>25</v>
      </c>
      <c r="C190">
        <v>706</v>
      </c>
      <c r="D190">
        <v>4</v>
      </c>
      <c r="E190" t="s">
        <v>35</v>
      </c>
      <c r="F190" t="s">
        <v>36</v>
      </c>
      <c r="G190" t="str">
        <f>"2026-04-02 14:41:02.454"</f>
        <v>2026-04-02 14:41:02.454</v>
      </c>
      <c r="H190" t="s">
        <v>22</v>
      </c>
      <c r="I190">
        <v>0</v>
      </c>
      <c r="J190" t="s">
        <v>24</v>
      </c>
    </row>
    <row r="191" spans="1:10" x14ac:dyDescent="0.25">
      <c r="A191" s="1">
        <v>84</v>
      </c>
      <c r="B191" t="s">
        <v>37</v>
      </c>
      <c r="C191">
        <v>630</v>
      </c>
      <c r="D191">
        <v>5</v>
      </c>
      <c r="E191" t="s">
        <v>32</v>
      </c>
      <c r="F191" t="s">
        <v>33</v>
      </c>
      <c r="G191" t="str">
        <f>"2026-04-02 14:39:48.633"</f>
        <v>2026-04-02 14:39:48.633</v>
      </c>
      <c r="H191" t="s">
        <v>34</v>
      </c>
      <c r="I191">
        <v>0</v>
      </c>
      <c r="J191" t="s">
        <v>24</v>
      </c>
    </row>
    <row r="192" spans="1:10" x14ac:dyDescent="0.25">
      <c r="A192" s="1">
        <v>85</v>
      </c>
      <c r="B192" t="s">
        <v>25</v>
      </c>
      <c r="C192">
        <v>700</v>
      </c>
      <c r="D192">
        <v>0</v>
      </c>
      <c r="E192" t="s">
        <v>26</v>
      </c>
      <c r="F192" t="s">
        <v>26</v>
      </c>
      <c r="G192" t="str">
        <f>"2026-04-02 14:34:45.844"</f>
        <v>2026-04-02 14:34:45.844</v>
      </c>
      <c r="H192" t="s">
        <v>22</v>
      </c>
    </row>
    <row r="193" spans="1:10" x14ac:dyDescent="0.25">
      <c r="A193" s="1">
        <v>86</v>
      </c>
      <c r="B193" t="s">
        <v>37</v>
      </c>
      <c r="C193">
        <v>630</v>
      </c>
      <c r="D193">
        <v>5</v>
      </c>
      <c r="E193" t="s">
        <v>32</v>
      </c>
      <c r="F193" t="s">
        <v>33</v>
      </c>
      <c r="G193" t="str">
        <f>"2026-04-02 11:39:59.835"</f>
        <v>2026-04-02 11:39:59.835</v>
      </c>
      <c r="H193" t="s">
        <v>34</v>
      </c>
      <c r="I193">
        <v>0</v>
      </c>
      <c r="J193" t="s">
        <v>24</v>
      </c>
    </row>
    <row r="194" spans="1:10" x14ac:dyDescent="0.25">
      <c r="A194" s="1">
        <v>87</v>
      </c>
      <c r="B194" t="s">
        <v>25</v>
      </c>
      <c r="C194">
        <v>700</v>
      </c>
      <c r="D194">
        <v>0</v>
      </c>
      <c r="E194" t="s">
        <v>26</v>
      </c>
      <c r="F194" t="s">
        <v>26</v>
      </c>
      <c r="G194" t="str">
        <f>"2026-04-02 11:34:57.157"</f>
        <v>2026-04-02 11:34:57.157</v>
      </c>
      <c r="H194" t="s">
        <v>22</v>
      </c>
      <c r="I194">
        <v>0</v>
      </c>
      <c r="J194" t="s">
        <v>27</v>
      </c>
    </row>
    <row r="195" spans="1:10" x14ac:dyDescent="0.25">
      <c r="A195" s="1">
        <v>88</v>
      </c>
      <c r="B195" t="s">
        <v>19</v>
      </c>
      <c r="C195">
        <v>635</v>
      </c>
      <c r="D195">
        <v>1</v>
      </c>
      <c r="E195" t="s">
        <v>28</v>
      </c>
      <c r="F195" t="s">
        <v>29</v>
      </c>
      <c r="G195" t="str">
        <f>"2026-04-01 18:23:37.553"</f>
        <v>2026-04-01 18:23:37.553</v>
      </c>
      <c r="H195" t="s">
        <v>22</v>
      </c>
    </row>
    <row r="196" spans="1:10" x14ac:dyDescent="0.25">
      <c r="A196" s="1">
        <v>89</v>
      </c>
      <c r="B196" t="s">
        <v>23</v>
      </c>
      <c r="C196">
        <v>635</v>
      </c>
      <c r="D196">
        <v>1</v>
      </c>
      <c r="E196" t="s">
        <v>28</v>
      </c>
      <c r="F196" t="s">
        <v>29</v>
      </c>
      <c r="G196" t="str">
        <f>"2026-04-01 17:52:06.553"</f>
        <v>2026-04-01 17:52:06.553</v>
      </c>
      <c r="H196" t="s">
        <v>22</v>
      </c>
      <c r="I196">
        <v>7.53</v>
      </c>
      <c r="J196" t="s">
        <v>30</v>
      </c>
    </row>
    <row r="197" spans="1:10" x14ac:dyDescent="0.25">
      <c r="A197" s="1">
        <v>91</v>
      </c>
      <c r="B197" t="s">
        <v>19</v>
      </c>
      <c r="C197">
        <v>635</v>
      </c>
      <c r="D197">
        <v>1</v>
      </c>
      <c r="E197" t="s">
        <v>28</v>
      </c>
      <c r="F197" t="s">
        <v>29</v>
      </c>
      <c r="G197" t="str">
        <f>"2026-03-29 23:41:24.353"</f>
        <v>2026-03-29 23:41:24.353</v>
      </c>
      <c r="H197" t="s">
        <v>22</v>
      </c>
    </row>
    <row r="198" spans="1:10" x14ac:dyDescent="0.25">
      <c r="A198" s="1">
        <v>92</v>
      </c>
      <c r="B198" t="s">
        <v>23</v>
      </c>
      <c r="C198">
        <v>635</v>
      </c>
      <c r="D198">
        <v>1</v>
      </c>
      <c r="E198" t="s">
        <v>28</v>
      </c>
      <c r="F198" t="s">
        <v>29</v>
      </c>
      <c r="G198" t="str">
        <f>"2026-03-29 23:35:21.853"</f>
        <v>2026-03-29 23:35:21.853</v>
      </c>
      <c r="H198" t="s">
        <v>22</v>
      </c>
      <c r="I198">
        <v>6.2</v>
      </c>
      <c r="J198" t="s">
        <v>31</v>
      </c>
    </row>
    <row r="199" spans="1:10" x14ac:dyDescent="0.25">
      <c r="A199" s="1">
        <v>93</v>
      </c>
      <c r="B199" t="s">
        <v>19</v>
      </c>
      <c r="C199">
        <v>630</v>
      </c>
      <c r="D199">
        <v>5</v>
      </c>
      <c r="E199" t="s">
        <v>32</v>
      </c>
      <c r="F199" t="s">
        <v>33</v>
      </c>
      <c r="G199" t="str">
        <f>"2026-03-29 22:56:48.901"</f>
        <v>2026-03-29 22:56:48.901</v>
      </c>
      <c r="H199" t="s">
        <v>34</v>
      </c>
    </row>
    <row r="200" spans="1:10" x14ac:dyDescent="0.25">
      <c r="A200" s="1">
        <v>94</v>
      </c>
      <c r="B200" t="s">
        <v>25</v>
      </c>
      <c r="C200">
        <v>706</v>
      </c>
      <c r="D200">
        <v>2</v>
      </c>
      <c r="E200" t="s">
        <v>35</v>
      </c>
      <c r="F200" t="s">
        <v>38</v>
      </c>
      <c r="G200" t="str">
        <f>"2026-03-29 22:56:18.734"</f>
        <v>2026-03-29 22:56:18.734</v>
      </c>
      <c r="H200" t="s">
        <v>22</v>
      </c>
      <c r="I200">
        <v>0</v>
      </c>
      <c r="J200" t="s">
        <v>24</v>
      </c>
    </row>
    <row r="201" spans="1:10" x14ac:dyDescent="0.25">
      <c r="A201" s="1">
        <v>95</v>
      </c>
      <c r="B201" t="s">
        <v>37</v>
      </c>
      <c r="C201">
        <v>630</v>
      </c>
      <c r="D201">
        <v>5</v>
      </c>
      <c r="E201" t="s">
        <v>32</v>
      </c>
      <c r="F201" t="s">
        <v>33</v>
      </c>
      <c r="G201" t="str">
        <f>"2026-03-29 22:51:53.701"</f>
        <v>2026-03-29 22:51:53.701</v>
      </c>
      <c r="H201" t="s">
        <v>34</v>
      </c>
      <c r="I201">
        <v>0</v>
      </c>
      <c r="J201" t="s">
        <v>24</v>
      </c>
    </row>
    <row r="202" spans="1:10" x14ac:dyDescent="0.25">
      <c r="A202" s="1">
        <v>96</v>
      </c>
      <c r="B202" t="s">
        <v>19</v>
      </c>
      <c r="C202">
        <v>630</v>
      </c>
      <c r="D202">
        <v>5</v>
      </c>
      <c r="E202" t="s">
        <v>32</v>
      </c>
      <c r="F202" t="s">
        <v>33</v>
      </c>
      <c r="G202" t="str">
        <f>"2026-03-29 13:38:05.901"</f>
        <v>2026-03-29 13:38:05.901</v>
      </c>
      <c r="H202" t="s">
        <v>34</v>
      </c>
    </row>
    <row r="203" spans="1:10" x14ac:dyDescent="0.25">
      <c r="A203" s="1">
        <v>97</v>
      </c>
      <c r="B203" t="s">
        <v>25</v>
      </c>
      <c r="C203">
        <v>706</v>
      </c>
      <c r="D203">
        <v>2</v>
      </c>
      <c r="E203" t="s">
        <v>35</v>
      </c>
      <c r="F203" t="s">
        <v>38</v>
      </c>
      <c r="G203" t="str">
        <f>"2026-03-29 13:37:35.734"</f>
        <v>2026-03-29 13:37:35.734</v>
      </c>
      <c r="H203" t="s">
        <v>22</v>
      </c>
      <c r="I203">
        <v>0</v>
      </c>
      <c r="J203" t="s">
        <v>24</v>
      </c>
    </row>
    <row r="204" spans="1:10" x14ac:dyDescent="0.25">
      <c r="A204" s="1">
        <v>98</v>
      </c>
      <c r="B204" t="s">
        <v>37</v>
      </c>
      <c r="C204">
        <v>630</v>
      </c>
      <c r="D204">
        <v>5</v>
      </c>
      <c r="E204" t="s">
        <v>32</v>
      </c>
      <c r="F204" t="s">
        <v>33</v>
      </c>
      <c r="G204" t="str">
        <f>"2026-03-29 13:35:40.602"</f>
        <v>2026-03-29 13:35:40.602</v>
      </c>
      <c r="H204" t="s">
        <v>34</v>
      </c>
      <c r="I204">
        <v>0</v>
      </c>
      <c r="J204" t="s">
        <v>24</v>
      </c>
    </row>
    <row r="205" spans="1:10" x14ac:dyDescent="0.25">
      <c r="A205" s="1">
        <v>99</v>
      </c>
      <c r="B205" t="s">
        <v>25</v>
      </c>
      <c r="C205">
        <v>700</v>
      </c>
      <c r="D205">
        <v>0</v>
      </c>
      <c r="E205" t="s">
        <v>26</v>
      </c>
      <c r="F205" t="s">
        <v>26</v>
      </c>
      <c r="G205" t="str">
        <f>"2026-03-29 13:30:37.854"</f>
        <v>2026-03-29 13:30:37.854</v>
      </c>
      <c r="H205" t="s">
        <v>22</v>
      </c>
    </row>
    <row r="206" spans="1:10" x14ac:dyDescent="0.25">
      <c r="A206" s="1">
        <v>0</v>
      </c>
      <c r="B206" t="s">
        <v>25</v>
      </c>
      <c r="C206">
        <v>700</v>
      </c>
      <c r="D206">
        <v>0</v>
      </c>
      <c r="E206" t="s">
        <v>26</v>
      </c>
      <c r="F206" t="s">
        <v>26</v>
      </c>
      <c r="G206" t="str">
        <f>"2026-03-28 07:04:17.850"</f>
        <v>2026-03-28 07:04:17.850</v>
      </c>
      <c r="H206" t="s">
        <v>22</v>
      </c>
    </row>
    <row r="207" spans="1:10" x14ac:dyDescent="0.25">
      <c r="A207" s="1">
        <v>2</v>
      </c>
      <c r="B207" t="s">
        <v>25</v>
      </c>
      <c r="C207">
        <v>700</v>
      </c>
      <c r="D207">
        <v>0</v>
      </c>
      <c r="E207" t="s">
        <v>26</v>
      </c>
      <c r="F207" t="s">
        <v>26</v>
      </c>
      <c r="G207" t="str">
        <f>"2026-03-25 11:56:45.852"</f>
        <v>2026-03-25 11:56:45.852</v>
      </c>
      <c r="H207" t="s">
        <v>22</v>
      </c>
      <c r="I207">
        <v>0</v>
      </c>
      <c r="J207" t="s">
        <v>27</v>
      </c>
    </row>
    <row r="208" spans="1:10" x14ac:dyDescent="0.25">
      <c r="A208" s="1">
        <v>3</v>
      </c>
      <c r="B208" t="s">
        <v>19</v>
      </c>
      <c r="C208">
        <v>635</v>
      </c>
      <c r="D208">
        <v>1</v>
      </c>
      <c r="E208" t="s">
        <v>28</v>
      </c>
      <c r="F208" t="s">
        <v>29</v>
      </c>
      <c r="G208" t="str">
        <f>"2026-03-24 20:09:53.122"</f>
        <v>2026-03-24 20:09:53.122</v>
      </c>
      <c r="H208" t="s">
        <v>22</v>
      </c>
    </row>
    <row r="209" spans="1:10" x14ac:dyDescent="0.25">
      <c r="A209" s="1">
        <v>4</v>
      </c>
      <c r="B209" t="s">
        <v>23</v>
      </c>
      <c r="C209">
        <v>635</v>
      </c>
      <c r="D209">
        <v>1</v>
      </c>
      <c r="E209" t="s">
        <v>28</v>
      </c>
      <c r="F209" t="s">
        <v>29</v>
      </c>
      <c r="G209" t="str">
        <f>"2026-03-24 20:05:00.622"</f>
        <v>2026-03-24 20:05:00.622</v>
      </c>
      <c r="H209" t="s">
        <v>22</v>
      </c>
      <c r="I209">
        <v>4.63</v>
      </c>
      <c r="J209" t="s">
        <v>31</v>
      </c>
    </row>
    <row r="210" spans="1:10" x14ac:dyDescent="0.25">
      <c r="A210" s="1">
        <v>5</v>
      </c>
      <c r="B210" t="s">
        <v>19</v>
      </c>
      <c r="C210">
        <v>635</v>
      </c>
      <c r="D210">
        <v>1</v>
      </c>
      <c r="E210" t="s">
        <v>28</v>
      </c>
      <c r="F210" t="s">
        <v>29</v>
      </c>
      <c r="G210" t="str">
        <f>"2026-03-23 19:15:59.222"</f>
        <v>2026-03-23 19:15:59.222</v>
      </c>
      <c r="H210" t="s">
        <v>22</v>
      </c>
    </row>
    <row r="211" spans="1:10" x14ac:dyDescent="0.25">
      <c r="A211" s="1">
        <v>6</v>
      </c>
      <c r="B211" t="s">
        <v>23</v>
      </c>
      <c r="C211">
        <v>635</v>
      </c>
      <c r="D211">
        <v>1</v>
      </c>
      <c r="E211" t="s">
        <v>28</v>
      </c>
      <c r="F211" t="s">
        <v>29</v>
      </c>
      <c r="G211" t="str">
        <f>"2026-03-23 19:12:35.222"</f>
        <v>2026-03-23 19:12:35.222</v>
      </c>
      <c r="H211" t="s">
        <v>22</v>
      </c>
      <c r="I211">
        <v>0</v>
      </c>
      <c r="J211" t="s">
        <v>48</v>
      </c>
    </row>
    <row r="212" spans="1:10" x14ac:dyDescent="0.25">
      <c r="A212" s="1">
        <v>7</v>
      </c>
      <c r="B212" t="s">
        <v>25</v>
      </c>
      <c r="C212">
        <v>700</v>
      </c>
      <c r="D212">
        <v>0</v>
      </c>
      <c r="E212" t="s">
        <v>26</v>
      </c>
      <c r="F212" t="s">
        <v>26</v>
      </c>
      <c r="G212" t="str">
        <f>"2026-03-23 02:01:01.871"</f>
        <v>2026-03-23 02:01:01.871</v>
      </c>
      <c r="H212" t="s">
        <v>22</v>
      </c>
      <c r="I212">
        <v>0</v>
      </c>
      <c r="J212" t="s">
        <v>27</v>
      </c>
    </row>
    <row r="213" spans="1:10" x14ac:dyDescent="0.25">
      <c r="A213" s="1">
        <v>8</v>
      </c>
      <c r="B213" t="s">
        <v>19</v>
      </c>
      <c r="C213">
        <v>630</v>
      </c>
      <c r="D213">
        <v>5</v>
      </c>
      <c r="E213" t="s">
        <v>32</v>
      </c>
      <c r="F213" t="s">
        <v>33</v>
      </c>
      <c r="G213" t="str">
        <f>"2026-03-22 23:55:11.954"</f>
        <v>2026-03-22 23:55:11.954</v>
      </c>
      <c r="H213" t="s">
        <v>34</v>
      </c>
    </row>
    <row r="214" spans="1:10" x14ac:dyDescent="0.25">
      <c r="A214" s="1">
        <v>9</v>
      </c>
      <c r="B214" t="s">
        <v>25</v>
      </c>
      <c r="C214">
        <v>706</v>
      </c>
      <c r="D214">
        <v>2</v>
      </c>
      <c r="E214" t="s">
        <v>35</v>
      </c>
      <c r="F214" t="s">
        <v>38</v>
      </c>
      <c r="G214" t="str">
        <f>"2026-03-22 23:54:41.853"</f>
        <v>2026-03-22 23:54:41.853</v>
      </c>
      <c r="H214" t="s">
        <v>22</v>
      </c>
      <c r="I214">
        <v>0</v>
      </c>
      <c r="J214" t="s">
        <v>24</v>
      </c>
    </row>
    <row r="215" spans="1:10" x14ac:dyDescent="0.25">
      <c r="A215" s="1">
        <v>10</v>
      </c>
      <c r="B215" t="s">
        <v>37</v>
      </c>
      <c r="C215">
        <v>630</v>
      </c>
      <c r="D215">
        <v>5</v>
      </c>
      <c r="E215" t="s">
        <v>32</v>
      </c>
      <c r="F215" t="s">
        <v>33</v>
      </c>
      <c r="G215" t="str">
        <f>"2026-03-22 23:13:25.554"</f>
        <v>2026-03-22 23:13:25.554</v>
      </c>
      <c r="H215" t="s">
        <v>34</v>
      </c>
      <c r="I215">
        <v>0</v>
      </c>
      <c r="J215" t="s">
        <v>24</v>
      </c>
    </row>
    <row r="216" spans="1:10" x14ac:dyDescent="0.25">
      <c r="A216" s="1">
        <v>11</v>
      </c>
      <c r="B216" t="s">
        <v>25</v>
      </c>
      <c r="C216">
        <v>700</v>
      </c>
      <c r="D216">
        <v>0</v>
      </c>
      <c r="E216" t="s">
        <v>26</v>
      </c>
      <c r="F216" t="s">
        <v>26</v>
      </c>
      <c r="G216" t="str">
        <f>"2026-03-22 23:08:22.843"</f>
        <v>2026-03-22 23:08:22.843</v>
      </c>
      <c r="H216" t="s">
        <v>22</v>
      </c>
      <c r="I216">
        <v>0</v>
      </c>
      <c r="J216" t="s">
        <v>27</v>
      </c>
    </row>
    <row r="217" spans="1:10" x14ac:dyDescent="0.25">
      <c r="A217" s="1">
        <v>12</v>
      </c>
      <c r="B217" t="s">
        <v>37</v>
      </c>
      <c r="C217">
        <v>630</v>
      </c>
      <c r="D217">
        <v>5</v>
      </c>
      <c r="E217" t="s">
        <v>32</v>
      </c>
      <c r="F217" t="s">
        <v>33</v>
      </c>
      <c r="G217" t="str">
        <f>"2026-03-22 22:27:32.624"</f>
        <v>2026-03-22 22:27:32.624</v>
      </c>
      <c r="H217" t="s">
        <v>34</v>
      </c>
      <c r="I217">
        <v>0</v>
      </c>
      <c r="J217" t="s">
        <v>24</v>
      </c>
    </row>
    <row r="218" spans="1:10" x14ac:dyDescent="0.25">
      <c r="A218" s="1">
        <v>13</v>
      </c>
      <c r="B218" t="s">
        <v>25</v>
      </c>
      <c r="C218">
        <v>700</v>
      </c>
      <c r="D218">
        <v>0</v>
      </c>
      <c r="E218" t="s">
        <v>26</v>
      </c>
      <c r="F218" t="s">
        <v>26</v>
      </c>
      <c r="G218" t="str">
        <f>"2026-03-22 22:22:29.953"</f>
        <v>2026-03-22 22:22:29.953</v>
      </c>
      <c r="H218" t="s">
        <v>22</v>
      </c>
      <c r="I218">
        <v>0</v>
      </c>
      <c r="J218" t="s">
        <v>27</v>
      </c>
    </row>
    <row r="219" spans="1:10" x14ac:dyDescent="0.25">
      <c r="A219" s="1">
        <v>14</v>
      </c>
      <c r="B219" t="s">
        <v>37</v>
      </c>
      <c r="C219">
        <v>630</v>
      </c>
      <c r="D219">
        <v>5</v>
      </c>
      <c r="E219" t="s">
        <v>32</v>
      </c>
      <c r="F219" t="s">
        <v>33</v>
      </c>
      <c r="G219" t="str">
        <f>"2026-03-22 22:20:01.792"</f>
        <v>2026-03-22 22:20:01.792</v>
      </c>
      <c r="H219" t="s">
        <v>34</v>
      </c>
      <c r="I219">
        <v>0</v>
      </c>
      <c r="J219" t="s">
        <v>24</v>
      </c>
    </row>
    <row r="220" spans="1:10" x14ac:dyDescent="0.25">
      <c r="A220" s="1">
        <v>15</v>
      </c>
      <c r="B220" t="s">
        <v>25</v>
      </c>
      <c r="C220">
        <v>700</v>
      </c>
      <c r="D220">
        <v>0</v>
      </c>
      <c r="E220" t="s">
        <v>26</v>
      </c>
      <c r="F220" t="s">
        <v>26</v>
      </c>
      <c r="G220" t="str">
        <f>"2026-03-22 22:14:59.117"</f>
        <v>2026-03-22 22:14:59.117</v>
      </c>
      <c r="H220" t="s">
        <v>22</v>
      </c>
      <c r="I220">
        <v>0</v>
      </c>
      <c r="J220" t="s">
        <v>27</v>
      </c>
    </row>
    <row r="221" spans="1:10" x14ac:dyDescent="0.25">
      <c r="A221" s="1">
        <v>16</v>
      </c>
      <c r="B221" t="s">
        <v>19</v>
      </c>
      <c r="C221">
        <v>635</v>
      </c>
      <c r="D221">
        <v>1</v>
      </c>
      <c r="E221" t="s">
        <v>28</v>
      </c>
      <c r="F221" t="s">
        <v>29</v>
      </c>
      <c r="G221" t="str">
        <f>"2026-03-22 11:40:44.624"</f>
        <v>2026-03-22 11:40:44.624</v>
      </c>
      <c r="H221" t="s">
        <v>22</v>
      </c>
    </row>
    <row r="222" spans="1:10" x14ac:dyDescent="0.25">
      <c r="A222" s="1">
        <v>17</v>
      </c>
      <c r="B222" t="s">
        <v>23</v>
      </c>
      <c r="C222">
        <v>635</v>
      </c>
      <c r="D222">
        <v>1</v>
      </c>
      <c r="E222" t="s">
        <v>28</v>
      </c>
      <c r="F222" t="s">
        <v>29</v>
      </c>
      <c r="G222" t="str">
        <f>"2026-03-22 11:14:49.724"</f>
        <v>2026-03-22 11:14:49.724</v>
      </c>
      <c r="H222" t="s">
        <v>22</v>
      </c>
      <c r="I222">
        <v>7.83</v>
      </c>
      <c r="J222" t="s">
        <v>30</v>
      </c>
    </row>
    <row r="223" spans="1:10" x14ac:dyDescent="0.25">
      <c r="A223" s="1">
        <v>18</v>
      </c>
      <c r="B223" t="s">
        <v>25</v>
      </c>
      <c r="C223">
        <v>700</v>
      </c>
      <c r="D223">
        <v>0</v>
      </c>
      <c r="E223" t="s">
        <v>26</v>
      </c>
      <c r="F223" t="s">
        <v>26</v>
      </c>
      <c r="G223" t="str">
        <f>"2026-03-20 22:54:14.877"</f>
        <v>2026-03-20 22:54:14.877</v>
      </c>
      <c r="H223" t="s">
        <v>22</v>
      </c>
      <c r="I223">
        <v>0</v>
      </c>
      <c r="J223" t="s">
        <v>27</v>
      </c>
    </row>
    <row r="224" spans="1:10" x14ac:dyDescent="0.25">
      <c r="A224" s="1">
        <v>19</v>
      </c>
      <c r="B224" t="s">
        <v>19</v>
      </c>
      <c r="C224">
        <v>630</v>
      </c>
      <c r="D224">
        <v>5</v>
      </c>
      <c r="E224" t="s">
        <v>32</v>
      </c>
      <c r="F224" t="s">
        <v>33</v>
      </c>
      <c r="G224" t="str">
        <f>"2026-03-20 15:53:08.308"</f>
        <v>2026-03-20 15:53:08.308</v>
      </c>
      <c r="H224" t="s">
        <v>34</v>
      </c>
    </row>
    <row r="225" spans="1:10" x14ac:dyDescent="0.25">
      <c r="A225" s="1">
        <v>20</v>
      </c>
      <c r="B225" t="s">
        <v>25</v>
      </c>
      <c r="C225">
        <v>706</v>
      </c>
      <c r="D225">
        <v>4</v>
      </c>
      <c r="E225" t="s">
        <v>35</v>
      </c>
      <c r="F225" t="s">
        <v>36</v>
      </c>
      <c r="G225" t="str">
        <f>"2026-03-20 15:52:38.215"</f>
        <v>2026-03-20 15:52:38.215</v>
      </c>
      <c r="H225" t="s">
        <v>22</v>
      </c>
      <c r="I225">
        <v>0</v>
      </c>
      <c r="J225" t="s">
        <v>24</v>
      </c>
    </row>
    <row r="226" spans="1:10" x14ac:dyDescent="0.25">
      <c r="A226" s="1">
        <v>21</v>
      </c>
      <c r="B226" t="s">
        <v>37</v>
      </c>
      <c r="C226">
        <v>630</v>
      </c>
      <c r="D226">
        <v>5</v>
      </c>
      <c r="E226" t="s">
        <v>32</v>
      </c>
      <c r="F226" t="s">
        <v>33</v>
      </c>
      <c r="G226" t="str">
        <f>"2026-03-20 15:48:54.708"</f>
        <v>2026-03-20 15:48:54.708</v>
      </c>
      <c r="H226" t="s">
        <v>34</v>
      </c>
      <c r="I226">
        <v>0</v>
      </c>
      <c r="J226" t="s">
        <v>24</v>
      </c>
    </row>
    <row r="227" spans="1:10" x14ac:dyDescent="0.25">
      <c r="A227" s="1">
        <v>22</v>
      </c>
      <c r="B227" t="s">
        <v>19</v>
      </c>
      <c r="C227">
        <v>635</v>
      </c>
      <c r="D227">
        <v>1</v>
      </c>
      <c r="E227" t="s">
        <v>28</v>
      </c>
      <c r="F227" t="s">
        <v>29</v>
      </c>
      <c r="G227" t="str">
        <f>"2026-03-20 14:02:03.307"</f>
        <v>2026-03-20 14:02:03.307</v>
      </c>
      <c r="H227" t="s">
        <v>22</v>
      </c>
    </row>
    <row r="228" spans="1:10" x14ac:dyDescent="0.25">
      <c r="A228" s="1">
        <v>23</v>
      </c>
      <c r="B228" t="s">
        <v>23</v>
      </c>
      <c r="C228">
        <v>635</v>
      </c>
      <c r="D228">
        <v>1</v>
      </c>
      <c r="E228" t="s">
        <v>28</v>
      </c>
      <c r="F228" t="s">
        <v>29</v>
      </c>
      <c r="G228" t="str">
        <f>"2026-03-20 13:58:41.807"</f>
        <v>2026-03-20 13:58:41.807</v>
      </c>
      <c r="H228" t="s">
        <v>22</v>
      </c>
      <c r="I228">
        <v>4.55</v>
      </c>
      <c r="J228" t="s">
        <v>30</v>
      </c>
    </row>
    <row r="229" spans="1:10" x14ac:dyDescent="0.25">
      <c r="A229" s="1">
        <v>25</v>
      </c>
      <c r="B229" t="s">
        <v>25</v>
      </c>
      <c r="C229">
        <v>706</v>
      </c>
      <c r="D229">
        <v>2</v>
      </c>
      <c r="E229" t="s">
        <v>35</v>
      </c>
      <c r="F229" t="s">
        <v>38</v>
      </c>
      <c r="G229" t="str">
        <f>"2026-03-19 09:22:43.205"</f>
        <v>2026-03-19 09:22:43.205</v>
      </c>
      <c r="H229" t="s">
        <v>22</v>
      </c>
      <c r="I229">
        <v>0</v>
      </c>
      <c r="J229" t="s">
        <v>24</v>
      </c>
    </row>
    <row r="230" spans="1:10" x14ac:dyDescent="0.25">
      <c r="A230" s="1">
        <v>26</v>
      </c>
      <c r="B230" t="s">
        <v>25</v>
      </c>
      <c r="C230">
        <v>706</v>
      </c>
      <c r="D230">
        <v>2</v>
      </c>
      <c r="E230" t="s">
        <v>35</v>
      </c>
      <c r="F230" t="s">
        <v>38</v>
      </c>
      <c r="G230" t="str">
        <f>"2026-03-18 16:24:16.905"</f>
        <v>2026-03-18 16:24:16.905</v>
      </c>
      <c r="H230" t="s">
        <v>22</v>
      </c>
      <c r="I230">
        <v>0</v>
      </c>
      <c r="J230" t="s">
        <v>24</v>
      </c>
    </row>
    <row r="231" spans="1:10" x14ac:dyDescent="0.25">
      <c r="A231" s="1">
        <v>27</v>
      </c>
      <c r="B231" t="s">
        <v>25</v>
      </c>
      <c r="C231">
        <v>700</v>
      </c>
      <c r="D231">
        <v>0</v>
      </c>
      <c r="E231" t="s">
        <v>26</v>
      </c>
      <c r="F231" t="s">
        <v>26</v>
      </c>
      <c r="G231" t="str">
        <f>"2026-03-18 16:24:00.845"</f>
        <v>2026-03-18 16:24:00.845</v>
      </c>
      <c r="H231" t="s">
        <v>22</v>
      </c>
    </row>
    <row r="232" spans="1:10" x14ac:dyDescent="0.25">
      <c r="A232" s="1">
        <v>28</v>
      </c>
      <c r="B232" t="s">
        <v>25</v>
      </c>
      <c r="C232">
        <v>700</v>
      </c>
      <c r="D232">
        <v>0</v>
      </c>
      <c r="E232" t="s">
        <v>26</v>
      </c>
      <c r="F232" t="s">
        <v>26</v>
      </c>
      <c r="G232" t="str">
        <f>"2026-03-18 16:10:42.878"</f>
        <v>2026-03-18 16:10:42.878</v>
      </c>
      <c r="H232" t="s">
        <v>22</v>
      </c>
    </row>
    <row r="233" spans="1:10" x14ac:dyDescent="0.25">
      <c r="A233" s="1">
        <v>29</v>
      </c>
      <c r="B233" t="s">
        <v>25</v>
      </c>
      <c r="C233">
        <v>706</v>
      </c>
      <c r="D233">
        <v>2</v>
      </c>
      <c r="E233" t="s">
        <v>35</v>
      </c>
      <c r="F233" t="s">
        <v>38</v>
      </c>
      <c r="G233" t="str">
        <f>"2026-03-18 09:47:56.950"</f>
        <v>2026-03-18 09:47:56.950</v>
      </c>
      <c r="H233" t="s">
        <v>22</v>
      </c>
      <c r="I233">
        <v>0</v>
      </c>
      <c r="J233" t="s">
        <v>24</v>
      </c>
    </row>
    <row r="234" spans="1:10" x14ac:dyDescent="0.25">
      <c r="A234" s="1">
        <v>30</v>
      </c>
      <c r="B234" t="s">
        <v>25</v>
      </c>
      <c r="C234">
        <v>700</v>
      </c>
      <c r="D234">
        <v>0</v>
      </c>
      <c r="E234" t="s">
        <v>26</v>
      </c>
      <c r="F234" t="s">
        <v>26</v>
      </c>
      <c r="G234" t="str">
        <f>"2026-03-18 09:47:35.860"</f>
        <v>2026-03-18 09:47:35.860</v>
      </c>
      <c r="H234" t="s">
        <v>22</v>
      </c>
    </row>
    <row r="235" spans="1:10" x14ac:dyDescent="0.25">
      <c r="A235" s="1">
        <v>31</v>
      </c>
      <c r="B235" t="s">
        <v>25</v>
      </c>
      <c r="C235">
        <v>706</v>
      </c>
      <c r="D235">
        <v>4</v>
      </c>
      <c r="E235" t="s">
        <v>35</v>
      </c>
      <c r="F235" t="s">
        <v>36</v>
      </c>
      <c r="G235" t="str">
        <f>"2026-03-17 09:32:51.954"</f>
        <v>2026-03-17 09:32:51.954</v>
      </c>
      <c r="H235" t="s">
        <v>22</v>
      </c>
      <c r="I235">
        <v>0</v>
      </c>
      <c r="J235" t="s">
        <v>24</v>
      </c>
    </row>
    <row r="236" spans="1:10" x14ac:dyDescent="0.25">
      <c r="A236" s="1">
        <v>32</v>
      </c>
      <c r="B236" t="s">
        <v>25</v>
      </c>
      <c r="C236">
        <v>700</v>
      </c>
      <c r="D236">
        <v>0</v>
      </c>
      <c r="E236" t="s">
        <v>26</v>
      </c>
      <c r="F236" t="s">
        <v>26</v>
      </c>
      <c r="G236" t="str">
        <f>"2026-03-17 09:32:11.054"</f>
        <v>2026-03-17 09:32:11.054</v>
      </c>
      <c r="H236" t="s">
        <v>22</v>
      </c>
      <c r="I236">
        <v>0</v>
      </c>
      <c r="J236" t="s">
        <v>27</v>
      </c>
    </row>
    <row r="237" spans="1:10" x14ac:dyDescent="0.25">
      <c r="A237" s="1">
        <v>33</v>
      </c>
      <c r="B237" t="s">
        <v>25</v>
      </c>
      <c r="C237">
        <v>706</v>
      </c>
      <c r="D237">
        <v>2</v>
      </c>
      <c r="E237" t="s">
        <v>35</v>
      </c>
      <c r="F237" t="s">
        <v>38</v>
      </c>
      <c r="G237" t="str">
        <f>"2026-03-15 13:56:16.121"</f>
        <v>2026-03-15 13:56:16.121</v>
      </c>
      <c r="H237" t="s">
        <v>22</v>
      </c>
      <c r="I237">
        <v>0</v>
      </c>
      <c r="J237" t="s">
        <v>24</v>
      </c>
    </row>
    <row r="238" spans="1:10" x14ac:dyDescent="0.25">
      <c r="A238" s="1">
        <v>34</v>
      </c>
      <c r="B238" t="s">
        <v>25</v>
      </c>
      <c r="C238">
        <v>700</v>
      </c>
      <c r="D238">
        <v>0</v>
      </c>
      <c r="E238" t="s">
        <v>26</v>
      </c>
      <c r="F238" t="s">
        <v>26</v>
      </c>
      <c r="G238" t="str">
        <f>"2026-03-15 13:55:43.861"</f>
        <v>2026-03-15 13:55:43.861</v>
      </c>
      <c r="H238" t="s">
        <v>22</v>
      </c>
    </row>
    <row r="239" spans="1:10" s="3" customFormat="1" x14ac:dyDescent="0.25">
      <c r="A239" s="2">
        <v>35</v>
      </c>
      <c r="B239" s="3" t="s">
        <v>19</v>
      </c>
      <c r="C239" s="3">
        <v>647</v>
      </c>
      <c r="D239" s="3">
        <v>1</v>
      </c>
      <c r="E239" s="3" t="s">
        <v>49</v>
      </c>
      <c r="F239" s="3" t="s">
        <v>50</v>
      </c>
      <c r="G239" s="3" t="str">
        <f>"2026-03-15 12:08:16.780"</f>
        <v>2026-03-15 12:08:16.780</v>
      </c>
      <c r="H239" s="3" t="s">
        <v>22</v>
      </c>
    </row>
    <row r="240" spans="1:10" s="3" customFormat="1" x14ac:dyDescent="0.25">
      <c r="A240" s="2">
        <v>36</v>
      </c>
      <c r="B240" s="3" t="s">
        <v>23</v>
      </c>
      <c r="C240" s="3">
        <v>647</v>
      </c>
      <c r="D240" s="3">
        <v>1</v>
      </c>
      <c r="E240" s="3" t="s">
        <v>49</v>
      </c>
      <c r="F240" s="3" t="s">
        <v>50</v>
      </c>
      <c r="G240" s="3" t="str">
        <f>"2026-03-15 12:08:14.180"</f>
        <v>2026-03-15 12:08:14.180</v>
      </c>
      <c r="H240" s="3" t="s">
        <v>22</v>
      </c>
      <c r="I240" s="3">
        <v>9.31</v>
      </c>
      <c r="J240" s="3" t="s">
        <v>31</v>
      </c>
    </row>
    <row r="241" spans="1:10" x14ac:dyDescent="0.25">
      <c r="A241" s="1">
        <v>37</v>
      </c>
      <c r="B241" t="s">
        <v>19</v>
      </c>
      <c r="C241">
        <v>635</v>
      </c>
      <c r="D241">
        <v>1</v>
      </c>
      <c r="E241" t="s">
        <v>28</v>
      </c>
      <c r="F241" t="s">
        <v>29</v>
      </c>
      <c r="G241" t="str">
        <f>"2026-03-14 06:12:02.232"</f>
        <v>2026-03-14 06:12:02.232</v>
      </c>
      <c r="H241" t="s">
        <v>22</v>
      </c>
    </row>
    <row r="242" spans="1:10" x14ac:dyDescent="0.25">
      <c r="A242" s="1">
        <v>38</v>
      </c>
      <c r="B242" t="s">
        <v>23</v>
      </c>
      <c r="C242">
        <v>635</v>
      </c>
      <c r="D242">
        <v>1</v>
      </c>
      <c r="E242" t="s">
        <v>28</v>
      </c>
      <c r="F242" t="s">
        <v>29</v>
      </c>
      <c r="G242" t="str">
        <f>"2026-03-14 06:08:56.732"</f>
        <v>2026-03-14 06:08:56.732</v>
      </c>
      <c r="H242" t="s">
        <v>22</v>
      </c>
      <c r="I242">
        <v>0.51</v>
      </c>
      <c r="J242" t="s">
        <v>30</v>
      </c>
    </row>
    <row r="243" spans="1:10" x14ac:dyDescent="0.25">
      <c r="A243" s="1">
        <v>39</v>
      </c>
      <c r="B243" t="s">
        <v>19</v>
      </c>
      <c r="C243">
        <v>635</v>
      </c>
      <c r="D243">
        <v>1</v>
      </c>
      <c r="E243" t="s">
        <v>28</v>
      </c>
      <c r="F243" t="s">
        <v>29</v>
      </c>
      <c r="G243" t="str">
        <f>"2026-03-12 20:21:51.032"</f>
        <v>2026-03-12 20:21:51.032</v>
      </c>
      <c r="H243" t="s">
        <v>22</v>
      </c>
    </row>
    <row r="244" spans="1:10" x14ac:dyDescent="0.25">
      <c r="A244" s="1">
        <v>40</v>
      </c>
      <c r="B244" t="s">
        <v>23</v>
      </c>
      <c r="C244">
        <v>635</v>
      </c>
      <c r="D244">
        <v>1</v>
      </c>
      <c r="E244" t="s">
        <v>28</v>
      </c>
      <c r="F244" t="s">
        <v>29</v>
      </c>
      <c r="G244" t="str">
        <f>"2026-03-12 19:58:36.532"</f>
        <v>2026-03-12 19:58:36.532</v>
      </c>
      <c r="H244" t="s">
        <v>22</v>
      </c>
      <c r="I244">
        <v>6.82</v>
      </c>
      <c r="J244" t="s">
        <v>30</v>
      </c>
    </row>
    <row r="245" spans="1:10" s="3" customFormat="1" x14ac:dyDescent="0.25">
      <c r="A245" s="2">
        <v>41</v>
      </c>
      <c r="B245" s="3" t="s">
        <v>19</v>
      </c>
      <c r="C245" s="3">
        <v>647</v>
      </c>
      <c r="D245" s="3">
        <v>1</v>
      </c>
      <c r="E245" s="3" t="s">
        <v>49</v>
      </c>
      <c r="F245" s="3" t="s">
        <v>50</v>
      </c>
      <c r="G245" s="3" t="str">
        <f>"2026-03-12 17:24:28.080"</f>
        <v>2026-03-12 17:24:28.080</v>
      </c>
      <c r="H245" s="3" t="s">
        <v>22</v>
      </c>
    </row>
    <row r="246" spans="1:10" s="3" customFormat="1" x14ac:dyDescent="0.25">
      <c r="A246" s="2">
        <v>42</v>
      </c>
      <c r="B246" s="3" t="s">
        <v>23</v>
      </c>
      <c r="C246" s="3">
        <v>647</v>
      </c>
      <c r="D246" s="3">
        <v>1</v>
      </c>
      <c r="E246" s="3" t="s">
        <v>49</v>
      </c>
      <c r="F246" s="3" t="s">
        <v>50</v>
      </c>
      <c r="G246" s="3" t="str">
        <f>"2026-03-12 17:24:24.981"</f>
        <v>2026-03-12 17:24:24.981</v>
      </c>
      <c r="H246" s="3" t="s">
        <v>22</v>
      </c>
      <c r="I246" s="3">
        <v>8.5</v>
      </c>
      <c r="J246" s="3" t="s">
        <v>31</v>
      </c>
    </row>
    <row r="247" spans="1:10" x14ac:dyDescent="0.25">
      <c r="A247" s="1">
        <v>43</v>
      </c>
      <c r="B247" t="s">
        <v>25</v>
      </c>
      <c r="C247">
        <v>700</v>
      </c>
      <c r="D247">
        <v>0</v>
      </c>
      <c r="E247" t="s">
        <v>26</v>
      </c>
      <c r="F247" t="s">
        <v>26</v>
      </c>
      <c r="G247" t="str">
        <f>"2026-03-11 14:23:19.842"</f>
        <v>2026-03-11 14:23:19.842</v>
      </c>
      <c r="H247" t="s">
        <v>22</v>
      </c>
    </row>
    <row r="248" spans="1:10" x14ac:dyDescent="0.25">
      <c r="A248" s="1">
        <v>44</v>
      </c>
      <c r="B248" t="s">
        <v>25</v>
      </c>
      <c r="C248">
        <v>700</v>
      </c>
      <c r="D248">
        <v>0</v>
      </c>
      <c r="E248" t="s">
        <v>26</v>
      </c>
      <c r="F248" t="s">
        <v>26</v>
      </c>
      <c r="G248" t="str">
        <f>"2026-03-11 03:40:22.853"</f>
        <v>2026-03-11 03:40:22.853</v>
      </c>
      <c r="H248" t="s">
        <v>22</v>
      </c>
    </row>
    <row r="249" spans="1:10" x14ac:dyDescent="0.25">
      <c r="A249" s="1">
        <v>45</v>
      </c>
      <c r="B249" t="s">
        <v>19</v>
      </c>
      <c r="C249">
        <v>630</v>
      </c>
      <c r="D249">
        <v>5</v>
      </c>
      <c r="E249" t="s">
        <v>32</v>
      </c>
      <c r="F249" t="s">
        <v>33</v>
      </c>
      <c r="G249" t="str">
        <f>"2026-03-11 03:19:41.550"</f>
        <v>2026-03-11 03:19:41.550</v>
      </c>
      <c r="H249" t="s">
        <v>34</v>
      </c>
    </row>
    <row r="250" spans="1:10" x14ac:dyDescent="0.25">
      <c r="A250" s="1">
        <v>46</v>
      </c>
      <c r="B250" t="s">
        <v>25</v>
      </c>
      <c r="C250">
        <v>706</v>
      </c>
      <c r="D250">
        <v>4</v>
      </c>
      <c r="E250" t="s">
        <v>35</v>
      </c>
      <c r="F250" t="s">
        <v>36</v>
      </c>
      <c r="G250" t="str">
        <f>"2026-03-11 03:19:11.432"</f>
        <v>2026-03-11 03:19:11.432</v>
      </c>
      <c r="H250" t="s">
        <v>22</v>
      </c>
      <c r="I250">
        <v>0</v>
      </c>
      <c r="J250" t="s">
        <v>24</v>
      </c>
    </row>
    <row r="251" spans="1:10" x14ac:dyDescent="0.25">
      <c r="A251" s="1">
        <v>47</v>
      </c>
      <c r="B251" t="s">
        <v>37</v>
      </c>
      <c r="C251">
        <v>630</v>
      </c>
      <c r="D251">
        <v>5</v>
      </c>
      <c r="E251" t="s">
        <v>32</v>
      </c>
      <c r="F251" t="s">
        <v>33</v>
      </c>
      <c r="G251" t="str">
        <f>"2026-03-11 03:16:39.651"</f>
        <v>2026-03-11 03:16:39.651</v>
      </c>
      <c r="H251" t="s">
        <v>34</v>
      </c>
      <c r="I251">
        <v>0</v>
      </c>
      <c r="J251" t="s">
        <v>24</v>
      </c>
    </row>
    <row r="252" spans="1:10" x14ac:dyDescent="0.25">
      <c r="A252" s="1">
        <v>48</v>
      </c>
      <c r="B252" t="s">
        <v>25</v>
      </c>
      <c r="C252">
        <v>700</v>
      </c>
      <c r="D252">
        <v>0</v>
      </c>
      <c r="E252" t="s">
        <v>26</v>
      </c>
      <c r="F252" t="s">
        <v>26</v>
      </c>
      <c r="G252" t="str">
        <f>"2026-03-11 03:11:36.852"</f>
        <v>2026-03-11 03:11:36.852</v>
      </c>
      <c r="H252" t="s">
        <v>22</v>
      </c>
      <c r="I252">
        <v>0</v>
      </c>
      <c r="J252" t="s">
        <v>27</v>
      </c>
    </row>
    <row r="253" spans="1:10" x14ac:dyDescent="0.25">
      <c r="A253" s="1">
        <v>49</v>
      </c>
      <c r="B253" t="s">
        <v>25</v>
      </c>
      <c r="C253">
        <v>700</v>
      </c>
      <c r="D253">
        <v>0</v>
      </c>
      <c r="E253" t="s">
        <v>26</v>
      </c>
      <c r="F253" t="s">
        <v>26</v>
      </c>
      <c r="G253" t="str">
        <f>"2026-03-10 23:45:43.864"</f>
        <v>2026-03-10 23:45:43.864</v>
      </c>
      <c r="H253" t="s">
        <v>22</v>
      </c>
      <c r="I253">
        <v>0</v>
      </c>
      <c r="J253" t="s">
        <v>27</v>
      </c>
    </row>
    <row r="254" spans="1:10" s="3" customFormat="1" x14ac:dyDescent="0.25">
      <c r="A254" s="2">
        <v>51</v>
      </c>
      <c r="B254" s="3" t="s">
        <v>19</v>
      </c>
      <c r="C254" s="3">
        <v>647</v>
      </c>
      <c r="D254" s="3">
        <v>1</v>
      </c>
      <c r="E254" s="3" t="s">
        <v>49</v>
      </c>
      <c r="F254" s="3" t="s">
        <v>50</v>
      </c>
      <c r="G254" s="3" t="str">
        <f>"2026-03-10 14:52:47.643"</f>
        <v>2026-03-10 14:52:47.643</v>
      </c>
      <c r="H254" s="3" t="s">
        <v>22</v>
      </c>
    </row>
    <row r="255" spans="1:10" s="3" customFormat="1" x14ac:dyDescent="0.25">
      <c r="A255" s="2">
        <v>52</v>
      </c>
      <c r="B255" s="3" t="s">
        <v>23</v>
      </c>
      <c r="C255" s="3">
        <v>647</v>
      </c>
      <c r="D255" s="3">
        <v>1</v>
      </c>
      <c r="E255" s="3" t="s">
        <v>49</v>
      </c>
      <c r="F255" s="3" t="s">
        <v>50</v>
      </c>
      <c r="G255" s="3" t="str">
        <f>"2026-03-10 14:52:45.543"</f>
        <v>2026-03-10 14:52:45.543</v>
      </c>
      <c r="H255" s="3" t="s">
        <v>22</v>
      </c>
      <c r="I255" s="3">
        <v>9.44</v>
      </c>
      <c r="J255" s="3" t="s">
        <v>31</v>
      </c>
    </row>
    <row r="256" spans="1:10" s="3" customFormat="1" x14ac:dyDescent="0.25">
      <c r="A256" s="2">
        <v>53</v>
      </c>
      <c r="B256" s="3" t="s">
        <v>19</v>
      </c>
      <c r="C256" s="3">
        <v>647</v>
      </c>
      <c r="D256" s="3">
        <v>1</v>
      </c>
      <c r="E256" s="3" t="s">
        <v>49</v>
      </c>
      <c r="F256" s="3" t="s">
        <v>50</v>
      </c>
      <c r="G256" s="3" t="str">
        <f>"2026-03-10 09:17:46.444"</f>
        <v>2026-03-10 09:17:46.444</v>
      </c>
      <c r="H256" s="3" t="s">
        <v>22</v>
      </c>
    </row>
    <row r="257" spans="1:10" s="3" customFormat="1" x14ac:dyDescent="0.25">
      <c r="A257" s="2">
        <v>54</v>
      </c>
      <c r="B257" s="3" t="s">
        <v>23</v>
      </c>
      <c r="C257" s="3">
        <v>647</v>
      </c>
      <c r="D257" s="3">
        <v>1</v>
      </c>
      <c r="E257" s="3" t="s">
        <v>49</v>
      </c>
      <c r="F257" s="3" t="s">
        <v>50</v>
      </c>
      <c r="G257" s="3" t="str">
        <f>"2026-03-10 09:17:37.544"</f>
        <v>2026-03-10 09:17:37.544</v>
      </c>
      <c r="H257" s="3" t="s">
        <v>22</v>
      </c>
      <c r="I257" s="3">
        <v>9.3000000000000007</v>
      </c>
      <c r="J257" s="3" t="s">
        <v>31</v>
      </c>
    </row>
    <row r="258" spans="1:10" x14ac:dyDescent="0.25">
      <c r="A258" s="1">
        <v>55</v>
      </c>
      <c r="B258" t="s">
        <v>25</v>
      </c>
      <c r="C258">
        <v>700</v>
      </c>
      <c r="D258">
        <v>0</v>
      </c>
      <c r="E258" t="s">
        <v>26</v>
      </c>
      <c r="F258" t="s">
        <v>26</v>
      </c>
      <c r="G258" t="str">
        <f>"2026-03-10 09:06:15.885"</f>
        <v>2026-03-10 09:06:15.885</v>
      </c>
      <c r="H258" t="s">
        <v>22</v>
      </c>
      <c r="I258">
        <v>0</v>
      </c>
      <c r="J258" t="s">
        <v>27</v>
      </c>
    </row>
    <row r="259" spans="1:10" x14ac:dyDescent="0.25">
      <c r="A259" s="1">
        <v>56</v>
      </c>
      <c r="B259" t="s">
        <v>25</v>
      </c>
      <c r="C259">
        <v>706</v>
      </c>
      <c r="D259">
        <v>4</v>
      </c>
      <c r="E259" t="s">
        <v>35</v>
      </c>
      <c r="F259" t="s">
        <v>36</v>
      </c>
      <c r="G259" t="str">
        <f>"2026-03-10 08:28:29.665"</f>
        <v>2026-03-10 08:28:29.665</v>
      </c>
      <c r="H259" t="s">
        <v>22</v>
      </c>
      <c r="I259">
        <v>0</v>
      </c>
      <c r="J259" t="s">
        <v>24</v>
      </c>
    </row>
    <row r="260" spans="1:10" x14ac:dyDescent="0.25">
      <c r="A260" s="1">
        <v>57</v>
      </c>
      <c r="B260" t="s">
        <v>25</v>
      </c>
      <c r="C260">
        <v>700</v>
      </c>
      <c r="D260">
        <v>0</v>
      </c>
      <c r="E260" t="s">
        <v>26</v>
      </c>
      <c r="F260" t="s">
        <v>26</v>
      </c>
      <c r="G260" t="str">
        <f>"2026-03-10 08:28:07.845"</f>
        <v>2026-03-10 08:28:07.845</v>
      </c>
      <c r="H260" t="s">
        <v>22</v>
      </c>
    </row>
    <row r="261" spans="1:10" x14ac:dyDescent="0.25">
      <c r="A261" s="1">
        <v>58</v>
      </c>
      <c r="B261" t="s">
        <v>25</v>
      </c>
      <c r="C261">
        <v>700</v>
      </c>
      <c r="D261">
        <v>0</v>
      </c>
      <c r="E261" t="s">
        <v>26</v>
      </c>
      <c r="F261" t="s">
        <v>26</v>
      </c>
      <c r="G261" t="str">
        <f>"2026-03-10 04:16:48.924"</f>
        <v>2026-03-10 04:16:48.924</v>
      </c>
      <c r="H261" t="s">
        <v>22</v>
      </c>
    </row>
    <row r="262" spans="1:10" x14ac:dyDescent="0.25">
      <c r="A262" s="1">
        <v>59</v>
      </c>
      <c r="B262" t="s">
        <v>25</v>
      </c>
      <c r="C262">
        <v>700</v>
      </c>
      <c r="D262">
        <v>0</v>
      </c>
      <c r="E262" t="s">
        <v>26</v>
      </c>
      <c r="F262" t="s">
        <v>26</v>
      </c>
      <c r="G262" t="str">
        <f>"2026-03-10 02:44:10.830"</f>
        <v>2026-03-10 02:44:10.830</v>
      </c>
      <c r="H262" t="s">
        <v>22</v>
      </c>
    </row>
    <row r="263" spans="1:10" x14ac:dyDescent="0.25">
      <c r="A263" s="1">
        <v>60</v>
      </c>
      <c r="B263" t="s">
        <v>25</v>
      </c>
      <c r="C263">
        <v>700</v>
      </c>
      <c r="D263">
        <v>0</v>
      </c>
      <c r="E263" t="s">
        <v>26</v>
      </c>
      <c r="F263" t="s">
        <v>26</v>
      </c>
      <c r="G263" t="str">
        <f>"2026-03-10 01:36:49.958"</f>
        <v>2026-03-10 01:36:49.958</v>
      </c>
      <c r="H263" t="s">
        <v>22</v>
      </c>
      <c r="I263">
        <v>0</v>
      </c>
      <c r="J263" t="s">
        <v>27</v>
      </c>
    </row>
    <row r="264" spans="1:10" x14ac:dyDescent="0.25">
      <c r="A264" s="1">
        <v>61</v>
      </c>
      <c r="B264" t="s">
        <v>25</v>
      </c>
      <c r="C264">
        <v>700</v>
      </c>
      <c r="D264">
        <v>0</v>
      </c>
      <c r="E264" t="s">
        <v>26</v>
      </c>
      <c r="F264" t="s">
        <v>26</v>
      </c>
      <c r="G264" t="str">
        <f>"2026-03-09 16:44:23.840"</f>
        <v>2026-03-09 16:44:23.840</v>
      </c>
      <c r="H264" t="s">
        <v>22</v>
      </c>
    </row>
    <row r="265" spans="1:10" x14ac:dyDescent="0.25">
      <c r="A265" s="1">
        <v>62</v>
      </c>
      <c r="B265" t="s">
        <v>25</v>
      </c>
      <c r="C265">
        <v>706</v>
      </c>
      <c r="D265">
        <v>4</v>
      </c>
      <c r="E265" t="s">
        <v>35</v>
      </c>
      <c r="F265" t="s">
        <v>36</v>
      </c>
      <c r="G265" t="str">
        <f>"2026-03-08 14:52:36.554"</f>
        <v>2026-03-08 14:52:36.554</v>
      </c>
      <c r="H265" t="s">
        <v>22</v>
      </c>
      <c r="I265">
        <v>0</v>
      </c>
      <c r="J265" t="s">
        <v>24</v>
      </c>
    </row>
    <row r="266" spans="1:10" x14ac:dyDescent="0.25">
      <c r="A266" s="1">
        <v>63</v>
      </c>
      <c r="B266" t="s">
        <v>25</v>
      </c>
      <c r="C266">
        <v>700</v>
      </c>
      <c r="D266">
        <v>0</v>
      </c>
      <c r="E266" t="s">
        <v>26</v>
      </c>
      <c r="F266" t="s">
        <v>26</v>
      </c>
      <c r="G266" t="str">
        <f>"2026-03-08 14:52:16.054"</f>
        <v>2026-03-08 14:52:16.054</v>
      </c>
      <c r="H266" t="s">
        <v>22</v>
      </c>
      <c r="I266">
        <v>0</v>
      </c>
      <c r="J266" t="s">
        <v>27</v>
      </c>
    </row>
    <row r="267" spans="1:10" s="3" customFormat="1" x14ac:dyDescent="0.25">
      <c r="A267" s="2">
        <v>64</v>
      </c>
      <c r="B267" s="3" t="s">
        <v>19</v>
      </c>
      <c r="C267" s="3">
        <v>647</v>
      </c>
      <c r="D267" s="3">
        <v>1</v>
      </c>
      <c r="E267" s="3" t="s">
        <v>49</v>
      </c>
      <c r="F267" s="3" t="s">
        <v>50</v>
      </c>
      <c r="G267" s="3" t="str">
        <f>"2026-03-08 14:28:52.767"</f>
        <v>2026-03-08 14:28:52.767</v>
      </c>
      <c r="H267" s="3" t="s">
        <v>22</v>
      </c>
    </row>
    <row r="268" spans="1:10" s="3" customFormat="1" x14ac:dyDescent="0.25">
      <c r="A268" s="2">
        <v>65</v>
      </c>
      <c r="B268" s="3" t="s">
        <v>23</v>
      </c>
      <c r="C268" s="3">
        <v>647</v>
      </c>
      <c r="D268" s="3">
        <v>1</v>
      </c>
      <c r="E268" s="3" t="s">
        <v>49</v>
      </c>
      <c r="F268" s="3" t="s">
        <v>50</v>
      </c>
      <c r="G268" s="3" t="str">
        <f>"2026-03-08 14:28:51.267"</f>
        <v>2026-03-08 14:28:51.267</v>
      </c>
      <c r="H268" s="3" t="s">
        <v>22</v>
      </c>
      <c r="I268" s="3">
        <v>9.7200000000000006</v>
      </c>
      <c r="J268" s="3" t="s">
        <v>31</v>
      </c>
    </row>
    <row r="269" spans="1:10" s="3" customFormat="1" x14ac:dyDescent="0.25">
      <c r="A269" s="2">
        <v>66</v>
      </c>
      <c r="B269" s="3" t="s">
        <v>19</v>
      </c>
      <c r="C269" s="3">
        <v>647</v>
      </c>
      <c r="D269" s="3">
        <v>1</v>
      </c>
      <c r="E269" s="3" t="s">
        <v>49</v>
      </c>
      <c r="F269" s="3" t="s">
        <v>50</v>
      </c>
      <c r="G269" s="3" t="str">
        <f>"2026-03-08 09:01:50.067"</f>
        <v>2026-03-08 09:01:50.067</v>
      </c>
      <c r="H269" s="3" t="s">
        <v>22</v>
      </c>
    </row>
    <row r="270" spans="1:10" s="3" customFormat="1" x14ac:dyDescent="0.25">
      <c r="A270" s="2">
        <v>67</v>
      </c>
      <c r="B270" s="3" t="s">
        <v>23</v>
      </c>
      <c r="C270" s="3">
        <v>647</v>
      </c>
      <c r="D270" s="3">
        <v>1</v>
      </c>
      <c r="E270" s="3" t="s">
        <v>49</v>
      </c>
      <c r="F270" s="3" t="s">
        <v>50</v>
      </c>
      <c r="G270" s="3" t="str">
        <f>"2026-03-08 09:01:48.167"</f>
        <v>2026-03-08 09:01:48.167</v>
      </c>
      <c r="H270" s="3" t="s">
        <v>22</v>
      </c>
      <c r="I270" s="3">
        <v>10.210000000000001</v>
      </c>
      <c r="J270" s="3" t="s">
        <v>31</v>
      </c>
    </row>
    <row r="271" spans="1:10" x14ac:dyDescent="0.25">
      <c r="A271" s="1">
        <v>68</v>
      </c>
      <c r="B271" t="s">
        <v>19</v>
      </c>
      <c r="C271">
        <v>630</v>
      </c>
      <c r="D271">
        <v>5</v>
      </c>
      <c r="E271" t="s">
        <v>32</v>
      </c>
      <c r="F271" t="s">
        <v>33</v>
      </c>
      <c r="G271" t="str">
        <f>"2026-03-07 20:56:23.267"</f>
        <v>2026-03-07 20:56:23.267</v>
      </c>
      <c r="H271" t="s">
        <v>34</v>
      </c>
    </row>
    <row r="272" spans="1:10" x14ac:dyDescent="0.25">
      <c r="A272" s="1">
        <v>69</v>
      </c>
      <c r="B272" t="s">
        <v>25</v>
      </c>
      <c r="C272">
        <v>706</v>
      </c>
      <c r="D272">
        <v>2</v>
      </c>
      <c r="E272" t="s">
        <v>35</v>
      </c>
      <c r="F272" t="s">
        <v>38</v>
      </c>
      <c r="G272" t="str">
        <f>"2026-03-07 20:55:53.104"</f>
        <v>2026-03-07 20:55:53.104</v>
      </c>
      <c r="H272" t="s">
        <v>22</v>
      </c>
      <c r="I272">
        <v>0</v>
      </c>
      <c r="J272" t="s">
        <v>24</v>
      </c>
    </row>
    <row r="273" spans="1:10" x14ac:dyDescent="0.25">
      <c r="A273" s="1">
        <v>70</v>
      </c>
      <c r="B273" t="s">
        <v>37</v>
      </c>
      <c r="C273">
        <v>630</v>
      </c>
      <c r="D273">
        <v>5</v>
      </c>
      <c r="E273" t="s">
        <v>32</v>
      </c>
      <c r="F273" t="s">
        <v>33</v>
      </c>
      <c r="G273" t="str">
        <f>"2026-03-07 20:52:25.767"</f>
        <v>2026-03-07 20:52:25.767</v>
      </c>
      <c r="H273" t="s">
        <v>34</v>
      </c>
      <c r="I273">
        <v>0</v>
      </c>
      <c r="J273" t="s">
        <v>24</v>
      </c>
    </row>
    <row r="274" spans="1:10" x14ac:dyDescent="0.25">
      <c r="A274" s="1">
        <v>71</v>
      </c>
      <c r="B274" t="s">
        <v>25</v>
      </c>
      <c r="C274">
        <v>700</v>
      </c>
      <c r="D274">
        <v>0</v>
      </c>
      <c r="E274" t="s">
        <v>26</v>
      </c>
      <c r="F274" t="s">
        <v>26</v>
      </c>
      <c r="G274" t="str">
        <f>"2026-03-07 20:47:22.994"</f>
        <v>2026-03-07 20:47:22.994</v>
      </c>
      <c r="H274" t="s">
        <v>22</v>
      </c>
    </row>
    <row r="275" spans="1:10" s="3" customFormat="1" x14ac:dyDescent="0.25">
      <c r="A275" s="2">
        <v>72</v>
      </c>
      <c r="B275" s="3" t="s">
        <v>19</v>
      </c>
      <c r="C275" s="3">
        <v>647</v>
      </c>
      <c r="D275" s="3">
        <v>1</v>
      </c>
      <c r="E275" s="3" t="s">
        <v>49</v>
      </c>
      <c r="F275" s="3" t="s">
        <v>50</v>
      </c>
      <c r="G275" s="3" t="str">
        <f>"2026-03-07 11:39:47.258"</f>
        <v>2026-03-07 11:39:47.258</v>
      </c>
      <c r="H275" s="3" t="s">
        <v>22</v>
      </c>
    </row>
    <row r="276" spans="1:10" s="3" customFormat="1" x14ac:dyDescent="0.25">
      <c r="A276" s="2">
        <v>73</v>
      </c>
      <c r="B276" s="3" t="s">
        <v>23</v>
      </c>
      <c r="C276" s="3">
        <v>647</v>
      </c>
      <c r="D276" s="3">
        <v>1</v>
      </c>
      <c r="E276" s="3" t="s">
        <v>49</v>
      </c>
      <c r="F276" s="3" t="s">
        <v>50</v>
      </c>
      <c r="G276" s="3" t="str">
        <f>"2026-03-07 11:39:44.957"</f>
        <v>2026-03-07 11:39:44.957</v>
      </c>
      <c r="H276" s="3" t="s">
        <v>22</v>
      </c>
      <c r="I276" s="3">
        <v>24.2</v>
      </c>
      <c r="J276" s="3" t="s">
        <v>31</v>
      </c>
    </row>
    <row r="277" spans="1:10" x14ac:dyDescent="0.25">
      <c r="A277" s="1">
        <v>74</v>
      </c>
      <c r="B277" t="s">
        <v>19</v>
      </c>
      <c r="C277">
        <v>61</v>
      </c>
      <c r="D277">
        <v>2</v>
      </c>
      <c r="E277" t="s">
        <v>51</v>
      </c>
      <c r="F277" t="s">
        <v>52</v>
      </c>
      <c r="G277" t="str">
        <f>"2026-03-06 19:34:59.989"</f>
        <v>2026-03-06 19:34:59.989</v>
      </c>
      <c r="H277" t="s">
        <v>22</v>
      </c>
    </row>
    <row r="278" spans="1:10" x14ac:dyDescent="0.25">
      <c r="A278" s="1">
        <v>75</v>
      </c>
      <c r="B278" t="s">
        <v>37</v>
      </c>
      <c r="C278">
        <v>61</v>
      </c>
      <c r="D278">
        <v>2</v>
      </c>
      <c r="E278" t="s">
        <v>51</v>
      </c>
      <c r="F278" t="s">
        <v>52</v>
      </c>
      <c r="G278" t="str">
        <f>"2026-03-06 19:34:53.090"</f>
        <v>2026-03-06 19:34:53.090</v>
      </c>
      <c r="H278" t="s">
        <v>22</v>
      </c>
      <c r="I278">
        <v>35.69</v>
      </c>
      <c r="J278" t="s">
        <v>31</v>
      </c>
    </row>
    <row r="279" spans="1:10" x14ac:dyDescent="0.25">
      <c r="A279" s="1">
        <v>76</v>
      </c>
      <c r="B279" t="s">
        <v>19</v>
      </c>
      <c r="C279">
        <v>635</v>
      </c>
      <c r="D279">
        <v>1</v>
      </c>
      <c r="E279" t="s">
        <v>28</v>
      </c>
      <c r="F279" t="s">
        <v>29</v>
      </c>
      <c r="G279" t="str">
        <f>"2026-03-06 15:38:13.809"</f>
        <v>2026-03-06 15:38:13.809</v>
      </c>
      <c r="H279" t="s">
        <v>22</v>
      </c>
    </row>
    <row r="280" spans="1:10" x14ac:dyDescent="0.25">
      <c r="A280" s="1">
        <v>77</v>
      </c>
      <c r="B280" t="s">
        <v>23</v>
      </c>
      <c r="C280">
        <v>635</v>
      </c>
      <c r="D280">
        <v>1</v>
      </c>
      <c r="E280" t="s">
        <v>28</v>
      </c>
      <c r="F280" t="s">
        <v>29</v>
      </c>
      <c r="G280" t="str">
        <f>"2026-03-06 15:33:13.309"</f>
        <v>2026-03-06 15:33:13.309</v>
      </c>
      <c r="H280" t="s">
        <v>22</v>
      </c>
      <c r="I280">
        <v>-0.01</v>
      </c>
      <c r="J280" t="s">
        <v>48</v>
      </c>
    </row>
    <row r="281" spans="1:10" x14ac:dyDescent="0.25">
      <c r="A281" s="1">
        <v>78</v>
      </c>
      <c r="B281" t="s">
        <v>25</v>
      </c>
      <c r="C281">
        <v>706</v>
      </c>
      <c r="D281">
        <v>2</v>
      </c>
      <c r="E281" t="s">
        <v>35</v>
      </c>
      <c r="F281" t="s">
        <v>38</v>
      </c>
      <c r="G281" t="str">
        <f>"2026-03-06 14:41:57.900"</f>
        <v>2026-03-06 14:41:57.900</v>
      </c>
      <c r="H281" t="s">
        <v>22</v>
      </c>
      <c r="I281">
        <v>0</v>
      </c>
      <c r="J281" t="s">
        <v>24</v>
      </c>
    </row>
    <row r="282" spans="1:10" x14ac:dyDescent="0.25">
      <c r="A282" s="1">
        <v>79</v>
      </c>
      <c r="B282" t="s">
        <v>25</v>
      </c>
      <c r="C282">
        <v>700</v>
      </c>
      <c r="D282">
        <v>0</v>
      </c>
      <c r="E282" t="s">
        <v>26</v>
      </c>
      <c r="F282" t="s">
        <v>26</v>
      </c>
      <c r="G282" t="str">
        <f>"2026-03-06 14:41:07.010"</f>
        <v>2026-03-06 14:41:07.010</v>
      </c>
      <c r="H282" t="s">
        <v>22</v>
      </c>
      <c r="I282">
        <v>0</v>
      </c>
      <c r="J282" t="s">
        <v>27</v>
      </c>
    </row>
    <row r="283" spans="1:10" s="3" customFormat="1" x14ac:dyDescent="0.25">
      <c r="A283" s="2">
        <v>80</v>
      </c>
      <c r="B283" s="3" t="s">
        <v>19</v>
      </c>
      <c r="C283" s="3">
        <v>647</v>
      </c>
      <c r="D283" s="3">
        <v>1</v>
      </c>
      <c r="E283" s="3" t="s">
        <v>49</v>
      </c>
      <c r="F283" s="3" t="s">
        <v>50</v>
      </c>
      <c r="G283" s="3" t="str">
        <f>"2026-03-06 09:27:19.010"</f>
        <v>2026-03-06 09:27:19.010</v>
      </c>
      <c r="H283" s="3" t="s">
        <v>22</v>
      </c>
    </row>
    <row r="284" spans="1:10" s="3" customFormat="1" x14ac:dyDescent="0.25">
      <c r="A284" s="2">
        <v>81</v>
      </c>
      <c r="B284" s="3" t="s">
        <v>23</v>
      </c>
      <c r="C284" s="3">
        <v>647</v>
      </c>
      <c r="D284" s="3">
        <v>1</v>
      </c>
      <c r="E284" s="3" t="s">
        <v>49</v>
      </c>
      <c r="F284" s="3" t="s">
        <v>50</v>
      </c>
      <c r="G284" s="3" t="str">
        <f>"2026-03-06 09:27:13.910"</f>
        <v>2026-03-06 09:27:13.910</v>
      </c>
      <c r="H284" s="3" t="s">
        <v>22</v>
      </c>
      <c r="I284" s="3">
        <v>17.13</v>
      </c>
      <c r="J284" s="3" t="s">
        <v>31</v>
      </c>
    </row>
    <row r="285" spans="1:10" s="3" customFormat="1" x14ac:dyDescent="0.25">
      <c r="A285" s="2">
        <v>82</v>
      </c>
      <c r="B285" s="3" t="s">
        <v>19</v>
      </c>
      <c r="C285" s="3">
        <v>647</v>
      </c>
      <c r="D285" s="3">
        <v>1</v>
      </c>
      <c r="E285" s="3" t="s">
        <v>49</v>
      </c>
      <c r="F285" s="3" t="s">
        <v>50</v>
      </c>
      <c r="G285" s="3" t="str">
        <f>"2026-03-05 19:36:23.911"</f>
        <v>2026-03-05 19:36:23.911</v>
      </c>
      <c r="H285" s="3" t="s">
        <v>22</v>
      </c>
    </row>
    <row r="286" spans="1:10" s="3" customFormat="1" x14ac:dyDescent="0.25">
      <c r="A286" s="2">
        <v>83</v>
      </c>
      <c r="B286" s="3" t="s">
        <v>23</v>
      </c>
      <c r="C286" s="3">
        <v>647</v>
      </c>
      <c r="D286" s="3">
        <v>1</v>
      </c>
      <c r="E286" s="3" t="s">
        <v>49</v>
      </c>
      <c r="F286" s="3" t="s">
        <v>50</v>
      </c>
      <c r="G286" s="3" t="str">
        <f>"2026-03-05 19:36:22.410"</f>
        <v>2026-03-05 19:36:22.410</v>
      </c>
      <c r="H286" s="3" t="s">
        <v>22</v>
      </c>
      <c r="I286" s="3">
        <v>26.2</v>
      </c>
      <c r="J286" s="3" t="s">
        <v>31</v>
      </c>
    </row>
    <row r="287" spans="1:10" x14ac:dyDescent="0.25">
      <c r="A287" s="1">
        <v>84</v>
      </c>
      <c r="B287" t="s">
        <v>19</v>
      </c>
      <c r="C287">
        <v>630</v>
      </c>
      <c r="D287">
        <v>5</v>
      </c>
      <c r="E287" t="s">
        <v>32</v>
      </c>
      <c r="F287" t="s">
        <v>33</v>
      </c>
      <c r="G287" t="str">
        <f>"2026-03-04 23:00:48.910"</f>
        <v>2026-03-04 23:00:48.910</v>
      </c>
      <c r="H287" t="s">
        <v>34</v>
      </c>
    </row>
    <row r="288" spans="1:10" x14ac:dyDescent="0.25">
      <c r="A288" s="1">
        <v>85</v>
      </c>
      <c r="B288" t="s">
        <v>25</v>
      </c>
      <c r="C288">
        <v>706</v>
      </c>
      <c r="D288">
        <v>2</v>
      </c>
      <c r="E288" t="s">
        <v>35</v>
      </c>
      <c r="F288" t="s">
        <v>38</v>
      </c>
      <c r="G288" t="str">
        <f>"2026-03-04 23:00:18.732"</f>
        <v>2026-03-04 23:00:18.732</v>
      </c>
      <c r="H288" t="s">
        <v>22</v>
      </c>
      <c r="I288">
        <v>0</v>
      </c>
      <c r="J288" t="s">
        <v>24</v>
      </c>
    </row>
    <row r="289" spans="1:10" x14ac:dyDescent="0.25">
      <c r="A289" s="1">
        <v>86</v>
      </c>
      <c r="B289" t="s">
        <v>37</v>
      </c>
      <c r="C289">
        <v>630</v>
      </c>
      <c r="D289">
        <v>5</v>
      </c>
      <c r="E289" t="s">
        <v>32</v>
      </c>
      <c r="F289" t="s">
        <v>33</v>
      </c>
      <c r="G289" t="str">
        <f>"2026-03-04 22:55:51.410"</f>
        <v>2026-03-04 22:55:51.410</v>
      </c>
      <c r="H289" t="s">
        <v>34</v>
      </c>
      <c r="I289">
        <v>0</v>
      </c>
      <c r="J289" t="s">
        <v>24</v>
      </c>
    </row>
    <row r="290" spans="1:10" x14ac:dyDescent="0.25">
      <c r="A290" s="1">
        <v>87</v>
      </c>
      <c r="B290" t="s">
        <v>19</v>
      </c>
      <c r="C290">
        <v>635</v>
      </c>
      <c r="D290">
        <v>1</v>
      </c>
      <c r="E290" t="s">
        <v>28</v>
      </c>
      <c r="F290" t="s">
        <v>29</v>
      </c>
      <c r="G290" t="str">
        <f>"2026-03-02 07:09:22.162"</f>
        <v>2026-03-02 07:09:22.162</v>
      </c>
      <c r="H290" t="s">
        <v>22</v>
      </c>
    </row>
    <row r="291" spans="1:10" x14ac:dyDescent="0.25">
      <c r="A291" s="1">
        <v>88</v>
      </c>
      <c r="B291" t="s">
        <v>23</v>
      </c>
      <c r="C291">
        <v>635</v>
      </c>
      <c r="D291">
        <v>1</v>
      </c>
      <c r="E291" t="s">
        <v>28</v>
      </c>
      <c r="F291" t="s">
        <v>29</v>
      </c>
      <c r="G291" t="str">
        <f>"2026-03-02 07:05:58.662"</f>
        <v>2026-03-02 07:05:58.662</v>
      </c>
      <c r="H291" t="s">
        <v>22</v>
      </c>
      <c r="I291">
        <v>5.04</v>
      </c>
      <c r="J291" t="s">
        <v>30</v>
      </c>
    </row>
    <row r="292" spans="1:10" s="3" customFormat="1" x14ac:dyDescent="0.25">
      <c r="A292" s="2">
        <v>89</v>
      </c>
      <c r="B292" s="3" t="s">
        <v>19</v>
      </c>
      <c r="C292" s="3">
        <v>647</v>
      </c>
      <c r="D292" s="3">
        <v>1</v>
      </c>
      <c r="E292" s="3" t="s">
        <v>49</v>
      </c>
      <c r="F292" s="3" t="s">
        <v>50</v>
      </c>
      <c r="G292" s="3" t="str">
        <f>"2026-03-01 16:21:42.810"</f>
        <v>2026-03-01 16:21:42.810</v>
      </c>
      <c r="H292" s="3" t="s">
        <v>22</v>
      </c>
    </row>
    <row r="293" spans="1:10" s="3" customFormat="1" x14ac:dyDescent="0.25">
      <c r="A293" s="2">
        <v>90</v>
      </c>
      <c r="B293" s="3" t="s">
        <v>23</v>
      </c>
      <c r="C293" s="3">
        <v>647</v>
      </c>
      <c r="D293" s="3">
        <v>1</v>
      </c>
      <c r="E293" s="3" t="s">
        <v>49</v>
      </c>
      <c r="F293" s="3" t="s">
        <v>50</v>
      </c>
      <c r="G293" s="3" t="str">
        <f>"2026-03-01 16:21:32.510"</f>
        <v>2026-03-01 16:21:32.510</v>
      </c>
      <c r="H293" s="3" t="s">
        <v>22</v>
      </c>
      <c r="I293" s="3">
        <v>14.58</v>
      </c>
      <c r="J293" s="3" t="s">
        <v>31</v>
      </c>
    </row>
    <row r="294" spans="1:10" x14ac:dyDescent="0.25">
      <c r="A294" s="1">
        <v>91</v>
      </c>
      <c r="B294" t="s">
        <v>19</v>
      </c>
      <c r="C294">
        <v>635</v>
      </c>
      <c r="D294">
        <v>1</v>
      </c>
      <c r="E294" t="s">
        <v>28</v>
      </c>
      <c r="F294" t="s">
        <v>29</v>
      </c>
      <c r="G294" t="str">
        <f>"2026-03-01 08:58:40.862"</f>
        <v>2026-03-01 08:58:40.862</v>
      </c>
      <c r="H294" t="s">
        <v>22</v>
      </c>
    </row>
    <row r="295" spans="1:10" x14ac:dyDescent="0.25">
      <c r="A295" s="1">
        <v>92</v>
      </c>
      <c r="B295" t="s">
        <v>23</v>
      </c>
      <c r="C295">
        <v>635</v>
      </c>
      <c r="D295">
        <v>1</v>
      </c>
      <c r="E295" t="s">
        <v>28</v>
      </c>
      <c r="F295" t="s">
        <v>29</v>
      </c>
      <c r="G295" t="str">
        <f>"2026-03-01 08:50:19.362"</f>
        <v>2026-03-01 08:50:19.362</v>
      </c>
      <c r="H295" t="s">
        <v>22</v>
      </c>
      <c r="I295">
        <v>3.53</v>
      </c>
      <c r="J295" t="s">
        <v>30</v>
      </c>
    </row>
    <row r="296" spans="1:10" x14ac:dyDescent="0.25">
      <c r="A296" s="1">
        <v>93</v>
      </c>
      <c r="B296" t="s">
        <v>25</v>
      </c>
      <c r="C296">
        <v>700</v>
      </c>
      <c r="D296">
        <v>0</v>
      </c>
      <c r="E296" t="s">
        <v>26</v>
      </c>
      <c r="F296" t="s">
        <v>26</v>
      </c>
      <c r="G296" t="str">
        <f>"2026-03-01 02:49:03.822"</f>
        <v>2026-03-01 02:49:03.822</v>
      </c>
      <c r="H296" t="s">
        <v>22</v>
      </c>
    </row>
    <row r="297" spans="1:10" x14ac:dyDescent="0.25">
      <c r="A297" s="1">
        <v>94</v>
      </c>
      <c r="B297" t="s">
        <v>25</v>
      </c>
      <c r="C297">
        <v>706</v>
      </c>
      <c r="D297">
        <v>2</v>
      </c>
      <c r="E297" t="s">
        <v>35</v>
      </c>
      <c r="F297" t="s">
        <v>38</v>
      </c>
      <c r="G297" t="str">
        <f>"2026-03-01 02:06:50.370"</f>
        <v>2026-03-01 02:06:50.370</v>
      </c>
      <c r="H297" t="s">
        <v>22</v>
      </c>
      <c r="I297">
        <v>0</v>
      </c>
      <c r="J297" t="s">
        <v>24</v>
      </c>
    </row>
    <row r="298" spans="1:10" x14ac:dyDescent="0.25">
      <c r="A298" s="1">
        <v>95</v>
      </c>
      <c r="B298" t="s">
        <v>19</v>
      </c>
      <c r="C298">
        <v>630</v>
      </c>
      <c r="D298">
        <v>5</v>
      </c>
      <c r="E298" t="s">
        <v>32</v>
      </c>
      <c r="F298" t="s">
        <v>33</v>
      </c>
      <c r="G298" t="str">
        <f>"2026-03-01 02:06:00.711"</f>
        <v>2026-03-01 02:06:00.711</v>
      </c>
      <c r="H298" t="s">
        <v>34</v>
      </c>
    </row>
    <row r="299" spans="1:10" x14ac:dyDescent="0.25">
      <c r="A299" s="1">
        <v>96</v>
      </c>
      <c r="B299" t="s">
        <v>25</v>
      </c>
      <c r="C299">
        <v>706</v>
      </c>
      <c r="D299">
        <v>4</v>
      </c>
      <c r="E299" t="s">
        <v>35</v>
      </c>
      <c r="F299" t="s">
        <v>36</v>
      </c>
      <c r="G299" t="str">
        <f>"2026-03-01 02:05:30.560"</f>
        <v>2026-03-01 02:05:30.560</v>
      </c>
      <c r="H299" t="s">
        <v>22</v>
      </c>
      <c r="I299">
        <v>0</v>
      </c>
      <c r="J299" t="s">
        <v>24</v>
      </c>
    </row>
    <row r="300" spans="1:10" x14ac:dyDescent="0.25">
      <c r="A300" s="1">
        <v>97</v>
      </c>
      <c r="B300" t="s">
        <v>37</v>
      </c>
      <c r="C300">
        <v>630</v>
      </c>
      <c r="D300">
        <v>5</v>
      </c>
      <c r="E300" t="s">
        <v>32</v>
      </c>
      <c r="F300" t="s">
        <v>33</v>
      </c>
      <c r="G300" t="str">
        <f>"2026-03-01 01:55:28.611"</f>
        <v>2026-03-01 01:55:28.611</v>
      </c>
      <c r="H300" t="s">
        <v>34</v>
      </c>
      <c r="I300">
        <v>0</v>
      </c>
      <c r="J300" t="s">
        <v>24</v>
      </c>
    </row>
    <row r="301" spans="1:10" x14ac:dyDescent="0.25">
      <c r="A301" s="1">
        <v>98</v>
      </c>
      <c r="B301" t="s">
        <v>25</v>
      </c>
      <c r="C301">
        <v>700</v>
      </c>
      <c r="D301">
        <v>0</v>
      </c>
      <c r="E301" t="s">
        <v>26</v>
      </c>
      <c r="F301" t="s">
        <v>26</v>
      </c>
      <c r="G301" t="str">
        <f>"2026-03-01 01:50:25.830"</f>
        <v>2026-03-01 01:50:25.830</v>
      </c>
      <c r="H301" t="s">
        <v>22</v>
      </c>
      <c r="I301">
        <v>0</v>
      </c>
      <c r="J301" t="s">
        <v>27</v>
      </c>
    </row>
    <row r="302" spans="1:10" x14ac:dyDescent="0.25">
      <c r="A302" s="1">
        <v>99</v>
      </c>
      <c r="B302" t="s">
        <v>25</v>
      </c>
      <c r="C302">
        <v>700</v>
      </c>
      <c r="D302">
        <v>0</v>
      </c>
      <c r="E302" t="s">
        <v>26</v>
      </c>
      <c r="F302" t="s">
        <v>26</v>
      </c>
      <c r="G302" t="str">
        <f>"2026-03-01 01:48:37.836"</f>
        <v>2026-03-01 01:48:37.836</v>
      </c>
      <c r="H302" t="s">
        <v>22</v>
      </c>
    </row>
    <row r="303" spans="1:10" x14ac:dyDescent="0.25">
      <c r="A303" s="1">
        <v>0</v>
      </c>
      <c r="B303" t="s">
        <v>25</v>
      </c>
      <c r="C303">
        <v>700</v>
      </c>
      <c r="D303">
        <v>0</v>
      </c>
      <c r="E303" t="s">
        <v>26</v>
      </c>
      <c r="F303" t="s">
        <v>26</v>
      </c>
      <c r="G303" t="str">
        <f>"2026-02-28 23:02:05.833"</f>
        <v>2026-02-28 23:02:05.833</v>
      </c>
      <c r="H303" t="s">
        <v>22</v>
      </c>
    </row>
    <row r="304" spans="1:10" s="3" customFormat="1" x14ac:dyDescent="0.25">
      <c r="A304" s="2">
        <v>1</v>
      </c>
      <c r="B304" s="3" t="s">
        <v>19</v>
      </c>
      <c r="C304" s="3">
        <v>647</v>
      </c>
      <c r="D304" s="3">
        <v>1</v>
      </c>
      <c r="E304" s="3" t="s">
        <v>49</v>
      </c>
      <c r="F304" s="3" t="s">
        <v>50</v>
      </c>
      <c r="G304" s="3" t="str">
        <f>"2026-02-28 15:16:24.011"</f>
        <v>2026-02-28 15:16:24.011</v>
      </c>
      <c r="H304" s="3" t="s">
        <v>22</v>
      </c>
    </row>
    <row r="305" spans="1:10" s="3" customFormat="1" x14ac:dyDescent="0.25">
      <c r="A305" s="2">
        <v>2</v>
      </c>
      <c r="B305" s="3" t="s">
        <v>23</v>
      </c>
      <c r="C305" s="3">
        <v>647</v>
      </c>
      <c r="D305" s="3">
        <v>1</v>
      </c>
      <c r="E305" s="3" t="s">
        <v>49</v>
      </c>
      <c r="F305" s="3" t="s">
        <v>50</v>
      </c>
      <c r="G305" s="3" t="str">
        <f>"2026-02-28 15:16:16.211"</f>
        <v>2026-02-28 15:16:16.211</v>
      </c>
      <c r="H305" s="3" t="s">
        <v>22</v>
      </c>
      <c r="I305" s="3">
        <v>10.02</v>
      </c>
      <c r="J305" s="3" t="s">
        <v>31</v>
      </c>
    </row>
    <row r="306" spans="1:10" x14ac:dyDescent="0.25">
      <c r="A306" s="1">
        <v>3</v>
      </c>
      <c r="B306" t="s">
        <v>19</v>
      </c>
      <c r="C306">
        <v>630</v>
      </c>
      <c r="D306">
        <v>5</v>
      </c>
      <c r="E306" t="s">
        <v>32</v>
      </c>
      <c r="F306" t="s">
        <v>33</v>
      </c>
      <c r="G306" t="str">
        <f>"2026-02-26 22:13:56.511"</f>
        <v>2026-02-26 22:13:56.511</v>
      </c>
      <c r="H306" t="s">
        <v>34</v>
      </c>
    </row>
    <row r="307" spans="1:10" x14ac:dyDescent="0.25">
      <c r="A307" s="1">
        <v>4</v>
      </c>
      <c r="B307" t="s">
        <v>25</v>
      </c>
      <c r="C307">
        <v>706</v>
      </c>
      <c r="D307">
        <v>4</v>
      </c>
      <c r="E307" t="s">
        <v>35</v>
      </c>
      <c r="F307" t="s">
        <v>36</v>
      </c>
      <c r="G307" t="str">
        <f>"2026-02-26 22:13:26.353"</f>
        <v>2026-02-26 22:13:26.353</v>
      </c>
      <c r="H307" t="s">
        <v>22</v>
      </c>
      <c r="I307">
        <v>0</v>
      </c>
      <c r="J307" t="s">
        <v>24</v>
      </c>
    </row>
    <row r="308" spans="1:10" x14ac:dyDescent="0.25">
      <c r="A308" s="1">
        <v>5</v>
      </c>
      <c r="B308" t="s">
        <v>37</v>
      </c>
      <c r="C308">
        <v>630</v>
      </c>
      <c r="D308">
        <v>5</v>
      </c>
      <c r="E308" t="s">
        <v>32</v>
      </c>
      <c r="F308" t="s">
        <v>33</v>
      </c>
      <c r="G308" t="str">
        <f>"2026-02-26 22:12:48.211"</f>
        <v>2026-02-26 22:12:48.211</v>
      </c>
      <c r="H308" t="s">
        <v>34</v>
      </c>
      <c r="I308">
        <v>0</v>
      </c>
      <c r="J308" t="s">
        <v>24</v>
      </c>
    </row>
    <row r="309" spans="1:10" x14ac:dyDescent="0.25">
      <c r="A309" s="1">
        <v>6</v>
      </c>
      <c r="B309" t="s">
        <v>19</v>
      </c>
      <c r="C309">
        <v>630</v>
      </c>
      <c r="D309">
        <v>5</v>
      </c>
      <c r="E309" t="s">
        <v>32</v>
      </c>
      <c r="F309" t="s">
        <v>33</v>
      </c>
      <c r="G309" t="str">
        <f>"2026-02-25 20:09:50.311"</f>
        <v>2026-02-25 20:09:50.311</v>
      </c>
      <c r="H309" t="s">
        <v>34</v>
      </c>
    </row>
    <row r="310" spans="1:10" x14ac:dyDescent="0.25">
      <c r="A310" s="1">
        <v>7</v>
      </c>
      <c r="B310" t="s">
        <v>25</v>
      </c>
      <c r="C310">
        <v>706</v>
      </c>
      <c r="D310">
        <v>4</v>
      </c>
      <c r="E310" t="s">
        <v>35</v>
      </c>
      <c r="F310" t="s">
        <v>36</v>
      </c>
      <c r="G310" t="str">
        <f>"2026-02-25 20:09:20.223"</f>
        <v>2026-02-25 20:09:20.223</v>
      </c>
      <c r="H310" t="s">
        <v>22</v>
      </c>
      <c r="I310">
        <v>0</v>
      </c>
      <c r="J310" t="s">
        <v>24</v>
      </c>
    </row>
    <row r="311" spans="1:10" x14ac:dyDescent="0.25">
      <c r="A311" s="1">
        <v>8</v>
      </c>
      <c r="B311" t="s">
        <v>37</v>
      </c>
      <c r="C311">
        <v>630</v>
      </c>
      <c r="D311">
        <v>5</v>
      </c>
      <c r="E311" t="s">
        <v>32</v>
      </c>
      <c r="F311" t="s">
        <v>33</v>
      </c>
      <c r="G311" t="str">
        <f>"2026-02-25 20:08:02.211"</f>
        <v>2026-02-25 20:08:02.211</v>
      </c>
      <c r="H311" t="s">
        <v>34</v>
      </c>
      <c r="I311">
        <v>0</v>
      </c>
      <c r="J311" t="s">
        <v>24</v>
      </c>
    </row>
    <row r="312" spans="1:10" x14ac:dyDescent="0.25">
      <c r="A312" s="1">
        <v>9</v>
      </c>
      <c r="B312" t="s">
        <v>19</v>
      </c>
      <c r="C312">
        <v>630</v>
      </c>
      <c r="D312">
        <v>5</v>
      </c>
      <c r="E312" t="s">
        <v>32</v>
      </c>
      <c r="F312" t="s">
        <v>33</v>
      </c>
      <c r="G312" t="str">
        <f>"2026-02-25 15:03:34.011"</f>
        <v>2026-02-25 15:03:34.011</v>
      </c>
      <c r="H312" t="s">
        <v>34</v>
      </c>
    </row>
    <row r="313" spans="1:10" x14ac:dyDescent="0.25">
      <c r="A313" s="1">
        <v>10</v>
      </c>
      <c r="B313" t="s">
        <v>25</v>
      </c>
      <c r="C313">
        <v>706</v>
      </c>
      <c r="D313">
        <v>4</v>
      </c>
      <c r="E313" t="s">
        <v>35</v>
      </c>
      <c r="F313" t="s">
        <v>36</v>
      </c>
      <c r="G313" t="str">
        <f>"2026-02-25 15:03:03.923"</f>
        <v>2026-02-25 15:03:03.923</v>
      </c>
      <c r="H313" t="s">
        <v>22</v>
      </c>
      <c r="I313">
        <v>0</v>
      </c>
      <c r="J313" t="s">
        <v>24</v>
      </c>
    </row>
    <row r="314" spans="1:10" x14ac:dyDescent="0.25">
      <c r="A314" s="1">
        <v>11</v>
      </c>
      <c r="B314" t="s">
        <v>37</v>
      </c>
      <c r="C314">
        <v>630</v>
      </c>
      <c r="D314">
        <v>5</v>
      </c>
      <c r="E314" t="s">
        <v>32</v>
      </c>
      <c r="F314" t="s">
        <v>33</v>
      </c>
      <c r="G314" t="str">
        <f>"2026-02-25 14:59:23.112"</f>
        <v>2026-02-25 14:59:23.112</v>
      </c>
      <c r="H314" t="s">
        <v>34</v>
      </c>
      <c r="I314">
        <v>0</v>
      </c>
      <c r="J314" t="s">
        <v>24</v>
      </c>
    </row>
    <row r="315" spans="1:10" x14ac:dyDescent="0.25">
      <c r="A315" s="1">
        <v>12</v>
      </c>
      <c r="B315" t="s">
        <v>25</v>
      </c>
      <c r="C315">
        <v>700</v>
      </c>
      <c r="D315">
        <v>0</v>
      </c>
      <c r="E315" t="s">
        <v>26</v>
      </c>
      <c r="F315" t="s">
        <v>26</v>
      </c>
      <c r="G315" t="str">
        <f>"2026-02-25 13:44:10.073"</f>
        <v>2026-02-25 13:44:10.073</v>
      </c>
      <c r="H315" t="s">
        <v>22</v>
      </c>
      <c r="I315">
        <v>0</v>
      </c>
      <c r="J315" t="s">
        <v>27</v>
      </c>
    </row>
    <row r="316" spans="1:10" s="3" customFormat="1" x14ac:dyDescent="0.25">
      <c r="A316" s="2">
        <v>13</v>
      </c>
      <c r="B316" s="3" t="s">
        <v>19</v>
      </c>
      <c r="C316" s="3">
        <v>647</v>
      </c>
      <c r="D316" s="3">
        <v>1</v>
      </c>
      <c r="E316" s="3" t="s">
        <v>49</v>
      </c>
      <c r="F316" s="3" t="s">
        <v>50</v>
      </c>
      <c r="G316" s="3" t="str">
        <f>"2026-02-25 10:58:27.036"</f>
        <v>2026-02-25 10:58:27.036</v>
      </c>
      <c r="H316" s="3" t="s">
        <v>22</v>
      </c>
    </row>
    <row r="317" spans="1:10" s="3" customFormat="1" x14ac:dyDescent="0.25">
      <c r="A317" s="2">
        <v>14</v>
      </c>
      <c r="B317" s="3" t="s">
        <v>23</v>
      </c>
      <c r="C317" s="3">
        <v>647</v>
      </c>
      <c r="D317" s="3">
        <v>1</v>
      </c>
      <c r="E317" s="3" t="s">
        <v>49</v>
      </c>
      <c r="F317" s="3" t="s">
        <v>50</v>
      </c>
      <c r="G317" s="3" t="str">
        <f>"2026-02-25 10:58:24.736"</f>
        <v>2026-02-25 10:58:24.736</v>
      </c>
      <c r="H317" s="3" t="s">
        <v>22</v>
      </c>
      <c r="I317" s="3">
        <v>8.91</v>
      </c>
      <c r="J317" s="3" t="s">
        <v>31</v>
      </c>
    </row>
    <row r="318" spans="1:10" x14ac:dyDescent="0.25">
      <c r="A318" s="1">
        <v>15</v>
      </c>
      <c r="B318" t="s">
        <v>19</v>
      </c>
      <c r="C318">
        <v>630</v>
      </c>
      <c r="D318">
        <v>5</v>
      </c>
      <c r="E318" t="s">
        <v>32</v>
      </c>
      <c r="F318" t="s">
        <v>33</v>
      </c>
      <c r="G318" t="str">
        <f>"2026-02-24 22:31:45.136"</f>
        <v>2026-02-24 22:31:45.136</v>
      </c>
      <c r="H318" t="s">
        <v>34</v>
      </c>
    </row>
    <row r="319" spans="1:10" x14ac:dyDescent="0.25">
      <c r="A319" s="1">
        <v>16</v>
      </c>
      <c r="B319" t="s">
        <v>25</v>
      </c>
      <c r="C319">
        <v>706</v>
      </c>
      <c r="D319">
        <v>4</v>
      </c>
      <c r="E319" t="s">
        <v>35</v>
      </c>
      <c r="F319" t="s">
        <v>36</v>
      </c>
      <c r="G319" t="str">
        <f>"2026-02-24 22:31:14.954"</f>
        <v>2026-02-24 22:31:14.954</v>
      </c>
      <c r="H319" t="s">
        <v>22</v>
      </c>
      <c r="I319">
        <v>0</v>
      </c>
      <c r="J319" t="s">
        <v>24</v>
      </c>
    </row>
    <row r="320" spans="1:10" x14ac:dyDescent="0.25">
      <c r="A320" s="1">
        <v>17</v>
      </c>
      <c r="B320" t="s">
        <v>37</v>
      </c>
      <c r="C320">
        <v>630</v>
      </c>
      <c r="D320">
        <v>5</v>
      </c>
      <c r="E320" t="s">
        <v>32</v>
      </c>
      <c r="F320" t="s">
        <v>33</v>
      </c>
      <c r="G320" t="str">
        <f>"2026-02-24 22:29:46.936"</f>
        <v>2026-02-24 22:29:46.936</v>
      </c>
      <c r="H320" t="s">
        <v>34</v>
      </c>
      <c r="I320">
        <v>0</v>
      </c>
      <c r="J320" t="s">
        <v>24</v>
      </c>
    </row>
    <row r="321" spans="1:10" s="3" customFormat="1" x14ac:dyDescent="0.25">
      <c r="A321" s="2">
        <v>18</v>
      </c>
      <c r="B321" s="3" t="s">
        <v>19</v>
      </c>
      <c r="C321" s="3">
        <v>647</v>
      </c>
      <c r="D321" s="3">
        <v>1</v>
      </c>
      <c r="E321" s="3" t="s">
        <v>49</v>
      </c>
      <c r="F321" s="3" t="s">
        <v>50</v>
      </c>
      <c r="G321" s="3" t="str">
        <f>"2026-02-24 12:54:14.736"</f>
        <v>2026-02-24 12:54:14.736</v>
      </c>
      <c r="H321" s="3" t="s">
        <v>22</v>
      </c>
    </row>
    <row r="322" spans="1:10" s="3" customFormat="1" x14ac:dyDescent="0.25">
      <c r="A322" s="2">
        <v>19</v>
      </c>
      <c r="B322" s="3" t="s">
        <v>23</v>
      </c>
      <c r="C322" s="3">
        <v>647</v>
      </c>
      <c r="D322" s="3">
        <v>1</v>
      </c>
      <c r="E322" s="3" t="s">
        <v>49</v>
      </c>
      <c r="F322" s="3" t="s">
        <v>50</v>
      </c>
      <c r="G322" s="3" t="str">
        <f>"2026-02-24 12:54:13.236"</f>
        <v>2026-02-24 12:54:13.236</v>
      </c>
      <c r="H322" s="3" t="s">
        <v>22</v>
      </c>
      <c r="I322" s="3">
        <v>16.649999999999999</v>
      </c>
      <c r="J322" s="3" t="s">
        <v>31</v>
      </c>
    </row>
    <row r="323" spans="1:10" x14ac:dyDescent="0.25">
      <c r="A323" s="1">
        <v>20</v>
      </c>
      <c r="B323" t="s">
        <v>42</v>
      </c>
      <c r="C323">
        <v>217</v>
      </c>
      <c r="D323">
        <v>7</v>
      </c>
      <c r="E323" t="s">
        <v>53</v>
      </c>
      <c r="F323" t="s">
        <v>54</v>
      </c>
      <c r="G323" t="str">
        <f>"2026-02-24 09:46:26.816"</f>
        <v>2026-02-24 09:46:26.816</v>
      </c>
      <c r="H323" t="s">
        <v>55</v>
      </c>
    </row>
    <row r="324" spans="1:10" x14ac:dyDescent="0.25">
      <c r="A324" s="1">
        <v>21</v>
      </c>
      <c r="B324" t="s">
        <v>37</v>
      </c>
      <c r="C324">
        <v>217</v>
      </c>
      <c r="D324">
        <v>7</v>
      </c>
      <c r="E324" t="s">
        <v>53</v>
      </c>
      <c r="F324" t="s">
        <v>54</v>
      </c>
      <c r="G324" t="str">
        <f>"2026-02-24 09:46:21.742"</f>
        <v>2026-02-24 09:46:21.742</v>
      </c>
      <c r="H324" t="s">
        <v>55</v>
      </c>
      <c r="I324">
        <v>21.65</v>
      </c>
      <c r="J324" t="s">
        <v>30</v>
      </c>
    </row>
    <row r="325" spans="1:10" x14ac:dyDescent="0.25">
      <c r="A325" s="1">
        <v>22</v>
      </c>
      <c r="B325" t="s">
        <v>19</v>
      </c>
      <c r="C325">
        <v>630</v>
      </c>
      <c r="D325">
        <v>5</v>
      </c>
      <c r="E325" t="s">
        <v>32</v>
      </c>
      <c r="F325" t="s">
        <v>33</v>
      </c>
      <c r="G325" t="str">
        <f>"2026-02-23 19:58:32.736"</f>
        <v>2026-02-23 19:58:32.736</v>
      </c>
      <c r="H325" t="s">
        <v>34</v>
      </c>
    </row>
    <row r="326" spans="1:10" x14ac:dyDescent="0.25">
      <c r="A326" s="1">
        <v>23</v>
      </c>
      <c r="B326" t="s">
        <v>25</v>
      </c>
      <c r="C326">
        <v>706</v>
      </c>
      <c r="D326">
        <v>4</v>
      </c>
      <c r="E326" t="s">
        <v>35</v>
      </c>
      <c r="F326" t="s">
        <v>36</v>
      </c>
      <c r="G326" t="str">
        <f>"2026-02-23 19:58:02.664"</f>
        <v>2026-02-23 19:58:02.664</v>
      </c>
      <c r="H326" t="s">
        <v>22</v>
      </c>
      <c r="I326">
        <v>0</v>
      </c>
      <c r="J326" t="s">
        <v>24</v>
      </c>
    </row>
    <row r="327" spans="1:10" x14ac:dyDescent="0.25">
      <c r="A327" s="1">
        <v>24</v>
      </c>
      <c r="B327" t="s">
        <v>37</v>
      </c>
      <c r="C327">
        <v>630</v>
      </c>
      <c r="D327">
        <v>5</v>
      </c>
      <c r="E327" t="s">
        <v>32</v>
      </c>
      <c r="F327" t="s">
        <v>33</v>
      </c>
      <c r="G327" t="str">
        <f>"2026-02-23 19:52:03.137"</f>
        <v>2026-02-23 19:52:03.137</v>
      </c>
      <c r="H327" t="s">
        <v>34</v>
      </c>
      <c r="I327">
        <v>0</v>
      </c>
      <c r="J327" t="s">
        <v>24</v>
      </c>
    </row>
    <row r="328" spans="1:10" x14ac:dyDescent="0.25">
      <c r="A328" s="1">
        <v>25</v>
      </c>
      <c r="B328" t="s">
        <v>25</v>
      </c>
      <c r="C328">
        <v>706</v>
      </c>
      <c r="D328">
        <v>4</v>
      </c>
      <c r="E328" t="s">
        <v>35</v>
      </c>
      <c r="F328" t="s">
        <v>36</v>
      </c>
      <c r="G328" t="str">
        <f>"2026-02-23 11:39:20.644"</f>
        <v>2026-02-23 11:39:20.644</v>
      </c>
      <c r="H328" t="s">
        <v>22</v>
      </c>
      <c r="I328">
        <v>0</v>
      </c>
      <c r="J328" t="s">
        <v>24</v>
      </c>
    </row>
    <row r="329" spans="1:10" x14ac:dyDescent="0.25">
      <c r="A329" s="1">
        <v>26</v>
      </c>
      <c r="B329" t="s">
        <v>25</v>
      </c>
      <c r="C329">
        <v>700</v>
      </c>
      <c r="D329">
        <v>0</v>
      </c>
      <c r="E329" t="s">
        <v>26</v>
      </c>
      <c r="F329" t="s">
        <v>26</v>
      </c>
      <c r="G329" t="str">
        <f>"2026-02-23 11:38:52.034"</f>
        <v>2026-02-23 11:38:52.034</v>
      </c>
      <c r="H329" t="s">
        <v>22</v>
      </c>
    </row>
    <row r="330" spans="1:10" x14ac:dyDescent="0.25">
      <c r="A330" s="1">
        <v>27</v>
      </c>
      <c r="B330" t="s">
        <v>37</v>
      </c>
      <c r="C330">
        <v>630</v>
      </c>
      <c r="D330">
        <v>5</v>
      </c>
      <c r="E330" t="s">
        <v>32</v>
      </c>
      <c r="F330" t="s">
        <v>33</v>
      </c>
      <c r="G330" t="str">
        <f>"2026-02-23 11:35:53.857"</f>
        <v>2026-02-23 11:35:53.857</v>
      </c>
      <c r="H330" t="s">
        <v>34</v>
      </c>
      <c r="I330">
        <v>0</v>
      </c>
      <c r="J330" t="s">
        <v>24</v>
      </c>
    </row>
    <row r="331" spans="1:10" x14ac:dyDescent="0.25">
      <c r="A331" s="1">
        <v>28</v>
      </c>
      <c r="B331" t="s">
        <v>19</v>
      </c>
      <c r="C331">
        <v>635</v>
      </c>
      <c r="D331">
        <v>1</v>
      </c>
      <c r="E331" t="s">
        <v>28</v>
      </c>
      <c r="F331" t="s">
        <v>29</v>
      </c>
      <c r="G331" t="str">
        <f>"2026-02-22 23:25:51.703"</f>
        <v>2026-02-22 23:25:51.703</v>
      </c>
      <c r="H331" t="s">
        <v>22</v>
      </c>
    </row>
    <row r="332" spans="1:10" x14ac:dyDescent="0.25">
      <c r="A332" s="1">
        <v>29</v>
      </c>
      <c r="B332" t="s">
        <v>23</v>
      </c>
      <c r="C332">
        <v>635</v>
      </c>
      <c r="D332">
        <v>1</v>
      </c>
      <c r="E332" t="s">
        <v>28</v>
      </c>
      <c r="F332" t="s">
        <v>29</v>
      </c>
      <c r="G332" t="str">
        <f>"2026-02-22 23:22:49.703"</f>
        <v>2026-02-22 23:22:49.703</v>
      </c>
      <c r="H332" t="s">
        <v>22</v>
      </c>
      <c r="I332">
        <v>5.65</v>
      </c>
      <c r="J332" t="s">
        <v>30</v>
      </c>
    </row>
    <row r="333" spans="1:10" x14ac:dyDescent="0.25">
      <c r="A333" s="1">
        <v>30</v>
      </c>
      <c r="B333" t="s">
        <v>19</v>
      </c>
      <c r="C333">
        <v>635</v>
      </c>
      <c r="D333">
        <v>1</v>
      </c>
      <c r="E333" t="s">
        <v>28</v>
      </c>
      <c r="F333" t="s">
        <v>29</v>
      </c>
      <c r="G333" t="str">
        <f>"2026-02-22 17:02:05.303"</f>
        <v>2026-02-22 17:02:05.303</v>
      </c>
      <c r="H333" t="s">
        <v>22</v>
      </c>
    </row>
    <row r="334" spans="1:10" x14ac:dyDescent="0.25">
      <c r="A334" s="1">
        <v>31</v>
      </c>
      <c r="B334" t="s">
        <v>23</v>
      </c>
      <c r="C334">
        <v>635</v>
      </c>
      <c r="D334">
        <v>1</v>
      </c>
      <c r="E334" t="s">
        <v>28</v>
      </c>
      <c r="F334" t="s">
        <v>29</v>
      </c>
      <c r="G334" t="str">
        <f>"2026-02-22 16:56:06.303"</f>
        <v>2026-02-22 16:56:06.303</v>
      </c>
      <c r="H334" t="s">
        <v>22</v>
      </c>
      <c r="I334">
        <v>3.62</v>
      </c>
      <c r="J334" t="s">
        <v>31</v>
      </c>
    </row>
    <row r="335" spans="1:10" x14ac:dyDescent="0.25">
      <c r="A335" s="1">
        <v>32</v>
      </c>
      <c r="B335" t="s">
        <v>25</v>
      </c>
      <c r="C335">
        <v>706</v>
      </c>
      <c r="D335">
        <v>2</v>
      </c>
      <c r="E335" t="s">
        <v>35</v>
      </c>
      <c r="F335" t="s">
        <v>38</v>
      </c>
      <c r="G335" t="str">
        <f>"2026-02-21 23:42:57.482"</f>
        <v>2026-02-21 23:42:57.482</v>
      </c>
      <c r="H335" t="s">
        <v>22</v>
      </c>
      <c r="I335">
        <v>0</v>
      </c>
      <c r="J335" t="s">
        <v>24</v>
      </c>
    </row>
    <row r="336" spans="1:10" x14ac:dyDescent="0.25">
      <c r="A336" s="1">
        <v>33</v>
      </c>
      <c r="B336" t="s">
        <v>25</v>
      </c>
      <c r="C336">
        <v>700</v>
      </c>
      <c r="D336">
        <v>0</v>
      </c>
      <c r="E336" t="s">
        <v>26</v>
      </c>
      <c r="F336" t="s">
        <v>26</v>
      </c>
      <c r="G336" t="str">
        <f>"2026-02-21 23:42:40.852"</f>
        <v>2026-02-21 23:42:40.852</v>
      </c>
      <c r="H336" t="s">
        <v>22</v>
      </c>
    </row>
    <row r="337" spans="1:10" x14ac:dyDescent="0.25">
      <c r="A337" s="1">
        <v>34</v>
      </c>
      <c r="B337" t="s">
        <v>25</v>
      </c>
      <c r="C337">
        <v>706</v>
      </c>
      <c r="D337">
        <v>4</v>
      </c>
      <c r="E337" t="s">
        <v>35</v>
      </c>
      <c r="F337" t="s">
        <v>36</v>
      </c>
      <c r="G337" t="str">
        <f>"2026-02-21 20:47:19.454"</f>
        <v>2026-02-21 20:47:19.454</v>
      </c>
      <c r="H337" t="s">
        <v>22</v>
      </c>
      <c r="I337">
        <v>0</v>
      </c>
      <c r="J337" t="s">
        <v>24</v>
      </c>
    </row>
    <row r="338" spans="1:10" x14ac:dyDescent="0.25">
      <c r="A338" s="1">
        <v>35</v>
      </c>
      <c r="B338" t="s">
        <v>25</v>
      </c>
      <c r="C338">
        <v>700</v>
      </c>
      <c r="D338">
        <v>0</v>
      </c>
      <c r="E338" t="s">
        <v>26</v>
      </c>
      <c r="F338" t="s">
        <v>26</v>
      </c>
      <c r="G338" t="str">
        <f>"2026-02-21 20:45:54.824"</f>
        <v>2026-02-21 20:45:54.824</v>
      </c>
      <c r="H338" t="s">
        <v>22</v>
      </c>
      <c r="I338">
        <v>0</v>
      </c>
      <c r="J338" t="s">
        <v>27</v>
      </c>
    </row>
    <row r="339" spans="1:10" x14ac:dyDescent="0.25">
      <c r="A339" s="1">
        <v>36</v>
      </c>
      <c r="B339" t="s">
        <v>19</v>
      </c>
      <c r="C339">
        <v>635</v>
      </c>
      <c r="D339">
        <v>1</v>
      </c>
      <c r="E339" t="s">
        <v>28</v>
      </c>
      <c r="F339" t="s">
        <v>29</v>
      </c>
      <c r="G339" t="str">
        <f>"2026-02-21 20:10:00.764"</f>
        <v>2026-02-21 20:10:00.764</v>
      </c>
      <c r="H339" t="s">
        <v>22</v>
      </c>
    </row>
    <row r="340" spans="1:10" x14ac:dyDescent="0.25">
      <c r="A340" s="1">
        <v>37</v>
      </c>
      <c r="B340" t="s">
        <v>23</v>
      </c>
      <c r="C340">
        <v>635</v>
      </c>
      <c r="D340">
        <v>1</v>
      </c>
      <c r="E340" t="s">
        <v>28</v>
      </c>
      <c r="F340" t="s">
        <v>29</v>
      </c>
      <c r="G340" t="str">
        <f>"2026-02-21 20:05:32.764"</f>
        <v>2026-02-21 20:05:32.764</v>
      </c>
      <c r="H340" t="s">
        <v>22</v>
      </c>
      <c r="I340">
        <v>0</v>
      </c>
      <c r="J340" t="s">
        <v>48</v>
      </c>
    </row>
    <row r="341" spans="1:10" s="3" customFormat="1" x14ac:dyDescent="0.25">
      <c r="A341" s="2">
        <v>38</v>
      </c>
      <c r="B341" s="3" t="s">
        <v>19</v>
      </c>
      <c r="C341" s="3">
        <v>647</v>
      </c>
      <c r="D341" s="3">
        <v>1</v>
      </c>
      <c r="E341" s="3" t="s">
        <v>49</v>
      </c>
      <c r="F341" s="3" t="s">
        <v>50</v>
      </c>
      <c r="G341" s="3" t="str">
        <f>"2026-02-21 03:10:27.218"</f>
        <v>2026-02-21 03:10:27.218</v>
      </c>
      <c r="H341" s="3" t="s">
        <v>22</v>
      </c>
    </row>
    <row r="342" spans="1:10" s="3" customFormat="1" x14ac:dyDescent="0.25">
      <c r="A342" s="2">
        <v>39</v>
      </c>
      <c r="B342" s="3" t="s">
        <v>23</v>
      </c>
      <c r="C342" s="3">
        <v>647</v>
      </c>
      <c r="D342" s="3">
        <v>1</v>
      </c>
      <c r="E342" s="3" t="s">
        <v>49</v>
      </c>
      <c r="F342" s="3" t="s">
        <v>50</v>
      </c>
      <c r="G342" s="3" t="str">
        <f>"2026-02-21 03:10:23.518"</f>
        <v>2026-02-21 03:10:23.518</v>
      </c>
      <c r="H342" s="3" t="s">
        <v>22</v>
      </c>
      <c r="I342" s="3">
        <v>9.49</v>
      </c>
      <c r="J342" s="3" t="s">
        <v>31</v>
      </c>
    </row>
    <row r="343" spans="1:10" x14ac:dyDescent="0.25">
      <c r="A343" s="1">
        <v>40</v>
      </c>
      <c r="B343" t="s">
        <v>19</v>
      </c>
      <c r="C343">
        <v>635</v>
      </c>
      <c r="D343">
        <v>1</v>
      </c>
      <c r="E343" t="s">
        <v>28</v>
      </c>
      <c r="F343" t="s">
        <v>29</v>
      </c>
      <c r="G343" t="str">
        <f>"2026-02-20 23:48:01.164"</f>
        <v>2026-02-20 23:48:01.164</v>
      </c>
      <c r="H343" t="s">
        <v>22</v>
      </c>
    </row>
    <row r="344" spans="1:10" x14ac:dyDescent="0.25">
      <c r="A344" s="1">
        <v>41</v>
      </c>
      <c r="B344" t="s">
        <v>23</v>
      </c>
      <c r="C344">
        <v>635</v>
      </c>
      <c r="D344">
        <v>1</v>
      </c>
      <c r="E344" t="s">
        <v>28</v>
      </c>
      <c r="F344" t="s">
        <v>29</v>
      </c>
      <c r="G344" t="str">
        <f>"2026-02-20 23:23:04.164"</f>
        <v>2026-02-20 23:23:04.164</v>
      </c>
      <c r="H344" t="s">
        <v>22</v>
      </c>
      <c r="I344">
        <v>7.69</v>
      </c>
      <c r="J344" t="s">
        <v>30</v>
      </c>
    </row>
    <row r="345" spans="1:10" x14ac:dyDescent="0.25">
      <c r="A345" s="1">
        <v>42</v>
      </c>
      <c r="B345" t="s">
        <v>19</v>
      </c>
      <c r="C345">
        <v>630</v>
      </c>
      <c r="D345">
        <v>5</v>
      </c>
      <c r="E345" t="s">
        <v>32</v>
      </c>
      <c r="F345" t="s">
        <v>33</v>
      </c>
      <c r="G345" t="str">
        <f>"2026-02-20 20:41:17.218"</f>
        <v>2026-02-20 20:41:17.218</v>
      </c>
      <c r="H345" t="s">
        <v>34</v>
      </c>
    </row>
    <row r="346" spans="1:10" x14ac:dyDescent="0.25">
      <c r="A346" s="1">
        <v>43</v>
      </c>
      <c r="B346" t="s">
        <v>25</v>
      </c>
      <c r="C346">
        <v>706</v>
      </c>
      <c r="D346">
        <v>4</v>
      </c>
      <c r="E346" t="s">
        <v>35</v>
      </c>
      <c r="F346" t="s">
        <v>36</v>
      </c>
      <c r="G346" t="str">
        <f>"2026-02-20 20:40:47.154"</f>
        <v>2026-02-20 20:40:47.154</v>
      </c>
      <c r="H346" t="s">
        <v>22</v>
      </c>
      <c r="I346">
        <v>0</v>
      </c>
      <c r="J346" t="s">
        <v>24</v>
      </c>
    </row>
    <row r="347" spans="1:10" x14ac:dyDescent="0.25">
      <c r="A347" s="1">
        <v>44</v>
      </c>
      <c r="B347" t="s">
        <v>37</v>
      </c>
      <c r="C347">
        <v>630</v>
      </c>
      <c r="D347">
        <v>5</v>
      </c>
      <c r="E347" t="s">
        <v>32</v>
      </c>
      <c r="F347" t="s">
        <v>33</v>
      </c>
      <c r="G347" t="str">
        <f>"2026-02-20 20:33:21.618"</f>
        <v>2026-02-20 20:33:21.618</v>
      </c>
      <c r="H347" t="s">
        <v>34</v>
      </c>
      <c r="I347">
        <v>0</v>
      </c>
      <c r="J347" t="s">
        <v>24</v>
      </c>
    </row>
    <row r="348" spans="1:10" x14ac:dyDescent="0.25">
      <c r="A348" s="1">
        <v>45</v>
      </c>
      <c r="B348" t="s">
        <v>19</v>
      </c>
      <c r="C348">
        <v>635</v>
      </c>
      <c r="D348">
        <v>1</v>
      </c>
      <c r="E348" t="s">
        <v>28</v>
      </c>
      <c r="F348" t="s">
        <v>29</v>
      </c>
      <c r="G348" t="str">
        <f>"2026-02-20 07:17:57.163"</f>
        <v>2026-02-20 07:17:57.163</v>
      </c>
      <c r="H348" t="s">
        <v>22</v>
      </c>
    </row>
    <row r="349" spans="1:10" x14ac:dyDescent="0.25">
      <c r="A349" s="1">
        <v>46</v>
      </c>
      <c r="B349" t="s">
        <v>23</v>
      </c>
      <c r="C349">
        <v>635</v>
      </c>
      <c r="D349">
        <v>1</v>
      </c>
      <c r="E349" t="s">
        <v>28</v>
      </c>
      <c r="F349" t="s">
        <v>29</v>
      </c>
      <c r="G349" t="str">
        <f>"2026-02-20 06:57:51.264"</f>
        <v>2026-02-20 06:57:51.264</v>
      </c>
      <c r="H349" t="s">
        <v>22</v>
      </c>
      <c r="I349">
        <v>6.16</v>
      </c>
      <c r="J349" t="s">
        <v>30</v>
      </c>
    </row>
    <row r="350" spans="1:10" x14ac:dyDescent="0.25">
      <c r="A350" s="1">
        <v>47</v>
      </c>
      <c r="B350" t="s">
        <v>19</v>
      </c>
      <c r="C350">
        <v>630</v>
      </c>
      <c r="D350">
        <v>5</v>
      </c>
      <c r="E350" t="s">
        <v>32</v>
      </c>
      <c r="F350" t="s">
        <v>33</v>
      </c>
      <c r="G350" t="str">
        <f>"2026-02-19 22:30:13.618"</f>
        <v>2026-02-19 22:30:13.618</v>
      </c>
      <c r="H350" t="s">
        <v>34</v>
      </c>
    </row>
    <row r="351" spans="1:10" x14ac:dyDescent="0.25">
      <c r="A351" s="1">
        <v>48</v>
      </c>
      <c r="B351" t="s">
        <v>25</v>
      </c>
      <c r="C351">
        <v>706</v>
      </c>
      <c r="D351">
        <v>4</v>
      </c>
      <c r="E351" t="s">
        <v>35</v>
      </c>
      <c r="F351" t="s">
        <v>36</v>
      </c>
      <c r="G351" t="str">
        <f>"2026-02-19 22:29:43.644"</f>
        <v>2026-02-19 22:29:43.644</v>
      </c>
      <c r="H351" t="s">
        <v>22</v>
      </c>
      <c r="I351">
        <v>0</v>
      </c>
      <c r="J351" t="s">
        <v>24</v>
      </c>
    </row>
    <row r="352" spans="1:10" x14ac:dyDescent="0.25">
      <c r="A352" s="1">
        <v>49</v>
      </c>
      <c r="B352" t="s">
        <v>37</v>
      </c>
      <c r="C352">
        <v>630</v>
      </c>
      <c r="D352">
        <v>5</v>
      </c>
      <c r="E352" t="s">
        <v>32</v>
      </c>
      <c r="F352" t="s">
        <v>33</v>
      </c>
      <c r="G352" t="str">
        <f>"2026-02-19 22:26:00.618"</f>
        <v>2026-02-19 22:26:00.618</v>
      </c>
      <c r="H352" t="s">
        <v>34</v>
      </c>
      <c r="I352">
        <v>0</v>
      </c>
      <c r="J352" t="s">
        <v>24</v>
      </c>
    </row>
    <row r="353" spans="1:10" s="3" customFormat="1" x14ac:dyDescent="0.25">
      <c r="A353" s="2">
        <v>50</v>
      </c>
      <c r="B353" s="3" t="s">
        <v>19</v>
      </c>
      <c r="C353" s="3">
        <v>647</v>
      </c>
      <c r="D353" s="3">
        <v>1</v>
      </c>
      <c r="E353" s="3" t="s">
        <v>49</v>
      </c>
      <c r="F353" s="3" t="s">
        <v>50</v>
      </c>
      <c r="G353" s="3" t="str">
        <f>"2026-02-19 11:15:34.318"</f>
        <v>2026-02-19 11:15:34.318</v>
      </c>
      <c r="H353" s="3" t="s">
        <v>22</v>
      </c>
    </row>
    <row r="354" spans="1:10" s="3" customFormat="1" x14ac:dyDescent="0.25">
      <c r="A354" s="2">
        <v>51</v>
      </c>
      <c r="B354" s="3" t="s">
        <v>23</v>
      </c>
      <c r="C354" s="3">
        <v>647</v>
      </c>
      <c r="D354" s="3">
        <v>1</v>
      </c>
      <c r="E354" s="3" t="s">
        <v>49</v>
      </c>
      <c r="F354" s="3" t="s">
        <v>50</v>
      </c>
      <c r="G354" s="3" t="str">
        <f>"2026-02-19 11:15:28.218"</f>
        <v>2026-02-19 11:15:28.218</v>
      </c>
      <c r="H354" s="3" t="s">
        <v>22</v>
      </c>
      <c r="I354" s="3">
        <v>17.010000000000002</v>
      </c>
      <c r="J354" s="3" t="s">
        <v>31</v>
      </c>
    </row>
    <row r="355" spans="1:10" x14ac:dyDescent="0.25">
      <c r="A355" s="1">
        <v>52</v>
      </c>
      <c r="B355" t="s">
        <v>19</v>
      </c>
      <c r="C355">
        <v>98</v>
      </c>
      <c r="D355">
        <v>1</v>
      </c>
      <c r="E355" t="s">
        <v>46</v>
      </c>
      <c r="F355" t="s">
        <v>47</v>
      </c>
      <c r="G355" t="str">
        <f>"2026-02-19 04:03:32.317"</f>
        <v>2026-02-19 04:03:32.317</v>
      </c>
      <c r="H355" t="s">
        <v>22</v>
      </c>
    </row>
    <row r="356" spans="1:10" x14ac:dyDescent="0.25">
      <c r="A356" s="1">
        <v>53</v>
      </c>
      <c r="B356" t="s">
        <v>23</v>
      </c>
      <c r="C356">
        <v>98</v>
      </c>
      <c r="D356">
        <v>1</v>
      </c>
      <c r="E356" t="s">
        <v>46</v>
      </c>
      <c r="F356" t="s">
        <v>47</v>
      </c>
      <c r="G356" t="str">
        <f>"2026-02-19 04:03:31.318"</f>
        <v>2026-02-19 04:03:31.318</v>
      </c>
      <c r="H356" t="s">
        <v>22</v>
      </c>
      <c r="I356">
        <v>0</v>
      </c>
      <c r="J356" t="s">
        <v>48</v>
      </c>
    </row>
    <row r="357" spans="1:10" x14ac:dyDescent="0.25">
      <c r="A357" s="1">
        <v>54</v>
      </c>
      <c r="B357" t="s">
        <v>25</v>
      </c>
      <c r="C357">
        <v>700</v>
      </c>
      <c r="D357">
        <v>0</v>
      </c>
      <c r="E357" t="s">
        <v>26</v>
      </c>
      <c r="F357" t="s">
        <v>26</v>
      </c>
      <c r="G357" t="str">
        <f>"2026-02-18 21:08:05.804"</f>
        <v>2026-02-18 21:08:05.804</v>
      </c>
      <c r="H357" t="s">
        <v>22</v>
      </c>
    </row>
    <row r="358" spans="1:10" x14ac:dyDescent="0.25">
      <c r="A358" s="1">
        <v>55</v>
      </c>
      <c r="B358" t="s">
        <v>19</v>
      </c>
      <c r="C358">
        <v>635</v>
      </c>
      <c r="D358">
        <v>1</v>
      </c>
      <c r="E358" t="s">
        <v>28</v>
      </c>
      <c r="F358" t="s">
        <v>29</v>
      </c>
      <c r="G358" t="str">
        <f>"2026-02-18 07:18:01.765"</f>
        <v>2026-02-18 07:18:01.765</v>
      </c>
      <c r="H358" t="s">
        <v>22</v>
      </c>
    </row>
    <row r="359" spans="1:10" x14ac:dyDescent="0.25">
      <c r="A359" s="1">
        <v>56</v>
      </c>
      <c r="B359" t="s">
        <v>23</v>
      </c>
      <c r="C359">
        <v>635</v>
      </c>
      <c r="D359">
        <v>1</v>
      </c>
      <c r="E359" t="s">
        <v>28</v>
      </c>
      <c r="F359" t="s">
        <v>29</v>
      </c>
      <c r="G359" t="str">
        <f>"2026-02-18 07:10:29.765"</f>
        <v>2026-02-18 07:10:29.765</v>
      </c>
      <c r="H359" t="s">
        <v>22</v>
      </c>
      <c r="I359">
        <v>7.48</v>
      </c>
      <c r="J359" t="s">
        <v>30</v>
      </c>
    </row>
    <row r="360" spans="1:10" x14ac:dyDescent="0.25">
      <c r="A360" s="1">
        <v>57</v>
      </c>
      <c r="B360" t="s">
        <v>25</v>
      </c>
      <c r="C360">
        <v>706</v>
      </c>
      <c r="D360">
        <v>2</v>
      </c>
      <c r="E360" t="s">
        <v>35</v>
      </c>
      <c r="F360" t="s">
        <v>38</v>
      </c>
      <c r="G360" t="str">
        <f>"2026-02-18 05:32:01.526"</f>
        <v>2026-02-18 05:32:01.526</v>
      </c>
      <c r="H360" t="s">
        <v>22</v>
      </c>
      <c r="I360">
        <v>0</v>
      </c>
      <c r="J360" t="s">
        <v>24</v>
      </c>
    </row>
    <row r="361" spans="1:10" x14ac:dyDescent="0.25">
      <c r="A361" s="1">
        <v>58</v>
      </c>
      <c r="B361" t="s">
        <v>25</v>
      </c>
      <c r="C361">
        <v>700</v>
      </c>
      <c r="D361">
        <v>0</v>
      </c>
      <c r="E361" t="s">
        <v>26</v>
      </c>
      <c r="F361" t="s">
        <v>26</v>
      </c>
      <c r="G361" t="str">
        <f>"2026-02-18 05:31:29.826"</f>
        <v>2026-02-18 05:31:29.826</v>
      </c>
      <c r="H361" t="s">
        <v>22</v>
      </c>
      <c r="I361">
        <v>0</v>
      </c>
      <c r="J361" t="s">
        <v>27</v>
      </c>
    </row>
    <row r="362" spans="1:10" x14ac:dyDescent="0.25">
      <c r="A362" s="1">
        <v>59</v>
      </c>
      <c r="B362" t="s">
        <v>37</v>
      </c>
      <c r="C362">
        <v>630</v>
      </c>
      <c r="D362">
        <v>5</v>
      </c>
      <c r="E362" t="s">
        <v>32</v>
      </c>
      <c r="F362" t="s">
        <v>33</v>
      </c>
      <c r="G362" t="str">
        <f>"2026-02-18 04:12:27.657"</f>
        <v>2026-02-18 04:12:27.657</v>
      </c>
      <c r="H362" t="s">
        <v>34</v>
      </c>
      <c r="I362">
        <v>0</v>
      </c>
      <c r="J362" t="s">
        <v>24</v>
      </c>
    </row>
    <row r="363" spans="1:10" x14ac:dyDescent="0.25">
      <c r="A363" s="1">
        <v>60</v>
      </c>
      <c r="B363" t="s">
        <v>25</v>
      </c>
      <c r="C363">
        <v>700</v>
      </c>
      <c r="D363">
        <v>0</v>
      </c>
      <c r="E363" t="s">
        <v>26</v>
      </c>
      <c r="F363" t="s">
        <v>26</v>
      </c>
      <c r="G363" t="str">
        <f>"2026-02-18 04:07:24.826"</f>
        <v>2026-02-18 04:07:24.826</v>
      </c>
      <c r="H363" t="s">
        <v>22</v>
      </c>
      <c r="I363">
        <v>0</v>
      </c>
      <c r="J363" t="s">
        <v>27</v>
      </c>
    </row>
    <row r="364" spans="1:10" x14ac:dyDescent="0.25">
      <c r="A364" s="1">
        <v>61</v>
      </c>
      <c r="B364" t="s">
        <v>37</v>
      </c>
      <c r="C364">
        <v>630</v>
      </c>
      <c r="D364">
        <v>5</v>
      </c>
      <c r="E364" t="s">
        <v>32</v>
      </c>
      <c r="F364" t="s">
        <v>33</v>
      </c>
      <c r="G364" t="str">
        <f>"2026-02-18 03:41:10.783"</f>
        <v>2026-02-18 03:41:10.783</v>
      </c>
      <c r="H364" t="s">
        <v>34</v>
      </c>
      <c r="I364">
        <v>0</v>
      </c>
      <c r="J364" t="s">
        <v>24</v>
      </c>
    </row>
    <row r="365" spans="1:10" x14ac:dyDescent="0.25">
      <c r="A365" s="1">
        <v>62</v>
      </c>
      <c r="B365" t="s">
        <v>25</v>
      </c>
      <c r="C365">
        <v>700</v>
      </c>
      <c r="D365">
        <v>0</v>
      </c>
      <c r="E365" t="s">
        <v>26</v>
      </c>
      <c r="F365" t="s">
        <v>26</v>
      </c>
      <c r="G365" t="str">
        <f>"2026-02-18 03:36:07.977"</f>
        <v>2026-02-18 03:36:07.977</v>
      </c>
      <c r="H365" t="s">
        <v>22</v>
      </c>
    </row>
    <row r="366" spans="1:10" s="3" customFormat="1" x14ac:dyDescent="0.25">
      <c r="A366" s="2">
        <v>63</v>
      </c>
      <c r="B366" s="3" t="s">
        <v>19</v>
      </c>
      <c r="C366" s="3">
        <v>647</v>
      </c>
      <c r="D366" s="3">
        <v>1</v>
      </c>
      <c r="E366" s="3" t="s">
        <v>49</v>
      </c>
      <c r="F366" s="3" t="s">
        <v>50</v>
      </c>
      <c r="G366" s="3" t="str">
        <f>"2026-02-16 06:03:29.736"</f>
        <v>2026-02-16 06:03:29.736</v>
      </c>
      <c r="H366" s="3" t="s">
        <v>22</v>
      </c>
    </row>
    <row r="367" spans="1:10" s="3" customFormat="1" x14ac:dyDescent="0.25">
      <c r="A367" s="2">
        <v>64</v>
      </c>
      <c r="B367" s="3" t="s">
        <v>23</v>
      </c>
      <c r="C367" s="3">
        <v>647</v>
      </c>
      <c r="D367" s="3">
        <v>1</v>
      </c>
      <c r="E367" s="3" t="s">
        <v>49</v>
      </c>
      <c r="F367" s="3" t="s">
        <v>50</v>
      </c>
      <c r="G367" s="3" t="str">
        <f>"2026-02-16 06:03:26.836"</f>
        <v>2026-02-16 06:03:26.836</v>
      </c>
      <c r="H367" s="3" t="s">
        <v>22</v>
      </c>
      <c r="I367" s="3">
        <v>17.440000000000001</v>
      </c>
      <c r="J367" s="3" t="s">
        <v>31</v>
      </c>
    </row>
    <row r="368" spans="1:10" s="3" customFormat="1" x14ac:dyDescent="0.25">
      <c r="A368" s="2">
        <v>65</v>
      </c>
      <c r="B368" s="3" t="s">
        <v>19</v>
      </c>
      <c r="C368" s="3">
        <v>647</v>
      </c>
      <c r="D368" s="3">
        <v>1</v>
      </c>
      <c r="E368" s="3" t="s">
        <v>49</v>
      </c>
      <c r="F368" s="3" t="s">
        <v>50</v>
      </c>
      <c r="G368" s="3" t="str">
        <f>"2026-02-16 02:28:21.136"</f>
        <v>2026-02-16 02:28:21.136</v>
      </c>
      <c r="H368" s="3" t="s">
        <v>22</v>
      </c>
    </row>
    <row r="369" spans="1:10" s="3" customFormat="1" x14ac:dyDescent="0.25">
      <c r="A369" s="2">
        <v>66</v>
      </c>
      <c r="B369" s="3" t="s">
        <v>23</v>
      </c>
      <c r="C369" s="3">
        <v>647</v>
      </c>
      <c r="D369" s="3">
        <v>1</v>
      </c>
      <c r="E369" s="3" t="s">
        <v>49</v>
      </c>
      <c r="F369" s="3" t="s">
        <v>50</v>
      </c>
      <c r="G369" s="3" t="str">
        <f>"2026-02-16 02:28:15.536"</f>
        <v>2026-02-16 02:28:15.536</v>
      </c>
      <c r="H369" s="3" t="s">
        <v>22</v>
      </c>
      <c r="I369" s="3">
        <v>8.2799999999999994</v>
      </c>
      <c r="J369" s="3" t="s">
        <v>31</v>
      </c>
    </row>
    <row r="370" spans="1:10" x14ac:dyDescent="0.25">
      <c r="A370" s="1">
        <v>67</v>
      </c>
      <c r="B370" t="s">
        <v>19</v>
      </c>
      <c r="C370">
        <v>635</v>
      </c>
      <c r="D370">
        <v>1</v>
      </c>
      <c r="E370" t="s">
        <v>28</v>
      </c>
      <c r="F370" t="s">
        <v>29</v>
      </c>
      <c r="G370" t="str">
        <f>"2026-02-15 17:37:32.082"</f>
        <v>2026-02-15 17:37:32.082</v>
      </c>
      <c r="H370" t="s">
        <v>22</v>
      </c>
    </row>
    <row r="371" spans="1:10" x14ac:dyDescent="0.25">
      <c r="A371" s="1">
        <v>68</v>
      </c>
      <c r="B371" t="s">
        <v>23</v>
      </c>
      <c r="C371">
        <v>635</v>
      </c>
      <c r="D371">
        <v>1</v>
      </c>
      <c r="E371" t="s">
        <v>28</v>
      </c>
      <c r="F371" t="s">
        <v>29</v>
      </c>
      <c r="G371" t="str">
        <f>"2026-02-15 17:34:31.582"</f>
        <v>2026-02-15 17:34:31.582</v>
      </c>
      <c r="H371" t="s">
        <v>22</v>
      </c>
      <c r="I371">
        <v>1.89</v>
      </c>
      <c r="J371" t="s">
        <v>30</v>
      </c>
    </row>
    <row r="372" spans="1:10" x14ac:dyDescent="0.25">
      <c r="A372" s="1">
        <v>69</v>
      </c>
      <c r="B372" t="s">
        <v>25</v>
      </c>
      <c r="C372">
        <v>700</v>
      </c>
      <c r="D372">
        <v>0</v>
      </c>
      <c r="E372" t="s">
        <v>26</v>
      </c>
      <c r="F372" t="s">
        <v>26</v>
      </c>
      <c r="G372" t="str">
        <f>"2026-02-15 13:28:24.832"</f>
        <v>2026-02-15 13:28:24.832</v>
      </c>
      <c r="H372" t="s">
        <v>22</v>
      </c>
    </row>
    <row r="373" spans="1:10" x14ac:dyDescent="0.25">
      <c r="A373" s="1">
        <v>70</v>
      </c>
      <c r="B373" t="s">
        <v>19</v>
      </c>
      <c r="C373">
        <v>635</v>
      </c>
      <c r="D373">
        <v>1</v>
      </c>
      <c r="E373" t="s">
        <v>28</v>
      </c>
      <c r="F373" t="s">
        <v>29</v>
      </c>
      <c r="G373" t="str">
        <f>"2026-02-15 00:33:36.858"</f>
        <v>2026-02-15 00:33:36.858</v>
      </c>
      <c r="H373" t="s">
        <v>22</v>
      </c>
    </row>
    <row r="374" spans="1:10" x14ac:dyDescent="0.25">
      <c r="A374" s="1">
        <v>71</v>
      </c>
      <c r="B374" t="s">
        <v>23</v>
      </c>
      <c r="C374">
        <v>635</v>
      </c>
      <c r="D374">
        <v>1</v>
      </c>
      <c r="E374" t="s">
        <v>28</v>
      </c>
      <c r="F374" t="s">
        <v>29</v>
      </c>
      <c r="G374" t="str">
        <f>"2026-02-15 00:28:39.858"</f>
        <v>2026-02-15 00:28:39.858</v>
      </c>
      <c r="H374" t="s">
        <v>22</v>
      </c>
      <c r="I374">
        <v>4.8</v>
      </c>
      <c r="J374" t="s">
        <v>30</v>
      </c>
    </row>
    <row r="375" spans="1:10" x14ac:dyDescent="0.25">
      <c r="A375" s="1">
        <v>72</v>
      </c>
      <c r="B375" t="s">
        <v>25</v>
      </c>
      <c r="C375">
        <v>700</v>
      </c>
      <c r="D375">
        <v>0</v>
      </c>
      <c r="E375" t="s">
        <v>26</v>
      </c>
      <c r="F375" t="s">
        <v>26</v>
      </c>
      <c r="G375" t="str">
        <f>"2026-02-14 07:54:26.806"</f>
        <v>2026-02-14 07:54:26.806</v>
      </c>
      <c r="H375" t="s">
        <v>22</v>
      </c>
      <c r="I375">
        <v>0</v>
      </c>
      <c r="J375" t="s">
        <v>27</v>
      </c>
    </row>
    <row r="376" spans="1:10" s="3" customFormat="1" x14ac:dyDescent="0.25">
      <c r="A376" s="2">
        <v>73</v>
      </c>
      <c r="B376" s="3" t="s">
        <v>19</v>
      </c>
      <c r="C376" s="3">
        <v>647</v>
      </c>
      <c r="D376" s="3">
        <v>1</v>
      </c>
      <c r="E376" s="3" t="s">
        <v>49</v>
      </c>
      <c r="F376" s="3" t="s">
        <v>50</v>
      </c>
      <c r="G376" s="3" t="str">
        <f>"2026-02-14 04:53:08.834"</f>
        <v>2026-02-14 04:53:08.834</v>
      </c>
      <c r="H376" s="3" t="s">
        <v>22</v>
      </c>
    </row>
    <row r="377" spans="1:10" s="3" customFormat="1" x14ac:dyDescent="0.25">
      <c r="A377" s="2">
        <v>74</v>
      </c>
      <c r="B377" s="3" t="s">
        <v>23</v>
      </c>
      <c r="C377" s="3">
        <v>647</v>
      </c>
      <c r="D377" s="3">
        <v>1</v>
      </c>
      <c r="E377" s="3" t="s">
        <v>49</v>
      </c>
      <c r="F377" s="3" t="s">
        <v>50</v>
      </c>
      <c r="G377" s="3" t="str">
        <f>"2026-02-14 04:53:05.334"</f>
        <v>2026-02-14 04:53:05.334</v>
      </c>
      <c r="H377" s="3" t="s">
        <v>22</v>
      </c>
      <c r="I377" s="3">
        <v>11.59</v>
      </c>
      <c r="J377" s="3" t="s">
        <v>31</v>
      </c>
    </row>
    <row r="378" spans="1:10" x14ac:dyDescent="0.25">
      <c r="A378" s="1">
        <v>75</v>
      </c>
      <c r="B378" t="s">
        <v>19</v>
      </c>
      <c r="C378">
        <v>635</v>
      </c>
      <c r="D378">
        <v>1</v>
      </c>
      <c r="E378" t="s">
        <v>28</v>
      </c>
      <c r="F378" t="s">
        <v>29</v>
      </c>
      <c r="G378" t="str">
        <f>"2026-02-12 15:28:06.733"</f>
        <v>2026-02-12 15:28:06.733</v>
      </c>
      <c r="H378" t="s">
        <v>22</v>
      </c>
    </row>
    <row r="379" spans="1:10" x14ac:dyDescent="0.25">
      <c r="A379" s="1">
        <v>76</v>
      </c>
      <c r="B379" t="s">
        <v>23</v>
      </c>
      <c r="C379">
        <v>635</v>
      </c>
      <c r="D379">
        <v>1</v>
      </c>
      <c r="E379" t="s">
        <v>28</v>
      </c>
      <c r="F379" t="s">
        <v>29</v>
      </c>
      <c r="G379" t="str">
        <f>"2026-02-12 15:24:58.233"</f>
        <v>2026-02-12 15:24:58.233</v>
      </c>
      <c r="H379" t="s">
        <v>22</v>
      </c>
      <c r="I379">
        <v>-0.24</v>
      </c>
      <c r="J379" t="s">
        <v>48</v>
      </c>
    </row>
    <row r="380" spans="1:10" x14ac:dyDescent="0.25">
      <c r="A380" s="1">
        <v>77</v>
      </c>
      <c r="B380" t="s">
        <v>25</v>
      </c>
      <c r="C380">
        <v>700</v>
      </c>
      <c r="D380">
        <v>0</v>
      </c>
      <c r="E380" t="s">
        <v>26</v>
      </c>
      <c r="F380" t="s">
        <v>26</v>
      </c>
      <c r="G380" t="str">
        <f>"2026-02-12 13:15:15.819"</f>
        <v>2026-02-12 13:15:15.819</v>
      </c>
      <c r="H380" t="s">
        <v>22</v>
      </c>
    </row>
    <row r="381" spans="1:10" s="3" customFormat="1" x14ac:dyDescent="0.25">
      <c r="A381" s="2">
        <v>78</v>
      </c>
      <c r="B381" s="3" t="s">
        <v>19</v>
      </c>
      <c r="C381" s="3">
        <v>647</v>
      </c>
      <c r="D381" s="3">
        <v>1</v>
      </c>
      <c r="E381" s="3" t="s">
        <v>49</v>
      </c>
      <c r="F381" s="3" t="s">
        <v>50</v>
      </c>
      <c r="G381" s="3" t="str">
        <f>"2026-02-12 04:12:55.921"</f>
        <v>2026-02-12 04:12:55.921</v>
      </c>
      <c r="H381" s="3" t="s">
        <v>22</v>
      </c>
    </row>
    <row r="382" spans="1:10" s="3" customFormat="1" x14ac:dyDescent="0.25">
      <c r="A382" s="2">
        <v>79</v>
      </c>
      <c r="B382" s="3" t="s">
        <v>23</v>
      </c>
      <c r="C382" s="3">
        <v>647</v>
      </c>
      <c r="D382" s="3">
        <v>1</v>
      </c>
      <c r="E382" s="3" t="s">
        <v>49</v>
      </c>
      <c r="F382" s="3" t="s">
        <v>50</v>
      </c>
      <c r="G382" s="3" t="str">
        <f>"2026-02-12 04:12:53.821"</f>
        <v>2026-02-12 04:12:53.821</v>
      </c>
      <c r="H382" s="3" t="s">
        <v>22</v>
      </c>
      <c r="I382" s="3">
        <v>12.51</v>
      </c>
      <c r="J382" s="3" t="s">
        <v>31</v>
      </c>
    </row>
    <row r="383" spans="1:10" x14ac:dyDescent="0.25">
      <c r="A383" s="1">
        <v>80</v>
      </c>
      <c r="B383" t="s">
        <v>25</v>
      </c>
      <c r="C383">
        <v>700</v>
      </c>
      <c r="D383">
        <v>0</v>
      </c>
      <c r="E383" t="s">
        <v>26</v>
      </c>
      <c r="F383" t="s">
        <v>26</v>
      </c>
      <c r="G383" t="str">
        <f>"2026-02-11 11:38:48.822"</f>
        <v>2026-02-11 11:38:48.822</v>
      </c>
      <c r="H383" t="s">
        <v>22</v>
      </c>
      <c r="I383">
        <v>0</v>
      </c>
      <c r="J383" t="s">
        <v>27</v>
      </c>
    </row>
    <row r="384" spans="1:10" s="3" customFormat="1" x14ac:dyDescent="0.25">
      <c r="A384" s="2">
        <v>81</v>
      </c>
      <c r="B384" s="3" t="s">
        <v>19</v>
      </c>
      <c r="C384" s="3">
        <v>647</v>
      </c>
      <c r="D384" s="3">
        <v>1</v>
      </c>
      <c r="E384" s="3" t="s">
        <v>49</v>
      </c>
      <c r="F384" s="3" t="s">
        <v>50</v>
      </c>
      <c r="G384" s="3" t="str">
        <f>"2026-02-11 02:53:10.611"</f>
        <v>2026-02-11 02:53:10.611</v>
      </c>
      <c r="H384" s="3" t="s">
        <v>22</v>
      </c>
    </row>
    <row r="385" spans="1:10" s="3" customFormat="1" x14ac:dyDescent="0.25">
      <c r="A385" s="2">
        <v>82</v>
      </c>
      <c r="B385" s="3" t="s">
        <v>23</v>
      </c>
      <c r="C385" s="3">
        <v>647</v>
      </c>
      <c r="D385" s="3">
        <v>1</v>
      </c>
      <c r="E385" s="3" t="s">
        <v>49</v>
      </c>
      <c r="F385" s="3" t="s">
        <v>50</v>
      </c>
      <c r="G385" s="3" t="str">
        <f>"2026-02-11 02:53:08.311"</f>
        <v>2026-02-11 02:53:08.311</v>
      </c>
      <c r="H385" s="3" t="s">
        <v>22</v>
      </c>
      <c r="I385" s="3">
        <v>10.6</v>
      </c>
      <c r="J385" s="3" t="s">
        <v>31</v>
      </c>
    </row>
    <row r="386" spans="1:10" s="3" customFormat="1" x14ac:dyDescent="0.25">
      <c r="A386" s="2">
        <v>83</v>
      </c>
      <c r="B386" s="3" t="s">
        <v>19</v>
      </c>
      <c r="C386" s="3">
        <v>647</v>
      </c>
      <c r="D386" s="3">
        <v>1</v>
      </c>
      <c r="E386" s="3" t="s">
        <v>49</v>
      </c>
      <c r="F386" s="3" t="s">
        <v>50</v>
      </c>
      <c r="G386" s="3" t="str">
        <f>"2026-02-11 02:53:04.811"</f>
        <v>2026-02-11 02:53:04.811</v>
      </c>
      <c r="H386" s="3" t="s">
        <v>22</v>
      </c>
    </row>
    <row r="387" spans="1:10" s="3" customFormat="1" x14ac:dyDescent="0.25">
      <c r="A387" s="2">
        <v>84</v>
      </c>
      <c r="B387" s="3" t="s">
        <v>23</v>
      </c>
      <c r="C387" s="3">
        <v>647</v>
      </c>
      <c r="D387" s="3">
        <v>1</v>
      </c>
      <c r="E387" s="3" t="s">
        <v>49</v>
      </c>
      <c r="F387" s="3" t="s">
        <v>50</v>
      </c>
      <c r="G387" s="3" t="str">
        <f>"2026-02-11 02:52:59.311"</f>
        <v>2026-02-11 02:52:59.311</v>
      </c>
      <c r="H387" s="3" t="s">
        <v>22</v>
      </c>
      <c r="I387" s="3">
        <v>12.3</v>
      </c>
      <c r="J387" s="3" t="s">
        <v>31</v>
      </c>
    </row>
    <row r="388" spans="1:10" x14ac:dyDescent="0.25">
      <c r="A388" s="1">
        <v>85</v>
      </c>
      <c r="B388" t="s">
        <v>25</v>
      </c>
      <c r="C388">
        <v>700</v>
      </c>
      <c r="D388">
        <v>0</v>
      </c>
      <c r="E388" t="s">
        <v>26</v>
      </c>
      <c r="F388" t="s">
        <v>26</v>
      </c>
      <c r="G388" t="str">
        <f>"2026-02-10 09:33:49.809"</f>
        <v>2026-02-10 09:33:49.809</v>
      </c>
      <c r="H388" t="s">
        <v>22</v>
      </c>
      <c r="I388">
        <v>0</v>
      </c>
      <c r="J388" t="s">
        <v>27</v>
      </c>
    </row>
    <row r="389" spans="1:10" s="3" customFormat="1" x14ac:dyDescent="0.25">
      <c r="A389" s="2">
        <v>86</v>
      </c>
      <c r="B389" s="3" t="s">
        <v>19</v>
      </c>
      <c r="C389" s="3">
        <v>647</v>
      </c>
      <c r="D389" s="3">
        <v>1</v>
      </c>
      <c r="E389" s="3" t="s">
        <v>49</v>
      </c>
      <c r="F389" s="3" t="s">
        <v>50</v>
      </c>
      <c r="G389" s="3" t="str">
        <f>"2026-02-10 06:30:26.106"</f>
        <v>2026-02-10 06:30:26.106</v>
      </c>
      <c r="H389" s="3" t="s">
        <v>22</v>
      </c>
    </row>
    <row r="390" spans="1:10" s="3" customFormat="1" x14ac:dyDescent="0.25">
      <c r="A390" s="2">
        <v>87</v>
      </c>
      <c r="B390" s="3" t="s">
        <v>23</v>
      </c>
      <c r="C390" s="3">
        <v>647</v>
      </c>
      <c r="D390" s="3">
        <v>1</v>
      </c>
      <c r="E390" s="3" t="s">
        <v>49</v>
      </c>
      <c r="F390" s="3" t="s">
        <v>50</v>
      </c>
      <c r="G390" s="3" t="str">
        <f>"2026-02-10 06:30:24.806"</f>
        <v>2026-02-10 06:30:24.806</v>
      </c>
      <c r="H390" s="3" t="s">
        <v>22</v>
      </c>
      <c r="I390" s="3">
        <v>13.8</v>
      </c>
      <c r="J390" s="3" t="s">
        <v>31</v>
      </c>
    </row>
    <row r="391" spans="1:10" x14ac:dyDescent="0.25">
      <c r="A391" s="1">
        <v>88</v>
      </c>
      <c r="B391" t="s">
        <v>19</v>
      </c>
      <c r="C391">
        <v>635</v>
      </c>
      <c r="D391">
        <v>1</v>
      </c>
      <c r="E391" t="s">
        <v>28</v>
      </c>
      <c r="F391" t="s">
        <v>29</v>
      </c>
      <c r="G391" t="str">
        <f>"2026-02-09 19:02:35.505"</f>
        <v>2026-02-09 19:02:35.505</v>
      </c>
      <c r="H391" t="s">
        <v>22</v>
      </c>
    </row>
    <row r="392" spans="1:10" x14ac:dyDescent="0.25">
      <c r="A392" s="1">
        <v>89</v>
      </c>
      <c r="B392" t="s">
        <v>23</v>
      </c>
      <c r="C392">
        <v>635</v>
      </c>
      <c r="D392">
        <v>1</v>
      </c>
      <c r="E392" t="s">
        <v>28</v>
      </c>
      <c r="F392" t="s">
        <v>29</v>
      </c>
      <c r="G392" t="str">
        <f>"2026-02-09 18:56:49.505"</f>
        <v>2026-02-09 18:56:49.505</v>
      </c>
      <c r="H392" t="s">
        <v>22</v>
      </c>
      <c r="I392">
        <v>4.71</v>
      </c>
      <c r="J392" t="s">
        <v>48</v>
      </c>
    </row>
    <row r="393" spans="1:10" s="3" customFormat="1" x14ac:dyDescent="0.25">
      <c r="A393" s="2">
        <v>90</v>
      </c>
      <c r="B393" s="3" t="s">
        <v>19</v>
      </c>
      <c r="C393" s="3">
        <v>647</v>
      </c>
      <c r="D393" s="3">
        <v>1</v>
      </c>
      <c r="E393" s="3" t="s">
        <v>49</v>
      </c>
      <c r="F393" s="3" t="s">
        <v>50</v>
      </c>
      <c r="G393" s="3" t="str">
        <f>"2026-02-08 23:35:34.706"</f>
        <v>2026-02-08 23:35:34.706</v>
      </c>
      <c r="H393" s="3" t="s">
        <v>22</v>
      </c>
    </row>
    <row r="394" spans="1:10" s="3" customFormat="1" x14ac:dyDescent="0.25">
      <c r="A394" s="2">
        <v>91</v>
      </c>
      <c r="B394" s="3" t="s">
        <v>23</v>
      </c>
      <c r="C394" s="3">
        <v>647</v>
      </c>
      <c r="D394" s="3">
        <v>1</v>
      </c>
      <c r="E394" s="3" t="s">
        <v>49</v>
      </c>
      <c r="F394" s="3" t="s">
        <v>50</v>
      </c>
      <c r="G394" s="3" t="str">
        <f>"2026-02-08 23:35:29.706"</f>
        <v>2026-02-08 23:35:29.706</v>
      </c>
      <c r="H394" s="3" t="s">
        <v>22</v>
      </c>
      <c r="I394" s="3">
        <v>8.31</v>
      </c>
      <c r="J394" s="3" t="s">
        <v>31</v>
      </c>
    </row>
    <row r="395" spans="1:10" x14ac:dyDescent="0.25">
      <c r="A395" s="1">
        <v>92</v>
      </c>
      <c r="B395" t="s">
        <v>42</v>
      </c>
      <c r="C395">
        <v>135</v>
      </c>
      <c r="D395">
        <v>7</v>
      </c>
      <c r="E395" t="s">
        <v>56</v>
      </c>
      <c r="F395" t="s">
        <v>57</v>
      </c>
      <c r="G395" t="str">
        <f>"2026-02-08 07:14:30.585"</f>
        <v>2026-02-08 07:14:30.585</v>
      </c>
      <c r="H395" t="s">
        <v>58</v>
      </c>
    </row>
    <row r="396" spans="1:10" x14ac:dyDescent="0.25">
      <c r="A396" s="1">
        <v>93</v>
      </c>
      <c r="B396" t="s">
        <v>37</v>
      </c>
      <c r="C396">
        <v>135</v>
      </c>
      <c r="D396">
        <v>7</v>
      </c>
      <c r="E396" t="s">
        <v>56</v>
      </c>
      <c r="F396" t="s">
        <v>57</v>
      </c>
      <c r="G396" t="str">
        <f>"2026-02-08 07:14:25.548"</f>
        <v>2026-02-08 07:14:25.548</v>
      </c>
      <c r="H396" t="s">
        <v>58</v>
      </c>
      <c r="I396">
        <v>32.630000000000003</v>
      </c>
      <c r="J396" t="s">
        <v>31</v>
      </c>
    </row>
    <row r="397" spans="1:10" x14ac:dyDescent="0.25">
      <c r="A397" s="1">
        <v>94</v>
      </c>
      <c r="B397" t="s">
        <v>25</v>
      </c>
      <c r="C397">
        <v>700</v>
      </c>
      <c r="D397">
        <v>0</v>
      </c>
      <c r="E397" t="s">
        <v>26</v>
      </c>
      <c r="F397" t="s">
        <v>26</v>
      </c>
      <c r="G397" t="str">
        <f>"2026-02-07 10:06:09.790"</f>
        <v>2026-02-07 10:06:09.790</v>
      </c>
      <c r="H397" t="s">
        <v>22</v>
      </c>
    </row>
    <row r="398" spans="1:10" x14ac:dyDescent="0.25">
      <c r="A398" s="1">
        <v>95</v>
      </c>
      <c r="B398" t="s">
        <v>19</v>
      </c>
      <c r="C398">
        <v>630</v>
      </c>
      <c r="D398">
        <v>5</v>
      </c>
      <c r="E398" t="s">
        <v>32</v>
      </c>
      <c r="F398" t="s">
        <v>33</v>
      </c>
      <c r="G398" t="str">
        <f>"2026-02-07 09:33:11.641"</f>
        <v>2026-02-07 09:33:11.641</v>
      </c>
      <c r="H398" t="s">
        <v>34</v>
      </c>
    </row>
    <row r="399" spans="1:10" x14ac:dyDescent="0.25">
      <c r="A399" s="1">
        <v>96</v>
      </c>
      <c r="B399" t="s">
        <v>25</v>
      </c>
      <c r="C399">
        <v>706</v>
      </c>
      <c r="D399">
        <v>4</v>
      </c>
      <c r="E399" t="s">
        <v>35</v>
      </c>
      <c r="F399" t="s">
        <v>36</v>
      </c>
      <c r="G399" t="str">
        <f>"2026-02-07 09:32:41.585"</f>
        <v>2026-02-07 09:32:41.585</v>
      </c>
      <c r="H399" t="s">
        <v>22</v>
      </c>
      <c r="I399">
        <v>0</v>
      </c>
      <c r="J399" t="s">
        <v>24</v>
      </c>
    </row>
    <row r="400" spans="1:10" x14ac:dyDescent="0.25">
      <c r="A400" s="1">
        <v>97</v>
      </c>
      <c r="B400" t="s">
        <v>37</v>
      </c>
      <c r="C400">
        <v>630</v>
      </c>
      <c r="D400">
        <v>5</v>
      </c>
      <c r="E400" t="s">
        <v>32</v>
      </c>
      <c r="F400" t="s">
        <v>33</v>
      </c>
      <c r="G400" t="str">
        <f>"2026-02-07 08:55:24.641"</f>
        <v>2026-02-07 08:55:24.641</v>
      </c>
      <c r="H400" t="s">
        <v>34</v>
      </c>
      <c r="I400">
        <v>0</v>
      </c>
      <c r="J400" t="s">
        <v>24</v>
      </c>
    </row>
    <row r="401" spans="1:10" x14ac:dyDescent="0.25">
      <c r="A401" s="1">
        <v>98</v>
      </c>
      <c r="B401" t="s">
        <v>25</v>
      </c>
      <c r="C401">
        <v>700</v>
      </c>
      <c r="D401">
        <v>0</v>
      </c>
      <c r="E401" t="s">
        <v>26</v>
      </c>
      <c r="F401" t="s">
        <v>26</v>
      </c>
      <c r="G401" t="str">
        <f>"2026-02-07 08:50:21.785"</f>
        <v>2026-02-07 08:50:21.785</v>
      </c>
      <c r="H401" t="s">
        <v>22</v>
      </c>
    </row>
    <row r="402" spans="1:10" x14ac:dyDescent="0.25">
      <c r="A402" s="1">
        <v>99</v>
      </c>
      <c r="B402" t="s">
        <v>25</v>
      </c>
      <c r="C402">
        <v>706</v>
      </c>
      <c r="D402">
        <v>4</v>
      </c>
      <c r="E402" t="s">
        <v>35</v>
      </c>
      <c r="F402" t="s">
        <v>36</v>
      </c>
      <c r="G402" t="str">
        <f>"2026-02-07 07:47:38.059"</f>
        <v>2026-02-07 07:47:38.059</v>
      </c>
      <c r="H402" t="s">
        <v>22</v>
      </c>
      <c r="I402">
        <v>0</v>
      </c>
      <c r="J402" t="s">
        <v>24</v>
      </c>
    </row>
    <row r="403" spans="1:10" x14ac:dyDescent="0.25">
      <c r="A403" s="1">
        <v>0</v>
      </c>
      <c r="B403" t="s">
        <v>25</v>
      </c>
      <c r="C403">
        <v>700</v>
      </c>
      <c r="D403">
        <v>0</v>
      </c>
      <c r="E403" t="s">
        <v>26</v>
      </c>
      <c r="F403" t="s">
        <v>26</v>
      </c>
      <c r="G403" t="str">
        <f>"2026-02-07 07:45:04.189"</f>
        <v>2026-02-07 07:45:04.189</v>
      </c>
      <c r="H403" t="s">
        <v>22</v>
      </c>
      <c r="I403">
        <v>0</v>
      </c>
      <c r="J403" t="s">
        <v>27</v>
      </c>
    </row>
    <row r="404" spans="1:10" x14ac:dyDescent="0.25">
      <c r="A404" s="1">
        <v>1</v>
      </c>
      <c r="B404" t="s">
        <v>25</v>
      </c>
      <c r="C404">
        <v>700</v>
      </c>
      <c r="D404">
        <v>0</v>
      </c>
      <c r="E404" t="s">
        <v>26</v>
      </c>
      <c r="F404" t="s">
        <v>26</v>
      </c>
      <c r="G404" t="str">
        <f>"2026-02-06 14:02:03.958"</f>
        <v>2026-02-06 14:02:03.958</v>
      </c>
      <c r="H404" t="s">
        <v>22</v>
      </c>
      <c r="I404">
        <v>0</v>
      </c>
      <c r="J404" t="s">
        <v>27</v>
      </c>
    </row>
    <row r="405" spans="1:10" s="3" customFormat="1" x14ac:dyDescent="0.25">
      <c r="A405" s="2">
        <v>2</v>
      </c>
      <c r="B405" s="3" t="s">
        <v>19</v>
      </c>
      <c r="C405" s="3">
        <v>647</v>
      </c>
      <c r="D405" s="3">
        <v>1</v>
      </c>
      <c r="E405" s="3" t="s">
        <v>49</v>
      </c>
      <c r="F405" s="3" t="s">
        <v>50</v>
      </c>
      <c r="G405" s="3" t="str">
        <f>"2026-02-05 22:08:56.111"</f>
        <v>2026-02-05 22:08:56.111</v>
      </c>
      <c r="H405" s="3" t="s">
        <v>22</v>
      </c>
    </row>
    <row r="406" spans="1:10" s="3" customFormat="1" x14ac:dyDescent="0.25">
      <c r="A406" s="2">
        <v>3</v>
      </c>
      <c r="B406" s="3" t="s">
        <v>23</v>
      </c>
      <c r="C406" s="3">
        <v>647</v>
      </c>
      <c r="D406" s="3">
        <v>1</v>
      </c>
      <c r="E406" s="3" t="s">
        <v>49</v>
      </c>
      <c r="F406" s="3" t="s">
        <v>50</v>
      </c>
      <c r="G406" s="3" t="str">
        <f>"2026-02-05 22:08:52.811"</f>
        <v>2026-02-05 22:08:52.811</v>
      </c>
      <c r="H406" s="3" t="s">
        <v>22</v>
      </c>
      <c r="I406" s="3">
        <v>8.51</v>
      </c>
      <c r="J406" s="3" t="s">
        <v>48</v>
      </c>
    </row>
    <row r="407" spans="1:10" x14ac:dyDescent="0.25">
      <c r="A407" s="1">
        <v>4</v>
      </c>
      <c r="B407" t="s">
        <v>25</v>
      </c>
      <c r="C407">
        <v>700</v>
      </c>
      <c r="D407">
        <v>0</v>
      </c>
      <c r="E407" t="s">
        <v>26</v>
      </c>
      <c r="F407" t="s">
        <v>26</v>
      </c>
      <c r="G407" t="str">
        <f>"2026-02-05 08:16:31.796"</f>
        <v>2026-02-05 08:16:31.796</v>
      </c>
      <c r="H407" t="s">
        <v>22</v>
      </c>
      <c r="I407">
        <v>0</v>
      </c>
      <c r="J407" t="s">
        <v>27</v>
      </c>
    </row>
    <row r="408" spans="1:10" s="3" customFormat="1" x14ac:dyDescent="0.25">
      <c r="A408" s="2">
        <v>5</v>
      </c>
      <c r="B408" s="3" t="s">
        <v>19</v>
      </c>
      <c r="C408" s="3">
        <v>647</v>
      </c>
      <c r="D408" s="3">
        <v>1</v>
      </c>
      <c r="E408" s="3" t="s">
        <v>49</v>
      </c>
      <c r="F408" s="3" t="s">
        <v>50</v>
      </c>
      <c r="G408" s="3" t="str">
        <f>"2026-02-04 23:13:23.291"</f>
        <v>2026-02-04 23:13:23.291</v>
      </c>
      <c r="H408" s="3" t="s">
        <v>22</v>
      </c>
    </row>
    <row r="409" spans="1:10" s="3" customFormat="1" x14ac:dyDescent="0.25">
      <c r="A409" s="2">
        <v>6</v>
      </c>
      <c r="B409" s="3" t="s">
        <v>23</v>
      </c>
      <c r="C409" s="3">
        <v>647</v>
      </c>
      <c r="D409" s="3">
        <v>1</v>
      </c>
      <c r="E409" s="3" t="s">
        <v>49</v>
      </c>
      <c r="F409" s="3" t="s">
        <v>50</v>
      </c>
      <c r="G409" s="3" t="str">
        <f>"2026-02-04 23:13:19.391"</f>
        <v>2026-02-04 23:13:19.391</v>
      </c>
      <c r="H409" s="3" t="s">
        <v>22</v>
      </c>
      <c r="I409" s="3">
        <v>13.46</v>
      </c>
      <c r="J409" s="3" t="s">
        <v>31</v>
      </c>
    </row>
    <row r="410" spans="1:10" x14ac:dyDescent="0.25">
      <c r="A410" s="1">
        <v>7</v>
      </c>
      <c r="B410" t="s">
        <v>25</v>
      </c>
      <c r="C410">
        <v>700</v>
      </c>
      <c r="D410">
        <v>0</v>
      </c>
      <c r="E410" t="s">
        <v>26</v>
      </c>
      <c r="F410" t="s">
        <v>26</v>
      </c>
      <c r="G410" t="str">
        <f>"2026-02-04 13:11:43.766"</f>
        <v>2026-02-04 13:11:43.766</v>
      </c>
      <c r="H410" t="s">
        <v>22</v>
      </c>
    </row>
    <row r="411" spans="1:10" x14ac:dyDescent="0.25">
      <c r="A411" s="1">
        <v>8</v>
      </c>
      <c r="B411" t="s">
        <v>25</v>
      </c>
      <c r="C411">
        <v>706</v>
      </c>
      <c r="D411">
        <v>4</v>
      </c>
      <c r="E411" t="s">
        <v>35</v>
      </c>
      <c r="F411" t="s">
        <v>36</v>
      </c>
      <c r="G411" t="str">
        <f>"2026-02-04 10:57:27.055"</f>
        <v>2026-02-04 10:57:27.055</v>
      </c>
      <c r="H411" t="s">
        <v>22</v>
      </c>
      <c r="I411">
        <v>0</v>
      </c>
      <c r="J411" t="s">
        <v>24</v>
      </c>
    </row>
    <row r="412" spans="1:10" x14ac:dyDescent="0.25">
      <c r="A412" s="1">
        <v>9</v>
      </c>
      <c r="B412" t="s">
        <v>25</v>
      </c>
      <c r="C412">
        <v>700</v>
      </c>
      <c r="D412">
        <v>0</v>
      </c>
      <c r="E412" t="s">
        <v>26</v>
      </c>
      <c r="F412" t="s">
        <v>26</v>
      </c>
      <c r="G412" t="str">
        <f>"2026-02-04 10:55:22.915"</f>
        <v>2026-02-04 10:55:22.915</v>
      </c>
      <c r="H412" t="s">
        <v>22</v>
      </c>
      <c r="I412">
        <v>0</v>
      </c>
      <c r="J412" t="s">
        <v>27</v>
      </c>
    </row>
    <row r="413" spans="1:10" x14ac:dyDescent="0.25">
      <c r="A413" s="1">
        <v>10</v>
      </c>
      <c r="B413" t="s">
        <v>19</v>
      </c>
      <c r="C413">
        <v>635</v>
      </c>
      <c r="D413">
        <v>1</v>
      </c>
      <c r="E413" t="s">
        <v>28</v>
      </c>
      <c r="F413" t="s">
        <v>29</v>
      </c>
      <c r="G413" t="str">
        <f>"2026-02-04 09:49:46.297"</f>
        <v>2026-02-04 09:49:46.297</v>
      </c>
      <c r="H413" t="s">
        <v>22</v>
      </c>
    </row>
    <row r="414" spans="1:10" x14ac:dyDescent="0.25">
      <c r="A414" s="1">
        <v>11</v>
      </c>
      <c r="B414" t="s">
        <v>23</v>
      </c>
      <c r="C414">
        <v>635</v>
      </c>
      <c r="D414">
        <v>1</v>
      </c>
      <c r="E414" t="s">
        <v>28</v>
      </c>
      <c r="F414" t="s">
        <v>29</v>
      </c>
      <c r="G414" t="str">
        <f>"2026-02-04 09:46:31.797"</f>
        <v>2026-02-04 09:46:31.797</v>
      </c>
      <c r="H414" t="s">
        <v>22</v>
      </c>
      <c r="I414">
        <v>3.55</v>
      </c>
      <c r="J414" t="s">
        <v>30</v>
      </c>
    </row>
    <row r="415" spans="1:10" x14ac:dyDescent="0.25">
      <c r="A415" s="1">
        <v>12</v>
      </c>
      <c r="B415" t="s">
        <v>25</v>
      </c>
      <c r="C415">
        <v>700</v>
      </c>
      <c r="D415">
        <v>0</v>
      </c>
      <c r="E415" t="s">
        <v>26</v>
      </c>
      <c r="F415" t="s">
        <v>26</v>
      </c>
      <c r="G415" t="str">
        <f>"2026-02-04 07:59:18.828"</f>
        <v>2026-02-04 07:59:18.828</v>
      </c>
      <c r="H415" t="s">
        <v>22</v>
      </c>
      <c r="I415">
        <v>0</v>
      </c>
      <c r="J415" t="s">
        <v>27</v>
      </c>
    </row>
    <row r="416" spans="1:10" s="3" customFormat="1" x14ac:dyDescent="0.25">
      <c r="A416" s="2">
        <v>13</v>
      </c>
      <c r="B416" s="3" t="s">
        <v>19</v>
      </c>
      <c r="C416" s="3">
        <v>647</v>
      </c>
      <c r="D416" s="3">
        <v>1</v>
      </c>
      <c r="E416" s="3" t="s">
        <v>49</v>
      </c>
      <c r="F416" s="3" t="s">
        <v>50</v>
      </c>
      <c r="G416" s="3" t="str">
        <f>"2026-02-04 06:08:24.318"</f>
        <v>2026-02-04 06:08:24.318</v>
      </c>
      <c r="H416" s="3" t="s">
        <v>22</v>
      </c>
    </row>
    <row r="417" spans="1:10" s="3" customFormat="1" x14ac:dyDescent="0.25">
      <c r="A417" s="2">
        <v>14</v>
      </c>
      <c r="B417" s="3" t="s">
        <v>23</v>
      </c>
      <c r="C417" s="3">
        <v>647</v>
      </c>
      <c r="D417" s="3">
        <v>1</v>
      </c>
      <c r="E417" s="3" t="s">
        <v>49</v>
      </c>
      <c r="F417" s="3" t="s">
        <v>50</v>
      </c>
      <c r="G417" s="3" t="str">
        <f>"2026-02-04 06:08:22.618"</f>
        <v>2026-02-04 06:08:22.618</v>
      </c>
      <c r="H417" s="3" t="s">
        <v>22</v>
      </c>
      <c r="I417" s="3">
        <v>19.73</v>
      </c>
      <c r="J417" s="3" t="s">
        <v>31</v>
      </c>
    </row>
    <row r="418" spans="1:10" s="3" customFormat="1" x14ac:dyDescent="0.25">
      <c r="A418" s="2">
        <v>15</v>
      </c>
      <c r="B418" s="3" t="s">
        <v>19</v>
      </c>
      <c r="C418" s="3">
        <v>647</v>
      </c>
      <c r="D418" s="3">
        <v>1</v>
      </c>
      <c r="E418" s="3" t="s">
        <v>49</v>
      </c>
      <c r="F418" s="3" t="s">
        <v>50</v>
      </c>
      <c r="G418" s="3" t="str">
        <f>"2026-02-03 06:25:17.218"</f>
        <v>2026-02-03 06:25:17.218</v>
      </c>
      <c r="H418" s="3" t="s">
        <v>22</v>
      </c>
    </row>
    <row r="419" spans="1:10" s="3" customFormat="1" x14ac:dyDescent="0.25">
      <c r="A419" s="2">
        <v>16</v>
      </c>
      <c r="B419" s="3" t="s">
        <v>23</v>
      </c>
      <c r="C419" s="3">
        <v>647</v>
      </c>
      <c r="D419" s="3">
        <v>1</v>
      </c>
      <c r="E419" s="3" t="s">
        <v>49</v>
      </c>
      <c r="F419" s="3" t="s">
        <v>50</v>
      </c>
      <c r="G419" s="3" t="str">
        <f>"2026-02-03 06:25:13.918"</f>
        <v>2026-02-03 06:25:13.918</v>
      </c>
      <c r="H419" s="3" t="s">
        <v>22</v>
      </c>
      <c r="I419" s="3">
        <v>13.83</v>
      </c>
      <c r="J419" s="3" t="s">
        <v>31</v>
      </c>
    </row>
    <row r="420" spans="1:10" x14ac:dyDescent="0.25">
      <c r="A420" s="1">
        <v>17</v>
      </c>
      <c r="B420" t="s">
        <v>19</v>
      </c>
      <c r="C420">
        <v>630</v>
      </c>
      <c r="D420">
        <v>5</v>
      </c>
      <c r="E420" t="s">
        <v>32</v>
      </c>
      <c r="F420" t="s">
        <v>33</v>
      </c>
      <c r="G420" t="str">
        <f>"2026-02-02 09:54:12.718"</f>
        <v>2026-02-02 09:54:12.718</v>
      </c>
      <c r="H420" t="s">
        <v>34</v>
      </c>
    </row>
    <row r="421" spans="1:10" x14ac:dyDescent="0.25">
      <c r="A421" s="1">
        <v>18</v>
      </c>
      <c r="B421" t="s">
        <v>25</v>
      </c>
      <c r="C421">
        <v>706</v>
      </c>
      <c r="D421">
        <v>4</v>
      </c>
      <c r="E421" t="s">
        <v>35</v>
      </c>
      <c r="F421" t="s">
        <v>36</v>
      </c>
      <c r="G421" t="str">
        <f>"2026-02-02 09:53:42.644"</f>
        <v>2026-02-02 09:53:42.644</v>
      </c>
      <c r="H421" t="s">
        <v>22</v>
      </c>
      <c r="I421">
        <v>0</v>
      </c>
      <c r="J421" t="s">
        <v>24</v>
      </c>
    </row>
    <row r="422" spans="1:10" x14ac:dyDescent="0.25">
      <c r="A422" s="1">
        <v>19</v>
      </c>
      <c r="B422" t="s">
        <v>37</v>
      </c>
      <c r="C422">
        <v>630</v>
      </c>
      <c r="D422">
        <v>5</v>
      </c>
      <c r="E422" t="s">
        <v>32</v>
      </c>
      <c r="F422" t="s">
        <v>33</v>
      </c>
      <c r="G422" t="str">
        <f>"2026-02-02 09:52:42.618"</f>
        <v>2026-02-02 09:52:42.618</v>
      </c>
      <c r="H422" t="s">
        <v>34</v>
      </c>
      <c r="I422">
        <v>0</v>
      </c>
      <c r="J422" t="s">
        <v>24</v>
      </c>
    </row>
    <row r="423" spans="1:10" x14ac:dyDescent="0.25">
      <c r="A423" s="1">
        <v>20</v>
      </c>
      <c r="B423" t="s">
        <v>25</v>
      </c>
      <c r="C423">
        <v>700</v>
      </c>
      <c r="D423">
        <v>0</v>
      </c>
      <c r="E423" t="s">
        <v>26</v>
      </c>
      <c r="F423" t="s">
        <v>26</v>
      </c>
      <c r="G423" t="str">
        <f>"2026-02-02 09:47:39.804"</f>
        <v>2026-02-02 09:47:39.804</v>
      </c>
      <c r="H423" t="s">
        <v>22</v>
      </c>
      <c r="I423">
        <v>0</v>
      </c>
      <c r="J423" t="s">
        <v>27</v>
      </c>
    </row>
    <row r="424" spans="1:10" x14ac:dyDescent="0.25">
      <c r="A424" s="1">
        <v>21</v>
      </c>
      <c r="B424" t="s">
        <v>25</v>
      </c>
      <c r="C424">
        <v>700</v>
      </c>
      <c r="D424">
        <v>0</v>
      </c>
      <c r="E424" t="s">
        <v>26</v>
      </c>
      <c r="F424" t="s">
        <v>26</v>
      </c>
      <c r="G424" t="str">
        <f>"2026-02-02 09:38:08.782"</f>
        <v>2026-02-02 09:38:08.782</v>
      </c>
      <c r="H424" t="s">
        <v>22</v>
      </c>
      <c r="I424">
        <v>0</v>
      </c>
      <c r="J424" t="s">
        <v>27</v>
      </c>
    </row>
    <row r="425" spans="1:10" x14ac:dyDescent="0.25">
      <c r="A425" s="1">
        <v>22</v>
      </c>
      <c r="B425" t="s">
        <v>25</v>
      </c>
      <c r="C425">
        <v>706</v>
      </c>
      <c r="D425">
        <v>2</v>
      </c>
      <c r="E425" t="s">
        <v>35</v>
      </c>
      <c r="F425" t="s">
        <v>38</v>
      </c>
      <c r="G425" t="str">
        <f>"2026-02-02 09:04:56.681"</f>
        <v>2026-02-02 09:04:56.681</v>
      </c>
      <c r="H425" t="s">
        <v>22</v>
      </c>
      <c r="I425">
        <v>0</v>
      </c>
      <c r="J425" t="s">
        <v>24</v>
      </c>
    </row>
    <row r="426" spans="1:10" x14ac:dyDescent="0.25">
      <c r="A426" s="1">
        <v>23</v>
      </c>
      <c r="B426" t="s">
        <v>25</v>
      </c>
      <c r="C426">
        <v>700</v>
      </c>
      <c r="D426">
        <v>0</v>
      </c>
      <c r="E426" t="s">
        <v>26</v>
      </c>
      <c r="F426" t="s">
        <v>26</v>
      </c>
      <c r="G426" t="str">
        <f>"2026-02-02 09:04:36.911"</f>
        <v>2026-02-02 09:04:36.911</v>
      </c>
      <c r="H426" t="s">
        <v>22</v>
      </c>
      <c r="I426">
        <v>0</v>
      </c>
      <c r="J426" t="s">
        <v>27</v>
      </c>
    </row>
    <row r="427" spans="1:10" x14ac:dyDescent="0.25">
      <c r="A427" s="1">
        <v>24</v>
      </c>
      <c r="B427" t="s">
        <v>19</v>
      </c>
      <c r="C427">
        <v>635</v>
      </c>
      <c r="D427">
        <v>1</v>
      </c>
      <c r="E427" t="s">
        <v>28</v>
      </c>
      <c r="F427" t="s">
        <v>29</v>
      </c>
      <c r="G427" t="str">
        <f>"2026-02-01 15:30:19.508"</f>
        <v>2026-02-01 15:30:19.508</v>
      </c>
      <c r="H427" t="s">
        <v>22</v>
      </c>
    </row>
    <row r="428" spans="1:10" x14ac:dyDescent="0.25">
      <c r="A428" s="1">
        <v>25</v>
      </c>
      <c r="B428" t="s">
        <v>23</v>
      </c>
      <c r="C428">
        <v>635</v>
      </c>
      <c r="D428">
        <v>1</v>
      </c>
      <c r="E428" t="s">
        <v>28</v>
      </c>
      <c r="F428" t="s">
        <v>29</v>
      </c>
      <c r="G428" t="str">
        <f>"2026-02-01 15:24:34.008"</f>
        <v>2026-02-01 15:24:34.008</v>
      </c>
      <c r="H428" t="s">
        <v>22</v>
      </c>
      <c r="I428">
        <v>2.9</v>
      </c>
      <c r="J428" t="s">
        <v>30</v>
      </c>
    </row>
    <row r="429" spans="1:10" s="3" customFormat="1" x14ac:dyDescent="0.25">
      <c r="A429" s="2">
        <v>26</v>
      </c>
      <c r="B429" s="3" t="s">
        <v>19</v>
      </c>
      <c r="C429" s="3">
        <v>647</v>
      </c>
      <c r="D429" s="3">
        <v>1</v>
      </c>
      <c r="E429" s="3" t="s">
        <v>49</v>
      </c>
      <c r="F429" s="3" t="s">
        <v>50</v>
      </c>
      <c r="G429" s="3" t="str">
        <f>"2026-01-31 20:32:15.109"</f>
        <v>2026-01-31 20:32:15.109</v>
      </c>
      <c r="H429" s="3" t="s">
        <v>22</v>
      </c>
    </row>
    <row r="430" spans="1:10" s="3" customFormat="1" x14ac:dyDescent="0.25">
      <c r="A430" s="2">
        <v>27</v>
      </c>
      <c r="B430" s="3" t="s">
        <v>23</v>
      </c>
      <c r="C430" s="3">
        <v>647</v>
      </c>
      <c r="D430" s="3">
        <v>1</v>
      </c>
      <c r="E430" s="3" t="s">
        <v>49</v>
      </c>
      <c r="F430" s="3" t="s">
        <v>50</v>
      </c>
      <c r="G430" s="3" t="str">
        <f>"2026-01-31 20:32:13.809"</f>
        <v>2026-01-31 20:32:13.809</v>
      </c>
      <c r="H430" s="3" t="s">
        <v>22</v>
      </c>
      <c r="I430" s="3">
        <v>21.61</v>
      </c>
      <c r="J430" s="3" t="s">
        <v>48</v>
      </c>
    </row>
    <row r="431" spans="1:10" x14ac:dyDescent="0.25">
      <c r="A431" s="1">
        <v>28</v>
      </c>
      <c r="B431" t="s">
        <v>25</v>
      </c>
      <c r="C431">
        <v>700</v>
      </c>
      <c r="D431">
        <v>0</v>
      </c>
      <c r="E431" t="s">
        <v>26</v>
      </c>
      <c r="F431" t="s">
        <v>26</v>
      </c>
      <c r="G431" t="str">
        <f>"2026-01-31 09:02:17.793"</f>
        <v>2026-01-31 09:02:17.793</v>
      </c>
      <c r="H431" t="s">
        <v>22</v>
      </c>
      <c r="I431">
        <v>0</v>
      </c>
      <c r="J431" t="s">
        <v>27</v>
      </c>
    </row>
    <row r="432" spans="1:10" x14ac:dyDescent="0.25">
      <c r="A432" s="1">
        <v>29</v>
      </c>
      <c r="B432" t="s">
        <v>19</v>
      </c>
      <c r="C432">
        <v>635</v>
      </c>
      <c r="D432">
        <v>1</v>
      </c>
      <c r="E432" t="s">
        <v>28</v>
      </c>
      <c r="F432" t="s">
        <v>29</v>
      </c>
      <c r="G432" t="str">
        <f>"2026-01-30 20:21:04.939"</f>
        <v>2026-01-30 20:21:04.939</v>
      </c>
      <c r="H432" t="s">
        <v>22</v>
      </c>
    </row>
    <row r="433" spans="1:10" x14ac:dyDescent="0.25">
      <c r="A433" s="1">
        <v>30</v>
      </c>
      <c r="B433" t="s">
        <v>23</v>
      </c>
      <c r="C433">
        <v>635</v>
      </c>
      <c r="D433">
        <v>1</v>
      </c>
      <c r="E433" t="s">
        <v>28</v>
      </c>
      <c r="F433" t="s">
        <v>29</v>
      </c>
      <c r="G433" t="str">
        <f>"2026-01-30 20:13:16.439"</f>
        <v>2026-01-30 20:13:16.439</v>
      </c>
      <c r="H433" t="s">
        <v>22</v>
      </c>
      <c r="I433">
        <v>5.86</v>
      </c>
      <c r="J433" t="s">
        <v>30</v>
      </c>
    </row>
    <row r="434" spans="1:10" s="3" customFormat="1" x14ac:dyDescent="0.25">
      <c r="A434" s="2">
        <v>31</v>
      </c>
      <c r="B434" s="3" t="s">
        <v>19</v>
      </c>
      <c r="C434" s="3">
        <v>647</v>
      </c>
      <c r="D434" s="3">
        <v>1</v>
      </c>
      <c r="E434" s="3" t="s">
        <v>49</v>
      </c>
      <c r="F434" s="3" t="s">
        <v>50</v>
      </c>
      <c r="G434" s="3" t="str">
        <f>"2026-01-29 20:43:10.093"</f>
        <v>2026-01-29 20:43:10.093</v>
      </c>
      <c r="H434" s="3" t="s">
        <v>22</v>
      </c>
    </row>
    <row r="435" spans="1:10" s="3" customFormat="1" x14ac:dyDescent="0.25">
      <c r="A435" s="2">
        <v>32</v>
      </c>
      <c r="B435" s="3" t="s">
        <v>23</v>
      </c>
      <c r="C435" s="3">
        <v>647</v>
      </c>
      <c r="D435" s="3">
        <v>1</v>
      </c>
      <c r="E435" s="3" t="s">
        <v>49</v>
      </c>
      <c r="F435" s="3" t="s">
        <v>50</v>
      </c>
      <c r="G435" s="3" t="str">
        <f>"2026-01-29 20:43:05.093"</f>
        <v>2026-01-29 20:43:05.093</v>
      </c>
      <c r="H435" s="3" t="s">
        <v>22</v>
      </c>
      <c r="I435" s="3">
        <v>8.4600000000000009</v>
      </c>
      <c r="J435" s="3" t="s">
        <v>31</v>
      </c>
    </row>
    <row r="436" spans="1:10" x14ac:dyDescent="0.25">
      <c r="A436" s="1">
        <v>33</v>
      </c>
      <c r="B436" t="s">
        <v>19</v>
      </c>
      <c r="C436">
        <v>635</v>
      </c>
      <c r="D436">
        <v>1</v>
      </c>
      <c r="E436" t="s">
        <v>28</v>
      </c>
      <c r="F436" t="s">
        <v>29</v>
      </c>
      <c r="G436" t="str">
        <f>"2026-01-29 16:23:37.639"</f>
        <v>2026-01-29 16:23:37.639</v>
      </c>
      <c r="H436" t="s">
        <v>22</v>
      </c>
    </row>
    <row r="437" spans="1:10" x14ac:dyDescent="0.25">
      <c r="A437" s="1">
        <v>34</v>
      </c>
      <c r="B437" t="s">
        <v>23</v>
      </c>
      <c r="C437">
        <v>635</v>
      </c>
      <c r="D437">
        <v>1</v>
      </c>
      <c r="E437" t="s">
        <v>28</v>
      </c>
      <c r="F437" t="s">
        <v>29</v>
      </c>
      <c r="G437" t="str">
        <f>"2026-01-29 16:14:40.139"</f>
        <v>2026-01-29 16:14:40.139</v>
      </c>
      <c r="H437" t="s">
        <v>22</v>
      </c>
      <c r="I437">
        <v>0.8</v>
      </c>
      <c r="J437" t="s">
        <v>48</v>
      </c>
    </row>
    <row r="438" spans="1:10" x14ac:dyDescent="0.25">
      <c r="A438" s="1">
        <v>35</v>
      </c>
      <c r="B438" t="s">
        <v>19</v>
      </c>
      <c r="C438">
        <v>635</v>
      </c>
      <c r="D438">
        <v>1</v>
      </c>
      <c r="E438" t="s">
        <v>28</v>
      </c>
      <c r="F438" t="s">
        <v>29</v>
      </c>
      <c r="G438" t="str">
        <f>"2026-01-28 22:19:42.339"</f>
        <v>2026-01-28 22:19:42.339</v>
      </c>
      <c r="H438" t="s">
        <v>22</v>
      </c>
    </row>
    <row r="439" spans="1:10" x14ac:dyDescent="0.25">
      <c r="A439" s="1">
        <v>36</v>
      </c>
      <c r="B439" t="s">
        <v>23</v>
      </c>
      <c r="C439">
        <v>635</v>
      </c>
      <c r="D439">
        <v>1</v>
      </c>
      <c r="E439" t="s">
        <v>28</v>
      </c>
      <c r="F439" t="s">
        <v>29</v>
      </c>
      <c r="G439" t="str">
        <f>"2026-01-28 22:16:36.839"</f>
        <v>2026-01-28 22:16:36.839</v>
      </c>
      <c r="H439" t="s">
        <v>22</v>
      </c>
      <c r="I439">
        <v>3.28</v>
      </c>
      <c r="J439" t="s">
        <v>30</v>
      </c>
    </row>
    <row r="440" spans="1:10" x14ac:dyDescent="0.25">
      <c r="A440" s="1">
        <v>37</v>
      </c>
      <c r="B440" t="s">
        <v>25</v>
      </c>
      <c r="C440">
        <v>706</v>
      </c>
      <c r="D440">
        <v>4</v>
      </c>
      <c r="E440" t="s">
        <v>35</v>
      </c>
      <c r="F440" t="s">
        <v>36</v>
      </c>
      <c r="G440" t="str">
        <f>"2026-01-27 20:18:08.871"</f>
        <v>2026-01-27 20:18:08.871</v>
      </c>
      <c r="H440" t="s">
        <v>22</v>
      </c>
      <c r="I440">
        <v>0</v>
      </c>
      <c r="J440" t="s">
        <v>24</v>
      </c>
    </row>
    <row r="441" spans="1:10" x14ac:dyDescent="0.25">
      <c r="A441" s="1">
        <v>38</v>
      </c>
      <c r="B441" t="s">
        <v>25</v>
      </c>
      <c r="C441">
        <v>700</v>
      </c>
      <c r="D441">
        <v>0</v>
      </c>
      <c r="E441" t="s">
        <v>26</v>
      </c>
      <c r="F441" t="s">
        <v>26</v>
      </c>
      <c r="G441" t="str">
        <f>"2026-01-27 20:17:43.871"</f>
        <v>2026-01-27 20:17:43.871</v>
      </c>
      <c r="H441" t="s">
        <v>22</v>
      </c>
      <c r="I441">
        <v>0</v>
      </c>
      <c r="J441" t="s">
        <v>27</v>
      </c>
    </row>
    <row r="442" spans="1:10" x14ac:dyDescent="0.25">
      <c r="A442" s="1">
        <v>39</v>
      </c>
      <c r="B442" t="s">
        <v>37</v>
      </c>
      <c r="C442">
        <v>630</v>
      </c>
      <c r="D442">
        <v>5</v>
      </c>
      <c r="E442" t="s">
        <v>32</v>
      </c>
      <c r="F442" t="s">
        <v>33</v>
      </c>
      <c r="G442" t="str">
        <f>"2026-01-27 18:09:10.415"</f>
        <v>2026-01-27 18:09:10.415</v>
      </c>
      <c r="H442" t="s">
        <v>34</v>
      </c>
      <c r="I442">
        <v>0</v>
      </c>
      <c r="J442" t="s">
        <v>24</v>
      </c>
    </row>
    <row r="443" spans="1:10" x14ac:dyDescent="0.25">
      <c r="A443" s="1">
        <v>40</v>
      </c>
      <c r="B443" t="s">
        <v>19</v>
      </c>
      <c r="C443">
        <v>630</v>
      </c>
      <c r="D443">
        <v>5</v>
      </c>
      <c r="E443" t="s">
        <v>32</v>
      </c>
      <c r="F443" t="s">
        <v>33</v>
      </c>
      <c r="G443" t="str">
        <f>"2026-01-27 17:57:49.215"</f>
        <v>2026-01-27 17:57:49.215</v>
      </c>
      <c r="H443" t="s">
        <v>34</v>
      </c>
    </row>
    <row r="444" spans="1:10" x14ac:dyDescent="0.25">
      <c r="A444" s="1">
        <v>41</v>
      </c>
      <c r="B444" t="s">
        <v>59</v>
      </c>
      <c r="C444">
        <v>47</v>
      </c>
      <c r="D444">
        <v>2</v>
      </c>
      <c r="E444" t="s">
        <v>60</v>
      </c>
      <c r="F444" t="s">
        <v>61</v>
      </c>
      <c r="G444" t="str">
        <f>"2026-01-27 17:57:21.414"</f>
        <v>2026-01-27 17:57:21.414</v>
      </c>
      <c r="H444" t="s">
        <v>45</v>
      </c>
    </row>
    <row r="445" spans="1:10" x14ac:dyDescent="0.25">
      <c r="A445" s="1">
        <v>42</v>
      </c>
      <c r="B445" t="s">
        <v>25</v>
      </c>
      <c r="C445">
        <v>706</v>
      </c>
      <c r="D445">
        <v>4</v>
      </c>
      <c r="E445" t="s">
        <v>35</v>
      </c>
      <c r="F445" t="s">
        <v>36</v>
      </c>
      <c r="G445" t="str">
        <f>"2026-01-27 17:57:19.221"</f>
        <v>2026-01-27 17:57:19.221</v>
      </c>
      <c r="H445" t="s">
        <v>22</v>
      </c>
      <c r="I445">
        <v>0</v>
      </c>
      <c r="J445" t="s">
        <v>24</v>
      </c>
    </row>
    <row r="446" spans="1:10" x14ac:dyDescent="0.25">
      <c r="A446" s="1">
        <v>43</v>
      </c>
      <c r="B446" t="s">
        <v>25</v>
      </c>
      <c r="C446">
        <v>706</v>
      </c>
      <c r="D446">
        <v>3</v>
      </c>
      <c r="E446" t="s">
        <v>35</v>
      </c>
      <c r="F446" t="s">
        <v>62</v>
      </c>
      <c r="G446" t="str">
        <f>"2026-01-27 17:56:25.401"</f>
        <v>2026-01-27 17:56:25.401</v>
      </c>
      <c r="H446" t="s">
        <v>22</v>
      </c>
      <c r="I446">
        <v>0</v>
      </c>
      <c r="J446" t="s">
        <v>24</v>
      </c>
    </row>
    <row r="447" spans="1:10" x14ac:dyDescent="0.25">
      <c r="A447" s="1">
        <v>44</v>
      </c>
      <c r="B447" t="s">
        <v>37</v>
      </c>
      <c r="C447">
        <v>47</v>
      </c>
      <c r="D447">
        <v>2</v>
      </c>
      <c r="E447" t="s">
        <v>60</v>
      </c>
      <c r="F447" t="s">
        <v>61</v>
      </c>
      <c r="G447" t="str">
        <f>"2026-01-27 17:55:40.115"</f>
        <v>2026-01-27 17:55:40.115</v>
      </c>
      <c r="H447" t="s">
        <v>45</v>
      </c>
      <c r="I447">
        <v>0</v>
      </c>
      <c r="J447" t="s">
        <v>24</v>
      </c>
    </row>
    <row r="448" spans="1:10" x14ac:dyDescent="0.25">
      <c r="A448" s="1">
        <v>45</v>
      </c>
      <c r="B448" t="s">
        <v>25</v>
      </c>
      <c r="C448">
        <v>706</v>
      </c>
      <c r="D448">
        <v>4</v>
      </c>
      <c r="E448" t="s">
        <v>35</v>
      </c>
      <c r="F448" t="s">
        <v>36</v>
      </c>
      <c r="G448" t="str">
        <f>"2026-01-27 17:55:35.621"</f>
        <v>2026-01-27 17:55:35.621</v>
      </c>
      <c r="H448" t="s">
        <v>22</v>
      </c>
      <c r="I448">
        <v>0</v>
      </c>
      <c r="J448" t="s">
        <v>24</v>
      </c>
    </row>
    <row r="449" spans="1:10" x14ac:dyDescent="0.25">
      <c r="A449" s="1">
        <v>46</v>
      </c>
      <c r="B449" t="s">
        <v>37</v>
      </c>
      <c r="C449">
        <v>630</v>
      </c>
      <c r="D449">
        <v>5</v>
      </c>
      <c r="E449" t="s">
        <v>32</v>
      </c>
      <c r="F449" t="s">
        <v>33</v>
      </c>
      <c r="G449" t="str">
        <f>"2026-01-27 17:40:40.815"</f>
        <v>2026-01-27 17:40:40.815</v>
      </c>
      <c r="H449" t="s">
        <v>34</v>
      </c>
      <c r="I449">
        <v>0</v>
      </c>
      <c r="J449" t="s">
        <v>24</v>
      </c>
    </row>
    <row r="450" spans="1:10" x14ac:dyDescent="0.25">
      <c r="A450" s="1">
        <v>47</v>
      </c>
      <c r="B450" t="s">
        <v>25</v>
      </c>
      <c r="C450">
        <v>700</v>
      </c>
      <c r="D450">
        <v>0</v>
      </c>
      <c r="E450" t="s">
        <v>26</v>
      </c>
      <c r="F450" t="s">
        <v>26</v>
      </c>
      <c r="G450" t="str">
        <f>"2026-01-27 17:35:37.941"</f>
        <v>2026-01-27 17:35:37.941</v>
      </c>
      <c r="H450" t="s">
        <v>22</v>
      </c>
    </row>
    <row r="451" spans="1:10" x14ac:dyDescent="0.25">
      <c r="A451" s="1">
        <v>48</v>
      </c>
      <c r="B451" t="s">
        <v>37</v>
      </c>
      <c r="C451">
        <v>630</v>
      </c>
      <c r="D451">
        <v>5</v>
      </c>
      <c r="E451" t="s">
        <v>32</v>
      </c>
      <c r="F451" t="s">
        <v>33</v>
      </c>
      <c r="G451" t="str">
        <f>"2026-01-27 16:54:44.491"</f>
        <v>2026-01-27 16:54:44.491</v>
      </c>
      <c r="H451" t="s">
        <v>34</v>
      </c>
      <c r="I451">
        <v>0</v>
      </c>
      <c r="J451" t="s">
        <v>24</v>
      </c>
    </row>
    <row r="452" spans="1:10" x14ac:dyDescent="0.25">
      <c r="A452" s="1">
        <v>50</v>
      </c>
      <c r="B452" t="s">
        <v>19</v>
      </c>
      <c r="C452">
        <v>635</v>
      </c>
      <c r="D452">
        <v>1</v>
      </c>
      <c r="E452" t="s">
        <v>28</v>
      </c>
      <c r="F452" t="s">
        <v>29</v>
      </c>
      <c r="G452" t="str">
        <f>"2026-01-26 13:20:30.590"</f>
        <v>2026-01-26 13:20:30.590</v>
      </c>
      <c r="H452" t="s">
        <v>22</v>
      </c>
    </row>
    <row r="453" spans="1:10" x14ac:dyDescent="0.25">
      <c r="A453" s="1">
        <v>51</v>
      </c>
      <c r="B453" t="s">
        <v>23</v>
      </c>
      <c r="C453">
        <v>635</v>
      </c>
      <c r="D453">
        <v>1</v>
      </c>
      <c r="E453" t="s">
        <v>28</v>
      </c>
      <c r="F453" t="s">
        <v>29</v>
      </c>
      <c r="G453" t="str">
        <f>"2026-01-26 13:06:56.590"</f>
        <v>2026-01-26 13:06:56.590</v>
      </c>
      <c r="H453" t="s">
        <v>22</v>
      </c>
      <c r="I453">
        <v>6.04</v>
      </c>
      <c r="J453" t="s">
        <v>30</v>
      </c>
    </row>
    <row r="454" spans="1:10" s="3" customFormat="1" x14ac:dyDescent="0.25">
      <c r="A454" s="2">
        <v>52</v>
      </c>
      <c r="B454" s="3" t="s">
        <v>19</v>
      </c>
      <c r="C454" s="3">
        <v>647</v>
      </c>
      <c r="D454" s="3">
        <v>1</v>
      </c>
      <c r="E454" s="3" t="s">
        <v>49</v>
      </c>
      <c r="F454" s="3" t="s">
        <v>50</v>
      </c>
      <c r="G454" s="3" t="str">
        <f>"2026-01-25 23:31:13.591"</f>
        <v>2026-01-25 23:31:13.591</v>
      </c>
      <c r="H454" s="3" t="s">
        <v>22</v>
      </c>
    </row>
    <row r="455" spans="1:10" s="3" customFormat="1" x14ac:dyDescent="0.25">
      <c r="A455" s="2">
        <v>53</v>
      </c>
      <c r="B455" s="3" t="s">
        <v>23</v>
      </c>
      <c r="C455" s="3">
        <v>647</v>
      </c>
      <c r="D455" s="3">
        <v>1</v>
      </c>
      <c r="E455" s="3" t="s">
        <v>49</v>
      </c>
      <c r="F455" s="3" t="s">
        <v>50</v>
      </c>
      <c r="G455" s="3" t="str">
        <f>"2026-01-25 23:31:08.091"</f>
        <v>2026-01-25 23:31:08.091</v>
      </c>
      <c r="H455" s="3" t="s">
        <v>22</v>
      </c>
      <c r="I455" s="3">
        <v>11.71</v>
      </c>
      <c r="J455" s="3" t="s">
        <v>31</v>
      </c>
    </row>
    <row r="456" spans="1:10" s="3" customFormat="1" x14ac:dyDescent="0.25">
      <c r="A456" s="2">
        <v>54</v>
      </c>
      <c r="B456" s="3" t="s">
        <v>19</v>
      </c>
      <c r="C456" s="3">
        <v>647</v>
      </c>
      <c r="D456" s="3">
        <v>1</v>
      </c>
      <c r="E456" s="3" t="s">
        <v>49</v>
      </c>
      <c r="F456" s="3" t="s">
        <v>50</v>
      </c>
      <c r="G456" s="3" t="str">
        <f>"2026-01-25 10:04:10.191"</f>
        <v>2026-01-25 10:04:10.191</v>
      </c>
      <c r="H456" s="3" t="s">
        <v>22</v>
      </c>
    </row>
    <row r="457" spans="1:10" s="3" customFormat="1" x14ac:dyDescent="0.25">
      <c r="A457" s="2">
        <v>55</v>
      </c>
      <c r="B457" s="3" t="s">
        <v>23</v>
      </c>
      <c r="C457" s="3">
        <v>647</v>
      </c>
      <c r="D457" s="3">
        <v>1</v>
      </c>
      <c r="E457" s="3" t="s">
        <v>49</v>
      </c>
      <c r="F457" s="3" t="s">
        <v>50</v>
      </c>
      <c r="G457" s="3" t="str">
        <f>"2026-01-25 10:04:05.791"</f>
        <v>2026-01-25 10:04:05.791</v>
      </c>
      <c r="H457" s="3" t="s">
        <v>22</v>
      </c>
      <c r="I457" s="3">
        <v>8.57</v>
      </c>
      <c r="J457" s="3" t="s">
        <v>31</v>
      </c>
    </row>
    <row r="458" spans="1:10" x14ac:dyDescent="0.25">
      <c r="A458" s="1">
        <v>56</v>
      </c>
      <c r="B458" t="s">
        <v>25</v>
      </c>
      <c r="C458">
        <v>700</v>
      </c>
      <c r="D458">
        <v>0</v>
      </c>
      <c r="E458" t="s">
        <v>26</v>
      </c>
      <c r="F458" t="s">
        <v>26</v>
      </c>
      <c r="G458" t="str">
        <f>"2026-01-24 15:51:58.770"</f>
        <v>2026-01-24 15:51:58.770</v>
      </c>
      <c r="H458" t="s">
        <v>22</v>
      </c>
      <c r="I458">
        <v>0</v>
      </c>
      <c r="J458" t="s">
        <v>27</v>
      </c>
    </row>
    <row r="459" spans="1:10" x14ac:dyDescent="0.25">
      <c r="A459" s="1">
        <v>58</v>
      </c>
      <c r="B459" t="s">
        <v>25</v>
      </c>
      <c r="C459">
        <v>700</v>
      </c>
      <c r="D459">
        <v>0</v>
      </c>
      <c r="E459" t="s">
        <v>26</v>
      </c>
      <c r="F459" t="s">
        <v>26</v>
      </c>
      <c r="G459" t="str">
        <f>"2026-01-24 13:44:07.770"</f>
        <v>2026-01-24 13:44:07.770</v>
      </c>
      <c r="H459" t="s">
        <v>22</v>
      </c>
      <c r="I459">
        <v>0</v>
      </c>
      <c r="J459" t="s">
        <v>27</v>
      </c>
    </row>
    <row r="460" spans="1:10" x14ac:dyDescent="0.25">
      <c r="A460" s="1">
        <v>60</v>
      </c>
      <c r="B460" t="s">
        <v>19</v>
      </c>
      <c r="C460">
        <v>635</v>
      </c>
      <c r="D460">
        <v>1</v>
      </c>
      <c r="E460" t="s">
        <v>28</v>
      </c>
      <c r="F460" t="s">
        <v>29</v>
      </c>
      <c r="G460" t="str">
        <f>"2026-01-23 23:48:50.492"</f>
        <v>2026-01-23 23:48:50.492</v>
      </c>
      <c r="H460" t="s">
        <v>22</v>
      </c>
    </row>
    <row r="461" spans="1:10" x14ac:dyDescent="0.25">
      <c r="A461" s="1">
        <v>61</v>
      </c>
      <c r="B461" t="s">
        <v>23</v>
      </c>
      <c r="C461">
        <v>635</v>
      </c>
      <c r="D461">
        <v>1</v>
      </c>
      <c r="E461" t="s">
        <v>28</v>
      </c>
      <c r="F461" t="s">
        <v>29</v>
      </c>
      <c r="G461" t="str">
        <f>"2026-01-23 23:41:35.492"</f>
        <v>2026-01-23 23:41:35.492</v>
      </c>
      <c r="H461" t="s">
        <v>22</v>
      </c>
      <c r="I461">
        <v>4.76</v>
      </c>
      <c r="J461" t="s">
        <v>30</v>
      </c>
    </row>
    <row r="462" spans="1:10" x14ac:dyDescent="0.25">
      <c r="A462" s="1">
        <v>62</v>
      </c>
      <c r="B462" t="s">
        <v>19</v>
      </c>
      <c r="C462">
        <v>635</v>
      </c>
      <c r="D462">
        <v>1</v>
      </c>
      <c r="E462" t="s">
        <v>28</v>
      </c>
      <c r="F462" t="s">
        <v>29</v>
      </c>
      <c r="G462" t="str">
        <f>"2026-01-23 21:21:43.192"</f>
        <v>2026-01-23 21:21:43.192</v>
      </c>
      <c r="H462" t="s">
        <v>22</v>
      </c>
    </row>
    <row r="463" spans="1:10" x14ac:dyDescent="0.25">
      <c r="A463" s="1">
        <v>63</v>
      </c>
      <c r="B463" t="s">
        <v>23</v>
      </c>
      <c r="C463">
        <v>635</v>
      </c>
      <c r="D463">
        <v>1</v>
      </c>
      <c r="E463" t="s">
        <v>28</v>
      </c>
      <c r="F463" t="s">
        <v>29</v>
      </c>
      <c r="G463" t="str">
        <f>"2026-01-23 21:18:00.692"</f>
        <v>2026-01-23 21:18:00.692</v>
      </c>
      <c r="H463" t="s">
        <v>22</v>
      </c>
      <c r="I463">
        <v>6.81</v>
      </c>
      <c r="J463" t="s">
        <v>48</v>
      </c>
    </row>
    <row r="464" spans="1:10" x14ac:dyDescent="0.25">
      <c r="A464" s="1">
        <v>64</v>
      </c>
      <c r="B464" t="s">
        <v>19</v>
      </c>
      <c r="C464">
        <v>635</v>
      </c>
      <c r="D464">
        <v>1</v>
      </c>
      <c r="E464" t="s">
        <v>28</v>
      </c>
      <c r="F464" t="s">
        <v>29</v>
      </c>
      <c r="G464" t="str">
        <f>"2026-01-23 19:29:24.892"</f>
        <v>2026-01-23 19:29:24.892</v>
      </c>
      <c r="H464" t="s">
        <v>22</v>
      </c>
    </row>
    <row r="465" spans="1:10" x14ac:dyDescent="0.25">
      <c r="A465" s="1">
        <v>65</v>
      </c>
      <c r="B465" t="s">
        <v>23</v>
      </c>
      <c r="C465">
        <v>635</v>
      </c>
      <c r="D465">
        <v>1</v>
      </c>
      <c r="E465" t="s">
        <v>28</v>
      </c>
      <c r="F465" t="s">
        <v>29</v>
      </c>
      <c r="G465" t="str">
        <f>"2026-01-23 19:25:29.892"</f>
        <v>2026-01-23 19:25:29.892</v>
      </c>
      <c r="H465" t="s">
        <v>22</v>
      </c>
      <c r="I465">
        <v>4.24</v>
      </c>
      <c r="J465" t="s">
        <v>30</v>
      </c>
    </row>
    <row r="466" spans="1:10" x14ac:dyDescent="0.25">
      <c r="A466" s="1">
        <v>66</v>
      </c>
      <c r="B466" t="s">
        <v>25</v>
      </c>
      <c r="C466">
        <v>700</v>
      </c>
      <c r="D466">
        <v>0</v>
      </c>
      <c r="E466" t="s">
        <v>26</v>
      </c>
      <c r="F466" t="s">
        <v>26</v>
      </c>
      <c r="G466" t="str">
        <f>"2026-01-23 08:37:17.770"</f>
        <v>2026-01-23 08:37:17.770</v>
      </c>
      <c r="H466" t="s">
        <v>22</v>
      </c>
      <c r="I466">
        <v>0</v>
      </c>
      <c r="J466" t="s">
        <v>27</v>
      </c>
    </row>
    <row r="467" spans="1:10" x14ac:dyDescent="0.25">
      <c r="A467" s="1">
        <v>68</v>
      </c>
      <c r="B467" t="s">
        <v>25</v>
      </c>
      <c r="C467">
        <v>700</v>
      </c>
      <c r="D467">
        <v>0</v>
      </c>
      <c r="E467" t="s">
        <v>26</v>
      </c>
      <c r="F467" t="s">
        <v>26</v>
      </c>
      <c r="G467" t="str">
        <f>"2026-01-21 15:37:21.822"</f>
        <v>2026-01-21 15:37:21.822</v>
      </c>
      <c r="H467" t="s">
        <v>22</v>
      </c>
    </row>
    <row r="468" spans="1:10" x14ac:dyDescent="0.25">
      <c r="A468" s="1">
        <v>70</v>
      </c>
      <c r="B468" t="s">
        <v>25</v>
      </c>
      <c r="C468">
        <v>700</v>
      </c>
      <c r="D468">
        <v>0</v>
      </c>
      <c r="E468" t="s">
        <v>26</v>
      </c>
      <c r="F468" t="s">
        <v>26</v>
      </c>
      <c r="G468" t="str">
        <f>"2026-01-21 11:35:07.763"</f>
        <v>2026-01-21 11:35:07.763</v>
      </c>
      <c r="H468" t="s">
        <v>22</v>
      </c>
      <c r="I468">
        <v>0</v>
      </c>
      <c r="J468" t="s">
        <v>27</v>
      </c>
    </row>
    <row r="469" spans="1:10" x14ac:dyDescent="0.25">
      <c r="A469" s="1">
        <v>72</v>
      </c>
      <c r="B469" t="s">
        <v>19</v>
      </c>
      <c r="C469">
        <v>635</v>
      </c>
      <c r="D469">
        <v>1</v>
      </c>
      <c r="E469" t="s">
        <v>28</v>
      </c>
      <c r="F469" t="s">
        <v>29</v>
      </c>
      <c r="G469" t="str">
        <f>"2026-01-20 08:39:51.278"</f>
        <v>2026-01-20 08:39:51.278</v>
      </c>
      <c r="H469" t="s">
        <v>22</v>
      </c>
    </row>
    <row r="470" spans="1:10" x14ac:dyDescent="0.25">
      <c r="A470" s="1">
        <v>73</v>
      </c>
      <c r="B470" t="s">
        <v>23</v>
      </c>
      <c r="C470">
        <v>635</v>
      </c>
      <c r="D470">
        <v>1</v>
      </c>
      <c r="E470" t="s">
        <v>28</v>
      </c>
      <c r="F470" t="s">
        <v>29</v>
      </c>
      <c r="G470" t="str">
        <f>"2026-01-20 08:34:57.779"</f>
        <v>2026-01-20 08:34:57.779</v>
      </c>
      <c r="H470" t="s">
        <v>22</v>
      </c>
      <c r="I470">
        <v>2.48</v>
      </c>
      <c r="J470" t="s">
        <v>31</v>
      </c>
    </row>
    <row r="471" spans="1:10" x14ac:dyDescent="0.25">
      <c r="A471" s="1">
        <v>74</v>
      </c>
      <c r="B471" t="s">
        <v>19</v>
      </c>
      <c r="C471">
        <v>635</v>
      </c>
      <c r="D471">
        <v>1</v>
      </c>
      <c r="E471" t="s">
        <v>28</v>
      </c>
      <c r="F471" t="s">
        <v>29</v>
      </c>
      <c r="G471" t="str">
        <f>"2026-01-19 21:55:38.278"</f>
        <v>2026-01-19 21:55:38.278</v>
      </c>
      <c r="H471" t="s">
        <v>22</v>
      </c>
    </row>
    <row r="472" spans="1:10" x14ac:dyDescent="0.25">
      <c r="A472" s="1">
        <v>75</v>
      </c>
      <c r="B472" t="s">
        <v>23</v>
      </c>
      <c r="C472">
        <v>635</v>
      </c>
      <c r="D472">
        <v>1</v>
      </c>
      <c r="E472" t="s">
        <v>28</v>
      </c>
      <c r="F472" t="s">
        <v>29</v>
      </c>
      <c r="G472" t="str">
        <f>"2026-01-19 21:49:50.279"</f>
        <v>2026-01-19 21:49:50.279</v>
      </c>
      <c r="H472" t="s">
        <v>22</v>
      </c>
      <c r="I472">
        <v>-0.01</v>
      </c>
      <c r="J472" t="s">
        <v>30</v>
      </c>
    </row>
    <row r="473" spans="1:10" x14ac:dyDescent="0.25">
      <c r="A473" s="1">
        <v>76</v>
      </c>
      <c r="B473" t="s">
        <v>25</v>
      </c>
      <c r="C473">
        <v>700</v>
      </c>
      <c r="D473">
        <v>0</v>
      </c>
      <c r="E473" t="s">
        <v>26</v>
      </c>
      <c r="F473" t="s">
        <v>26</v>
      </c>
      <c r="G473" t="str">
        <f>"2026-01-19 14:49:34.769"</f>
        <v>2026-01-19 14:49:34.769</v>
      </c>
      <c r="H473" t="s">
        <v>22</v>
      </c>
      <c r="I473">
        <v>0</v>
      </c>
      <c r="J473" t="s">
        <v>27</v>
      </c>
    </row>
    <row r="474" spans="1:10" x14ac:dyDescent="0.25">
      <c r="A474" s="1">
        <v>79</v>
      </c>
      <c r="B474" t="s">
        <v>19</v>
      </c>
      <c r="C474">
        <v>630</v>
      </c>
      <c r="D474">
        <v>5</v>
      </c>
      <c r="E474" t="s">
        <v>32</v>
      </c>
      <c r="F474" t="s">
        <v>33</v>
      </c>
      <c r="G474" t="str">
        <f>"2026-01-18 11:01:37.828"</f>
        <v>2026-01-18 11:01:37.828</v>
      </c>
      <c r="H474" t="s">
        <v>34</v>
      </c>
    </row>
    <row r="475" spans="1:10" x14ac:dyDescent="0.25">
      <c r="A475" s="1">
        <v>80</v>
      </c>
      <c r="B475" t="s">
        <v>25</v>
      </c>
      <c r="C475">
        <v>706</v>
      </c>
      <c r="D475">
        <v>2</v>
      </c>
      <c r="E475" t="s">
        <v>35</v>
      </c>
      <c r="F475" t="s">
        <v>38</v>
      </c>
      <c r="G475" t="str">
        <f>"2026-01-18 11:01:07.705"</f>
        <v>2026-01-18 11:01:07.705</v>
      </c>
      <c r="H475" t="s">
        <v>22</v>
      </c>
      <c r="I475">
        <v>0</v>
      </c>
      <c r="J475" t="s">
        <v>24</v>
      </c>
    </row>
    <row r="476" spans="1:10" x14ac:dyDescent="0.25">
      <c r="A476" s="1">
        <v>81</v>
      </c>
      <c r="B476" t="s">
        <v>37</v>
      </c>
      <c r="C476">
        <v>630</v>
      </c>
      <c r="D476">
        <v>5</v>
      </c>
      <c r="E476" t="s">
        <v>32</v>
      </c>
      <c r="F476" t="s">
        <v>33</v>
      </c>
      <c r="G476" t="str">
        <f>"2026-01-18 10:54:11.328"</f>
        <v>2026-01-18 10:54:11.328</v>
      </c>
      <c r="H476" t="s">
        <v>34</v>
      </c>
      <c r="I476">
        <v>0</v>
      </c>
      <c r="J476" t="s">
        <v>24</v>
      </c>
    </row>
    <row r="477" spans="1:10" x14ac:dyDescent="0.25">
      <c r="A477" s="1">
        <v>82</v>
      </c>
      <c r="B477" t="s">
        <v>25</v>
      </c>
      <c r="C477">
        <v>700</v>
      </c>
      <c r="D477">
        <v>0</v>
      </c>
      <c r="E477" t="s">
        <v>26</v>
      </c>
      <c r="F477" t="s">
        <v>26</v>
      </c>
      <c r="G477" t="str">
        <f>"2026-01-17 13:54:03.795"</f>
        <v>2026-01-17 13:54:03.795</v>
      </c>
      <c r="H477" t="s">
        <v>22</v>
      </c>
      <c r="I477">
        <v>0</v>
      </c>
      <c r="J477" t="s">
        <v>27</v>
      </c>
    </row>
    <row r="478" spans="1:10" x14ac:dyDescent="0.25">
      <c r="A478" s="1">
        <v>83</v>
      </c>
      <c r="B478" t="s">
        <v>25</v>
      </c>
      <c r="C478">
        <v>700</v>
      </c>
      <c r="D478">
        <v>0</v>
      </c>
      <c r="E478" t="s">
        <v>26</v>
      </c>
      <c r="F478" t="s">
        <v>26</v>
      </c>
      <c r="G478" t="str">
        <f>"2026-01-17 13:45:29.759"</f>
        <v>2026-01-17 13:45:29.759</v>
      </c>
      <c r="H478" t="s">
        <v>22</v>
      </c>
      <c r="I478">
        <v>0</v>
      </c>
      <c r="J478" t="s">
        <v>27</v>
      </c>
    </row>
    <row r="479" spans="1:10" x14ac:dyDescent="0.25">
      <c r="A479" s="1">
        <v>84</v>
      </c>
      <c r="B479" t="s">
        <v>25</v>
      </c>
      <c r="C479">
        <v>706</v>
      </c>
      <c r="D479">
        <v>2</v>
      </c>
      <c r="E479" t="s">
        <v>35</v>
      </c>
      <c r="F479" t="s">
        <v>38</v>
      </c>
      <c r="G479" t="str">
        <f>"2026-01-17 13:35:51.699"</f>
        <v>2026-01-17 13:35:51.699</v>
      </c>
      <c r="H479" t="s">
        <v>22</v>
      </c>
      <c r="I479">
        <v>0</v>
      </c>
      <c r="J479" t="s">
        <v>24</v>
      </c>
    </row>
    <row r="480" spans="1:10" x14ac:dyDescent="0.25">
      <c r="A480" s="1">
        <v>85</v>
      </c>
      <c r="B480" t="s">
        <v>25</v>
      </c>
      <c r="C480">
        <v>706</v>
      </c>
      <c r="D480">
        <v>4</v>
      </c>
      <c r="E480" t="s">
        <v>35</v>
      </c>
      <c r="F480" t="s">
        <v>36</v>
      </c>
      <c r="G480" t="str">
        <f>"2026-01-17 13:35:34.839"</f>
        <v>2026-01-17 13:35:34.839</v>
      </c>
      <c r="H480" t="s">
        <v>22</v>
      </c>
      <c r="I480">
        <v>0</v>
      </c>
      <c r="J480" t="s">
        <v>24</v>
      </c>
    </row>
    <row r="481" spans="1:10" x14ac:dyDescent="0.25">
      <c r="A481" s="1">
        <v>86</v>
      </c>
      <c r="B481" t="s">
        <v>25</v>
      </c>
      <c r="C481">
        <v>700</v>
      </c>
      <c r="D481">
        <v>0</v>
      </c>
      <c r="E481" t="s">
        <v>26</v>
      </c>
      <c r="F481" t="s">
        <v>26</v>
      </c>
      <c r="G481" t="str">
        <f>"2026-01-17 13:32:19.759"</f>
        <v>2026-01-17 13:32:19.759</v>
      </c>
      <c r="H481" t="s">
        <v>22</v>
      </c>
      <c r="I481">
        <v>0</v>
      </c>
      <c r="J481" t="s">
        <v>27</v>
      </c>
    </row>
    <row r="482" spans="1:10" x14ac:dyDescent="0.25">
      <c r="A482" s="1">
        <v>87</v>
      </c>
      <c r="B482" t="s">
        <v>37</v>
      </c>
      <c r="C482">
        <v>630</v>
      </c>
      <c r="D482">
        <v>5</v>
      </c>
      <c r="E482" t="s">
        <v>32</v>
      </c>
      <c r="F482" t="s">
        <v>33</v>
      </c>
      <c r="G482" t="str">
        <f>"2026-01-17 10:54:59.502"</f>
        <v>2026-01-17 10:54:59.502</v>
      </c>
      <c r="H482" t="s">
        <v>34</v>
      </c>
      <c r="I482">
        <v>0</v>
      </c>
      <c r="J482" t="s">
        <v>24</v>
      </c>
    </row>
    <row r="483" spans="1:10" x14ac:dyDescent="0.25">
      <c r="A483" s="1">
        <v>88</v>
      </c>
      <c r="B483" t="s">
        <v>25</v>
      </c>
      <c r="C483">
        <v>700</v>
      </c>
      <c r="D483">
        <v>0</v>
      </c>
      <c r="E483" t="s">
        <v>26</v>
      </c>
      <c r="F483" t="s">
        <v>26</v>
      </c>
      <c r="G483" t="str">
        <f>"2026-01-17 10:49:56.783"</f>
        <v>2026-01-17 10:49:56.783</v>
      </c>
      <c r="H483" t="s">
        <v>22</v>
      </c>
      <c r="I483">
        <v>0</v>
      </c>
      <c r="J483" t="s">
        <v>27</v>
      </c>
    </row>
    <row r="484" spans="1:10" x14ac:dyDescent="0.25">
      <c r="A484" s="1">
        <v>89</v>
      </c>
      <c r="B484" t="s">
        <v>37</v>
      </c>
      <c r="C484">
        <v>630</v>
      </c>
      <c r="D484">
        <v>5</v>
      </c>
      <c r="E484" t="s">
        <v>32</v>
      </c>
      <c r="F484" t="s">
        <v>33</v>
      </c>
      <c r="G484" t="str">
        <f>"2026-01-17 10:25:51.408"</f>
        <v>2026-01-17 10:25:51.408</v>
      </c>
      <c r="H484" t="s">
        <v>34</v>
      </c>
      <c r="I484">
        <v>0</v>
      </c>
      <c r="J484" t="s">
        <v>24</v>
      </c>
    </row>
    <row r="485" spans="1:10" x14ac:dyDescent="0.25">
      <c r="A485" s="1">
        <v>90</v>
      </c>
      <c r="B485" t="s">
        <v>19</v>
      </c>
      <c r="C485">
        <v>630</v>
      </c>
      <c r="D485">
        <v>5</v>
      </c>
      <c r="E485" t="s">
        <v>32</v>
      </c>
      <c r="F485" t="s">
        <v>33</v>
      </c>
      <c r="G485" t="str">
        <f>"2026-01-17 10:17:01.208"</f>
        <v>2026-01-17 10:17:01.208</v>
      </c>
      <c r="H485" t="s">
        <v>34</v>
      </c>
    </row>
    <row r="486" spans="1:10" x14ac:dyDescent="0.25">
      <c r="A486" s="1">
        <v>91</v>
      </c>
      <c r="B486" t="s">
        <v>25</v>
      </c>
      <c r="C486">
        <v>706</v>
      </c>
      <c r="D486">
        <v>2</v>
      </c>
      <c r="E486" t="s">
        <v>35</v>
      </c>
      <c r="F486" t="s">
        <v>38</v>
      </c>
      <c r="G486" t="str">
        <f>"2026-01-17 10:16:31.051"</f>
        <v>2026-01-17 10:16:31.051</v>
      </c>
      <c r="H486" t="s">
        <v>22</v>
      </c>
      <c r="I486">
        <v>0</v>
      </c>
      <c r="J486" t="s">
        <v>24</v>
      </c>
    </row>
    <row r="487" spans="1:10" x14ac:dyDescent="0.25">
      <c r="A487" s="1">
        <v>92</v>
      </c>
      <c r="B487" t="s">
        <v>37</v>
      </c>
      <c r="C487">
        <v>630</v>
      </c>
      <c r="D487">
        <v>5</v>
      </c>
      <c r="E487" t="s">
        <v>32</v>
      </c>
      <c r="F487" t="s">
        <v>33</v>
      </c>
      <c r="G487" t="str">
        <f>"2026-01-17 10:16:06.308"</f>
        <v>2026-01-17 10:16:06.308</v>
      </c>
      <c r="H487" t="s">
        <v>34</v>
      </c>
      <c r="I487">
        <v>0</v>
      </c>
      <c r="J487" t="s">
        <v>24</v>
      </c>
    </row>
    <row r="488" spans="1:10" x14ac:dyDescent="0.25">
      <c r="A488" s="1">
        <v>93</v>
      </c>
      <c r="B488" t="s">
        <v>19</v>
      </c>
      <c r="C488">
        <v>635</v>
      </c>
      <c r="D488">
        <v>1</v>
      </c>
      <c r="E488" t="s">
        <v>28</v>
      </c>
      <c r="F488" t="s">
        <v>29</v>
      </c>
      <c r="G488" t="str">
        <f>"2026-01-17 04:07:12.660"</f>
        <v>2026-01-17 04:07:12.660</v>
      </c>
      <c r="H488" t="s">
        <v>22</v>
      </c>
    </row>
    <row r="489" spans="1:10" x14ac:dyDescent="0.25">
      <c r="A489" s="1">
        <v>94</v>
      </c>
      <c r="B489" t="s">
        <v>23</v>
      </c>
      <c r="C489">
        <v>635</v>
      </c>
      <c r="D489">
        <v>1</v>
      </c>
      <c r="E489" t="s">
        <v>28</v>
      </c>
      <c r="F489" t="s">
        <v>29</v>
      </c>
      <c r="G489" t="str">
        <f>"2026-01-17 04:01:50.160"</f>
        <v>2026-01-17 04:01:50.160</v>
      </c>
      <c r="H489" t="s">
        <v>22</v>
      </c>
      <c r="I489">
        <v>7.53</v>
      </c>
      <c r="J489" t="s">
        <v>48</v>
      </c>
    </row>
    <row r="490" spans="1:10" x14ac:dyDescent="0.25">
      <c r="A490" s="1">
        <v>95</v>
      </c>
      <c r="B490" t="s">
        <v>19</v>
      </c>
      <c r="C490">
        <v>630</v>
      </c>
      <c r="D490">
        <v>5</v>
      </c>
      <c r="E490" t="s">
        <v>32</v>
      </c>
      <c r="F490" t="s">
        <v>33</v>
      </c>
      <c r="G490" t="str">
        <f>"2026-01-14 11:13:28.808"</f>
        <v>2026-01-14 11:13:28.808</v>
      </c>
      <c r="H490" t="s">
        <v>34</v>
      </c>
    </row>
    <row r="491" spans="1:10" x14ac:dyDescent="0.25">
      <c r="A491" s="1">
        <v>96</v>
      </c>
      <c r="B491" t="s">
        <v>25</v>
      </c>
      <c r="C491">
        <v>706</v>
      </c>
      <c r="D491">
        <v>2</v>
      </c>
      <c r="E491" t="s">
        <v>35</v>
      </c>
      <c r="F491" t="s">
        <v>38</v>
      </c>
      <c r="G491" t="str">
        <f>"2026-01-14 11:12:58.651"</f>
        <v>2026-01-14 11:12:58.651</v>
      </c>
      <c r="H491" t="s">
        <v>22</v>
      </c>
      <c r="I491">
        <v>0</v>
      </c>
      <c r="J491" t="s">
        <v>24</v>
      </c>
    </row>
    <row r="492" spans="1:10" x14ac:dyDescent="0.25">
      <c r="A492" s="1">
        <v>97</v>
      </c>
      <c r="B492" t="s">
        <v>37</v>
      </c>
      <c r="C492">
        <v>630</v>
      </c>
      <c r="D492">
        <v>5</v>
      </c>
      <c r="E492" t="s">
        <v>32</v>
      </c>
      <c r="F492" t="s">
        <v>33</v>
      </c>
      <c r="G492" t="str">
        <f>"2026-01-14 10:48:12.609"</f>
        <v>2026-01-14 10:48:12.609</v>
      </c>
      <c r="H492" t="s">
        <v>34</v>
      </c>
      <c r="I492">
        <v>0</v>
      </c>
      <c r="J492" t="s">
        <v>24</v>
      </c>
    </row>
    <row r="493" spans="1:10" x14ac:dyDescent="0.25">
      <c r="A493" s="1">
        <v>98</v>
      </c>
      <c r="B493" t="s">
        <v>25</v>
      </c>
      <c r="C493">
        <v>700</v>
      </c>
      <c r="D493">
        <v>0</v>
      </c>
      <c r="E493" t="s">
        <v>26</v>
      </c>
      <c r="F493" t="s">
        <v>26</v>
      </c>
      <c r="G493" t="str">
        <f>"2026-01-14 10:43:09.891"</f>
        <v>2026-01-14 10:43:09.891</v>
      </c>
      <c r="H493" t="s">
        <v>22</v>
      </c>
      <c r="I493">
        <v>0</v>
      </c>
      <c r="J493" t="s">
        <v>27</v>
      </c>
    </row>
    <row r="494" spans="1:10" x14ac:dyDescent="0.25">
      <c r="A494" s="1">
        <v>99</v>
      </c>
      <c r="B494" t="s">
        <v>25</v>
      </c>
      <c r="C494">
        <v>700</v>
      </c>
      <c r="D494">
        <v>0</v>
      </c>
      <c r="E494" t="s">
        <v>26</v>
      </c>
      <c r="F494" t="s">
        <v>26</v>
      </c>
      <c r="G494" t="str">
        <f>"2026-01-13 22:32:17.753"</f>
        <v>2026-01-13 22:32:17.753</v>
      </c>
      <c r="H494" t="s">
        <v>22</v>
      </c>
    </row>
    <row r="495" spans="1:10" x14ac:dyDescent="0.25">
      <c r="A495" s="1">
        <v>0</v>
      </c>
      <c r="B495" t="s">
        <v>19</v>
      </c>
      <c r="C495">
        <v>635</v>
      </c>
      <c r="D495">
        <v>1</v>
      </c>
      <c r="E495" t="s">
        <v>28</v>
      </c>
      <c r="F495" t="s">
        <v>29</v>
      </c>
      <c r="G495" t="str">
        <f>"2026-01-13 22:19:18.889"</f>
        <v>2026-01-13 22:19:18.889</v>
      </c>
      <c r="H495" t="s">
        <v>22</v>
      </c>
    </row>
    <row r="496" spans="1:10" x14ac:dyDescent="0.25">
      <c r="A496" s="1">
        <v>1</v>
      </c>
      <c r="B496" t="s">
        <v>23</v>
      </c>
      <c r="C496">
        <v>635</v>
      </c>
      <c r="D496">
        <v>1</v>
      </c>
      <c r="E496" t="s">
        <v>28</v>
      </c>
      <c r="F496" t="s">
        <v>29</v>
      </c>
      <c r="G496" t="str">
        <f>"2026-01-13 22:14:54.389"</f>
        <v>2026-01-13 22:14:54.389</v>
      </c>
      <c r="H496" t="s">
        <v>22</v>
      </c>
      <c r="I496">
        <v>1.96</v>
      </c>
      <c r="J496" t="s">
        <v>48</v>
      </c>
    </row>
    <row r="497" spans="1:10" x14ac:dyDescent="0.25">
      <c r="A497" s="1">
        <v>2</v>
      </c>
      <c r="B497" t="s">
        <v>19</v>
      </c>
      <c r="C497">
        <v>630</v>
      </c>
      <c r="D497">
        <v>5</v>
      </c>
      <c r="E497" t="s">
        <v>32</v>
      </c>
      <c r="F497" t="s">
        <v>33</v>
      </c>
      <c r="G497" t="str">
        <f>"2026-01-13 10:26:33.489"</f>
        <v>2026-01-13 10:26:33.489</v>
      </c>
      <c r="H497" t="s">
        <v>34</v>
      </c>
    </row>
    <row r="498" spans="1:10" x14ac:dyDescent="0.25">
      <c r="A498" s="1">
        <v>3</v>
      </c>
      <c r="B498" t="s">
        <v>25</v>
      </c>
      <c r="C498">
        <v>706</v>
      </c>
      <c r="D498">
        <v>2</v>
      </c>
      <c r="E498" t="s">
        <v>35</v>
      </c>
      <c r="F498" t="s">
        <v>38</v>
      </c>
      <c r="G498" t="str">
        <f>"2026-01-13 10:26:03.330"</f>
        <v>2026-01-13 10:26:03.330</v>
      </c>
      <c r="H498" t="s">
        <v>22</v>
      </c>
      <c r="I498">
        <v>0</v>
      </c>
      <c r="J498" t="s">
        <v>24</v>
      </c>
    </row>
    <row r="499" spans="1:10" x14ac:dyDescent="0.25">
      <c r="A499" s="1">
        <v>4</v>
      </c>
      <c r="B499" t="s">
        <v>37</v>
      </c>
      <c r="C499">
        <v>630</v>
      </c>
      <c r="D499">
        <v>5</v>
      </c>
      <c r="E499" t="s">
        <v>32</v>
      </c>
      <c r="F499" t="s">
        <v>33</v>
      </c>
      <c r="G499" t="str">
        <f>"2026-01-13 10:22:43.789"</f>
        <v>2026-01-13 10:22:43.789</v>
      </c>
      <c r="H499" t="s">
        <v>34</v>
      </c>
      <c r="I499">
        <v>0</v>
      </c>
      <c r="J499" t="s">
        <v>24</v>
      </c>
    </row>
    <row r="500" spans="1:10" x14ac:dyDescent="0.25">
      <c r="A500" s="1">
        <v>6</v>
      </c>
      <c r="B500" t="s">
        <v>19</v>
      </c>
      <c r="C500">
        <v>635</v>
      </c>
      <c r="D500">
        <v>1</v>
      </c>
      <c r="E500" t="s">
        <v>28</v>
      </c>
      <c r="F500" t="s">
        <v>29</v>
      </c>
      <c r="G500" t="str">
        <f>"2026-01-12 02:39:00.089"</f>
        <v>2026-01-12 02:39:00.089</v>
      </c>
      <c r="H500" t="s">
        <v>22</v>
      </c>
    </row>
    <row r="501" spans="1:10" x14ac:dyDescent="0.25">
      <c r="A501" s="1">
        <v>7</v>
      </c>
      <c r="B501" t="s">
        <v>23</v>
      </c>
      <c r="C501">
        <v>635</v>
      </c>
      <c r="D501">
        <v>1</v>
      </c>
      <c r="E501" t="s">
        <v>28</v>
      </c>
      <c r="F501" t="s">
        <v>29</v>
      </c>
      <c r="G501" t="str">
        <f>"2026-01-12 02:32:42.589"</f>
        <v>2026-01-12 02:32:42.589</v>
      </c>
      <c r="H501" t="s">
        <v>22</v>
      </c>
      <c r="I501">
        <v>1.64</v>
      </c>
      <c r="J501" t="s">
        <v>30</v>
      </c>
    </row>
    <row r="502" spans="1:10" x14ac:dyDescent="0.25">
      <c r="A502" s="1">
        <v>8</v>
      </c>
      <c r="B502" t="s">
        <v>19</v>
      </c>
      <c r="C502">
        <v>630</v>
      </c>
      <c r="D502">
        <v>5</v>
      </c>
      <c r="E502" t="s">
        <v>32</v>
      </c>
      <c r="F502" t="s">
        <v>33</v>
      </c>
      <c r="G502" t="str">
        <f>"2026-01-11 09:07:19.789"</f>
        <v>2026-01-11 09:07:19.789</v>
      </c>
      <c r="H502" t="s">
        <v>34</v>
      </c>
    </row>
    <row r="503" spans="1:10" x14ac:dyDescent="0.25">
      <c r="A503" s="1">
        <v>9</v>
      </c>
      <c r="B503" t="s">
        <v>25</v>
      </c>
      <c r="C503">
        <v>706</v>
      </c>
      <c r="D503">
        <v>4</v>
      </c>
      <c r="E503" t="s">
        <v>35</v>
      </c>
      <c r="F503" t="s">
        <v>36</v>
      </c>
      <c r="G503" t="str">
        <f>"2026-01-11 09:06:49.660"</f>
        <v>2026-01-11 09:06:49.660</v>
      </c>
      <c r="H503" t="s">
        <v>22</v>
      </c>
      <c r="I503">
        <v>0</v>
      </c>
      <c r="J503" t="s">
        <v>24</v>
      </c>
    </row>
    <row r="504" spans="1:10" x14ac:dyDescent="0.25">
      <c r="A504" s="1">
        <v>10</v>
      </c>
      <c r="B504" t="s">
        <v>37</v>
      </c>
      <c r="C504">
        <v>630</v>
      </c>
      <c r="D504">
        <v>5</v>
      </c>
      <c r="E504" t="s">
        <v>32</v>
      </c>
      <c r="F504" t="s">
        <v>33</v>
      </c>
      <c r="G504" t="str">
        <f>"2026-01-11 08:56:56.489"</f>
        <v>2026-01-11 08:56:56.489</v>
      </c>
      <c r="H504" t="s">
        <v>34</v>
      </c>
      <c r="I504">
        <v>0</v>
      </c>
      <c r="J504" t="s">
        <v>24</v>
      </c>
    </row>
    <row r="505" spans="1:10" x14ac:dyDescent="0.25">
      <c r="A505" s="1">
        <v>11</v>
      </c>
      <c r="B505" t="s">
        <v>19</v>
      </c>
      <c r="C505">
        <v>630</v>
      </c>
      <c r="D505">
        <v>5</v>
      </c>
      <c r="E505" t="s">
        <v>32</v>
      </c>
      <c r="F505" t="s">
        <v>33</v>
      </c>
      <c r="G505" t="str">
        <f>"2026-01-09 16:03:36.389"</f>
        <v>2026-01-09 16:03:36.389</v>
      </c>
      <c r="H505" t="s">
        <v>34</v>
      </c>
    </row>
    <row r="506" spans="1:10" x14ac:dyDescent="0.25">
      <c r="A506" s="1">
        <v>12</v>
      </c>
      <c r="B506" t="s">
        <v>25</v>
      </c>
      <c r="C506">
        <v>706</v>
      </c>
      <c r="D506">
        <v>2</v>
      </c>
      <c r="E506" t="s">
        <v>35</v>
      </c>
      <c r="F506" t="s">
        <v>38</v>
      </c>
      <c r="G506" t="str">
        <f>"2026-01-09 16:03:06.230"</f>
        <v>2026-01-09 16:03:06.230</v>
      </c>
      <c r="H506" t="s">
        <v>22</v>
      </c>
      <c r="I506">
        <v>0</v>
      </c>
      <c r="J506" t="s">
        <v>24</v>
      </c>
    </row>
    <row r="507" spans="1:10" x14ac:dyDescent="0.25">
      <c r="A507" s="1">
        <v>13</v>
      </c>
      <c r="B507" t="s">
        <v>37</v>
      </c>
      <c r="C507">
        <v>630</v>
      </c>
      <c r="D507">
        <v>5</v>
      </c>
      <c r="E507" t="s">
        <v>32</v>
      </c>
      <c r="F507" t="s">
        <v>33</v>
      </c>
      <c r="G507" t="str">
        <f>"2026-01-09 15:57:51.489"</f>
        <v>2026-01-09 15:57:51.489</v>
      </c>
      <c r="H507" t="s">
        <v>34</v>
      </c>
      <c r="I507">
        <v>0</v>
      </c>
      <c r="J507" t="s">
        <v>24</v>
      </c>
    </row>
    <row r="508" spans="1:10" x14ac:dyDescent="0.25">
      <c r="A508" s="1">
        <v>14</v>
      </c>
      <c r="B508" t="s">
        <v>19</v>
      </c>
      <c r="C508">
        <v>635</v>
      </c>
      <c r="D508">
        <v>1</v>
      </c>
      <c r="E508" t="s">
        <v>28</v>
      </c>
      <c r="F508" t="s">
        <v>29</v>
      </c>
      <c r="G508" t="str">
        <f>"2026-01-08 16:21:46.389"</f>
        <v>2026-01-08 16:21:46.389</v>
      </c>
      <c r="H508" t="s">
        <v>22</v>
      </c>
    </row>
    <row r="509" spans="1:10" x14ac:dyDescent="0.25">
      <c r="A509" s="1">
        <v>15</v>
      </c>
      <c r="B509" t="s">
        <v>23</v>
      </c>
      <c r="C509">
        <v>635</v>
      </c>
      <c r="D509">
        <v>1</v>
      </c>
      <c r="E509" t="s">
        <v>28</v>
      </c>
      <c r="F509" t="s">
        <v>29</v>
      </c>
      <c r="G509" t="str">
        <f>"2026-01-08 16:16:32.889"</f>
        <v>2026-01-08 16:16:32.889</v>
      </c>
      <c r="H509" t="s">
        <v>22</v>
      </c>
      <c r="I509">
        <v>1.25</v>
      </c>
      <c r="J509" t="s">
        <v>31</v>
      </c>
    </row>
    <row r="510" spans="1:10" x14ac:dyDescent="0.25">
      <c r="A510" s="1">
        <v>16</v>
      </c>
      <c r="B510" t="s">
        <v>25</v>
      </c>
      <c r="C510">
        <v>700</v>
      </c>
      <c r="D510">
        <v>0</v>
      </c>
      <c r="E510" t="s">
        <v>26</v>
      </c>
      <c r="F510" t="s">
        <v>26</v>
      </c>
      <c r="G510" t="str">
        <f>"2026-01-08 04:55:00.760"</f>
        <v>2026-01-08 04:55:00.760</v>
      </c>
      <c r="H510" t="s">
        <v>22</v>
      </c>
      <c r="I510">
        <v>0</v>
      </c>
      <c r="J510" t="s">
        <v>27</v>
      </c>
    </row>
    <row r="511" spans="1:10" s="3" customFormat="1" x14ac:dyDescent="0.25">
      <c r="A511" s="2">
        <v>18</v>
      </c>
      <c r="B511" s="3" t="s">
        <v>19</v>
      </c>
      <c r="C511" s="3">
        <v>647</v>
      </c>
      <c r="D511" s="3">
        <v>1</v>
      </c>
      <c r="E511" s="3" t="s">
        <v>49</v>
      </c>
      <c r="F511" s="3" t="s">
        <v>50</v>
      </c>
      <c r="G511" s="3" t="str">
        <f>"2026-01-07 19:25:11.543"</f>
        <v>2026-01-07 19:25:11.543</v>
      </c>
      <c r="H511" s="3" t="s">
        <v>22</v>
      </c>
    </row>
    <row r="512" spans="1:10" s="3" customFormat="1" x14ac:dyDescent="0.25">
      <c r="A512" s="2">
        <v>19</v>
      </c>
      <c r="B512" s="3" t="s">
        <v>23</v>
      </c>
      <c r="C512" s="3">
        <v>647</v>
      </c>
      <c r="D512" s="3">
        <v>1</v>
      </c>
      <c r="E512" s="3" t="s">
        <v>49</v>
      </c>
      <c r="F512" s="3" t="s">
        <v>50</v>
      </c>
      <c r="G512" s="3" t="str">
        <f>"2026-01-07 19:25:10.442"</f>
        <v>2026-01-07 19:25:10.442</v>
      </c>
      <c r="H512" s="3" t="s">
        <v>22</v>
      </c>
      <c r="I512" s="3">
        <v>15.83</v>
      </c>
      <c r="J512" s="3" t="s">
        <v>31</v>
      </c>
    </row>
    <row r="513" spans="1:10" x14ac:dyDescent="0.25">
      <c r="A513" s="1">
        <v>20</v>
      </c>
      <c r="B513" t="s">
        <v>19</v>
      </c>
      <c r="C513">
        <v>635</v>
      </c>
      <c r="D513">
        <v>1</v>
      </c>
      <c r="E513" t="s">
        <v>28</v>
      </c>
      <c r="F513" t="s">
        <v>29</v>
      </c>
      <c r="G513" t="str">
        <f>"2026-01-07 17:06:09.294"</f>
        <v>2026-01-07 17:06:09.294</v>
      </c>
      <c r="H513" t="s">
        <v>22</v>
      </c>
    </row>
    <row r="514" spans="1:10" x14ac:dyDescent="0.25">
      <c r="A514" s="1">
        <v>21</v>
      </c>
      <c r="B514" t="s">
        <v>23</v>
      </c>
      <c r="C514">
        <v>635</v>
      </c>
      <c r="D514">
        <v>1</v>
      </c>
      <c r="E514" t="s">
        <v>28</v>
      </c>
      <c r="F514" t="s">
        <v>29</v>
      </c>
      <c r="G514" t="str">
        <f>"2026-01-07 16:59:11.794"</f>
        <v>2026-01-07 16:59:11.794</v>
      </c>
      <c r="H514" t="s">
        <v>22</v>
      </c>
      <c r="I514">
        <v>4.62</v>
      </c>
      <c r="J514" t="s">
        <v>31</v>
      </c>
    </row>
    <row r="515" spans="1:10" x14ac:dyDescent="0.25">
      <c r="A515" s="1">
        <v>22</v>
      </c>
      <c r="B515" t="s">
        <v>19</v>
      </c>
      <c r="C515">
        <v>630</v>
      </c>
      <c r="D515">
        <v>5</v>
      </c>
      <c r="E515" t="s">
        <v>32</v>
      </c>
      <c r="F515" t="s">
        <v>33</v>
      </c>
      <c r="G515" t="str">
        <f>"2026-01-07 09:34:50.143"</f>
        <v>2026-01-07 09:34:50.143</v>
      </c>
      <c r="H515" t="s">
        <v>34</v>
      </c>
    </row>
    <row r="516" spans="1:10" x14ac:dyDescent="0.25">
      <c r="A516" s="1">
        <v>23</v>
      </c>
      <c r="B516" t="s">
        <v>25</v>
      </c>
      <c r="C516">
        <v>706</v>
      </c>
      <c r="D516">
        <v>4</v>
      </c>
      <c r="E516" t="s">
        <v>35</v>
      </c>
      <c r="F516" t="s">
        <v>36</v>
      </c>
      <c r="G516" t="str">
        <f>"2026-01-07 09:34:20.175"</f>
        <v>2026-01-07 09:34:20.175</v>
      </c>
      <c r="H516" t="s">
        <v>22</v>
      </c>
      <c r="I516">
        <v>0</v>
      </c>
      <c r="J516" t="s">
        <v>24</v>
      </c>
    </row>
    <row r="517" spans="1:10" x14ac:dyDescent="0.25">
      <c r="A517" s="1">
        <v>24</v>
      </c>
      <c r="B517" t="s">
        <v>37</v>
      </c>
      <c r="C517">
        <v>630</v>
      </c>
      <c r="D517">
        <v>5</v>
      </c>
      <c r="E517" t="s">
        <v>32</v>
      </c>
      <c r="F517" t="s">
        <v>33</v>
      </c>
      <c r="G517" t="str">
        <f>"2026-01-07 09:34:14.742"</f>
        <v>2026-01-07 09:34:14.742</v>
      </c>
      <c r="H517" t="s">
        <v>34</v>
      </c>
      <c r="I517">
        <v>0</v>
      </c>
      <c r="J517" t="s">
        <v>24</v>
      </c>
    </row>
    <row r="518" spans="1:10" x14ac:dyDescent="0.25">
      <c r="A518" s="1">
        <v>25</v>
      </c>
      <c r="B518" t="s">
        <v>19</v>
      </c>
      <c r="C518">
        <v>630</v>
      </c>
      <c r="D518">
        <v>5</v>
      </c>
      <c r="E518" t="s">
        <v>32</v>
      </c>
      <c r="F518" t="s">
        <v>33</v>
      </c>
      <c r="G518" t="str">
        <f>"2026-01-07 04:40:17.742"</f>
        <v>2026-01-07 04:40:17.742</v>
      </c>
      <c r="H518" t="s">
        <v>34</v>
      </c>
    </row>
    <row r="519" spans="1:10" x14ac:dyDescent="0.25">
      <c r="A519" s="1">
        <v>26</v>
      </c>
      <c r="B519" t="s">
        <v>25</v>
      </c>
      <c r="C519">
        <v>706</v>
      </c>
      <c r="D519">
        <v>4</v>
      </c>
      <c r="E519" t="s">
        <v>35</v>
      </c>
      <c r="F519" t="s">
        <v>36</v>
      </c>
      <c r="G519" t="str">
        <f>"2026-01-07 04:39:47.645"</f>
        <v>2026-01-07 04:39:47.645</v>
      </c>
      <c r="H519" t="s">
        <v>22</v>
      </c>
      <c r="I519">
        <v>0</v>
      </c>
      <c r="J519" t="s">
        <v>24</v>
      </c>
    </row>
    <row r="520" spans="1:10" x14ac:dyDescent="0.25">
      <c r="A520" s="1">
        <v>27</v>
      </c>
      <c r="B520" t="s">
        <v>37</v>
      </c>
      <c r="C520">
        <v>630</v>
      </c>
      <c r="D520">
        <v>5</v>
      </c>
      <c r="E520" t="s">
        <v>32</v>
      </c>
      <c r="F520" t="s">
        <v>33</v>
      </c>
      <c r="G520" t="str">
        <f>"2026-01-07 04:37:18.543"</f>
        <v>2026-01-07 04:37:18.543</v>
      </c>
      <c r="H520" t="s">
        <v>34</v>
      </c>
      <c r="I520">
        <v>0</v>
      </c>
      <c r="J520" t="s">
        <v>24</v>
      </c>
    </row>
    <row r="521" spans="1:10" x14ac:dyDescent="0.25">
      <c r="A521" s="1">
        <v>28</v>
      </c>
      <c r="B521" t="s">
        <v>25</v>
      </c>
      <c r="C521">
        <v>700</v>
      </c>
      <c r="D521">
        <v>0</v>
      </c>
      <c r="E521" t="s">
        <v>26</v>
      </c>
      <c r="F521" t="s">
        <v>26</v>
      </c>
      <c r="G521" t="str">
        <f>"2026-01-07 04:32:15.755"</f>
        <v>2026-01-07 04:32:15.755</v>
      </c>
      <c r="H521" t="s">
        <v>22</v>
      </c>
    </row>
    <row r="522" spans="1:10" x14ac:dyDescent="0.25">
      <c r="A522" s="1">
        <v>29</v>
      </c>
      <c r="B522" t="s">
        <v>37</v>
      </c>
      <c r="C522">
        <v>630</v>
      </c>
      <c r="D522">
        <v>5</v>
      </c>
      <c r="E522" t="s">
        <v>32</v>
      </c>
      <c r="F522" t="s">
        <v>33</v>
      </c>
      <c r="G522" t="str">
        <f>"2026-01-07 02:55:08.712"</f>
        <v>2026-01-07 02:55:08.712</v>
      </c>
      <c r="H522" t="s">
        <v>34</v>
      </c>
      <c r="I522">
        <v>0</v>
      </c>
      <c r="J522" t="s">
        <v>24</v>
      </c>
    </row>
    <row r="523" spans="1:10" x14ac:dyDescent="0.25">
      <c r="A523" s="1">
        <v>30</v>
      </c>
      <c r="B523" t="s">
        <v>25</v>
      </c>
      <c r="C523">
        <v>700</v>
      </c>
      <c r="D523">
        <v>0</v>
      </c>
      <c r="E523" t="s">
        <v>26</v>
      </c>
      <c r="F523" t="s">
        <v>26</v>
      </c>
      <c r="G523" t="str">
        <f>"2026-01-07 02:50:06.016"</f>
        <v>2026-01-07 02:50:06.016</v>
      </c>
      <c r="H523" t="s">
        <v>22</v>
      </c>
    </row>
    <row r="524" spans="1:10" x14ac:dyDescent="0.25">
      <c r="A524" s="1">
        <v>31</v>
      </c>
      <c r="B524" t="s">
        <v>25</v>
      </c>
      <c r="C524">
        <v>706</v>
      </c>
      <c r="D524">
        <v>2</v>
      </c>
      <c r="E524" t="s">
        <v>35</v>
      </c>
      <c r="F524" t="s">
        <v>38</v>
      </c>
      <c r="G524" t="str">
        <f>"2026-01-06 13:17:06.719"</f>
        <v>2026-01-06 13:17:06.719</v>
      </c>
      <c r="H524" t="s">
        <v>22</v>
      </c>
      <c r="I524">
        <v>0</v>
      </c>
      <c r="J524" t="s">
        <v>24</v>
      </c>
    </row>
    <row r="525" spans="1:10" x14ac:dyDescent="0.25">
      <c r="A525" s="1">
        <v>32</v>
      </c>
      <c r="B525" t="s">
        <v>19</v>
      </c>
      <c r="C525">
        <v>635</v>
      </c>
      <c r="D525">
        <v>1</v>
      </c>
      <c r="E525" t="s">
        <v>28</v>
      </c>
      <c r="F525" t="s">
        <v>29</v>
      </c>
      <c r="G525" t="str">
        <f>"2026-01-05 17:14:18.339"</f>
        <v>2026-01-05 17:14:18.339</v>
      </c>
      <c r="H525" t="s">
        <v>22</v>
      </c>
    </row>
    <row r="526" spans="1:10" x14ac:dyDescent="0.25">
      <c r="A526" s="1">
        <v>33</v>
      </c>
      <c r="B526" t="s">
        <v>23</v>
      </c>
      <c r="C526">
        <v>635</v>
      </c>
      <c r="D526">
        <v>1</v>
      </c>
      <c r="E526" t="s">
        <v>28</v>
      </c>
      <c r="F526" t="s">
        <v>29</v>
      </c>
      <c r="G526" t="str">
        <f>"2026-01-05 17:10:24.339"</f>
        <v>2026-01-05 17:10:24.339</v>
      </c>
      <c r="H526" t="s">
        <v>22</v>
      </c>
      <c r="I526">
        <v>3.65</v>
      </c>
      <c r="J526" t="s">
        <v>31</v>
      </c>
    </row>
    <row r="527" spans="1:10" x14ac:dyDescent="0.25">
      <c r="A527" s="1">
        <v>34</v>
      </c>
      <c r="B527" t="s">
        <v>19</v>
      </c>
      <c r="C527">
        <v>630</v>
      </c>
      <c r="D527">
        <v>5</v>
      </c>
      <c r="E527" t="s">
        <v>32</v>
      </c>
      <c r="F527" t="s">
        <v>33</v>
      </c>
      <c r="G527" t="str">
        <f>"2026-01-04 10:35:05.687"</f>
        <v>2026-01-04 10:35:05.687</v>
      </c>
      <c r="H527" t="s">
        <v>34</v>
      </c>
    </row>
    <row r="528" spans="1:10" x14ac:dyDescent="0.25">
      <c r="A528" s="1">
        <v>35</v>
      </c>
      <c r="B528" t="s">
        <v>25</v>
      </c>
      <c r="C528">
        <v>706</v>
      </c>
      <c r="D528">
        <v>4</v>
      </c>
      <c r="E528" t="s">
        <v>35</v>
      </c>
      <c r="F528" t="s">
        <v>36</v>
      </c>
      <c r="G528" t="str">
        <f>"2026-01-04 10:34:35.569"</f>
        <v>2026-01-04 10:34:35.569</v>
      </c>
      <c r="H528" t="s">
        <v>22</v>
      </c>
      <c r="I528">
        <v>0</v>
      </c>
      <c r="J528" t="s">
        <v>24</v>
      </c>
    </row>
    <row r="529" spans="1:10" x14ac:dyDescent="0.25">
      <c r="A529" s="1">
        <v>36</v>
      </c>
      <c r="B529" t="s">
        <v>37</v>
      </c>
      <c r="C529">
        <v>630</v>
      </c>
      <c r="D529">
        <v>5</v>
      </c>
      <c r="E529" t="s">
        <v>32</v>
      </c>
      <c r="F529" t="s">
        <v>33</v>
      </c>
      <c r="G529" t="str">
        <f>"2026-01-04 10:30:38.087"</f>
        <v>2026-01-04 10:30:38.087</v>
      </c>
      <c r="H529" t="s">
        <v>34</v>
      </c>
      <c r="I529">
        <v>0</v>
      </c>
      <c r="J529" t="s">
        <v>24</v>
      </c>
    </row>
    <row r="530" spans="1:10" x14ac:dyDescent="0.25">
      <c r="A530" s="1">
        <v>37</v>
      </c>
      <c r="B530" t="s">
        <v>19</v>
      </c>
      <c r="C530">
        <v>630</v>
      </c>
      <c r="D530">
        <v>5</v>
      </c>
      <c r="E530" t="s">
        <v>32</v>
      </c>
      <c r="F530" t="s">
        <v>33</v>
      </c>
      <c r="G530" t="str">
        <f>"2026-01-03 11:07:35.387"</f>
        <v>2026-01-03 11:07:35.387</v>
      </c>
      <c r="H530" t="s">
        <v>34</v>
      </c>
    </row>
    <row r="531" spans="1:10" x14ac:dyDescent="0.25">
      <c r="A531" s="1">
        <v>38</v>
      </c>
      <c r="B531" t="s">
        <v>25</v>
      </c>
      <c r="C531">
        <v>706</v>
      </c>
      <c r="D531">
        <v>4</v>
      </c>
      <c r="E531" t="s">
        <v>35</v>
      </c>
      <c r="F531" t="s">
        <v>36</v>
      </c>
      <c r="G531" t="str">
        <f>"2026-01-03 11:07:05.339"</f>
        <v>2026-01-03 11:07:05.339</v>
      </c>
      <c r="H531" t="s">
        <v>22</v>
      </c>
      <c r="I531">
        <v>0</v>
      </c>
      <c r="J531" t="s">
        <v>24</v>
      </c>
    </row>
    <row r="532" spans="1:10" x14ac:dyDescent="0.25">
      <c r="A532" s="1">
        <v>39</v>
      </c>
      <c r="B532" t="s">
        <v>37</v>
      </c>
      <c r="C532">
        <v>630</v>
      </c>
      <c r="D532">
        <v>5</v>
      </c>
      <c r="E532" t="s">
        <v>32</v>
      </c>
      <c r="F532" t="s">
        <v>33</v>
      </c>
      <c r="G532" t="str">
        <f>"2026-01-03 11:04:33.787"</f>
        <v>2026-01-03 11:04:33.787</v>
      </c>
      <c r="H532" t="s">
        <v>34</v>
      </c>
      <c r="I532">
        <v>0</v>
      </c>
      <c r="J532" t="s">
        <v>24</v>
      </c>
    </row>
    <row r="533" spans="1:10" x14ac:dyDescent="0.25">
      <c r="A533" s="1">
        <v>40</v>
      </c>
      <c r="B533" t="s">
        <v>19</v>
      </c>
      <c r="C533">
        <v>630</v>
      </c>
      <c r="D533">
        <v>5</v>
      </c>
      <c r="E533" t="s">
        <v>32</v>
      </c>
      <c r="F533" t="s">
        <v>33</v>
      </c>
      <c r="G533" t="str">
        <f>"2026-01-02 10:04:55.687"</f>
        <v>2026-01-02 10:04:55.687</v>
      </c>
      <c r="H533" t="s">
        <v>34</v>
      </c>
    </row>
    <row r="534" spans="1:10" x14ac:dyDescent="0.25">
      <c r="A534" s="1">
        <v>41</v>
      </c>
      <c r="B534" t="s">
        <v>25</v>
      </c>
      <c r="C534">
        <v>706</v>
      </c>
      <c r="D534">
        <v>4</v>
      </c>
      <c r="E534" t="s">
        <v>35</v>
      </c>
      <c r="F534" t="s">
        <v>36</v>
      </c>
      <c r="G534" t="str">
        <f>"2026-01-02 10:04:25.619"</f>
        <v>2026-01-02 10:04:25.619</v>
      </c>
      <c r="H534" t="s">
        <v>22</v>
      </c>
      <c r="I534">
        <v>0</v>
      </c>
      <c r="J534" t="s">
        <v>24</v>
      </c>
    </row>
    <row r="535" spans="1:10" x14ac:dyDescent="0.25">
      <c r="A535" s="1">
        <v>42</v>
      </c>
      <c r="B535" t="s">
        <v>37</v>
      </c>
      <c r="C535">
        <v>630</v>
      </c>
      <c r="D535">
        <v>5</v>
      </c>
      <c r="E535" t="s">
        <v>32</v>
      </c>
      <c r="F535" t="s">
        <v>33</v>
      </c>
      <c r="G535" t="str">
        <f>"2026-01-02 09:57:39.288"</f>
        <v>2026-01-02 09:57:39.288</v>
      </c>
      <c r="H535" t="s">
        <v>34</v>
      </c>
      <c r="I535">
        <v>0</v>
      </c>
      <c r="J535" t="s">
        <v>24</v>
      </c>
    </row>
    <row r="536" spans="1:10" x14ac:dyDescent="0.25">
      <c r="A536" s="1">
        <v>43</v>
      </c>
      <c r="B536" t="s">
        <v>25</v>
      </c>
      <c r="C536">
        <v>706</v>
      </c>
      <c r="D536">
        <v>2</v>
      </c>
      <c r="E536" t="s">
        <v>35</v>
      </c>
      <c r="F536" t="s">
        <v>38</v>
      </c>
      <c r="G536" t="str">
        <f>"2026-01-01 14:01:23.119"</f>
        <v>2026-01-01 14:01:23.119</v>
      </c>
      <c r="H536" t="s">
        <v>22</v>
      </c>
      <c r="I536">
        <v>0</v>
      </c>
      <c r="J536" t="s">
        <v>24</v>
      </c>
    </row>
    <row r="537" spans="1:10" x14ac:dyDescent="0.25">
      <c r="A537" s="1">
        <v>45</v>
      </c>
      <c r="B537" t="s">
        <v>25</v>
      </c>
      <c r="C537">
        <v>700</v>
      </c>
      <c r="D537">
        <v>0</v>
      </c>
      <c r="E537" t="s">
        <v>26</v>
      </c>
      <c r="F537" t="s">
        <v>26</v>
      </c>
      <c r="G537" t="str">
        <f>"2025-12-29 10:08:21.939"</f>
        <v>2025-12-29 10:08:21.939</v>
      </c>
      <c r="H537" t="s">
        <v>22</v>
      </c>
      <c r="I537">
        <v>0</v>
      </c>
      <c r="J537" t="s">
        <v>27</v>
      </c>
    </row>
    <row r="538" spans="1:10" x14ac:dyDescent="0.25">
      <c r="A538" s="1">
        <v>46</v>
      </c>
      <c r="B538" t="s">
        <v>19</v>
      </c>
      <c r="C538">
        <v>635</v>
      </c>
      <c r="D538">
        <v>1</v>
      </c>
      <c r="E538" t="s">
        <v>28</v>
      </c>
      <c r="F538" t="s">
        <v>29</v>
      </c>
      <c r="G538" t="str">
        <f>"2025-12-29 01:39:05.195"</f>
        <v>2025-12-29 01:39:05.195</v>
      </c>
      <c r="H538" t="s">
        <v>22</v>
      </c>
    </row>
    <row r="539" spans="1:10" x14ac:dyDescent="0.25">
      <c r="A539" s="1">
        <v>47</v>
      </c>
      <c r="B539" t="s">
        <v>23</v>
      </c>
      <c r="C539">
        <v>635</v>
      </c>
      <c r="D539">
        <v>1</v>
      </c>
      <c r="E539" t="s">
        <v>28</v>
      </c>
      <c r="F539" t="s">
        <v>29</v>
      </c>
      <c r="G539" t="str">
        <f>"2025-12-29 01:33:23.695"</f>
        <v>2025-12-29 01:33:23.695</v>
      </c>
      <c r="H539" t="s">
        <v>22</v>
      </c>
      <c r="I539">
        <v>0.02</v>
      </c>
      <c r="J539" t="s">
        <v>30</v>
      </c>
    </row>
    <row r="540" spans="1:10" x14ac:dyDescent="0.25">
      <c r="A540" s="1">
        <v>48</v>
      </c>
      <c r="B540" t="s">
        <v>19</v>
      </c>
      <c r="C540">
        <v>635</v>
      </c>
      <c r="D540">
        <v>1</v>
      </c>
      <c r="E540" t="s">
        <v>28</v>
      </c>
      <c r="F540" t="s">
        <v>29</v>
      </c>
      <c r="G540" t="str">
        <f>"2025-12-28 17:56:01.895"</f>
        <v>2025-12-28 17:56:01.895</v>
      </c>
      <c r="H540" t="s">
        <v>22</v>
      </c>
    </row>
    <row r="541" spans="1:10" x14ac:dyDescent="0.25">
      <c r="A541" s="1">
        <v>49</v>
      </c>
      <c r="B541" t="s">
        <v>23</v>
      </c>
      <c r="C541">
        <v>635</v>
      </c>
      <c r="D541">
        <v>1</v>
      </c>
      <c r="E541" t="s">
        <v>28</v>
      </c>
      <c r="F541" t="s">
        <v>29</v>
      </c>
      <c r="G541" t="str">
        <f>"2025-12-28 17:49:43.495"</f>
        <v>2025-12-28 17:49:43.495</v>
      </c>
      <c r="H541" t="s">
        <v>22</v>
      </c>
      <c r="I541">
        <v>4.04</v>
      </c>
      <c r="J541" t="s">
        <v>30</v>
      </c>
    </row>
    <row r="542" spans="1:10" x14ac:dyDescent="0.25">
      <c r="A542" s="1">
        <v>50</v>
      </c>
      <c r="B542" t="s">
        <v>19</v>
      </c>
      <c r="C542">
        <v>635</v>
      </c>
      <c r="D542">
        <v>1</v>
      </c>
      <c r="E542" t="s">
        <v>28</v>
      </c>
      <c r="F542" t="s">
        <v>29</v>
      </c>
      <c r="G542" t="str">
        <f>"2025-12-27 12:18:20.795"</f>
        <v>2025-12-27 12:18:20.795</v>
      </c>
      <c r="H542" t="s">
        <v>22</v>
      </c>
    </row>
    <row r="543" spans="1:10" x14ac:dyDescent="0.25">
      <c r="A543" s="1">
        <v>51</v>
      </c>
      <c r="B543" t="s">
        <v>23</v>
      </c>
      <c r="C543">
        <v>635</v>
      </c>
      <c r="D543">
        <v>1</v>
      </c>
      <c r="E543" t="s">
        <v>28</v>
      </c>
      <c r="F543" t="s">
        <v>29</v>
      </c>
      <c r="G543" t="str">
        <f>"2025-12-27 12:12:10.295"</f>
        <v>2025-12-27 12:12:10.295</v>
      </c>
      <c r="H543" t="s">
        <v>22</v>
      </c>
      <c r="I543">
        <v>1.63</v>
      </c>
      <c r="J543" t="s">
        <v>30</v>
      </c>
    </row>
    <row r="544" spans="1:10" x14ac:dyDescent="0.25">
      <c r="A544" s="1">
        <v>52</v>
      </c>
      <c r="B544" t="s">
        <v>19</v>
      </c>
      <c r="C544">
        <v>630</v>
      </c>
      <c r="D544">
        <v>5</v>
      </c>
      <c r="E544" t="s">
        <v>32</v>
      </c>
      <c r="F544" t="s">
        <v>33</v>
      </c>
      <c r="G544" t="str">
        <f>"2025-12-27 11:45:19.696"</f>
        <v>2025-12-27 11:45:19.696</v>
      </c>
      <c r="H544" t="s">
        <v>34</v>
      </c>
    </row>
    <row r="545" spans="1:10" x14ac:dyDescent="0.25">
      <c r="A545" s="1">
        <v>53</v>
      </c>
      <c r="B545" t="s">
        <v>25</v>
      </c>
      <c r="C545">
        <v>706</v>
      </c>
      <c r="D545">
        <v>4</v>
      </c>
      <c r="E545" t="s">
        <v>35</v>
      </c>
      <c r="F545" t="s">
        <v>36</v>
      </c>
      <c r="G545" t="str">
        <f>"2025-12-27 11:44:49.585"</f>
        <v>2025-12-27 11:44:49.585</v>
      </c>
      <c r="H545" t="s">
        <v>22</v>
      </c>
      <c r="I545">
        <v>0</v>
      </c>
      <c r="J545" t="s">
        <v>24</v>
      </c>
    </row>
    <row r="546" spans="1:10" x14ac:dyDescent="0.25">
      <c r="A546" s="1">
        <v>54</v>
      </c>
      <c r="B546" t="s">
        <v>25</v>
      </c>
      <c r="C546">
        <v>706</v>
      </c>
      <c r="D546">
        <v>2</v>
      </c>
      <c r="E546" t="s">
        <v>35</v>
      </c>
      <c r="F546" t="s">
        <v>38</v>
      </c>
      <c r="G546" t="str">
        <f>"2025-12-27 11:44:30.085"</f>
        <v>2025-12-27 11:44:30.085</v>
      </c>
      <c r="H546" t="s">
        <v>22</v>
      </c>
      <c r="I546">
        <v>0</v>
      </c>
      <c r="J546" t="s">
        <v>24</v>
      </c>
    </row>
    <row r="547" spans="1:10" x14ac:dyDescent="0.25">
      <c r="A547" s="1">
        <v>55</v>
      </c>
      <c r="B547" t="s">
        <v>25</v>
      </c>
      <c r="C547">
        <v>706</v>
      </c>
      <c r="D547">
        <v>2</v>
      </c>
      <c r="E547" t="s">
        <v>35</v>
      </c>
      <c r="F547" t="s">
        <v>38</v>
      </c>
      <c r="G547" t="str">
        <f>"2025-12-27 11:44:20.285"</f>
        <v>2025-12-27 11:44:20.285</v>
      </c>
      <c r="H547" t="s">
        <v>22</v>
      </c>
      <c r="I547">
        <v>0</v>
      </c>
      <c r="J547" t="s">
        <v>24</v>
      </c>
    </row>
    <row r="548" spans="1:10" x14ac:dyDescent="0.25">
      <c r="A548" s="1">
        <v>56</v>
      </c>
      <c r="B548" t="s">
        <v>37</v>
      </c>
      <c r="C548">
        <v>630</v>
      </c>
      <c r="D548">
        <v>5</v>
      </c>
      <c r="E548" t="s">
        <v>32</v>
      </c>
      <c r="F548" t="s">
        <v>33</v>
      </c>
      <c r="G548" t="str">
        <f>"2025-12-27 11:11:31.396"</f>
        <v>2025-12-27 11:11:31.396</v>
      </c>
      <c r="H548" t="s">
        <v>34</v>
      </c>
      <c r="I548">
        <v>0</v>
      </c>
      <c r="J548" t="s">
        <v>24</v>
      </c>
    </row>
    <row r="549" spans="1:10" x14ac:dyDescent="0.25">
      <c r="A549" s="1">
        <v>57</v>
      </c>
      <c r="B549" t="s">
        <v>25</v>
      </c>
      <c r="C549">
        <v>700</v>
      </c>
      <c r="D549">
        <v>0</v>
      </c>
      <c r="E549" t="s">
        <v>26</v>
      </c>
      <c r="F549" t="s">
        <v>26</v>
      </c>
      <c r="G549" t="str">
        <f>"2025-12-27 11:06:28.745"</f>
        <v>2025-12-27 11:06:28.745</v>
      </c>
      <c r="H549" t="s">
        <v>22</v>
      </c>
      <c r="I549">
        <v>0</v>
      </c>
      <c r="J549" t="s">
        <v>27</v>
      </c>
    </row>
    <row r="550" spans="1:10" x14ac:dyDescent="0.25">
      <c r="A550" s="1">
        <v>58</v>
      </c>
      <c r="B550" t="s">
        <v>37</v>
      </c>
      <c r="C550">
        <v>630</v>
      </c>
      <c r="D550">
        <v>5</v>
      </c>
      <c r="E550" t="s">
        <v>32</v>
      </c>
      <c r="F550" t="s">
        <v>33</v>
      </c>
      <c r="G550" t="str">
        <f>"2025-12-27 09:11:51.485"</f>
        <v>2025-12-27 09:11:51.485</v>
      </c>
      <c r="H550" t="s">
        <v>34</v>
      </c>
      <c r="I550">
        <v>0</v>
      </c>
      <c r="J550" t="s">
        <v>24</v>
      </c>
    </row>
    <row r="551" spans="1:10" x14ac:dyDescent="0.25">
      <c r="A551" s="1">
        <v>59</v>
      </c>
      <c r="B551" t="s">
        <v>25</v>
      </c>
      <c r="C551">
        <v>700</v>
      </c>
      <c r="D551">
        <v>0</v>
      </c>
      <c r="E551" t="s">
        <v>26</v>
      </c>
      <c r="F551" t="s">
        <v>26</v>
      </c>
      <c r="G551" t="str">
        <f>"2025-12-27 09:06:48.786"</f>
        <v>2025-12-27 09:06:48.786</v>
      </c>
      <c r="H551" t="s">
        <v>22</v>
      </c>
      <c r="I551">
        <v>0</v>
      </c>
      <c r="J551" t="s">
        <v>27</v>
      </c>
    </row>
    <row r="552" spans="1:10" x14ac:dyDescent="0.25">
      <c r="A552" s="1">
        <v>60</v>
      </c>
      <c r="B552" t="s">
        <v>25</v>
      </c>
      <c r="C552">
        <v>700</v>
      </c>
      <c r="D552">
        <v>0</v>
      </c>
      <c r="E552" t="s">
        <v>26</v>
      </c>
      <c r="F552" t="s">
        <v>26</v>
      </c>
      <c r="G552" t="str">
        <f>"2025-12-27 00:55:34.770"</f>
        <v>2025-12-27 00:55:34.770</v>
      </c>
      <c r="H552" t="s">
        <v>22</v>
      </c>
      <c r="I552">
        <v>0</v>
      </c>
      <c r="J552" t="s">
        <v>27</v>
      </c>
    </row>
    <row r="553" spans="1:10" x14ac:dyDescent="0.25">
      <c r="A553" s="1">
        <v>61</v>
      </c>
      <c r="B553" t="s">
        <v>19</v>
      </c>
      <c r="C553">
        <v>635</v>
      </c>
      <c r="D553">
        <v>1</v>
      </c>
      <c r="E553" t="s">
        <v>28</v>
      </c>
      <c r="F553" t="s">
        <v>29</v>
      </c>
      <c r="G553" t="str">
        <f>"2025-12-27 00:38:47.730"</f>
        <v>2025-12-27 00:38:47.730</v>
      </c>
      <c r="H553" t="s">
        <v>22</v>
      </c>
    </row>
    <row r="554" spans="1:10" x14ac:dyDescent="0.25">
      <c r="A554" s="1">
        <v>62</v>
      </c>
      <c r="B554" t="s">
        <v>23</v>
      </c>
      <c r="C554">
        <v>635</v>
      </c>
      <c r="D554">
        <v>1</v>
      </c>
      <c r="E554" t="s">
        <v>28</v>
      </c>
      <c r="F554" t="s">
        <v>29</v>
      </c>
      <c r="G554" t="str">
        <f>"2025-12-27 00:22:12.730"</f>
        <v>2025-12-27 00:22:12.730</v>
      </c>
      <c r="H554" t="s">
        <v>22</v>
      </c>
      <c r="I554">
        <v>4.93</v>
      </c>
      <c r="J554" t="s">
        <v>30</v>
      </c>
    </row>
    <row r="555" spans="1:10" x14ac:dyDescent="0.25">
      <c r="A555" s="1">
        <v>65</v>
      </c>
      <c r="B555" t="s">
        <v>25</v>
      </c>
      <c r="C555">
        <v>700</v>
      </c>
      <c r="D555">
        <v>0</v>
      </c>
      <c r="E555" t="s">
        <v>26</v>
      </c>
      <c r="F555" t="s">
        <v>26</v>
      </c>
      <c r="G555" t="str">
        <f>"2025-12-25 14:00:29.881"</f>
        <v>2025-12-25 14:00:29.881</v>
      </c>
      <c r="H555" t="s">
        <v>22</v>
      </c>
      <c r="I555">
        <v>0</v>
      </c>
      <c r="J555" t="s">
        <v>27</v>
      </c>
    </row>
    <row r="556" spans="1:10" x14ac:dyDescent="0.25">
      <c r="A556" s="1">
        <v>66</v>
      </c>
      <c r="B556" t="s">
        <v>25</v>
      </c>
      <c r="C556">
        <v>700</v>
      </c>
      <c r="D556">
        <v>0</v>
      </c>
      <c r="E556" t="s">
        <v>26</v>
      </c>
      <c r="F556" t="s">
        <v>26</v>
      </c>
      <c r="G556" t="str">
        <f>"2025-12-25 11:26:02.821"</f>
        <v>2025-12-25 11:26:02.821</v>
      </c>
      <c r="H556" t="s">
        <v>22</v>
      </c>
      <c r="I556">
        <v>0</v>
      </c>
      <c r="J556" t="s">
        <v>27</v>
      </c>
    </row>
    <row r="557" spans="1:10" x14ac:dyDescent="0.25">
      <c r="A557" s="1">
        <v>67</v>
      </c>
      <c r="B557" t="s">
        <v>25</v>
      </c>
      <c r="C557">
        <v>706</v>
      </c>
      <c r="D557">
        <v>4</v>
      </c>
      <c r="E557" t="s">
        <v>35</v>
      </c>
      <c r="F557" t="s">
        <v>36</v>
      </c>
      <c r="G557" t="str">
        <f>"2025-12-25 11:25:00.021"</f>
        <v>2025-12-25 11:25:00.021</v>
      </c>
      <c r="H557" t="s">
        <v>22</v>
      </c>
      <c r="I557">
        <v>0</v>
      </c>
      <c r="J557" t="s">
        <v>24</v>
      </c>
    </row>
    <row r="558" spans="1:10" x14ac:dyDescent="0.25">
      <c r="A558" s="1">
        <v>68</v>
      </c>
      <c r="B558" t="s">
        <v>25</v>
      </c>
      <c r="C558">
        <v>706</v>
      </c>
      <c r="D558">
        <v>2</v>
      </c>
      <c r="E558" t="s">
        <v>35</v>
      </c>
      <c r="F558" t="s">
        <v>38</v>
      </c>
      <c r="G558" t="str">
        <f>"2025-12-25 11:24:32.081"</f>
        <v>2025-12-25 11:24:32.081</v>
      </c>
      <c r="H558" t="s">
        <v>22</v>
      </c>
      <c r="I558">
        <v>0</v>
      </c>
      <c r="J558" t="s">
        <v>24</v>
      </c>
    </row>
    <row r="559" spans="1:10" x14ac:dyDescent="0.25">
      <c r="A559" s="1">
        <v>69</v>
      </c>
      <c r="B559" t="s">
        <v>25</v>
      </c>
      <c r="C559">
        <v>700</v>
      </c>
      <c r="D559">
        <v>0</v>
      </c>
      <c r="E559" t="s">
        <v>26</v>
      </c>
      <c r="F559" t="s">
        <v>26</v>
      </c>
      <c r="G559" t="str">
        <f>"2025-12-25 11:15:10.761"</f>
        <v>2025-12-25 11:15:10.761</v>
      </c>
      <c r="H559" t="s">
        <v>22</v>
      </c>
    </row>
    <row r="560" spans="1:10" x14ac:dyDescent="0.25">
      <c r="A560" s="1">
        <v>70</v>
      </c>
      <c r="B560" t="s">
        <v>19</v>
      </c>
      <c r="C560">
        <v>635</v>
      </c>
      <c r="D560">
        <v>1</v>
      </c>
      <c r="E560" t="s">
        <v>28</v>
      </c>
      <c r="F560" t="s">
        <v>29</v>
      </c>
      <c r="G560" t="str">
        <f>"2025-12-24 15:56:30.197"</f>
        <v>2025-12-24 15:56:30.197</v>
      </c>
      <c r="H560" t="s">
        <v>22</v>
      </c>
    </row>
    <row r="561" spans="1:10" x14ac:dyDescent="0.25">
      <c r="A561" s="1">
        <v>71</v>
      </c>
      <c r="B561" t="s">
        <v>23</v>
      </c>
      <c r="C561">
        <v>635</v>
      </c>
      <c r="D561">
        <v>1</v>
      </c>
      <c r="E561" t="s">
        <v>28</v>
      </c>
      <c r="F561" t="s">
        <v>29</v>
      </c>
      <c r="G561" t="str">
        <f>"2025-12-24 15:53:52.197"</f>
        <v>2025-12-24 15:53:52.197</v>
      </c>
      <c r="H561" t="s">
        <v>22</v>
      </c>
      <c r="I561">
        <v>3.49</v>
      </c>
      <c r="J561" t="s">
        <v>31</v>
      </c>
    </row>
    <row r="562" spans="1:10" x14ac:dyDescent="0.25">
      <c r="A562" s="1">
        <v>72</v>
      </c>
      <c r="B562" t="s">
        <v>25</v>
      </c>
      <c r="C562">
        <v>700</v>
      </c>
      <c r="D562">
        <v>0</v>
      </c>
      <c r="E562" t="s">
        <v>26</v>
      </c>
      <c r="F562" t="s">
        <v>26</v>
      </c>
      <c r="G562" t="str">
        <f>"2025-12-23 15:52:02.739"</f>
        <v>2025-12-23 15:52:02.739</v>
      </c>
      <c r="H562" t="s">
        <v>22</v>
      </c>
      <c r="I562">
        <v>0</v>
      </c>
      <c r="J562" t="s">
        <v>27</v>
      </c>
    </row>
    <row r="563" spans="1:10" x14ac:dyDescent="0.25">
      <c r="A563" s="1">
        <v>73</v>
      </c>
      <c r="B563" t="s">
        <v>25</v>
      </c>
      <c r="C563">
        <v>700</v>
      </c>
      <c r="D563">
        <v>0</v>
      </c>
      <c r="E563" t="s">
        <v>26</v>
      </c>
      <c r="F563" t="s">
        <v>26</v>
      </c>
      <c r="G563" t="str">
        <f>"2025-12-22 12:55:38.740"</f>
        <v>2025-12-22 12:55:38.740</v>
      </c>
      <c r="H563" t="s">
        <v>22</v>
      </c>
    </row>
    <row r="564" spans="1:10" x14ac:dyDescent="0.25">
      <c r="A564" s="1">
        <v>74</v>
      </c>
      <c r="B564" t="s">
        <v>25</v>
      </c>
      <c r="C564">
        <v>700</v>
      </c>
      <c r="D564">
        <v>0</v>
      </c>
      <c r="E564" t="s">
        <v>26</v>
      </c>
      <c r="F564" t="s">
        <v>26</v>
      </c>
      <c r="G564" t="str">
        <f>"2025-12-22 05:49:19.757"</f>
        <v>2025-12-22 05:49:19.757</v>
      </c>
      <c r="H564" t="s">
        <v>22</v>
      </c>
      <c r="I564">
        <v>0</v>
      </c>
      <c r="J564" t="s">
        <v>27</v>
      </c>
    </row>
    <row r="565" spans="1:10" x14ac:dyDescent="0.25">
      <c r="A565" s="1">
        <v>75</v>
      </c>
      <c r="B565" t="s">
        <v>19</v>
      </c>
      <c r="C565">
        <v>635</v>
      </c>
      <c r="D565">
        <v>1</v>
      </c>
      <c r="E565" t="s">
        <v>28</v>
      </c>
      <c r="F565" t="s">
        <v>29</v>
      </c>
      <c r="G565" t="str">
        <f>"2025-12-21 16:55:23.755"</f>
        <v>2025-12-21 16:55:23.755</v>
      </c>
      <c r="H565" t="s">
        <v>22</v>
      </c>
    </row>
    <row r="566" spans="1:10" x14ac:dyDescent="0.25">
      <c r="A566" s="1">
        <v>76</v>
      </c>
      <c r="B566" t="s">
        <v>23</v>
      </c>
      <c r="C566">
        <v>635</v>
      </c>
      <c r="D566">
        <v>1</v>
      </c>
      <c r="E566" t="s">
        <v>28</v>
      </c>
      <c r="F566" t="s">
        <v>29</v>
      </c>
      <c r="G566" t="str">
        <f>"2025-12-21 16:38:52.355"</f>
        <v>2025-12-21 16:38:52.355</v>
      </c>
      <c r="H566" t="s">
        <v>22</v>
      </c>
      <c r="I566">
        <v>5.8</v>
      </c>
      <c r="J566" t="s">
        <v>30</v>
      </c>
    </row>
    <row r="567" spans="1:10" x14ac:dyDescent="0.25">
      <c r="A567" s="1">
        <v>77</v>
      </c>
      <c r="B567" t="s">
        <v>19</v>
      </c>
      <c r="C567">
        <v>635</v>
      </c>
      <c r="D567">
        <v>1</v>
      </c>
      <c r="E567" t="s">
        <v>28</v>
      </c>
      <c r="F567" t="s">
        <v>29</v>
      </c>
      <c r="G567" t="str">
        <f>"2025-12-21 03:39:37.555"</f>
        <v>2025-12-21 03:39:37.555</v>
      </c>
      <c r="H567" t="s">
        <v>22</v>
      </c>
    </row>
    <row r="568" spans="1:10" x14ac:dyDescent="0.25">
      <c r="A568" s="1">
        <v>78</v>
      </c>
      <c r="B568" t="s">
        <v>23</v>
      </c>
      <c r="C568">
        <v>635</v>
      </c>
      <c r="D568">
        <v>1</v>
      </c>
      <c r="E568" t="s">
        <v>28</v>
      </c>
      <c r="F568" t="s">
        <v>29</v>
      </c>
      <c r="G568" t="str">
        <f>"2025-12-21 03:32:35.055"</f>
        <v>2025-12-21 03:32:35.055</v>
      </c>
      <c r="H568" t="s">
        <v>22</v>
      </c>
      <c r="I568">
        <v>0.66</v>
      </c>
      <c r="J568" t="s">
        <v>30</v>
      </c>
    </row>
    <row r="569" spans="1:10" x14ac:dyDescent="0.25">
      <c r="A569" s="1">
        <v>80</v>
      </c>
      <c r="B569" t="s">
        <v>25</v>
      </c>
      <c r="C569">
        <v>700</v>
      </c>
      <c r="D569">
        <v>0</v>
      </c>
      <c r="E569" t="s">
        <v>26</v>
      </c>
      <c r="F569" t="s">
        <v>26</v>
      </c>
      <c r="G569" t="str">
        <f>"2025-12-19 15:53:07.766"</f>
        <v>2025-12-19 15:53:07.766</v>
      </c>
      <c r="H569" t="s">
        <v>22</v>
      </c>
      <c r="I569">
        <v>0</v>
      </c>
      <c r="J569" t="s">
        <v>27</v>
      </c>
    </row>
    <row r="570" spans="1:10" x14ac:dyDescent="0.25">
      <c r="A570" s="1">
        <v>81</v>
      </c>
      <c r="B570" t="s">
        <v>37</v>
      </c>
      <c r="C570">
        <v>630</v>
      </c>
      <c r="D570">
        <v>5</v>
      </c>
      <c r="E570" t="s">
        <v>32</v>
      </c>
      <c r="F570" t="s">
        <v>33</v>
      </c>
      <c r="G570" t="str">
        <f>"2025-12-19 08:40:48.480"</f>
        <v>2025-12-19 08:40:48.480</v>
      </c>
      <c r="H570" t="s">
        <v>34</v>
      </c>
      <c r="I570">
        <v>0</v>
      </c>
      <c r="J570" t="s">
        <v>24</v>
      </c>
    </row>
    <row r="571" spans="1:10" x14ac:dyDescent="0.25">
      <c r="A571" s="1">
        <v>82</v>
      </c>
      <c r="B571" t="s">
        <v>25</v>
      </c>
      <c r="C571">
        <v>700</v>
      </c>
      <c r="D571">
        <v>0</v>
      </c>
      <c r="E571" t="s">
        <v>26</v>
      </c>
      <c r="F571" t="s">
        <v>26</v>
      </c>
      <c r="G571" t="str">
        <f>"2025-12-19 08:35:45.748"</f>
        <v>2025-12-19 08:35:45.748</v>
      </c>
      <c r="H571" t="s">
        <v>22</v>
      </c>
    </row>
    <row r="572" spans="1:10" x14ac:dyDescent="0.25">
      <c r="A572" s="1">
        <v>83</v>
      </c>
      <c r="B572" t="s">
        <v>25</v>
      </c>
      <c r="C572">
        <v>700</v>
      </c>
      <c r="D572">
        <v>0</v>
      </c>
      <c r="E572" t="s">
        <v>26</v>
      </c>
      <c r="F572" t="s">
        <v>26</v>
      </c>
      <c r="G572" t="str">
        <f>"2025-12-19 05:49:25.738"</f>
        <v>2025-12-19 05:49:25.738</v>
      </c>
      <c r="H572" t="s">
        <v>22</v>
      </c>
      <c r="I572">
        <v>0</v>
      </c>
      <c r="J572" t="s">
        <v>27</v>
      </c>
    </row>
    <row r="573" spans="1:10" x14ac:dyDescent="0.25">
      <c r="A573" s="1">
        <v>84</v>
      </c>
      <c r="B573" t="s">
        <v>25</v>
      </c>
      <c r="C573">
        <v>706</v>
      </c>
      <c r="D573">
        <v>4</v>
      </c>
      <c r="E573" t="s">
        <v>35</v>
      </c>
      <c r="F573" t="s">
        <v>36</v>
      </c>
      <c r="G573" t="str">
        <f>"2025-12-19 04:06:32.953"</f>
        <v>2025-12-19 04:06:32.953</v>
      </c>
      <c r="H573" t="s">
        <v>22</v>
      </c>
      <c r="I573">
        <v>0</v>
      </c>
      <c r="J573" t="s">
        <v>24</v>
      </c>
    </row>
    <row r="574" spans="1:10" x14ac:dyDescent="0.25">
      <c r="A574" s="1">
        <v>85</v>
      </c>
      <c r="B574" t="s">
        <v>25</v>
      </c>
      <c r="C574">
        <v>700</v>
      </c>
      <c r="D574">
        <v>0</v>
      </c>
      <c r="E574" t="s">
        <v>26</v>
      </c>
      <c r="F574" t="s">
        <v>26</v>
      </c>
      <c r="G574" t="str">
        <f>"2025-12-19 04:06:11.843"</f>
        <v>2025-12-19 04:06:11.843</v>
      </c>
      <c r="H574" t="s">
        <v>22</v>
      </c>
      <c r="I574">
        <v>0</v>
      </c>
      <c r="J574" t="s">
        <v>27</v>
      </c>
    </row>
    <row r="575" spans="1:10" x14ac:dyDescent="0.25">
      <c r="A575" s="1">
        <v>86</v>
      </c>
      <c r="B575" t="s">
        <v>25</v>
      </c>
      <c r="C575">
        <v>700</v>
      </c>
      <c r="D575">
        <v>0</v>
      </c>
      <c r="E575" t="s">
        <v>26</v>
      </c>
      <c r="F575" t="s">
        <v>26</v>
      </c>
      <c r="G575" t="str">
        <f>"2025-12-19 02:50:17.745"</f>
        <v>2025-12-19 02:50:17.745</v>
      </c>
      <c r="H575" t="s">
        <v>22</v>
      </c>
      <c r="I575">
        <v>0</v>
      </c>
      <c r="J575" t="s">
        <v>27</v>
      </c>
    </row>
    <row r="576" spans="1:10" x14ac:dyDescent="0.25">
      <c r="A576" s="1">
        <v>87</v>
      </c>
      <c r="B576" t="s">
        <v>19</v>
      </c>
      <c r="C576">
        <v>630</v>
      </c>
      <c r="D576">
        <v>5</v>
      </c>
      <c r="E576" t="s">
        <v>32</v>
      </c>
      <c r="F576" t="s">
        <v>33</v>
      </c>
      <c r="G576" t="str">
        <f>"2025-12-15 17:28:53.651"</f>
        <v>2025-12-15 17:28:53.651</v>
      </c>
      <c r="H576" t="s">
        <v>34</v>
      </c>
    </row>
    <row r="577" spans="1:10" x14ac:dyDescent="0.25">
      <c r="A577" s="1">
        <v>88</v>
      </c>
      <c r="B577" t="s">
        <v>25</v>
      </c>
      <c r="C577">
        <v>706</v>
      </c>
      <c r="D577">
        <v>2</v>
      </c>
      <c r="E577" t="s">
        <v>35</v>
      </c>
      <c r="F577" t="s">
        <v>38</v>
      </c>
      <c r="G577" t="str">
        <f>"2025-12-15 17:28:23.510"</f>
        <v>2025-12-15 17:28:23.510</v>
      </c>
      <c r="H577" t="s">
        <v>22</v>
      </c>
      <c r="I577">
        <v>0</v>
      </c>
      <c r="J577" t="s">
        <v>63</v>
      </c>
    </row>
    <row r="578" spans="1:10" x14ac:dyDescent="0.25">
      <c r="A578" s="1">
        <v>89</v>
      </c>
      <c r="B578" t="s">
        <v>25</v>
      </c>
      <c r="C578">
        <v>706</v>
      </c>
      <c r="D578">
        <v>2</v>
      </c>
      <c r="E578" t="s">
        <v>35</v>
      </c>
      <c r="F578" t="s">
        <v>38</v>
      </c>
      <c r="G578" t="str">
        <f>"2025-12-15 17:28:11.110"</f>
        <v>2025-12-15 17:28:11.110</v>
      </c>
      <c r="H578" t="s">
        <v>22</v>
      </c>
      <c r="I578">
        <v>0</v>
      </c>
      <c r="J578" t="s">
        <v>63</v>
      </c>
    </row>
    <row r="579" spans="1:10" x14ac:dyDescent="0.25">
      <c r="A579" s="1">
        <v>90</v>
      </c>
      <c r="B579" t="s">
        <v>37</v>
      </c>
      <c r="C579">
        <v>630</v>
      </c>
      <c r="D579">
        <v>5</v>
      </c>
      <c r="E579" t="s">
        <v>32</v>
      </c>
      <c r="F579" t="s">
        <v>33</v>
      </c>
      <c r="G579" t="str">
        <f>"2025-12-15 17:24:13.551"</f>
        <v>2025-12-15 17:24:13.551</v>
      </c>
      <c r="H579" t="s">
        <v>34</v>
      </c>
      <c r="I579">
        <v>0</v>
      </c>
      <c r="J579" t="s">
        <v>63</v>
      </c>
    </row>
    <row r="580" spans="1:10" x14ac:dyDescent="0.25">
      <c r="A580" s="1">
        <v>91</v>
      </c>
      <c r="B580" t="s">
        <v>25</v>
      </c>
      <c r="C580">
        <v>700</v>
      </c>
      <c r="D580">
        <v>0</v>
      </c>
      <c r="E580" t="s">
        <v>26</v>
      </c>
      <c r="F580" t="s">
        <v>26</v>
      </c>
      <c r="G580" t="str">
        <f>"2025-12-15 17:19:10.750"</f>
        <v>2025-12-15 17:19:10.750</v>
      </c>
      <c r="H580" t="s">
        <v>22</v>
      </c>
      <c r="I580">
        <v>0</v>
      </c>
      <c r="J580" t="s">
        <v>27</v>
      </c>
    </row>
    <row r="581" spans="1:10" x14ac:dyDescent="0.25">
      <c r="A581" s="1">
        <v>92</v>
      </c>
      <c r="B581" t="s">
        <v>37</v>
      </c>
      <c r="C581">
        <v>630</v>
      </c>
      <c r="D581">
        <v>5</v>
      </c>
      <c r="E581" t="s">
        <v>32</v>
      </c>
      <c r="F581" t="s">
        <v>33</v>
      </c>
      <c r="G581" t="str">
        <f>"2025-12-15 15:51:08.501"</f>
        <v>2025-12-15 15:51:08.501</v>
      </c>
      <c r="H581" t="s">
        <v>34</v>
      </c>
      <c r="I581">
        <v>0</v>
      </c>
      <c r="J581" t="s">
        <v>24</v>
      </c>
    </row>
    <row r="582" spans="1:10" x14ac:dyDescent="0.25">
      <c r="A582" s="1">
        <v>93</v>
      </c>
      <c r="B582" t="s">
        <v>25</v>
      </c>
      <c r="C582">
        <v>700</v>
      </c>
      <c r="D582">
        <v>0</v>
      </c>
      <c r="E582" t="s">
        <v>26</v>
      </c>
      <c r="F582" t="s">
        <v>26</v>
      </c>
      <c r="G582" t="str">
        <f>"2025-12-15 15:46:05.739"</f>
        <v>2025-12-15 15:46:05.739</v>
      </c>
      <c r="H582" t="s">
        <v>22</v>
      </c>
      <c r="I582">
        <v>0</v>
      </c>
      <c r="J582" t="s">
        <v>27</v>
      </c>
    </row>
    <row r="583" spans="1:10" x14ac:dyDescent="0.25">
      <c r="A583" s="1">
        <v>94</v>
      </c>
      <c r="B583" t="s">
        <v>19</v>
      </c>
      <c r="C583">
        <v>630</v>
      </c>
      <c r="D583">
        <v>5</v>
      </c>
      <c r="E583" t="s">
        <v>32</v>
      </c>
      <c r="F583" t="s">
        <v>33</v>
      </c>
      <c r="G583" t="str">
        <f>"2025-12-13 11:24:11.003"</f>
        <v>2025-12-13 11:24:11.003</v>
      </c>
      <c r="H583" t="s">
        <v>34</v>
      </c>
    </row>
    <row r="584" spans="1:10" x14ac:dyDescent="0.25">
      <c r="A584" s="1">
        <v>95</v>
      </c>
      <c r="B584" t="s">
        <v>25</v>
      </c>
      <c r="C584">
        <v>706</v>
      </c>
      <c r="D584">
        <v>4</v>
      </c>
      <c r="E584" t="s">
        <v>35</v>
      </c>
      <c r="F584" t="s">
        <v>36</v>
      </c>
      <c r="G584" t="str">
        <f>"2025-12-13 11:23:40.836"</f>
        <v>2025-12-13 11:23:40.836</v>
      </c>
      <c r="H584" t="s">
        <v>22</v>
      </c>
      <c r="I584">
        <v>0</v>
      </c>
      <c r="J584" t="s">
        <v>24</v>
      </c>
    </row>
    <row r="585" spans="1:10" x14ac:dyDescent="0.25">
      <c r="A585" s="1">
        <v>96</v>
      </c>
      <c r="B585" t="s">
        <v>37</v>
      </c>
      <c r="C585">
        <v>630</v>
      </c>
      <c r="D585">
        <v>5</v>
      </c>
      <c r="E585" t="s">
        <v>32</v>
      </c>
      <c r="F585" t="s">
        <v>33</v>
      </c>
      <c r="G585" t="str">
        <f>"2025-12-13 11:20:28.504"</f>
        <v>2025-12-13 11:20:28.504</v>
      </c>
      <c r="H585" t="s">
        <v>34</v>
      </c>
      <c r="I585">
        <v>0</v>
      </c>
      <c r="J585" t="s">
        <v>24</v>
      </c>
    </row>
    <row r="586" spans="1:10" x14ac:dyDescent="0.25">
      <c r="A586" s="1">
        <v>97</v>
      </c>
      <c r="B586" t="s">
        <v>25</v>
      </c>
      <c r="C586">
        <v>700</v>
      </c>
      <c r="D586">
        <v>0</v>
      </c>
      <c r="E586" t="s">
        <v>26</v>
      </c>
      <c r="F586" t="s">
        <v>26</v>
      </c>
      <c r="G586" t="str">
        <f>"2025-12-13 11:15:25.736"</f>
        <v>2025-12-13 11:15:25.736</v>
      </c>
      <c r="H586" t="s">
        <v>22</v>
      </c>
      <c r="I586">
        <v>0</v>
      </c>
      <c r="J586" t="s">
        <v>27</v>
      </c>
    </row>
    <row r="587" spans="1:10" x14ac:dyDescent="0.25">
      <c r="A587" s="1">
        <v>98</v>
      </c>
      <c r="B587" t="s">
        <v>19</v>
      </c>
      <c r="C587">
        <v>630</v>
      </c>
      <c r="D587">
        <v>5</v>
      </c>
      <c r="E587" t="s">
        <v>32</v>
      </c>
      <c r="F587" t="s">
        <v>33</v>
      </c>
      <c r="G587" t="str">
        <f>"2025-12-13 10:10:12.811"</f>
        <v>2025-12-13 10:10:12.811</v>
      </c>
      <c r="H587" t="s">
        <v>34</v>
      </c>
    </row>
    <row r="588" spans="1:10" x14ac:dyDescent="0.25">
      <c r="A588" s="1">
        <v>99</v>
      </c>
      <c r="B588" t="s">
        <v>25</v>
      </c>
      <c r="C588">
        <v>706</v>
      </c>
      <c r="D588">
        <v>2</v>
      </c>
      <c r="E588" t="s">
        <v>35</v>
      </c>
      <c r="F588" t="s">
        <v>38</v>
      </c>
      <c r="G588" t="str">
        <f>"2025-12-13 10:09:42.679"</f>
        <v>2025-12-13 10:09:42.679</v>
      </c>
      <c r="H588" t="s">
        <v>22</v>
      </c>
      <c r="I588">
        <v>0</v>
      </c>
      <c r="J588" t="s">
        <v>24</v>
      </c>
    </row>
    <row r="589" spans="1:10" x14ac:dyDescent="0.25">
      <c r="A589" s="1">
        <v>0</v>
      </c>
      <c r="B589" t="s">
        <v>37</v>
      </c>
      <c r="C589">
        <v>630</v>
      </c>
      <c r="D589">
        <v>5</v>
      </c>
      <c r="E589" t="s">
        <v>32</v>
      </c>
      <c r="F589" t="s">
        <v>33</v>
      </c>
      <c r="G589" t="str">
        <f>"2025-12-13 10:06:09.511"</f>
        <v>2025-12-13 10:06:09.511</v>
      </c>
      <c r="H589" t="s">
        <v>34</v>
      </c>
      <c r="I589">
        <v>0</v>
      </c>
      <c r="J589" t="s">
        <v>24</v>
      </c>
    </row>
    <row r="590" spans="1:10" x14ac:dyDescent="0.25">
      <c r="A590" s="1">
        <v>1</v>
      </c>
      <c r="B590" t="s">
        <v>25</v>
      </c>
      <c r="C590">
        <v>700</v>
      </c>
      <c r="D590">
        <v>0</v>
      </c>
      <c r="E590" t="s">
        <v>26</v>
      </c>
      <c r="F590" t="s">
        <v>26</v>
      </c>
      <c r="G590" t="str">
        <f>"2025-12-13 10:01:06.749"</f>
        <v>2025-12-13 10:01:06.749</v>
      </c>
      <c r="H590" t="s">
        <v>22</v>
      </c>
      <c r="I590">
        <v>0</v>
      </c>
      <c r="J590" t="s">
        <v>27</v>
      </c>
    </row>
    <row r="591" spans="1:10" x14ac:dyDescent="0.25">
      <c r="A591" s="1">
        <v>2</v>
      </c>
      <c r="B591" t="s">
        <v>19</v>
      </c>
      <c r="C591">
        <v>630</v>
      </c>
      <c r="D591">
        <v>5</v>
      </c>
      <c r="E591" t="s">
        <v>32</v>
      </c>
      <c r="F591" t="s">
        <v>33</v>
      </c>
      <c r="G591" t="str">
        <f>"2025-12-11 20:47:21.546"</f>
        <v>2025-12-11 20:47:21.546</v>
      </c>
      <c r="H591" t="s">
        <v>34</v>
      </c>
    </row>
    <row r="592" spans="1:10" x14ac:dyDescent="0.25">
      <c r="A592" s="1">
        <v>3</v>
      </c>
      <c r="B592" t="s">
        <v>25</v>
      </c>
      <c r="C592">
        <v>706</v>
      </c>
      <c r="D592">
        <v>4</v>
      </c>
      <c r="E592" t="s">
        <v>35</v>
      </c>
      <c r="F592" t="s">
        <v>36</v>
      </c>
      <c r="G592" t="str">
        <f>"2025-12-11 20:46:51.399"</f>
        <v>2025-12-11 20:46:51.399</v>
      </c>
      <c r="H592" t="s">
        <v>22</v>
      </c>
      <c r="I592">
        <v>0</v>
      </c>
      <c r="J592" t="s">
        <v>24</v>
      </c>
    </row>
    <row r="593" spans="1:10" x14ac:dyDescent="0.25">
      <c r="A593" s="1">
        <v>4</v>
      </c>
      <c r="B593" t="s">
        <v>37</v>
      </c>
      <c r="C593">
        <v>630</v>
      </c>
      <c r="D593">
        <v>5</v>
      </c>
      <c r="E593" t="s">
        <v>32</v>
      </c>
      <c r="F593" t="s">
        <v>33</v>
      </c>
      <c r="G593" t="str">
        <f>"2025-12-11 20:46:22.946"</f>
        <v>2025-12-11 20:46:22.946</v>
      </c>
      <c r="H593" t="s">
        <v>34</v>
      </c>
      <c r="I593">
        <v>0</v>
      </c>
      <c r="J593" t="s">
        <v>24</v>
      </c>
    </row>
    <row r="594" spans="1:10" x14ac:dyDescent="0.25">
      <c r="A594" s="1">
        <v>5</v>
      </c>
      <c r="B594" t="s">
        <v>19</v>
      </c>
      <c r="C594">
        <v>630</v>
      </c>
      <c r="D594">
        <v>5</v>
      </c>
      <c r="E594" t="s">
        <v>32</v>
      </c>
      <c r="F594" t="s">
        <v>33</v>
      </c>
      <c r="G594" t="str">
        <f>"2025-12-11 09:47:39.446"</f>
        <v>2025-12-11 09:47:39.446</v>
      </c>
      <c r="H594" t="s">
        <v>34</v>
      </c>
    </row>
    <row r="595" spans="1:10" x14ac:dyDescent="0.25">
      <c r="A595" s="1">
        <v>6</v>
      </c>
      <c r="B595" t="s">
        <v>25</v>
      </c>
      <c r="C595">
        <v>706</v>
      </c>
      <c r="D595">
        <v>4</v>
      </c>
      <c r="E595" t="s">
        <v>35</v>
      </c>
      <c r="F595" t="s">
        <v>36</v>
      </c>
      <c r="G595" t="str">
        <f>"2025-12-11 09:47:09.299"</f>
        <v>2025-12-11 09:47:09.299</v>
      </c>
      <c r="H595" t="s">
        <v>22</v>
      </c>
      <c r="I595">
        <v>0</v>
      </c>
      <c r="J595" t="s">
        <v>24</v>
      </c>
    </row>
    <row r="596" spans="1:10" x14ac:dyDescent="0.25">
      <c r="A596" s="1">
        <v>7</v>
      </c>
      <c r="B596" t="s">
        <v>37</v>
      </c>
      <c r="C596">
        <v>630</v>
      </c>
      <c r="D596">
        <v>5</v>
      </c>
      <c r="E596" t="s">
        <v>32</v>
      </c>
      <c r="F596" t="s">
        <v>33</v>
      </c>
      <c r="G596" t="str">
        <f>"2025-12-11 09:43:44.647"</f>
        <v>2025-12-11 09:43:44.647</v>
      </c>
      <c r="H596" t="s">
        <v>34</v>
      </c>
      <c r="I596">
        <v>0</v>
      </c>
      <c r="J596" t="s">
        <v>24</v>
      </c>
    </row>
    <row r="597" spans="1:10" x14ac:dyDescent="0.25">
      <c r="A597" s="1">
        <v>8</v>
      </c>
      <c r="B597" t="s">
        <v>25</v>
      </c>
      <c r="C597">
        <v>700</v>
      </c>
      <c r="D597">
        <v>0</v>
      </c>
      <c r="E597" t="s">
        <v>26</v>
      </c>
      <c r="F597" t="s">
        <v>26</v>
      </c>
      <c r="G597" t="str">
        <f>"2025-12-08 07:59:39.779"</f>
        <v>2025-12-08 07:59:39.779</v>
      </c>
      <c r="H597" t="s">
        <v>22</v>
      </c>
      <c r="I597">
        <v>0</v>
      </c>
      <c r="J597" t="s">
        <v>27</v>
      </c>
    </row>
    <row r="598" spans="1:10" x14ac:dyDescent="0.25">
      <c r="A598" s="1">
        <v>9</v>
      </c>
      <c r="B598" t="s">
        <v>19</v>
      </c>
      <c r="C598">
        <v>635</v>
      </c>
      <c r="D598">
        <v>1</v>
      </c>
      <c r="E598" t="s">
        <v>28</v>
      </c>
      <c r="F598" t="s">
        <v>29</v>
      </c>
      <c r="G598" t="str">
        <f>"2025-12-07 23:45:38.203"</f>
        <v>2025-12-07 23:45:38.203</v>
      </c>
      <c r="H598" t="s">
        <v>22</v>
      </c>
    </row>
    <row r="599" spans="1:10" x14ac:dyDescent="0.25">
      <c r="A599" s="1">
        <v>10</v>
      </c>
      <c r="B599" t="s">
        <v>23</v>
      </c>
      <c r="C599">
        <v>635</v>
      </c>
      <c r="D599">
        <v>1</v>
      </c>
      <c r="E599" t="s">
        <v>28</v>
      </c>
      <c r="F599" t="s">
        <v>29</v>
      </c>
      <c r="G599" t="str">
        <f>"2025-12-07 23:42:52.704"</f>
        <v>2025-12-07 23:42:52.704</v>
      </c>
      <c r="H599" t="s">
        <v>22</v>
      </c>
      <c r="I599">
        <v>3.07</v>
      </c>
      <c r="J599" t="s">
        <v>48</v>
      </c>
    </row>
    <row r="600" spans="1:10" x14ac:dyDescent="0.25">
      <c r="A600" s="1">
        <v>11</v>
      </c>
      <c r="B600" t="s">
        <v>25</v>
      </c>
      <c r="C600">
        <v>700</v>
      </c>
      <c r="D600">
        <v>0</v>
      </c>
      <c r="E600" t="s">
        <v>26</v>
      </c>
      <c r="F600" t="s">
        <v>26</v>
      </c>
      <c r="G600" t="str">
        <f>"2025-12-07 00:53:13.733"</f>
        <v>2025-12-07 00:53:13.733</v>
      </c>
      <c r="H600" t="s">
        <v>22</v>
      </c>
      <c r="I600">
        <v>0</v>
      </c>
      <c r="J600" t="s">
        <v>27</v>
      </c>
    </row>
    <row r="601" spans="1:10" x14ac:dyDescent="0.25">
      <c r="A601" s="1">
        <v>12</v>
      </c>
      <c r="B601" t="s">
        <v>19</v>
      </c>
      <c r="C601">
        <v>630</v>
      </c>
      <c r="D601">
        <v>5</v>
      </c>
      <c r="E601" t="s">
        <v>32</v>
      </c>
      <c r="F601" t="s">
        <v>33</v>
      </c>
      <c r="G601" t="str">
        <f>"2025-12-04 22:53:19.092"</f>
        <v>2025-12-04 22:53:19.092</v>
      </c>
      <c r="H601" t="s">
        <v>34</v>
      </c>
    </row>
    <row r="602" spans="1:10" x14ac:dyDescent="0.25">
      <c r="A602" s="1">
        <v>13</v>
      </c>
      <c r="B602" t="s">
        <v>25</v>
      </c>
      <c r="C602">
        <v>706</v>
      </c>
      <c r="D602">
        <v>4</v>
      </c>
      <c r="E602" t="s">
        <v>35</v>
      </c>
      <c r="F602" t="s">
        <v>36</v>
      </c>
      <c r="G602" t="str">
        <f>"2025-12-04 22:52:48.964"</f>
        <v>2025-12-04 22:52:48.964</v>
      </c>
      <c r="H602" t="s">
        <v>22</v>
      </c>
      <c r="I602">
        <v>0</v>
      </c>
      <c r="J602" t="s">
        <v>24</v>
      </c>
    </row>
    <row r="603" spans="1:10" x14ac:dyDescent="0.25">
      <c r="A603" s="1">
        <v>14</v>
      </c>
      <c r="B603" t="s">
        <v>37</v>
      </c>
      <c r="C603">
        <v>630</v>
      </c>
      <c r="D603">
        <v>5</v>
      </c>
      <c r="E603" t="s">
        <v>32</v>
      </c>
      <c r="F603" t="s">
        <v>33</v>
      </c>
      <c r="G603" t="str">
        <f>"2025-12-04 22:31:33.793"</f>
        <v>2025-12-04 22:31:33.793</v>
      </c>
      <c r="H603" t="s">
        <v>34</v>
      </c>
      <c r="I603">
        <v>0</v>
      </c>
      <c r="J603" t="s">
        <v>24</v>
      </c>
    </row>
    <row r="604" spans="1:10" x14ac:dyDescent="0.25">
      <c r="A604" s="1">
        <v>15</v>
      </c>
      <c r="B604" t="s">
        <v>19</v>
      </c>
      <c r="C604">
        <v>630</v>
      </c>
      <c r="D604">
        <v>5</v>
      </c>
      <c r="E604" t="s">
        <v>32</v>
      </c>
      <c r="F604" t="s">
        <v>33</v>
      </c>
      <c r="G604" t="str">
        <f>"2025-12-04 22:25:53.092"</f>
        <v>2025-12-04 22:25:53.092</v>
      </c>
      <c r="H604" t="s">
        <v>34</v>
      </c>
    </row>
    <row r="605" spans="1:10" x14ac:dyDescent="0.25">
      <c r="A605" s="1">
        <v>16</v>
      </c>
      <c r="B605" t="s">
        <v>25</v>
      </c>
      <c r="C605">
        <v>706</v>
      </c>
      <c r="D605">
        <v>4</v>
      </c>
      <c r="E605" t="s">
        <v>35</v>
      </c>
      <c r="F605" t="s">
        <v>36</v>
      </c>
      <c r="G605" t="str">
        <f>"2025-12-04 22:25:23.014"</f>
        <v>2025-12-04 22:25:23.014</v>
      </c>
      <c r="H605" t="s">
        <v>22</v>
      </c>
      <c r="I605">
        <v>0</v>
      </c>
      <c r="J605" t="s">
        <v>24</v>
      </c>
    </row>
    <row r="606" spans="1:10" x14ac:dyDescent="0.25">
      <c r="A606" s="1">
        <v>17</v>
      </c>
      <c r="B606" t="s">
        <v>37</v>
      </c>
      <c r="C606">
        <v>630</v>
      </c>
      <c r="D606">
        <v>5</v>
      </c>
      <c r="E606" t="s">
        <v>32</v>
      </c>
      <c r="F606" t="s">
        <v>33</v>
      </c>
      <c r="G606" t="str">
        <f>"2025-12-04 22:07:54.493"</f>
        <v>2025-12-04 22:07:54.493</v>
      </c>
      <c r="H606" t="s">
        <v>34</v>
      </c>
      <c r="I606">
        <v>0</v>
      </c>
      <c r="J606" t="s">
        <v>24</v>
      </c>
    </row>
    <row r="607" spans="1:10" x14ac:dyDescent="0.25">
      <c r="A607" s="1">
        <v>18</v>
      </c>
      <c r="B607" t="s">
        <v>25</v>
      </c>
      <c r="C607">
        <v>700</v>
      </c>
      <c r="D607">
        <v>0</v>
      </c>
      <c r="E607" t="s">
        <v>26</v>
      </c>
      <c r="F607" t="s">
        <v>26</v>
      </c>
      <c r="G607" t="str">
        <f>"2025-12-04 22:02:51.714"</f>
        <v>2025-12-04 22:02:51.714</v>
      </c>
      <c r="H607" t="s">
        <v>22</v>
      </c>
    </row>
    <row r="608" spans="1:10" x14ac:dyDescent="0.25">
      <c r="A608" s="1">
        <v>19</v>
      </c>
      <c r="B608" t="s">
        <v>25</v>
      </c>
      <c r="C608">
        <v>700</v>
      </c>
      <c r="D608">
        <v>0</v>
      </c>
      <c r="E608" t="s">
        <v>26</v>
      </c>
      <c r="F608" t="s">
        <v>26</v>
      </c>
      <c r="G608" t="str">
        <f>"2025-12-04 20:06:41.713"</f>
        <v>2025-12-04 20:06:41.713</v>
      </c>
      <c r="H608" t="s">
        <v>22</v>
      </c>
      <c r="I608">
        <v>0</v>
      </c>
      <c r="J608" t="s">
        <v>27</v>
      </c>
    </row>
    <row r="609" spans="1:10" x14ac:dyDescent="0.25">
      <c r="A609" s="1">
        <v>20</v>
      </c>
      <c r="B609" t="s">
        <v>37</v>
      </c>
      <c r="C609">
        <v>630</v>
      </c>
      <c r="D609">
        <v>5</v>
      </c>
      <c r="E609" t="s">
        <v>32</v>
      </c>
      <c r="F609" t="s">
        <v>33</v>
      </c>
      <c r="G609" t="str">
        <f>"2025-12-04 18:54:16.545"</f>
        <v>2025-12-04 18:54:16.545</v>
      </c>
      <c r="H609" t="s">
        <v>34</v>
      </c>
      <c r="I609">
        <v>0</v>
      </c>
      <c r="J609" t="s">
        <v>24</v>
      </c>
    </row>
    <row r="610" spans="1:10" x14ac:dyDescent="0.25">
      <c r="A610" s="1">
        <v>21</v>
      </c>
      <c r="B610" t="s">
        <v>25</v>
      </c>
      <c r="C610">
        <v>700</v>
      </c>
      <c r="D610">
        <v>0</v>
      </c>
      <c r="E610" t="s">
        <v>26</v>
      </c>
      <c r="F610" t="s">
        <v>26</v>
      </c>
      <c r="G610" t="str">
        <f>"2025-12-04 18:49:13.726"</f>
        <v>2025-12-04 18:49:13.726</v>
      </c>
      <c r="H610" t="s">
        <v>22</v>
      </c>
    </row>
    <row r="611" spans="1:10" x14ac:dyDescent="0.25">
      <c r="A611" s="1">
        <v>22</v>
      </c>
      <c r="B611" t="s">
        <v>37</v>
      </c>
      <c r="C611">
        <v>630</v>
      </c>
      <c r="D611">
        <v>5</v>
      </c>
      <c r="E611" t="s">
        <v>32</v>
      </c>
      <c r="F611" t="s">
        <v>33</v>
      </c>
      <c r="G611" t="str">
        <f>"2025-12-04 18:03:30.612"</f>
        <v>2025-12-04 18:03:30.612</v>
      </c>
      <c r="H611" t="s">
        <v>34</v>
      </c>
      <c r="I611">
        <v>0</v>
      </c>
      <c r="J611" t="s">
        <v>24</v>
      </c>
    </row>
    <row r="612" spans="1:10" x14ac:dyDescent="0.25">
      <c r="A612" s="1">
        <v>23</v>
      </c>
      <c r="B612" t="s">
        <v>25</v>
      </c>
      <c r="C612">
        <v>700</v>
      </c>
      <c r="D612">
        <v>0</v>
      </c>
      <c r="E612" t="s">
        <v>26</v>
      </c>
      <c r="F612" t="s">
        <v>26</v>
      </c>
      <c r="G612" t="str">
        <f>"2025-12-04 17:58:27.805"</f>
        <v>2025-12-04 17:58:27.805</v>
      </c>
      <c r="H612" t="s">
        <v>22</v>
      </c>
      <c r="I612">
        <v>0</v>
      </c>
      <c r="J612" t="s">
        <v>27</v>
      </c>
    </row>
    <row r="613" spans="1:10" x14ac:dyDescent="0.25">
      <c r="A613" s="1">
        <v>24</v>
      </c>
      <c r="B613" t="s">
        <v>25</v>
      </c>
      <c r="C613">
        <v>700</v>
      </c>
      <c r="D613">
        <v>0</v>
      </c>
      <c r="E613" t="s">
        <v>26</v>
      </c>
      <c r="F613" t="s">
        <v>26</v>
      </c>
      <c r="G613" t="str">
        <f>"2025-12-04 17:23:42.727"</f>
        <v>2025-12-04 17:23:42.727</v>
      </c>
      <c r="H613" t="s">
        <v>22</v>
      </c>
    </row>
    <row r="614" spans="1:10" x14ac:dyDescent="0.25">
      <c r="A614" s="1">
        <v>25</v>
      </c>
      <c r="B614" t="s">
        <v>25</v>
      </c>
      <c r="C614">
        <v>706</v>
      </c>
      <c r="D614">
        <v>2</v>
      </c>
      <c r="E614" t="s">
        <v>35</v>
      </c>
      <c r="F614" t="s">
        <v>38</v>
      </c>
      <c r="G614" t="str">
        <f>"2025-12-04 15:54:29.944"</f>
        <v>2025-12-04 15:54:29.944</v>
      </c>
      <c r="H614" t="s">
        <v>22</v>
      </c>
      <c r="I614">
        <v>0</v>
      </c>
      <c r="J614" t="s">
        <v>24</v>
      </c>
    </row>
    <row r="615" spans="1:10" x14ac:dyDescent="0.25">
      <c r="A615" s="1">
        <v>26</v>
      </c>
      <c r="B615" t="s">
        <v>25</v>
      </c>
      <c r="C615">
        <v>700</v>
      </c>
      <c r="D615">
        <v>0</v>
      </c>
      <c r="E615" t="s">
        <v>26</v>
      </c>
      <c r="F615" t="s">
        <v>26</v>
      </c>
      <c r="G615" t="str">
        <f>"2025-12-04 15:50:48.714"</f>
        <v>2025-12-04 15:50:48.714</v>
      </c>
      <c r="H615" t="s">
        <v>22</v>
      </c>
      <c r="I615">
        <v>0</v>
      </c>
      <c r="J615" t="s">
        <v>27</v>
      </c>
    </row>
    <row r="616" spans="1:10" x14ac:dyDescent="0.25">
      <c r="A616" s="1">
        <v>27</v>
      </c>
      <c r="B616" t="s">
        <v>19</v>
      </c>
      <c r="C616">
        <v>630</v>
      </c>
      <c r="D616">
        <v>5</v>
      </c>
      <c r="E616" t="s">
        <v>32</v>
      </c>
      <c r="F616" t="s">
        <v>33</v>
      </c>
      <c r="G616" t="str">
        <f>"2025-12-04 01:37:23.624"</f>
        <v>2025-12-04 01:37:23.624</v>
      </c>
      <c r="H616" t="s">
        <v>34</v>
      </c>
    </row>
    <row r="617" spans="1:10" x14ac:dyDescent="0.25">
      <c r="A617" s="1">
        <v>28</v>
      </c>
      <c r="B617" t="s">
        <v>25</v>
      </c>
      <c r="C617">
        <v>706</v>
      </c>
      <c r="D617">
        <v>4</v>
      </c>
      <c r="E617" t="s">
        <v>35</v>
      </c>
      <c r="F617" t="s">
        <v>36</v>
      </c>
      <c r="G617" t="str">
        <f>"2025-12-04 01:36:53.533"</f>
        <v>2025-12-04 01:36:53.533</v>
      </c>
      <c r="H617" t="s">
        <v>22</v>
      </c>
      <c r="I617">
        <v>0</v>
      </c>
      <c r="J617" t="s">
        <v>24</v>
      </c>
    </row>
    <row r="618" spans="1:10" x14ac:dyDescent="0.25">
      <c r="A618" s="1">
        <v>29</v>
      </c>
      <c r="B618" t="s">
        <v>37</v>
      </c>
      <c r="C618">
        <v>630</v>
      </c>
      <c r="D618">
        <v>5</v>
      </c>
      <c r="E618" t="s">
        <v>32</v>
      </c>
      <c r="F618" t="s">
        <v>33</v>
      </c>
      <c r="G618" t="str">
        <f>"2025-12-04 01:25:06.224"</f>
        <v>2025-12-04 01:25:06.224</v>
      </c>
      <c r="H618" t="s">
        <v>34</v>
      </c>
      <c r="I618">
        <v>0</v>
      </c>
      <c r="J618" t="s">
        <v>24</v>
      </c>
    </row>
    <row r="619" spans="1:10" x14ac:dyDescent="0.25">
      <c r="A619" s="1">
        <v>30</v>
      </c>
      <c r="B619" t="s">
        <v>19</v>
      </c>
      <c r="C619">
        <v>635</v>
      </c>
      <c r="D619">
        <v>1</v>
      </c>
      <c r="E619" t="s">
        <v>28</v>
      </c>
      <c r="F619" t="s">
        <v>29</v>
      </c>
      <c r="G619" t="str">
        <f>"2025-12-03 18:26:38.323"</f>
        <v>2025-12-03 18:26:38.323</v>
      </c>
      <c r="H619" t="s">
        <v>22</v>
      </c>
    </row>
    <row r="620" spans="1:10" x14ac:dyDescent="0.25">
      <c r="A620" s="1">
        <v>31</v>
      </c>
      <c r="B620" t="s">
        <v>23</v>
      </c>
      <c r="C620">
        <v>635</v>
      </c>
      <c r="D620">
        <v>1</v>
      </c>
      <c r="E620" t="s">
        <v>28</v>
      </c>
      <c r="F620" t="s">
        <v>29</v>
      </c>
      <c r="G620" t="str">
        <f>"2025-12-03 18:22:12.823"</f>
        <v>2025-12-03 18:22:12.823</v>
      </c>
      <c r="H620" t="s">
        <v>22</v>
      </c>
      <c r="I620">
        <v>8.31</v>
      </c>
      <c r="J620" t="s">
        <v>31</v>
      </c>
    </row>
    <row r="621" spans="1:10" x14ac:dyDescent="0.25">
      <c r="A621" s="1">
        <v>32</v>
      </c>
      <c r="B621" t="s">
        <v>19</v>
      </c>
      <c r="C621">
        <v>630</v>
      </c>
      <c r="D621">
        <v>5</v>
      </c>
      <c r="E621" t="s">
        <v>32</v>
      </c>
      <c r="F621" t="s">
        <v>33</v>
      </c>
      <c r="G621" t="str">
        <f>"2025-12-02 10:27:18.524"</f>
        <v>2025-12-02 10:27:18.524</v>
      </c>
      <c r="H621" t="s">
        <v>34</v>
      </c>
    </row>
    <row r="622" spans="1:10" x14ac:dyDescent="0.25">
      <c r="A622" s="1">
        <v>33</v>
      </c>
      <c r="B622" t="s">
        <v>25</v>
      </c>
      <c r="C622">
        <v>706</v>
      </c>
      <c r="D622">
        <v>2</v>
      </c>
      <c r="E622" t="s">
        <v>35</v>
      </c>
      <c r="F622" t="s">
        <v>38</v>
      </c>
      <c r="G622" t="str">
        <f>"2025-12-02 10:26:48.373"</f>
        <v>2025-12-02 10:26:48.373</v>
      </c>
      <c r="H622" t="s">
        <v>22</v>
      </c>
      <c r="I622">
        <v>0</v>
      </c>
      <c r="J622" t="s">
        <v>24</v>
      </c>
    </row>
    <row r="623" spans="1:10" x14ac:dyDescent="0.25">
      <c r="A623" s="1">
        <v>34</v>
      </c>
      <c r="B623" t="s">
        <v>37</v>
      </c>
      <c r="C623">
        <v>630</v>
      </c>
      <c r="D623">
        <v>5</v>
      </c>
      <c r="E623" t="s">
        <v>32</v>
      </c>
      <c r="F623" t="s">
        <v>33</v>
      </c>
      <c r="G623" t="str">
        <f>"2025-12-02 10:21:03.524"</f>
        <v>2025-12-02 10:21:03.524</v>
      </c>
      <c r="H623" t="s">
        <v>34</v>
      </c>
      <c r="I623">
        <v>0</v>
      </c>
      <c r="J623" t="s">
        <v>24</v>
      </c>
    </row>
    <row r="624" spans="1:10" s="3" customFormat="1" x14ac:dyDescent="0.25">
      <c r="A624" s="2">
        <v>35</v>
      </c>
      <c r="B624" s="3" t="s">
        <v>19</v>
      </c>
      <c r="C624" s="3">
        <v>647</v>
      </c>
      <c r="D624" s="3">
        <v>1</v>
      </c>
      <c r="E624" s="3" t="s">
        <v>49</v>
      </c>
      <c r="F624" s="3" t="s">
        <v>50</v>
      </c>
      <c r="G624" s="3" t="str">
        <f>"2025-12-02 09:49:03.824"</f>
        <v>2025-12-02 09:49:03.824</v>
      </c>
      <c r="H624" s="3" t="s">
        <v>22</v>
      </c>
    </row>
    <row r="625" spans="1:10" s="3" customFormat="1" x14ac:dyDescent="0.25">
      <c r="A625" s="2">
        <v>36</v>
      </c>
      <c r="B625" s="3" t="s">
        <v>23</v>
      </c>
      <c r="C625" s="3">
        <v>647</v>
      </c>
      <c r="D625" s="3">
        <v>1</v>
      </c>
      <c r="E625" s="3" t="s">
        <v>49</v>
      </c>
      <c r="F625" s="3" t="s">
        <v>50</v>
      </c>
      <c r="G625" s="3" t="str">
        <f>"2025-12-02 09:48:59.724"</f>
        <v>2025-12-02 09:48:59.724</v>
      </c>
      <c r="H625" s="3" t="s">
        <v>22</v>
      </c>
      <c r="I625" s="3">
        <v>28.75</v>
      </c>
      <c r="J625" s="3" t="s">
        <v>31</v>
      </c>
    </row>
    <row r="626" spans="1:10" x14ac:dyDescent="0.25">
      <c r="A626" s="1">
        <v>37</v>
      </c>
      <c r="B626" t="s">
        <v>19</v>
      </c>
      <c r="C626">
        <v>630</v>
      </c>
      <c r="D626">
        <v>5</v>
      </c>
      <c r="E626" t="s">
        <v>32</v>
      </c>
      <c r="F626" t="s">
        <v>33</v>
      </c>
      <c r="G626" t="str">
        <f>"2025-12-02 08:51:28.524"</f>
        <v>2025-12-02 08:51:28.524</v>
      </c>
      <c r="H626" t="s">
        <v>34</v>
      </c>
    </row>
    <row r="627" spans="1:10" x14ac:dyDescent="0.25">
      <c r="A627" s="1">
        <v>38</v>
      </c>
      <c r="B627" t="s">
        <v>25</v>
      </c>
      <c r="C627">
        <v>706</v>
      </c>
      <c r="D627">
        <v>4</v>
      </c>
      <c r="E627" t="s">
        <v>35</v>
      </c>
      <c r="F627" t="s">
        <v>36</v>
      </c>
      <c r="G627" t="str">
        <f>"2025-12-02 08:50:58.493"</f>
        <v>2025-12-02 08:50:58.493</v>
      </c>
      <c r="H627" t="s">
        <v>22</v>
      </c>
      <c r="I627">
        <v>0</v>
      </c>
      <c r="J627" t="s">
        <v>24</v>
      </c>
    </row>
    <row r="628" spans="1:10" x14ac:dyDescent="0.25">
      <c r="A628" s="1">
        <v>39</v>
      </c>
      <c r="B628" t="s">
        <v>37</v>
      </c>
      <c r="C628">
        <v>630</v>
      </c>
      <c r="D628">
        <v>5</v>
      </c>
      <c r="E628" t="s">
        <v>32</v>
      </c>
      <c r="F628" t="s">
        <v>33</v>
      </c>
      <c r="G628" t="str">
        <f>"2025-12-02 08:47:54.124"</f>
        <v>2025-12-02 08:47:54.124</v>
      </c>
      <c r="H628" t="s">
        <v>34</v>
      </c>
      <c r="I628">
        <v>0</v>
      </c>
      <c r="J628" t="s">
        <v>24</v>
      </c>
    </row>
    <row r="629" spans="1:10" x14ac:dyDescent="0.25">
      <c r="A629" s="1">
        <v>40</v>
      </c>
      <c r="B629" t="s">
        <v>25</v>
      </c>
      <c r="C629">
        <v>706</v>
      </c>
      <c r="D629">
        <v>2</v>
      </c>
      <c r="E629" t="s">
        <v>35</v>
      </c>
      <c r="F629" t="s">
        <v>38</v>
      </c>
      <c r="G629" t="str">
        <f>"2025-12-01 18:05:34.563"</f>
        <v>2025-12-01 18:05:34.563</v>
      </c>
      <c r="H629" t="s">
        <v>22</v>
      </c>
      <c r="I629">
        <v>0</v>
      </c>
      <c r="J629" t="s">
        <v>24</v>
      </c>
    </row>
    <row r="630" spans="1:10" x14ac:dyDescent="0.25">
      <c r="A630" s="1">
        <v>41</v>
      </c>
      <c r="B630" t="s">
        <v>25</v>
      </c>
      <c r="C630">
        <v>706</v>
      </c>
      <c r="D630">
        <v>4</v>
      </c>
      <c r="E630" t="s">
        <v>35</v>
      </c>
      <c r="F630" t="s">
        <v>36</v>
      </c>
      <c r="G630" t="str">
        <f>"2025-12-01 17:01:42.843"</f>
        <v>2025-12-01 17:01:42.843</v>
      </c>
      <c r="H630" t="s">
        <v>22</v>
      </c>
      <c r="I630">
        <v>0</v>
      </c>
      <c r="J630" t="s">
        <v>24</v>
      </c>
    </row>
    <row r="631" spans="1:10" x14ac:dyDescent="0.25">
      <c r="A631" s="1">
        <v>42</v>
      </c>
      <c r="B631" t="s">
        <v>25</v>
      </c>
      <c r="C631">
        <v>700</v>
      </c>
      <c r="D631">
        <v>0</v>
      </c>
      <c r="E631" t="s">
        <v>26</v>
      </c>
      <c r="F631" t="s">
        <v>26</v>
      </c>
      <c r="G631" t="str">
        <f>"2025-12-01 17:01:22.743"</f>
        <v>2025-12-01 17:01:22.743</v>
      </c>
      <c r="H631" t="s">
        <v>22</v>
      </c>
      <c r="I631">
        <v>0</v>
      </c>
      <c r="J631" t="s">
        <v>27</v>
      </c>
    </row>
    <row r="632" spans="1:10" x14ac:dyDescent="0.25">
      <c r="A632" s="1">
        <v>43</v>
      </c>
      <c r="B632" t="s">
        <v>25</v>
      </c>
      <c r="C632">
        <v>706</v>
      </c>
      <c r="D632">
        <v>4</v>
      </c>
      <c r="E632" t="s">
        <v>35</v>
      </c>
      <c r="F632" t="s">
        <v>36</v>
      </c>
      <c r="G632" t="str">
        <f>"2025-12-01 11:20:37.972"</f>
        <v>2025-12-01 11:20:37.972</v>
      </c>
      <c r="H632" t="s">
        <v>22</v>
      </c>
      <c r="I632">
        <v>0</v>
      </c>
      <c r="J632" t="s">
        <v>24</v>
      </c>
    </row>
    <row r="633" spans="1:10" x14ac:dyDescent="0.25">
      <c r="A633" s="1">
        <v>44</v>
      </c>
      <c r="B633" t="s">
        <v>19</v>
      </c>
      <c r="C633">
        <v>630</v>
      </c>
      <c r="D633">
        <v>5</v>
      </c>
      <c r="E633" t="s">
        <v>32</v>
      </c>
      <c r="F633" t="s">
        <v>33</v>
      </c>
      <c r="G633" t="str">
        <f>"2025-12-01 05:10:00.923"</f>
        <v>2025-12-01 05:10:00.923</v>
      </c>
      <c r="H633" t="s">
        <v>34</v>
      </c>
    </row>
    <row r="634" spans="1:10" x14ac:dyDescent="0.25">
      <c r="A634" s="1">
        <v>45</v>
      </c>
      <c r="B634" t="s">
        <v>25</v>
      </c>
      <c r="C634">
        <v>706</v>
      </c>
      <c r="D634">
        <v>4</v>
      </c>
      <c r="E634" t="s">
        <v>35</v>
      </c>
      <c r="F634" t="s">
        <v>36</v>
      </c>
      <c r="G634" t="str">
        <f>"2025-12-01 05:09:30.862"</f>
        <v>2025-12-01 05:09:30.862</v>
      </c>
      <c r="H634" t="s">
        <v>22</v>
      </c>
      <c r="I634">
        <v>0</v>
      </c>
      <c r="J634" t="s">
        <v>24</v>
      </c>
    </row>
    <row r="635" spans="1:10" x14ac:dyDescent="0.25">
      <c r="A635" s="1">
        <v>46</v>
      </c>
      <c r="B635" t="s">
        <v>37</v>
      </c>
      <c r="C635">
        <v>630</v>
      </c>
      <c r="D635">
        <v>5</v>
      </c>
      <c r="E635" t="s">
        <v>32</v>
      </c>
      <c r="F635" t="s">
        <v>33</v>
      </c>
      <c r="G635" t="str">
        <f>"2025-12-01 04:51:55.223"</f>
        <v>2025-12-01 04:51:55.223</v>
      </c>
      <c r="H635" t="s">
        <v>34</v>
      </c>
      <c r="I635">
        <v>0</v>
      </c>
      <c r="J635" t="s">
        <v>24</v>
      </c>
    </row>
    <row r="636" spans="1:10" x14ac:dyDescent="0.25">
      <c r="A636" s="1">
        <v>47</v>
      </c>
      <c r="B636" t="s">
        <v>25</v>
      </c>
      <c r="C636">
        <v>706</v>
      </c>
      <c r="D636">
        <v>3</v>
      </c>
      <c r="E636" t="s">
        <v>35</v>
      </c>
      <c r="F636" t="s">
        <v>62</v>
      </c>
      <c r="G636" t="str">
        <f>"2025-12-01 04:46:52.292"</f>
        <v>2025-12-01 04:46:52.292</v>
      </c>
      <c r="H636" t="s">
        <v>22</v>
      </c>
      <c r="I636">
        <v>0</v>
      </c>
      <c r="J636" t="s">
        <v>24</v>
      </c>
    </row>
    <row r="637" spans="1:10" x14ac:dyDescent="0.25">
      <c r="A637" s="1">
        <v>48</v>
      </c>
      <c r="B637" t="s">
        <v>19</v>
      </c>
      <c r="C637">
        <v>630</v>
      </c>
      <c r="D637">
        <v>5</v>
      </c>
      <c r="E637" t="s">
        <v>32</v>
      </c>
      <c r="F637" t="s">
        <v>33</v>
      </c>
      <c r="G637" t="str">
        <f>"2025-12-01 04:45:40.323"</f>
        <v>2025-12-01 04:45:40.323</v>
      </c>
      <c r="H637" t="s">
        <v>34</v>
      </c>
    </row>
    <row r="638" spans="1:10" x14ac:dyDescent="0.25">
      <c r="A638" s="1">
        <v>49</v>
      </c>
      <c r="B638" t="s">
        <v>25</v>
      </c>
      <c r="C638">
        <v>706</v>
      </c>
      <c r="D638">
        <v>2</v>
      </c>
      <c r="E638" t="s">
        <v>35</v>
      </c>
      <c r="F638" t="s">
        <v>38</v>
      </c>
      <c r="G638" t="str">
        <f>"2025-12-01 04:45:10.182"</f>
        <v>2025-12-01 04:45:10.182</v>
      </c>
      <c r="H638" t="s">
        <v>22</v>
      </c>
      <c r="I638">
        <v>0</v>
      </c>
      <c r="J638" t="s">
        <v>24</v>
      </c>
    </row>
    <row r="639" spans="1:10" x14ac:dyDescent="0.25">
      <c r="A639" s="1">
        <v>50</v>
      </c>
      <c r="B639" t="s">
        <v>37</v>
      </c>
      <c r="C639">
        <v>630</v>
      </c>
      <c r="D639">
        <v>5</v>
      </c>
      <c r="E639" t="s">
        <v>32</v>
      </c>
      <c r="F639" t="s">
        <v>33</v>
      </c>
      <c r="G639" t="str">
        <f>"2025-12-01 03:38:25.923"</f>
        <v>2025-12-01 03:38:25.923</v>
      </c>
      <c r="H639" t="s">
        <v>34</v>
      </c>
      <c r="I639">
        <v>0</v>
      </c>
      <c r="J639" t="s">
        <v>24</v>
      </c>
    </row>
    <row r="640" spans="1:10" x14ac:dyDescent="0.25">
      <c r="A640" s="1">
        <v>51</v>
      </c>
      <c r="B640" t="s">
        <v>25</v>
      </c>
      <c r="C640">
        <v>706</v>
      </c>
      <c r="D640">
        <v>3</v>
      </c>
      <c r="E640" t="s">
        <v>35</v>
      </c>
      <c r="F640" t="s">
        <v>62</v>
      </c>
      <c r="G640" t="str">
        <f>"2025-12-01 03:33:23.502"</f>
        <v>2025-12-01 03:33:23.502</v>
      </c>
      <c r="H640" t="s">
        <v>22</v>
      </c>
      <c r="I640">
        <v>0</v>
      </c>
      <c r="J640" t="s">
        <v>24</v>
      </c>
    </row>
    <row r="641" spans="1:10" x14ac:dyDescent="0.25">
      <c r="A641" s="1">
        <v>52</v>
      </c>
      <c r="B641" t="s">
        <v>25</v>
      </c>
      <c r="C641">
        <v>700</v>
      </c>
      <c r="D641">
        <v>0</v>
      </c>
      <c r="E641" t="s">
        <v>26</v>
      </c>
      <c r="F641" t="s">
        <v>26</v>
      </c>
      <c r="G641" t="str">
        <f>"2025-12-01 03:13:34.732"</f>
        <v>2025-12-01 03:13:34.732</v>
      </c>
      <c r="H641" t="s">
        <v>22</v>
      </c>
    </row>
    <row r="642" spans="1:10" x14ac:dyDescent="0.25">
      <c r="A642" s="1">
        <v>53</v>
      </c>
      <c r="B642" t="s">
        <v>19</v>
      </c>
      <c r="C642">
        <v>635</v>
      </c>
      <c r="D642">
        <v>1</v>
      </c>
      <c r="E642" t="s">
        <v>28</v>
      </c>
      <c r="F642" t="s">
        <v>29</v>
      </c>
      <c r="G642" t="str">
        <f>"2025-11-30 10:19:56.936"</f>
        <v>2025-11-30 10:19:56.936</v>
      </c>
      <c r="H642" t="s">
        <v>22</v>
      </c>
    </row>
    <row r="643" spans="1:10" x14ac:dyDescent="0.25">
      <c r="A643" s="1">
        <v>54</v>
      </c>
      <c r="B643" t="s">
        <v>23</v>
      </c>
      <c r="C643">
        <v>635</v>
      </c>
      <c r="D643">
        <v>1</v>
      </c>
      <c r="E643" t="s">
        <v>28</v>
      </c>
      <c r="F643" t="s">
        <v>29</v>
      </c>
      <c r="G643" t="str">
        <f>"2025-11-30 10:17:59.436"</f>
        <v>2025-11-30 10:17:59.436</v>
      </c>
      <c r="H643" t="s">
        <v>22</v>
      </c>
      <c r="I643">
        <v>4.0599999999999996</v>
      </c>
      <c r="J643" t="s">
        <v>30</v>
      </c>
    </row>
    <row r="644" spans="1:10" x14ac:dyDescent="0.25">
      <c r="A644" s="1">
        <v>55</v>
      </c>
      <c r="B644" t="s">
        <v>19</v>
      </c>
      <c r="C644">
        <v>635</v>
      </c>
      <c r="D644">
        <v>1</v>
      </c>
      <c r="E644" t="s">
        <v>28</v>
      </c>
      <c r="F644" t="s">
        <v>29</v>
      </c>
      <c r="G644" t="str">
        <f>"2025-11-30 09:36:24.936"</f>
        <v>2025-11-30 09:36:24.936</v>
      </c>
      <c r="H644" t="s">
        <v>22</v>
      </c>
    </row>
    <row r="645" spans="1:10" x14ac:dyDescent="0.25">
      <c r="A645" s="1">
        <v>56</v>
      </c>
      <c r="B645" t="s">
        <v>23</v>
      </c>
      <c r="C645">
        <v>635</v>
      </c>
      <c r="D645">
        <v>1</v>
      </c>
      <c r="E645" t="s">
        <v>28</v>
      </c>
      <c r="F645" t="s">
        <v>29</v>
      </c>
      <c r="G645" t="str">
        <f>"2025-11-30 09:34:26.436"</f>
        <v>2025-11-30 09:34:26.436</v>
      </c>
      <c r="H645" t="s">
        <v>22</v>
      </c>
      <c r="I645">
        <v>3.46</v>
      </c>
      <c r="J645" t="s">
        <v>30</v>
      </c>
    </row>
    <row r="646" spans="1:10" x14ac:dyDescent="0.25">
      <c r="A646" s="1">
        <v>57</v>
      </c>
      <c r="B646" t="s">
        <v>19</v>
      </c>
      <c r="C646">
        <v>630</v>
      </c>
      <c r="D646">
        <v>5</v>
      </c>
      <c r="E646" t="s">
        <v>32</v>
      </c>
      <c r="F646" t="s">
        <v>33</v>
      </c>
      <c r="G646" t="str">
        <f>"2025-11-30 08:02:49.937"</f>
        <v>2025-11-30 08:02:49.937</v>
      </c>
      <c r="H646" t="s">
        <v>34</v>
      </c>
    </row>
    <row r="647" spans="1:10" x14ac:dyDescent="0.25">
      <c r="A647" s="1">
        <v>58</v>
      </c>
      <c r="B647" t="s">
        <v>25</v>
      </c>
      <c r="C647">
        <v>706</v>
      </c>
      <c r="D647">
        <v>4</v>
      </c>
      <c r="E647" t="s">
        <v>35</v>
      </c>
      <c r="F647" t="s">
        <v>36</v>
      </c>
      <c r="G647" t="str">
        <f>"2025-11-30 08:02:19.883"</f>
        <v>2025-11-30 08:02:19.883</v>
      </c>
      <c r="H647" t="s">
        <v>22</v>
      </c>
      <c r="I647">
        <v>0</v>
      </c>
      <c r="J647" t="s">
        <v>24</v>
      </c>
    </row>
    <row r="648" spans="1:10" x14ac:dyDescent="0.25">
      <c r="A648" s="1">
        <v>59</v>
      </c>
      <c r="B648" t="s">
        <v>37</v>
      </c>
      <c r="C648">
        <v>630</v>
      </c>
      <c r="D648">
        <v>5</v>
      </c>
      <c r="E648" t="s">
        <v>32</v>
      </c>
      <c r="F648" t="s">
        <v>33</v>
      </c>
      <c r="G648" t="str">
        <f>"2025-11-30 07:57:37.537"</f>
        <v>2025-11-30 07:57:37.537</v>
      </c>
      <c r="H648" t="s">
        <v>34</v>
      </c>
      <c r="I648">
        <v>0</v>
      </c>
      <c r="J648" t="s">
        <v>24</v>
      </c>
    </row>
    <row r="649" spans="1:10" x14ac:dyDescent="0.25">
      <c r="A649" s="1">
        <v>60</v>
      </c>
      <c r="B649" t="s">
        <v>19</v>
      </c>
      <c r="C649">
        <v>635</v>
      </c>
      <c r="D649">
        <v>1</v>
      </c>
      <c r="E649" t="s">
        <v>28</v>
      </c>
      <c r="F649" t="s">
        <v>29</v>
      </c>
      <c r="G649" t="str">
        <f>"2025-11-30 04:55:52.436"</f>
        <v>2025-11-30 04:55:52.436</v>
      </c>
      <c r="H649" t="s">
        <v>22</v>
      </c>
    </row>
    <row r="650" spans="1:10" x14ac:dyDescent="0.25">
      <c r="A650" s="1">
        <v>61</v>
      </c>
      <c r="B650" t="s">
        <v>23</v>
      </c>
      <c r="C650">
        <v>635</v>
      </c>
      <c r="D650">
        <v>1</v>
      </c>
      <c r="E650" t="s">
        <v>28</v>
      </c>
      <c r="F650" t="s">
        <v>29</v>
      </c>
      <c r="G650" t="str">
        <f>"2025-11-30 04:46:22.936"</f>
        <v>2025-11-30 04:46:22.936</v>
      </c>
      <c r="H650" t="s">
        <v>22</v>
      </c>
      <c r="I650">
        <v>4.59</v>
      </c>
      <c r="J650" t="s">
        <v>30</v>
      </c>
    </row>
    <row r="651" spans="1:10" x14ac:dyDescent="0.25">
      <c r="A651" s="1">
        <v>63</v>
      </c>
      <c r="B651" t="s">
        <v>25</v>
      </c>
      <c r="C651">
        <v>700</v>
      </c>
      <c r="D651">
        <v>0</v>
      </c>
      <c r="E651" t="s">
        <v>26</v>
      </c>
      <c r="F651" t="s">
        <v>26</v>
      </c>
      <c r="G651" t="str">
        <f>"2025-11-28 20:26:13.943"</f>
        <v>2025-11-28 20:26:13.943</v>
      </c>
      <c r="H651" t="s">
        <v>22</v>
      </c>
    </row>
    <row r="652" spans="1:10" x14ac:dyDescent="0.25">
      <c r="A652" s="1">
        <v>64</v>
      </c>
      <c r="B652" t="s">
        <v>19</v>
      </c>
      <c r="C652">
        <v>635</v>
      </c>
      <c r="D652">
        <v>1</v>
      </c>
      <c r="E652" t="s">
        <v>28</v>
      </c>
      <c r="F652" t="s">
        <v>29</v>
      </c>
      <c r="G652" t="str">
        <f>"2025-11-27 22:18:25.997"</f>
        <v>2025-11-27 22:18:25.997</v>
      </c>
      <c r="H652" t="s">
        <v>22</v>
      </c>
    </row>
    <row r="653" spans="1:10" x14ac:dyDescent="0.25">
      <c r="A653" s="1">
        <v>65</v>
      </c>
      <c r="B653" t="s">
        <v>23</v>
      </c>
      <c r="C653">
        <v>635</v>
      </c>
      <c r="D653">
        <v>1</v>
      </c>
      <c r="E653" t="s">
        <v>28</v>
      </c>
      <c r="F653" t="s">
        <v>29</v>
      </c>
      <c r="G653" t="str">
        <f>"2025-11-27 22:08:01.497"</f>
        <v>2025-11-27 22:08:01.497</v>
      </c>
      <c r="H653" t="s">
        <v>22</v>
      </c>
      <c r="I653">
        <v>-0.04</v>
      </c>
      <c r="J653" t="s">
        <v>48</v>
      </c>
    </row>
    <row r="654" spans="1:10" s="3" customFormat="1" x14ac:dyDescent="0.25">
      <c r="A654" s="2">
        <v>66</v>
      </c>
      <c r="B654" s="3" t="s">
        <v>19</v>
      </c>
      <c r="C654" s="3">
        <v>647</v>
      </c>
      <c r="D654" s="3">
        <v>1</v>
      </c>
      <c r="E654" s="3" t="s">
        <v>49</v>
      </c>
      <c r="F654" s="3" t="s">
        <v>50</v>
      </c>
      <c r="G654" s="3" t="str">
        <f>"2025-11-26 14:40:42.698"</f>
        <v>2025-11-26 14:40:42.698</v>
      </c>
      <c r="H654" s="3" t="s">
        <v>22</v>
      </c>
    </row>
    <row r="655" spans="1:10" s="3" customFormat="1" x14ac:dyDescent="0.25">
      <c r="A655" s="2">
        <v>67</v>
      </c>
      <c r="B655" s="3" t="s">
        <v>23</v>
      </c>
      <c r="C655" s="3">
        <v>647</v>
      </c>
      <c r="D655" s="3">
        <v>1</v>
      </c>
      <c r="E655" s="3" t="s">
        <v>49</v>
      </c>
      <c r="F655" s="3" t="s">
        <v>50</v>
      </c>
      <c r="G655" s="3" t="str">
        <f>"2025-11-26 14:40:40.598"</f>
        <v>2025-11-26 14:40:40.598</v>
      </c>
      <c r="H655" s="3" t="s">
        <v>22</v>
      </c>
      <c r="I655" s="3">
        <v>21.69</v>
      </c>
      <c r="J655" s="3" t="s">
        <v>31</v>
      </c>
    </row>
    <row r="656" spans="1:10" x14ac:dyDescent="0.25">
      <c r="A656" s="1">
        <v>69</v>
      </c>
      <c r="B656" t="s">
        <v>19</v>
      </c>
      <c r="C656">
        <v>630</v>
      </c>
      <c r="D656">
        <v>5</v>
      </c>
      <c r="E656" t="s">
        <v>32</v>
      </c>
      <c r="F656" t="s">
        <v>33</v>
      </c>
      <c r="G656" t="str">
        <f>"2025-11-25 09:22:06.098"</f>
        <v>2025-11-25 09:22:06.098</v>
      </c>
      <c r="H656" t="s">
        <v>34</v>
      </c>
    </row>
    <row r="657" spans="1:10" x14ac:dyDescent="0.25">
      <c r="A657" s="1">
        <v>70</v>
      </c>
      <c r="B657" t="s">
        <v>25</v>
      </c>
      <c r="C657">
        <v>706</v>
      </c>
      <c r="D657">
        <v>2</v>
      </c>
      <c r="E657" t="s">
        <v>35</v>
      </c>
      <c r="F657" t="s">
        <v>38</v>
      </c>
      <c r="G657" t="str">
        <f>"2025-11-25 09:21:36.045"</f>
        <v>2025-11-25 09:21:36.045</v>
      </c>
      <c r="H657" t="s">
        <v>22</v>
      </c>
      <c r="I657">
        <v>0</v>
      </c>
      <c r="J657" t="s">
        <v>24</v>
      </c>
    </row>
    <row r="658" spans="1:10" x14ac:dyDescent="0.25">
      <c r="A658" s="1">
        <v>71</v>
      </c>
      <c r="B658" t="s">
        <v>37</v>
      </c>
      <c r="C658">
        <v>630</v>
      </c>
      <c r="D658">
        <v>5</v>
      </c>
      <c r="E658" t="s">
        <v>32</v>
      </c>
      <c r="F658" t="s">
        <v>33</v>
      </c>
      <c r="G658" t="str">
        <f>"2025-11-25 09:18:49.398"</f>
        <v>2025-11-25 09:18:49.398</v>
      </c>
      <c r="H658" t="s">
        <v>34</v>
      </c>
      <c r="I658">
        <v>0</v>
      </c>
      <c r="J658" t="s">
        <v>24</v>
      </c>
    </row>
    <row r="659" spans="1:10" x14ac:dyDescent="0.25">
      <c r="A659" s="1">
        <v>72</v>
      </c>
      <c r="B659" t="s">
        <v>19</v>
      </c>
      <c r="C659">
        <v>630</v>
      </c>
      <c r="D659">
        <v>5</v>
      </c>
      <c r="E659" t="s">
        <v>32</v>
      </c>
      <c r="F659" t="s">
        <v>33</v>
      </c>
      <c r="G659" t="str">
        <f>"2025-11-23 23:16:42.098"</f>
        <v>2025-11-23 23:16:42.098</v>
      </c>
      <c r="H659" t="s">
        <v>34</v>
      </c>
    </row>
    <row r="660" spans="1:10" x14ac:dyDescent="0.25">
      <c r="A660" s="1">
        <v>73</v>
      </c>
      <c r="B660" t="s">
        <v>25</v>
      </c>
      <c r="C660">
        <v>706</v>
      </c>
      <c r="D660">
        <v>4</v>
      </c>
      <c r="E660" t="s">
        <v>35</v>
      </c>
      <c r="F660" t="s">
        <v>36</v>
      </c>
      <c r="G660" t="str">
        <f>"2025-11-23 23:16:11.975"</f>
        <v>2025-11-23 23:16:11.975</v>
      </c>
      <c r="H660" t="s">
        <v>22</v>
      </c>
      <c r="I660">
        <v>0</v>
      </c>
      <c r="J660" t="s">
        <v>24</v>
      </c>
    </row>
    <row r="661" spans="1:10" x14ac:dyDescent="0.25">
      <c r="A661" s="1">
        <v>74</v>
      </c>
      <c r="B661" t="s">
        <v>37</v>
      </c>
      <c r="C661">
        <v>630</v>
      </c>
      <c r="D661">
        <v>5</v>
      </c>
      <c r="E661" t="s">
        <v>32</v>
      </c>
      <c r="F661" t="s">
        <v>33</v>
      </c>
      <c r="G661" t="str">
        <f>"2025-11-23 22:41:37.498"</f>
        <v>2025-11-23 22:41:37.498</v>
      </c>
      <c r="H661" t="s">
        <v>34</v>
      </c>
      <c r="I661">
        <v>0</v>
      </c>
      <c r="J661" t="s">
        <v>24</v>
      </c>
    </row>
    <row r="662" spans="1:10" x14ac:dyDescent="0.25">
      <c r="A662" s="1">
        <v>75</v>
      </c>
      <c r="B662" t="s">
        <v>25</v>
      </c>
      <c r="C662">
        <v>700</v>
      </c>
      <c r="D662">
        <v>0</v>
      </c>
      <c r="E662" t="s">
        <v>26</v>
      </c>
      <c r="F662" t="s">
        <v>26</v>
      </c>
      <c r="G662" t="str">
        <f>"2025-11-23 22:36:34.705"</f>
        <v>2025-11-23 22:36:34.705</v>
      </c>
      <c r="H662" t="s">
        <v>22</v>
      </c>
      <c r="I662">
        <v>0</v>
      </c>
      <c r="J662" t="s">
        <v>27</v>
      </c>
    </row>
    <row r="663" spans="1:10" x14ac:dyDescent="0.25">
      <c r="A663" s="1">
        <v>76</v>
      </c>
      <c r="B663" t="s">
        <v>19</v>
      </c>
      <c r="C663">
        <v>630</v>
      </c>
      <c r="D663">
        <v>5</v>
      </c>
      <c r="E663" t="s">
        <v>32</v>
      </c>
      <c r="F663" t="s">
        <v>33</v>
      </c>
      <c r="G663" t="str">
        <f>"2025-11-23 22:25:47.803"</f>
        <v>2025-11-23 22:25:47.803</v>
      </c>
      <c r="H663" t="s">
        <v>34</v>
      </c>
    </row>
    <row r="664" spans="1:10" x14ac:dyDescent="0.25">
      <c r="A664" s="1">
        <v>77</v>
      </c>
      <c r="B664" t="s">
        <v>25</v>
      </c>
      <c r="C664">
        <v>706</v>
      </c>
      <c r="D664">
        <v>2</v>
      </c>
      <c r="E664" t="s">
        <v>35</v>
      </c>
      <c r="F664" t="s">
        <v>38</v>
      </c>
      <c r="G664" t="str">
        <f>"2025-11-23 22:25:17.630"</f>
        <v>2025-11-23 22:25:17.630</v>
      </c>
      <c r="H664" t="s">
        <v>22</v>
      </c>
      <c r="I664">
        <v>0</v>
      </c>
      <c r="J664" t="s">
        <v>24</v>
      </c>
    </row>
    <row r="665" spans="1:10" x14ac:dyDescent="0.25">
      <c r="A665" s="1">
        <v>78</v>
      </c>
      <c r="B665" t="s">
        <v>25</v>
      </c>
      <c r="C665">
        <v>706</v>
      </c>
      <c r="D665">
        <v>4</v>
      </c>
      <c r="E665" t="s">
        <v>35</v>
      </c>
      <c r="F665" t="s">
        <v>36</v>
      </c>
      <c r="G665" t="str">
        <f>"2025-11-23 22:25:03.340"</f>
        <v>2025-11-23 22:25:03.340</v>
      </c>
      <c r="H665" t="s">
        <v>22</v>
      </c>
      <c r="I665">
        <v>0</v>
      </c>
      <c r="J665" t="s">
        <v>24</v>
      </c>
    </row>
    <row r="666" spans="1:10" x14ac:dyDescent="0.25">
      <c r="A666" s="1">
        <v>79</v>
      </c>
      <c r="B666" t="s">
        <v>37</v>
      </c>
      <c r="C666">
        <v>630</v>
      </c>
      <c r="D666">
        <v>5</v>
      </c>
      <c r="E666" t="s">
        <v>32</v>
      </c>
      <c r="F666" t="s">
        <v>33</v>
      </c>
      <c r="G666" t="str">
        <f>"2025-11-23 22:22:24.903"</f>
        <v>2025-11-23 22:22:24.903</v>
      </c>
      <c r="H666" t="s">
        <v>34</v>
      </c>
      <c r="I666">
        <v>0</v>
      </c>
      <c r="J666" t="s">
        <v>24</v>
      </c>
    </row>
    <row r="667" spans="1:10" x14ac:dyDescent="0.25">
      <c r="A667" s="1">
        <v>80</v>
      </c>
      <c r="B667" t="s">
        <v>25</v>
      </c>
      <c r="C667">
        <v>706</v>
      </c>
      <c r="D667">
        <v>3</v>
      </c>
      <c r="E667" t="s">
        <v>35</v>
      </c>
      <c r="F667" t="s">
        <v>62</v>
      </c>
      <c r="G667" t="str">
        <f>"2025-11-23 22:17:24.440"</f>
        <v>2025-11-23 22:17:24.440</v>
      </c>
      <c r="H667" t="s">
        <v>22</v>
      </c>
      <c r="I667">
        <v>0</v>
      </c>
      <c r="J667" t="s">
        <v>24</v>
      </c>
    </row>
    <row r="668" spans="1:10" x14ac:dyDescent="0.25">
      <c r="A668" s="1">
        <v>81</v>
      </c>
      <c r="B668" t="s">
        <v>25</v>
      </c>
      <c r="C668">
        <v>700</v>
      </c>
      <c r="D668">
        <v>0</v>
      </c>
      <c r="E668" t="s">
        <v>26</v>
      </c>
      <c r="F668" t="s">
        <v>26</v>
      </c>
      <c r="G668" t="str">
        <f>"2025-11-23 22:14:52.760"</f>
        <v>2025-11-23 22:14:52.760</v>
      </c>
      <c r="H668" t="s">
        <v>22</v>
      </c>
      <c r="I668">
        <v>0</v>
      </c>
      <c r="J668" t="s">
        <v>27</v>
      </c>
    </row>
    <row r="669" spans="1:10" x14ac:dyDescent="0.25">
      <c r="A669" s="1">
        <v>82</v>
      </c>
      <c r="B669" t="s">
        <v>25</v>
      </c>
      <c r="C669">
        <v>700</v>
      </c>
      <c r="D669">
        <v>0</v>
      </c>
      <c r="E669" t="s">
        <v>26</v>
      </c>
      <c r="F669" t="s">
        <v>26</v>
      </c>
      <c r="G669" t="str">
        <f>"2025-11-23 21:34:13.717"</f>
        <v>2025-11-23 21:34:13.717</v>
      </c>
      <c r="H669" t="s">
        <v>22</v>
      </c>
      <c r="I669">
        <v>0</v>
      </c>
      <c r="J669" t="s">
        <v>27</v>
      </c>
    </row>
    <row r="670" spans="1:10" x14ac:dyDescent="0.25">
      <c r="A670" s="1">
        <v>83</v>
      </c>
      <c r="B670" t="s">
        <v>37</v>
      </c>
      <c r="C670">
        <v>630</v>
      </c>
      <c r="D670">
        <v>5</v>
      </c>
      <c r="E670" t="s">
        <v>32</v>
      </c>
      <c r="F670" t="s">
        <v>33</v>
      </c>
      <c r="G670" t="str">
        <f>"2025-11-23 21:28:05.774"</f>
        <v>2025-11-23 21:28:05.774</v>
      </c>
      <c r="H670" t="s">
        <v>34</v>
      </c>
      <c r="I670">
        <v>0</v>
      </c>
      <c r="J670" t="s">
        <v>24</v>
      </c>
    </row>
    <row r="671" spans="1:10" x14ac:dyDescent="0.25">
      <c r="A671" s="1">
        <v>84</v>
      </c>
      <c r="B671" t="s">
        <v>25</v>
      </c>
      <c r="C671">
        <v>700</v>
      </c>
      <c r="D671">
        <v>0</v>
      </c>
      <c r="E671" t="s">
        <v>26</v>
      </c>
      <c r="F671" t="s">
        <v>26</v>
      </c>
      <c r="G671" t="str">
        <f>"2025-11-23 21:23:02.982"</f>
        <v>2025-11-23 21:23:02.982</v>
      </c>
      <c r="H671" t="s">
        <v>22</v>
      </c>
      <c r="I671">
        <v>0</v>
      </c>
      <c r="J671" t="s">
        <v>27</v>
      </c>
    </row>
    <row r="672" spans="1:10" x14ac:dyDescent="0.25">
      <c r="A672" s="1">
        <v>85</v>
      </c>
      <c r="B672" t="s">
        <v>19</v>
      </c>
      <c r="C672">
        <v>630</v>
      </c>
      <c r="D672">
        <v>5</v>
      </c>
      <c r="E672" t="s">
        <v>32</v>
      </c>
      <c r="F672" t="s">
        <v>33</v>
      </c>
      <c r="G672" t="str">
        <f>"2025-11-23 09:49:08.112"</f>
        <v>2025-11-23 09:49:08.112</v>
      </c>
      <c r="H672" t="s">
        <v>34</v>
      </c>
    </row>
    <row r="673" spans="1:10" x14ac:dyDescent="0.25">
      <c r="A673" s="1">
        <v>86</v>
      </c>
      <c r="B673" t="s">
        <v>25</v>
      </c>
      <c r="C673">
        <v>706</v>
      </c>
      <c r="D673">
        <v>4</v>
      </c>
      <c r="E673" t="s">
        <v>35</v>
      </c>
      <c r="F673" t="s">
        <v>36</v>
      </c>
      <c r="G673" t="str">
        <f>"2025-11-23 09:48:38.028"</f>
        <v>2025-11-23 09:48:38.028</v>
      </c>
      <c r="H673" t="s">
        <v>22</v>
      </c>
      <c r="I673">
        <v>0</v>
      </c>
      <c r="J673" t="s">
        <v>24</v>
      </c>
    </row>
    <row r="674" spans="1:10" x14ac:dyDescent="0.25">
      <c r="A674" s="1">
        <v>87</v>
      </c>
      <c r="B674" t="s">
        <v>37</v>
      </c>
      <c r="C674">
        <v>630</v>
      </c>
      <c r="D674">
        <v>5</v>
      </c>
      <c r="E674" t="s">
        <v>32</v>
      </c>
      <c r="F674" t="s">
        <v>33</v>
      </c>
      <c r="G674" t="str">
        <f>"2025-11-23 09:46:05.812"</f>
        <v>2025-11-23 09:46:05.812</v>
      </c>
      <c r="H674" t="s">
        <v>34</v>
      </c>
      <c r="I674">
        <v>0</v>
      </c>
      <c r="J674" t="s">
        <v>24</v>
      </c>
    </row>
    <row r="675" spans="1:10" x14ac:dyDescent="0.25">
      <c r="A675" s="1">
        <v>88</v>
      </c>
      <c r="B675" t="s">
        <v>19</v>
      </c>
      <c r="C675">
        <v>630</v>
      </c>
      <c r="D675">
        <v>5</v>
      </c>
      <c r="E675" t="s">
        <v>32</v>
      </c>
      <c r="F675" t="s">
        <v>33</v>
      </c>
      <c r="G675" t="str">
        <f>"2025-11-22 09:37:59.912"</f>
        <v>2025-11-22 09:37:59.912</v>
      </c>
      <c r="H675" t="s">
        <v>34</v>
      </c>
    </row>
    <row r="676" spans="1:10" x14ac:dyDescent="0.25">
      <c r="A676" s="1">
        <v>89</v>
      </c>
      <c r="B676" t="s">
        <v>25</v>
      </c>
      <c r="C676">
        <v>706</v>
      </c>
      <c r="D676">
        <v>2</v>
      </c>
      <c r="E676" t="s">
        <v>35</v>
      </c>
      <c r="F676" t="s">
        <v>38</v>
      </c>
      <c r="G676" t="str">
        <f>"2025-11-22 09:37:29.758"</f>
        <v>2025-11-22 09:37:29.758</v>
      </c>
      <c r="H676" t="s">
        <v>22</v>
      </c>
      <c r="I676">
        <v>0</v>
      </c>
      <c r="J676" t="s">
        <v>24</v>
      </c>
    </row>
    <row r="677" spans="1:10" x14ac:dyDescent="0.25">
      <c r="A677" s="1">
        <v>90</v>
      </c>
      <c r="B677" t="s">
        <v>37</v>
      </c>
      <c r="C677">
        <v>630</v>
      </c>
      <c r="D677">
        <v>5</v>
      </c>
      <c r="E677" t="s">
        <v>32</v>
      </c>
      <c r="F677" t="s">
        <v>33</v>
      </c>
      <c r="G677" t="str">
        <f>"2025-11-22 09:28:03.712"</f>
        <v>2025-11-22 09:28:03.712</v>
      </c>
      <c r="H677" t="s">
        <v>34</v>
      </c>
      <c r="I677">
        <v>0</v>
      </c>
      <c r="J677" t="s">
        <v>24</v>
      </c>
    </row>
    <row r="678" spans="1:10" x14ac:dyDescent="0.25">
      <c r="A678" s="1">
        <v>91</v>
      </c>
      <c r="B678" t="s">
        <v>25</v>
      </c>
      <c r="C678">
        <v>700</v>
      </c>
      <c r="D678">
        <v>0</v>
      </c>
      <c r="E678" t="s">
        <v>26</v>
      </c>
      <c r="F678" t="s">
        <v>26</v>
      </c>
      <c r="G678" t="str">
        <f>"2025-11-22 01:45:54.718"</f>
        <v>2025-11-22 01:45:54.718</v>
      </c>
      <c r="H678" t="s">
        <v>22</v>
      </c>
      <c r="I678">
        <v>0</v>
      </c>
      <c r="J678" t="s">
        <v>27</v>
      </c>
    </row>
    <row r="679" spans="1:10" x14ac:dyDescent="0.25">
      <c r="A679" s="1">
        <v>93</v>
      </c>
      <c r="B679" t="s">
        <v>19</v>
      </c>
      <c r="C679">
        <v>630</v>
      </c>
      <c r="D679">
        <v>5</v>
      </c>
      <c r="E679" t="s">
        <v>32</v>
      </c>
      <c r="F679" t="s">
        <v>33</v>
      </c>
      <c r="G679" t="str">
        <f>"2025-11-21 08:41:25.594"</f>
        <v>2025-11-21 08:41:25.594</v>
      </c>
      <c r="H679" t="s">
        <v>34</v>
      </c>
    </row>
    <row r="680" spans="1:10" x14ac:dyDescent="0.25">
      <c r="A680" s="1">
        <v>94</v>
      </c>
      <c r="B680" t="s">
        <v>25</v>
      </c>
      <c r="C680">
        <v>706</v>
      </c>
      <c r="D680">
        <v>4</v>
      </c>
      <c r="E680" t="s">
        <v>35</v>
      </c>
      <c r="F680" t="s">
        <v>36</v>
      </c>
      <c r="G680" t="str">
        <f>"2025-11-21 08:40:55.569"</f>
        <v>2025-11-21 08:40:55.569</v>
      </c>
      <c r="H680" t="s">
        <v>22</v>
      </c>
      <c r="I680">
        <v>0</v>
      </c>
      <c r="J680" t="s">
        <v>24</v>
      </c>
    </row>
    <row r="681" spans="1:10" x14ac:dyDescent="0.25">
      <c r="A681" s="1">
        <v>95</v>
      </c>
      <c r="B681" t="s">
        <v>37</v>
      </c>
      <c r="C681">
        <v>630</v>
      </c>
      <c r="D681">
        <v>5</v>
      </c>
      <c r="E681" t="s">
        <v>32</v>
      </c>
      <c r="F681" t="s">
        <v>33</v>
      </c>
      <c r="G681" t="str">
        <f>"2025-11-21 08:38:31.094"</f>
        <v>2025-11-21 08:38:31.094</v>
      </c>
      <c r="H681" t="s">
        <v>34</v>
      </c>
      <c r="I681">
        <v>0</v>
      </c>
      <c r="J681" t="s">
        <v>24</v>
      </c>
    </row>
    <row r="682" spans="1:10" x14ac:dyDescent="0.25">
      <c r="A682" s="1">
        <v>96</v>
      </c>
      <c r="B682" t="s">
        <v>25</v>
      </c>
      <c r="C682">
        <v>706</v>
      </c>
      <c r="D682">
        <v>3</v>
      </c>
      <c r="E682" t="s">
        <v>35</v>
      </c>
      <c r="F682" t="s">
        <v>62</v>
      </c>
      <c r="G682" t="str">
        <f>"2025-11-21 08:33:28.369"</f>
        <v>2025-11-21 08:33:28.369</v>
      </c>
      <c r="H682" t="s">
        <v>22</v>
      </c>
      <c r="I682">
        <v>0</v>
      </c>
      <c r="J682" t="s">
        <v>24</v>
      </c>
    </row>
    <row r="683" spans="1:10" x14ac:dyDescent="0.25">
      <c r="A683" s="1">
        <v>97</v>
      </c>
      <c r="B683" t="s">
        <v>19</v>
      </c>
      <c r="C683">
        <v>61</v>
      </c>
      <c r="D683">
        <v>2</v>
      </c>
      <c r="E683" t="s">
        <v>51</v>
      </c>
      <c r="F683" t="s">
        <v>52</v>
      </c>
      <c r="G683" t="str">
        <f>"2025-11-20 16:26:04.814"</f>
        <v>2025-11-20 16:26:04.814</v>
      </c>
      <c r="H683" t="s">
        <v>22</v>
      </c>
    </row>
    <row r="684" spans="1:10" x14ac:dyDescent="0.25">
      <c r="A684" s="1">
        <v>98</v>
      </c>
      <c r="B684" t="s">
        <v>37</v>
      </c>
      <c r="C684">
        <v>61</v>
      </c>
      <c r="D684">
        <v>2</v>
      </c>
      <c r="E684" t="s">
        <v>51</v>
      </c>
      <c r="F684" t="s">
        <v>52</v>
      </c>
      <c r="G684" t="str">
        <f>"2025-11-20 16:25:51.414"</f>
        <v>2025-11-20 16:25:51.414</v>
      </c>
      <c r="H684" t="s">
        <v>22</v>
      </c>
      <c r="I684">
        <v>36.51</v>
      </c>
      <c r="J684" t="s">
        <v>31</v>
      </c>
    </row>
    <row r="685" spans="1:10" x14ac:dyDescent="0.25">
      <c r="A685" s="1">
        <v>99</v>
      </c>
      <c r="B685" t="s">
        <v>19</v>
      </c>
      <c r="C685">
        <v>61</v>
      </c>
      <c r="D685">
        <v>2</v>
      </c>
      <c r="E685" t="s">
        <v>51</v>
      </c>
      <c r="F685" t="s">
        <v>52</v>
      </c>
      <c r="G685" t="str">
        <f>"2025-11-20 15:34:41.114"</f>
        <v>2025-11-20 15:34:41.114</v>
      </c>
      <c r="H685" t="s">
        <v>22</v>
      </c>
    </row>
    <row r="686" spans="1:10" x14ac:dyDescent="0.25">
      <c r="A686" s="1">
        <v>0</v>
      </c>
      <c r="B686" t="s">
        <v>37</v>
      </c>
      <c r="C686">
        <v>61</v>
      </c>
      <c r="D686">
        <v>2</v>
      </c>
      <c r="E686" t="s">
        <v>51</v>
      </c>
      <c r="F686" t="s">
        <v>52</v>
      </c>
      <c r="G686" t="str">
        <f>"2025-11-20 15:34:32.814"</f>
        <v>2025-11-20 15:34:32.814</v>
      </c>
      <c r="H686" t="s">
        <v>22</v>
      </c>
      <c r="I686">
        <v>35.92</v>
      </c>
      <c r="J686" t="s">
        <v>31</v>
      </c>
    </row>
    <row r="687" spans="1:10" x14ac:dyDescent="0.25">
      <c r="A687" s="1">
        <v>1</v>
      </c>
      <c r="B687" t="s">
        <v>19</v>
      </c>
      <c r="C687">
        <v>630</v>
      </c>
      <c r="D687">
        <v>5</v>
      </c>
      <c r="E687" t="s">
        <v>32</v>
      </c>
      <c r="F687" t="s">
        <v>33</v>
      </c>
      <c r="G687" t="str">
        <f>"2025-11-20 10:23:04.794"</f>
        <v>2025-11-20 10:23:04.794</v>
      </c>
      <c r="H687" t="s">
        <v>34</v>
      </c>
    </row>
    <row r="688" spans="1:10" x14ac:dyDescent="0.25">
      <c r="A688" s="1">
        <v>2</v>
      </c>
      <c r="B688" t="s">
        <v>25</v>
      </c>
      <c r="C688">
        <v>706</v>
      </c>
      <c r="D688">
        <v>2</v>
      </c>
      <c r="E688" t="s">
        <v>35</v>
      </c>
      <c r="F688" t="s">
        <v>38</v>
      </c>
      <c r="G688" t="str">
        <f>"2025-11-20 10:22:34.669"</f>
        <v>2025-11-20 10:22:34.669</v>
      </c>
      <c r="H688" t="s">
        <v>22</v>
      </c>
      <c r="I688">
        <v>0</v>
      </c>
      <c r="J688" t="s">
        <v>24</v>
      </c>
    </row>
    <row r="689" spans="1:10" x14ac:dyDescent="0.25">
      <c r="A689" s="1">
        <v>3</v>
      </c>
      <c r="B689" t="s">
        <v>37</v>
      </c>
      <c r="C689">
        <v>630</v>
      </c>
      <c r="D689">
        <v>5</v>
      </c>
      <c r="E689" t="s">
        <v>32</v>
      </c>
      <c r="F689" t="s">
        <v>33</v>
      </c>
      <c r="G689" t="str">
        <f>"2025-11-20 10:20:15.194"</f>
        <v>2025-11-20 10:20:15.194</v>
      </c>
      <c r="H689" t="s">
        <v>34</v>
      </c>
      <c r="I689">
        <v>0</v>
      </c>
      <c r="J689" t="s">
        <v>24</v>
      </c>
    </row>
    <row r="690" spans="1:10" x14ac:dyDescent="0.25">
      <c r="A690" s="1">
        <v>4</v>
      </c>
      <c r="B690" t="s">
        <v>25</v>
      </c>
      <c r="C690">
        <v>700</v>
      </c>
      <c r="D690">
        <v>0</v>
      </c>
      <c r="E690" t="s">
        <v>26</v>
      </c>
      <c r="F690" t="s">
        <v>26</v>
      </c>
      <c r="G690" t="str">
        <f>"2025-11-20 01:48:03.699"</f>
        <v>2025-11-20 01:48:03.699</v>
      </c>
      <c r="H690" t="s">
        <v>22</v>
      </c>
      <c r="I690">
        <v>0</v>
      </c>
      <c r="J690" t="s">
        <v>27</v>
      </c>
    </row>
    <row r="691" spans="1:10" x14ac:dyDescent="0.25">
      <c r="A691" s="1">
        <v>5</v>
      </c>
      <c r="B691" t="s">
        <v>19</v>
      </c>
      <c r="C691">
        <v>630</v>
      </c>
      <c r="D691">
        <v>5</v>
      </c>
      <c r="E691" t="s">
        <v>32</v>
      </c>
      <c r="F691" t="s">
        <v>33</v>
      </c>
      <c r="G691" t="str">
        <f>"2025-11-19 13:53:38.329"</f>
        <v>2025-11-19 13:53:38.329</v>
      </c>
      <c r="H691" t="s">
        <v>34</v>
      </c>
    </row>
    <row r="692" spans="1:10" x14ac:dyDescent="0.25">
      <c r="A692" s="1">
        <v>6</v>
      </c>
      <c r="B692" t="s">
        <v>25</v>
      </c>
      <c r="C692">
        <v>706</v>
      </c>
      <c r="D692">
        <v>2</v>
      </c>
      <c r="E692" t="s">
        <v>35</v>
      </c>
      <c r="F692" t="s">
        <v>38</v>
      </c>
      <c r="G692" t="str">
        <f>"2025-11-19 13:53:08.270"</f>
        <v>2025-11-19 13:53:08.270</v>
      </c>
      <c r="H692" t="s">
        <v>22</v>
      </c>
      <c r="I692">
        <v>0</v>
      </c>
      <c r="J692" t="s">
        <v>24</v>
      </c>
    </row>
    <row r="693" spans="1:10" x14ac:dyDescent="0.25">
      <c r="A693" s="1">
        <v>7</v>
      </c>
      <c r="B693" t="s">
        <v>37</v>
      </c>
      <c r="C693">
        <v>630</v>
      </c>
      <c r="D693">
        <v>5</v>
      </c>
      <c r="E693" t="s">
        <v>32</v>
      </c>
      <c r="F693" t="s">
        <v>33</v>
      </c>
      <c r="G693" t="str">
        <f>"2025-11-19 13:48:32.929"</f>
        <v>2025-11-19 13:48:32.929</v>
      </c>
      <c r="H693" t="s">
        <v>34</v>
      </c>
      <c r="I693">
        <v>0</v>
      </c>
      <c r="J693" t="s">
        <v>24</v>
      </c>
    </row>
    <row r="694" spans="1:10" s="3" customFormat="1" x14ac:dyDescent="0.25">
      <c r="A694" s="2">
        <v>8</v>
      </c>
      <c r="B694" s="3" t="s">
        <v>19</v>
      </c>
      <c r="C694" s="3">
        <v>647</v>
      </c>
      <c r="D694" s="3">
        <v>1</v>
      </c>
      <c r="E694" s="3" t="s">
        <v>49</v>
      </c>
      <c r="F694" s="3" t="s">
        <v>50</v>
      </c>
      <c r="G694" s="3" t="str">
        <f>"2025-11-18 14:53:30.429"</f>
        <v>2025-11-18 14:53:30.429</v>
      </c>
      <c r="H694" s="3" t="s">
        <v>22</v>
      </c>
    </row>
    <row r="695" spans="1:10" s="3" customFormat="1" x14ac:dyDescent="0.25">
      <c r="A695" s="2">
        <v>9</v>
      </c>
      <c r="B695" s="3" t="s">
        <v>23</v>
      </c>
      <c r="C695" s="3">
        <v>647</v>
      </c>
      <c r="D695" s="3">
        <v>1</v>
      </c>
      <c r="E695" s="3" t="s">
        <v>49</v>
      </c>
      <c r="F695" s="3" t="s">
        <v>50</v>
      </c>
      <c r="G695" s="3" t="str">
        <f>"2025-11-18 14:53:27.930"</f>
        <v>2025-11-18 14:53:27.930</v>
      </c>
      <c r="H695" s="3" t="s">
        <v>22</v>
      </c>
      <c r="I695" s="3">
        <v>19.600000000000001</v>
      </c>
      <c r="J695" s="3" t="s">
        <v>31</v>
      </c>
    </row>
    <row r="696" spans="1:10" s="3" customFormat="1" x14ac:dyDescent="0.25">
      <c r="A696" s="2">
        <v>10</v>
      </c>
      <c r="B696" s="3" t="s">
        <v>19</v>
      </c>
      <c r="C696" s="3">
        <v>647</v>
      </c>
      <c r="D696" s="3">
        <v>1</v>
      </c>
      <c r="E696" s="3" t="s">
        <v>49</v>
      </c>
      <c r="F696" s="3" t="s">
        <v>50</v>
      </c>
      <c r="G696" s="3" t="str">
        <f>"2025-11-17 10:34:47.029"</f>
        <v>2025-11-17 10:34:47.029</v>
      </c>
      <c r="H696" s="3" t="s">
        <v>22</v>
      </c>
    </row>
    <row r="697" spans="1:10" s="3" customFormat="1" x14ac:dyDescent="0.25">
      <c r="A697" s="2">
        <v>11</v>
      </c>
      <c r="B697" s="3" t="s">
        <v>23</v>
      </c>
      <c r="C697" s="3">
        <v>647</v>
      </c>
      <c r="D697" s="3">
        <v>1</v>
      </c>
      <c r="E697" s="3" t="s">
        <v>49</v>
      </c>
      <c r="F697" s="3" t="s">
        <v>50</v>
      </c>
      <c r="G697" s="3" t="str">
        <f>"2025-11-17 10:34:43.730"</f>
        <v>2025-11-17 10:34:43.730</v>
      </c>
      <c r="H697" s="3" t="s">
        <v>22</v>
      </c>
      <c r="I697" s="3">
        <v>12.92</v>
      </c>
      <c r="J697" s="3" t="s">
        <v>31</v>
      </c>
    </row>
    <row r="698" spans="1:10" x14ac:dyDescent="0.25">
      <c r="A698" s="1">
        <v>12</v>
      </c>
      <c r="B698" t="s">
        <v>25</v>
      </c>
      <c r="C698">
        <v>706</v>
      </c>
      <c r="D698">
        <v>4</v>
      </c>
      <c r="E698" t="s">
        <v>35</v>
      </c>
      <c r="F698" t="s">
        <v>36</v>
      </c>
      <c r="G698" t="str">
        <f>"2025-11-16 14:55:44.350"</f>
        <v>2025-11-16 14:55:44.350</v>
      </c>
      <c r="H698" t="s">
        <v>22</v>
      </c>
      <c r="I698">
        <v>0</v>
      </c>
      <c r="J698" t="s">
        <v>24</v>
      </c>
    </row>
    <row r="699" spans="1:10" x14ac:dyDescent="0.25">
      <c r="A699" s="1">
        <v>13</v>
      </c>
      <c r="B699" t="s">
        <v>25</v>
      </c>
      <c r="C699">
        <v>700</v>
      </c>
      <c r="D699">
        <v>0</v>
      </c>
      <c r="E699" t="s">
        <v>26</v>
      </c>
      <c r="F699" t="s">
        <v>26</v>
      </c>
      <c r="G699" t="str">
        <f>"2025-11-16 14:55:22.730"</f>
        <v>2025-11-16 14:55:22.730</v>
      </c>
      <c r="H699" t="s">
        <v>22</v>
      </c>
      <c r="I699">
        <v>0</v>
      </c>
      <c r="J699" t="s">
        <v>27</v>
      </c>
    </row>
    <row r="700" spans="1:10" x14ac:dyDescent="0.25">
      <c r="A700" s="1">
        <v>14</v>
      </c>
      <c r="B700" t="s">
        <v>25</v>
      </c>
      <c r="C700">
        <v>700</v>
      </c>
      <c r="D700">
        <v>0</v>
      </c>
      <c r="E700" t="s">
        <v>26</v>
      </c>
      <c r="F700" t="s">
        <v>26</v>
      </c>
      <c r="G700" t="str">
        <f>"2025-11-16 08:56:10.742"</f>
        <v>2025-11-16 08:56:10.742</v>
      </c>
      <c r="H700" t="s">
        <v>22</v>
      </c>
      <c r="I700">
        <v>0</v>
      </c>
      <c r="J700" t="s">
        <v>27</v>
      </c>
    </row>
    <row r="701" spans="1:10" s="3" customFormat="1" x14ac:dyDescent="0.25">
      <c r="A701" s="2">
        <v>15</v>
      </c>
      <c r="B701" s="3" t="s">
        <v>19</v>
      </c>
      <c r="C701" s="3">
        <v>647</v>
      </c>
      <c r="D701" s="3">
        <v>1</v>
      </c>
      <c r="E701" s="3" t="s">
        <v>49</v>
      </c>
      <c r="F701" s="3" t="s">
        <v>50</v>
      </c>
      <c r="G701" s="3" t="str">
        <f>"2025-11-16 08:43:50.823"</f>
        <v>2025-11-16 08:43:50.823</v>
      </c>
      <c r="H701" s="3" t="s">
        <v>22</v>
      </c>
    </row>
    <row r="702" spans="1:10" s="3" customFormat="1" x14ac:dyDescent="0.25">
      <c r="A702" s="2">
        <v>16</v>
      </c>
      <c r="B702" s="3" t="s">
        <v>23</v>
      </c>
      <c r="C702" s="3">
        <v>647</v>
      </c>
      <c r="D702" s="3">
        <v>1</v>
      </c>
      <c r="E702" s="3" t="s">
        <v>49</v>
      </c>
      <c r="F702" s="3" t="s">
        <v>50</v>
      </c>
      <c r="G702" s="3" t="str">
        <f>"2025-11-16 08:43:48.123"</f>
        <v>2025-11-16 08:43:48.123</v>
      </c>
      <c r="H702" s="3" t="s">
        <v>22</v>
      </c>
      <c r="I702" s="3">
        <v>11.25</v>
      </c>
      <c r="J702" s="3" t="s">
        <v>31</v>
      </c>
    </row>
    <row r="703" spans="1:10" s="3" customFormat="1" x14ac:dyDescent="0.25">
      <c r="A703" s="2">
        <v>17</v>
      </c>
      <c r="B703" s="3" t="s">
        <v>19</v>
      </c>
      <c r="C703" s="3">
        <v>647</v>
      </c>
      <c r="D703" s="3">
        <v>1</v>
      </c>
      <c r="E703" s="3" t="s">
        <v>49</v>
      </c>
      <c r="F703" s="3" t="s">
        <v>50</v>
      </c>
      <c r="G703" s="3" t="str">
        <f>"2025-11-15 11:56:44.923"</f>
        <v>2025-11-15 11:56:44.923</v>
      </c>
      <c r="H703" s="3" t="s">
        <v>22</v>
      </c>
    </row>
    <row r="704" spans="1:10" s="3" customFormat="1" x14ac:dyDescent="0.25">
      <c r="A704" s="2">
        <v>18</v>
      </c>
      <c r="B704" s="3" t="s">
        <v>23</v>
      </c>
      <c r="C704" s="3">
        <v>647</v>
      </c>
      <c r="D704" s="3">
        <v>1</v>
      </c>
      <c r="E704" s="3" t="s">
        <v>49</v>
      </c>
      <c r="F704" s="3" t="s">
        <v>50</v>
      </c>
      <c r="G704" s="3" t="str">
        <f>"2025-11-15 11:56:40.823"</f>
        <v>2025-11-15 11:56:40.823</v>
      </c>
      <c r="H704" s="3" t="s">
        <v>22</v>
      </c>
      <c r="I704" s="3">
        <v>21.65</v>
      </c>
      <c r="J704" s="3" t="s">
        <v>31</v>
      </c>
    </row>
    <row r="705" spans="1:10" x14ac:dyDescent="0.25">
      <c r="A705" s="1">
        <v>19</v>
      </c>
      <c r="B705" t="s">
        <v>25</v>
      </c>
      <c r="C705">
        <v>706</v>
      </c>
      <c r="D705">
        <v>4</v>
      </c>
      <c r="E705" t="s">
        <v>35</v>
      </c>
      <c r="F705" t="s">
        <v>36</v>
      </c>
      <c r="G705" t="str">
        <f>"2025-11-15 10:31:37.462"</f>
        <v>2025-11-15 10:31:37.462</v>
      </c>
      <c r="H705" t="s">
        <v>22</v>
      </c>
      <c r="I705">
        <v>0</v>
      </c>
      <c r="J705" t="s">
        <v>24</v>
      </c>
    </row>
    <row r="706" spans="1:10" x14ac:dyDescent="0.25">
      <c r="A706" s="1">
        <v>20</v>
      </c>
      <c r="B706" t="s">
        <v>25</v>
      </c>
      <c r="C706">
        <v>700</v>
      </c>
      <c r="D706">
        <v>0</v>
      </c>
      <c r="E706" t="s">
        <v>26</v>
      </c>
      <c r="F706" t="s">
        <v>26</v>
      </c>
      <c r="G706" t="str">
        <f>"2025-11-15 10:31:17.722"</f>
        <v>2025-11-15 10:31:17.722</v>
      </c>
      <c r="H706" t="s">
        <v>22</v>
      </c>
      <c r="I706">
        <v>0</v>
      </c>
      <c r="J706" t="s">
        <v>27</v>
      </c>
    </row>
    <row r="707" spans="1:10" x14ac:dyDescent="0.25">
      <c r="A707" s="1">
        <v>21</v>
      </c>
      <c r="B707" t="s">
        <v>19</v>
      </c>
      <c r="C707">
        <v>630</v>
      </c>
      <c r="D707">
        <v>5</v>
      </c>
      <c r="E707" t="s">
        <v>32</v>
      </c>
      <c r="F707" t="s">
        <v>33</v>
      </c>
      <c r="G707" t="str">
        <f>"2025-11-14 14:04:39.813"</f>
        <v>2025-11-14 14:04:39.813</v>
      </c>
      <c r="H707" t="s">
        <v>34</v>
      </c>
    </row>
    <row r="708" spans="1:10" x14ac:dyDescent="0.25">
      <c r="A708" s="1">
        <v>22</v>
      </c>
      <c r="B708" t="s">
        <v>25</v>
      </c>
      <c r="C708">
        <v>706</v>
      </c>
      <c r="D708">
        <v>2</v>
      </c>
      <c r="E708" t="s">
        <v>35</v>
      </c>
      <c r="F708" t="s">
        <v>38</v>
      </c>
      <c r="G708" t="str">
        <f>"2025-11-14 14:04:09.647"</f>
        <v>2025-11-14 14:04:09.647</v>
      </c>
      <c r="H708" t="s">
        <v>22</v>
      </c>
      <c r="I708">
        <v>0</v>
      </c>
      <c r="J708" t="s">
        <v>24</v>
      </c>
    </row>
    <row r="709" spans="1:10" x14ac:dyDescent="0.25">
      <c r="A709" s="1">
        <v>23</v>
      </c>
      <c r="B709" t="s">
        <v>37</v>
      </c>
      <c r="C709">
        <v>630</v>
      </c>
      <c r="D709">
        <v>5</v>
      </c>
      <c r="E709" t="s">
        <v>32</v>
      </c>
      <c r="F709" t="s">
        <v>33</v>
      </c>
      <c r="G709" t="str">
        <f>"2025-11-14 14:02:43.613"</f>
        <v>2025-11-14 14:02:43.613</v>
      </c>
      <c r="H709" t="s">
        <v>34</v>
      </c>
      <c r="I709">
        <v>0</v>
      </c>
      <c r="J709" t="s">
        <v>24</v>
      </c>
    </row>
    <row r="710" spans="1:10" s="3" customFormat="1" x14ac:dyDescent="0.25">
      <c r="A710" s="2">
        <v>24</v>
      </c>
      <c r="B710" s="3" t="s">
        <v>19</v>
      </c>
      <c r="C710" s="3">
        <v>647</v>
      </c>
      <c r="D710" s="3">
        <v>1</v>
      </c>
      <c r="E710" s="3" t="s">
        <v>49</v>
      </c>
      <c r="F710" s="3" t="s">
        <v>50</v>
      </c>
      <c r="G710" s="3" t="str">
        <f>"2025-11-14 08:55:17.114"</f>
        <v>2025-11-14 08:55:17.114</v>
      </c>
      <c r="H710" s="3" t="s">
        <v>22</v>
      </c>
    </row>
    <row r="711" spans="1:10" s="3" customFormat="1" x14ac:dyDescent="0.25">
      <c r="A711" s="2">
        <v>25</v>
      </c>
      <c r="B711" s="3" t="s">
        <v>23</v>
      </c>
      <c r="C711" s="3">
        <v>647</v>
      </c>
      <c r="D711" s="3">
        <v>1</v>
      </c>
      <c r="E711" s="3" t="s">
        <v>49</v>
      </c>
      <c r="F711" s="3" t="s">
        <v>50</v>
      </c>
      <c r="G711" s="3" t="str">
        <f>"2025-11-14 08:55:12.214"</f>
        <v>2025-11-14 08:55:12.214</v>
      </c>
      <c r="H711" s="3" t="s">
        <v>22</v>
      </c>
      <c r="I711" s="3">
        <v>13.79</v>
      </c>
      <c r="J711" s="3" t="s">
        <v>31</v>
      </c>
    </row>
    <row r="712" spans="1:10" x14ac:dyDescent="0.25">
      <c r="A712" s="1">
        <v>26</v>
      </c>
      <c r="B712" t="s">
        <v>19</v>
      </c>
      <c r="C712">
        <v>61</v>
      </c>
      <c r="D712">
        <v>2</v>
      </c>
      <c r="E712" t="s">
        <v>51</v>
      </c>
      <c r="F712" t="s">
        <v>52</v>
      </c>
      <c r="G712" t="str">
        <f>"2025-11-14 07:41:14.513"</f>
        <v>2025-11-14 07:41:14.513</v>
      </c>
      <c r="H712" t="s">
        <v>22</v>
      </c>
    </row>
    <row r="713" spans="1:10" x14ac:dyDescent="0.25">
      <c r="A713" s="1">
        <v>27</v>
      </c>
      <c r="B713" t="s">
        <v>37</v>
      </c>
      <c r="C713">
        <v>61</v>
      </c>
      <c r="D713">
        <v>2</v>
      </c>
      <c r="E713" t="s">
        <v>51</v>
      </c>
      <c r="F713" t="s">
        <v>52</v>
      </c>
      <c r="G713" t="str">
        <f>"2025-11-14 07:41:05.214"</f>
        <v>2025-11-14 07:41:05.214</v>
      </c>
      <c r="H713" t="s">
        <v>22</v>
      </c>
      <c r="I713">
        <v>35.56</v>
      </c>
      <c r="J713" t="s">
        <v>31</v>
      </c>
    </row>
    <row r="714" spans="1:10" x14ac:dyDescent="0.25">
      <c r="A714" s="1">
        <v>28</v>
      </c>
      <c r="B714" t="s">
        <v>19</v>
      </c>
      <c r="C714">
        <v>635</v>
      </c>
      <c r="D714">
        <v>1</v>
      </c>
      <c r="E714" t="s">
        <v>28</v>
      </c>
      <c r="F714" t="s">
        <v>29</v>
      </c>
      <c r="G714" t="str">
        <f>"2025-11-13 04:26:39.859"</f>
        <v>2025-11-13 04:26:39.859</v>
      </c>
      <c r="H714" t="s">
        <v>22</v>
      </c>
    </row>
    <row r="715" spans="1:10" x14ac:dyDescent="0.25">
      <c r="A715" s="1">
        <v>29</v>
      </c>
      <c r="B715" t="s">
        <v>23</v>
      </c>
      <c r="C715">
        <v>635</v>
      </c>
      <c r="D715">
        <v>1</v>
      </c>
      <c r="E715" t="s">
        <v>28</v>
      </c>
      <c r="F715" t="s">
        <v>29</v>
      </c>
      <c r="G715" t="str">
        <f>"2025-11-13 04:19:29.359"</f>
        <v>2025-11-13 04:19:29.359</v>
      </c>
      <c r="H715" t="s">
        <v>22</v>
      </c>
      <c r="I715">
        <v>4.74</v>
      </c>
      <c r="J715" t="s">
        <v>30</v>
      </c>
    </row>
    <row r="716" spans="1:10" x14ac:dyDescent="0.25">
      <c r="A716" s="1">
        <v>30</v>
      </c>
      <c r="B716" t="s">
        <v>19</v>
      </c>
      <c r="C716">
        <v>635</v>
      </c>
      <c r="D716">
        <v>1</v>
      </c>
      <c r="E716" t="s">
        <v>28</v>
      </c>
      <c r="F716" t="s">
        <v>29</v>
      </c>
      <c r="G716" t="str">
        <f>"2025-11-13 03:51:07.859"</f>
        <v>2025-11-13 03:51:07.859</v>
      </c>
      <c r="H716" t="s">
        <v>22</v>
      </c>
    </row>
    <row r="717" spans="1:10" x14ac:dyDescent="0.25">
      <c r="A717" s="1">
        <v>31</v>
      </c>
      <c r="B717" t="s">
        <v>23</v>
      </c>
      <c r="C717">
        <v>635</v>
      </c>
      <c r="D717">
        <v>1</v>
      </c>
      <c r="E717" t="s">
        <v>28</v>
      </c>
      <c r="F717" t="s">
        <v>29</v>
      </c>
      <c r="G717" t="str">
        <f>"2025-11-13 03:44:14.359"</f>
        <v>2025-11-13 03:44:14.359</v>
      </c>
      <c r="H717" t="s">
        <v>22</v>
      </c>
      <c r="I717">
        <v>3.38</v>
      </c>
      <c r="J717" t="s">
        <v>48</v>
      </c>
    </row>
    <row r="718" spans="1:10" x14ac:dyDescent="0.25">
      <c r="A718" s="1">
        <v>32</v>
      </c>
      <c r="B718" t="s">
        <v>25</v>
      </c>
      <c r="C718">
        <v>700</v>
      </c>
      <c r="D718">
        <v>0</v>
      </c>
      <c r="E718" t="s">
        <v>26</v>
      </c>
      <c r="F718" t="s">
        <v>26</v>
      </c>
      <c r="G718" t="str">
        <f>"2025-11-13 03:18:21.697"</f>
        <v>2025-11-13 03:18:21.697</v>
      </c>
      <c r="H718" t="s">
        <v>22</v>
      </c>
    </row>
    <row r="719" spans="1:10" x14ac:dyDescent="0.25">
      <c r="A719" s="1">
        <v>33</v>
      </c>
      <c r="B719" t="s">
        <v>19</v>
      </c>
      <c r="C719">
        <v>630</v>
      </c>
      <c r="D719">
        <v>5</v>
      </c>
      <c r="E719" t="s">
        <v>32</v>
      </c>
      <c r="F719" t="s">
        <v>33</v>
      </c>
      <c r="G719" t="str">
        <f>"2025-11-13 02:35:13.058"</f>
        <v>2025-11-13 02:35:13.058</v>
      </c>
      <c r="H719" t="s">
        <v>34</v>
      </c>
    </row>
    <row r="720" spans="1:10" x14ac:dyDescent="0.25">
      <c r="A720" s="1">
        <v>34</v>
      </c>
      <c r="B720" t="s">
        <v>25</v>
      </c>
      <c r="C720">
        <v>706</v>
      </c>
      <c r="D720">
        <v>4</v>
      </c>
      <c r="E720" t="s">
        <v>35</v>
      </c>
      <c r="F720" t="s">
        <v>36</v>
      </c>
      <c r="G720" t="str">
        <f>"2025-11-13 02:34:43.006"</f>
        <v>2025-11-13 02:34:43.006</v>
      </c>
      <c r="H720" t="s">
        <v>22</v>
      </c>
      <c r="I720">
        <v>0</v>
      </c>
      <c r="J720" t="s">
        <v>24</v>
      </c>
    </row>
    <row r="721" spans="1:10" x14ac:dyDescent="0.25">
      <c r="A721" s="1">
        <v>35</v>
      </c>
      <c r="B721" t="s">
        <v>25</v>
      </c>
      <c r="C721">
        <v>706</v>
      </c>
      <c r="D721">
        <v>4</v>
      </c>
      <c r="E721" t="s">
        <v>35</v>
      </c>
      <c r="F721" t="s">
        <v>36</v>
      </c>
      <c r="G721" t="str">
        <f>"2025-11-13 02:32:06.216"</f>
        <v>2025-11-13 02:32:06.216</v>
      </c>
      <c r="H721" t="s">
        <v>22</v>
      </c>
      <c r="I721">
        <v>0</v>
      </c>
      <c r="J721" t="s">
        <v>24</v>
      </c>
    </row>
    <row r="722" spans="1:10" x14ac:dyDescent="0.25">
      <c r="A722" s="1">
        <v>36</v>
      </c>
      <c r="B722" t="s">
        <v>37</v>
      </c>
      <c r="C722">
        <v>630</v>
      </c>
      <c r="D722">
        <v>5</v>
      </c>
      <c r="E722" t="s">
        <v>32</v>
      </c>
      <c r="F722" t="s">
        <v>33</v>
      </c>
      <c r="G722" t="str">
        <f>"2025-11-13 02:18:38.558"</f>
        <v>2025-11-13 02:18:38.558</v>
      </c>
      <c r="H722" t="s">
        <v>34</v>
      </c>
      <c r="I722">
        <v>0</v>
      </c>
      <c r="J722" t="s">
        <v>24</v>
      </c>
    </row>
    <row r="723" spans="1:10" x14ac:dyDescent="0.25">
      <c r="A723" s="1">
        <v>37</v>
      </c>
      <c r="B723" t="s">
        <v>25</v>
      </c>
      <c r="C723">
        <v>700</v>
      </c>
      <c r="D723">
        <v>0</v>
      </c>
      <c r="E723" t="s">
        <v>26</v>
      </c>
      <c r="F723" t="s">
        <v>26</v>
      </c>
      <c r="G723" t="str">
        <f>"2025-11-13 02:13:35.696"</f>
        <v>2025-11-13 02:13:35.696</v>
      </c>
      <c r="H723" t="s">
        <v>22</v>
      </c>
      <c r="I723">
        <v>0</v>
      </c>
      <c r="J723" t="s">
        <v>27</v>
      </c>
    </row>
    <row r="724" spans="1:10" x14ac:dyDescent="0.25">
      <c r="A724" s="1">
        <v>38</v>
      </c>
      <c r="B724" t="s">
        <v>37</v>
      </c>
      <c r="C724">
        <v>630</v>
      </c>
      <c r="D724">
        <v>5</v>
      </c>
      <c r="E724" t="s">
        <v>32</v>
      </c>
      <c r="F724" t="s">
        <v>33</v>
      </c>
      <c r="G724" t="str">
        <f>"2025-11-12 21:20:29.685"</f>
        <v>2025-11-12 21:20:29.685</v>
      </c>
      <c r="H724" t="s">
        <v>34</v>
      </c>
      <c r="I724">
        <v>0</v>
      </c>
      <c r="J724" t="s">
        <v>24</v>
      </c>
    </row>
    <row r="725" spans="1:10" x14ac:dyDescent="0.25">
      <c r="A725" s="1">
        <v>39</v>
      </c>
      <c r="B725" t="s">
        <v>25</v>
      </c>
      <c r="C725">
        <v>700</v>
      </c>
      <c r="D725">
        <v>0</v>
      </c>
      <c r="E725" t="s">
        <v>26</v>
      </c>
      <c r="F725" t="s">
        <v>26</v>
      </c>
      <c r="G725" t="str">
        <f>"2025-11-12 21:15:26.938"</f>
        <v>2025-11-12 21:15:26.938</v>
      </c>
      <c r="H725" t="s">
        <v>22</v>
      </c>
      <c r="I725">
        <v>0</v>
      </c>
      <c r="J725" t="s">
        <v>27</v>
      </c>
    </row>
    <row r="726" spans="1:10" x14ac:dyDescent="0.25">
      <c r="A726" s="1">
        <v>40</v>
      </c>
      <c r="B726" t="s">
        <v>19</v>
      </c>
      <c r="C726">
        <v>98</v>
      </c>
      <c r="D726">
        <v>1</v>
      </c>
      <c r="E726" t="s">
        <v>46</v>
      </c>
      <c r="F726" t="s">
        <v>47</v>
      </c>
      <c r="G726" t="str">
        <f>"2025-11-12 17:19:19.408"</f>
        <v>2025-11-12 17:19:19.408</v>
      </c>
      <c r="H726" t="s">
        <v>22</v>
      </c>
    </row>
    <row r="727" spans="1:10" x14ac:dyDescent="0.25">
      <c r="A727" s="1">
        <v>41</v>
      </c>
      <c r="B727" t="s">
        <v>23</v>
      </c>
      <c r="C727">
        <v>98</v>
      </c>
      <c r="D727">
        <v>1</v>
      </c>
      <c r="E727" t="s">
        <v>46</v>
      </c>
      <c r="F727" t="s">
        <v>47</v>
      </c>
      <c r="G727" t="str">
        <f>"2025-11-12 17:19:18.408"</f>
        <v>2025-11-12 17:19:18.408</v>
      </c>
      <c r="H727" t="s">
        <v>22</v>
      </c>
      <c r="I727">
        <v>0</v>
      </c>
      <c r="J727" t="s">
        <v>48</v>
      </c>
    </row>
    <row r="728" spans="1:10" x14ac:dyDescent="0.25">
      <c r="A728" s="1">
        <v>42</v>
      </c>
      <c r="B728" t="s">
        <v>19</v>
      </c>
      <c r="C728">
        <v>98</v>
      </c>
      <c r="D728">
        <v>1</v>
      </c>
      <c r="E728" t="s">
        <v>46</v>
      </c>
      <c r="F728" t="s">
        <v>47</v>
      </c>
      <c r="G728" t="str">
        <f>"2025-11-12 17:19:18.208"</f>
        <v>2025-11-12 17:19:18.208</v>
      </c>
      <c r="H728" t="s">
        <v>22</v>
      </c>
    </row>
    <row r="729" spans="1:10" x14ac:dyDescent="0.25">
      <c r="A729" s="1">
        <v>43</v>
      </c>
      <c r="B729" t="s">
        <v>23</v>
      </c>
      <c r="C729">
        <v>98</v>
      </c>
      <c r="D729">
        <v>1</v>
      </c>
      <c r="E729" t="s">
        <v>46</v>
      </c>
      <c r="F729" t="s">
        <v>47</v>
      </c>
      <c r="G729" t="str">
        <f>"2025-11-12 17:19:17.209"</f>
        <v>2025-11-12 17:19:17.209</v>
      </c>
      <c r="H729" t="s">
        <v>22</v>
      </c>
      <c r="I729">
        <v>0</v>
      </c>
      <c r="J729" t="s">
        <v>48</v>
      </c>
    </row>
    <row r="730" spans="1:10" s="3" customFormat="1" x14ac:dyDescent="0.25">
      <c r="A730" s="2">
        <v>44</v>
      </c>
      <c r="B730" s="3" t="s">
        <v>19</v>
      </c>
      <c r="C730" s="3">
        <v>647</v>
      </c>
      <c r="D730" s="3">
        <v>1</v>
      </c>
      <c r="E730" s="3" t="s">
        <v>49</v>
      </c>
      <c r="F730" s="3" t="s">
        <v>50</v>
      </c>
      <c r="G730" s="3" t="str">
        <f>"2025-11-12 13:39:09.509"</f>
        <v>2025-11-12 13:39:09.509</v>
      </c>
      <c r="H730" s="3" t="s">
        <v>22</v>
      </c>
    </row>
    <row r="731" spans="1:10" s="3" customFormat="1" x14ac:dyDescent="0.25">
      <c r="A731" s="2">
        <v>45</v>
      </c>
      <c r="B731" s="3" t="s">
        <v>23</v>
      </c>
      <c r="C731" s="3">
        <v>647</v>
      </c>
      <c r="D731" s="3">
        <v>1</v>
      </c>
      <c r="E731" s="3" t="s">
        <v>49</v>
      </c>
      <c r="F731" s="3" t="s">
        <v>50</v>
      </c>
      <c r="G731" s="3" t="str">
        <f>"2025-11-12 13:39:07.209"</f>
        <v>2025-11-12 13:39:07.209</v>
      </c>
      <c r="H731" s="3" t="s">
        <v>22</v>
      </c>
      <c r="I731" s="3">
        <v>9.68</v>
      </c>
      <c r="J731" s="3" t="s">
        <v>31</v>
      </c>
    </row>
    <row r="732" spans="1:10" x14ac:dyDescent="0.25">
      <c r="A732" s="1">
        <v>46</v>
      </c>
      <c r="B732" t="s">
        <v>25</v>
      </c>
      <c r="C732">
        <v>706</v>
      </c>
      <c r="D732">
        <v>4</v>
      </c>
      <c r="E732" t="s">
        <v>35</v>
      </c>
      <c r="F732" t="s">
        <v>36</v>
      </c>
      <c r="G732" t="str">
        <f>"2025-11-12 11:14:16.663"</f>
        <v>2025-11-12 11:14:16.663</v>
      </c>
      <c r="H732" t="s">
        <v>22</v>
      </c>
      <c r="I732">
        <v>0</v>
      </c>
      <c r="J732" t="s">
        <v>24</v>
      </c>
    </row>
    <row r="733" spans="1:10" x14ac:dyDescent="0.25">
      <c r="A733" s="1">
        <v>47</v>
      </c>
      <c r="B733" t="s">
        <v>25</v>
      </c>
      <c r="C733">
        <v>700</v>
      </c>
      <c r="D733">
        <v>0</v>
      </c>
      <c r="E733" t="s">
        <v>26</v>
      </c>
      <c r="F733" t="s">
        <v>26</v>
      </c>
      <c r="G733" t="str">
        <f>"2025-11-12 11:13:49.693"</f>
        <v>2025-11-12 11:13:49.693</v>
      </c>
      <c r="H733" t="s">
        <v>22</v>
      </c>
      <c r="I733">
        <v>0</v>
      </c>
      <c r="J733" t="s">
        <v>27</v>
      </c>
    </row>
    <row r="734" spans="1:10" x14ac:dyDescent="0.25">
      <c r="A734" s="1">
        <v>48</v>
      </c>
      <c r="B734" t="s">
        <v>19</v>
      </c>
      <c r="C734">
        <v>630</v>
      </c>
      <c r="D734">
        <v>5</v>
      </c>
      <c r="E734" t="s">
        <v>32</v>
      </c>
      <c r="F734" t="s">
        <v>33</v>
      </c>
      <c r="G734" t="str">
        <f>"2025-11-11 21:26:10.608"</f>
        <v>2025-11-11 21:26:10.608</v>
      </c>
      <c r="H734" t="s">
        <v>34</v>
      </c>
    </row>
    <row r="735" spans="1:10" x14ac:dyDescent="0.25">
      <c r="A735" s="1">
        <v>49</v>
      </c>
      <c r="B735" t="s">
        <v>25</v>
      </c>
      <c r="C735">
        <v>706</v>
      </c>
      <c r="D735">
        <v>2</v>
      </c>
      <c r="E735" t="s">
        <v>35</v>
      </c>
      <c r="F735" t="s">
        <v>38</v>
      </c>
      <c r="G735" t="str">
        <f>"2025-11-11 21:25:40.441"</f>
        <v>2025-11-11 21:25:40.441</v>
      </c>
      <c r="H735" t="s">
        <v>22</v>
      </c>
      <c r="I735">
        <v>0</v>
      </c>
      <c r="J735" t="s">
        <v>24</v>
      </c>
    </row>
    <row r="736" spans="1:10" x14ac:dyDescent="0.25">
      <c r="A736" s="1">
        <v>50</v>
      </c>
      <c r="B736" t="s">
        <v>37</v>
      </c>
      <c r="C736">
        <v>630</v>
      </c>
      <c r="D736">
        <v>5</v>
      </c>
      <c r="E736" t="s">
        <v>32</v>
      </c>
      <c r="F736" t="s">
        <v>33</v>
      </c>
      <c r="G736" t="str">
        <f>"2025-11-11 21:23:16.508"</f>
        <v>2025-11-11 21:23:16.508</v>
      </c>
      <c r="H736" t="s">
        <v>34</v>
      </c>
      <c r="I736">
        <v>0</v>
      </c>
      <c r="J736" t="s">
        <v>24</v>
      </c>
    </row>
    <row r="737" spans="1:10" x14ac:dyDescent="0.25">
      <c r="A737" s="1">
        <v>51</v>
      </c>
      <c r="B737" t="s">
        <v>25</v>
      </c>
      <c r="C737">
        <v>700</v>
      </c>
      <c r="D737">
        <v>0</v>
      </c>
      <c r="E737" t="s">
        <v>26</v>
      </c>
      <c r="F737" t="s">
        <v>26</v>
      </c>
      <c r="G737" t="str">
        <f>"2025-11-11 21:18:13.691"</f>
        <v>2025-11-11 21:18:13.691</v>
      </c>
      <c r="H737" t="s">
        <v>22</v>
      </c>
      <c r="I737">
        <v>0</v>
      </c>
      <c r="J737" t="s">
        <v>27</v>
      </c>
    </row>
    <row r="738" spans="1:10" s="3" customFormat="1" x14ac:dyDescent="0.25">
      <c r="A738" s="2">
        <v>52</v>
      </c>
      <c r="B738" s="3" t="s">
        <v>19</v>
      </c>
      <c r="C738" s="3">
        <v>647</v>
      </c>
      <c r="D738" s="3">
        <v>1</v>
      </c>
      <c r="E738" s="3" t="s">
        <v>49</v>
      </c>
      <c r="F738" s="3" t="s">
        <v>50</v>
      </c>
      <c r="G738" s="3" t="str">
        <f>"2025-11-11 05:28:30.302"</f>
        <v>2025-11-11 05:28:30.302</v>
      </c>
      <c r="H738" s="3" t="s">
        <v>22</v>
      </c>
    </row>
    <row r="739" spans="1:10" s="3" customFormat="1" x14ac:dyDescent="0.25">
      <c r="A739" s="2">
        <v>53</v>
      </c>
      <c r="B739" s="3" t="s">
        <v>23</v>
      </c>
      <c r="C739" s="3">
        <v>647</v>
      </c>
      <c r="D739" s="3">
        <v>1</v>
      </c>
      <c r="E739" s="3" t="s">
        <v>49</v>
      </c>
      <c r="F739" s="3" t="s">
        <v>50</v>
      </c>
      <c r="G739" s="3" t="str">
        <f>"2025-11-11 05:28:25.102"</f>
        <v>2025-11-11 05:28:25.102</v>
      </c>
      <c r="H739" s="3" t="s">
        <v>22</v>
      </c>
      <c r="I739" s="3">
        <v>19.54</v>
      </c>
      <c r="J739" s="3" t="s">
        <v>31</v>
      </c>
    </row>
    <row r="740" spans="1:10" x14ac:dyDescent="0.25">
      <c r="A740" s="1">
        <v>54</v>
      </c>
      <c r="B740" t="s">
        <v>19</v>
      </c>
      <c r="C740">
        <v>635</v>
      </c>
      <c r="D740">
        <v>1</v>
      </c>
      <c r="E740" t="s">
        <v>28</v>
      </c>
      <c r="F740" t="s">
        <v>29</v>
      </c>
      <c r="G740" t="str">
        <f>"2025-11-10 22:26:51.548"</f>
        <v>2025-11-10 22:26:51.548</v>
      </c>
      <c r="H740" t="s">
        <v>22</v>
      </c>
    </row>
    <row r="741" spans="1:10" x14ac:dyDescent="0.25">
      <c r="A741" s="1">
        <v>55</v>
      </c>
      <c r="B741" t="s">
        <v>23</v>
      </c>
      <c r="C741">
        <v>635</v>
      </c>
      <c r="D741">
        <v>1</v>
      </c>
      <c r="E741" t="s">
        <v>28</v>
      </c>
      <c r="F741" t="s">
        <v>29</v>
      </c>
      <c r="G741" t="str">
        <f>"2025-11-10 22:23:06.548"</f>
        <v>2025-11-10 22:23:06.548</v>
      </c>
      <c r="H741" t="s">
        <v>22</v>
      </c>
      <c r="I741">
        <v>10.35</v>
      </c>
      <c r="J741" t="s">
        <v>31</v>
      </c>
    </row>
    <row r="742" spans="1:10" s="3" customFormat="1" x14ac:dyDescent="0.25">
      <c r="A742" s="2">
        <v>56</v>
      </c>
      <c r="B742" s="3" t="s">
        <v>19</v>
      </c>
      <c r="C742" s="3">
        <v>647</v>
      </c>
      <c r="D742" s="3">
        <v>1</v>
      </c>
      <c r="E742" s="3" t="s">
        <v>49</v>
      </c>
      <c r="F742" s="3" t="s">
        <v>50</v>
      </c>
      <c r="G742" s="3" t="str">
        <f>"2025-11-10 22:08:31.302"</f>
        <v>2025-11-10 22:08:31.302</v>
      </c>
      <c r="H742" s="3" t="s">
        <v>22</v>
      </c>
    </row>
    <row r="743" spans="1:10" s="3" customFormat="1" x14ac:dyDescent="0.25">
      <c r="A743" s="2">
        <v>57</v>
      </c>
      <c r="B743" s="3" t="s">
        <v>23</v>
      </c>
      <c r="C743" s="3">
        <v>647</v>
      </c>
      <c r="D743" s="3">
        <v>1</v>
      </c>
      <c r="E743" s="3" t="s">
        <v>49</v>
      </c>
      <c r="F743" s="3" t="s">
        <v>50</v>
      </c>
      <c r="G743" s="3" t="str">
        <f>"2025-11-10 22:08:28.402"</f>
        <v>2025-11-10 22:08:28.402</v>
      </c>
      <c r="H743" s="3" t="s">
        <v>22</v>
      </c>
      <c r="I743" s="3">
        <v>10.31</v>
      </c>
      <c r="J743" s="3" t="s">
        <v>48</v>
      </c>
    </row>
    <row r="744" spans="1:10" x14ac:dyDescent="0.25">
      <c r="A744" s="1">
        <v>58</v>
      </c>
      <c r="B744" t="s">
        <v>19</v>
      </c>
      <c r="C744">
        <v>635</v>
      </c>
      <c r="D744">
        <v>1</v>
      </c>
      <c r="E744" t="s">
        <v>28</v>
      </c>
      <c r="F744" t="s">
        <v>29</v>
      </c>
      <c r="G744" t="str">
        <f>"2025-11-10 20:06:26.248"</f>
        <v>2025-11-10 20:06:26.248</v>
      </c>
      <c r="H744" t="s">
        <v>22</v>
      </c>
    </row>
    <row r="745" spans="1:10" x14ac:dyDescent="0.25">
      <c r="A745" s="1">
        <v>59</v>
      </c>
      <c r="B745" t="s">
        <v>23</v>
      </c>
      <c r="C745">
        <v>635</v>
      </c>
      <c r="D745">
        <v>1</v>
      </c>
      <c r="E745" t="s">
        <v>28</v>
      </c>
      <c r="F745" t="s">
        <v>29</v>
      </c>
      <c r="G745" t="str">
        <f>"2025-11-10 20:01:55.348"</f>
        <v>2025-11-10 20:01:55.348</v>
      </c>
      <c r="H745" t="s">
        <v>22</v>
      </c>
      <c r="I745">
        <v>5.03</v>
      </c>
      <c r="J745" t="s">
        <v>31</v>
      </c>
    </row>
    <row r="746" spans="1:10" x14ac:dyDescent="0.25">
      <c r="A746" s="1">
        <v>61</v>
      </c>
      <c r="B746" t="s">
        <v>25</v>
      </c>
      <c r="C746">
        <v>706</v>
      </c>
      <c r="D746">
        <v>4</v>
      </c>
      <c r="E746" t="s">
        <v>35</v>
      </c>
      <c r="F746" t="s">
        <v>36</v>
      </c>
      <c r="G746" t="str">
        <f>"2025-11-10 08:37:14.846"</f>
        <v>2025-11-10 08:37:14.846</v>
      </c>
      <c r="H746" t="s">
        <v>22</v>
      </c>
      <c r="I746">
        <v>0</v>
      </c>
      <c r="J746" t="s">
        <v>24</v>
      </c>
    </row>
    <row r="747" spans="1:10" x14ac:dyDescent="0.25">
      <c r="A747" s="1">
        <v>62</v>
      </c>
      <c r="B747" t="s">
        <v>25</v>
      </c>
      <c r="C747">
        <v>700</v>
      </c>
      <c r="D747">
        <v>0</v>
      </c>
      <c r="E747" t="s">
        <v>26</v>
      </c>
      <c r="F747" t="s">
        <v>26</v>
      </c>
      <c r="G747" t="str">
        <f>"2025-11-10 08:36:58.686"</f>
        <v>2025-11-10 08:36:58.686</v>
      </c>
      <c r="H747" t="s">
        <v>22</v>
      </c>
      <c r="I747">
        <v>0</v>
      </c>
      <c r="J747" t="s">
        <v>27</v>
      </c>
    </row>
    <row r="748" spans="1:10" x14ac:dyDescent="0.25">
      <c r="A748" s="1">
        <v>63</v>
      </c>
      <c r="B748" t="s">
        <v>25</v>
      </c>
      <c r="C748">
        <v>706</v>
      </c>
      <c r="D748">
        <v>4</v>
      </c>
      <c r="E748" t="s">
        <v>35</v>
      </c>
      <c r="F748" t="s">
        <v>36</v>
      </c>
      <c r="G748" t="str">
        <f>"2025-11-09 14:04:02.436"</f>
        <v>2025-11-09 14:04:02.436</v>
      </c>
      <c r="H748" t="s">
        <v>22</v>
      </c>
      <c r="I748">
        <v>0</v>
      </c>
      <c r="J748" t="s">
        <v>24</v>
      </c>
    </row>
    <row r="749" spans="1:10" x14ac:dyDescent="0.25">
      <c r="A749" s="1">
        <v>64</v>
      </c>
      <c r="B749" t="s">
        <v>25</v>
      </c>
      <c r="C749">
        <v>706</v>
      </c>
      <c r="D749">
        <v>4</v>
      </c>
      <c r="E749" t="s">
        <v>35</v>
      </c>
      <c r="F749" t="s">
        <v>36</v>
      </c>
      <c r="G749" t="str">
        <f>"2025-11-09 13:47:57.266"</f>
        <v>2025-11-09 13:47:57.266</v>
      </c>
      <c r="H749" t="s">
        <v>22</v>
      </c>
      <c r="I749">
        <v>0</v>
      </c>
      <c r="J749" t="s">
        <v>24</v>
      </c>
    </row>
    <row r="750" spans="1:10" x14ac:dyDescent="0.25">
      <c r="A750" s="1">
        <v>65</v>
      </c>
      <c r="B750" t="s">
        <v>25</v>
      </c>
      <c r="C750">
        <v>700</v>
      </c>
      <c r="D750">
        <v>0</v>
      </c>
      <c r="E750" t="s">
        <v>26</v>
      </c>
      <c r="F750" t="s">
        <v>26</v>
      </c>
      <c r="G750" t="str">
        <f>"2025-11-09 13:47:23.676"</f>
        <v>2025-11-09 13:47:23.676</v>
      </c>
      <c r="H750" t="s">
        <v>22</v>
      </c>
    </row>
    <row r="751" spans="1:10" s="3" customFormat="1" x14ac:dyDescent="0.25">
      <c r="A751" s="2">
        <v>66</v>
      </c>
      <c r="B751" s="3" t="s">
        <v>19</v>
      </c>
      <c r="C751" s="3">
        <v>647</v>
      </c>
      <c r="D751" s="3">
        <v>1</v>
      </c>
      <c r="E751" s="3" t="s">
        <v>49</v>
      </c>
      <c r="F751" s="3" t="s">
        <v>50</v>
      </c>
      <c r="G751" s="3" t="str">
        <f>"2025-11-08 15:40:50.831"</f>
        <v>2025-11-08 15:40:50.831</v>
      </c>
      <c r="H751" s="3" t="s">
        <v>22</v>
      </c>
    </row>
    <row r="752" spans="1:10" s="3" customFormat="1" x14ac:dyDescent="0.25">
      <c r="A752" s="2">
        <v>67</v>
      </c>
      <c r="B752" s="3" t="s">
        <v>23</v>
      </c>
      <c r="C752" s="3">
        <v>647</v>
      </c>
      <c r="D752" s="3">
        <v>1</v>
      </c>
      <c r="E752" s="3" t="s">
        <v>49</v>
      </c>
      <c r="F752" s="3" t="s">
        <v>50</v>
      </c>
      <c r="G752" s="3" t="str">
        <f>"2025-11-08 15:40:44.731"</f>
        <v>2025-11-08 15:40:44.731</v>
      </c>
      <c r="H752" s="3" t="s">
        <v>22</v>
      </c>
      <c r="I752" s="3">
        <v>8.68</v>
      </c>
      <c r="J752" s="3" t="s">
        <v>31</v>
      </c>
    </row>
    <row r="753" spans="1:10" s="3" customFormat="1" x14ac:dyDescent="0.25">
      <c r="A753" s="2">
        <v>68</v>
      </c>
      <c r="B753" s="3" t="s">
        <v>19</v>
      </c>
      <c r="C753" s="3">
        <v>647</v>
      </c>
      <c r="D753" s="3">
        <v>1</v>
      </c>
      <c r="E753" s="3" t="s">
        <v>49</v>
      </c>
      <c r="F753" s="3" t="s">
        <v>50</v>
      </c>
      <c r="G753" s="3" t="str">
        <f>"2025-11-08 11:43:07.431"</f>
        <v>2025-11-08 11:43:07.431</v>
      </c>
      <c r="H753" s="3" t="s">
        <v>22</v>
      </c>
    </row>
    <row r="754" spans="1:10" s="3" customFormat="1" x14ac:dyDescent="0.25">
      <c r="A754" s="2">
        <v>69</v>
      </c>
      <c r="B754" s="3" t="s">
        <v>23</v>
      </c>
      <c r="C754" s="3">
        <v>647</v>
      </c>
      <c r="D754" s="3">
        <v>1</v>
      </c>
      <c r="E754" s="3" t="s">
        <v>49</v>
      </c>
      <c r="F754" s="3" t="s">
        <v>50</v>
      </c>
      <c r="G754" s="3" t="str">
        <f>"2025-11-08 11:43:05.931"</f>
        <v>2025-11-08 11:43:05.931</v>
      </c>
      <c r="H754" s="3" t="s">
        <v>22</v>
      </c>
      <c r="I754" s="3">
        <v>12.62</v>
      </c>
      <c r="J754" s="3" t="s">
        <v>31</v>
      </c>
    </row>
    <row r="755" spans="1:10" x14ac:dyDescent="0.25">
      <c r="A755" s="1">
        <v>70</v>
      </c>
      <c r="B755" t="s">
        <v>19</v>
      </c>
      <c r="C755">
        <v>635</v>
      </c>
      <c r="D755">
        <v>1</v>
      </c>
      <c r="E755" t="s">
        <v>28</v>
      </c>
      <c r="F755" t="s">
        <v>29</v>
      </c>
      <c r="G755" t="str">
        <f>"2025-11-08 05:16:19.583"</f>
        <v>2025-11-08 05:16:19.583</v>
      </c>
      <c r="H755" t="s">
        <v>22</v>
      </c>
    </row>
    <row r="756" spans="1:10" x14ac:dyDescent="0.25">
      <c r="A756" s="1">
        <v>71</v>
      </c>
      <c r="B756" t="s">
        <v>23</v>
      </c>
      <c r="C756">
        <v>635</v>
      </c>
      <c r="D756">
        <v>1</v>
      </c>
      <c r="E756" t="s">
        <v>28</v>
      </c>
      <c r="F756" t="s">
        <v>29</v>
      </c>
      <c r="G756" t="str">
        <f>"2025-11-08 05:02:07.083"</f>
        <v>2025-11-08 05:02:07.083</v>
      </c>
      <c r="H756" t="s">
        <v>22</v>
      </c>
      <c r="I756">
        <v>9.2899999999999991</v>
      </c>
      <c r="J756" t="s">
        <v>31</v>
      </c>
    </row>
    <row r="757" spans="1:10" s="3" customFormat="1" x14ac:dyDescent="0.25">
      <c r="A757" s="2">
        <v>72</v>
      </c>
      <c r="B757" s="3" t="s">
        <v>19</v>
      </c>
      <c r="C757" s="3">
        <v>647</v>
      </c>
      <c r="D757" s="3">
        <v>1</v>
      </c>
      <c r="E757" s="3" t="s">
        <v>49</v>
      </c>
      <c r="F757" s="3" t="s">
        <v>50</v>
      </c>
      <c r="G757" s="3" t="str">
        <f>"2025-11-07 15:29:50.531"</f>
        <v>2025-11-07 15:29:50.531</v>
      </c>
      <c r="H757" s="3" t="s">
        <v>22</v>
      </c>
    </row>
    <row r="758" spans="1:10" s="3" customFormat="1" x14ac:dyDescent="0.25">
      <c r="A758" s="2">
        <v>73</v>
      </c>
      <c r="B758" s="3" t="s">
        <v>23</v>
      </c>
      <c r="C758" s="3">
        <v>647</v>
      </c>
      <c r="D758" s="3">
        <v>1</v>
      </c>
      <c r="E758" s="3" t="s">
        <v>49</v>
      </c>
      <c r="F758" s="3" t="s">
        <v>50</v>
      </c>
      <c r="G758" s="3" t="str">
        <f>"2025-11-07 15:29:48.432"</f>
        <v>2025-11-07 15:29:48.432</v>
      </c>
      <c r="H758" s="3" t="s">
        <v>22</v>
      </c>
      <c r="I758" s="3">
        <v>9.19</v>
      </c>
      <c r="J758" s="3" t="s">
        <v>31</v>
      </c>
    </row>
    <row r="759" spans="1:10" x14ac:dyDescent="0.25">
      <c r="A759" s="1">
        <v>74</v>
      </c>
      <c r="B759" t="s">
        <v>25</v>
      </c>
      <c r="C759">
        <v>700</v>
      </c>
      <c r="D759">
        <v>0</v>
      </c>
      <c r="E759" t="s">
        <v>26</v>
      </c>
      <c r="F759" t="s">
        <v>26</v>
      </c>
      <c r="G759" t="str">
        <f>"2025-11-06 23:44:38.713"</f>
        <v>2025-11-06 23:44:38.713</v>
      </c>
      <c r="H759" t="s">
        <v>22</v>
      </c>
      <c r="I759">
        <v>0</v>
      </c>
      <c r="J759" t="s">
        <v>27</v>
      </c>
    </row>
    <row r="760" spans="1:10" x14ac:dyDescent="0.25">
      <c r="A760" s="1">
        <v>75</v>
      </c>
      <c r="B760" t="s">
        <v>25</v>
      </c>
      <c r="C760">
        <v>700</v>
      </c>
      <c r="D760">
        <v>0</v>
      </c>
      <c r="E760" t="s">
        <v>26</v>
      </c>
      <c r="F760" t="s">
        <v>26</v>
      </c>
      <c r="G760" t="str">
        <f>"2025-11-05 15:35:20.672"</f>
        <v>2025-11-05 15:35:20.672</v>
      </c>
      <c r="H760" t="s">
        <v>22</v>
      </c>
      <c r="I760">
        <v>0</v>
      </c>
      <c r="J760" t="s">
        <v>27</v>
      </c>
    </row>
    <row r="761" spans="1:10" s="3" customFormat="1" x14ac:dyDescent="0.25">
      <c r="A761" s="2">
        <v>76</v>
      </c>
      <c r="B761" s="3" t="s">
        <v>19</v>
      </c>
      <c r="C761" s="3">
        <v>647</v>
      </c>
      <c r="D761" s="3">
        <v>1</v>
      </c>
      <c r="E761" s="3" t="s">
        <v>49</v>
      </c>
      <c r="F761" s="3" t="s">
        <v>50</v>
      </c>
      <c r="G761" s="3" t="str">
        <f>"2025-11-04 22:58:23.697"</f>
        <v>2025-11-04 22:58:23.697</v>
      </c>
      <c r="H761" s="3" t="s">
        <v>22</v>
      </c>
    </row>
    <row r="762" spans="1:10" s="3" customFormat="1" x14ac:dyDescent="0.25">
      <c r="A762" s="2">
        <v>77</v>
      </c>
      <c r="B762" s="3" t="s">
        <v>23</v>
      </c>
      <c r="C762" s="3">
        <v>647</v>
      </c>
      <c r="D762" s="3">
        <v>1</v>
      </c>
      <c r="E762" s="3" t="s">
        <v>49</v>
      </c>
      <c r="F762" s="3" t="s">
        <v>50</v>
      </c>
      <c r="G762" s="3" t="str">
        <f>"2025-11-04 22:58:20.197"</f>
        <v>2025-11-04 22:58:20.197</v>
      </c>
      <c r="H762" s="3" t="s">
        <v>22</v>
      </c>
      <c r="I762" s="3">
        <v>9.4499999999999993</v>
      </c>
      <c r="J762" s="3" t="s">
        <v>31</v>
      </c>
    </row>
    <row r="763" spans="1:10" x14ac:dyDescent="0.25">
      <c r="A763" s="1">
        <v>78</v>
      </c>
      <c r="B763" t="s">
        <v>19</v>
      </c>
      <c r="C763">
        <v>98</v>
      </c>
      <c r="D763">
        <v>1</v>
      </c>
      <c r="E763" t="s">
        <v>46</v>
      </c>
      <c r="F763" t="s">
        <v>47</v>
      </c>
      <c r="G763" t="str">
        <f>"2025-11-03 18:10:40.610"</f>
        <v>2025-11-03 18:10:40.610</v>
      </c>
      <c r="H763" t="s">
        <v>22</v>
      </c>
    </row>
    <row r="764" spans="1:10" x14ac:dyDescent="0.25">
      <c r="A764" s="1">
        <v>79</v>
      </c>
      <c r="B764" t="s">
        <v>23</v>
      </c>
      <c r="C764">
        <v>98</v>
      </c>
      <c r="D764">
        <v>1</v>
      </c>
      <c r="E764" t="s">
        <v>46</v>
      </c>
      <c r="F764" t="s">
        <v>47</v>
      </c>
      <c r="G764" t="str">
        <f>"2025-11-03 18:10:39.610"</f>
        <v>2025-11-03 18:10:39.610</v>
      </c>
      <c r="H764" t="s">
        <v>22</v>
      </c>
      <c r="I764">
        <v>8.19</v>
      </c>
      <c r="J764" t="s">
        <v>30</v>
      </c>
    </row>
    <row r="765" spans="1:10" x14ac:dyDescent="0.25">
      <c r="A765" s="1">
        <v>80</v>
      </c>
      <c r="B765" t="s">
        <v>19</v>
      </c>
      <c r="C765">
        <v>635</v>
      </c>
      <c r="D765">
        <v>1</v>
      </c>
      <c r="E765" t="s">
        <v>28</v>
      </c>
      <c r="F765" t="s">
        <v>29</v>
      </c>
      <c r="G765" t="str">
        <f>"2025-11-03 07:17:28.649"</f>
        <v>2025-11-03 07:17:28.649</v>
      </c>
      <c r="H765" t="s">
        <v>22</v>
      </c>
    </row>
    <row r="766" spans="1:10" x14ac:dyDescent="0.25">
      <c r="A766" s="1">
        <v>81</v>
      </c>
      <c r="B766" t="s">
        <v>23</v>
      </c>
      <c r="C766">
        <v>635</v>
      </c>
      <c r="D766">
        <v>1</v>
      </c>
      <c r="E766" t="s">
        <v>28</v>
      </c>
      <c r="F766" t="s">
        <v>29</v>
      </c>
      <c r="G766" t="str">
        <f>"2025-11-03 07:14:42.650"</f>
        <v>2025-11-03 07:14:42.650</v>
      </c>
      <c r="H766" t="s">
        <v>22</v>
      </c>
      <c r="I766">
        <v>8.6999999999999993</v>
      </c>
      <c r="J766" t="s">
        <v>30</v>
      </c>
    </row>
    <row r="767" spans="1:10" x14ac:dyDescent="0.25">
      <c r="A767" s="1">
        <v>82</v>
      </c>
      <c r="B767" t="s">
        <v>25</v>
      </c>
      <c r="C767">
        <v>700</v>
      </c>
      <c r="D767">
        <v>0</v>
      </c>
      <c r="E767" t="s">
        <v>26</v>
      </c>
      <c r="F767" t="s">
        <v>26</v>
      </c>
      <c r="G767" t="str">
        <f>"2025-11-02 23:32:09.729"</f>
        <v>2025-11-02 23:32:09.729</v>
      </c>
      <c r="H767" t="s">
        <v>22</v>
      </c>
    </row>
    <row r="768" spans="1:10" x14ac:dyDescent="0.25">
      <c r="A768" s="1">
        <v>83</v>
      </c>
      <c r="B768" t="s">
        <v>37</v>
      </c>
      <c r="C768">
        <v>630</v>
      </c>
      <c r="D768">
        <v>5</v>
      </c>
      <c r="E768" t="s">
        <v>32</v>
      </c>
      <c r="F768" t="s">
        <v>33</v>
      </c>
      <c r="G768" t="str">
        <f>"2025-11-02 20:51:54.392"</f>
        <v>2025-11-02 20:51:54.392</v>
      </c>
      <c r="H768" t="s">
        <v>34</v>
      </c>
      <c r="I768">
        <v>0</v>
      </c>
      <c r="J768" t="s">
        <v>24</v>
      </c>
    </row>
    <row r="769" spans="1:10" x14ac:dyDescent="0.25">
      <c r="A769" s="1">
        <v>84</v>
      </c>
      <c r="B769" t="s">
        <v>25</v>
      </c>
      <c r="C769">
        <v>700</v>
      </c>
      <c r="D769">
        <v>0</v>
      </c>
      <c r="E769" t="s">
        <v>26</v>
      </c>
      <c r="F769" t="s">
        <v>26</v>
      </c>
      <c r="G769" t="str">
        <f>"2025-11-02 20:46:51.696"</f>
        <v>2025-11-02 20:46:51.696</v>
      </c>
      <c r="H769" t="s">
        <v>22</v>
      </c>
      <c r="I769">
        <v>0</v>
      </c>
      <c r="J769" t="s">
        <v>27</v>
      </c>
    </row>
    <row r="770" spans="1:10" x14ac:dyDescent="0.25">
      <c r="A770" s="1">
        <v>85</v>
      </c>
      <c r="B770" t="s">
        <v>25</v>
      </c>
      <c r="C770">
        <v>700</v>
      </c>
      <c r="D770">
        <v>0</v>
      </c>
      <c r="E770" t="s">
        <v>26</v>
      </c>
      <c r="F770" t="s">
        <v>26</v>
      </c>
      <c r="G770" t="str">
        <f>"2025-11-02 08:18:22.667"</f>
        <v>2025-11-02 08:18:22.667</v>
      </c>
      <c r="H770" t="s">
        <v>22</v>
      </c>
      <c r="I770">
        <v>0</v>
      </c>
      <c r="J770" t="s">
        <v>27</v>
      </c>
    </row>
    <row r="771" spans="1:10" s="3" customFormat="1" x14ac:dyDescent="0.25">
      <c r="A771" s="2">
        <v>86</v>
      </c>
      <c r="B771" s="3" t="s">
        <v>19</v>
      </c>
      <c r="C771" s="3">
        <v>647</v>
      </c>
      <c r="D771" s="3">
        <v>1</v>
      </c>
      <c r="E771" s="3" t="s">
        <v>49</v>
      </c>
      <c r="F771" s="3" t="s">
        <v>50</v>
      </c>
      <c r="G771" s="3" t="str">
        <f>"2025-10-31 18:55:11.178"</f>
        <v>2025-10-31 18:55:11.178</v>
      </c>
      <c r="H771" s="3" t="s">
        <v>22</v>
      </c>
    </row>
    <row r="772" spans="1:10" s="3" customFormat="1" x14ac:dyDescent="0.25">
      <c r="A772" s="2">
        <v>87</v>
      </c>
      <c r="B772" s="3" t="s">
        <v>23</v>
      </c>
      <c r="C772" s="3">
        <v>647</v>
      </c>
      <c r="D772" s="3">
        <v>1</v>
      </c>
      <c r="E772" s="3" t="s">
        <v>49</v>
      </c>
      <c r="F772" s="3" t="s">
        <v>50</v>
      </c>
      <c r="G772" s="3" t="str">
        <f>"2025-10-31 18:55:07.479"</f>
        <v>2025-10-31 18:55:07.479</v>
      </c>
      <c r="H772" s="3" t="s">
        <v>22</v>
      </c>
      <c r="I772" s="3">
        <v>21.72</v>
      </c>
      <c r="J772" s="3" t="s">
        <v>31</v>
      </c>
    </row>
    <row r="773" spans="1:10" x14ac:dyDescent="0.25">
      <c r="A773" s="1">
        <v>88</v>
      </c>
      <c r="B773" t="s">
        <v>25</v>
      </c>
      <c r="C773">
        <v>700</v>
      </c>
      <c r="D773">
        <v>0</v>
      </c>
      <c r="E773" t="s">
        <v>26</v>
      </c>
      <c r="F773" t="s">
        <v>26</v>
      </c>
      <c r="G773" t="str">
        <f>"2025-10-31 13:55:28.666"</f>
        <v>2025-10-31 13:55:28.666</v>
      </c>
      <c r="H773" t="s">
        <v>22</v>
      </c>
      <c r="I773">
        <v>0</v>
      </c>
      <c r="J773" t="s">
        <v>27</v>
      </c>
    </row>
    <row r="774" spans="1:10" s="3" customFormat="1" x14ac:dyDescent="0.25">
      <c r="A774" s="2">
        <v>89</v>
      </c>
      <c r="B774" s="3" t="s">
        <v>19</v>
      </c>
      <c r="C774" s="3">
        <v>647</v>
      </c>
      <c r="D774" s="3">
        <v>1</v>
      </c>
      <c r="E774" s="3" t="s">
        <v>49</v>
      </c>
      <c r="F774" s="3" t="s">
        <v>50</v>
      </c>
      <c r="G774" s="3" t="str">
        <f>"2025-10-30 17:12:32.670"</f>
        <v>2025-10-30 17:12:32.670</v>
      </c>
      <c r="H774" s="3" t="s">
        <v>22</v>
      </c>
    </row>
    <row r="775" spans="1:10" s="3" customFormat="1" x14ac:dyDescent="0.25">
      <c r="A775" s="2">
        <v>90</v>
      </c>
      <c r="B775" s="3" t="s">
        <v>23</v>
      </c>
      <c r="C775" s="3">
        <v>647</v>
      </c>
      <c r="D775" s="3">
        <v>1</v>
      </c>
      <c r="E775" s="3" t="s">
        <v>49</v>
      </c>
      <c r="F775" s="3" t="s">
        <v>50</v>
      </c>
      <c r="G775" s="3" t="str">
        <f>"2025-10-30 17:12:31.370"</f>
        <v>2025-10-30 17:12:31.370</v>
      </c>
      <c r="H775" s="3" t="s">
        <v>22</v>
      </c>
      <c r="I775" s="3">
        <v>13.78</v>
      </c>
      <c r="J775" s="3" t="s">
        <v>31</v>
      </c>
    </row>
    <row r="776" spans="1:10" x14ac:dyDescent="0.25">
      <c r="A776" s="1">
        <v>91</v>
      </c>
      <c r="B776" t="s">
        <v>25</v>
      </c>
      <c r="C776">
        <v>706</v>
      </c>
      <c r="D776">
        <v>2</v>
      </c>
      <c r="E776" t="s">
        <v>35</v>
      </c>
      <c r="F776" t="s">
        <v>38</v>
      </c>
      <c r="G776" t="str">
        <f>"2025-10-30 10:57:19.117"</f>
        <v>2025-10-30 10:57:19.117</v>
      </c>
      <c r="H776" t="s">
        <v>22</v>
      </c>
      <c r="I776">
        <v>0</v>
      </c>
      <c r="J776" t="s">
        <v>24</v>
      </c>
    </row>
    <row r="777" spans="1:10" x14ac:dyDescent="0.25">
      <c r="A777" s="1">
        <v>92</v>
      </c>
      <c r="B777" t="s">
        <v>25</v>
      </c>
      <c r="C777">
        <v>700</v>
      </c>
      <c r="D777">
        <v>0</v>
      </c>
      <c r="E777" t="s">
        <v>26</v>
      </c>
      <c r="F777" t="s">
        <v>26</v>
      </c>
      <c r="G777" t="str">
        <f>"2025-10-30 10:56:54.847"</f>
        <v>2025-10-30 10:56:54.847</v>
      </c>
      <c r="H777" t="s">
        <v>22</v>
      </c>
      <c r="I777">
        <v>0</v>
      </c>
      <c r="J777" t="s">
        <v>27</v>
      </c>
    </row>
    <row r="778" spans="1:10" s="3" customFormat="1" x14ac:dyDescent="0.25">
      <c r="A778" s="2">
        <v>93</v>
      </c>
      <c r="B778" s="3" t="s">
        <v>19</v>
      </c>
      <c r="C778" s="3">
        <v>647</v>
      </c>
      <c r="D778" s="3">
        <v>1</v>
      </c>
      <c r="E778" s="3" t="s">
        <v>49</v>
      </c>
      <c r="F778" s="3" t="s">
        <v>50</v>
      </c>
      <c r="G778" s="3" t="str">
        <f>"2025-10-30 10:11:39.689"</f>
        <v>2025-10-30 10:11:39.689</v>
      </c>
      <c r="H778" s="3" t="s">
        <v>22</v>
      </c>
    </row>
    <row r="779" spans="1:10" s="3" customFormat="1" x14ac:dyDescent="0.25">
      <c r="A779" s="2">
        <v>94</v>
      </c>
      <c r="B779" s="3" t="s">
        <v>23</v>
      </c>
      <c r="C779" s="3">
        <v>647</v>
      </c>
      <c r="D779" s="3">
        <v>1</v>
      </c>
      <c r="E779" s="3" t="s">
        <v>49</v>
      </c>
      <c r="F779" s="3" t="s">
        <v>50</v>
      </c>
      <c r="G779" s="3" t="str">
        <f>"2025-10-30 10:11:36.990"</f>
        <v>2025-10-30 10:11:36.990</v>
      </c>
      <c r="H779" s="3" t="s">
        <v>22</v>
      </c>
      <c r="I779" s="3">
        <v>12.44</v>
      </c>
      <c r="J779" s="3" t="s">
        <v>31</v>
      </c>
    </row>
    <row r="780" spans="1:10" x14ac:dyDescent="0.25">
      <c r="A780" s="1">
        <v>95</v>
      </c>
      <c r="B780" t="s">
        <v>25</v>
      </c>
      <c r="C780">
        <v>700</v>
      </c>
      <c r="D780">
        <v>0</v>
      </c>
      <c r="E780" t="s">
        <v>26</v>
      </c>
      <c r="F780" t="s">
        <v>26</v>
      </c>
      <c r="G780" t="str">
        <f>"2025-10-29 13:53:54.671"</f>
        <v>2025-10-29 13:53:54.671</v>
      </c>
      <c r="H780" t="s">
        <v>22</v>
      </c>
      <c r="I780">
        <v>0</v>
      </c>
      <c r="J780" t="s">
        <v>27</v>
      </c>
    </row>
    <row r="781" spans="1:10" s="3" customFormat="1" x14ac:dyDescent="0.25">
      <c r="A781" s="2">
        <v>96</v>
      </c>
      <c r="B781" s="3" t="s">
        <v>19</v>
      </c>
      <c r="C781" s="3">
        <v>647</v>
      </c>
      <c r="D781" s="3">
        <v>1</v>
      </c>
      <c r="E781" s="3" t="s">
        <v>49</v>
      </c>
      <c r="F781" s="3" t="s">
        <v>50</v>
      </c>
      <c r="G781" s="3" t="str">
        <f>"2025-10-28 09:32:01.879"</f>
        <v>2025-10-28 09:32:01.879</v>
      </c>
      <c r="H781" s="3" t="s">
        <v>22</v>
      </c>
    </row>
    <row r="782" spans="1:10" s="3" customFormat="1" x14ac:dyDescent="0.25">
      <c r="A782" s="2">
        <v>97</v>
      </c>
      <c r="B782" s="3" t="s">
        <v>23</v>
      </c>
      <c r="C782" s="3">
        <v>647</v>
      </c>
      <c r="D782" s="3">
        <v>1</v>
      </c>
      <c r="E782" s="3" t="s">
        <v>49</v>
      </c>
      <c r="F782" s="3" t="s">
        <v>50</v>
      </c>
      <c r="G782" s="3" t="str">
        <f>"2025-10-28 09:32:00.179"</f>
        <v>2025-10-28 09:32:00.179</v>
      </c>
      <c r="H782" s="3" t="s">
        <v>22</v>
      </c>
      <c r="I782" s="3">
        <v>22.88</v>
      </c>
      <c r="J782" s="3" t="s">
        <v>31</v>
      </c>
    </row>
    <row r="783" spans="1:10" s="3" customFormat="1" x14ac:dyDescent="0.25">
      <c r="A783" s="2">
        <v>98</v>
      </c>
      <c r="B783" s="3" t="s">
        <v>19</v>
      </c>
      <c r="C783" s="3">
        <v>647</v>
      </c>
      <c r="D783" s="3">
        <v>1</v>
      </c>
      <c r="E783" s="3" t="s">
        <v>49</v>
      </c>
      <c r="F783" s="3" t="s">
        <v>50</v>
      </c>
      <c r="G783" s="3" t="str">
        <f>"2025-10-28 00:35:49.179"</f>
        <v>2025-10-28 00:35:49.179</v>
      </c>
      <c r="H783" s="3" t="s">
        <v>22</v>
      </c>
    </row>
    <row r="784" spans="1:10" s="3" customFormat="1" x14ac:dyDescent="0.25">
      <c r="A784" s="2">
        <v>99</v>
      </c>
      <c r="B784" s="3" t="s">
        <v>23</v>
      </c>
      <c r="C784" s="3">
        <v>647</v>
      </c>
      <c r="D784" s="3">
        <v>1</v>
      </c>
      <c r="E784" s="3" t="s">
        <v>49</v>
      </c>
      <c r="F784" s="3" t="s">
        <v>50</v>
      </c>
      <c r="G784" s="3" t="str">
        <f>"2025-10-28 00:35:46.480"</f>
        <v>2025-10-28 00:35:46.480</v>
      </c>
      <c r="H784" s="3" t="s">
        <v>22</v>
      </c>
      <c r="I784" s="3">
        <v>8.44</v>
      </c>
      <c r="J784" s="3" t="s">
        <v>31</v>
      </c>
    </row>
    <row r="785" spans="1:10" x14ac:dyDescent="0.25">
      <c r="A785" s="1">
        <v>0</v>
      </c>
      <c r="B785" t="s">
        <v>25</v>
      </c>
      <c r="C785">
        <v>700</v>
      </c>
      <c r="D785">
        <v>0</v>
      </c>
      <c r="E785" t="s">
        <v>26</v>
      </c>
      <c r="F785" t="s">
        <v>26</v>
      </c>
      <c r="G785" t="str">
        <f>"2025-10-27 23:22:16.761"</f>
        <v>2025-10-27 23:22:16.761</v>
      </c>
      <c r="H785" t="s">
        <v>22</v>
      </c>
      <c r="I785">
        <v>0</v>
      </c>
      <c r="J785" t="s">
        <v>27</v>
      </c>
    </row>
    <row r="786" spans="1:10" x14ac:dyDescent="0.25">
      <c r="A786" s="1">
        <v>1</v>
      </c>
      <c r="B786" t="s">
        <v>25</v>
      </c>
      <c r="C786">
        <v>700</v>
      </c>
      <c r="D786">
        <v>0</v>
      </c>
      <c r="E786" t="s">
        <v>26</v>
      </c>
      <c r="F786" t="s">
        <v>26</v>
      </c>
      <c r="G786" t="str">
        <f>"2025-10-27 23:18:20.666"</f>
        <v>2025-10-27 23:18:20.666</v>
      </c>
      <c r="H786" t="s">
        <v>22</v>
      </c>
      <c r="I786">
        <v>0</v>
      </c>
      <c r="J786" t="s">
        <v>27</v>
      </c>
    </row>
    <row r="787" spans="1:10" x14ac:dyDescent="0.25">
      <c r="A787" s="1">
        <v>2</v>
      </c>
      <c r="B787" t="s">
        <v>25</v>
      </c>
      <c r="C787">
        <v>700</v>
      </c>
      <c r="D787">
        <v>0</v>
      </c>
      <c r="E787" t="s">
        <v>26</v>
      </c>
      <c r="F787" t="s">
        <v>26</v>
      </c>
      <c r="G787" t="str">
        <f>"2025-10-27 23:15:21.849"</f>
        <v>2025-10-27 23:15:21.849</v>
      </c>
      <c r="H787" t="s">
        <v>22</v>
      </c>
      <c r="I787">
        <v>0</v>
      </c>
      <c r="J787" t="s">
        <v>27</v>
      </c>
    </row>
    <row r="788" spans="1:10" x14ac:dyDescent="0.25">
      <c r="A788" s="1">
        <v>3</v>
      </c>
      <c r="B788" t="s">
        <v>25</v>
      </c>
      <c r="C788">
        <v>706</v>
      </c>
      <c r="D788">
        <v>3</v>
      </c>
      <c r="E788" t="s">
        <v>35</v>
      </c>
      <c r="F788" t="s">
        <v>62</v>
      </c>
      <c r="G788" t="str">
        <f>"2025-10-27 23:12:33.814"</f>
        <v>2025-10-27 23:12:33.814</v>
      </c>
      <c r="H788" t="s">
        <v>22</v>
      </c>
      <c r="I788">
        <v>0</v>
      </c>
      <c r="J788" t="s">
        <v>24</v>
      </c>
    </row>
    <row r="789" spans="1:10" x14ac:dyDescent="0.25">
      <c r="A789" s="1">
        <v>4</v>
      </c>
      <c r="B789" t="s">
        <v>59</v>
      </c>
      <c r="C789">
        <v>620</v>
      </c>
      <c r="D789">
        <v>1</v>
      </c>
      <c r="E789" t="s">
        <v>64</v>
      </c>
      <c r="F789" t="s">
        <v>29</v>
      </c>
      <c r="G789" t="str">
        <f>"2025-10-27 23:10:18.076"</f>
        <v>2025-10-27 23:10:18.076</v>
      </c>
      <c r="H789" t="s">
        <v>65</v>
      </c>
    </row>
    <row r="790" spans="1:10" x14ac:dyDescent="0.25">
      <c r="A790" s="1">
        <v>5</v>
      </c>
      <c r="B790" t="s">
        <v>37</v>
      </c>
      <c r="C790">
        <v>620</v>
      </c>
      <c r="D790">
        <v>1</v>
      </c>
      <c r="E790" t="s">
        <v>64</v>
      </c>
      <c r="F790" t="s">
        <v>29</v>
      </c>
      <c r="G790" t="str">
        <f>"2025-10-27 23:10:08.763"</f>
        <v>2025-10-27 23:10:08.763</v>
      </c>
      <c r="H790" t="s">
        <v>65</v>
      </c>
      <c r="I790">
        <v>9.27</v>
      </c>
      <c r="J790" t="s">
        <v>31</v>
      </c>
    </row>
    <row r="791" spans="1:10" x14ac:dyDescent="0.25">
      <c r="A791" s="1">
        <v>6</v>
      </c>
      <c r="B791" t="s">
        <v>25</v>
      </c>
      <c r="C791">
        <v>700</v>
      </c>
      <c r="D791">
        <v>0</v>
      </c>
      <c r="E791" t="s">
        <v>26</v>
      </c>
      <c r="F791" t="s">
        <v>26</v>
      </c>
      <c r="G791" t="str">
        <f>"2025-10-27 14:57:54.684"</f>
        <v>2025-10-27 14:57:54.684</v>
      </c>
      <c r="H791" t="s">
        <v>22</v>
      </c>
    </row>
    <row r="792" spans="1:10" s="3" customFormat="1" x14ac:dyDescent="0.25">
      <c r="A792" s="2">
        <v>7</v>
      </c>
      <c r="B792" s="3" t="s">
        <v>19</v>
      </c>
      <c r="C792" s="3">
        <v>647</v>
      </c>
      <c r="D792" s="3">
        <v>1</v>
      </c>
      <c r="E792" s="3" t="s">
        <v>49</v>
      </c>
      <c r="F792" s="3" t="s">
        <v>50</v>
      </c>
      <c r="G792" s="3" t="str">
        <f>"2025-10-27 11:05:56.771"</f>
        <v>2025-10-27 11:05:56.771</v>
      </c>
      <c r="H792" s="3" t="s">
        <v>22</v>
      </c>
    </row>
    <row r="793" spans="1:10" s="3" customFormat="1" x14ac:dyDescent="0.25">
      <c r="A793" s="2">
        <v>8</v>
      </c>
      <c r="B793" s="3" t="s">
        <v>23</v>
      </c>
      <c r="C793" s="3">
        <v>647</v>
      </c>
      <c r="D793" s="3">
        <v>1</v>
      </c>
      <c r="E793" s="3" t="s">
        <v>49</v>
      </c>
      <c r="F793" s="3" t="s">
        <v>50</v>
      </c>
      <c r="G793" s="3" t="str">
        <f>"2025-10-27 11:05:54.271"</f>
        <v>2025-10-27 11:05:54.271</v>
      </c>
      <c r="H793" s="3" t="s">
        <v>22</v>
      </c>
      <c r="I793" s="3">
        <v>15.89</v>
      </c>
      <c r="J793" s="3" t="s">
        <v>48</v>
      </c>
    </row>
    <row r="794" spans="1:10" x14ac:dyDescent="0.25">
      <c r="A794" s="1">
        <v>9</v>
      </c>
      <c r="B794" t="s">
        <v>25</v>
      </c>
      <c r="C794">
        <v>700</v>
      </c>
      <c r="D794">
        <v>0</v>
      </c>
      <c r="E794" t="s">
        <v>26</v>
      </c>
      <c r="F794" t="s">
        <v>26</v>
      </c>
      <c r="G794" t="str">
        <f>"2025-10-25 20:20:36.662"</f>
        <v>2025-10-25 20:20:36.662</v>
      </c>
      <c r="H794" t="s">
        <v>22</v>
      </c>
    </row>
    <row r="795" spans="1:10" x14ac:dyDescent="0.25">
      <c r="A795" s="1">
        <v>10</v>
      </c>
      <c r="B795" t="s">
        <v>25</v>
      </c>
      <c r="C795">
        <v>700</v>
      </c>
      <c r="D795">
        <v>0</v>
      </c>
      <c r="E795" t="s">
        <v>26</v>
      </c>
      <c r="F795" t="s">
        <v>26</v>
      </c>
      <c r="G795" t="str">
        <f>"2025-10-25 13:19:52.667"</f>
        <v>2025-10-25 13:19:52.667</v>
      </c>
      <c r="H795" t="s">
        <v>22</v>
      </c>
      <c r="I795">
        <v>0</v>
      </c>
      <c r="J795" t="s">
        <v>27</v>
      </c>
    </row>
    <row r="796" spans="1:10" x14ac:dyDescent="0.25">
      <c r="A796" s="1">
        <v>11</v>
      </c>
      <c r="B796" t="s">
        <v>19</v>
      </c>
      <c r="C796">
        <v>635</v>
      </c>
      <c r="D796">
        <v>1</v>
      </c>
      <c r="E796" t="s">
        <v>28</v>
      </c>
      <c r="F796" t="s">
        <v>29</v>
      </c>
      <c r="G796" t="str">
        <f>"2025-10-25 11:00:35.748"</f>
        <v>2025-10-25 11:00:35.748</v>
      </c>
      <c r="H796" t="s">
        <v>22</v>
      </c>
    </row>
    <row r="797" spans="1:10" x14ac:dyDescent="0.25">
      <c r="A797" s="1">
        <v>12</v>
      </c>
      <c r="B797" t="s">
        <v>23</v>
      </c>
      <c r="C797">
        <v>635</v>
      </c>
      <c r="D797">
        <v>1</v>
      </c>
      <c r="E797" t="s">
        <v>28</v>
      </c>
      <c r="F797" t="s">
        <v>29</v>
      </c>
      <c r="G797" t="str">
        <f>"2025-10-25 10:56:41.248"</f>
        <v>2025-10-25 10:56:41.248</v>
      </c>
      <c r="H797" t="s">
        <v>22</v>
      </c>
      <c r="I797">
        <v>6.65</v>
      </c>
      <c r="J797" t="s">
        <v>31</v>
      </c>
    </row>
    <row r="798" spans="1:10" x14ac:dyDescent="0.25">
      <c r="A798" s="1">
        <v>14</v>
      </c>
      <c r="B798" t="s">
        <v>19</v>
      </c>
      <c r="C798">
        <v>635</v>
      </c>
      <c r="D798">
        <v>1</v>
      </c>
      <c r="E798" t="s">
        <v>28</v>
      </c>
      <c r="F798" t="s">
        <v>29</v>
      </c>
      <c r="G798" t="str">
        <f>"2025-10-23 13:13:14.240"</f>
        <v>2025-10-23 13:13:14.240</v>
      </c>
      <c r="H798" t="s">
        <v>22</v>
      </c>
    </row>
    <row r="799" spans="1:10" x14ac:dyDescent="0.25">
      <c r="A799" s="1">
        <v>15</v>
      </c>
      <c r="B799" t="s">
        <v>23</v>
      </c>
      <c r="C799">
        <v>635</v>
      </c>
      <c r="D799">
        <v>1</v>
      </c>
      <c r="E799" t="s">
        <v>28</v>
      </c>
      <c r="F799" t="s">
        <v>29</v>
      </c>
      <c r="G799" t="str">
        <f>"2025-10-23 13:08:29.740"</f>
        <v>2025-10-23 13:08:29.740</v>
      </c>
      <c r="H799" t="s">
        <v>22</v>
      </c>
      <c r="I799">
        <v>3.55</v>
      </c>
      <c r="J799" t="s">
        <v>31</v>
      </c>
    </row>
    <row r="800" spans="1:10" x14ac:dyDescent="0.25">
      <c r="A800" s="1">
        <v>16</v>
      </c>
      <c r="B800" t="s">
        <v>25</v>
      </c>
      <c r="C800">
        <v>700</v>
      </c>
      <c r="D800">
        <v>0</v>
      </c>
      <c r="E800" t="s">
        <v>26</v>
      </c>
      <c r="F800" t="s">
        <v>26</v>
      </c>
      <c r="G800" t="str">
        <f>"2025-10-23 05:58:47.660"</f>
        <v>2025-10-23 05:58:47.660</v>
      </c>
      <c r="H800" t="s">
        <v>22</v>
      </c>
    </row>
    <row r="801" spans="1:10" x14ac:dyDescent="0.25">
      <c r="A801" s="1">
        <v>17</v>
      </c>
      <c r="B801" t="s">
        <v>19</v>
      </c>
      <c r="C801">
        <v>630</v>
      </c>
      <c r="D801">
        <v>5</v>
      </c>
      <c r="E801" t="s">
        <v>32</v>
      </c>
      <c r="F801" t="s">
        <v>33</v>
      </c>
      <c r="G801" t="str">
        <f>"2025-10-23 05:15:13.927"</f>
        <v>2025-10-23 05:15:13.927</v>
      </c>
      <c r="H801" t="s">
        <v>34</v>
      </c>
    </row>
    <row r="802" spans="1:10" x14ac:dyDescent="0.25">
      <c r="A802" s="1">
        <v>18</v>
      </c>
      <c r="B802" t="s">
        <v>25</v>
      </c>
      <c r="C802">
        <v>706</v>
      </c>
      <c r="D802">
        <v>4</v>
      </c>
      <c r="E802" t="s">
        <v>35</v>
      </c>
      <c r="F802" t="s">
        <v>36</v>
      </c>
      <c r="G802" t="str">
        <f>"2025-10-23 05:14:43.784"</f>
        <v>2025-10-23 05:14:43.784</v>
      </c>
      <c r="H802" t="s">
        <v>22</v>
      </c>
      <c r="I802">
        <v>0</v>
      </c>
      <c r="J802" t="s">
        <v>24</v>
      </c>
    </row>
    <row r="803" spans="1:10" x14ac:dyDescent="0.25">
      <c r="A803" s="1">
        <v>19</v>
      </c>
      <c r="B803" t="s">
        <v>25</v>
      </c>
      <c r="C803">
        <v>706</v>
      </c>
      <c r="D803">
        <v>2</v>
      </c>
      <c r="E803" t="s">
        <v>35</v>
      </c>
      <c r="F803" t="s">
        <v>38</v>
      </c>
      <c r="G803" t="str">
        <f>"2025-10-23 05:14:22.054"</f>
        <v>2025-10-23 05:14:22.054</v>
      </c>
      <c r="H803" t="s">
        <v>22</v>
      </c>
      <c r="I803">
        <v>0</v>
      </c>
      <c r="J803" t="s">
        <v>24</v>
      </c>
    </row>
    <row r="804" spans="1:10" x14ac:dyDescent="0.25">
      <c r="A804" s="1">
        <v>20</v>
      </c>
      <c r="B804" t="s">
        <v>37</v>
      </c>
      <c r="C804">
        <v>630</v>
      </c>
      <c r="D804">
        <v>5</v>
      </c>
      <c r="E804" t="s">
        <v>32</v>
      </c>
      <c r="F804" t="s">
        <v>33</v>
      </c>
      <c r="G804" t="str">
        <f>"2025-10-23 04:46:07.527"</f>
        <v>2025-10-23 04:46:07.527</v>
      </c>
      <c r="H804" t="s">
        <v>34</v>
      </c>
      <c r="I804">
        <v>0</v>
      </c>
      <c r="J804" t="s">
        <v>24</v>
      </c>
    </row>
    <row r="805" spans="1:10" x14ac:dyDescent="0.25">
      <c r="A805" s="1">
        <v>21</v>
      </c>
      <c r="B805" t="s">
        <v>25</v>
      </c>
      <c r="C805">
        <v>700</v>
      </c>
      <c r="D805">
        <v>0</v>
      </c>
      <c r="E805" t="s">
        <v>26</v>
      </c>
      <c r="F805" t="s">
        <v>26</v>
      </c>
      <c r="G805" t="str">
        <f>"2025-10-23 04:41:04.664"</f>
        <v>2025-10-23 04:41:04.664</v>
      </c>
      <c r="H805" t="s">
        <v>22</v>
      </c>
      <c r="I805">
        <v>0</v>
      </c>
      <c r="J805" t="s">
        <v>27</v>
      </c>
    </row>
    <row r="806" spans="1:10" x14ac:dyDescent="0.25">
      <c r="A806" s="1">
        <v>22</v>
      </c>
      <c r="B806" t="s">
        <v>37</v>
      </c>
      <c r="C806">
        <v>630</v>
      </c>
      <c r="D806">
        <v>5</v>
      </c>
      <c r="E806" t="s">
        <v>32</v>
      </c>
      <c r="F806" t="s">
        <v>33</v>
      </c>
      <c r="G806" t="str">
        <f>"2025-10-23 02:55:50.513"</f>
        <v>2025-10-23 02:55:50.513</v>
      </c>
      <c r="H806" t="s">
        <v>34</v>
      </c>
      <c r="I806">
        <v>0</v>
      </c>
      <c r="J806" t="s">
        <v>24</v>
      </c>
    </row>
    <row r="807" spans="1:10" s="3" customFormat="1" x14ac:dyDescent="0.25">
      <c r="A807" s="2">
        <v>23</v>
      </c>
      <c r="B807" s="3" t="s">
        <v>19</v>
      </c>
      <c r="C807" s="3">
        <v>647</v>
      </c>
      <c r="D807" s="3">
        <v>1</v>
      </c>
      <c r="E807" s="3" t="s">
        <v>49</v>
      </c>
      <c r="F807" s="3" t="s">
        <v>50</v>
      </c>
      <c r="G807" s="3" t="str">
        <f>"2025-10-22 15:03:58.612"</f>
        <v>2025-10-22 15:03:58.612</v>
      </c>
      <c r="H807" s="3" t="s">
        <v>22</v>
      </c>
    </row>
    <row r="808" spans="1:10" s="3" customFormat="1" x14ac:dyDescent="0.25">
      <c r="A808" s="2">
        <v>24</v>
      </c>
      <c r="B808" s="3" t="s">
        <v>23</v>
      </c>
      <c r="C808" s="3">
        <v>647</v>
      </c>
      <c r="D808" s="3">
        <v>1</v>
      </c>
      <c r="E808" s="3" t="s">
        <v>49</v>
      </c>
      <c r="F808" s="3" t="s">
        <v>50</v>
      </c>
      <c r="G808" s="3" t="str">
        <f>"2025-10-22 15:03:57.112"</f>
        <v>2025-10-22 15:03:57.112</v>
      </c>
      <c r="H808" s="3" t="s">
        <v>22</v>
      </c>
      <c r="I808" s="3">
        <v>15.92</v>
      </c>
      <c r="J808" s="3" t="s">
        <v>31</v>
      </c>
    </row>
    <row r="809" spans="1:10" x14ac:dyDescent="0.25">
      <c r="A809" s="1">
        <v>25</v>
      </c>
      <c r="B809" t="s">
        <v>19</v>
      </c>
      <c r="C809">
        <v>635</v>
      </c>
      <c r="D809">
        <v>1</v>
      </c>
      <c r="E809" t="s">
        <v>28</v>
      </c>
      <c r="F809" t="s">
        <v>29</v>
      </c>
      <c r="G809" t="str">
        <f>"2025-10-21 23:05:05.512"</f>
        <v>2025-10-21 23:05:05.512</v>
      </c>
      <c r="H809" t="s">
        <v>22</v>
      </c>
    </row>
    <row r="810" spans="1:10" x14ac:dyDescent="0.25">
      <c r="A810" s="1">
        <v>26</v>
      </c>
      <c r="B810" t="s">
        <v>23</v>
      </c>
      <c r="C810">
        <v>635</v>
      </c>
      <c r="D810">
        <v>1</v>
      </c>
      <c r="E810" t="s">
        <v>28</v>
      </c>
      <c r="F810" t="s">
        <v>29</v>
      </c>
      <c r="G810" t="str">
        <f>"2025-10-21 22:42:04.012"</f>
        <v>2025-10-21 22:42:04.012</v>
      </c>
      <c r="H810" t="s">
        <v>22</v>
      </c>
      <c r="I810">
        <v>7.23</v>
      </c>
      <c r="J810" t="s">
        <v>30</v>
      </c>
    </row>
    <row r="811" spans="1:10" x14ac:dyDescent="0.25">
      <c r="A811" s="1">
        <v>27</v>
      </c>
      <c r="B811" t="s">
        <v>25</v>
      </c>
      <c r="C811">
        <v>700</v>
      </c>
      <c r="D811">
        <v>0</v>
      </c>
      <c r="E811" t="s">
        <v>26</v>
      </c>
      <c r="F811" t="s">
        <v>26</v>
      </c>
      <c r="G811" t="str">
        <f>"2025-10-21 13:43:29.684"</f>
        <v>2025-10-21 13:43:29.684</v>
      </c>
      <c r="H811" t="s">
        <v>22</v>
      </c>
      <c r="I811">
        <v>0</v>
      </c>
      <c r="J811" t="s">
        <v>27</v>
      </c>
    </row>
    <row r="812" spans="1:10" x14ac:dyDescent="0.25">
      <c r="A812" s="1">
        <v>28</v>
      </c>
      <c r="B812" t="s">
        <v>25</v>
      </c>
      <c r="C812">
        <v>700</v>
      </c>
      <c r="D812">
        <v>0</v>
      </c>
      <c r="E812" t="s">
        <v>26</v>
      </c>
      <c r="F812" t="s">
        <v>26</v>
      </c>
      <c r="G812" t="str">
        <f>"2025-10-21 08:09:07.665"</f>
        <v>2025-10-21 08:09:07.665</v>
      </c>
      <c r="H812" t="s">
        <v>22</v>
      </c>
      <c r="I812">
        <v>0</v>
      </c>
      <c r="J812" t="s">
        <v>27</v>
      </c>
    </row>
    <row r="813" spans="1:10" x14ac:dyDescent="0.25">
      <c r="A813" s="1">
        <v>29</v>
      </c>
      <c r="B813" t="s">
        <v>19</v>
      </c>
      <c r="C813">
        <v>98</v>
      </c>
      <c r="D813">
        <v>1</v>
      </c>
      <c r="E813" t="s">
        <v>46</v>
      </c>
      <c r="F813" t="s">
        <v>47</v>
      </c>
      <c r="G813" t="str">
        <f>"2025-10-20 06:28:14.119"</f>
        <v>2025-10-20 06:28:14.119</v>
      </c>
      <c r="H813" t="s">
        <v>22</v>
      </c>
    </row>
    <row r="814" spans="1:10" x14ac:dyDescent="0.25">
      <c r="A814" s="1">
        <v>30</v>
      </c>
      <c r="B814" t="s">
        <v>23</v>
      </c>
      <c r="C814">
        <v>98</v>
      </c>
      <c r="D814">
        <v>1</v>
      </c>
      <c r="E814" t="s">
        <v>46</v>
      </c>
      <c r="F814" t="s">
        <v>47</v>
      </c>
      <c r="G814" t="str">
        <f>"2025-10-20 06:28:13.120"</f>
        <v>2025-10-20 06:28:13.120</v>
      </c>
      <c r="H814" t="s">
        <v>22</v>
      </c>
      <c r="I814">
        <v>0</v>
      </c>
      <c r="J814" t="s">
        <v>48</v>
      </c>
    </row>
    <row r="815" spans="1:10" x14ac:dyDescent="0.25">
      <c r="A815" s="1">
        <v>31</v>
      </c>
      <c r="B815" t="s">
        <v>19</v>
      </c>
      <c r="C815">
        <v>635</v>
      </c>
      <c r="D815">
        <v>1</v>
      </c>
      <c r="E815" t="s">
        <v>28</v>
      </c>
      <c r="F815" t="s">
        <v>29</v>
      </c>
      <c r="G815" t="str">
        <f>"2025-10-19 12:31:03.866"</f>
        <v>2025-10-19 12:31:03.866</v>
      </c>
      <c r="H815" t="s">
        <v>22</v>
      </c>
    </row>
    <row r="816" spans="1:10" x14ac:dyDescent="0.25">
      <c r="A816" s="1">
        <v>32</v>
      </c>
      <c r="B816" t="s">
        <v>23</v>
      </c>
      <c r="C816">
        <v>635</v>
      </c>
      <c r="D816">
        <v>1</v>
      </c>
      <c r="E816" t="s">
        <v>28</v>
      </c>
      <c r="F816" t="s">
        <v>29</v>
      </c>
      <c r="G816" t="str">
        <f>"2025-10-19 12:26:45.866"</f>
        <v>2025-10-19 12:26:45.866</v>
      </c>
      <c r="H816" t="s">
        <v>22</v>
      </c>
      <c r="I816">
        <v>9.17</v>
      </c>
      <c r="J816" t="s">
        <v>31</v>
      </c>
    </row>
    <row r="817" spans="1:10" x14ac:dyDescent="0.25">
      <c r="A817" s="1">
        <v>33</v>
      </c>
      <c r="B817" t="s">
        <v>25</v>
      </c>
      <c r="C817">
        <v>700</v>
      </c>
      <c r="D817">
        <v>0</v>
      </c>
      <c r="E817" t="s">
        <v>26</v>
      </c>
      <c r="F817" t="s">
        <v>26</v>
      </c>
      <c r="G817" t="str">
        <f>"2025-10-19 12:09:51.686"</f>
        <v>2025-10-19 12:09:51.686</v>
      </c>
      <c r="H817" t="s">
        <v>22</v>
      </c>
      <c r="I817">
        <v>0</v>
      </c>
      <c r="J817" t="s">
        <v>27</v>
      </c>
    </row>
    <row r="818" spans="1:10" s="3" customFormat="1" x14ac:dyDescent="0.25">
      <c r="A818" s="2">
        <v>34</v>
      </c>
      <c r="B818" s="3" t="s">
        <v>19</v>
      </c>
      <c r="C818" s="3">
        <v>647</v>
      </c>
      <c r="D818" s="3">
        <v>1</v>
      </c>
      <c r="E818" s="3" t="s">
        <v>49</v>
      </c>
      <c r="F818" s="3" t="s">
        <v>50</v>
      </c>
      <c r="G818" s="3" t="str">
        <f>"2025-10-19 10:04:34.239"</f>
        <v>2025-10-19 10:04:34.239</v>
      </c>
      <c r="H818" s="3" t="s">
        <v>22</v>
      </c>
    </row>
    <row r="819" spans="1:10" s="3" customFormat="1" x14ac:dyDescent="0.25">
      <c r="A819" s="2">
        <v>35</v>
      </c>
      <c r="B819" s="3" t="s">
        <v>23</v>
      </c>
      <c r="C819" s="3">
        <v>647</v>
      </c>
      <c r="D819" s="3">
        <v>1</v>
      </c>
      <c r="E819" s="3" t="s">
        <v>49</v>
      </c>
      <c r="F819" s="3" t="s">
        <v>50</v>
      </c>
      <c r="G819" s="3" t="str">
        <f>"2025-10-19 10:04:33.139"</f>
        <v>2025-10-19 10:04:33.139</v>
      </c>
      <c r="H819" s="3" t="s">
        <v>22</v>
      </c>
      <c r="I819" s="3">
        <v>18.690000000000001</v>
      </c>
      <c r="J819" s="3" t="s">
        <v>31</v>
      </c>
    </row>
    <row r="820" spans="1:10" x14ac:dyDescent="0.25">
      <c r="A820" s="1">
        <v>36</v>
      </c>
      <c r="B820" t="s">
        <v>25</v>
      </c>
      <c r="C820">
        <v>700</v>
      </c>
      <c r="D820">
        <v>0</v>
      </c>
      <c r="E820" t="s">
        <v>26</v>
      </c>
      <c r="F820" t="s">
        <v>26</v>
      </c>
      <c r="G820" t="str">
        <f>"2025-10-18 11:10:21.698"</f>
        <v>2025-10-18 11:10:21.698</v>
      </c>
      <c r="H820" t="s">
        <v>22</v>
      </c>
      <c r="I820">
        <v>0</v>
      </c>
      <c r="J820" t="s">
        <v>27</v>
      </c>
    </row>
    <row r="821" spans="1:10" x14ac:dyDescent="0.25">
      <c r="A821" s="1">
        <v>37</v>
      </c>
      <c r="B821" t="s">
        <v>19</v>
      </c>
      <c r="C821">
        <v>635</v>
      </c>
      <c r="D821">
        <v>1</v>
      </c>
      <c r="E821" t="s">
        <v>28</v>
      </c>
      <c r="F821" t="s">
        <v>29</v>
      </c>
      <c r="G821" t="str">
        <f>"2025-10-18 10:27:23.685"</f>
        <v>2025-10-18 10:27:23.685</v>
      </c>
      <c r="H821" t="s">
        <v>22</v>
      </c>
    </row>
    <row r="822" spans="1:10" x14ac:dyDescent="0.25">
      <c r="A822" s="1">
        <v>38</v>
      </c>
      <c r="B822" t="s">
        <v>23</v>
      </c>
      <c r="C822">
        <v>635</v>
      </c>
      <c r="D822">
        <v>1</v>
      </c>
      <c r="E822" t="s">
        <v>28</v>
      </c>
      <c r="F822" t="s">
        <v>29</v>
      </c>
      <c r="G822" t="str">
        <f>"2025-10-18 10:24:21.185"</f>
        <v>2025-10-18 10:24:21.185</v>
      </c>
      <c r="H822" t="s">
        <v>22</v>
      </c>
      <c r="I822">
        <v>5.47</v>
      </c>
      <c r="J822" t="s">
        <v>30</v>
      </c>
    </row>
    <row r="823" spans="1:10" s="3" customFormat="1" x14ac:dyDescent="0.25">
      <c r="A823" s="2">
        <v>39</v>
      </c>
      <c r="B823" s="3" t="s">
        <v>19</v>
      </c>
      <c r="C823" s="3">
        <v>647</v>
      </c>
      <c r="D823" s="3">
        <v>1</v>
      </c>
      <c r="E823" s="3" t="s">
        <v>49</v>
      </c>
      <c r="F823" s="3" t="s">
        <v>50</v>
      </c>
      <c r="G823" s="3" t="str">
        <f>"2025-10-17 22:29:19.839"</f>
        <v>2025-10-17 22:29:19.839</v>
      </c>
      <c r="H823" s="3" t="s">
        <v>22</v>
      </c>
    </row>
    <row r="824" spans="1:10" s="3" customFormat="1" x14ac:dyDescent="0.25">
      <c r="A824" s="2">
        <v>40</v>
      </c>
      <c r="B824" s="3" t="s">
        <v>23</v>
      </c>
      <c r="C824" s="3">
        <v>647</v>
      </c>
      <c r="D824" s="3">
        <v>1</v>
      </c>
      <c r="E824" s="3" t="s">
        <v>49</v>
      </c>
      <c r="F824" s="3" t="s">
        <v>50</v>
      </c>
      <c r="G824" s="3" t="str">
        <f>"2025-10-17 22:29:16.939"</f>
        <v>2025-10-17 22:29:16.939</v>
      </c>
      <c r="H824" s="3" t="s">
        <v>22</v>
      </c>
      <c r="I824" s="3">
        <v>18.45</v>
      </c>
      <c r="J824" s="3" t="s">
        <v>31</v>
      </c>
    </row>
    <row r="825" spans="1:10" s="3" customFormat="1" x14ac:dyDescent="0.25">
      <c r="A825" s="2">
        <v>41</v>
      </c>
      <c r="B825" s="3" t="s">
        <v>19</v>
      </c>
      <c r="C825" s="3">
        <v>647</v>
      </c>
      <c r="D825" s="3">
        <v>1</v>
      </c>
      <c r="E825" s="3" t="s">
        <v>49</v>
      </c>
      <c r="F825" s="3" t="s">
        <v>50</v>
      </c>
      <c r="G825" s="3" t="str">
        <f>"2025-10-16 08:53:05.639"</f>
        <v>2025-10-16 08:53:05.639</v>
      </c>
      <c r="H825" s="3" t="s">
        <v>22</v>
      </c>
    </row>
    <row r="826" spans="1:10" s="3" customFormat="1" x14ac:dyDescent="0.25">
      <c r="A826" s="2">
        <v>42</v>
      </c>
      <c r="B826" s="3" t="s">
        <v>23</v>
      </c>
      <c r="C826" s="3">
        <v>647</v>
      </c>
      <c r="D826" s="3">
        <v>1</v>
      </c>
      <c r="E826" s="3" t="s">
        <v>49</v>
      </c>
      <c r="F826" s="3" t="s">
        <v>50</v>
      </c>
      <c r="G826" s="3" t="str">
        <f>"2025-10-16 08:53:03.139"</f>
        <v>2025-10-16 08:53:03.139</v>
      </c>
      <c r="H826" s="3" t="s">
        <v>22</v>
      </c>
      <c r="I826" s="3">
        <v>22.37</v>
      </c>
      <c r="J826" s="3" t="s">
        <v>31</v>
      </c>
    </row>
    <row r="827" spans="1:10" s="3" customFormat="1" x14ac:dyDescent="0.25">
      <c r="A827" s="2">
        <v>43</v>
      </c>
      <c r="B827" s="3" t="s">
        <v>19</v>
      </c>
      <c r="C827" s="3">
        <v>647</v>
      </c>
      <c r="D827" s="3">
        <v>1</v>
      </c>
      <c r="E827" s="3" t="s">
        <v>49</v>
      </c>
      <c r="F827" s="3" t="s">
        <v>50</v>
      </c>
      <c r="G827" s="3" t="str">
        <f>"2025-10-15 23:08:37.639"</f>
        <v>2025-10-15 23:08:37.639</v>
      </c>
      <c r="H827" s="3" t="s">
        <v>22</v>
      </c>
    </row>
    <row r="828" spans="1:10" s="3" customFormat="1" x14ac:dyDescent="0.25">
      <c r="A828" s="2">
        <v>44</v>
      </c>
      <c r="B828" s="3" t="s">
        <v>23</v>
      </c>
      <c r="C828" s="3">
        <v>647</v>
      </c>
      <c r="D828" s="3">
        <v>1</v>
      </c>
      <c r="E828" s="3" t="s">
        <v>49</v>
      </c>
      <c r="F828" s="3" t="s">
        <v>50</v>
      </c>
      <c r="G828" s="3" t="str">
        <f>"2025-10-15 23:08:34.339"</f>
        <v>2025-10-15 23:08:34.339</v>
      </c>
      <c r="H828" s="3" t="s">
        <v>22</v>
      </c>
      <c r="I828" s="3">
        <v>20.440000000000001</v>
      </c>
      <c r="J828" s="3" t="s">
        <v>31</v>
      </c>
    </row>
    <row r="829" spans="1:10" s="3" customFormat="1" x14ac:dyDescent="0.25">
      <c r="A829" s="2">
        <v>45</v>
      </c>
      <c r="B829" s="3" t="s">
        <v>19</v>
      </c>
      <c r="C829" s="3">
        <v>647</v>
      </c>
      <c r="D829" s="3">
        <v>1</v>
      </c>
      <c r="E829" s="3" t="s">
        <v>49</v>
      </c>
      <c r="F829" s="3" t="s">
        <v>50</v>
      </c>
      <c r="G829" s="3" t="str">
        <f>"2025-10-14 10:58:19.139"</f>
        <v>2025-10-14 10:58:19.139</v>
      </c>
      <c r="H829" s="3" t="s">
        <v>22</v>
      </c>
    </row>
    <row r="830" spans="1:10" s="3" customFormat="1" x14ac:dyDescent="0.25">
      <c r="A830" s="2">
        <v>46</v>
      </c>
      <c r="B830" s="3" t="s">
        <v>23</v>
      </c>
      <c r="C830" s="3">
        <v>647</v>
      </c>
      <c r="D830" s="3">
        <v>1</v>
      </c>
      <c r="E830" s="3" t="s">
        <v>49</v>
      </c>
      <c r="F830" s="3" t="s">
        <v>50</v>
      </c>
      <c r="G830" s="3" t="str">
        <f>"2025-10-14 10:58:12.839"</f>
        <v>2025-10-14 10:58:12.839</v>
      </c>
      <c r="H830" s="3" t="s">
        <v>22</v>
      </c>
      <c r="I830" s="3">
        <v>23.01</v>
      </c>
      <c r="J830" s="3" t="s">
        <v>31</v>
      </c>
    </row>
    <row r="831" spans="1:10" s="3" customFormat="1" x14ac:dyDescent="0.25">
      <c r="A831" s="2">
        <v>47</v>
      </c>
      <c r="B831" s="3" t="s">
        <v>19</v>
      </c>
      <c r="C831" s="3">
        <v>647</v>
      </c>
      <c r="D831" s="3">
        <v>1</v>
      </c>
      <c r="E831" s="3" t="s">
        <v>49</v>
      </c>
      <c r="F831" s="3" t="s">
        <v>50</v>
      </c>
      <c r="G831" s="3" t="str">
        <f>"2025-10-13 20:23:40.139"</f>
        <v>2025-10-13 20:23:40.139</v>
      </c>
      <c r="H831" s="3" t="s">
        <v>22</v>
      </c>
    </row>
    <row r="832" spans="1:10" s="3" customFormat="1" x14ac:dyDescent="0.25">
      <c r="A832" s="2">
        <v>48</v>
      </c>
      <c r="B832" s="3" t="s">
        <v>23</v>
      </c>
      <c r="C832" s="3">
        <v>647</v>
      </c>
      <c r="D832" s="3">
        <v>1</v>
      </c>
      <c r="E832" s="3" t="s">
        <v>49</v>
      </c>
      <c r="F832" s="3" t="s">
        <v>50</v>
      </c>
      <c r="G832" s="3" t="str">
        <f>"2025-10-13 20:23:37.039"</f>
        <v>2025-10-13 20:23:37.039</v>
      </c>
      <c r="H832" s="3" t="s">
        <v>22</v>
      </c>
      <c r="I832" s="3">
        <v>25.01</v>
      </c>
      <c r="J832" s="3" t="s">
        <v>31</v>
      </c>
    </row>
    <row r="833" spans="1:10" x14ac:dyDescent="0.25">
      <c r="A833" s="1">
        <v>49</v>
      </c>
      <c r="B833" t="s">
        <v>25</v>
      </c>
      <c r="C833">
        <v>700</v>
      </c>
      <c r="D833">
        <v>0</v>
      </c>
      <c r="E833" t="s">
        <v>26</v>
      </c>
      <c r="F833" t="s">
        <v>26</v>
      </c>
      <c r="G833" t="str">
        <f>"2025-10-12 23:34:36.657"</f>
        <v>2025-10-12 23:34:36.657</v>
      </c>
      <c r="H833" t="s">
        <v>22</v>
      </c>
      <c r="I833">
        <v>0</v>
      </c>
      <c r="J833" t="s">
        <v>27</v>
      </c>
    </row>
    <row r="834" spans="1:10" x14ac:dyDescent="0.25">
      <c r="A834" s="1">
        <v>51</v>
      </c>
      <c r="B834" t="s">
        <v>19</v>
      </c>
      <c r="C834">
        <v>630</v>
      </c>
      <c r="D834">
        <v>5</v>
      </c>
      <c r="E834" t="s">
        <v>32</v>
      </c>
      <c r="F834" t="s">
        <v>33</v>
      </c>
      <c r="G834" t="str">
        <f>"2025-10-12 12:23:45.762"</f>
        <v>2025-10-12 12:23:45.762</v>
      </c>
      <c r="H834" t="s">
        <v>34</v>
      </c>
    </row>
    <row r="835" spans="1:10" x14ac:dyDescent="0.25">
      <c r="A835" s="1">
        <v>52</v>
      </c>
      <c r="B835" t="s">
        <v>25</v>
      </c>
      <c r="C835">
        <v>706</v>
      </c>
      <c r="D835">
        <v>2</v>
      </c>
      <c r="E835" t="s">
        <v>35</v>
      </c>
      <c r="F835" t="s">
        <v>38</v>
      </c>
      <c r="G835" t="str">
        <f>"2025-10-12 12:23:15.645"</f>
        <v>2025-10-12 12:23:15.645</v>
      </c>
      <c r="H835" t="s">
        <v>22</v>
      </c>
      <c r="I835">
        <v>0</v>
      </c>
      <c r="J835" t="s">
        <v>24</v>
      </c>
    </row>
    <row r="836" spans="1:10" x14ac:dyDescent="0.25">
      <c r="A836" s="1">
        <v>53</v>
      </c>
      <c r="B836" t="s">
        <v>37</v>
      </c>
      <c r="C836">
        <v>630</v>
      </c>
      <c r="D836">
        <v>5</v>
      </c>
      <c r="E836" t="s">
        <v>32</v>
      </c>
      <c r="F836" t="s">
        <v>33</v>
      </c>
      <c r="G836" t="str">
        <f>"2025-10-12 12:05:04.462"</f>
        <v>2025-10-12 12:05:04.462</v>
      </c>
      <c r="H836" t="s">
        <v>34</v>
      </c>
      <c r="I836">
        <v>0</v>
      </c>
      <c r="J836" t="s">
        <v>24</v>
      </c>
    </row>
    <row r="837" spans="1:10" x14ac:dyDescent="0.25">
      <c r="A837" s="1">
        <v>54</v>
      </c>
      <c r="B837" t="s">
        <v>19</v>
      </c>
      <c r="C837">
        <v>630</v>
      </c>
      <c r="D837">
        <v>5</v>
      </c>
      <c r="E837" t="s">
        <v>32</v>
      </c>
      <c r="F837" t="s">
        <v>33</v>
      </c>
      <c r="G837" t="str">
        <f>"2025-10-12 11:56:47.362"</f>
        <v>2025-10-12 11:56:47.362</v>
      </c>
      <c r="H837" t="s">
        <v>34</v>
      </c>
    </row>
    <row r="838" spans="1:10" x14ac:dyDescent="0.25">
      <c r="A838" s="1">
        <v>55</v>
      </c>
      <c r="B838" t="s">
        <v>25</v>
      </c>
      <c r="C838">
        <v>706</v>
      </c>
      <c r="D838">
        <v>2</v>
      </c>
      <c r="E838" t="s">
        <v>35</v>
      </c>
      <c r="F838" t="s">
        <v>38</v>
      </c>
      <c r="G838" t="str">
        <f>"2025-10-12 11:56:17.245"</f>
        <v>2025-10-12 11:56:17.245</v>
      </c>
      <c r="H838" t="s">
        <v>22</v>
      </c>
      <c r="I838">
        <v>0</v>
      </c>
      <c r="J838" t="s">
        <v>24</v>
      </c>
    </row>
    <row r="839" spans="1:10" x14ac:dyDescent="0.25">
      <c r="A839" s="1">
        <v>56</v>
      </c>
      <c r="B839" t="s">
        <v>25</v>
      </c>
      <c r="C839">
        <v>706</v>
      </c>
      <c r="D839">
        <v>2</v>
      </c>
      <c r="E839" t="s">
        <v>35</v>
      </c>
      <c r="F839" t="s">
        <v>38</v>
      </c>
      <c r="G839" t="str">
        <f>"2025-10-12 11:54:26.845"</f>
        <v>2025-10-12 11:54:26.845</v>
      </c>
      <c r="H839" t="s">
        <v>22</v>
      </c>
      <c r="I839">
        <v>0</v>
      </c>
      <c r="J839" t="s">
        <v>24</v>
      </c>
    </row>
    <row r="840" spans="1:10" x14ac:dyDescent="0.25">
      <c r="A840" s="1">
        <v>57</v>
      </c>
      <c r="B840" t="s">
        <v>25</v>
      </c>
      <c r="C840">
        <v>706</v>
      </c>
      <c r="D840">
        <v>4</v>
      </c>
      <c r="E840" t="s">
        <v>35</v>
      </c>
      <c r="F840" t="s">
        <v>36</v>
      </c>
      <c r="G840" t="str">
        <f>"2025-10-12 11:48:32.835"</f>
        <v>2025-10-12 11:48:32.835</v>
      </c>
      <c r="H840" t="s">
        <v>22</v>
      </c>
      <c r="I840">
        <v>0</v>
      </c>
      <c r="J840" t="s">
        <v>24</v>
      </c>
    </row>
    <row r="841" spans="1:10" x14ac:dyDescent="0.25">
      <c r="A841" s="1">
        <v>58</v>
      </c>
      <c r="B841" t="s">
        <v>25</v>
      </c>
      <c r="C841">
        <v>719</v>
      </c>
      <c r="D841">
        <v>5</v>
      </c>
      <c r="E841" t="s">
        <v>66</v>
      </c>
      <c r="F841" t="s">
        <v>67</v>
      </c>
      <c r="G841" t="str">
        <f>"2025-10-12 11:47:00.968"</f>
        <v>2025-10-12 11:47:00.968</v>
      </c>
      <c r="H841" t="s">
        <v>22</v>
      </c>
      <c r="I841">
        <v>0</v>
      </c>
      <c r="J841" t="s">
        <v>24</v>
      </c>
    </row>
    <row r="842" spans="1:10" x14ac:dyDescent="0.25">
      <c r="A842" s="1">
        <v>59</v>
      </c>
      <c r="B842" t="s">
        <v>37</v>
      </c>
      <c r="C842">
        <v>630</v>
      </c>
      <c r="D842">
        <v>5</v>
      </c>
      <c r="E842" t="s">
        <v>32</v>
      </c>
      <c r="F842" t="s">
        <v>33</v>
      </c>
      <c r="G842" t="str">
        <f>"2025-10-12 11:44:32.563"</f>
        <v>2025-10-12 11:44:32.563</v>
      </c>
      <c r="H842" t="s">
        <v>34</v>
      </c>
      <c r="I842">
        <v>0</v>
      </c>
      <c r="J842" t="s">
        <v>24</v>
      </c>
    </row>
    <row r="843" spans="1:10" x14ac:dyDescent="0.25">
      <c r="A843" s="1">
        <v>60</v>
      </c>
      <c r="B843" t="s">
        <v>25</v>
      </c>
      <c r="C843">
        <v>700</v>
      </c>
      <c r="D843">
        <v>0</v>
      </c>
      <c r="E843" t="s">
        <v>26</v>
      </c>
      <c r="F843" t="s">
        <v>26</v>
      </c>
      <c r="G843" t="str">
        <f>"2025-10-12 11:39:29.875"</f>
        <v>2025-10-12 11:39:29.875</v>
      </c>
      <c r="H843" t="s">
        <v>22</v>
      </c>
    </row>
    <row r="844" spans="1:10" x14ac:dyDescent="0.25">
      <c r="A844" s="1">
        <v>61</v>
      </c>
      <c r="B844" t="s">
        <v>25</v>
      </c>
      <c r="C844">
        <v>706</v>
      </c>
      <c r="D844">
        <v>2</v>
      </c>
      <c r="E844" t="s">
        <v>35</v>
      </c>
      <c r="F844" t="s">
        <v>38</v>
      </c>
      <c r="G844" t="str">
        <f>"2025-10-12 09:25:06.014"</f>
        <v>2025-10-12 09:25:06.014</v>
      </c>
      <c r="H844" t="s">
        <v>22</v>
      </c>
      <c r="I844">
        <v>0</v>
      </c>
      <c r="J844" t="s">
        <v>24</v>
      </c>
    </row>
    <row r="845" spans="1:10" s="3" customFormat="1" x14ac:dyDescent="0.25">
      <c r="A845" s="2">
        <v>62</v>
      </c>
      <c r="B845" s="3" t="s">
        <v>19</v>
      </c>
      <c r="C845" s="3">
        <v>647</v>
      </c>
      <c r="D845" s="3">
        <v>1</v>
      </c>
      <c r="E845" s="3" t="s">
        <v>49</v>
      </c>
      <c r="F845" s="3" t="s">
        <v>50</v>
      </c>
      <c r="G845" s="3" t="str">
        <f>"2025-10-11 01:51:07.192"</f>
        <v>2025-10-11 01:51:07.192</v>
      </c>
      <c r="H845" s="3" t="s">
        <v>22</v>
      </c>
    </row>
    <row r="846" spans="1:10" s="3" customFormat="1" x14ac:dyDescent="0.25">
      <c r="A846" s="2">
        <v>63</v>
      </c>
      <c r="B846" s="3" t="s">
        <v>23</v>
      </c>
      <c r="C846" s="3">
        <v>647</v>
      </c>
      <c r="D846" s="3">
        <v>1</v>
      </c>
      <c r="E846" s="3" t="s">
        <v>49</v>
      </c>
      <c r="F846" s="3" t="s">
        <v>50</v>
      </c>
      <c r="G846" s="3" t="str">
        <f>"2025-10-11 01:51:05.092"</f>
        <v>2025-10-11 01:51:05.092</v>
      </c>
      <c r="H846" s="3" t="s">
        <v>22</v>
      </c>
      <c r="I846" s="3">
        <v>14.62</v>
      </c>
      <c r="J846" s="3" t="s">
        <v>31</v>
      </c>
    </row>
    <row r="847" spans="1:10" x14ac:dyDescent="0.25">
      <c r="A847" s="1">
        <v>64</v>
      </c>
      <c r="B847" t="s">
        <v>19</v>
      </c>
      <c r="C847">
        <v>635</v>
      </c>
      <c r="D847">
        <v>1</v>
      </c>
      <c r="E847" t="s">
        <v>28</v>
      </c>
      <c r="F847" t="s">
        <v>29</v>
      </c>
      <c r="G847" t="str">
        <f>"2025-10-10 12:19:28.144"</f>
        <v>2025-10-10 12:19:28.144</v>
      </c>
      <c r="H847" t="s">
        <v>22</v>
      </c>
    </row>
    <row r="848" spans="1:10" x14ac:dyDescent="0.25">
      <c r="A848" s="1">
        <v>65</v>
      </c>
      <c r="B848" t="s">
        <v>23</v>
      </c>
      <c r="C848">
        <v>635</v>
      </c>
      <c r="D848">
        <v>1</v>
      </c>
      <c r="E848" t="s">
        <v>28</v>
      </c>
      <c r="F848" t="s">
        <v>29</v>
      </c>
      <c r="G848" t="str">
        <f>"2025-10-10 12:00:51.644"</f>
        <v>2025-10-10 12:00:51.644</v>
      </c>
      <c r="H848" t="s">
        <v>22</v>
      </c>
      <c r="I848">
        <v>8.23</v>
      </c>
      <c r="J848" t="s">
        <v>30</v>
      </c>
    </row>
    <row r="849" spans="1:10" x14ac:dyDescent="0.25">
      <c r="A849" s="1">
        <v>66</v>
      </c>
      <c r="B849" t="s">
        <v>25</v>
      </c>
      <c r="C849">
        <v>700</v>
      </c>
      <c r="D849">
        <v>0</v>
      </c>
      <c r="E849" t="s">
        <v>26</v>
      </c>
      <c r="F849" t="s">
        <v>26</v>
      </c>
      <c r="G849" t="str">
        <f>"2025-10-10 09:18:18.644"</f>
        <v>2025-10-10 09:18:18.644</v>
      </c>
      <c r="H849" t="s">
        <v>22</v>
      </c>
    </row>
    <row r="850" spans="1:10" s="3" customFormat="1" x14ac:dyDescent="0.25">
      <c r="A850" s="2">
        <v>67</v>
      </c>
      <c r="B850" s="3" t="s">
        <v>19</v>
      </c>
      <c r="C850" s="3">
        <v>647</v>
      </c>
      <c r="D850" s="3">
        <v>1</v>
      </c>
      <c r="E850" s="3" t="s">
        <v>49</v>
      </c>
      <c r="F850" s="3" t="s">
        <v>50</v>
      </c>
      <c r="G850" s="3" t="str">
        <f>"2025-10-08 13:08:27.624"</f>
        <v>2025-10-08 13:08:27.624</v>
      </c>
      <c r="H850" s="3" t="s">
        <v>22</v>
      </c>
    </row>
    <row r="851" spans="1:10" s="3" customFormat="1" x14ac:dyDescent="0.25">
      <c r="A851" s="2">
        <v>68</v>
      </c>
      <c r="B851" s="3" t="s">
        <v>23</v>
      </c>
      <c r="C851" s="3">
        <v>647</v>
      </c>
      <c r="D851" s="3">
        <v>1</v>
      </c>
      <c r="E851" s="3" t="s">
        <v>49</v>
      </c>
      <c r="F851" s="3" t="s">
        <v>50</v>
      </c>
      <c r="G851" s="3" t="str">
        <f>"2025-10-08 13:08:26.124"</f>
        <v>2025-10-08 13:08:26.124</v>
      </c>
      <c r="H851" s="3" t="s">
        <v>22</v>
      </c>
      <c r="I851" s="3">
        <v>25.92</v>
      </c>
      <c r="J851" s="3" t="s">
        <v>31</v>
      </c>
    </row>
    <row r="852" spans="1:10" x14ac:dyDescent="0.25">
      <c r="A852" s="1">
        <v>69</v>
      </c>
      <c r="B852" t="s">
        <v>19</v>
      </c>
      <c r="C852">
        <v>98</v>
      </c>
      <c r="D852">
        <v>1</v>
      </c>
      <c r="E852" t="s">
        <v>46</v>
      </c>
      <c r="F852" t="s">
        <v>47</v>
      </c>
      <c r="G852" t="str">
        <f>"2025-10-07 17:21:53.623"</f>
        <v>2025-10-07 17:21:53.623</v>
      </c>
      <c r="H852" t="s">
        <v>22</v>
      </c>
    </row>
    <row r="853" spans="1:10" x14ac:dyDescent="0.25">
      <c r="A853" s="1">
        <v>70</v>
      </c>
      <c r="B853" t="s">
        <v>23</v>
      </c>
      <c r="C853">
        <v>98</v>
      </c>
      <c r="D853">
        <v>1</v>
      </c>
      <c r="E853" t="s">
        <v>46</v>
      </c>
      <c r="F853" t="s">
        <v>47</v>
      </c>
      <c r="G853" t="str">
        <f>"2025-10-07 17:21:52.424"</f>
        <v>2025-10-07 17:21:52.424</v>
      </c>
      <c r="H853" t="s">
        <v>22</v>
      </c>
      <c r="I853">
        <v>6.83</v>
      </c>
      <c r="J853" t="s">
        <v>30</v>
      </c>
    </row>
    <row r="854" spans="1:10" x14ac:dyDescent="0.25">
      <c r="A854" s="1">
        <v>71</v>
      </c>
      <c r="B854" t="s">
        <v>25</v>
      </c>
      <c r="C854">
        <v>700</v>
      </c>
      <c r="D854">
        <v>0</v>
      </c>
      <c r="E854" t="s">
        <v>26</v>
      </c>
      <c r="F854" t="s">
        <v>26</v>
      </c>
      <c r="G854" t="str">
        <f>"2025-10-07 16:11:49.663"</f>
        <v>2025-10-07 16:11:49.663</v>
      </c>
      <c r="H854" t="s">
        <v>22</v>
      </c>
    </row>
    <row r="855" spans="1:10" x14ac:dyDescent="0.25">
      <c r="A855" s="1">
        <v>72</v>
      </c>
      <c r="B855" t="s">
        <v>25</v>
      </c>
      <c r="C855">
        <v>700</v>
      </c>
      <c r="D855">
        <v>0</v>
      </c>
      <c r="E855" t="s">
        <v>26</v>
      </c>
      <c r="F855" t="s">
        <v>26</v>
      </c>
      <c r="G855" t="str">
        <f>"2025-10-06 21:12:27.654"</f>
        <v>2025-10-06 21:12:27.654</v>
      </c>
      <c r="H855" t="s">
        <v>22</v>
      </c>
    </row>
    <row r="856" spans="1:10" x14ac:dyDescent="0.25">
      <c r="A856" s="1">
        <v>73</v>
      </c>
      <c r="B856" t="s">
        <v>25</v>
      </c>
      <c r="C856">
        <v>700</v>
      </c>
      <c r="D856">
        <v>0</v>
      </c>
      <c r="E856" t="s">
        <v>26</v>
      </c>
      <c r="F856" t="s">
        <v>26</v>
      </c>
      <c r="G856" t="str">
        <f>"2025-10-06 11:04:44.671"</f>
        <v>2025-10-06 11:04:44.671</v>
      </c>
      <c r="H856" t="s">
        <v>22</v>
      </c>
      <c r="I856">
        <v>0</v>
      </c>
      <c r="J856" t="s">
        <v>27</v>
      </c>
    </row>
    <row r="857" spans="1:10" x14ac:dyDescent="0.25">
      <c r="A857" s="1">
        <v>74</v>
      </c>
      <c r="B857" t="s">
        <v>19</v>
      </c>
      <c r="C857">
        <v>635</v>
      </c>
      <c r="D857">
        <v>1</v>
      </c>
      <c r="E857" t="s">
        <v>28</v>
      </c>
      <c r="F857" t="s">
        <v>29</v>
      </c>
      <c r="G857" t="str">
        <f>"2025-10-05 18:33:56.143"</f>
        <v>2025-10-05 18:33:56.143</v>
      </c>
      <c r="H857" t="s">
        <v>22</v>
      </c>
    </row>
    <row r="858" spans="1:10" x14ac:dyDescent="0.25">
      <c r="A858" s="1">
        <v>75</v>
      </c>
      <c r="B858" t="s">
        <v>23</v>
      </c>
      <c r="C858">
        <v>635</v>
      </c>
      <c r="D858">
        <v>1</v>
      </c>
      <c r="E858" t="s">
        <v>28</v>
      </c>
      <c r="F858" t="s">
        <v>29</v>
      </c>
      <c r="G858" t="str">
        <f>"2025-10-05 18:06:06.743"</f>
        <v>2025-10-05 18:06:06.743</v>
      </c>
      <c r="H858" t="s">
        <v>22</v>
      </c>
      <c r="I858">
        <v>5.87</v>
      </c>
      <c r="J858" t="s">
        <v>30</v>
      </c>
    </row>
    <row r="859" spans="1:10" s="3" customFormat="1" x14ac:dyDescent="0.25">
      <c r="A859" s="2">
        <v>76</v>
      </c>
      <c r="B859" s="3" t="s">
        <v>19</v>
      </c>
      <c r="C859" s="3">
        <v>647</v>
      </c>
      <c r="D859" s="3">
        <v>1</v>
      </c>
      <c r="E859" s="3" t="s">
        <v>49</v>
      </c>
      <c r="F859" s="3" t="s">
        <v>50</v>
      </c>
      <c r="G859" s="3" t="str">
        <f>"2025-10-05 10:44:15.597"</f>
        <v>2025-10-05 10:44:15.597</v>
      </c>
      <c r="H859" s="3" t="s">
        <v>22</v>
      </c>
    </row>
    <row r="860" spans="1:10" s="3" customFormat="1" x14ac:dyDescent="0.25">
      <c r="A860" s="2">
        <v>77</v>
      </c>
      <c r="B860" s="3" t="s">
        <v>23</v>
      </c>
      <c r="C860" s="3">
        <v>647</v>
      </c>
      <c r="D860" s="3">
        <v>1</v>
      </c>
      <c r="E860" s="3" t="s">
        <v>49</v>
      </c>
      <c r="F860" s="3" t="s">
        <v>50</v>
      </c>
      <c r="G860" s="3" t="str">
        <f>"2025-10-05 10:44:11.097"</f>
        <v>2025-10-05 10:44:11.097</v>
      </c>
      <c r="H860" s="3" t="s">
        <v>22</v>
      </c>
      <c r="I860" s="3">
        <v>13.41</v>
      </c>
      <c r="J860" s="3" t="s">
        <v>31</v>
      </c>
    </row>
    <row r="861" spans="1:10" x14ac:dyDescent="0.25">
      <c r="A861" s="1">
        <v>78</v>
      </c>
      <c r="B861" t="s">
        <v>19</v>
      </c>
      <c r="C861">
        <v>98</v>
      </c>
      <c r="D861">
        <v>1</v>
      </c>
      <c r="E861" t="s">
        <v>46</v>
      </c>
      <c r="F861" t="s">
        <v>47</v>
      </c>
      <c r="G861" t="str">
        <f>"2025-10-05 00:13:03.196"</f>
        <v>2025-10-05 00:13:03.196</v>
      </c>
      <c r="H861" t="s">
        <v>22</v>
      </c>
    </row>
    <row r="862" spans="1:10" x14ac:dyDescent="0.25">
      <c r="A862" s="1">
        <v>79</v>
      </c>
      <c r="B862" t="s">
        <v>23</v>
      </c>
      <c r="C862">
        <v>98</v>
      </c>
      <c r="D862">
        <v>1</v>
      </c>
      <c r="E862" t="s">
        <v>46</v>
      </c>
      <c r="F862" t="s">
        <v>47</v>
      </c>
      <c r="G862" t="str">
        <f>"2025-10-05 00:13:02.196"</f>
        <v>2025-10-05 00:13:02.196</v>
      </c>
      <c r="H862" t="s">
        <v>22</v>
      </c>
      <c r="I862">
        <v>0</v>
      </c>
      <c r="J862" t="s">
        <v>48</v>
      </c>
    </row>
    <row r="863" spans="1:10" x14ac:dyDescent="0.25">
      <c r="A863" s="1">
        <v>80</v>
      </c>
      <c r="B863" t="s">
        <v>19</v>
      </c>
      <c r="C863">
        <v>98</v>
      </c>
      <c r="D863">
        <v>1</v>
      </c>
      <c r="E863" t="s">
        <v>46</v>
      </c>
      <c r="F863" t="s">
        <v>47</v>
      </c>
      <c r="G863" t="str">
        <f>"2025-10-04 19:47:03.796"</f>
        <v>2025-10-04 19:47:03.796</v>
      </c>
      <c r="H863" t="s">
        <v>22</v>
      </c>
    </row>
    <row r="864" spans="1:10" x14ac:dyDescent="0.25">
      <c r="A864" s="1">
        <v>81</v>
      </c>
      <c r="B864" t="s">
        <v>23</v>
      </c>
      <c r="C864">
        <v>98</v>
      </c>
      <c r="D864">
        <v>1</v>
      </c>
      <c r="E864" t="s">
        <v>46</v>
      </c>
      <c r="F864" t="s">
        <v>47</v>
      </c>
      <c r="G864" t="str">
        <f>"2025-10-04 19:47:02.797"</f>
        <v>2025-10-04 19:47:02.797</v>
      </c>
      <c r="H864" t="s">
        <v>22</v>
      </c>
      <c r="I864">
        <v>0</v>
      </c>
      <c r="J864" t="s">
        <v>48</v>
      </c>
    </row>
    <row r="865" spans="1:10" x14ac:dyDescent="0.25">
      <c r="A865" s="1">
        <v>82</v>
      </c>
      <c r="B865" t="s">
        <v>25</v>
      </c>
      <c r="C865">
        <v>706</v>
      </c>
      <c r="D865">
        <v>4</v>
      </c>
      <c r="E865" t="s">
        <v>35</v>
      </c>
      <c r="F865" t="s">
        <v>36</v>
      </c>
      <c r="G865" t="str">
        <f>"2025-10-04 09:53:48.444"</f>
        <v>2025-10-04 09:53:48.444</v>
      </c>
      <c r="H865" t="s">
        <v>22</v>
      </c>
      <c r="I865">
        <v>0</v>
      </c>
      <c r="J865" t="s">
        <v>24</v>
      </c>
    </row>
    <row r="866" spans="1:10" x14ac:dyDescent="0.25">
      <c r="A866" s="1">
        <v>83</v>
      </c>
      <c r="B866" t="s">
        <v>25</v>
      </c>
      <c r="C866">
        <v>700</v>
      </c>
      <c r="D866">
        <v>0</v>
      </c>
      <c r="E866" t="s">
        <v>26</v>
      </c>
      <c r="F866" t="s">
        <v>26</v>
      </c>
      <c r="G866" t="str">
        <f>"2025-10-04 09:53:17.834"</f>
        <v>2025-10-04 09:53:17.834</v>
      </c>
      <c r="H866" t="s">
        <v>22</v>
      </c>
    </row>
    <row r="867" spans="1:10" x14ac:dyDescent="0.25">
      <c r="A867" s="1">
        <v>84</v>
      </c>
      <c r="B867" t="s">
        <v>25</v>
      </c>
      <c r="C867">
        <v>700</v>
      </c>
      <c r="D867">
        <v>0</v>
      </c>
      <c r="E867" t="s">
        <v>26</v>
      </c>
      <c r="F867" t="s">
        <v>26</v>
      </c>
      <c r="G867" t="str">
        <f>"2025-10-04 06:13:20.633"</f>
        <v>2025-10-04 06:13:20.633</v>
      </c>
      <c r="H867" t="s">
        <v>22</v>
      </c>
      <c r="I867">
        <v>0</v>
      </c>
      <c r="J867" t="s">
        <v>27</v>
      </c>
    </row>
    <row r="868" spans="1:10" x14ac:dyDescent="0.25">
      <c r="A868" s="1">
        <v>85</v>
      </c>
      <c r="B868" t="s">
        <v>25</v>
      </c>
      <c r="C868">
        <v>706</v>
      </c>
      <c r="D868">
        <v>2</v>
      </c>
      <c r="E868" t="s">
        <v>35</v>
      </c>
      <c r="F868" t="s">
        <v>38</v>
      </c>
      <c r="G868" t="str">
        <f>"2025-10-04 01:10:08.529"</f>
        <v>2025-10-04 01:10:08.529</v>
      </c>
      <c r="H868" t="s">
        <v>22</v>
      </c>
      <c r="I868">
        <v>0</v>
      </c>
      <c r="J868" t="s">
        <v>24</v>
      </c>
    </row>
    <row r="869" spans="1:10" x14ac:dyDescent="0.25">
      <c r="A869" s="1">
        <v>86</v>
      </c>
      <c r="B869" t="s">
        <v>25</v>
      </c>
      <c r="C869">
        <v>700</v>
      </c>
      <c r="D869">
        <v>0</v>
      </c>
      <c r="E869" t="s">
        <v>26</v>
      </c>
      <c r="F869" t="s">
        <v>26</v>
      </c>
      <c r="G869" t="str">
        <f>"2025-10-04 01:09:39.639"</f>
        <v>2025-10-04 01:09:39.639</v>
      </c>
      <c r="H869" t="s">
        <v>22</v>
      </c>
      <c r="I869">
        <v>0</v>
      </c>
      <c r="J869" t="s">
        <v>27</v>
      </c>
    </row>
    <row r="870" spans="1:10" x14ac:dyDescent="0.25">
      <c r="A870" s="1">
        <v>87</v>
      </c>
      <c r="B870" t="s">
        <v>19</v>
      </c>
      <c r="C870">
        <v>635</v>
      </c>
      <c r="D870">
        <v>1</v>
      </c>
      <c r="E870" t="s">
        <v>28</v>
      </c>
      <c r="F870" t="s">
        <v>29</v>
      </c>
      <c r="G870" t="str">
        <f>"2025-10-02 15:02:46.663"</f>
        <v>2025-10-02 15:02:46.663</v>
      </c>
      <c r="H870" t="s">
        <v>22</v>
      </c>
    </row>
    <row r="871" spans="1:10" x14ac:dyDescent="0.25">
      <c r="A871" s="1">
        <v>88</v>
      </c>
      <c r="B871" t="s">
        <v>23</v>
      </c>
      <c r="C871">
        <v>635</v>
      </c>
      <c r="D871">
        <v>1</v>
      </c>
      <c r="E871" t="s">
        <v>28</v>
      </c>
      <c r="F871" t="s">
        <v>29</v>
      </c>
      <c r="G871" t="str">
        <f>"2025-10-02 14:59:16.663"</f>
        <v>2025-10-02 14:59:16.663</v>
      </c>
      <c r="H871" t="s">
        <v>22</v>
      </c>
      <c r="I871">
        <v>7.62</v>
      </c>
      <c r="J871" t="s">
        <v>30</v>
      </c>
    </row>
    <row r="872" spans="1:10" s="3" customFormat="1" x14ac:dyDescent="0.25">
      <c r="A872" s="2">
        <v>89</v>
      </c>
      <c r="B872" s="3" t="s">
        <v>19</v>
      </c>
      <c r="C872" s="3">
        <v>647</v>
      </c>
      <c r="D872" s="3">
        <v>1</v>
      </c>
      <c r="E872" s="3" t="s">
        <v>49</v>
      </c>
      <c r="F872" s="3" t="s">
        <v>50</v>
      </c>
      <c r="G872" s="3" t="str">
        <f>"2025-10-01 13:19:44.664"</f>
        <v>2025-10-01 13:19:44.664</v>
      </c>
      <c r="H872" s="3" t="s">
        <v>22</v>
      </c>
    </row>
    <row r="873" spans="1:10" s="3" customFormat="1" x14ac:dyDescent="0.25">
      <c r="A873" s="2">
        <v>90</v>
      </c>
      <c r="B873" s="3" t="s">
        <v>23</v>
      </c>
      <c r="C873" s="3">
        <v>647</v>
      </c>
      <c r="D873" s="3">
        <v>1</v>
      </c>
      <c r="E873" s="3" t="s">
        <v>49</v>
      </c>
      <c r="F873" s="3" t="s">
        <v>50</v>
      </c>
      <c r="G873" s="3" t="str">
        <f>"2025-10-01 13:19:43.364"</f>
        <v>2025-10-01 13:19:43.364</v>
      </c>
      <c r="H873" s="3" t="s">
        <v>22</v>
      </c>
      <c r="I873" s="3">
        <v>10.23</v>
      </c>
      <c r="J873" s="3" t="s">
        <v>48</v>
      </c>
    </row>
    <row r="874" spans="1:10" x14ac:dyDescent="0.25">
      <c r="A874" s="1">
        <v>91</v>
      </c>
      <c r="B874" t="s">
        <v>19</v>
      </c>
      <c r="C874">
        <v>630</v>
      </c>
      <c r="D874">
        <v>5</v>
      </c>
      <c r="E874" t="s">
        <v>32</v>
      </c>
      <c r="F874" t="s">
        <v>33</v>
      </c>
      <c r="G874" t="str">
        <f>"2025-10-01 11:32:09.963"</f>
        <v>2025-10-01 11:32:09.963</v>
      </c>
      <c r="H874" t="s">
        <v>34</v>
      </c>
    </row>
    <row r="875" spans="1:10" x14ac:dyDescent="0.25">
      <c r="A875" s="1">
        <v>92</v>
      </c>
      <c r="B875" t="s">
        <v>25</v>
      </c>
      <c r="C875">
        <v>706</v>
      </c>
      <c r="D875">
        <v>4</v>
      </c>
      <c r="E875" t="s">
        <v>35</v>
      </c>
      <c r="F875" t="s">
        <v>36</v>
      </c>
      <c r="G875" t="str">
        <f>"2025-10-01 11:31:39.816"</f>
        <v>2025-10-01 11:31:39.816</v>
      </c>
      <c r="H875" t="s">
        <v>22</v>
      </c>
      <c r="I875">
        <v>0</v>
      </c>
      <c r="J875" t="s">
        <v>24</v>
      </c>
    </row>
    <row r="876" spans="1:10" x14ac:dyDescent="0.25">
      <c r="A876" s="1">
        <v>93</v>
      </c>
      <c r="B876" t="s">
        <v>37</v>
      </c>
      <c r="C876">
        <v>630</v>
      </c>
      <c r="D876">
        <v>5</v>
      </c>
      <c r="E876" t="s">
        <v>32</v>
      </c>
      <c r="F876" t="s">
        <v>33</v>
      </c>
      <c r="G876" t="str">
        <f>"2025-10-01 11:15:26.264"</f>
        <v>2025-10-01 11:15:26.264</v>
      </c>
      <c r="H876" t="s">
        <v>34</v>
      </c>
      <c r="I876">
        <v>0</v>
      </c>
      <c r="J876" t="s">
        <v>24</v>
      </c>
    </row>
    <row r="877" spans="1:10" x14ac:dyDescent="0.25">
      <c r="A877" s="1">
        <v>94</v>
      </c>
      <c r="B877" t="s">
        <v>25</v>
      </c>
      <c r="C877">
        <v>700</v>
      </c>
      <c r="D877">
        <v>0</v>
      </c>
      <c r="E877" t="s">
        <v>26</v>
      </c>
      <c r="F877" t="s">
        <v>26</v>
      </c>
      <c r="G877" t="str">
        <f>"2025-10-01 11:10:23.616"</f>
        <v>2025-10-01 11:10:23.616</v>
      </c>
      <c r="H877" t="s">
        <v>22</v>
      </c>
      <c r="I877">
        <v>0</v>
      </c>
      <c r="J877" t="s">
        <v>27</v>
      </c>
    </row>
    <row r="878" spans="1:10" x14ac:dyDescent="0.25">
      <c r="A878" s="1">
        <v>95</v>
      </c>
      <c r="B878" t="s">
        <v>25</v>
      </c>
      <c r="C878">
        <v>700</v>
      </c>
      <c r="D878">
        <v>0</v>
      </c>
      <c r="E878" t="s">
        <v>26</v>
      </c>
      <c r="F878" t="s">
        <v>26</v>
      </c>
      <c r="G878" t="str">
        <f>"2025-10-01 11:08:43.615"</f>
        <v>2025-10-01 11:08:43.615</v>
      </c>
      <c r="H878" t="s">
        <v>22</v>
      </c>
      <c r="I878">
        <v>0</v>
      </c>
      <c r="J878" t="s">
        <v>27</v>
      </c>
    </row>
    <row r="879" spans="1:10" x14ac:dyDescent="0.25">
      <c r="A879" s="1">
        <v>96</v>
      </c>
      <c r="B879" t="s">
        <v>25</v>
      </c>
      <c r="C879">
        <v>700</v>
      </c>
      <c r="D879">
        <v>0</v>
      </c>
      <c r="E879" t="s">
        <v>26</v>
      </c>
      <c r="F879" t="s">
        <v>26</v>
      </c>
      <c r="G879" t="str">
        <f>"2025-10-01 11:03:37.667"</f>
        <v>2025-10-01 11:03:37.667</v>
      </c>
      <c r="H879" t="s">
        <v>22</v>
      </c>
    </row>
    <row r="880" spans="1:10" x14ac:dyDescent="0.25">
      <c r="A880" s="1">
        <v>97</v>
      </c>
      <c r="B880" t="s">
        <v>25</v>
      </c>
      <c r="C880">
        <v>700</v>
      </c>
      <c r="D880">
        <v>0</v>
      </c>
      <c r="E880" t="s">
        <v>26</v>
      </c>
      <c r="F880" t="s">
        <v>26</v>
      </c>
      <c r="G880" t="str">
        <f>"2025-10-01 10:57:25.627"</f>
        <v>2025-10-01 10:57:25.627</v>
      </c>
      <c r="H880" t="s">
        <v>22</v>
      </c>
      <c r="I880">
        <v>0</v>
      </c>
      <c r="J880" t="s">
        <v>27</v>
      </c>
    </row>
    <row r="881" spans="1:10" x14ac:dyDescent="0.25">
      <c r="A881" s="1">
        <v>98</v>
      </c>
      <c r="B881" t="s">
        <v>25</v>
      </c>
      <c r="C881">
        <v>700</v>
      </c>
      <c r="D881">
        <v>0</v>
      </c>
      <c r="E881" t="s">
        <v>26</v>
      </c>
      <c r="F881" t="s">
        <v>26</v>
      </c>
      <c r="G881" t="str">
        <f>"2025-10-01 10:53:15.633"</f>
        <v>2025-10-01 10:53:15.633</v>
      </c>
      <c r="H881" t="s">
        <v>22</v>
      </c>
    </row>
    <row r="882" spans="1:10" x14ac:dyDescent="0.25">
      <c r="A882" s="1">
        <v>99</v>
      </c>
      <c r="B882" t="s">
        <v>37</v>
      </c>
      <c r="C882">
        <v>630</v>
      </c>
      <c r="D882">
        <v>5</v>
      </c>
      <c r="E882" t="s">
        <v>32</v>
      </c>
      <c r="F882" t="s">
        <v>33</v>
      </c>
      <c r="G882" t="str">
        <f>"2025-10-01 10:38:56.338"</f>
        <v>2025-10-01 10:38:56.338</v>
      </c>
      <c r="H882" t="s">
        <v>34</v>
      </c>
      <c r="I882">
        <v>0</v>
      </c>
      <c r="J882" t="s">
        <v>24</v>
      </c>
    </row>
    <row r="883" spans="1:10" x14ac:dyDescent="0.25">
      <c r="A883" s="1">
        <v>0</v>
      </c>
      <c r="B883" t="s">
        <v>25</v>
      </c>
      <c r="C883">
        <v>700</v>
      </c>
      <c r="D883">
        <v>0</v>
      </c>
      <c r="E883" t="s">
        <v>26</v>
      </c>
      <c r="F883" t="s">
        <v>26</v>
      </c>
      <c r="G883" t="str">
        <f>"2025-10-01 10:33:53.620"</f>
        <v>2025-10-01 10:33:53.620</v>
      </c>
      <c r="H883" t="s">
        <v>22</v>
      </c>
      <c r="I883">
        <v>0</v>
      </c>
      <c r="J883" t="s">
        <v>27</v>
      </c>
    </row>
    <row r="884" spans="1:10" x14ac:dyDescent="0.25">
      <c r="A884" s="1">
        <v>1</v>
      </c>
      <c r="B884" t="s">
        <v>37</v>
      </c>
      <c r="C884">
        <v>630</v>
      </c>
      <c r="D884">
        <v>5</v>
      </c>
      <c r="E884" t="s">
        <v>32</v>
      </c>
      <c r="F884" t="s">
        <v>33</v>
      </c>
      <c r="G884" t="str">
        <f>"2025-10-01 09:41:39.395"</f>
        <v>2025-10-01 09:41:39.395</v>
      </c>
      <c r="H884" t="s">
        <v>34</v>
      </c>
      <c r="I884">
        <v>0</v>
      </c>
      <c r="J884" t="s">
        <v>24</v>
      </c>
    </row>
    <row r="885" spans="1:10" x14ac:dyDescent="0.25">
      <c r="A885" s="1">
        <v>2</v>
      </c>
      <c r="B885" t="s">
        <v>25</v>
      </c>
      <c r="C885">
        <v>700</v>
      </c>
      <c r="D885">
        <v>0</v>
      </c>
      <c r="E885" t="s">
        <v>26</v>
      </c>
      <c r="F885" t="s">
        <v>26</v>
      </c>
      <c r="G885" t="str">
        <f>"2025-10-01 09:36:36.614"</f>
        <v>2025-10-01 09:36:36.614</v>
      </c>
      <c r="H885" t="s">
        <v>22</v>
      </c>
    </row>
    <row r="886" spans="1:10" x14ac:dyDescent="0.25">
      <c r="A886" s="1">
        <v>3</v>
      </c>
      <c r="B886" t="s">
        <v>25</v>
      </c>
      <c r="C886">
        <v>700</v>
      </c>
      <c r="D886">
        <v>0</v>
      </c>
      <c r="E886" t="s">
        <v>26</v>
      </c>
      <c r="F886" t="s">
        <v>26</v>
      </c>
      <c r="G886" t="str">
        <f>"2025-10-01 08:50:31.612"</f>
        <v>2025-10-01 08:50:31.612</v>
      </c>
      <c r="H886" t="s">
        <v>22</v>
      </c>
    </row>
    <row r="887" spans="1:10" x14ac:dyDescent="0.25">
      <c r="A887" s="1">
        <v>4</v>
      </c>
      <c r="B887" t="s">
        <v>25</v>
      </c>
      <c r="C887">
        <v>700</v>
      </c>
      <c r="D887">
        <v>0</v>
      </c>
      <c r="E887" t="s">
        <v>26</v>
      </c>
      <c r="F887" t="s">
        <v>26</v>
      </c>
      <c r="G887" t="str">
        <f>"2025-10-01 07:20:35.616"</f>
        <v>2025-10-01 07:20:35.616</v>
      </c>
      <c r="H887" t="s">
        <v>22</v>
      </c>
      <c r="I887">
        <v>0</v>
      </c>
      <c r="J887" t="s">
        <v>27</v>
      </c>
    </row>
    <row r="888" spans="1:10" x14ac:dyDescent="0.25">
      <c r="A888" s="1">
        <v>5</v>
      </c>
      <c r="B888" t="s">
        <v>25</v>
      </c>
      <c r="C888">
        <v>700</v>
      </c>
      <c r="D888">
        <v>0</v>
      </c>
      <c r="E888" t="s">
        <v>26</v>
      </c>
      <c r="F888" t="s">
        <v>26</v>
      </c>
      <c r="G888" t="str">
        <f>"2025-10-01 07:12:02.616"</f>
        <v>2025-10-01 07:12:02.616</v>
      </c>
      <c r="H888" t="s">
        <v>22</v>
      </c>
    </row>
    <row r="889" spans="1:10" x14ac:dyDescent="0.25">
      <c r="A889" s="1">
        <v>6</v>
      </c>
      <c r="B889" t="s">
        <v>37</v>
      </c>
      <c r="C889">
        <v>630</v>
      </c>
      <c r="D889">
        <v>5</v>
      </c>
      <c r="E889" t="s">
        <v>32</v>
      </c>
      <c r="F889" t="s">
        <v>33</v>
      </c>
      <c r="G889" t="str">
        <f>"2025-10-01 06:35:33.430"</f>
        <v>2025-10-01 06:35:33.430</v>
      </c>
      <c r="H889" t="s">
        <v>34</v>
      </c>
      <c r="I889">
        <v>0</v>
      </c>
      <c r="J889" t="s">
        <v>24</v>
      </c>
    </row>
    <row r="890" spans="1:10" x14ac:dyDescent="0.25">
      <c r="A890" s="1">
        <v>7</v>
      </c>
      <c r="B890" t="s">
        <v>25</v>
      </c>
      <c r="C890">
        <v>700</v>
      </c>
      <c r="D890">
        <v>0</v>
      </c>
      <c r="E890" t="s">
        <v>26</v>
      </c>
      <c r="F890" t="s">
        <v>26</v>
      </c>
      <c r="G890" t="str">
        <f>"2025-10-01 06:30:30.619"</f>
        <v>2025-10-01 06:30:30.619</v>
      </c>
      <c r="H890" t="s">
        <v>22</v>
      </c>
      <c r="I890">
        <v>0</v>
      </c>
      <c r="J890" t="s">
        <v>27</v>
      </c>
    </row>
    <row r="891" spans="1:10" x14ac:dyDescent="0.25">
      <c r="A891" s="1">
        <v>8</v>
      </c>
      <c r="B891" t="s">
        <v>25</v>
      </c>
      <c r="C891">
        <v>719</v>
      </c>
      <c r="D891">
        <v>5</v>
      </c>
      <c r="E891" t="s">
        <v>66</v>
      </c>
      <c r="F891" t="s">
        <v>67</v>
      </c>
      <c r="G891" t="str">
        <f>"2025-10-01 01:15:00.263"</f>
        <v>2025-10-01 01:15:00.263</v>
      </c>
      <c r="H891" t="s">
        <v>22</v>
      </c>
      <c r="I891">
        <v>0</v>
      </c>
      <c r="J891" t="s">
        <v>24</v>
      </c>
    </row>
    <row r="892" spans="1:10" x14ac:dyDescent="0.25">
      <c r="A892" s="1">
        <v>9</v>
      </c>
      <c r="B892" t="s">
        <v>37</v>
      </c>
      <c r="C892">
        <v>630</v>
      </c>
      <c r="D892">
        <v>5</v>
      </c>
      <c r="E892" t="s">
        <v>32</v>
      </c>
      <c r="F892" t="s">
        <v>33</v>
      </c>
      <c r="G892" t="str">
        <f>"2025-10-01 01:09:54.519"</f>
        <v>2025-10-01 01:09:54.519</v>
      </c>
      <c r="H892" t="s">
        <v>34</v>
      </c>
      <c r="I892">
        <v>0</v>
      </c>
      <c r="J892" t="s">
        <v>24</v>
      </c>
    </row>
    <row r="893" spans="1:10" x14ac:dyDescent="0.25">
      <c r="A893" s="1">
        <v>10</v>
      </c>
      <c r="B893" t="s">
        <v>25</v>
      </c>
      <c r="C893">
        <v>700</v>
      </c>
      <c r="D893">
        <v>0</v>
      </c>
      <c r="E893" t="s">
        <v>26</v>
      </c>
      <c r="F893" t="s">
        <v>26</v>
      </c>
      <c r="G893" t="str">
        <f>"2025-10-01 00:35:57.751"</f>
        <v>2025-10-01 00:35:57.751</v>
      </c>
      <c r="H893" t="s">
        <v>22</v>
      </c>
    </row>
    <row r="894" spans="1:10" x14ac:dyDescent="0.25">
      <c r="A894" s="1">
        <v>12</v>
      </c>
      <c r="B894" t="s">
        <v>25</v>
      </c>
      <c r="C894">
        <v>700</v>
      </c>
      <c r="D894">
        <v>0</v>
      </c>
      <c r="E894" t="s">
        <v>26</v>
      </c>
      <c r="F894" t="s">
        <v>26</v>
      </c>
      <c r="G894" t="str">
        <f>"2025-09-29 12:01:48.631"</f>
        <v>2025-09-29 12:01:48.631</v>
      </c>
      <c r="H894" t="s">
        <v>22</v>
      </c>
      <c r="I894">
        <v>0</v>
      </c>
      <c r="J894" t="s">
        <v>27</v>
      </c>
    </row>
    <row r="895" spans="1:10" x14ac:dyDescent="0.25">
      <c r="A895" s="1">
        <v>13</v>
      </c>
      <c r="B895" t="s">
        <v>25</v>
      </c>
      <c r="C895">
        <v>700</v>
      </c>
      <c r="D895">
        <v>0</v>
      </c>
      <c r="E895" t="s">
        <v>26</v>
      </c>
      <c r="F895" t="s">
        <v>26</v>
      </c>
      <c r="G895" t="str">
        <f>"2025-09-26 08:00:58.664"</f>
        <v>2025-09-26 08:00:58.664</v>
      </c>
      <c r="H895" t="s">
        <v>22</v>
      </c>
    </row>
    <row r="896" spans="1:10" x14ac:dyDescent="0.25">
      <c r="A896" s="1">
        <v>14</v>
      </c>
      <c r="B896" t="s">
        <v>19</v>
      </c>
      <c r="C896">
        <v>61</v>
      </c>
      <c r="D896">
        <v>2</v>
      </c>
      <c r="E896" t="s">
        <v>51</v>
      </c>
      <c r="F896" t="s">
        <v>52</v>
      </c>
      <c r="G896" t="str">
        <f>"2025-09-26 06:53:11.648"</f>
        <v>2025-09-26 06:53:11.648</v>
      </c>
      <c r="H896" t="s">
        <v>22</v>
      </c>
    </row>
    <row r="897" spans="1:10" x14ac:dyDescent="0.25">
      <c r="A897" s="1">
        <v>15</v>
      </c>
      <c r="B897" t="s">
        <v>37</v>
      </c>
      <c r="C897">
        <v>61</v>
      </c>
      <c r="D897">
        <v>2</v>
      </c>
      <c r="E897" t="s">
        <v>51</v>
      </c>
      <c r="F897" t="s">
        <v>52</v>
      </c>
      <c r="G897" t="str">
        <f>"2025-09-26 06:53:04.548"</f>
        <v>2025-09-26 06:53:04.548</v>
      </c>
      <c r="H897" t="s">
        <v>22</v>
      </c>
      <c r="I897">
        <v>35.21</v>
      </c>
      <c r="J897" t="s">
        <v>31</v>
      </c>
    </row>
    <row r="898" spans="1:10" x14ac:dyDescent="0.25">
      <c r="A898" s="1">
        <v>16</v>
      </c>
      <c r="B898" t="s">
        <v>19</v>
      </c>
      <c r="C898">
        <v>98</v>
      </c>
      <c r="D898">
        <v>1</v>
      </c>
      <c r="E898" t="s">
        <v>46</v>
      </c>
      <c r="F898" t="s">
        <v>47</v>
      </c>
      <c r="G898" t="str">
        <f>"2025-09-25 19:44:16.247"</f>
        <v>2025-09-25 19:44:16.247</v>
      </c>
      <c r="H898" t="s">
        <v>22</v>
      </c>
    </row>
    <row r="899" spans="1:10" x14ac:dyDescent="0.25">
      <c r="A899" s="1">
        <v>17</v>
      </c>
      <c r="B899" t="s">
        <v>23</v>
      </c>
      <c r="C899">
        <v>98</v>
      </c>
      <c r="D899">
        <v>1</v>
      </c>
      <c r="E899" t="s">
        <v>46</v>
      </c>
      <c r="F899" t="s">
        <v>47</v>
      </c>
      <c r="G899" t="str">
        <f>"2025-09-25 19:44:15.148"</f>
        <v>2025-09-25 19:44:15.148</v>
      </c>
      <c r="H899" t="s">
        <v>22</v>
      </c>
      <c r="I899">
        <v>0</v>
      </c>
      <c r="J899" t="s">
        <v>48</v>
      </c>
    </row>
    <row r="900" spans="1:10" s="3" customFormat="1" x14ac:dyDescent="0.25">
      <c r="A900" s="2">
        <v>18</v>
      </c>
      <c r="B900" s="3" t="s">
        <v>19</v>
      </c>
      <c r="C900" s="3">
        <v>647</v>
      </c>
      <c r="D900" s="3">
        <v>1</v>
      </c>
      <c r="E900" s="3" t="s">
        <v>49</v>
      </c>
      <c r="F900" s="3" t="s">
        <v>50</v>
      </c>
      <c r="G900" s="3" t="str">
        <f>"2025-09-25 10:04:16.648"</f>
        <v>2025-09-25 10:04:16.648</v>
      </c>
      <c r="H900" s="3" t="s">
        <v>22</v>
      </c>
    </row>
    <row r="901" spans="1:10" s="3" customFormat="1" x14ac:dyDescent="0.25">
      <c r="A901" s="2">
        <v>19</v>
      </c>
      <c r="B901" s="3" t="s">
        <v>23</v>
      </c>
      <c r="C901" s="3">
        <v>647</v>
      </c>
      <c r="D901" s="3">
        <v>1</v>
      </c>
      <c r="E901" s="3" t="s">
        <v>49</v>
      </c>
      <c r="F901" s="3" t="s">
        <v>50</v>
      </c>
      <c r="G901" s="3" t="str">
        <f>"2025-09-25 10:04:09.748"</f>
        <v>2025-09-25 10:04:09.748</v>
      </c>
      <c r="H901" s="3" t="s">
        <v>22</v>
      </c>
      <c r="I901" s="3">
        <v>23.91</v>
      </c>
      <c r="J901" s="3" t="s">
        <v>31</v>
      </c>
    </row>
    <row r="902" spans="1:10" s="3" customFormat="1" x14ac:dyDescent="0.25">
      <c r="A902" s="2">
        <v>20</v>
      </c>
      <c r="B902" s="3" t="s">
        <v>19</v>
      </c>
      <c r="C902" s="3">
        <v>647</v>
      </c>
      <c r="D902" s="3">
        <v>1</v>
      </c>
      <c r="E902" s="3" t="s">
        <v>49</v>
      </c>
      <c r="F902" s="3" t="s">
        <v>50</v>
      </c>
      <c r="G902" s="3" t="str">
        <f>"2025-09-24 15:12:03.348"</f>
        <v>2025-09-24 15:12:03.348</v>
      </c>
      <c r="H902" s="3" t="s">
        <v>22</v>
      </c>
    </row>
    <row r="903" spans="1:10" s="3" customFormat="1" x14ac:dyDescent="0.25">
      <c r="A903" s="2">
        <v>21</v>
      </c>
      <c r="B903" s="3" t="s">
        <v>23</v>
      </c>
      <c r="C903" s="3">
        <v>647</v>
      </c>
      <c r="D903" s="3">
        <v>1</v>
      </c>
      <c r="E903" s="3" t="s">
        <v>49</v>
      </c>
      <c r="F903" s="3" t="s">
        <v>50</v>
      </c>
      <c r="G903" s="3" t="str">
        <f>"2025-09-24 15:12:01.448"</f>
        <v>2025-09-24 15:12:01.448</v>
      </c>
      <c r="H903" s="3" t="s">
        <v>22</v>
      </c>
      <c r="I903" s="3">
        <v>10.77</v>
      </c>
      <c r="J903" s="3" t="s">
        <v>31</v>
      </c>
    </row>
    <row r="904" spans="1:10" s="3" customFormat="1" x14ac:dyDescent="0.25">
      <c r="A904" s="2">
        <v>22</v>
      </c>
      <c r="B904" s="3" t="s">
        <v>19</v>
      </c>
      <c r="C904" s="3">
        <v>647</v>
      </c>
      <c r="D904" s="3">
        <v>1</v>
      </c>
      <c r="E904" s="3" t="s">
        <v>49</v>
      </c>
      <c r="F904" s="3" t="s">
        <v>50</v>
      </c>
      <c r="G904" s="3" t="str">
        <f>"2025-09-24 08:25:52.648"</f>
        <v>2025-09-24 08:25:52.648</v>
      </c>
      <c r="H904" s="3" t="s">
        <v>22</v>
      </c>
    </row>
    <row r="905" spans="1:10" s="3" customFormat="1" x14ac:dyDescent="0.25">
      <c r="A905" s="2">
        <v>23</v>
      </c>
      <c r="B905" s="3" t="s">
        <v>23</v>
      </c>
      <c r="C905" s="3">
        <v>647</v>
      </c>
      <c r="D905" s="3">
        <v>1</v>
      </c>
      <c r="E905" s="3" t="s">
        <v>49</v>
      </c>
      <c r="F905" s="3" t="s">
        <v>50</v>
      </c>
      <c r="G905" s="3" t="str">
        <f>"2025-09-24 08:25:48.548"</f>
        <v>2025-09-24 08:25:48.548</v>
      </c>
      <c r="H905" s="3" t="s">
        <v>22</v>
      </c>
      <c r="I905" s="3">
        <v>15.69</v>
      </c>
      <c r="J905" s="3" t="s">
        <v>31</v>
      </c>
    </row>
    <row r="906" spans="1:10" x14ac:dyDescent="0.25">
      <c r="A906" s="1">
        <v>24</v>
      </c>
      <c r="B906" t="s">
        <v>19</v>
      </c>
      <c r="C906">
        <v>635</v>
      </c>
      <c r="D906">
        <v>1</v>
      </c>
      <c r="E906" t="s">
        <v>28</v>
      </c>
      <c r="F906" t="s">
        <v>29</v>
      </c>
      <c r="G906" t="str">
        <f>"2025-09-23 15:22:50.247"</f>
        <v>2025-09-23 15:22:50.247</v>
      </c>
      <c r="H906" t="s">
        <v>22</v>
      </c>
    </row>
    <row r="907" spans="1:10" x14ac:dyDescent="0.25">
      <c r="A907" s="1">
        <v>25</v>
      </c>
      <c r="B907" t="s">
        <v>23</v>
      </c>
      <c r="C907">
        <v>635</v>
      </c>
      <c r="D907">
        <v>1</v>
      </c>
      <c r="E907" t="s">
        <v>28</v>
      </c>
      <c r="F907" t="s">
        <v>29</v>
      </c>
      <c r="G907" t="str">
        <f>"2025-09-23 15:20:29.247"</f>
        <v>2025-09-23 15:20:29.247</v>
      </c>
      <c r="H907" t="s">
        <v>22</v>
      </c>
      <c r="I907">
        <v>1.58</v>
      </c>
      <c r="J907" t="s">
        <v>31</v>
      </c>
    </row>
    <row r="908" spans="1:10" x14ac:dyDescent="0.25">
      <c r="A908" s="1">
        <v>26</v>
      </c>
      <c r="B908" t="s">
        <v>25</v>
      </c>
      <c r="C908">
        <v>700</v>
      </c>
      <c r="D908">
        <v>0</v>
      </c>
      <c r="E908" t="s">
        <v>26</v>
      </c>
      <c r="F908" t="s">
        <v>26</v>
      </c>
      <c r="G908" t="str">
        <f>"2025-09-23 13:35:06.797"</f>
        <v>2025-09-23 13:35:06.797</v>
      </c>
      <c r="H908" t="s">
        <v>22</v>
      </c>
      <c r="I908">
        <v>0</v>
      </c>
      <c r="J908" t="s">
        <v>27</v>
      </c>
    </row>
    <row r="909" spans="1:10" x14ac:dyDescent="0.25">
      <c r="A909" s="1">
        <v>27</v>
      </c>
      <c r="B909" t="s">
        <v>25</v>
      </c>
      <c r="C909">
        <v>700</v>
      </c>
      <c r="D909">
        <v>0</v>
      </c>
      <c r="E909" t="s">
        <v>26</v>
      </c>
      <c r="F909" t="s">
        <v>26</v>
      </c>
      <c r="G909" t="str">
        <f>"2025-09-21 21:21:51.621"</f>
        <v>2025-09-21 21:21:51.621</v>
      </c>
      <c r="H909" t="s">
        <v>22</v>
      </c>
    </row>
    <row r="910" spans="1:10" x14ac:dyDescent="0.25">
      <c r="A910" s="1">
        <v>28</v>
      </c>
      <c r="B910" t="s">
        <v>19</v>
      </c>
      <c r="C910">
        <v>635</v>
      </c>
      <c r="D910">
        <v>1</v>
      </c>
      <c r="E910" t="s">
        <v>28</v>
      </c>
      <c r="F910" t="s">
        <v>29</v>
      </c>
      <c r="G910" t="str">
        <f>"2025-09-21 08:43:48.597"</f>
        <v>2025-09-21 08:43:48.597</v>
      </c>
      <c r="H910" t="s">
        <v>22</v>
      </c>
    </row>
    <row r="911" spans="1:10" x14ac:dyDescent="0.25">
      <c r="A911" s="1">
        <v>29</v>
      </c>
      <c r="B911" t="s">
        <v>23</v>
      </c>
      <c r="C911">
        <v>635</v>
      </c>
      <c r="D911">
        <v>1</v>
      </c>
      <c r="E911" t="s">
        <v>28</v>
      </c>
      <c r="F911" t="s">
        <v>29</v>
      </c>
      <c r="G911" t="str">
        <f>"2025-09-21 08:21:18.197"</f>
        <v>2025-09-21 08:21:18.197</v>
      </c>
      <c r="H911" t="s">
        <v>22</v>
      </c>
      <c r="I911">
        <v>0.13</v>
      </c>
      <c r="J911" t="s">
        <v>48</v>
      </c>
    </row>
    <row r="912" spans="1:10" s="3" customFormat="1" x14ac:dyDescent="0.25">
      <c r="A912" s="2">
        <v>30</v>
      </c>
      <c r="B912" s="3" t="s">
        <v>19</v>
      </c>
      <c r="C912" s="3">
        <v>647</v>
      </c>
      <c r="D912" s="3">
        <v>1</v>
      </c>
      <c r="E912" s="3" t="s">
        <v>49</v>
      </c>
      <c r="F912" s="3" t="s">
        <v>50</v>
      </c>
      <c r="G912" s="3" t="str">
        <f>"2025-09-20 16:07:06.945"</f>
        <v>2025-09-20 16:07:06.945</v>
      </c>
      <c r="H912" s="3" t="s">
        <v>22</v>
      </c>
    </row>
    <row r="913" spans="1:10" s="3" customFormat="1" x14ac:dyDescent="0.25">
      <c r="A913" s="2">
        <v>31</v>
      </c>
      <c r="B913" s="3" t="s">
        <v>23</v>
      </c>
      <c r="C913" s="3">
        <v>647</v>
      </c>
      <c r="D913" s="3">
        <v>1</v>
      </c>
      <c r="E913" s="3" t="s">
        <v>49</v>
      </c>
      <c r="F913" s="3" t="s">
        <v>50</v>
      </c>
      <c r="G913" s="3" t="str">
        <f>"2025-09-20 16:07:01.445"</f>
        <v>2025-09-20 16:07:01.445</v>
      </c>
      <c r="H913" s="3" t="s">
        <v>22</v>
      </c>
      <c r="I913" s="3">
        <v>15.13</v>
      </c>
      <c r="J913" s="3" t="s">
        <v>31</v>
      </c>
    </row>
    <row r="914" spans="1:10" x14ac:dyDescent="0.25">
      <c r="A914" s="1">
        <v>32</v>
      </c>
      <c r="B914" t="s">
        <v>19</v>
      </c>
      <c r="C914">
        <v>630</v>
      </c>
      <c r="D914">
        <v>5</v>
      </c>
      <c r="E914" t="s">
        <v>32</v>
      </c>
      <c r="F914" t="s">
        <v>33</v>
      </c>
      <c r="G914" t="str">
        <f>"2025-09-20 12:15:37.845"</f>
        <v>2025-09-20 12:15:37.845</v>
      </c>
      <c r="H914" t="s">
        <v>34</v>
      </c>
    </row>
    <row r="915" spans="1:10" x14ac:dyDescent="0.25">
      <c r="A915" s="1">
        <v>33</v>
      </c>
      <c r="B915" t="s">
        <v>25</v>
      </c>
      <c r="C915">
        <v>706</v>
      </c>
      <c r="D915">
        <v>4</v>
      </c>
      <c r="E915" t="s">
        <v>35</v>
      </c>
      <c r="F915" t="s">
        <v>36</v>
      </c>
      <c r="G915" t="str">
        <f>"2025-09-20 12:15:07.768"</f>
        <v>2025-09-20 12:15:07.768</v>
      </c>
      <c r="H915" t="s">
        <v>22</v>
      </c>
      <c r="I915">
        <v>0</v>
      </c>
      <c r="J915" t="s">
        <v>24</v>
      </c>
    </row>
    <row r="916" spans="1:10" x14ac:dyDescent="0.25">
      <c r="A916" s="1">
        <v>34</v>
      </c>
      <c r="B916" t="s">
        <v>37</v>
      </c>
      <c r="C916">
        <v>630</v>
      </c>
      <c r="D916">
        <v>5</v>
      </c>
      <c r="E916" t="s">
        <v>32</v>
      </c>
      <c r="F916" t="s">
        <v>33</v>
      </c>
      <c r="G916" t="str">
        <f>"2025-09-20 11:58:08.245"</f>
        <v>2025-09-20 11:58:08.245</v>
      </c>
      <c r="H916" t="s">
        <v>34</v>
      </c>
      <c r="I916">
        <v>0</v>
      </c>
      <c r="J916" t="s">
        <v>24</v>
      </c>
    </row>
    <row r="917" spans="1:10" x14ac:dyDescent="0.25">
      <c r="A917" s="1">
        <v>35</v>
      </c>
      <c r="B917" t="s">
        <v>19</v>
      </c>
      <c r="C917">
        <v>630</v>
      </c>
      <c r="D917">
        <v>5</v>
      </c>
      <c r="E917" t="s">
        <v>32</v>
      </c>
      <c r="F917" t="s">
        <v>33</v>
      </c>
      <c r="G917" t="str">
        <f>"2025-09-20 11:51:47.645"</f>
        <v>2025-09-20 11:51:47.645</v>
      </c>
      <c r="H917" t="s">
        <v>34</v>
      </c>
    </row>
    <row r="918" spans="1:10" x14ac:dyDescent="0.25">
      <c r="A918" s="1">
        <v>36</v>
      </c>
      <c r="B918" t="s">
        <v>25</v>
      </c>
      <c r="C918">
        <v>706</v>
      </c>
      <c r="D918">
        <v>2</v>
      </c>
      <c r="E918" t="s">
        <v>35</v>
      </c>
      <c r="F918" t="s">
        <v>38</v>
      </c>
      <c r="G918" t="str">
        <f>"2025-09-20 11:51:17.468"</f>
        <v>2025-09-20 11:51:17.468</v>
      </c>
      <c r="H918" t="s">
        <v>22</v>
      </c>
      <c r="I918">
        <v>0</v>
      </c>
      <c r="J918" t="s">
        <v>24</v>
      </c>
    </row>
    <row r="919" spans="1:10" x14ac:dyDescent="0.25">
      <c r="A919" s="1">
        <v>37</v>
      </c>
      <c r="B919" t="s">
        <v>37</v>
      </c>
      <c r="C919">
        <v>630</v>
      </c>
      <c r="D919">
        <v>5</v>
      </c>
      <c r="E919" t="s">
        <v>32</v>
      </c>
      <c r="F919" t="s">
        <v>33</v>
      </c>
      <c r="G919" t="str">
        <f>"2025-09-20 11:33:46.446"</f>
        <v>2025-09-20 11:33:46.446</v>
      </c>
      <c r="H919" t="s">
        <v>34</v>
      </c>
      <c r="I919">
        <v>0</v>
      </c>
      <c r="J919" t="s">
        <v>24</v>
      </c>
    </row>
    <row r="920" spans="1:10" x14ac:dyDescent="0.25">
      <c r="A920" s="1">
        <v>38</v>
      </c>
      <c r="B920" t="s">
        <v>25</v>
      </c>
      <c r="C920">
        <v>700</v>
      </c>
      <c r="D920">
        <v>0</v>
      </c>
      <c r="E920" t="s">
        <v>26</v>
      </c>
      <c r="F920" t="s">
        <v>26</v>
      </c>
      <c r="G920" t="str">
        <f>"2025-09-20 11:28:43.638"</f>
        <v>2025-09-20 11:28:43.638</v>
      </c>
      <c r="H920" t="s">
        <v>22</v>
      </c>
    </row>
    <row r="921" spans="1:10" x14ac:dyDescent="0.25">
      <c r="A921" s="1">
        <v>39</v>
      </c>
      <c r="B921" t="s">
        <v>25</v>
      </c>
      <c r="C921">
        <v>706</v>
      </c>
      <c r="D921">
        <v>3</v>
      </c>
      <c r="E921" t="s">
        <v>35</v>
      </c>
      <c r="F921" t="s">
        <v>62</v>
      </c>
      <c r="G921" t="str">
        <f>"2025-09-20 10:17:05.438"</f>
        <v>2025-09-20 10:17:05.438</v>
      </c>
      <c r="H921" t="s">
        <v>22</v>
      </c>
      <c r="I921">
        <v>0</v>
      </c>
      <c r="J921" t="s">
        <v>24</v>
      </c>
    </row>
    <row r="922" spans="1:10" x14ac:dyDescent="0.25">
      <c r="A922" s="1">
        <v>40</v>
      </c>
      <c r="B922" t="s">
        <v>25</v>
      </c>
      <c r="C922">
        <v>700</v>
      </c>
      <c r="D922">
        <v>0</v>
      </c>
      <c r="E922" t="s">
        <v>26</v>
      </c>
      <c r="F922" t="s">
        <v>26</v>
      </c>
      <c r="G922" t="str">
        <f>"2025-09-19 19:44:29.658"</f>
        <v>2025-09-19 19:44:29.658</v>
      </c>
      <c r="H922" t="s">
        <v>22</v>
      </c>
      <c r="I922">
        <v>0</v>
      </c>
      <c r="J922" t="s">
        <v>27</v>
      </c>
    </row>
    <row r="923" spans="1:10" s="3" customFormat="1" x14ac:dyDescent="0.25">
      <c r="A923" s="2">
        <v>41</v>
      </c>
      <c r="B923" s="3" t="s">
        <v>19</v>
      </c>
      <c r="C923" s="3">
        <v>647</v>
      </c>
      <c r="D923" s="3">
        <v>1</v>
      </c>
      <c r="E923" s="3" t="s">
        <v>49</v>
      </c>
      <c r="F923" s="3" t="s">
        <v>50</v>
      </c>
      <c r="G923" s="3" t="str">
        <f>"2025-09-19 16:09:51.261"</f>
        <v>2025-09-19 16:09:51.261</v>
      </c>
      <c r="H923" s="3" t="s">
        <v>22</v>
      </c>
    </row>
    <row r="924" spans="1:10" s="3" customFormat="1" x14ac:dyDescent="0.25">
      <c r="A924" s="2">
        <v>42</v>
      </c>
      <c r="B924" s="3" t="s">
        <v>23</v>
      </c>
      <c r="C924" s="3">
        <v>647</v>
      </c>
      <c r="D924" s="3">
        <v>1</v>
      </c>
      <c r="E924" s="3" t="s">
        <v>49</v>
      </c>
      <c r="F924" s="3" t="s">
        <v>50</v>
      </c>
      <c r="G924" s="3" t="str">
        <f>"2025-09-19 16:09:02.062"</f>
        <v>2025-09-19 16:09:02.062</v>
      </c>
      <c r="H924" s="3" t="s">
        <v>22</v>
      </c>
      <c r="I924" s="3">
        <v>8.18</v>
      </c>
      <c r="J924" s="3" t="s">
        <v>48</v>
      </c>
    </row>
    <row r="925" spans="1:10" x14ac:dyDescent="0.25">
      <c r="A925" s="1">
        <v>43</v>
      </c>
      <c r="B925" t="s">
        <v>25</v>
      </c>
      <c r="C925">
        <v>700</v>
      </c>
      <c r="D925">
        <v>0</v>
      </c>
      <c r="E925" t="s">
        <v>26</v>
      </c>
      <c r="F925" t="s">
        <v>26</v>
      </c>
      <c r="G925" t="str">
        <f>"2025-09-19 11:55:46.603"</f>
        <v>2025-09-19 11:55:46.603</v>
      </c>
      <c r="H925" t="s">
        <v>22</v>
      </c>
      <c r="I925">
        <v>0</v>
      </c>
      <c r="J925" t="s">
        <v>27</v>
      </c>
    </row>
    <row r="926" spans="1:10" x14ac:dyDescent="0.25">
      <c r="A926" s="1">
        <v>44</v>
      </c>
      <c r="B926" t="s">
        <v>25</v>
      </c>
      <c r="C926">
        <v>700</v>
      </c>
      <c r="D926">
        <v>0</v>
      </c>
      <c r="E926" t="s">
        <v>26</v>
      </c>
      <c r="F926" t="s">
        <v>26</v>
      </c>
      <c r="G926" t="str">
        <f>"2025-09-19 11:43:08.627"</f>
        <v>2025-09-19 11:43:08.627</v>
      </c>
      <c r="H926" t="s">
        <v>22</v>
      </c>
      <c r="I926">
        <v>0</v>
      </c>
      <c r="J926" t="s">
        <v>27</v>
      </c>
    </row>
    <row r="927" spans="1:10" x14ac:dyDescent="0.25">
      <c r="A927" s="1">
        <v>45</v>
      </c>
      <c r="B927" t="s">
        <v>25</v>
      </c>
      <c r="C927">
        <v>700</v>
      </c>
      <c r="D927">
        <v>0</v>
      </c>
      <c r="E927" t="s">
        <v>26</v>
      </c>
      <c r="F927" t="s">
        <v>26</v>
      </c>
      <c r="G927" t="str">
        <f>"2025-09-19 10:49:42.642"</f>
        <v>2025-09-19 10:49:42.642</v>
      </c>
      <c r="H927" t="s">
        <v>22</v>
      </c>
      <c r="I927">
        <v>0</v>
      </c>
      <c r="J927" t="s">
        <v>27</v>
      </c>
    </row>
    <row r="928" spans="1:10" s="3" customFormat="1" x14ac:dyDescent="0.25">
      <c r="A928" s="2">
        <v>46</v>
      </c>
      <c r="B928" s="3" t="s">
        <v>19</v>
      </c>
      <c r="C928" s="3">
        <v>647</v>
      </c>
      <c r="D928" s="3">
        <v>1</v>
      </c>
      <c r="E928" s="3" t="s">
        <v>49</v>
      </c>
      <c r="F928" s="3" t="s">
        <v>50</v>
      </c>
      <c r="G928" s="3" t="str">
        <f>"2025-09-19 09:34:34.388"</f>
        <v>2025-09-19 09:34:34.388</v>
      </c>
      <c r="H928" s="3" t="s">
        <v>22</v>
      </c>
    </row>
    <row r="929" spans="1:10" s="3" customFormat="1" x14ac:dyDescent="0.25">
      <c r="A929" s="2">
        <v>47</v>
      </c>
      <c r="B929" s="3" t="s">
        <v>23</v>
      </c>
      <c r="C929" s="3">
        <v>647</v>
      </c>
      <c r="D929" s="3">
        <v>1</v>
      </c>
      <c r="E929" s="3" t="s">
        <v>49</v>
      </c>
      <c r="F929" s="3" t="s">
        <v>50</v>
      </c>
      <c r="G929" s="3" t="str">
        <f>"2025-09-19 09:34:26.888"</f>
        <v>2025-09-19 09:34:26.888</v>
      </c>
      <c r="H929" s="3" t="s">
        <v>22</v>
      </c>
      <c r="I929" s="3">
        <v>13.12</v>
      </c>
      <c r="J929" s="3" t="s">
        <v>31</v>
      </c>
    </row>
    <row r="930" spans="1:10" s="3" customFormat="1" x14ac:dyDescent="0.25">
      <c r="A930" s="2">
        <v>48</v>
      </c>
      <c r="B930" s="3" t="s">
        <v>19</v>
      </c>
      <c r="C930" s="3">
        <v>647</v>
      </c>
      <c r="D930" s="3">
        <v>1</v>
      </c>
      <c r="E930" s="3" t="s">
        <v>49</v>
      </c>
      <c r="F930" s="3" t="s">
        <v>50</v>
      </c>
      <c r="G930" s="3" t="str">
        <f>"2025-09-19 02:14:04.488"</f>
        <v>2025-09-19 02:14:04.488</v>
      </c>
      <c r="H930" s="3" t="s">
        <v>22</v>
      </c>
    </row>
    <row r="931" spans="1:10" s="3" customFormat="1" x14ac:dyDescent="0.25">
      <c r="A931" s="2">
        <v>49</v>
      </c>
      <c r="B931" s="3" t="s">
        <v>23</v>
      </c>
      <c r="C931" s="3">
        <v>647</v>
      </c>
      <c r="D931" s="3">
        <v>1</v>
      </c>
      <c r="E931" s="3" t="s">
        <v>49</v>
      </c>
      <c r="F931" s="3" t="s">
        <v>50</v>
      </c>
      <c r="G931" s="3" t="str">
        <f>"2025-09-19 02:13:59.188"</f>
        <v>2025-09-19 02:13:59.188</v>
      </c>
      <c r="H931" s="3" t="s">
        <v>22</v>
      </c>
      <c r="I931" s="3">
        <v>16.47</v>
      </c>
      <c r="J931" s="3" t="s">
        <v>31</v>
      </c>
    </row>
    <row r="932" spans="1:10" x14ac:dyDescent="0.25">
      <c r="A932" s="1">
        <v>50</v>
      </c>
      <c r="B932" t="s">
        <v>25</v>
      </c>
      <c r="C932">
        <v>706</v>
      </c>
      <c r="D932">
        <v>4</v>
      </c>
      <c r="E932" t="s">
        <v>35</v>
      </c>
      <c r="F932" t="s">
        <v>36</v>
      </c>
      <c r="G932" t="str">
        <f>"2025-09-18 23:52:58.046"</f>
        <v>2025-09-18 23:52:58.046</v>
      </c>
      <c r="H932" t="s">
        <v>22</v>
      </c>
      <c r="I932">
        <v>0</v>
      </c>
      <c r="J932" t="s">
        <v>24</v>
      </c>
    </row>
    <row r="933" spans="1:10" x14ac:dyDescent="0.25">
      <c r="A933" s="1">
        <v>51</v>
      </c>
      <c r="B933" t="s">
        <v>25</v>
      </c>
      <c r="C933">
        <v>700</v>
      </c>
      <c r="D933">
        <v>0</v>
      </c>
      <c r="E933" t="s">
        <v>26</v>
      </c>
      <c r="F933" t="s">
        <v>26</v>
      </c>
      <c r="G933" t="str">
        <f>"2025-09-18 23:51:36.616"</f>
        <v>2025-09-18 23:51:36.616</v>
      </c>
      <c r="H933" t="s">
        <v>22</v>
      </c>
      <c r="I933">
        <v>0</v>
      </c>
      <c r="J933" t="s">
        <v>27</v>
      </c>
    </row>
    <row r="934" spans="1:10" x14ac:dyDescent="0.25">
      <c r="A934" s="1">
        <v>52</v>
      </c>
      <c r="B934" t="s">
        <v>25</v>
      </c>
      <c r="C934">
        <v>700</v>
      </c>
      <c r="D934">
        <v>0</v>
      </c>
      <c r="E934" t="s">
        <v>26</v>
      </c>
      <c r="F934" t="s">
        <v>26</v>
      </c>
      <c r="G934" t="str">
        <f>"2025-09-18 23:44:06.637"</f>
        <v>2025-09-18 23:44:06.637</v>
      </c>
      <c r="H934" t="s">
        <v>22</v>
      </c>
      <c r="I934">
        <v>0</v>
      </c>
      <c r="J934" t="s">
        <v>27</v>
      </c>
    </row>
    <row r="935" spans="1:10" x14ac:dyDescent="0.25">
      <c r="A935" s="1">
        <v>53</v>
      </c>
      <c r="B935" t="s">
        <v>25</v>
      </c>
      <c r="C935">
        <v>706</v>
      </c>
      <c r="D935">
        <v>4</v>
      </c>
      <c r="E935" t="s">
        <v>35</v>
      </c>
      <c r="F935" t="s">
        <v>36</v>
      </c>
      <c r="G935" t="str">
        <f>"2025-09-18 20:44:39.660"</f>
        <v>2025-09-18 20:44:39.660</v>
      </c>
      <c r="H935" t="s">
        <v>22</v>
      </c>
      <c r="I935">
        <v>0</v>
      </c>
      <c r="J935" t="s">
        <v>24</v>
      </c>
    </row>
    <row r="936" spans="1:10" x14ac:dyDescent="0.25">
      <c r="A936" s="1">
        <v>54</v>
      </c>
      <c r="B936" t="s">
        <v>25</v>
      </c>
      <c r="C936">
        <v>700</v>
      </c>
      <c r="D936">
        <v>0</v>
      </c>
      <c r="E936" t="s">
        <v>26</v>
      </c>
      <c r="F936" t="s">
        <v>26</v>
      </c>
      <c r="G936" t="str">
        <f>"2025-09-18 20:43:50.600"</f>
        <v>2025-09-18 20:43:50.600</v>
      </c>
      <c r="H936" t="s">
        <v>22</v>
      </c>
    </row>
    <row r="937" spans="1:10" x14ac:dyDescent="0.25">
      <c r="A937" s="1">
        <v>55</v>
      </c>
      <c r="B937" t="s">
        <v>25</v>
      </c>
      <c r="C937">
        <v>706</v>
      </c>
      <c r="D937">
        <v>3</v>
      </c>
      <c r="E937" t="s">
        <v>35</v>
      </c>
      <c r="F937" t="s">
        <v>62</v>
      </c>
      <c r="G937" t="str">
        <f>"2025-09-18 20:17:55.240"</f>
        <v>2025-09-18 20:17:55.240</v>
      </c>
      <c r="H937" t="s">
        <v>22</v>
      </c>
      <c r="I937">
        <v>0</v>
      </c>
      <c r="J937" t="s">
        <v>24</v>
      </c>
    </row>
    <row r="938" spans="1:10" x14ac:dyDescent="0.25">
      <c r="A938" s="1">
        <v>56</v>
      </c>
      <c r="B938" t="s">
        <v>25</v>
      </c>
      <c r="C938">
        <v>700</v>
      </c>
      <c r="D938">
        <v>0</v>
      </c>
      <c r="E938" t="s">
        <v>26</v>
      </c>
      <c r="F938" t="s">
        <v>26</v>
      </c>
      <c r="G938" t="str">
        <f>"2025-09-18 20:16:16.600"</f>
        <v>2025-09-18 20:16:16.600</v>
      </c>
      <c r="H938" t="s">
        <v>22</v>
      </c>
    </row>
    <row r="939" spans="1:10" x14ac:dyDescent="0.25">
      <c r="A939" s="1">
        <v>57</v>
      </c>
      <c r="B939" t="s">
        <v>25</v>
      </c>
      <c r="C939">
        <v>706</v>
      </c>
      <c r="D939">
        <v>4</v>
      </c>
      <c r="E939" t="s">
        <v>35</v>
      </c>
      <c r="F939" t="s">
        <v>36</v>
      </c>
      <c r="G939" t="str">
        <f>"2025-09-18 20:09:55.050"</f>
        <v>2025-09-18 20:09:55.050</v>
      </c>
      <c r="H939" t="s">
        <v>22</v>
      </c>
      <c r="I939">
        <v>0</v>
      </c>
      <c r="J939" t="s">
        <v>24</v>
      </c>
    </row>
    <row r="940" spans="1:10" x14ac:dyDescent="0.25">
      <c r="A940" s="1">
        <v>58</v>
      </c>
      <c r="B940" t="s">
        <v>25</v>
      </c>
      <c r="C940">
        <v>700</v>
      </c>
      <c r="D940">
        <v>0</v>
      </c>
      <c r="E940" t="s">
        <v>26</v>
      </c>
      <c r="F940" t="s">
        <v>26</v>
      </c>
      <c r="G940" t="str">
        <f>"2025-09-18 20:09:33.600"</f>
        <v>2025-09-18 20:09:33.600</v>
      </c>
      <c r="H940" t="s">
        <v>22</v>
      </c>
      <c r="I940">
        <v>0</v>
      </c>
      <c r="J940" t="s">
        <v>27</v>
      </c>
    </row>
    <row r="941" spans="1:10" x14ac:dyDescent="0.25">
      <c r="A941" s="1">
        <v>59</v>
      </c>
      <c r="B941" t="s">
        <v>25</v>
      </c>
      <c r="C941">
        <v>700</v>
      </c>
      <c r="D941">
        <v>0</v>
      </c>
      <c r="E941" t="s">
        <v>26</v>
      </c>
      <c r="F941" t="s">
        <v>26</v>
      </c>
      <c r="G941" t="str">
        <f>"2025-09-18 09:20:39.665"</f>
        <v>2025-09-18 09:20:39.665</v>
      </c>
      <c r="H941" t="s">
        <v>22</v>
      </c>
      <c r="I941">
        <v>0</v>
      </c>
      <c r="J941" t="s">
        <v>27</v>
      </c>
    </row>
    <row r="942" spans="1:10" x14ac:dyDescent="0.25">
      <c r="A942" s="1">
        <v>60</v>
      </c>
      <c r="B942" t="s">
        <v>25</v>
      </c>
      <c r="C942">
        <v>700</v>
      </c>
      <c r="D942">
        <v>0</v>
      </c>
      <c r="E942" t="s">
        <v>26</v>
      </c>
      <c r="F942" t="s">
        <v>26</v>
      </c>
      <c r="G942" t="str">
        <f>"2025-09-17 20:44:14.643"</f>
        <v>2025-09-17 20:44:14.643</v>
      </c>
      <c r="H942" t="s">
        <v>22</v>
      </c>
    </row>
    <row r="943" spans="1:10" x14ac:dyDescent="0.25">
      <c r="A943" s="1">
        <v>61</v>
      </c>
      <c r="B943" t="s">
        <v>25</v>
      </c>
      <c r="C943">
        <v>700</v>
      </c>
      <c r="D943">
        <v>0</v>
      </c>
      <c r="E943" t="s">
        <v>26</v>
      </c>
      <c r="F943" t="s">
        <v>26</v>
      </c>
      <c r="G943" t="str">
        <f>"2025-09-17 14:51:41.683"</f>
        <v>2025-09-17 14:51:41.683</v>
      </c>
      <c r="H943" t="s">
        <v>22</v>
      </c>
      <c r="I943">
        <v>0</v>
      </c>
      <c r="J943" t="s">
        <v>27</v>
      </c>
    </row>
    <row r="944" spans="1:10" x14ac:dyDescent="0.25">
      <c r="A944" s="1">
        <v>62</v>
      </c>
      <c r="B944" t="s">
        <v>25</v>
      </c>
      <c r="C944">
        <v>700</v>
      </c>
      <c r="D944">
        <v>0</v>
      </c>
      <c r="E944" t="s">
        <v>26</v>
      </c>
      <c r="F944" t="s">
        <v>26</v>
      </c>
      <c r="G944" t="str">
        <f>"2025-09-17 13:48:16.611"</f>
        <v>2025-09-17 13:48:16.611</v>
      </c>
      <c r="H944" t="s">
        <v>22</v>
      </c>
      <c r="I944">
        <v>0</v>
      </c>
      <c r="J944" t="s">
        <v>27</v>
      </c>
    </row>
    <row r="945" spans="1:10" x14ac:dyDescent="0.25">
      <c r="A945" s="1">
        <v>63</v>
      </c>
      <c r="B945" t="s">
        <v>19</v>
      </c>
      <c r="C945">
        <v>61</v>
      </c>
      <c r="D945">
        <v>2</v>
      </c>
      <c r="E945" t="s">
        <v>51</v>
      </c>
      <c r="F945" t="s">
        <v>52</v>
      </c>
      <c r="G945" t="str">
        <f>"2025-09-17 09:26:12.447"</f>
        <v>2025-09-17 09:26:12.447</v>
      </c>
      <c r="H945" t="s">
        <v>22</v>
      </c>
    </row>
    <row r="946" spans="1:10" x14ac:dyDescent="0.25">
      <c r="A946" s="1">
        <v>64</v>
      </c>
      <c r="B946" t="s">
        <v>37</v>
      </c>
      <c r="C946">
        <v>61</v>
      </c>
      <c r="D946">
        <v>2</v>
      </c>
      <c r="E946" t="s">
        <v>51</v>
      </c>
      <c r="F946" t="s">
        <v>52</v>
      </c>
      <c r="G946" t="str">
        <f>"2025-09-17 09:26:05.447"</f>
        <v>2025-09-17 09:26:05.447</v>
      </c>
      <c r="H946" t="s">
        <v>22</v>
      </c>
      <c r="I946">
        <v>35.15</v>
      </c>
      <c r="J946" t="s">
        <v>31</v>
      </c>
    </row>
    <row r="947" spans="1:10" s="3" customFormat="1" x14ac:dyDescent="0.25">
      <c r="A947" s="2">
        <v>65</v>
      </c>
      <c r="B947" s="3" t="s">
        <v>19</v>
      </c>
      <c r="C947" s="3">
        <v>647</v>
      </c>
      <c r="D947" s="3">
        <v>1</v>
      </c>
      <c r="E947" s="3" t="s">
        <v>49</v>
      </c>
      <c r="F947" s="3" t="s">
        <v>50</v>
      </c>
      <c r="G947" s="3" t="str">
        <f>"2025-09-16 21:55:58.347"</f>
        <v>2025-09-16 21:55:58.347</v>
      </c>
      <c r="H947" s="3" t="s">
        <v>22</v>
      </c>
    </row>
    <row r="948" spans="1:10" s="3" customFormat="1" x14ac:dyDescent="0.25">
      <c r="A948" s="2">
        <v>66</v>
      </c>
      <c r="B948" s="3" t="s">
        <v>23</v>
      </c>
      <c r="C948" s="3">
        <v>647</v>
      </c>
      <c r="D948" s="3">
        <v>1</v>
      </c>
      <c r="E948" s="3" t="s">
        <v>49</v>
      </c>
      <c r="F948" s="3" t="s">
        <v>50</v>
      </c>
      <c r="G948" s="3" t="str">
        <f>"2025-09-16 21:55:55.347"</f>
        <v>2025-09-16 21:55:55.347</v>
      </c>
      <c r="H948" s="3" t="s">
        <v>22</v>
      </c>
      <c r="I948" s="3">
        <v>8.7799999999999994</v>
      </c>
      <c r="J948" s="3" t="s">
        <v>48</v>
      </c>
    </row>
    <row r="949" spans="1:10" x14ac:dyDescent="0.25">
      <c r="A949" s="1">
        <v>67</v>
      </c>
      <c r="B949" t="s">
        <v>19</v>
      </c>
      <c r="C949">
        <v>61</v>
      </c>
      <c r="D949">
        <v>2</v>
      </c>
      <c r="E949" t="s">
        <v>51</v>
      </c>
      <c r="F949" t="s">
        <v>52</v>
      </c>
      <c r="G949" t="str">
        <f>"2025-09-16 07:06:05.347"</f>
        <v>2025-09-16 07:06:05.347</v>
      </c>
      <c r="H949" t="s">
        <v>22</v>
      </c>
    </row>
    <row r="950" spans="1:10" x14ac:dyDescent="0.25">
      <c r="A950" s="1">
        <v>68</v>
      </c>
      <c r="B950" t="s">
        <v>37</v>
      </c>
      <c r="C950">
        <v>61</v>
      </c>
      <c r="D950">
        <v>2</v>
      </c>
      <c r="E950" t="s">
        <v>51</v>
      </c>
      <c r="F950" t="s">
        <v>52</v>
      </c>
      <c r="G950" t="str">
        <f>"2025-09-16 07:05:50.447"</f>
        <v>2025-09-16 07:05:50.447</v>
      </c>
      <c r="H950" t="s">
        <v>22</v>
      </c>
      <c r="I950">
        <v>35.57</v>
      </c>
      <c r="J950" t="s">
        <v>31</v>
      </c>
    </row>
    <row r="951" spans="1:10" x14ac:dyDescent="0.25">
      <c r="A951" s="1">
        <v>69</v>
      </c>
      <c r="B951" t="s">
        <v>19</v>
      </c>
      <c r="C951">
        <v>635</v>
      </c>
      <c r="D951">
        <v>1</v>
      </c>
      <c r="E951" t="s">
        <v>28</v>
      </c>
      <c r="F951" t="s">
        <v>29</v>
      </c>
      <c r="G951" t="str">
        <f>"2025-09-16 05:22:41.093"</f>
        <v>2025-09-16 05:22:41.093</v>
      </c>
      <c r="H951" t="s">
        <v>22</v>
      </c>
    </row>
    <row r="952" spans="1:10" x14ac:dyDescent="0.25">
      <c r="A952" s="1">
        <v>70</v>
      </c>
      <c r="B952" t="s">
        <v>23</v>
      </c>
      <c r="C952">
        <v>635</v>
      </c>
      <c r="D952">
        <v>1</v>
      </c>
      <c r="E952" t="s">
        <v>28</v>
      </c>
      <c r="F952" t="s">
        <v>29</v>
      </c>
      <c r="G952" t="str">
        <f>"2025-09-16 05:20:16.693"</f>
        <v>2025-09-16 05:20:16.693</v>
      </c>
      <c r="H952" t="s">
        <v>22</v>
      </c>
      <c r="I952">
        <v>3.16</v>
      </c>
      <c r="J952" t="s">
        <v>31</v>
      </c>
    </row>
    <row r="953" spans="1:10" s="3" customFormat="1" x14ac:dyDescent="0.25">
      <c r="A953" s="2">
        <v>71</v>
      </c>
      <c r="B953" s="3" t="s">
        <v>19</v>
      </c>
      <c r="C953" s="3">
        <v>647</v>
      </c>
      <c r="D953" s="3">
        <v>1</v>
      </c>
      <c r="E953" s="3" t="s">
        <v>49</v>
      </c>
      <c r="F953" s="3" t="s">
        <v>50</v>
      </c>
      <c r="G953" s="3" t="str">
        <f>"2025-09-16 04:57:53.247"</f>
        <v>2025-09-16 04:57:53.247</v>
      </c>
      <c r="H953" s="3" t="s">
        <v>22</v>
      </c>
    </row>
    <row r="954" spans="1:10" s="3" customFormat="1" x14ac:dyDescent="0.25">
      <c r="A954" s="2">
        <v>72</v>
      </c>
      <c r="B954" s="3" t="s">
        <v>23</v>
      </c>
      <c r="C954" s="3">
        <v>647</v>
      </c>
      <c r="D954" s="3">
        <v>1</v>
      </c>
      <c r="E954" s="3" t="s">
        <v>49</v>
      </c>
      <c r="F954" s="3" t="s">
        <v>50</v>
      </c>
      <c r="G954" s="3" t="str">
        <f>"2025-09-16 04:57:44.747"</f>
        <v>2025-09-16 04:57:44.747</v>
      </c>
      <c r="H954" s="3" t="s">
        <v>22</v>
      </c>
      <c r="I954" s="3">
        <v>8.06</v>
      </c>
      <c r="J954" s="3" t="s">
        <v>31</v>
      </c>
    </row>
    <row r="955" spans="1:10" s="3" customFormat="1" x14ac:dyDescent="0.25">
      <c r="A955" s="2">
        <v>73</v>
      </c>
      <c r="B955" s="3" t="s">
        <v>19</v>
      </c>
      <c r="C955" s="3">
        <v>647</v>
      </c>
      <c r="D955" s="3">
        <v>1</v>
      </c>
      <c r="E955" s="3" t="s">
        <v>49</v>
      </c>
      <c r="F955" s="3" t="s">
        <v>50</v>
      </c>
      <c r="G955" s="3" t="str">
        <f>"2025-09-16 04:05:28.547"</f>
        <v>2025-09-16 04:05:28.547</v>
      </c>
      <c r="H955" s="3" t="s">
        <v>22</v>
      </c>
    </row>
    <row r="956" spans="1:10" s="3" customFormat="1" x14ac:dyDescent="0.25">
      <c r="A956" s="2">
        <v>74</v>
      </c>
      <c r="B956" s="3" t="s">
        <v>23</v>
      </c>
      <c r="C956" s="3">
        <v>647</v>
      </c>
      <c r="D956" s="3">
        <v>1</v>
      </c>
      <c r="E956" s="3" t="s">
        <v>49</v>
      </c>
      <c r="F956" s="3" t="s">
        <v>50</v>
      </c>
      <c r="G956" s="3" t="str">
        <f>"2025-09-16 04:05:26.847"</f>
        <v>2025-09-16 04:05:26.847</v>
      </c>
      <c r="H956" s="3" t="s">
        <v>22</v>
      </c>
      <c r="I956" s="3">
        <v>24.04</v>
      </c>
      <c r="J956" s="3" t="s">
        <v>31</v>
      </c>
    </row>
    <row r="957" spans="1:10" s="3" customFormat="1" x14ac:dyDescent="0.25">
      <c r="A957" s="2">
        <v>75</v>
      </c>
      <c r="B957" s="3" t="s">
        <v>19</v>
      </c>
      <c r="C957" s="3">
        <v>647</v>
      </c>
      <c r="D957" s="3">
        <v>1</v>
      </c>
      <c r="E957" s="3" t="s">
        <v>49</v>
      </c>
      <c r="F957" s="3" t="s">
        <v>50</v>
      </c>
      <c r="G957" s="3" t="str">
        <f>"2025-09-16 02:48:24.847"</f>
        <v>2025-09-16 02:48:24.847</v>
      </c>
      <c r="H957" s="3" t="s">
        <v>22</v>
      </c>
    </row>
    <row r="958" spans="1:10" s="3" customFormat="1" x14ac:dyDescent="0.25">
      <c r="A958" s="2">
        <v>76</v>
      </c>
      <c r="B958" s="3" t="s">
        <v>23</v>
      </c>
      <c r="C958" s="3">
        <v>647</v>
      </c>
      <c r="D958" s="3">
        <v>1</v>
      </c>
      <c r="E958" s="3" t="s">
        <v>49</v>
      </c>
      <c r="F958" s="3" t="s">
        <v>50</v>
      </c>
      <c r="G958" s="3" t="str">
        <f>"2025-09-16 02:48:23.547"</f>
        <v>2025-09-16 02:48:23.547</v>
      </c>
      <c r="H958" s="3" t="s">
        <v>22</v>
      </c>
      <c r="I958" s="3">
        <v>8.27</v>
      </c>
      <c r="J958" s="3" t="s">
        <v>48</v>
      </c>
    </row>
    <row r="959" spans="1:10" x14ac:dyDescent="0.25">
      <c r="A959" s="1">
        <v>77</v>
      </c>
      <c r="B959" t="s">
        <v>25</v>
      </c>
      <c r="C959">
        <v>700</v>
      </c>
      <c r="D959">
        <v>0</v>
      </c>
      <c r="E959" t="s">
        <v>26</v>
      </c>
      <c r="F959" t="s">
        <v>26</v>
      </c>
      <c r="G959" t="str">
        <f>"2025-09-16 02:32:26.675"</f>
        <v>2025-09-16 02:32:26.675</v>
      </c>
      <c r="H959" t="s">
        <v>22</v>
      </c>
      <c r="I959">
        <v>0</v>
      </c>
      <c r="J959" t="s">
        <v>27</v>
      </c>
    </row>
    <row r="960" spans="1:10" x14ac:dyDescent="0.25">
      <c r="A960" s="1">
        <v>78</v>
      </c>
      <c r="B960" t="s">
        <v>19</v>
      </c>
      <c r="C960">
        <v>635</v>
      </c>
      <c r="D960">
        <v>1</v>
      </c>
      <c r="E960" t="s">
        <v>28</v>
      </c>
      <c r="F960" t="s">
        <v>29</v>
      </c>
      <c r="G960" t="str">
        <f>"2025-09-15 21:40:28.661"</f>
        <v>2025-09-15 21:40:28.661</v>
      </c>
      <c r="H960" t="s">
        <v>22</v>
      </c>
    </row>
    <row r="961" spans="1:10" x14ac:dyDescent="0.25">
      <c r="A961" s="1">
        <v>79</v>
      </c>
      <c r="B961" t="s">
        <v>23</v>
      </c>
      <c r="C961">
        <v>635</v>
      </c>
      <c r="D961">
        <v>1</v>
      </c>
      <c r="E961" t="s">
        <v>28</v>
      </c>
      <c r="F961" t="s">
        <v>29</v>
      </c>
      <c r="G961" t="str">
        <f>"2025-09-15 21:36:10.162"</f>
        <v>2025-09-15 21:36:10.162</v>
      </c>
      <c r="H961" t="s">
        <v>22</v>
      </c>
      <c r="I961">
        <v>1.55</v>
      </c>
      <c r="J961" t="s">
        <v>31</v>
      </c>
    </row>
    <row r="962" spans="1:10" x14ac:dyDescent="0.25">
      <c r="A962" s="1">
        <v>80</v>
      </c>
      <c r="B962" t="s">
        <v>25</v>
      </c>
      <c r="C962">
        <v>706</v>
      </c>
      <c r="D962">
        <v>4</v>
      </c>
      <c r="E962" t="s">
        <v>35</v>
      </c>
      <c r="F962" t="s">
        <v>36</v>
      </c>
      <c r="G962" t="str">
        <f>"2025-09-15 10:27:01.035"</f>
        <v>2025-09-15 10:27:01.035</v>
      </c>
      <c r="H962" t="s">
        <v>22</v>
      </c>
      <c r="I962">
        <v>0</v>
      </c>
      <c r="J962" t="s">
        <v>24</v>
      </c>
    </row>
    <row r="963" spans="1:10" x14ac:dyDescent="0.25">
      <c r="A963" s="1">
        <v>81</v>
      </c>
      <c r="B963" t="s">
        <v>25</v>
      </c>
      <c r="C963">
        <v>700</v>
      </c>
      <c r="D963">
        <v>0</v>
      </c>
      <c r="E963" t="s">
        <v>26</v>
      </c>
      <c r="F963" t="s">
        <v>26</v>
      </c>
      <c r="G963" t="str">
        <f>"2025-09-15 10:21:09.615"</f>
        <v>2025-09-15 10:21:09.615</v>
      </c>
      <c r="H963" t="s">
        <v>22</v>
      </c>
      <c r="I963">
        <v>0</v>
      </c>
      <c r="J963" t="s">
        <v>27</v>
      </c>
    </row>
    <row r="964" spans="1:10" x14ac:dyDescent="0.25">
      <c r="A964" s="1">
        <v>82</v>
      </c>
      <c r="B964" t="s">
        <v>25</v>
      </c>
      <c r="C964">
        <v>700</v>
      </c>
      <c r="D964">
        <v>0</v>
      </c>
      <c r="E964" t="s">
        <v>26</v>
      </c>
      <c r="F964" t="s">
        <v>26</v>
      </c>
      <c r="G964" t="str">
        <f>"2025-09-15 10:12:54.610"</f>
        <v>2025-09-15 10:12:54.610</v>
      </c>
      <c r="H964" t="s">
        <v>22</v>
      </c>
      <c r="I964">
        <v>0</v>
      </c>
      <c r="J964" t="s">
        <v>27</v>
      </c>
    </row>
    <row r="965" spans="1:10" x14ac:dyDescent="0.25">
      <c r="A965" s="1">
        <v>83</v>
      </c>
      <c r="B965" t="s">
        <v>25</v>
      </c>
      <c r="C965">
        <v>706</v>
      </c>
      <c r="D965">
        <v>4</v>
      </c>
      <c r="E965" t="s">
        <v>35</v>
      </c>
      <c r="F965" t="s">
        <v>36</v>
      </c>
      <c r="G965" t="str">
        <f>"2025-09-15 09:40:48.844"</f>
        <v>2025-09-15 09:40:48.844</v>
      </c>
      <c r="H965" t="s">
        <v>22</v>
      </c>
      <c r="I965">
        <v>0</v>
      </c>
      <c r="J965" t="s">
        <v>24</v>
      </c>
    </row>
    <row r="966" spans="1:10" x14ac:dyDescent="0.25">
      <c r="A966" s="1">
        <v>84</v>
      </c>
      <c r="B966" t="s">
        <v>25</v>
      </c>
      <c r="C966">
        <v>700</v>
      </c>
      <c r="D966">
        <v>0</v>
      </c>
      <c r="E966" t="s">
        <v>26</v>
      </c>
      <c r="F966" t="s">
        <v>26</v>
      </c>
      <c r="G966" t="str">
        <f>"2025-09-15 09:39:09.644"</f>
        <v>2025-09-15 09:39:09.644</v>
      </c>
      <c r="H966" t="s">
        <v>22</v>
      </c>
      <c r="I966">
        <v>0</v>
      </c>
      <c r="J966" t="s">
        <v>27</v>
      </c>
    </row>
    <row r="967" spans="1:10" x14ac:dyDescent="0.25">
      <c r="A967" s="1">
        <v>85</v>
      </c>
      <c r="B967" t="s">
        <v>19</v>
      </c>
      <c r="C967">
        <v>61</v>
      </c>
      <c r="D967">
        <v>2</v>
      </c>
      <c r="E967" t="s">
        <v>51</v>
      </c>
      <c r="F967" t="s">
        <v>52</v>
      </c>
      <c r="G967" t="str">
        <f>"2025-09-15 07:18:22.969"</f>
        <v>2025-09-15 07:18:22.969</v>
      </c>
      <c r="H967" t="s">
        <v>22</v>
      </c>
    </row>
    <row r="968" spans="1:10" x14ac:dyDescent="0.25">
      <c r="A968" s="1">
        <v>86</v>
      </c>
      <c r="B968" t="s">
        <v>37</v>
      </c>
      <c r="C968">
        <v>61</v>
      </c>
      <c r="D968">
        <v>2</v>
      </c>
      <c r="E968" t="s">
        <v>51</v>
      </c>
      <c r="F968" t="s">
        <v>52</v>
      </c>
      <c r="G968" t="str">
        <f>"2025-09-15 07:18:15.069"</f>
        <v>2025-09-15 07:18:15.069</v>
      </c>
      <c r="H968" t="s">
        <v>22</v>
      </c>
      <c r="I968">
        <v>36.479999999999997</v>
      </c>
      <c r="J968" t="s">
        <v>31</v>
      </c>
    </row>
    <row r="969" spans="1:10" s="3" customFormat="1" x14ac:dyDescent="0.25">
      <c r="A969" s="2">
        <v>87</v>
      </c>
      <c r="B969" s="3" t="s">
        <v>19</v>
      </c>
      <c r="C969" s="3">
        <v>647</v>
      </c>
      <c r="D969" s="3">
        <v>1</v>
      </c>
      <c r="E969" s="3" t="s">
        <v>49</v>
      </c>
      <c r="F969" s="3" t="s">
        <v>50</v>
      </c>
      <c r="G969" s="3" t="str">
        <f>"2025-09-15 01:59:09.277"</f>
        <v>2025-09-15 01:59:09.277</v>
      </c>
      <c r="H969" s="3" t="s">
        <v>22</v>
      </c>
    </row>
    <row r="970" spans="1:10" s="3" customFormat="1" x14ac:dyDescent="0.25">
      <c r="A970" s="2">
        <v>88</v>
      </c>
      <c r="B970" s="3" t="s">
        <v>23</v>
      </c>
      <c r="C970" s="3">
        <v>647</v>
      </c>
      <c r="D970" s="3">
        <v>1</v>
      </c>
      <c r="E970" s="3" t="s">
        <v>49</v>
      </c>
      <c r="F970" s="3" t="s">
        <v>50</v>
      </c>
      <c r="G970" s="3" t="str">
        <f>"2025-09-15 01:59:07.377"</f>
        <v>2025-09-15 01:59:07.377</v>
      </c>
      <c r="H970" s="3" t="s">
        <v>22</v>
      </c>
      <c r="I970" s="3">
        <v>21.94</v>
      </c>
      <c r="J970" s="3" t="s">
        <v>31</v>
      </c>
    </row>
    <row r="971" spans="1:10" s="3" customFormat="1" x14ac:dyDescent="0.25">
      <c r="A971" s="2">
        <v>89</v>
      </c>
      <c r="B971" s="3" t="s">
        <v>19</v>
      </c>
      <c r="C971" s="3">
        <v>647</v>
      </c>
      <c r="D971" s="3">
        <v>1</v>
      </c>
      <c r="E971" s="3" t="s">
        <v>49</v>
      </c>
      <c r="F971" s="3" t="s">
        <v>50</v>
      </c>
      <c r="G971" s="3" t="str">
        <f>"2025-09-15 01:07:38.577"</f>
        <v>2025-09-15 01:07:38.577</v>
      </c>
      <c r="H971" s="3" t="s">
        <v>22</v>
      </c>
    </row>
    <row r="972" spans="1:10" s="3" customFormat="1" x14ac:dyDescent="0.25">
      <c r="A972" s="2">
        <v>90</v>
      </c>
      <c r="B972" s="3" t="s">
        <v>23</v>
      </c>
      <c r="C972" s="3">
        <v>647</v>
      </c>
      <c r="D972" s="3">
        <v>1</v>
      </c>
      <c r="E972" s="3" t="s">
        <v>49</v>
      </c>
      <c r="F972" s="3" t="s">
        <v>50</v>
      </c>
      <c r="G972" s="3" t="str">
        <f>"2025-09-15 01:07:33.677"</f>
        <v>2025-09-15 01:07:33.677</v>
      </c>
      <c r="H972" s="3" t="s">
        <v>22</v>
      </c>
      <c r="I972" s="3">
        <v>15.42</v>
      </c>
      <c r="J972" s="3" t="s">
        <v>31</v>
      </c>
    </row>
    <row r="973" spans="1:10" s="3" customFormat="1" x14ac:dyDescent="0.25">
      <c r="A973" s="2">
        <v>91</v>
      </c>
      <c r="B973" s="3" t="s">
        <v>19</v>
      </c>
      <c r="C973" s="3">
        <v>647</v>
      </c>
      <c r="D973" s="3">
        <v>1</v>
      </c>
      <c r="E973" s="3" t="s">
        <v>49</v>
      </c>
      <c r="F973" s="3" t="s">
        <v>50</v>
      </c>
      <c r="G973" s="3" t="str">
        <f>"2025-09-15 01:07:26.177"</f>
        <v>2025-09-15 01:07:26.177</v>
      </c>
      <c r="H973" s="3" t="s">
        <v>22</v>
      </c>
    </row>
    <row r="974" spans="1:10" s="3" customFormat="1" x14ac:dyDescent="0.25">
      <c r="A974" s="2">
        <v>92</v>
      </c>
      <c r="B974" s="3" t="s">
        <v>23</v>
      </c>
      <c r="C974" s="3">
        <v>647</v>
      </c>
      <c r="D974" s="3">
        <v>1</v>
      </c>
      <c r="E974" s="3" t="s">
        <v>49</v>
      </c>
      <c r="F974" s="3" t="s">
        <v>50</v>
      </c>
      <c r="G974" s="3" t="str">
        <f>"2025-09-15 01:07:24.277"</f>
        <v>2025-09-15 01:07:24.277</v>
      </c>
      <c r="H974" s="3" t="s">
        <v>22</v>
      </c>
      <c r="I974" s="3">
        <v>10.050000000000001</v>
      </c>
      <c r="J974" s="3" t="s">
        <v>31</v>
      </c>
    </row>
    <row r="975" spans="1:10" s="3" customFormat="1" x14ac:dyDescent="0.25">
      <c r="A975" s="2">
        <v>93</v>
      </c>
      <c r="B975" s="3" t="s">
        <v>19</v>
      </c>
      <c r="C975" s="3">
        <v>647</v>
      </c>
      <c r="D975" s="3">
        <v>1</v>
      </c>
      <c r="E975" s="3" t="s">
        <v>49</v>
      </c>
      <c r="F975" s="3" t="s">
        <v>50</v>
      </c>
      <c r="G975" s="3" t="str">
        <f>"2025-09-15 00:00:41.377"</f>
        <v>2025-09-15 00:00:41.377</v>
      </c>
      <c r="H975" s="3" t="s">
        <v>22</v>
      </c>
    </row>
    <row r="976" spans="1:10" s="3" customFormat="1" x14ac:dyDescent="0.25">
      <c r="A976" s="2">
        <v>94</v>
      </c>
      <c r="B976" s="3" t="s">
        <v>23</v>
      </c>
      <c r="C976" s="3">
        <v>647</v>
      </c>
      <c r="D976" s="3">
        <v>1</v>
      </c>
      <c r="E976" s="3" t="s">
        <v>49</v>
      </c>
      <c r="F976" s="3" t="s">
        <v>50</v>
      </c>
      <c r="G976" s="3" t="str">
        <f>"2025-09-15 00:00:22.477"</f>
        <v>2025-09-15 00:00:22.477</v>
      </c>
      <c r="H976" s="3" t="s">
        <v>22</v>
      </c>
      <c r="I976" s="3">
        <v>12.65</v>
      </c>
      <c r="J976" s="3" t="s">
        <v>31</v>
      </c>
    </row>
    <row r="977" spans="1:10" x14ac:dyDescent="0.25">
      <c r="A977" s="1">
        <v>96</v>
      </c>
      <c r="B977" t="s">
        <v>25</v>
      </c>
      <c r="C977">
        <v>700</v>
      </c>
      <c r="D977">
        <v>0</v>
      </c>
      <c r="E977" t="s">
        <v>26</v>
      </c>
      <c r="F977" t="s">
        <v>26</v>
      </c>
      <c r="G977" t="str">
        <f>"2025-09-14 10:08:08.598"</f>
        <v>2025-09-14 10:08:08.598</v>
      </c>
      <c r="H977" t="s">
        <v>22</v>
      </c>
      <c r="I977">
        <v>0</v>
      </c>
      <c r="J977" t="s">
        <v>27</v>
      </c>
    </row>
    <row r="978" spans="1:10" x14ac:dyDescent="0.25">
      <c r="A978" s="1">
        <v>97</v>
      </c>
      <c r="B978" t="s">
        <v>25</v>
      </c>
      <c r="C978">
        <v>700</v>
      </c>
      <c r="D978">
        <v>0</v>
      </c>
      <c r="E978" t="s">
        <v>26</v>
      </c>
      <c r="F978" t="s">
        <v>26</v>
      </c>
      <c r="G978" t="str">
        <f>"2025-09-13 09:26:36.629"</f>
        <v>2025-09-13 09:26:36.629</v>
      </c>
      <c r="H978" t="s">
        <v>22</v>
      </c>
      <c r="I978">
        <v>0</v>
      </c>
      <c r="J978" t="s">
        <v>27</v>
      </c>
    </row>
    <row r="979" spans="1:10" s="3" customFormat="1" x14ac:dyDescent="0.25">
      <c r="A979" s="2">
        <v>98</v>
      </c>
      <c r="B979" s="3" t="s">
        <v>19</v>
      </c>
      <c r="C979" s="3">
        <v>647</v>
      </c>
      <c r="D979" s="3">
        <v>1</v>
      </c>
      <c r="E979" s="3" t="s">
        <v>49</v>
      </c>
      <c r="F979" s="3" t="s">
        <v>50</v>
      </c>
      <c r="G979" s="3" t="str">
        <f>"2025-09-12 11:01:19.177"</f>
        <v>2025-09-12 11:01:19.177</v>
      </c>
      <c r="H979" s="3" t="s">
        <v>22</v>
      </c>
    </row>
    <row r="980" spans="1:10" s="3" customFormat="1" x14ac:dyDescent="0.25">
      <c r="A980" s="2">
        <v>99</v>
      </c>
      <c r="B980" s="3" t="s">
        <v>23</v>
      </c>
      <c r="C980" s="3">
        <v>647</v>
      </c>
      <c r="D980" s="3">
        <v>1</v>
      </c>
      <c r="E980" s="3" t="s">
        <v>49</v>
      </c>
      <c r="F980" s="3" t="s">
        <v>50</v>
      </c>
      <c r="G980" s="3" t="str">
        <f>"2025-09-12 11:01:12.878"</f>
        <v>2025-09-12 11:01:12.878</v>
      </c>
      <c r="H980" s="3" t="s">
        <v>22</v>
      </c>
      <c r="I980" s="3">
        <v>9.77</v>
      </c>
      <c r="J980" s="3" t="s">
        <v>31</v>
      </c>
    </row>
    <row r="981" spans="1:10" x14ac:dyDescent="0.25">
      <c r="A981" s="1">
        <v>0</v>
      </c>
      <c r="B981" t="s">
        <v>25</v>
      </c>
      <c r="C981">
        <v>700</v>
      </c>
      <c r="D981">
        <v>0</v>
      </c>
      <c r="E981" t="s">
        <v>26</v>
      </c>
      <c r="F981" t="s">
        <v>26</v>
      </c>
      <c r="G981" t="str">
        <f>"2025-09-12 08:04:06.589"</f>
        <v>2025-09-12 08:04:06.589</v>
      </c>
      <c r="H981" t="s">
        <v>22</v>
      </c>
    </row>
    <row r="982" spans="1:10" x14ac:dyDescent="0.25">
      <c r="A982" s="1">
        <v>1</v>
      </c>
      <c r="B982" t="s">
        <v>19</v>
      </c>
      <c r="C982">
        <v>635</v>
      </c>
      <c r="D982">
        <v>1</v>
      </c>
      <c r="E982" t="s">
        <v>28</v>
      </c>
      <c r="F982" t="s">
        <v>29</v>
      </c>
      <c r="G982" t="str">
        <f>"2025-09-12 01:54:45.259"</f>
        <v>2025-09-12 01:54:45.259</v>
      </c>
      <c r="H982" t="s">
        <v>22</v>
      </c>
    </row>
    <row r="983" spans="1:10" x14ac:dyDescent="0.25">
      <c r="A983" s="1">
        <v>2</v>
      </c>
      <c r="B983" t="s">
        <v>23</v>
      </c>
      <c r="C983">
        <v>635</v>
      </c>
      <c r="D983">
        <v>1</v>
      </c>
      <c r="E983" t="s">
        <v>28</v>
      </c>
      <c r="F983" t="s">
        <v>29</v>
      </c>
      <c r="G983" t="str">
        <f>"2025-09-12 01:24:32.359"</f>
        <v>2025-09-12 01:24:32.359</v>
      </c>
      <c r="H983" t="s">
        <v>22</v>
      </c>
      <c r="I983">
        <v>4.84</v>
      </c>
      <c r="J983" t="s">
        <v>30</v>
      </c>
    </row>
    <row r="984" spans="1:10" x14ac:dyDescent="0.25">
      <c r="A984" s="1">
        <v>4</v>
      </c>
      <c r="B984" t="s">
        <v>19</v>
      </c>
      <c r="C984">
        <v>61</v>
      </c>
      <c r="D984">
        <v>2</v>
      </c>
      <c r="E984" t="s">
        <v>51</v>
      </c>
      <c r="F984" t="s">
        <v>52</v>
      </c>
      <c r="G984" t="str">
        <f>"2025-09-10 07:21:48.242"</f>
        <v>2025-09-10 07:21:48.242</v>
      </c>
      <c r="H984" t="s">
        <v>22</v>
      </c>
    </row>
    <row r="985" spans="1:10" x14ac:dyDescent="0.25">
      <c r="A985" s="1">
        <v>5</v>
      </c>
      <c r="B985" t="s">
        <v>37</v>
      </c>
      <c r="C985">
        <v>61</v>
      </c>
      <c r="D985">
        <v>2</v>
      </c>
      <c r="E985" t="s">
        <v>51</v>
      </c>
      <c r="F985" t="s">
        <v>52</v>
      </c>
      <c r="G985" t="str">
        <f>"2025-09-10 07:21:40.942"</f>
        <v>2025-09-10 07:21:40.942</v>
      </c>
      <c r="H985" t="s">
        <v>22</v>
      </c>
      <c r="I985">
        <v>35.049999999999997</v>
      </c>
      <c r="J985" t="s">
        <v>31</v>
      </c>
    </row>
    <row r="986" spans="1:10" x14ac:dyDescent="0.25">
      <c r="A986" s="1">
        <v>6</v>
      </c>
      <c r="B986" t="s">
        <v>25</v>
      </c>
      <c r="C986">
        <v>700</v>
      </c>
      <c r="D986">
        <v>0</v>
      </c>
      <c r="E986" t="s">
        <v>26</v>
      </c>
      <c r="F986" t="s">
        <v>26</v>
      </c>
      <c r="G986" t="str">
        <f>"2025-09-09 14:39:47.612"</f>
        <v>2025-09-09 14:39:47.612</v>
      </c>
      <c r="H986" t="s">
        <v>22</v>
      </c>
      <c r="I986">
        <v>0</v>
      </c>
      <c r="J986" t="s">
        <v>27</v>
      </c>
    </row>
    <row r="987" spans="1:10" x14ac:dyDescent="0.25">
      <c r="A987" s="1">
        <v>7</v>
      </c>
      <c r="B987" t="s">
        <v>25</v>
      </c>
      <c r="C987">
        <v>700</v>
      </c>
      <c r="D987">
        <v>0</v>
      </c>
      <c r="E987" t="s">
        <v>26</v>
      </c>
      <c r="F987" t="s">
        <v>26</v>
      </c>
      <c r="G987" t="str">
        <f>"2025-09-09 04:04:20.594"</f>
        <v>2025-09-09 04:04:20.594</v>
      </c>
      <c r="H987" t="s">
        <v>22</v>
      </c>
      <c r="I987">
        <v>0</v>
      </c>
      <c r="J987" t="s">
        <v>27</v>
      </c>
    </row>
    <row r="988" spans="1:10" x14ac:dyDescent="0.25">
      <c r="A988" s="1">
        <v>8</v>
      </c>
      <c r="B988" t="s">
        <v>25</v>
      </c>
      <c r="C988">
        <v>706</v>
      </c>
      <c r="D988">
        <v>4</v>
      </c>
      <c r="E988" t="s">
        <v>35</v>
      </c>
      <c r="F988" t="s">
        <v>36</v>
      </c>
      <c r="G988" t="str">
        <f>"2025-09-09 00:56:46.648"</f>
        <v>2025-09-09 00:56:46.648</v>
      </c>
      <c r="H988" t="s">
        <v>22</v>
      </c>
      <c r="I988">
        <v>0</v>
      </c>
      <c r="J988" t="s">
        <v>24</v>
      </c>
    </row>
    <row r="989" spans="1:10" x14ac:dyDescent="0.25">
      <c r="A989" s="1">
        <v>9</v>
      </c>
      <c r="B989" t="s">
        <v>25</v>
      </c>
      <c r="C989">
        <v>706</v>
      </c>
      <c r="D989">
        <v>4</v>
      </c>
      <c r="E989" t="s">
        <v>35</v>
      </c>
      <c r="F989" t="s">
        <v>36</v>
      </c>
      <c r="G989" t="str">
        <f>"2025-09-09 00:55:24.058"</f>
        <v>2025-09-09 00:55:24.058</v>
      </c>
      <c r="H989" t="s">
        <v>22</v>
      </c>
      <c r="I989">
        <v>0</v>
      </c>
      <c r="J989" t="s">
        <v>24</v>
      </c>
    </row>
    <row r="990" spans="1:10" x14ac:dyDescent="0.25">
      <c r="A990" s="1">
        <v>10</v>
      </c>
      <c r="B990" t="s">
        <v>25</v>
      </c>
      <c r="C990">
        <v>700</v>
      </c>
      <c r="D990">
        <v>0</v>
      </c>
      <c r="E990" t="s">
        <v>26</v>
      </c>
      <c r="F990" t="s">
        <v>26</v>
      </c>
      <c r="G990" t="str">
        <f>"2025-09-09 00:52:40.588"</f>
        <v>2025-09-09 00:52:40.588</v>
      </c>
      <c r="H990" t="s">
        <v>22</v>
      </c>
    </row>
    <row r="991" spans="1:10" x14ac:dyDescent="0.25">
      <c r="A991" s="1">
        <v>11</v>
      </c>
      <c r="B991" t="s">
        <v>19</v>
      </c>
      <c r="C991">
        <v>630</v>
      </c>
      <c r="D991">
        <v>5</v>
      </c>
      <c r="E991" t="s">
        <v>32</v>
      </c>
      <c r="F991" t="s">
        <v>33</v>
      </c>
      <c r="G991" t="str">
        <f>"2025-09-08 22:26:25.923"</f>
        <v>2025-09-08 22:26:25.923</v>
      </c>
      <c r="H991" t="s">
        <v>34</v>
      </c>
    </row>
    <row r="992" spans="1:10" x14ac:dyDescent="0.25">
      <c r="A992" s="1">
        <v>12</v>
      </c>
      <c r="B992" t="s">
        <v>37</v>
      </c>
      <c r="C992">
        <v>630</v>
      </c>
      <c r="D992">
        <v>5</v>
      </c>
      <c r="E992" t="s">
        <v>32</v>
      </c>
      <c r="F992" t="s">
        <v>33</v>
      </c>
      <c r="G992" t="str">
        <f>"2025-09-08 22:10:26.423"</f>
        <v>2025-09-08 22:10:26.423</v>
      </c>
      <c r="H992" t="s">
        <v>34</v>
      </c>
      <c r="I992">
        <v>0</v>
      </c>
      <c r="J992" t="s">
        <v>24</v>
      </c>
    </row>
    <row r="993" spans="1:10" x14ac:dyDescent="0.25">
      <c r="A993" s="1">
        <v>13</v>
      </c>
      <c r="B993" t="s">
        <v>25</v>
      </c>
      <c r="C993">
        <v>700</v>
      </c>
      <c r="D993">
        <v>0</v>
      </c>
      <c r="E993" t="s">
        <v>26</v>
      </c>
      <c r="F993" t="s">
        <v>26</v>
      </c>
      <c r="G993" t="str">
        <f>"2025-09-08 22:05:23.589"</f>
        <v>2025-09-08 22:05:23.589</v>
      </c>
      <c r="H993" t="s">
        <v>22</v>
      </c>
    </row>
    <row r="994" spans="1:10" x14ac:dyDescent="0.25">
      <c r="A994" s="1">
        <v>14</v>
      </c>
      <c r="B994" t="s">
        <v>37</v>
      </c>
      <c r="C994">
        <v>630</v>
      </c>
      <c r="D994">
        <v>5</v>
      </c>
      <c r="E994" t="s">
        <v>32</v>
      </c>
      <c r="F994" t="s">
        <v>33</v>
      </c>
      <c r="G994" t="str">
        <f>"2025-09-08 21:15:08.763"</f>
        <v>2025-09-08 21:15:08.763</v>
      </c>
      <c r="H994" t="s">
        <v>34</v>
      </c>
      <c r="I994">
        <v>0</v>
      </c>
      <c r="J994" t="s">
        <v>24</v>
      </c>
    </row>
    <row r="995" spans="1:10" x14ac:dyDescent="0.25">
      <c r="A995" s="1">
        <v>15</v>
      </c>
      <c r="B995" t="s">
        <v>25</v>
      </c>
      <c r="C995">
        <v>700</v>
      </c>
      <c r="D995">
        <v>0</v>
      </c>
      <c r="E995" t="s">
        <v>26</v>
      </c>
      <c r="F995" t="s">
        <v>26</v>
      </c>
      <c r="G995" t="str">
        <f>"2025-09-08 21:10:05.864"</f>
        <v>2025-09-08 21:10:05.864</v>
      </c>
      <c r="H995" t="s">
        <v>22</v>
      </c>
    </row>
    <row r="996" spans="1:10" x14ac:dyDescent="0.25">
      <c r="A996" s="1">
        <v>16</v>
      </c>
      <c r="B996" t="s">
        <v>25</v>
      </c>
      <c r="C996">
        <v>700</v>
      </c>
      <c r="D996">
        <v>0</v>
      </c>
      <c r="E996" t="s">
        <v>26</v>
      </c>
      <c r="F996" t="s">
        <v>26</v>
      </c>
      <c r="G996" t="str">
        <f>"2025-09-08 10:02:54.597"</f>
        <v>2025-09-08 10:02:54.597</v>
      </c>
      <c r="H996" t="s">
        <v>22</v>
      </c>
      <c r="I996">
        <v>0</v>
      </c>
      <c r="J996" t="s">
        <v>27</v>
      </c>
    </row>
    <row r="997" spans="1:10" s="3" customFormat="1" x14ac:dyDescent="0.25">
      <c r="A997" s="2">
        <v>17</v>
      </c>
      <c r="B997" s="3" t="s">
        <v>19</v>
      </c>
      <c r="C997" s="3">
        <v>647</v>
      </c>
      <c r="D997" s="3">
        <v>1</v>
      </c>
      <c r="E997" s="3" t="s">
        <v>49</v>
      </c>
      <c r="F997" s="3" t="s">
        <v>50</v>
      </c>
      <c r="G997" s="3" t="str">
        <f>"2025-09-08 03:39:28.758"</f>
        <v>2025-09-08 03:39:28.758</v>
      </c>
      <c r="H997" s="3" t="s">
        <v>22</v>
      </c>
    </row>
    <row r="998" spans="1:10" s="3" customFormat="1" x14ac:dyDescent="0.25">
      <c r="A998" s="2">
        <v>18</v>
      </c>
      <c r="B998" s="3" t="s">
        <v>23</v>
      </c>
      <c r="C998" s="3">
        <v>647</v>
      </c>
      <c r="D998" s="3">
        <v>1</v>
      </c>
      <c r="E998" s="3" t="s">
        <v>49</v>
      </c>
      <c r="F998" s="3" t="s">
        <v>50</v>
      </c>
      <c r="G998" s="3" t="str">
        <f>"2025-09-08 03:39:24.459"</f>
        <v>2025-09-08 03:39:24.459</v>
      </c>
      <c r="H998" s="3" t="s">
        <v>22</v>
      </c>
      <c r="I998" s="3">
        <v>8.6300000000000008</v>
      </c>
      <c r="J998" s="3" t="s">
        <v>31</v>
      </c>
    </row>
    <row r="999" spans="1:10" x14ac:dyDescent="0.25">
      <c r="A999" s="1">
        <v>19</v>
      </c>
      <c r="B999" t="s">
        <v>25</v>
      </c>
      <c r="C999">
        <v>700</v>
      </c>
      <c r="D999">
        <v>0</v>
      </c>
      <c r="E999" t="s">
        <v>26</v>
      </c>
      <c r="F999" t="s">
        <v>26</v>
      </c>
      <c r="G999" t="str">
        <f>"2025-09-05 10:59:11.582"</f>
        <v>2025-09-05 10:59:11.582</v>
      </c>
      <c r="H999" t="s">
        <v>22</v>
      </c>
      <c r="I999">
        <v>0</v>
      </c>
      <c r="J999" t="s">
        <v>27</v>
      </c>
    </row>
    <row r="1000" spans="1:10" x14ac:dyDescent="0.25">
      <c r="A1000" s="1">
        <v>20</v>
      </c>
      <c r="B1000" t="s">
        <v>19</v>
      </c>
      <c r="C1000">
        <v>635</v>
      </c>
      <c r="D1000">
        <v>1</v>
      </c>
      <c r="E1000" t="s">
        <v>28</v>
      </c>
      <c r="F1000" t="s">
        <v>29</v>
      </c>
      <c r="G1000" t="str">
        <f>"2025-09-04 22:27:05.819"</f>
        <v>2025-09-04 22:27:05.819</v>
      </c>
      <c r="H1000" t="s">
        <v>22</v>
      </c>
    </row>
    <row r="1001" spans="1:10" x14ac:dyDescent="0.25">
      <c r="A1001" s="1">
        <v>21</v>
      </c>
      <c r="B1001" t="s">
        <v>23</v>
      </c>
      <c r="C1001">
        <v>635</v>
      </c>
      <c r="D1001">
        <v>1</v>
      </c>
      <c r="E1001" t="s">
        <v>28</v>
      </c>
      <c r="F1001" t="s">
        <v>29</v>
      </c>
      <c r="G1001" t="str">
        <f>"2025-09-04 21:53:57.420"</f>
        <v>2025-09-04 21:53:57.420</v>
      </c>
      <c r="H1001" t="s">
        <v>22</v>
      </c>
      <c r="I1001">
        <v>7.9</v>
      </c>
      <c r="J1001" t="s">
        <v>30</v>
      </c>
    </row>
    <row r="1002" spans="1:10" x14ac:dyDescent="0.25">
      <c r="A1002" s="1">
        <v>22</v>
      </c>
      <c r="B1002" t="s">
        <v>19</v>
      </c>
      <c r="C1002">
        <v>635</v>
      </c>
      <c r="D1002">
        <v>1</v>
      </c>
      <c r="E1002" t="s">
        <v>28</v>
      </c>
      <c r="F1002" t="s">
        <v>29</v>
      </c>
      <c r="G1002" t="str">
        <f>"2025-09-02 15:05:57.619"</f>
        <v>2025-09-02 15:05:57.619</v>
      </c>
      <c r="H1002" t="s">
        <v>22</v>
      </c>
    </row>
    <row r="1003" spans="1:10" x14ac:dyDescent="0.25">
      <c r="A1003" s="1">
        <v>23</v>
      </c>
      <c r="B1003" t="s">
        <v>23</v>
      </c>
      <c r="C1003">
        <v>635</v>
      </c>
      <c r="D1003">
        <v>1</v>
      </c>
      <c r="E1003" t="s">
        <v>28</v>
      </c>
      <c r="F1003" t="s">
        <v>29</v>
      </c>
      <c r="G1003" t="str">
        <f>"2025-09-02 15:00:13.619"</f>
        <v>2025-09-02 15:00:13.619</v>
      </c>
      <c r="H1003" t="s">
        <v>22</v>
      </c>
      <c r="I1003">
        <v>4.58</v>
      </c>
      <c r="J1003" t="s">
        <v>31</v>
      </c>
    </row>
    <row r="1004" spans="1:10" x14ac:dyDescent="0.25">
      <c r="A1004" s="1">
        <v>24</v>
      </c>
      <c r="B1004" t="s">
        <v>19</v>
      </c>
      <c r="C1004">
        <v>630</v>
      </c>
      <c r="D1004">
        <v>5</v>
      </c>
      <c r="E1004" t="s">
        <v>32</v>
      </c>
      <c r="F1004" t="s">
        <v>33</v>
      </c>
      <c r="G1004" t="str">
        <f>"2025-09-02 09:41:02.020"</f>
        <v>2025-09-02 09:41:02.020</v>
      </c>
      <c r="H1004" t="s">
        <v>34</v>
      </c>
    </row>
    <row r="1005" spans="1:10" x14ac:dyDescent="0.25">
      <c r="A1005" s="1">
        <v>25</v>
      </c>
      <c r="B1005" t="s">
        <v>25</v>
      </c>
      <c r="C1005">
        <v>706</v>
      </c>
      <c r="D1005">
        <v>2</v>
      </c>
      <c r="E1005" t="s">
        <v>35</v>
      </c>
      <c r="F1005" t="s">
        <v>38</v>
      </c>
      <c r="G1005" t="str">
        <f>"2025-09-02 09:40:31.819"</f>
        <v>2025-09-02 09:40:31.819</v>
      </c>
      <c r="H1005" t="s">
        <v>22</v>
      </c>
      <c r="I1005">
        <v>0</v>
      </c>
      <c r="J1005" t="s">
        <v>24</v>
      </c>
    </row>
    <row r="1006" spans="1:10" x14ac:dyDescent="0.25">
      <c r="A1006" s="1">
        <v>26</v>
      </c>
      <c r="B1006" t="s">
        <v>37</v>
      </c>
      <c r="C1006">
        <v>630</v>
      </c>
      <c r="D1006">
        <v>5</v>
      </c>
      <c r="E1006" t="s">
        <v>32</v>
      </c>
      <c r="F1006" t="s">
        <v>33</v>
      </c>
      <c r="G1006" t="str">
        <f>"2025-09-02 09:30:17.220"</f>
        <v>2025-09-02 09:30:17.220</v>
      </c>
      <c r="H1006" t="s">
        <v>34</v>
      </c>
      <c r="I1006">
        <v>0</v>
      </c>
      <c r="J1006" t="s">
        <v>24</v>
      </c>
    </row>
    <row r="1007" spans="1:10" x14ac:dyDescent="0.25">
      <c r="A1007" s="1">
        <v>27</v>
      </c>
      <c r="B1007" t="s">
        <v>19</v>
      </c>
      <c r="C1007">
        <v>635</v>
      </c>
      <c r="D1007">
        <v>1</v>
      </c>
      <c r="E1007" t="s">
        <v>28</v>
      </c>
      <c r="F1007" t="s">
        <v>29</v>
      </c>
      <c r="G1007" t="str">
        <f>"2025-09-01 17:07:09.119"</f>
        <v>2025-09-01 17:07:09.119</v>
      </c>
      <c r="H1007" t="s">
        <v>22</v>
      </c>
    </row>
    <row r="1008" spans="1:10" x14ac:dyDescent="0.25">
      <c r="A1008" s="1">
        <v>28</v>
      </c>
      <c r="B1008" t="s">
        <v>23</v>
      </c>
      <c r="C1008">
        <v>635</v>
      </c>
      <c r="D1008">
        <v>1</v>
      </c>
      <c r="E1008" t="s">
        <v>28</v>
      </c>
      <c r="F1008" t="s">
        <v>29</v>
      </c>
      <c r="G1008" t="str">
        <f>"2025-09-01 16:53:44.719"</f>
        <v>2025-09-01 16:53:44.719</v>
      </c>
      <c r="H1008" t="s">
        <v>22</v>
      </c>
      <c r="I1008">
        <v>4.87</v>
      </c>
      <c r="J1008" t="s">
        <v>30</v>
      </c>
    </row>
    <row r="1009" spans="1:10" x14ac:dyDescent="0.25">
      <c r="A1009" s="1">
        <v>29</v>
      </c>
      <c r="B1009" t="s">
        <v>19</v>
      </c>
      <c r="C1009">
        <v>635</v>
      </c>
      <c r="D1009">
        <v>1</v>
      </c>
      <c r="E1009" t="s">
        <v>28</v>
      </c>
      <c r="F1009" t="s">
        <v>29</v>
      </c>
      <c r="G1009" t="str">
        <f>"2025-09-01 16:37:15.719"</f>
        <v>2025-09-01 16:37:15.719</v>
      </c>
      <c r="H1009" t="s">
        <v>22</v>
      </c>
    </row>
    <row r="1010" spans="1:10" x14ac:dyDescent="0.25">
      <c r="A1010" s="1">
        <v>30</v>
      </c>
      <c r="B1010" t="s">
        <v>23</v>
      </c>
      <c r="C1010">
        <v>635</v>
      </c>
      <c r="D1010">
        <v>1</v>
      </c>
      <c r="E1010" t="s">
        <v>28</v>
      </c>
      <c r="F1010" t="s">
        <v>29</v>
      </c>
      <c r="G1010" t="str">
        <f>"2025-09-01 16:23:20.219"</f>
        <v>2025-09-01 16:23:20.219</v>
      </c>
      <c r="H1010" t="s">
        <v>22</v>
      </c>
      <c r="I1010">
        <v>5.2</v>
      </c>
      <c r="J1010" t="s">
        <v>30</v>
      </c>
    </row>
    <row r="1011" spans="1:10" x14ac:dyDescent="0.25">
      <c r="A1011" s="1">
        <v>31</v>
      </c>
      <c r="B1011" t="s">
        <v>19</v>
      </c>
      <c r="C1011">
        <v>635</v>
      </c>
      <c r="D1011">
        <v>1</v>
      </c>
      <c r="E1011" t="s">
        <v>28</v>
      </c>
      <c r="F1011" t="s">
        <v>29</v>
      </c>
      <c r="G1011" t="str">
        <f>"2025-09-01 10:49:56.919"</f>
        <v>2025-09-01 10:49:56.919</v>
      </c>
      <c r="H1011" t="s">
        <v>22</v>
      </c>
    </row>
    <row r="1012" spans="1:10" x14ac:dyDescent="0.25">
      <c r="A1012" s="1">
        <v>32</v>
      </c>
      <c r="B1012" t="s">
        <v>23</v>
      </c>
      <c r="C1012">
        <v>635</v>
      </c>
      <c r="D1012">
        <v>1</v>
      </c>
      <c r="E1012" t="s">
        <v>28</v>
      </c>
      <c r="F1012" t="s">
        <v>29</v>
      </c>
      <c r="G1012" t="str">
        <f>"2025-09-01 10:43:24.419"</f>
        <v>2025-09-01 10:43:24.419</v>
      </c>
      <c r="H1012" t="s">
        <v>22</v>
      </c>
      <c r="I1012">
        <v>0.84</v>
      </c>
      <c r="J1012" t="s">
        <v>31</v>
      </c>
    </row>
    <row r="1013" spans="1:10" x14ac:dyDescent="0.25">
      <c r="A1013" s="1">
        <v>33</v>
      </c>
      <c r="B1013" t="s">
        <v>19</v>
      </c>
      <c r="C1013">
        <v>630</v>
      </c>
      <c r="D1013">
        <v>5</v>
      </c>
      <c r="E1013" t="s">
        <v>32</v>
      </c>
      <c r="F1013" t="s">
        <v>33</v>
      </c>
      <c r="G1013" t="str">
        <f>"2025-09-01 09:01:13.620"</f>
        <v>2025-09-01 09:01:13.620</v>
      </c>
      <c r="H1013" t="s">
        <v>34</v>
      </c>
    </row>
    <row r="1014" spans="1:10" x14ac:dyDescent="0.25">
      <c r="A1014" s="1">
        <v>34</v>
      </c>
      <c r="B1014" t="s">
        <v>25</v>
      </c>
      <c r="C1014">
        <v>706</v>
      </c>
      <c r="D1014">
        <v>2</v>
      </c>
      <c r="E1014" t="s">
        <v>35</v>
      </c>
      <c r="F1014" t="s">
        <v>38</v>
      </c>
      <c r="G1014" t="str">
        <f>"2025-09-01 09:00:43.519"</f>
        <v>2025-09-01 09:00:43.519</v>
      </c>
      <c r="H1014" t="s">
        <v>22</v>
      </c>
      <c r="I1014">
        <v>0</v>
      </c>
      <c r="J1014" t="s">
        <v>24</v>
      </c>
    </row>
    <row r="1015" spans="1:10" x14ac:dyDescent="0.25">
      <c r="A1015" s="1">
        <v>35</v>
      </c>
      <c r="B1015" t="s">
        <v>37</v>
      </c>
      <c r="C1015">
        <v>630</v>
      </c>
      <c r="D1015">
        <v>5</v>
      </c>
      <c r="E1015" t="s">
        <v>32</v>
      </c>
      <c r="F1015" t="s">
        <v>33</v>
      </c>
      <c r="G1015" t="str">
        <f>"2025-09-01 08:52:31.219"</f>
        <v>2025-09-01 08:52:31.219</v>
      </c>
      <c r="H1015" t="s">
        <v>34</v>
      </c>
      <c r="I1015">
        <v>0</v>
      </c>
      <c r="J1015" t="s">
        <v>24</v>
      </c>
    </row>
    <row r="1016" spans="1:10" x14ac:dyDescent="0.25">
      <c r="A1016" s="1">
        <v>36</v>
      </c>
      <c r="B1016" t="s">
        <v>25</v>
      </c>
      <c r="C1016">
        <v>700</v>
      </c>
      <c r="D1016">
        <v>0</v>
      </c>
      <c r="E1016" t="s">
        <v>26</v>
      </c>
      <c r="F1016" t="s">
        <v>26</v>
      </c>
      <c r="G1016" t="str">
        <f>"2025-09-01 01:56:00.629"</f>
        <v>2025-09-01 01:56:00.629</v>
      </c>
      <c r="H1016" t="s">
        <v>22</v>
      </c>
      <c r="I1016">
        <v>0</v>
      </c>
      <c r="J1016" t="s">
        <v>27</v>
      </c>
    </row>
    <row r="1017" spans="1:10" x14ac:dyDescent="0.25">
      <c r="A1017" s="1">
        <v>37</v>
      </c>
      <c r="B1017" t="s">
        <v>19</v>
      </c>
      <c r="C1017">
        <v>630</v>
      </c>
      <c r="D1017">
        <v>5</v>
      </c>
      <c r="E1017" t="s">
        <v>32</v>
      </c>
      <c r="F1017" t="s">
        <v>33</v>
      </c>
      <c r="G1017" t="str">
        <f>"2025-08-31 08:03:27.399"</f>
        <v>2025-08-31 08:03:27.399</v>
      </c>
      <c r="H1017" t="s">
        <v>34</v>
      </c>
    </row>
    <row r="1018" spans="1:10" x14ac:dyDescent="0.25">
      <c r="A1018" s="1">
        <v>38</v>
      </c>
      <c r="B1018" t="s">
        <v>25</v>
      </c>
      <c r="C1018">
        <v>706</v>
      </c>
      <c r="D1018">
        <v>4</v>
      </c>
      <c r="E1018" t="s">
        <v>35</v>
      </c>
      <c r="F1018" t="s">
        <v>36</v>
      </c>
      <c r="G1018" t="str">
        <f>"2025-08-31 08:02:57.337"</f>
        <v>2025-08-31 08:02:57.337</v>
      </c>
      <c r="H1018" t="s">
        <v>22</v>
      </c>
      <c r="I1018">
        <v>0</v>
      </c>
      <c r="J1018" t="s">
        <v>24</v>
      </c>
    </row>
    <row r="1019" spans="1:10" x14ac:dyDescent="0.25">
      <c r="A1019" s="1">
        <v>39</v>
      </c>
      <c r="B1019" t="s">
        <v>37</v>
      </c>
      <c r="C1019">
        <v>630</v>
      </c>
      <c r="D1019">
        <v>5</v>
      </c>
      <c r="E1019" t="s">
        <v>32</v>
      </c>
      <c r="F1019" t="s">
        <v>33</v>
      </c>
      <c r="G1019" t="str">
        <f>"2025-08-31 07:56:37.699"</f>
        <v>2025-08-31 07:56:37.699</v>
      </c>
      <c r="H1019" t="s">
        <v>34</v>
      </c>
      <c r="I1019">
        <v>0</v>
      </c>
      <c r="J1019" t="s">
        <v>24</v>
      </c>
    </row>
    <row r="1020" spans="1:10" x14ac:dyDescent="0.25">
      <c r="A1020" s="1">
        <v>40</v>
      </c>
      <c r="B1020" t="s">
        <v>25</v>
      </c>
      <c r="C1020">
        <v>700</v>
      </c>
      <c r="D1020">
        <v>0</v>
      </c>
      <c r="E1020" t="s">
        <v>26</v>
      </c>
      <c r="F1020" t="s">
        <v>26</v>
      </c>
      <c r="G1020" t="str">
        <f>"2025-08-29 23:34:58.607"</f>
        <v>2025-08-29 23:34:58.607</v>
      </c>
      <c r="H1020" t="s">
        <v>22</v>
      </c>
      <c r="I1020">
        <v>0</v>
      </c>
      <c r="J1020" t="s">
        <v>27</v>
      </c>
    </row>
    <row r="1021" spans="1:10" x14ac:dyDescent="0.25">
      <c r="A1021" s="1">
        <v>41</v>
      </c>
      <c r="B1021" t="s">
        <v>19</v>
      </c>
      <c r="C1021">
        <v>635</v>
      </c>
      <c r="D1021">
        <v>1</v>
      </c>
      <c r="E1021" t="s">
        <v>28</v>
      </c>
      <c r="F1021" t="s">
        <v>29</v>
      </c>
      <c r="G1021" t="str">
        <f>"2025-08-29 18:45:04.628"</f>
        <v>2025-08-29 18:45:04.628</v>
      </c>
      <c r="H1021" t="s">
        <v>22</v>
      </c>
    </row>
    <row r="1022" spans="1:10" x14ac:dyDescent="0.25">
      <c r="A1022" s="1">
        <v>42</v>
      </c>
      <c r="B1022" t="s">
        <v>23</v>
      </c>
      <c r="C1022">
        <v>635</v>
      </c>
      <c r="D1022">
        <v>1</v>
      </c>
      <c r="E1022" t="s">
        <v>28</v>
      </c>
      <c r="F1022" t="s">
        <v>29</v>
      </c>
      <c r="G1022" t="str">
        <f>"2025-08-29 18:42:03.628"</f>
        <v>2025-08-29 18:42:03.628</v>
      </c>
      <c r="H1022" t="s">
        <v>22</v>
      </c>
      <c r="I1022">
        <v>2.48</v>
      </c>
      <c r="J1022" t="s">
        <v>30</v>
      </c>
    </row>
    <row r="1023" spans="1:10" x14ac:dyDescent="0.25">
      <c r="A1023" s="1">
        <v>43</v>
      </c>
      <c r="B1023" t="s">
        <v>25</v>
      </c>
      <c r="C1023">
        <v>700</v>
      </c>
      <c r="D1023">
        <v>0</v>
      </c>
      <c r="E1023" t="s">
        <v>26</v>
      </c>
      <c r="F1023" t="s">
        <v>26</v>
      </c>
      <c r="G1023" t="str">
        <f>"2025-08-29 15:44:54.578"</f>
        <v>2025-08-29 15:44:54.578</v>
      </c>
      <c r="H1023" t="s">
        <v>22</v>
      </c>
      <c r="I1023">
        <v>0</v>
      </c>
      <c r="J1023" t="s">
        <v>27</v>
      </c>
    </row>
    <row r="1024" spans="1:10" x14ac:dyDescent="0.25">
      <c r="A1024" s="1">
        <v>44</v>
      </c>
      <c r="B1024" t="s">
        <v>25</v>
      </c>
      <c r="C1024">
        <v>700</v>
      </c>
      <c r="D1024">
        <v>0</v>
      </c>
      <c r="E1024" t="s">
        <v>26</v>
      </c>
      <c r="F1024" t="s">
        <v>26</v>
      </c>
      <c r="G1024" t="str">
        <f>"2025-08-29 15:16:07.578"</f>
        <v>2025-08-29 15:16:07.578</v>
      </c>
      <c r="H1024" t="s">
        <v>22</v>
      </c>
      <c r="I1024">
        <v>0</v>
      </c>
      <c r="J1024" t="s">
        <v>27</v>
      </c>
    </row>
    <row r="1025" spans="1:10" x14ac:dyDescent="0.25">
      <c r="A1025" s="1">
        <v>45</v>
      </c>
      <c r="B1025" t="s">
        <v>37</v>
      </c>
      <c r="C1025">
        <v>630</v>
      </c>
      <c r="D1025">
        <v>5</v>
      </c>
      <c r="E1025" t="s">
        <v>32</v>
      </c>
      <c r="F1025" t="s">
        <v>33</v>
      </c>
      <c r="G1025" t="str">
        <f>"2025-08-29 14:47:32.415"</f>
        <v>2025-08-29 14:47:32.415</v>
      </c>
      <c r="H1025" t="s">
        <v>34</v>
      </c>
      <c r="I1025">
        <v>0</v>
      </c>
      <c r="J1025" t="s">
        <v>24</v>
      </c>
    </row>
    <row r="1026" spans="1:10" x14ac:dyDescent="0.25">
      <c r="A1026" s="1">
        <v>46</v>
      </c>
      <c r="B1026" t="s">
        <v>25</v>
      </c>
      <c r="C1026">
        <v>700</v>
      </c>
      <c r="D1026">
        <v>0</v>
      </c>
      <c r="E1026" t="s">
        <v>26</v>
      </c>
      <c r="F1026" t="s">
        <v>26</v>
      </c>
      <c r="G1026" t="str">
        <f>"2025-08-29 14:42:29.584"</f>
        <v>2025-08-29 14:42:29.584</v>
      </c>
      <c r="H1026" t="s">
        <v>22</v>
      </c>
      <c r="I1026">
        <v>0</v>
      </c>
      <c r="J1026" t="s">
        <v>27</v>
      </c>
    </row>
    <row r="1027" spans="1:10" x14ac:dyDescent="0.25">
      <c r="A1027" s="1">
        <v>47</v>
      </c>
      <c r="B1027" t="s">
        <v>37</v>
      </c>
      <c r="C1027">
        <v>630</v>
      </c>
      <c r="D1027">
        <v>5</v>
      </c>
      <c r="E1027" t="s">
        <v>32</v>
      </c>
      <c r="F1027" t="s">
        <v>33</v>
      </c>
      <c r="G1027" t="str">
        <f>"2025-08-29 13:05:26.977"</f>
        <v>2025-08-29 13:05:26.977</v>
      </c>
      <c r="H1027" t="s">
        <v>34</v>
      </c>
      <c r="I1027">
        <v>0</v>
      </c>
      <c r="J1027" t="s">
        <v>24</v>
      </c>
    </row>
    <row r="1028" spans="1:10" x14ac:dyDescent="0.25">
      <c r="A1028" s="1">
        <v>48</v>
      </c>
      <c r="B1028" t="s">
        <v>59</v>
      </c>
      <c r="C1028">
        <v>33</v>
      </c>
      <c r="D1028">
        <v>1</v>
      </c>
      <c r="E1028" t="s">
        <v>39</v>
      </c>
      <c r="F1028" t="s">
        <v>40</v>
      </c>
      <c r="G1028" t="str">
        <f>"2025-08-29 10:20:35.876"</f>
        <v>2025-08-29 10:20:35.876</v>
      </c>
      <c r="H1028" t="s">
        <v>41</v>
      </c>
    </row>
    <row r="1029" spans="1:10" x14ac:dyDescent="0.25">
      <c r="A1029" s="1">
        <v>49</v>
      </c>
      <c r="B1029" t="s">
        <v>37</v>
      </c>
      <c r="C1029">
        <v>33</v>
      </c>
      <c r="D1029">
        <v>1</v>
      </c>
      <c r="E1029" t="s">
        <v>39</v>
      </c>
      <c r="F1029" t="s">
        <v>40</v>
      </c>
      <c r="G1029" t="str">
        <f>"2025-08-29 10:18:57.535"</f>
        <v>2025-08-29 10:18:57.535</v>
      </c>
      <c r="H1029" t="s">
        <v>41</v>
      </c>
      <c r="I1029">
        <v>11.03</v>
      </c>
      <c r="J1029" t="s">
        <v>30</v>
      </c>
    </row>
    <row r="1030" spans="1:10" x14ac:dyDescent="0.25">
      <c r="A1030" s="1">
        <v>50</v>
      </c>
      <c r="B1030" t="s">
        <v>19</v>
      </c>
      <c r="C1030">
        <v>635</v>
      </c>
      <c r="D1030">
        <v>1</v>
      </c>
      <c r="E1030" t="s">
        <v>28</v>
      </c>
      <c r="F1030" t="s">
        <v>29</v>
      </c>
      <c r="G1030" t="str">
        <f>"2025-08-28 08:48:45.776"</f>
        <v>2025-08-28 08:48:45.776</v>
      </c>
      <c r="H1030" t="s">
        <v>22</v>
      </c>
    </row>
    <row r="1031" spans="1:10" x14ac:dyDescent="0.25">
      <c r="A1031" s="1">
        <v>51</v>
      </c>
      <c r="B1031" t="s">
        <v>23</v>
      </c>
      <c r="C1031">
        <v>635</v>
      </c>
      <c r="D1031">
        <v>1</v>
      </c>
      <c r="E1031" t="s">
        <v>28</v>
      </c>
      <c r="F1031" t="s">
        <v>29</v>
      </c>
      <c r="G1031" t="str">
        <f>"2025-08-28 08:14:16.276"</f>
        <v>2025-08-28 08:14:16.276</v>
      </c>
      <c r="H1031" t="s">
        <v>22</v>
      </c>
      <c r="I1031">
        <v>2.09</v>
      </c>
      <c r="J1031" t="s">
        <v>31</v>
      </c>
    </row>
    <row r="1032" spans="1:10" x14ac:dyDescent="0.25">
      <c r="A1032" s="1">
        <v>52</v>
      </c>
      <c r="B1032" t="s">
        <v>19</v>
      </c>
      <c r="C1032">
        <v>630</v>
      </c>
      <c r="D1032">
        <v>5</v>
      </c>
      <c r="E1032" t="s">
        <v>32</v>
      </c>
      <c r="F1032" t="s">
        <v>33</v>
      </c>
      <c r="G1032" t="str">
        <f>"2025-08-28 08:02:51.977"</f>
        <v>2025-08-28 08:02:51.977</v>
      </c>
      <c r="H1032" t="s">
        <v>34</v>
      </c>
    </row>
    <row r="1033" spans="1:10" x14ac:dyDescent="0.25">
      <c r="A1033" s="1">
        <v>53</v>
      </c>
      <c r="B1033" t="s">
        <v>25</v>
      </c>
      <c r="C1033">
        <v>706</v>
      </c>
      <c r="D1033">
        <v>4</v>
      </c>
      <c r="E1033" t="s">
        <v>35</v>
      </c>
      <c r="F1033" t="s">
        <v>36</v>
      </c>
      <c r="G1033" t="str">
        <f>"2025-08-28 08:02:21.851"</f>
        <v>2025-08-28 08:02:21.851</v>
      </c>
      <c r="H1033" t="s">
        <v>22</v>
      </c>
      <c r="I1033">
        <v>0</v>
      </c>
      <c r="J1033" t="s">
        <v>24</v>
      </c>
    </row>
    <row r="1034" spans="1:10" x14ac:dyDescent="0.25">
      <c r="A1034" s="1">
        <v>54</v>
      </c>
      <c r="B1034" t="s">
        <v>37</v>
      </c>
      <c r="C1034">
        <v>630</v>
      </c>
      <c r="D1034">
        <v>5</v>
      </c>
      <c r="E1034" t="s">
        <v>32</v>
      </c>
      <c r="F1034" t="s">
        <v>33</v>
      </c>
      <c r="G1034" t="str">
        <f>"2025-08-28 07:56:11.477"</f>
        <v>2025-08-28 07:56:11.477</v>
      </c>
      <c r="H1034" t="s">
        <v>34</v>
      </c>
      <c r="I1034">
        <v>0</v>
      </c>
      <c r="J1034" t="s">
        <v>24</v>
      </c>
    </row>
    <row r="1035" spans="1:10" x14ac:dyDescent="0.25">
      <c r="A1035" s="1">
        <v>55</v>
      </c>
      <c r="B1035" t="s">
        <v>25</v>
      </c>
      <c r="C1035">
        <v>706</v>
      </c>
      <c r="D1035">
        <v>4</v>
      </c>
      <c r="E1035" t="s">
        <v>35</v>
      </c>
      <c r="F1035" t="s">
        <v>36</v>
      </c>
      <c r="G1035" t="str">
        <f>"2025-08-27 18:01:57.861"</f>
        <v>2025-08-27 18:01:57.861</v>
      </c>
      <c r="H1035" t="s">
        <v>22</v>
      </c>
      <c r="I1035">
        <v>0</v>
      </c>
      <c r="J1035" t="s">
        <v>24</v>
      </c>
    </row>
    <row r="1036" spans="1:10" x14ac:dyDescent="0.25">
      <c r="A1036" s="1">
        <v>56</v>
      </c>
      <c r="B1036" t="s">
        <v>25</v>
      </c>
      <c r="C1036">
        <v>700</v>
      </c>
      <c r="D1036">
        <v>0</v>
      </c>
      <c r="E1036" t="s">
        <v>26</v>
      </c>
      <c r="F1036" t="s">
        <v>26</v>
      </c>
      <c r="G1036" t="str">
        <f>"2025-08-27 18:01:29.561"</f>
        <v>2025-08-27 18:01:29.561</v>
      </c>
      <c r="H1036" t="s">
        <v>22</v>
      </c>
    </row>
    <row r="1037" spans="1:10" x14ac:dyDescent="0.25">
      <c r="A1037" s="1">
        <v>57</v>
      </c>
      <c r="B1037" t="s">
        <v>25</v>
      </c>
      <c r="C1037">
        <v>706</v>
      </c>
      <c r="D1037">
        <v>2</v>
      </c>
      <c r="E1037" t="s">
        <v>35</v>
      </c>
      <c r="F1037" t="s">
        <v>38</v>
      </c>
      <c r="G1037" t="str">
        <f>"2025-08-27 16:55:51.118"</f>
        <v>2025-08-27 16:55:51.118</v>
      </c>
      <c r="H1037" t="s">
        <v>22</v>
      </c>
      <c r="I1037">
        <v>0</v>
      </c>
      <c r="J1037" t="s">
        <v>24</v>
      </c>
    </row>
    <row r="1038" spans="1:10" x14ac:dyDescent="0.25">
      <c r="A1038" s="1">
        <v>58</v>
      </c>
      <c r="B1038" t="s">
        <v>25</v>
      </c>
      <c r="C1038">
        <v>700</v>
      </c>
      <c r="D1038">
        <v>0</v>
      </c>
      <c r="E1038" t="s">
        <v>26</v>
      </c>
      <c r="F1038" t="s">
        <v>26</v>
      </c>
      <c r="G1038" t="str">
        <f>"2025-08-27 16:55:34.568"</f>
        <v>2025-08-27 16:55:34.568</v>
      </c>
      <c r="H1038" t="s">
        <v>22</v>
      </c>
      <c r="I1038">
        <v>0</v>
      </c>
      <c r="J1038" t="s">
        <v>27</v>
      </c>
    </row>
    <row r="1039" spans="1:10" x14ac:dyDescent="0.25">
      <c r="A1039" s="1">
        <v>59</v>
      </c>
      <c r="B1039" t="s">
        <v>25</v>
      </c>
      <c r="C1039">
        <v>700</v>
      </c>
      <c r="D1039">
        <v>0</v>
      </c>
      <c r="E1039" t="s">
        <v>26</v>
      </c>
      <c r="F1039" t="s">
        <v>26</v>
      </c>
      <c r="G1039" t="str">
        <f>"2025-08-27 14:40:37.570"</f>
        <v>2025-08-27 14:40:37.570</v>
      </c>
      <c r="H1039" t="s">
        <v>22</v>
      </c>
    </row>
    <row r="1040" spans="1:10" x14ac:dyDescent="0.25">
      <c r="A1040" s="1">
        <v>60</v>
      </c>
      <c r="B1040" t="s">
        <v>25</v>
      </c>
      <c r="C1040">
        <v>700</v>
      </c>
      <c r="D1040">
        <v>0</v>
      </c>
      <c r="E1040" t="s">
        <v>26</v>
      </c>
      <c r="F1040" t="s">
        <v>26</v>
      </c>
      <c r="G1040" t="str">
        <f>"2025-08-27 13:51:50.559"</f>
        <v>2025-08-27 13:51:50.559</v>
      </c>
      <c r="H1040" t="s">
        <v>22</v>
      </c>
    </row>
    <row r="1041" spans="1:10" x14ac:dyDescent="0.25">
      <c r="A1041" s="1">
        <v>61</v>
      </c>
      <c r="B1041" t="s">
        <v>25</v>
      </c>
      <c r="C1041">
        <v>706</v>
      </c>
      <c r="D1041">
        <v>4</v>
      </c>
      <c r="E1041" t="s">
        <v>35</v>
      </c>
      <c r="F1041" t="s">
        <v>36</v>
      </c>
      <c r="G1041" t="str">
        <f>"2025-08-27 10:24:22.259"</f>
        <v>2025-08-27 10:24:22.259</v>
      </c>
      <c r="H1041" t="s">
        <v>22</v>
      </c>
      <c r="I1041">
        <v>0</v>
      </c>
      <c r="J1041" t="s">
        <v>24</v>
      </c>
    </row>
    <row r="1042" spans="1:10" x14ac:dyDescent="0.25">
      <c r="A1042" s="1">
        <v>62</v>
      </c>
      <c r="B1042" t="s">
        <v>25</v>
      </c>
      <c r="C1042">
        <v>700</v>
      </c>
      <c r="D1042">
        <v>0</v>
      </c>
      <c r="E1042" t="s">
        <v>26</v>
      </c>
      <c r="F1042" t="s">
        <v>26</v>
      </c>
      <c r="G1042" t="str">
        <f>"2025-08-27 10:23:31.709"</f>
        <v>2025-08-27 10:23:31.709</v>
      </c>
      <c r="H1042" t="s">
        <v>22</v>
      </c>
    </row>
    <row r="1043" spans="1:10" x14ac:dyDescent="0.25">
      <c r="A1043" s="1">
        <v>63</v>
      </c>
      <c r="B1043" t="s">
        <v>25</v>
      </c>
      <c r="C1043">
        <v>706</v>
      </c>
      <c r="D1043">
        <v>2</v>
      </c>
      <c r="E1043" t="s">
        <v>35</v>
      </c>
      <c r="F1043" t="s">
        <v>38</v>
      </c>
      <c r="G1043" t="str">
        <f>"2025-08-26 08:05:42.731"</f>
        <v>2025-08-26 08:05:42.731</v>
      </c>
      <c r="H1043" t="s">
        <v>22</v>
      </c>
      <c r="I1043">
        <v>0</v>
      </c>
      <c r="J1043" t="s">
        <v>24</v>
      </c>
    </row>
    <row r="1044" spans="1:10" x14ac:dyDescent="0.25">
      <c r="A1044" s="1">
        <v>64</v>
      </c>
      <c r="B1044" t="s">
        <v>25</v>
      </c>
      <c r="C1044">
        <v>700</v>
      </c>
      <c r="D1044">
        <v>0</v>
      </c>
      <c r="E1044" t="s">
        <v>26</v>
      </c>
      <c r="F1044" t="s">
        <v>26</v>
      </c>
      <c r="G1044" t="str">
        <f>"2025-08-26 08:04:49.731"</f>
        <v>2025-08-26 08:04:49.731</v>
      </c>
      <c r="H1044" t="s">
        <v>22</v>
      </c>
      <c r="I1044">
        <v>0</v>
      </c>
      <c r="J1044" t="s">
        <v>27</v>
      </c>
    </row>
    <row r="1045" spans="1:10" x14ac:dyDescent="0.25">
      <c r="A1045" s="1">
        <v>65</v>
      </c>
      <c r="B1045" t="s">
        <v>19</v>
      </c>
      <c r="C1045">
        <v>635</v>
      </c>
      <c r="D1045">
        <v>1</v>
      </c>
      <c r="E1045" t="s">
        <v>28</v>
      </c>
      <c r="F1045" t="s">
        <v>29</v>
      </c>
      <c r="G1045" t="str">
        <f>"2025-08-25 09:14:50.988"</f>
        <v>2025-08-25 09:14:50.988</v>
      </c>
      <c r="H1045" t="s">
        <v>22</v>
      </c>
    </row>
    <row r="1046" spans="1:10" x14ac:dyDescent="0.25">
      <c r="A1046" s="1">
        <v>66</v>
      </c>
      <c r="B1046" t="s">
        <v>23</v>
      </c>
      <c r="C1046">
        <v>635</v>
      </c>
      <c r="D1046">
        <v>1</v>
      </c>
      <c r="E1046" t="s">
        <v>28</v>
      </c>
      <c r="F1046" t="s">
        <v>29</v>
      </c>
      <c r="G1046" t="str">
        <f>"2025-08-25 09:09:53.488"</f>
        <v>2025-08-25 09:09:53.488</v>
      </c>
      <c r="H1046" t="s">
        <v>22</v>
      </c>
      <c r="I1046">
        <v>0</v>
      </c>
      <c r="J1046" t="s">
        <v>48</v>
      </c>
    </row>
    <row r="1047" spans="1:10" x14ac:dyDescent="0.25">
      <c r="A1047" s="1">
        <v>67</v>
      </c>
      <c r="B1047" t="s">
        <v>25</v>
      </c>
      <c r="C1047">
        <v>700</v>
      </c>
      <c r="D1047">
        <v>0</v>
      </c>
      <c r="E1047" t="s">
        <v>26</v>
      </c>
      <c r="F1047" t="s">
        <v>26</v>
      </c>
      <c r="G1047" t="str">
        <f>"2025-08-24 11:49:54.573"</f>
        <v>2025-08-24 11:49:54.573</v>
      </c>
      <c r="H1047" t="s">
        <v>22</v>
      </c>
    </row>
    <row r="1048" spans="1:10" x14ac:dyDescent="0.25">
      <c r="A1048" s="1">
        <v>68</v>
      </c>
      <c r="B1048" t="s">
        <v>19</v>
      </c>
      <c r="C1048">
        <v>635</v>
      </c>
      <c r="D1048">
        <v>1</v>
      </c>
      <c r="E1048" t="s">
        <v>28</v>
      </c>
      <c r="F1048" t="s">
        <v>29</v>
      </c>
      <c r="G1048" t="str">
        <f>"2025-08-23 16:05:27.521"</f>
        <v>2025-08-23 16:05:27.521</v>
      </c>
      <c r="H1048" t="s">
        <v>22</v>
      </c>
    </row>
    <row r="1049" spans="1:10" x14ac:dyDescent="0.25">
      <c r="A1049" s="1">
        <v>69</v>
      </c>
      <c r="B1049" t="s">
        <v>23</v>
      </c>
      <c r="C1049">
        <v>635</v>
      </c>
      <c r="D1049">
        <v>1</v>
      </c>
      <c r="E1049" t="s">
        <v>28</v>
      </c>
      <c r="F1049" t="s">
        <v>29</v>
      </c>
      <c r="G1049" t="str">
        <f>"2025-08-23 16:00:45.021"</f>
        <v>2025-08-23 16:00:45.021</v>
      </c>
      <c r="H1049" t="s">
        <v>22</v>
      </c>
      <c r="I1049">
        <v>2.2000000000000002</v>
      </c>
      <c r="J1049" t="s">
        <v>30</v>
      </c>
    </row>
    <row r="1050" spans="1:10" x14ac:dyDescent="0.25">
      <c r="A1050" s="1">
        <v>70</v>
      </c>
      <c r="B1050" t="s">
        <v>19</v>
      </c>
      <c r="C1050">
        <v>630</v>
      </c>
      <c r="D1050">
        <v>5</v>
      </c>
      <c r="E1050" t="s">
        <v>32</v>
      </c>
      <c r="F1050" t="s">
        <v>33</v>
      </c>
      <c r="G1050" t="str">
        <f>"2025-08-22 21:08:32.722"</f>
        <v>2025-08-22 21:08:32.722</v>
      </c>
      <c r="H1050" t="s">
        <v>34</v>
      </c>
    </row>
    <row r="1051" spans="1:10" x14ac:dyDescent="0.25">
      <c r="A1051" s="1">
        <v>71</v>
      </c>
      <c r="B1051" t="s">
        <v>25</v>
      </c>
      <c r="C1051">
        <v>706</v>
      </c>
      <c r="D1051">
        <v>4</v>
      </c>
      <c r="E1051" t="s">
        <v>35</v>
      </c>
      <c r="F1051" t="s">
        <v>36</v>
      </c>
      <c r="G1051" t="str">
        <f>"2025-08-22 21:08:02.688"</f>
        <v>2025-08-22 21:08:02.688</v>
      </c>
      <c r="H1051" t="s">
        <v>22</v>
      </c>
      <c r="I1051">
        <v>0</v>
      </c>
      <c r="J1051" t="s">
        <v>24</v>
      </c>
    </row>
    <row r="1052" spans="1:10" x14ac:dyDescent="0.25">
      <c r="A1052" s="1">
        <v>72</v>
      </c>
      <c r="B1052" t="s">
        <v>37</v>
      </c>
      <c r="C1052">
        <v>630</v>
      </c>
      <c r="D1052">
        <v>5</v>
      </c>
      <c r="E1052" t="s">
        <v>32</v>
      </c>
      <c r="F1052" t="s">
        <v>33</v>
      </c>
      <c r="G1052" t="str">
        <f>"2025-08-22 20:55:21.822"</f>
        <v>2025-08-22 20:55:21.822</v>
      </c>
      <c r="H1052" t="s">
        <v>34</v>
      </c>
      <c r="I1052">
        <v>0</v>
      </c>
      <c r="J1052" t="s">
        <v>24</v>
      </c>
    </row>
    <row r="1053" spans="1:10" x14ac:dyDescent="0.25">
      <c r="A1053" s="1">
        <v>73</v>
      </c>
      <c r="B1053" t="s">
        <v>25</v>
      </c>
      <c r="C1053">
        <v>700</v>
      </c>
      <c r="D1053">
        <v>0</v>
      </c>
      <c r="E1053" t="s">
        <v>26</v>
      </c>
      <c r="F1053" t="s">
        <v>26</v>
      </c>
      <c r="G1053" t="str">
        <f>"2025-08-21 12:15:06.598"</f>
        <v>2025-08-21 12:15:06.598</v>
      </c>
      <c r="H1053" t="s">
        <v>22</v>
      </c>
    </row>
    <row r="1054" spans="1:10" x14ac:dyDescent="0.25">
      <c r="A1054" s="1">
        <v>74</v>
      </c>
      <c r="B1054" t="s">
        <v>25</v>
      </c>
      <c r="C1054">
        <v>700</v>
      </c>
      <c r="D1054">
        <v>0</v>
      </c>
      <c r="E1054" t="s">
        <v>26</v>
      </c>
      <c r="F1054" t="s">
        <v>26</v>
      </c>
      <c r="G1054" t="str">
        <f>"2025-08-19 21:28:27.610"</f>
        <v>2025-08-19 21:28:27.610</v>
      </c>
      <c r="H1054" t="s">
        <v>22</v>
      </c>
    </row>
    <row r="1055" spans="1:10" x14ac:dyDescent="0.25">
      <c r="A1055" s="1">
        <v>75</v>
      </c>
      <c r="B1055" t="s">
        <v>19</v>
      </c>
      <c r="C1055">
        <v>635</v>
      </c>
      <c r="D1055">
        <v>1</v>
      </c>
      <c r="E1055" t="s">
        <v>28</v>
      </c>
      <c r="F1055" t="s">
        <v>29</v>
      </c>
      <c r="G1055" t="str">
        <f>"2025-08-19 16:33:47.507"</f>
        <v>2025-08-19 16:33:47.507</v>
      </c>
      <c r="H1055" t="s">
        <v>22</v>
      </c>
    </row>
    <row r="1056" spans="1:10" x14ac:dyDescent="0.25">
      <c r="A1056" s="1">
        <v>76</v>
      </c>
      <c r="B1056" t="s">
        <v>23</v>
      </c>
      <c r="C1056">
        <v>635</v>
      </c>
      <c r="D1056">
        <v>1</v>
      </c>
      <c r="E1056" t="s">
        <v>28</v>
      </c>
      <c r="F1056" t="s">
        <v>29</v>
      </c>
      <c r="G1056" t="str">
        <f>"2025-08-19 16:28:11.507"</f>
        <v>2025-08-19 16:28:11.507</v>
      </c>
      <c r="H1056" t="s">
        <v>22</v>
      </c>
      <c r="I1056">
        <v>1.96</v>
      </c>
      <c r="J1056" t="s">
        <v>30</v>
      </c>
    </row>
    <row r="1057" spans="1:10" x14ac:dyDescent="0.25">
      <c r="A1057" s="1">
        <v>77</v>
      </c>
      <c r="B1057" t="s">
        <v>19</v>
      </c>
      <c r="C1057">
        <v>635</v>
      </c>
      <c r="D1057">
        <v>1</v>
      </c>
      <c r="E1057" t="s">
        <v>28</v>
      </c>
      <c r="F1057" t="s">
        <v>29</v>
      </c>
      <c r="G1057" t="str">
        <f>"2025-08-19 10:15:19.707"</f>
        <v>2025-08-19 10:15:19.707</v>
      </c>
      <c r="H1057" t="s">
        <v>22</v>
      </c>
    </row>
    <row r="1058" spans="1:10" x14ac:dyDescent="0.25">
      <c r="A1058" s="1">
        <v>78</v>
      </c>
      <c r="B1058" t="s">
        <v>23</v>
      </c>
      <c r="C1058">
        <v>635</v>
      </c>
      <c r="D1058">
        <v>1</v>
      </c>
      <c r="E1058" t="s">
        <v>28</v>
      </c>
      <c r="F1058" t="s">
        <v>29</v>
      </c>
      <c r="G1058" t="str">
        <f>"2025-08-19 10:10:41.707"</f>
        <v>2025-08-19 10:10:41.707</v>
      </c>
      <c r="H1058" t="s">
        <v>22</v>
      </c>
      <c r="I1058">
        <v>0.43</v>
      </c>
      <c r="J1058" t="s">
        <v>30</v>
      </c>
    </row>
    <row r="1059" spans="1:10" x14ac:dyDescent="0.25">
      <c r="A1059" s="1">
        <v>79</v>
      </c>
      <c r="B1059" t="s">
        <v>25</v>
      </c>
      <c r="C1059">
        <v>700</v>
      </c>
      <c r="D1059">
        <v>0</v>
      </c>
      <c r="E1059" t="s">
        <v>26</v>
      </c>
      <c r="F1059" t="s">
        <v>26</v>
      </c>
      <c r="G1059" t="str">
        <f>"2025-08-19 08:00:45.586"</f>
        <v>2025-08-19 08:00:45.586</v>
      </c>
      <c r="H1059" t="s">
        <v>22</v>
      </c>
    </row>
    <row r="1060" spans="1:10" x14ac:dyDescent="0.25">
      <c r="A1060" s="1">
        <v>80</v>
      </c>
      <c r="B1060" t="s">
        <v>25</v>
      </c>
      <c r="C1060">
        <v>700</v>
      </c>
      <c r="D1060">
        <v>0</v>
      </c>
      <c r="E1060" t="s">
        <v>26</v>
      </c>
      <c r="F1060" t="s">
        <v>26</v>
      </c>
      <c r="G1060" t="str">
        <f>"2025-08-18 21:31:33.592"</f>
        <v>2025-08-18 21:31:33.592</v>
      </c>
      <c r="H1060" t="s">
        <v>22</v>
      </c>
    </row>
    <row r="1061" spans="1:10" x14ac:dyDescent="0.25">
      <c r="A1061" s="1">
        <v>81</v>
      </c>
      <c r="B1061" t="s">
        <v>25</v>
      </c>
      <c r="C1061">
        <v>700</v>
      </c>
      <c r="D1061">
        <v>0</v>
      </c>
      <c r="E1061" t="s">
        <v>26</v>
      </c>
      <c r="F1061" t="s">
        <v>26</v>
      </c>
      <c r="G1061" t="str">
        <f>"2025-08-18 12:27:39.565"</f>
        <v>2025-08-18 12:27:39.565</v>
      </c>
      <c r="H1061" t="s">
        <v>22</v>
      </c>
    </row>
    <row r="1062" spans="1:10" x14ac:dyDescent="0.25">
      <c r="A1062" s="1">
        <v>82</v>
      </c>
      <c r="B1062" t="s">
        <v>25</v>
      </c>
      <c r="C1062">
        <v>700</v>
      </c>
      <c r="D1062">
        <v>0</v>
      </c>
      <c r="E1062" t="s">
        <v>26</v>
      </c>
      <c r="F1062" t="s">
        <v>26</v>
      </c>
      <c r="G1062" t="str">
        <f>"2025-08-18 12:17:49.569"</f>
        <v>2025-08-18 12:17:49.569</v>
      </c>
      <c r="H1062" t="s">
        <v>22</v>
      </c>
    </row>
    <row r="1063" spans="1:10" x14ac:dyDescent="0.25">
      <c r="A1063" s="1">
        <v>83</v>
      </c>
      <c r="B1063" t="s">
        <v>19</v>
      </c>
      <c r="C1063">
        <v>630</v>
      </c>
      <c r="D1063">
        <v>5</v>
      </c>
      <c r="E1063" t="s">
        <v>32</v>
      </c>
      <c r="F1063" t="s">
        <v>33</v>
      </c>
      <c r="G1063" t="str">
        <f>"2025-08-18 12:14:40.285"</f>
        <v>2025-08-18 12:14:40.285</v>
      </c>
      <c r="H1063" t="s">
        <v>34</v>
      </c>
    </row>
    <row r="1064" spans="1:10" x14ac:dyDescent="0.25">
      <c r="A1064" s="1">
        <v>84</v>
      </c>
      <c r="B1064" t="s">
        <v>25</v>
      </c>
      <c r="C1064">
        <v>706</v>
      </c>
      <c r="D1064">
        <v>2</v>
      </c>
      <c r="E1064" t="s">
        <v>35</v>
      </c>
      <c r="F1064" t="s">
        <v>38</v>
      </c>
      <c r="G1064" t="str">
        <f>"2025-08-18 12:14:10.175"</f>
        <v>2025-08-18 12:14:10.175</v>
      </c>
      <c r="H1064" t="s">
        <v>22</v>
      </c>
      <c r="I1064">
        <v>0</v>
      </c>
      <c r="J1064" t="s">
        <v>24</v>
      </c>
    </row>
    <row r="1065" spans="1:10" x14ac:dyDescent="0.25">
      <c r="A1065" s="1">
        <v>85</v>
      </c>
      <c r="B1065" t="s">
        <v>37</v>
      </c>
      <c r="C1065">
        <v>630</v>
      </c>
      <c r="D1065">
        <v>5</v>
      </c>
      <c r="E1065" t="s">
        <v>32</v>
      </c>
      <c r="F1065" t="s">
        <v>33</v>
      </c>
      <c r="G1065" t="str">
        <f>"2025-08-18 11:29:22.286"</f>
        <v>2025-08-18 11:29:22.286</v>
      </c>
      <c r="H1065" t="s">
        <v>34</v>
      </c>
      <c r="I1065">
        <v>0</v>
      </c>
      <c r="J1065" t="s">
        <v>24</v>
      </c>
    </row>
    <row r="1066" spans="1:10" x14ac:dyDescent="0.25">
      <c r="A1066" s="1">
        <v>86</v>
      </c>
      <c r="B1066" t="s">
        <v>25</v>
      </c>
      <c r="C1066">
        <v>700</v>
      </c>
      <c r="D1066">
        <v>0</v>
      </c>
      <c r="E1066" t="s">
        <v>26</v>
      </c>
      <c r="F1066" t="s">
        <v>26</v>
      </c>
      <c r="G1066" t="str">
        <f>"2025-08-18 11:24:19.566"</f>
        <v>2025-08-18 11:24:19.566</v>
      </c>
      <c r="H1066" t="s">
        <v>22</v>
      </c>
      <c r="I1066">
        <v>0</v>
      </c>
      <c r="J1066" t="s">
        <v>27</v>
      </c>
    </row>
    <row r="1067" spans="1:10" x14ac:dyDescent="0.25">
      <c r="A1067" s="1">
        <v>87</v>
      </c>
      <c r="B1067" t="s">
        <v>37</v>
      </c>
      <c r="C1067">
        <v>630</v>
      </c>
      <c r="D1067">
        <v>5</v>
      </c>
      <c r="E1067" t="s">
        <v>32</v>
      </c>
      <c r="F1067" t="s">
        <v>33</v>
      </c>
      <c r="G1067" t="str">
        <f>"2025-08-18 11:23:49.420"</f>
        <v>2025-08-18 11:23:49.420</v>
      </c>
      <c r="H1067" t="s">
        <v>34</v>
      </c>
      <c r="I1067">
        <v>0</v>
      </c>
      <c r="J1067" t="s">
        <v>24</v>
      </c>
    </row>
    <row r="1068" spans="1:10" x14ac:dyDescent="0.25">
      <c r="A1068" s="1">
        <v>88</v>
      </c>
      <c r="B1068" t="s">
        <v>25</v>
      </c>
      <c r="C1068">
        <v>700</v>
      </c>
      <c r="D1068">
        <v>0</v>
      </c>
      <c r="E1068" t="s">
        <v>26</v>
      </c>
      <c r="F1068" t="s">
        <v>26</v>
      </c>
      <c r="G1068" t="str">
        <f>"2025-08-18 11:18:46.583"</f>
        <v>2025-08-18 11:18:46.583</v>
      </c>
      <c r="H1068" t="s">
        <v>22</v>
      </c>
      <c r="I1068">
        <v>0</v>
      </c>
      <c r="J1068" t="s">
        <v>27</v>
      </c>
    </row>
    <row r="1069" spans="1:10" x14ac:dyDescent="0.25">
      <c r="A1069" s="1">
        <v>89</v>
      </c>
      <c r="B1069" t="s">
        <v>37</v>
      </c>
      <c r="C1069">
        <v>630</v>
      </c>
      <c r="D1069">
        <v>5</v>
      </c>
      <c r="E1069" t="s">
        <v>32</v>
      </c>
      <c r="F1069" t="s">
        <v>33</v>
      </c>
      <c r="G1069" t="str">
        <f>"2025-08-18 10:11:18.461"</f>
        <v>2025-08-18 10:11:18.461</v>
      </c>
      <c r="H1069" t="s">
        <v>34</v>
      </c>
      <c r="I1069">
        <v>0</v>
      </c>
      <c r="J1069" t="s">
        <v>24</v>
      </c>
    </row>
    <row r="1070" spans="1:10" x14ac:dyDescent="0.25">
      <c r="A1070" s="1">
        <v>90</v>
      </c>
      <c r="B1070" t="s">
        <v>25</v>
      </c>
      <c r="C1070">
        <v>700</v>
      </c>
      <c r="D1070">
        <v>0</v>
      </c>
      <c r="E1070" t="s">
        <v>26</v>
      </c>
      <c r="F1070" t="s">
        <v>26</v>
      </c>
      <c r="G1070" t="str">
        <f>"2025-08-18 10:06:15.813"</f>
        <v>2025-08-18 10:06:15.813</v>
      </c>
      <c r="H1070" t="s">
        <v>22</v>
      </c>
      <c r="I1070">
        <v>0</v>
      </c>
      <c r="J1070" t="s">
        <v>27</v>
      </c>
    </row>
    <row r="1071" spans="1:10" x14ac:dyDescent="0.25">
      <c r="A1071" s="1">
        <v>91</v>
      </c>
      <c r="B1071" t="s">
        <v>19</v>
      </c>
      <c r="C1071">
        <v>635</v>
      </c>
      <c r="D1071">
        <v>1</v>
      </c>
      <c r="E1071" t="s">
        <v>28</v>
      </c>
      <c r="F1071" t="s">
        <v>29</v>
      </c>
      <c r="G1071" t="str">
        <f>"2025-08-18 04:06:04.744"</f>
        <v>2025-08-18 04:06:04.744</v>
      </c>
      <c r="H1071" t="s">
        <v>22</v>
      </c>
    </row>
    <row r="1072" spans="1:10" x14ac:dyDescent="0.25">
      <c r="A1072" s="1">
        <v>92</v>
      </c>
      <c r="B1072" t="s">
        <v>23</v>
      </c>
      <c r="C1072">
        <v>635</v>
      </c>
      <c r="D1072">
        <v>1</v>
      </c>
      <c r="E1072" t="s">
        <v>28</v>
      </c>
      <c r="F1072" t="s">
        <v>29</v>
      </c>
      <c r="G1072" t="str">
        <f>"2025-08-18 04:01:21.244"</f>
        <v>2025-08-18 04:01:21.244</v>
      </c>
      <c r="H1072" t="s">
        <v>22</v>
      </c>
      <c r="I1072">
        <v>6.32</v>
      </c>
      <c r="J1072" t="s">
        <v>30</v>
      </c>
    </row>
    <row r="1073" spans="1:10" x14ac:dyDescent="0.25">
      <c r="A1073" s="1">
        <v>93</v>
      </c>
      <c r="B1073" t="s">
        <v>19</v>
      </c>
      <c r="C1073">
        <v>635</v>
      </c>
      <c r="D1073">
        <v>1</v>
      </c>
      <c r="E1073" t="s">
        <v>28</v>
      </c>
      <c r="F1073" t="s">
        <v>29</v>
      </c>
      <c r="G1073" t="str">
        <f>"2025-08-18 02:14:41.944"</f>
        <v>2025-08-18 02:14:41.944</v>
      </c>
      <c r="H1073" t="s">
        <v>22</v>
      </c>
    </row>
    <row r="1074" spans="1:10" x14ac:dyDescent="0.25">
      <c r="A1074" s="1">
        <v>94</v>
      </c>
      <c r="B1074" t="s">
        <v>23</v>
      </c>
      <c r="C1074">
        <v>635</v>
      </c>
      <c r="D1074">
        <v>1</v>
      </c>
      <c r="E1074" t="s">
        <v>28</v>
      </c>
      <c r="F1074" t="s">
        <v>29</v>
      </c>
      <c r="G1074" t="str">
        <f>"2025-08-18 02:08:27.944"</f>
        <v>2025-08-18 02:08:27.944</v>
      </c>
      <c r="H1074" t="s">
        <v>22</v>
      </c>
      <c r="I1074">
        <v>6.5</v>
      </c>
      <c r="J1074" t="s">
        <v>48</v>
      </c>
    </row>
    <row r="1075" spans="1:10" x14ac:dyDescent="0.25">
      <c r="A1075" s="1">
        <v>95</v>
      </c>
      <c r="B1075" t="s">
        <v>25</v>
      </c>
      <c r="C1075">
        <v>700</v>
      </c>
      <c r="D1075">
        <v>0</v>
      </c>
      <c r="E1075" t="s">
        <v>26</v>
      </c>
      <c r="F1075" t="s">
        <v>26</v>
      </c>
      <c r="G1075" t="str">
        <f>"2025-08-16 22:54:09.713"</f>
        <v>2025-08-16 22:54:09.713</v>
      </c>
      <c r="H1075" t="s">
        <v>22</v>
      </c>
    </row>
    <row r="1076" spans="1:10" x14ac:dyDescent="0.25">
      <c r="A1076" s="1">
        <v>96</v>
      </c>
      <c r="B1076" t="s">
        <v>19</v>
      </c>
      <c r="C1076">
        <v>630</v>
      </c>
      <c r="D1076">
        <v>5</v>
      </c>
      <c r="E1076" t="s">
        <v>32</v>
      </c>
      <c r="F1076" t="s">
        <v>33</v>
      </c>
      <c r="G1076" t="str">
        <f>"2025-08-15 12:23:43.314"</f>
        <v>2025-08-15 12:23:43.314</v>
      </c>
      <c r="H1076" t="s">
        <v>34</v>
      </c>
    </row>
    <row r="1077" spans="1:10" x14ac:dyDescent="0.25">
      <c r="A1077" s="1">
        <v>97</v>
      </c>
      <c r="B1077" t="s">
        <v>25</v>
      </c>
      <c r="C1077">
        <v>706</v>
      </c>
      <c r="D1077">
        <v>4</v>
      </c>
      <c r="E1077" t="s">
        <v>35</v>
      </c>
      <c r="F1077" t="s">
        <v>36</v>
      </c>
      <c r="G1077" t="str">
        <f>"2025-08-15 12:23:13.243"</f>
        <v>2025-08-15 12:23:13.243</v>
      </c>
      <c r="H1077" t="s">
        <v>22</v>
      </c>
      <c r="I1077">
        <v>0</v>
      </c>
      <c r="J1077" t="s">
        <v>24</v>
      </c>
    </row>
    <row r="1078" spans="1:10" x14ac:dyDescent="0.25">
      <c r="A1078" s="1">
        <v>98</v>
      </c>
      <c r="B1078" t="s">
        <v>37</v>
      </c>
      <c r="C1078">
        <v>630</v>
      </c>
      <c r="D1078">
        <v>5</v>
      </c>
      <c r="E1078" t="s">
        <v>32</v>
      </c>
      <c r="F1078" t="s">
        <v>33</v>
      </c>
      <c r="G1078" t="str">
        <f>"2025-08-15 12:02:39.314"</f>
        <v>2025-08-15 12:02:39.314</v>
      </c>
      <c r="H1078" t="s">
        <v>34</v>
      </c>
      <c r="I1078">
        <v>0</v>
      </c>
      <c r="J1078" t="s">
        <v>24</v>
      </c>
    </row>
    <row r="1079" spans="1:10" x14ac:dyDescent="0.25">
      <c r="A1079" s="1">
        <v>99</v>
      </c>
      <c r="B1079" t="s">
        <v>25</v>
      </c>
      <c r="C1079">
        <v>700</v>
      </c>
      <c r="D1079">
        <v>0</v>
      </c>
      <c r="E1079" t="s">
        <v>26</v>
      </c>
      <c r="F1079" t="s">
        <v>26</v>
      </c>
      <c r="G1079" t="str">
        <f>"2025-08-15 08:42:28.693"</f>
        <v>2025-08-15 08:42:28.693</v>
      </c>
      <c r="H1079" t="s">
        <v>22</v>
      </c>
    </row>
    <row r="1080" spans="1:10" x14ac:dyDescent="0.25">
      <c r="A1080" s="1">
        <v>100</v>
      </c>
      <c r="B1080" t="s">
        <v>19</v>
      </c>
      <c r="C1080">
        <v>630</v>
      </c>
      <c r="D1080">
        <v>5</v>
      </c>
      <c r="E1080" t="s">
        <v>32</v>
      </c>
      <c r="F1080" t="s">
        <v>33</v>
      </c>
      <c r="G1080" t="str">
        <f>"2025-08-15 08:28:41.981"</f>
        <v>2025-08-15 08:28:41.981</v>
      </c>
      <c r="H1080" t="s">
        <v>34</v>
      </c>
    </row>
    <row r="1081" spans="1:10" x14ac:dyDescent="0.25">
      <c r="A1081" s="1">
        <v>101</v>
      </c>
      <c r="B1081" t="s">
        <v>25</v>
      </c>
      <c r="C1081">
        <v>706</v>
      </c>
      <c r="D1081">
        <v>2</v>
      </c>
      <c r="E1081" t="s">
        <v>35</v>
      </c>
      <c r="F1081" t="s">
        <v>38</v>
      </c>
      <c r="G1081" t="str">
        <f>"2025-08-15 08:28:11.967"</f>
        <v>2025-08-15 08:28:11.967</v>
      </c>
      <c r="H1081" t="s">
        <v>22</v>
      </c>
      <c r="I1081">
        <v>0</v>
      </c>
      <c r="J1081" t="s">
        <v>24</v>
      </c>
    </row>
    <row r="1082" spans="1:10" x14ac:dyDescent="0.25">
      <c r="A1082" s="1">
        <v>102</v>
      </c>
      <c r="B1082" t="s">
        <v>37</v>
      </c>
      <c r="C1082">
        <v>630</v>
      </c>
      <c r="D1082">
        <v>5</v>
      </c>
      <c r="E1082" t="s">
        <v>32</v>
      </c>
      <c r="F1082" t="s">
        <v>33</v>
      </c>
      <c r="G1082" t="str">
        <f>"2025-08-15 08:20:43.382"</f>
        <v>2025-08-15 08:20:43.382</v>
      </c>
      <c r="H1082" t="s">
        <v>34</v>
      </c>
      <c r="I1082">
        <v>0</v>
      </c>
      <c r="J1082" t="s">
        <v>24</v>
      </c>
    </row>
    <row r="1083" spans="1:10" x14ac:dyDescent="0.25">
      <c r="A1083" s="1">
        <v>103</v>
      </c>
      <c r="B1083" t="s">
        <v>25</v>
      </c>
      <c r="C1083">
        <v>700</v>
      </c>
      <c r="D1083">
        <v>0</v>
      </c>
      <c r="E1083" t="s">
        <v>26</v>
      </c>
      <c r="F1083" t="s">
        <v>26</v>
      </c>
      <c r="G1083" t="str">
        <f>"2025-08-15 05:17:03.567"</f>
        <v>2025-08-15 05:17:03.567</v>
      </c>
      <c r="H1083" t="s">
        <v>22</v>
      </c>
      <c r="I1083">
        <v>0</v>
      </c>
      <c r="J1083" t="s">
        <v>27</v>
      </c>
    </row>
    <row r="1084" spans="1:10" x14ac:dyDescent="0.25">
      <c r="A1084" s="1">
        <v>104</v>
      </c>
      <c r="B1084" t="s">
        <v>25</v>
      </c>
      <c r="C1084">
        <v>706</v>
      </c>
      <c r="D1084">
        <v>4</v>
      </c>
      <c r="E1084" t="s">
        <v>35</v>
      </c>
      <c r="F1084" t="s">
        <v>36</v>
      </c>
      <c r="G1084" t="str">
        <f>"2025-08-14 17:20:22.222"</f>
        <v>2025-08-14 17:20:22.222</v>
      </c>
      <c r="H1084" t="s">
        <v>22</v>
      </c>
      <c r="I1084">
        <v>0</v>
      </c>
      <c r="J1084" t="s">
        <v>24</v>
      </c>
    </row>
    <row r="1085" spans="1:10" x14ac:dyDescent="0.25">
      <c r="A1085" s="1">
        <v>105</v>
      </c>
      <c r="B1085" t="s">
        <v>19</v>
      </c>
      <c r="C1085">
        <v>630</v>
      </c>
      <c r="D1085">
        <v>5</v>
      </c>
      <c r="E1085" t="s">
        <v>32</v>
      </c>
      <c r="F1085" t="s">
        <v>33</v>
      </c>
      <c r="G1085" t="str">
        <f>"2025-08-14 16:46:20.875"</f>
        <v>2025-08-14 16:46:20.875</v>
      </c>
      <c r="H1085" t="s">
        <v>34</v>
      </c>
    </row>
    <row r="1086" spans="1:10" x14ac:dyDescent="0.25">
      <c r="A1086" s="1">
        <v>106</v>
      </c>
      <c r="B1086" t="s">
        <v>25</v>
      </c>
      <c r="C1086">
        <v>706</v>
      </c>
      <c r="D1086">
        <v>4</v>
      </c>
      <c r="E1086" t="s">
        <v>35</v>
      </c>
      <c r="F1086" t="s">
        <v>36</v>
      </c>
      <c r="G1086" t="str">
        <f>"2025-08-14 16:45:50.772"</f>
        <v>2025-08-14 16:45:50.772</v>
      </c>
      <c r="H1086" t="s">
        <v>22</v>
      </c>
      <c r="I1086">
        <v>0</v>
      </c>
      <c r="J1086" t="s">
        <v>24</v>
      </c>
    </row>
    <row r="1087" spans="1:10" x14ac:dyDescent="0.25">
      <c r="A1087" s="1">
        <v>107</v>
      </c>
      <c r="B1087" t="s">
        <v>37</v>
      </c>
      <c r="C1087">
        <v>630</v>
      </c>
      <c r="D1087">
        <v>5</v>
      </c>
      <c r="E1087" t="s">
        <v>32</v>
      </c>
      <c r="F1087" t="s">
        <v>33</v>
      </c>
      <c r="G1087" t="str">
        <f>"2025-08-14 16:39:21.075"</f>
        <v>2025-08-14 16:39:21.075</v>
      </c>
      <c r="H1087" t="s">
        <v>34</v>
      </c>
      <c r="I1087">
        <v>0</v>
      </c>
      <c r="J1087" t="s">
        <v>24</v>
      </c>
    </row>
    <row r="1088" spans="1:10" x14ac:dyDescent="0.25">
      <c r="A1088" s="1">
        <v>108</v>
      </c>
      <c r="B1088" t="s">
        <v>19</v>
      </c>
      <c r="C1088">
        <v>635</v>
      </c>
      <c r="D1088">
        <v>1</v>
      </c>
      <c r="E1088" t="s">
        <v>28</v>
      </c>
      <c r="F1088" t="s">
        <v>29</v>
      </c>
      <c r="G1088" t="str">
        <f>"2025-08-13 15:32:10.027"</f>
        <v>2025-08-13 15:32:10.027</v>
      </c>
      <c r="H1088" t="s">
        <v>22</v>
      </c>
    </row>
    <row r="1089" spans="1:10" x14ac:dyDescent="0.25">
      <c r="A1089" s="1">
        <v>109</v>
      </c>
      <c r="B1089" t="s">
        <v>23</v>
      </c>
      <c r="C1089">
        <v>635</v>
      </c>
      <c r="D1089">
        <v>1</v>
      </c>
      <c r="E1089" t="s">
        <v>28</v>
      </c>
      <c r="F1089" t="s">
        <v>29</v>
      </c>
      <c r="G1089" t="str">
        <f>"2025-08-13 15:02:50.575"</f>
        <v>2025-08-13 15:02:50.575</v>
      </c>
      <c r="H1089" t="s">
        <v>22</v>
      </c>
      <c r="I1089">
        <v>5.13</v>
      </c>
      <c r="J1089" t="s">
        <v>48</v>
      </c>
    </row>
    <row r="1090" spans="1:10" x14ac:dyDescent="0.25">
      <c r="A1090" s="1">
        <v>110</v>
      </c>
      <c r="B1090" t="s">
        <v>19</v>
      </c>
      <c r="C1090">
        <v>635</v>
      </c>
      <c r="D1090">
        <v>1</v>
      </c>
      <c r="E1090" t="s">
        <v>28</v>
      </c>
      <c r="F1090" t="s">
        <v>29</v>
      </c>
      <c r="G1090" t="str">
        <f>"2025-08-13 06:28:36.075"</f>
        <v>2025-08-13 06:28:36.075</v>
      </c>
      <c r="H1090" t="s">
        <v>22</v>
      </c>
    </row>
    <row r="1091" spans="1:10" x14ac:dyDescent="0.25">
      <c r="A1091" s="1">
        <v>111</v>
      </c>
      <c r="B1091" t="s">
        <v>23</v>
      </c>
      <c r="C1091">
        <v>635</v>
      </c>
      <c r="D1091">
        <v>1</v>
      </c>
      <c r="E1091" t="s">
        <v>28</v>
      </c>
      <c r="F1091" t="s">
        <v>29</v>
      </c>
      <c r="G1091" t="str">
        <f>"2025-08-13 06:22:51.575"</f>
        <v>2025-08-13 06:22:51.575</v>
      </c>
      <c r="H1091" t="s">
        <v>22</v>
      </c>
      <c r="I1091">
        <v>4.32</v>
      </c>
      <c r="J1091" t="s">
        <v>30</v>
      </c>
    </row>
    <row r="1092" spans="1:10" x14ac:dyDescent="0.25">
      <c r="A1092" s="1">
        <v>112</v>
      </c>
      <c r="B1092" t="s">
        <v>19</v>
      </c>
      <c r="C1092">
        <v>635</v>
      </c>
      <c r="D1092">
        <v>1</v>
      </c>
      <c r="E1092" t="s">
        <v>28</v>
      </c>
      <c r="F1092" t="s">
        <v>29</v>
      </c>
      <c r="G1092" t="str">
        <f>"2025-08-12 19:27:27.275"</f>
        <v>2025-08-12 19:27:27.275</v>
      </c>
      <c r="H1092" t="s">
        <v>22</v>
      </c>
    </row>
    <row r="1093" spans="1:10" x14ac:dyDescent="0.25">
      <c r="A1093" s="1">
        <v>113</v>
      </c>
      <c r="B1093" t="s">
        <v>23</v>
      </c>
      <c r="C1093">
        <v>635</v>
      </c>
      <c r="D1093">
        <v>1</v>
      </c>
      <c r="E1093" t="s">
        <v>28</v>
      </c>
      <c r="F1093" t="s">
        <v>29</v>
      </c>
      <c r="G1093" t="str">
        <f>"2025-08-12 19:17:41.327"</f>
        <v>2025-08-12 19:17:41.327</v>
      </c>
      <c r="H1093" t="s">
        <v>22</v>
      </c>
      <c r="I1093">
        <v>0.32</v>
      </c>
      <c r="J1093" t="s">
        <v>31</v>
      </c>
    </row>
    <row r="1094" spans="1:10" x14ac:dyDescent="0.25">
      <c r="A1094" s="1">
        <v>114</v>
      </c>
      <c r="B1094" t="s">
        <v>19</v>
      </c>
      <c r="C1094">
        <v>630</v>
      </c>
      <c r="D1094">
        <v>5</v>
      </c>
      <c r="E1094" t="s">
        <v>32</v>
      </c>
      <c r="F1094" t="s">
        <v>33</v>
      </c>
      <c r="G1094" t="str">
        <f>"2025-08-11 09:55:47.275"</f>
        <v>2025-08-11 09:55:47.275</v>
      </c>
      <c r="H1094" t="s">
        <v>34</v>
      </c>
    </row>
    <row r="1095" spans="1:10" x14ac:dyDescent="0.25">
      <c r="A1095" s="1">
        <v>115</v>
      </c>
      <c r="B1095" t="s">
        <v>25</v>
      </c>
      <c r="C1095">
        <v>706</v>
      </c>
      <c r="D1095">
        <v>2</v>
      </c>
      <c r="E1095" t="s">
        <v>35</v>
      </c>
      <c r="F1095" t="s">
        <v>38</v>
      </c>
      <c r="G1095" t="str">
        <f>"2025-08-11 09:55:17.182"</f>
        <v>2025-08-11 09:55:17.182</v>
      </c>
      <c r="H1095" t="s">
        <v>22</v>
      </c>
      <c r="I1095">
        <v>0</v>
      </c>
      <c r="J1095" t="s">
        <v>24</v>
      </c>
    </row>
    <row r="1096" spans="1:10" x14ac:dyDescent="0.25">
      <c r="A1096" s="1">
        <v>116</v>
      </c>
      <c r="B1096" t="s">
        <v>37</v>
      </c>
      <c r="C1096">
        <v>630</v>
      </c>
      <c r="D1096">
        <v>5</v>
      </c>
      <c r="E1096" t="s">
        <v>32</v>
      </c>
      <c r="F1096" t="s">
        <v>33</v>
      </c>
      <c r="G1096" t="str">
        <f>"2025-08-11 09:48:53.475"</f>
        <v>2025-08-11 09:48:53.475</v>
      </c>
      <c r="H1096" t="s">
        <v>34</v>
      </c>
      <c r="I1096">
        <v>0</v>
      </c>
      <c r="J1096" t="s">
        <v>24</v>
      </c>
    </row>
    <row r="1097" spans="1:10" s="3" customFormat="1" x14ac:dyDescent="0.25">
      <c r="A1097" s="2">
        <v>117</v>
      </c>
      <c r="B1097" s="3" t="s">
        <v>19</v>
      </c>
      <c r="C1097" s="3">
        <v>647</v>
      </c>
      <c r="D1097" s="3">
        <v>1</v>
      </c>
      <c r="E1097" s="3" t="s">
        <v>49</v>
      </c>
      <c r="F1097" s="3" t="s">
        <v>50</v>
      </c>
      <c r="G1097" s="3" t="str">
        <f>"2025-08-11 09:38:00.175"</f>
        <v>2025-08-11 09:38:00.175</v>
      </c>
      <c r="H1097" s="3" t="s">
        <v>22</v>
      </c>
    </row>
    <row r="1098" spans="1:10" s="3" customFormat="1" x14ac:dyDescent="0.25">
      <c r="A1098" s="2">
        <v>118</v>
      </c>
      <c r="B1098" s="3" t="s">
        <v>23</v>
      </c>
      <c r="C1098" s="3">
        <v>647</v>
      </c>
      <c r="D1098" s="3">
        <v>1</v>
      </c>
      <c r="E1098" s="3" t="s">
        <v>49</v>
      </c>
      <c r="F1098" s="3" t="s">
        <v>50</v>
      </c>
      <c r="G1098" s="3" t="str">
        <f>"2025-08-11 09:37:57.276"</f>
        <v>2025-08-11 09:37:57.276</v>
      </c>
      <c r="H1098" s="3" t="s">
        <v>22</v>
      </c>
      <c r="I1098" s="3">
        <v>22.75</v>
      </c>
      <c r="J1098" s="3" t="s">
        <v>31</v>
      </c>
    </row>
    <row r="1099" spans="1:10" x14ac:dyDescent="0.25">
      <c r="A1099" s="1">
        <v>119</v>
      </c>
      <c r="B1099" t="s">
        <v>25</v>
      </c>
      <c r="C1099">
        <v>700</v>
      </c>
      <c r="D1099">
        <v>0</v>
      </c>
      <c r="E1099" t="s">
        <v>26</v>
      </c>
      <c r="F1099" t="s">
        <v>26</v>
      </c>
      <c r="G1099" t="str">
        <f>"2025-08-08 22:54:00.572"</f>
        <v>2025-08-08 22:54:00.572</v>
      </c>
      <c r="H1099" t="s">
        <v>22</v>
      </c>
      <c r="I1099">
        <v>0</v>
      </c>
      <c r="J1099" t="s">
        <v>27</v>
      </c>
    </row>
    <row r="1100" spans="1:10" s="3" customFormat="1" x14ac:dyDescent="0.25">
      <c r="A1100" s="2">
        <v>120</v>
      </c>
      <c r="B1100" s="3" t="s">
        <v>19</v>
      </c>
      <c r="C1100" s="3">
        <v>647</v>
      </c>
      <c r="D1100" s="3">
        <v>1</v>
      </c>
      <c r="E1100" s="3" t="s">
        <v>49</v>
      </c>
      <c r="F1100" s="3" t="s">
        <v>50</v>
      </c>
      <c r="G1100" s="3" t="str">
        <f>"2025-08-07 23:35:50.179"</f>
        <v>2025-08-07 23:35:50.179</v>
      </c>
      <c r="H1100" s="3" t="s">
        <v>22</v>
      </c>
    </row>
    <row r="1101" spans="1:10" s="3" customFormat="1" x14ac:dyDescent="0.25">
      <c r="A1101" s="2">
        <v>121</v>
      </c>
      <c r="B1101" s="3" t="s">
        <v>23</v>
      </c>
      <c r="C1101" s="3">
        <v>647</v>
      </c>
      <c r="D1101" s="3">
        <v>1</v>
      </c>
      <c r="E1101" s="3" t="s">
        <v>49</v>
      </c>
      <c r="F1101" s="3" t="s">
        <v>50</v>
      </c>
      <c r="G1101" s="3" t="str">
        <f>"2025-08-07 23:35:47.479"</f>
        <v>2025-08-07 23:35:47.479</v>
      </c>
      <c r="H1101" s="3" t="s">
        <v>22</v>
      </c>
      <c r="I1101" s="3">
        <v>10.63</v>
      </c>
      <c r="J1101" s="3" t="s">
        <v>31</v>
      </c>
    </row>
    <row r="1102" spans="1:10" x14ac:dyDescent="0.25">
      <c r="A1102" s="1">
        <v>122</v>
      </c>
      <c r="B1102" t="s">
        <v>25</v>
      </c>
      <c r="C1102">
        <v>700</v>
      </c>
      <c r="D1102">
        <v>0</v>
      </c>
      <c r="E1102" t="s">
        <v>26</v>
      </c>
      <c r="F1102" t="s">
        <v>26</v>
      </c>
      <c r="G1102" t="str">
        <f>"2025-08-07 23:16:03.547"</f>
        <v>2025-08-07 23:16:03.547</v>
      </c>
      <c r="H1102" t="s">
        <v>22</v>
      </c>
    </row>
    <row r="1103" spans="1:10" x14ac:dyDescent="0.25">
      <c r="A1103" s="1">
        <v>123</v>
      </c>
      <c r="B1103" t="s">
        <v>19</v>
      </c>
      <c r="C1103">
        <v>630</v>
      </c>
      <c r="D1103">
        <v>5</v>
      </c>
      <c r="E1103" t="s">
        <v>32</v>
      </c>
      <c r="F1103" t="s">
        <v>33</v>
      </c>
      <c r="G1103" t="str">
        <f>"2025-08-07 10:46:38.915"</f>
        <v>2025-08-07 10:46:38.915</v>
      </c>
      <c r="H1103" t="s">
        <v>34</v>
      </c>
    </row>
    <row r="1104" spans="1:10" x14ac:dyDescent="0.25">
      <c r="A1104" s="1">
        <v>124</v>
      </c>
      <c r="B1104" t="s">
        <v>25</v>
      </c>
      <c r="C1104">
        <v>706</v>
      </c>
      <c r="D1104">
        <v>4</v>
      </c>
      <c r="E1104" t="s">
        <v>35</v>
      </c>
      <c r="F1104" t="s">
        <v>36</v>
      </c>
      <c r="G1104" t="str">
        <f>"2025-08-07 10:46:08.833"</f>
        <v>2025-08-07 10:46:08.833</v>
      </c>
      <c r="H1104" t="s">
        <v>22</v>
      </c>
      <c r="I1104">
        <v>0</v>
      </c>
      <c r="J1104" t="s">
        <v>24</v>
      </c>
    </row>
    <row r="1105" spans="1:10" x14ac:dyDescent="0.25">
      <c r="A1105" s="1">
        <v>125</v>
      </c>
      <c r="B1105" t="s">
        <v>37</v>
      </c>
      <c r="C1105">
        <v>630</v>
      </c>
      <c r="D1105">
        <v>5</v>
      </c>
      <c r="E1105" t="s">
        <v>32</v>
      </c>
      <c r="F1105" t="s">
        <v>33</v>
      </c>
      <c r="G1105" t="str">
        <f>"2025-08-07 10:39:33.515"</f>
        <v>2025-08-07 10:39:33.515</v>
      </c>
      <c r="H1105" t="s">
        <v>34</v>
      </c>
      <c r="I1105">
        <v>0</v>
      </c>
      <c r="J1105" t="s">
        <v>24</v>
      </c>
    </row>
    <row r="1106" spans="1:10" x14ac:dyDescent="0.25">
      <c r="A1106" s="1">
        <v>126</v>
      </c>
      <c r="B1106" t="s">
        <v>25</v>
      </c>
      <c r="C1106">
        <v>700</v>
      </c>
      <c r="D1106">
        <v>0</v>
      </c>
      <c r="E1106" t="s">
        <v>26</v>
      </c>
      <c r="F1106" t="s">
        <v>26</v>
      </c>
      <c r="G1106" t="str">
        <f>"2025-08-07 10:34:30.653"</f>
        <v>2025-08-07 10:34:30.653</v>
      </c>
      <c r="H1106" t="s">
        <v>22</v>
      </c>
      <c r="I1106">
        <v>0</v>
      </c>
      <c r="J1106" t="s">
        <v>27</v>
      </c>
    </row>
    <row r="1107" spans="1:10" x14ac:dyDescent="0.25">
      <c r="A1107" s="1">
        <v>127</v>
      </c>
      <c r="B1107" t="s">
        <v>37</v>
      </c>
      <c r="C1107">
        <v>630</v>
      </c>
      <c r="D1107">
        <v>5</v>
      </c>
      <c r="E1107" t="s">
        <v>32</v>
      </c>
      <c r="F1107" t="s">
        <v>33</v>
      </c>
      <c r="G1107" t="str">
        <f>"2025-08-07 09:06:46.744"</f>
        <v>2025-08-07 09:06:46.744</v>
      </c>
      <c r="H1107" t="s">
        <v>34</v>
      </c>
      <c r="I1107">
        <v>0</v>
      </c>
      <c r="J1107" t="s">
        <v>24</v>
      </c>
    </row>
    <row r="1108" spans="1:10" x14ac:dyDescent="0.25">
      <c r="A1108" s="1">
        <v>128</v>
      </c>
      <c r="B1108" t="s">
        <v>19</v>
      </c>
      <c r="C1108">
        <v>635</v>
      </c>
      <c r="D1108">
        <v>1</v>
      </c>
      <c r="E1108" t="s">
        <v>28</v>
      </c>
      <c r="F1108" t="s">
        <v>29</v>
      </c>
      <c r="G1108" t="str">
        <f>"2025-08-05 03:06:04.143"</f>
        <v>2025-08-05 03:06:04.143</v>
      </c>
      <c r="H1108" t="s">
        <v>22</v>
      </c>
    </row>
    <row r="1109" spans="1:10" x14ac:dyDescent="0.25">
      <c r="A1109" s="1">
        <v>129</v>
      </c>
      <c r="B1109" t="s">
        <v>23</v>
      </c>
      <c r="C1109">
        <v>635</v>
      </c>
      <c r="D1109">
        <v>1</v>
      </c>
      <c r="E1109" t="s">
        <v>28</v>
      </c>
      <c r="F1109" t="s">
        <v>29</v>
      </c>
      <c r="G1109" t="str">
        <f>"2025-08-05 03:02:23.143"</f>
        <v>2025-08-05 03:02:23.143</v>
      </c>
      <c r="H1109" t="s">
        <v>22</v>
      </c>
      <c r="I1109">
        <v>6.79</v>
      </c>
      <c r="J1109" t="s">
        <v>30</v>
      </c>
    </row>
    <row r="1110" spans="1:10" x14ac:dyDescent="0.25">
      <c r="A1110" s="1">
        <v>130</v>
      </c>
      <c r="B1110" t="s">
        <v>25</v>
      </c>
      <c r="C1110">
        <v>700</v>
      </c>
      <c r="D1110">
        <v>0</v>
      </c>
      <c r="E1110" t="s">
        <v>26</v>
      </c>
      <c r="F1110" t="s">
        <v>26</v>
      </c>
      <c r="G1110" t="str">
        <f>"2025-08-03 22:32:24.619"</f>
        <v>2025-08-03 22:32:24.619</v>
      </c>
      <c r="H1110" t="s">
        <v>22</v>
      </c>
      <c r="I1110">
        <v>0</v>
      </c>
      <c r="J1110" t="s">
        <v>27</v>
      </c>
    </row>
    <row r="1111" spans="1:10" x14ac:dyDescent="0.25">
      <c r="A1111" s="1">
        <v>131</v>
      </c>
      <c r="B1111" t="s">
        <v>19</v>
      </c>
      <c r="C1111">
        <v>635</v>
      </c>
      <c r="D1111">
        <v>1</v>
      </c>
      <c r="E1111" t="s">
        <v>28</v>
      </c>
      <c r="F1111" t="s">
        <v>29</v>
      </c>
      <c r="G1111" t="str">
        <f>"2025-08-03 19:58:49.991"</f>
        <v>2025-08-03 19:58:49.991</v>
      </c>
      <c r="H1111" t="s">
        <v>22</v>
      </c>
    </row>
    <row r="1112" spans="1:10" x14ac:dyDescent="0.25">
      <c r="A1112" s="1">
        <v>132</v>
      </c>
      <c r="B1112" t="s">
        <v>23</v>
      </c>
      <c r="C1112">
        <v>635</v>
      </c>
      <c r="D1112">
        <v>1</v>
      </c>
      <c r="E1112" t="s">
        <v>28</v>
      </c>
      <c r="F1112" t="s">
        <v>29</v>
      </c>
      <c r="G1112" t="str">
        <f>"2025-08-03 19:53:43.991"</f>
        <v>2025-08-03 19:53:43.991</v>
      </c>
      <c r="H1112" t="s">
        <v>22</v>
      </c>
      <c r="I1112">
        <v>6.38</v>
      </c>
      <c r="J1112" t="s">
        <v>30</v>
      </c>
    </row>
    <row r="1113" spans="1:10" x14ac:dyDescent="0.25">
      <c r="A1113" s="1">
        <v>133</v>
      </c>
      <c r="B1113" t="s">
        <v>19</v>
      </c>
      <c r="C1113">
        <v>635</v>
      </c>
      <c r="D1113">
        <v>1</v>
      </c>
      <c r="E1113" t="s">
        <v>28</v>
      </c>
      <c r="F1113" t="s">
        <v>29</v>
      </c>
      <c r="G1113" t="str">
        <f>"2025-08-01 17:06:38.291"</f>
        <v>2025-08-01 17:06:38.291</v>
      </c>
      <c r="H1113" t="s">
        <v>22</v>
      </c>
    </row>
    <row r="1114" spans="1:10" x14ac:dyDescent="0.25">
      <c r="A1114" s="1">
        <v>134</v>
      </c>
      <c r="B1114" t="s">
        <v>23</v>
      </c>
      <c r="C1114">
        <v>635</v>
      </c>
      <c r="D1114">
        <v>1</v>
      </c>
      <c r="E1114" t="s">
        <v>28</v>
      </c>
      <c r="F1114" t="s">
        <v>29</v>
      </c>
      <c r="G1114" t="str">
        <f>"2025-08-01 17:02:41.791"</f>
        <v>2025-08-01 17:02:41.791</v>
      </c>
      <c r="H1114" t="s">
        <v>22</v>
      </c>
      <c r="I1114">
        <v>8.1199999999999992</v>
      </c>
      <c r="J1114" t="s">
        <v>30</v>
      </c>
    </row>
    <row r="1115" spans="1:10" x14ac:dyDescent="0.25">
      <c r="A1115" s="1">
        <v>135</v>
      </c>
      <c r="B1115" t="s">
        <v>25</v>
      </c>
      <c r="C1115">
        <v>700</v>
      </c>
      <c r="D1115">
        <v>0</v>
      </c>
      <c r="E1115" t="s">
        <v>26</v>
      </c>
      <c r="F1115" t="s">
        <v>26</v>
      </c>
      <c r="G1115" t="str">
        <f>"2025-07-31 22:27:25.570"</f>
        <v>2025-07-31 22:27:25.570</v>
      </c>
      <c r="H1115" t="s">
        <v>22</v>
      </c>
    </row>
    <row r="1116" spans="1:10" x14ac:dyDescent="0.25">
      <c r="A1116" s="1">
        <v>136</v>
      </c>
      <c r="B1116" t="s">
        <v>25</v>
      </c>
      <c r="C1116">
        <v>700</v>
      </c>
      <c r="D1116">
        <v>0</v>
      </c>
      <c r="E1116" t="s">
        <v>26</v>
      </c>
      <c r="F1116" t="s">
        <v>26</v>
      </c>
      <c r="G1116" t="str">
        <f>"2025-07-29 11:30:23.594"</f>
        <v>2025-07-29 11:30:23.594</v>
      </c>
      <c r="H1116" t="s">
        <v>22</v>
      </c>
      <c r="I1116">
        <v>0</v>
      </c>
      <c r="J1116" t="s">
        <v>27</v>
      </c>
    </row>
    <row r="1117" spans="1:10" x14ac:dyDescent="0.25">
      <c r="A1117" s="1">
        <v>137</v>
      </c>
      <c r="B1117" t="s">
        <v>25</v>
      </c>
      <c r="C1117">
        <v>706</v>
      </c>
      <c r="D1117">
        <v>3</v>
      </c>
      <c r="E1117" t="s">
        <v>35</v>
      </c>
      <c r="F1117" t="s">
        <v>62</v>
      </c>
      <c r="G1117" t="str">
        <f>"2025-07-29 11:22:03.522"</f>
        <v>2025-07-29 11:22:03.522</v>
      </c>
      <c r="H1117" t="s">
        <v>22</v>
      </c>
      <c r="I1117">
        <v>0</v>
      </c>
      <c r="J1117" t="s">
        <v>24</v>
      </c>
    </row>
    <row r="1118" spans="1:10" x14ac:dyDescent="0.25">
      <c r="A1118" s="1">
        <v>138</v>
      </c>
      <c r="B1118" t="s">
        <v>25</v>
      </c>
      <c r="C1118">
        <v>706</v>
      </c>
      <c r="D1118">
        <v>3</v>
      </c>
      <c r="E1118" t="s">
        <v>35</v>
      </c>
      <c r="F1118" t="s">
        <v>62</v>
      </c>
      <c r="G1118" t="str">
        <f>"2025-07-29 11:19:54.142"</f>
        <v>2025-07-29 11:19:54.142</v>
      </c>
      <c r="H1118" t="s">
        <v>22</v>
      </c>
      <c r="I1118">
        <v>0</v>
      </c>
      <c r="J1118" t="s">
        <v>24</v>
      </c>
    </row>
    <row r="1119" spans="1:10" x14ac:dyDescent="0.25">
      <c r="A1119" s="1">
        <v>139</v>
      </c>
      <c r="B1119" t="s">
        <v>25</v>
      </c>
      <c r="C1119">
        <v>700</v>
      </c>
      <c r="D1119">
        <v>0</v>
      </c>
      <c r="E1119" t="s">
        <v>26</v>
      </c>
      <c r="F1119" t="s">
        <v>26</v>
      </c>
      <c r="G1119" t="str">
        <f>"2025-07-29 11:18:56.552"</f>
        <v>2025-07-29 11:18:56.552</v>
      </c>
      <c r="H1119" t="s">
        <v>22</v>
      </c>
      <c r="I1119">
        <v>0</v>
      </c>
      <c r="J1119" t="s">
        <v>27</v>
      </c>
    </row>
    <row r="1120" spans="1:10" x14ac:dyDescent="0.25">
      <c r="A1120" s="1">
        <v>140</v>
      </c>
      <c r="B1120" t="s">
        <v>25</v>
      </c>
      <c r="C1120">
        <v>700</v>
      </c>
      <c r="D1120">
        <v>0</v>
      </c>
      <c r="E1120" t="s">
        <v>26</v>
      </c>
      <c r="F1120" t="s">
        <v>26</v>
      </c>
      <c r="G1120" t="str">
        <f>"2025-07-29 11:01:29.662"</f>
        <v>2025-07-29 11:01:29.662</v>
      </c>
      <c r="H1120" t="s">
        <v>22</v>
      </c>
      <c r="I1120">
        <v>0</v>
      </c>
      <c r="J1120" t="s">
        <v>27</v>
      </c>
    </row>
    <row r="1121" spans="1:10" x14ac:dyDescent="0.25">
      <c r="A1121" s="1">
        <v>141</v>
      </c>
      <c r="B1121" t="s">
        <v>25</v>
      </c>
      <c r="C1121">
        <v>700</v>
      </c>
      <c r="D1121">
        <v>0</v>
      </c>
      <c r="E1121" t="s">
        <v>26</v>
      </c>
      <c r="F1121" t="s">
        <v>26</v>
      </c>
      <c r="G1121" t="str">
        <f>"2025-07-27 22:46:30.561"</f>
        <v>2025-07-27 22:46:30.561</v>
      </c>
      <c r="H1121" t="s">
        <v>22</v>
      </c>
    </row>
    <row r="1122" spans="1:10" x14ac:dyDescent="0.25">
      <c r="A1122" s="1">
        <v>142</v>
      </c>
      <c r="B1122" t="s">
        <v>19</v>
      </c>
      <c r="C1122">
        <v>630</v>
      </c>
      <c r="D1122">
        <v>5</v>
      </c>
      <c r="E1122" t="s">
        <v>32</v>
      </c>
      <c r="F1122" t="s">
        <v>33</v>
      </c>
      <c r="G1122" t="str">
        <f>"2025-07-27 22:33:01.875"</f>
        <v>2025-07-27 22:33:01.875</v>
      </c>
      <c r="H1122" t="s">
        <v>34</v>
      </c>
    </row>
    <row r="1123" spans="1:10" x14ac:dyDescent="0.25">
      <c r="A1123" s="1">
        <v>143</v>
      </c>
      <c r="B1123" t="s">
        <v>59</v>
      </c>
      <c r="C1123">
        <v>47</v>
      </c>
      <c r="D1123">
        <v>2</v>
      </c>
      <c r="E1123" t="s">
        <v>60</v>
      </c>
      <c r="F1123" t="s">
        <v>61</v>
      </c>
      <c r="G1123" t="str">
        <f>"2025-07-27 22:32:42.574"</f>
        <v>2025-07-27 22:32:42.574</v>
      </c>
      <c r="H1123" t="s">
        <v>45</v>
      </c>
    </row>
    <row r="1124" spans="1:10" x14ac:dyDescent="0.25">
      <c r="A1124" s="1">
        <v>144</v>
      </c>
      <c r="B1124" t="s">
        <v>37</v>
      </c>
      <c r="C1124">
        <v>47</v>
      </c>
      <c r="D1124">
        <v>2</v>
      </c>
      <c r="E1124" t="s">
        <v>60</v>
      </c>
      <c r="F1124" t="s">
        <v>61</v>
      </c>
      <c r="G1124" t="str">
        <f>"2025-07-27 22:32:36.975"</f>
        <v>2025-07-27 22:32:36.975</v>
      </c>
      <c r="H1124" t="s">
        <v>45</v>
      </c>
      <c r="I1124">
        <v>0</v>
      </c>
      <c r="J1124" t="s">
        <v>24</v>
      </c>
    </row>
    <row r="1125" spans="1:10" x14ac:dyDescent="0.25">
      <c r="A1125" s="1">
        <v>145</v>
      </c>
      <c r="B1125" t="s">
        <v>25</v>
      </c>
      <c r="C1125">
        <v>706</v>
      </c>
      <c r="D1125">
        <v>4</v>
      </c>
      <c r="E1125" t="s">
        <v>35</v>
      </c>
      <c r="F1125" t="s">
        <v>36</v>
      </c>
      <c r="G1125" t="str">
        <f>"2025-07-27 22:32:31.923"</f>
        <v>2025-07-27 22:32:31.923</v>
      </c>
      <c r="H1125" t="s">
        <v>22</v>
      </c>
      <c r="I1125">
        <v>0</v>
      </c>
      <c r="J1125" t="s">
        <v>24</v>
      </c>
    </row>
    <row r="1126" spans="1:10" x14ac:dyDescent="0.25">
      <c r="A1126" s="1">
        <v>146</v>
      </c>
      <c r="B1126" t="s">
        <v>37</v>
      </c>
      <c r="C1126">
        <v>630</v>
      </c>
      <c r="D1126">
        <v>5</v>
      </c>
      <c r="E1126" t="s">
        <v>32</v>
      </c>
      <c r="F1126" t="s">
        <v>33</v>
      </c>
      <c r="G1126" t="str">
        <f>"2025-07-27 22:23:06.375"</f>
        <v>2025-07-27 22:23:06.375</v>
      </c>
      <c r="H1126" t="s">
        <v>34</v>
      </c>
      <c r="I1126">
        <v>0</v>
      </c>
      <c r="J1126" t="s">
        <v>24</v>
      </c>
    </row>
    <row r="1127" spans="1:10" x14ac:dyDescent="0.25">
      <c r="A1127" s="1">
        <v>147</v>
      </c>
      <c r="B1127" t="s">
        <v>25</v>
      </c>
      <c r="C1127">
        <v>700</v>
      </c>
      <c r="D1127">
        <v>0</v>
      </c>
      <c r="E1127" t="s">
        <v>26</v>
      </c>
      <c r="F1127" t="s">
        <v>26</v>
      </c>
      <c r="G1127" t="str">
        <f>"2025-07-27 22:18:03.543"</f>
        <v>2025-07-27 22:18:03.543</v>
      </c>
      <c r="H1127" t="s">
        <v>22</v>
      </c>
      <c r="I1127">
        <v>0</v>
      </c>
      <c r="J1127" t="s">
        <v>27</v>
      </c>
    </row>
    <row r="1128" spans="1:10" x14ac:dyDescent="0.25">
      <c r="A1128" s="1">
        <v>148</v>
      </c>
      <c r="B1128" t="s">
        <v>25</v>
      </c>
      <c r="C1128">
        <v>706</v>
      </c>
      <c r="D1128">
        <v>4</v>
      </c>
      <c r="E1128" t="s">
        <v>35</v>
      </c>
      <c r="F1128" t="s">
        <v>36</v>
      </c>
      <c r="G1128" t="str">
        <f>"2025-07-27 22:03:45.256"</f>
        <v>2025-07-27 22:03:45.256</v>
      </c>
      <c r="H1128" t="s">
        <v>22</v>
      </c>
      <c r="I1128">
        <v>0</v>
      </c>
      <c r="J1128" t="s">
        <v>24</v>
      </c>
    </row>
    <row r="1129" spans="1:10" x14ac:dyDescent="0.25">
      <c r="A1129" s="1">
        <v>149</v>
      </c>
      <c r="B1129" t="s">
        <v>25</v>
      </c>
      <c r="C1129">
        <v>700</v>
      </c>
      <c r="D1129">
        <v>0</v>
      </c>
      <c r="E1129" t="s">
        <v>26</v>
      </c>
      <c r="F1129" t="s">
        <v>26</v>
      </c>
      <c r="G1129" t="str">
        <f>"2025-07-27 21:59:20.696"</f>
        <v>2025-07-27 21:59:20.696</v>
      </c>
      <c r="H1129" t="s">
        <v>22</v>
      </c>
    </row>
    <row r="1130" spans="1:10" x14ac:dyDescent="0.25">
      <c r="A1130" s="1">
        <v>150</v>
      </c>
      <c r="B1130" t="s">
        <v>37</v>
      </c>
      <c r="C1130">
        <v>630</v>
      </c>
      <c r="D1130">
        <v>5</v>
      </c>
      <c r="E1130" t="s">
        <v>32</v>
      </c>
      <c r="F1130" t="s">
        <v>33</v>
      </c>
      <c r="G1130" t="str">
        <f>"2025-07-27 20:24:09.054"</f>
        <v>2025-07-27 20:24:09.054</v>
      </c>
      <c r="H1130" t="s">
        <v>34</v>
      </c>
      <c r="I1130">
        <v>0</v>
      </c>
      <c r="J1130" t="s">
        <v>24</v>
      </c>
    </row>
    <row r="1131" spans="1:10" x14ac:dyDescent="0.25">
      <c r="A1131" s="1">
        <v>151</v>
      </c>
      <c r="B1131" t="s">
        <v>25</v>
      </c>
      <c r="C1131">
        <v>700</v>
      </c>
      <c r="D1131">
        <v>0</v>
      </c>
      <c r="E1131" t="s">
        <v>26</v>
      </c>
      <c r="F1131" t="s">
        <v>26</v>
      </c>
      <c r="G1131" t="str">
        <f>"2025-07-27 20:18:10.733"</f>
        <v>2025-07-27 20:18:10.733</v>
      </c>
      <c r="H1131" t="s">
        <v>22</v>
      </c>
      <c r="I1131">
        <v>0</v>
      </c>
      <c r="J1131" t="s">
        <v>27</v>
      </c>
    </row>
    <row r="1132" spans="1:10" x14ac:dyDescent="0.25">
      <c r="A1132" s="1">
        <v>152</v>
      </c>
      <c r="B1132" t="s">
        <v>19</v>
      </c>
      <c r="C1132">
        <v>635</v>
      </c>
      <c r="D1132">
        <v>1</v>
      </c>
      <c r="E1132" t="s">
        <v>28</v>
      </c>
      <c r="F1132" t="s">
        <v>29</v>
      </c>
      <c r="G1132" t="str">
        <f>"2025-07-27 11:47:23.091"</f>
        <v>2025-07-27 11:47:23.091</v>
      </c>
      <c r="H1132" t="s">
        <v>22</v>
      </c>
    </row>
    <row r="1133" spans="1:10" x14ac:dyDescent="0.25">
      <c r="A1133" s="1">
        <v>153</v>
      </c>
      <c r="B1133" t="s">
        <v>23</v>
      </c>
      <c r="C1133">
        <v>635</v>
      </c>
      <c r="D1133">
        <v>1</v>
      </c>
      <c r="E1133" t="s">
        <v>28</v>
      </c>
      <c r="F1133" t="s">
        <v>29</v>
      </c>
      <c r="G1133" t="str">
        <f>"2025-07-27 11:25:28.091"</f>
        <v>2025-07-27 11:25:28.091</v>
      </c>
      <c r="H1133" t="s">
        <v>22</v>
      </c>
      <c r="I1133">
        <v>6.7</v>
      </c>
      <c r="J1133" t="s">
        <v>30</v>
      </c>
    </row>
    <row r="1134" spans="1:10" x14ac:dyDescent="0.25">
      <c r="A1134" s="1">
        <v>154</v>
      </c>
      <c r="B1134" t="s">
        <v>19</v>
      </c>
      <c r="C1134">
        <v>635</v>
      </c>
      <c r="D1134">
        <v>1</v>
      </c>
      <c r="E1134" t="s">
        <v>28</v>
      </c>
      <c r="F1134" t="s">
        <v>29</v>
      </c>
      <c r="G1134" t="str">
        <f>"2025-07-26 11:43:17.391"</f>
        <v>2025-07-26 11:43:17.391</v>
      </c>
      <c r="H1134" t="s">
        <v>22</v>
      </c>
    </row>
    <row r="1135" spans="1:10" x14ac:dyDescent="0.25">
      <c r="A1135" s="1">
        <v>155</v>
      </c>
      <c r="B1135" t="s">
        <v>23</v>
      </c>
      <c r="C1135">
        <v>635</v>
      </c>
      <c r="D1135">
        <v>1</v>
      </c>
      <c r="E1135" t="s">
        <v>28</v>
      </c>
      <c r="F1135" t="s">
        <v>29</v>
      </c>
      <c r="G1135" t="str">
        <f>"2025-07-26 11:21:49.391"</f>
        <v>2025-07-26 11:21:49.391</v>
      </c>
      <c r="H1135" t="s">
        <v>22</v>
      </c>
      <c r="I1135">
        <v>6.51</v>
      </c>
      <c r="J1135" t="s">
        <v>30</v>
      </c>
    </row>
    <row r="1136" spans="1:10" x14ac:dyDescent="0.25">
      <c r="A1136" s="1">
        <v>156</v>
      </c>
      <c r="B1136" t="s">
        <v>19</v>
      </c>
      <c r="C1136">
        <v>635</v>
      </c>
      <c r="D1136">
        <v>1</v>
      </c>
      <c r="E1136" t="s">
        <v>28</v>
      </c>
      <c r="F1136" t="s">
        <v>29</v>
      </c>
      <c r="G1136" t="str">
        <f>"2025-07-25 22:53:05.391"</f>
        <v>2025-07-25 22:53:05.391</v>
      </c>
      <c r="H1136" t="s">
        <v>22</v>
      </c>
    </row>
    <row r="1137" spans="1:10" x14ac:dyDescent="0.25">
      <c r="A1137" s="1">
        <v>157</v>
      </c>
      <c r="B1137" t="s">
        <v>23</v>
      </c>
      <c r="C1137">
        <v>635</v>
      </c>
      <c r="D1137">
        <v>1</v>
      </c>
      <c r="E1137" t="s">
        <v>28</v>
      </c>
      <c r="F1137" t="s">
        <v>29</v>
      </c>
      <c r="G1137" t="str">
        <f>"2025-07-25 22:49:17.391"</f>
        <v>2025-07-25 22:49:17.391</v>
      </c>
      <c r="H1137" t="s">
        <v>22</v>
      </c>
      <c r="I1137">
        <v>4.3600000000000003</v>
      </c>
      <c r="J1137" t="s">
        <v>30</v>
      </c>
    </row>
    <row r="1138" spans="1:10" x14ac:dyDescent="0.25">
      <c r="A1138" s="1">
        <v>158</v>
      </c>
      <c r="B1138" t="s">
        <v>19</v>
      </c>
      <c r="C1138">
        <v>635</v>
      </c>
      <c r="D1138">
        <v>1</v>
      </c>
      <c r="E1138" t="s">
        <v>28</v>
      </c>
      <c r="F1138" t="s">
        <v>29</v>
      </c>
      <c r="G1138" t="str">
        <f>"2025-07-25 22:00:36.991"</f>
        <v>2025-07-25 22:00:36.991</v>
      </c>
      <c r="H1138" t="s">
        <v>22</v>
      </c>
    </row>
    <row r="1139" spans="1:10" x14ac:dyDescent="0.25">
      <c r="A1139" s="1">
        <v>159</v>
      </c>
      <c r="B1139" t="s">
        <v>23</v>
      </c>
      <c r="C1139">
        <v>635</v>
      </c>
      <c r="D1139">
        <v>1</v>
      </c>
      <c r="E1139" t="s">
        <v>28</v>
      </c>
      <c r="F1139" t="s">
        <v>29</v>
      </c>
      <c r="G1139" t="str">
        <f>"2025-07-25 21:53:20.991"</f>
        <v>2025-07-25 21:53:20.991</v>
      </c>
      <c r="H1139" t="s">
        <v>22</v>
      </c>
      <c r="I1139">
        <v>4.4800000000000004</v>
      </c>
      <c r="J1139" t="s">
        <v>30</v>
      </c>
    </row>
    <row r="1140" spans="1:10" x14ac:dyDescent="0.25">
      <c r="A1140" s="1">
        <v>160</v>
      </c>
      <c r="B1140" t="s">
        <v>25</v>
      </c>
      <c r="C1140">
        <v>700</v>
      </c>
      <c r="D1140">
        <v>0</v>
      </c>
      <c r="E1140" t="s">
        <v>26</v>
      </c>
      <c r="F1140" t="s">
        <v>26</v>
      </c>
      <c r="G1140" t="str">
        <f>"2025-07-23 22:08:10.558"</f>
        <v>2025-07-23 22:08:10.558</v>
      </c>
      <c r="H1140" t="s">
        <v>22</v>
      </c>
      <c r="I1140">
        <v>0</v>
      </c>
      <c r="J1140" t="s">
        <v>27</v>
      </c>
    </row>
    <row r="1141" spans="1:10" x14ac:dyDescent="0.25">
      <c r="A1141" s="1">
        <v>161</v>
      </c>
      <c r="B1141" t="s">
        <v>19</v>
      </c>
      <c r="C1141">
        <v>630</v>
      </c>
      <c r="D1141">
        <v>5</v>
      </c>
      <c r="E1141" t="s">
        <v>32</v>
      </c>
      <c r="F1141" t="s">
        <v>33</v>
      </c>
      <c r="G1141" t="str">
        <f>"2025-07-23 09:40:10.588"</f>
        <v>2025-07-23 09:40:10.588</v>
      </c>
      <c r="H1141" t="s">
        <v>34</v>
      </c>
    </row>
    <row r="1142" spans="1:10" x14ac:dyDescent="0.25">
      <c r="A1142" s="1">
        <v>162</v>
      </c>
      <c r="B1142" t="s">
        <v>25</v>
      </c>
      <c r="C1142">
        <v>706</v>
      </c>
      <c r="D1142">
        <v>4</v>
      </c>
      <c r="E1142" t="s">
        <v>35</v>
      </c>
      <c r="F1142" t="s">
        <v>36</v>
      </c>
      <c r="G1142" t="str">
        <f>"2025-07-23 09:39:40.530"</f>
        <v>2025-07-23 09:39:40.530</v>
      </c>
      <c r="H1142" t="s">
        <v>22</v>
      </c>
      <c r="I1142">
        <v>0</v>
      </c>
      <c r="J1142" t="s">
        <v>24</v>
      </c>
    </row>
    <row r="1143" spans="1:10" x14ac:dyDescent="0.25">
      <c r="A1143" s="1">
        <v>163</v>
      </c>
      <c r="B1143" t="s">
        <v>37</v>
      </c>
      <c r="C1143">
        <v>630</v>
      </c>
      <c r="D1143">
        <v>5</v>
      </c>
      <c r="E1143" t="s">
        <v>32</v>
      </c>
      <c r="F1143" t="s">
        <v>33</v>
      </c>
      <c r="G1143" t="str">
        <f>"2025-07-23 09:31:42.688"</f>
        <v>2025-07-23 09:31:42.688</v>
      </c>
      <c r="H1143" t="s">
        <v>34</v>
      </c>
      <c r="I1143">
        <v>0</v>
      </c>
      <c r="J1143" t="s">
        <v>24</v>
      </c>
    </row>
    <row r="1144" spans="1:10" x14ac:dyDescent="0.25">
      <c r="A1144" s="1">
        <v>165</v>
      </c>
      <c r="B1144" t="s">
        <v>19</v>
      </c>
      <c r="C1144">
        <v>635</v>
      </c>
      <c r="D1144">
        <v>1</v>
      </c>
      <c r="E1144" t="s">
        <v>28</v>
      </c>
      <c r="F1144" t="s">
        <v>29</v>
      </c>
      <c r="G1144" t="str">
        <f>"2025-07-20 19:27:25.288"</f>
        <v>2025-07-20 19:27:25.288</v>
      </c>
      <c r="H1144" t="s">
        <v>22</v>
      </c>
    </row>
    <row r="1145" spans="1:10" x14ac:dyDescent="0.25">
      <c r="A1145" s="1">
        <v>166</v>
      </c>
      <c r="B1145" t="s">
        <v>23</v>
      </c>
      <c r="C1145">
        <v>635</v>
      </c>
      <c r="D1145">
        <v>1</v>
      </c>
      <c r="E1145" t="s">
        <v>28</v>
      </c>
      <c r="F1145" t="s">
        <v>29</v>
      </c>
      <c r="G1145" t="str">
        <f>"2025-07-20 19:07:12.288"</f>
        <v>2025-07-20 19:07:12.288</v>
      </c>
      <c r="H1145" t="s">
        <v>22</v>
      </c>
      <c r="I1145">
        <v>8.18</v>
      </c>
      <c r="J1145" t="s">
        <v>30</v>
      </c>
    </row>
    <row r="1146" spans="1:10" x14ac:dyDescent="0.25">
      <c r="A1146" s="1">
        <v>167</v>
      </c>
      <c r="B1146" t="s">
        <v>19</v>
      </c>
      <c r="C1146">
        <v>630</v>
      </c>
      <c r="D1146">
        <v>5</v>
      </c>
      <c r="E1146" t="s">
        <v>32</v>
      </c>
      <c r="F1146" t="s">
        <v>33</v>
      </c>
      <c r="G1146" t="str">
        <f>"2025-07-20 11:02:48.088"</f>
        <v>2025-07-20 11:02:48.088</v>
      </c>
      <c r="H1146" t="s">
        <v>34</v>
      </c>
    </row>
    <row r="1147" spans="1:10" x14ac:dyDescent="0.25">
      <c r="A1147" s="1">
        <v>168</v>
      </c>
      <c r="B1147" t="s">
        <v>25</v>
      </c>
      <c r="C1147">
        <v>706</v>
      </c>
      <c r="D1147">
        <v>2</v>
      </c>
      <c r="E1147" t="s">
        <v>35</v>
      </c>
      <c r="F1147" t="s">
        <v>38</v>
      </c>
      <c r="G1147" t="str">
        <f>"2025-07-20 11:02:17.950"</f>
        <v>2025-07-20 11:02:17.950</v>
      </c>
      <c r="H1147" t="s">
        <v>22</v>
      </c>
      <c r="I1147">
        <v>0</v>
      </c>
      <c r="J1147" t="s">
        <v>24</v>
      </c>
    </row>
    <row r="1148" spans="1:10" x14ac:dyDescent="0.25">
      <c r="A1148" s="1">
        <v>169</v>
      </c>
      <c r="B1148" t="s">
        <v>37</v>
      </c>
      <c r="C1148">
        <v>630</v>
      </c>
      <c r="D1148">
        <v>5</v>
      </c>
      <c r="E1148" t="s">
        <v>32</v>
      </c>
      <c r="F1148" t="s">
        <v>33</v>
      </c>
      <c r="G1148" t="str">
        <f>"2025-07-20 10:53:41.788"</f>
        <v>2025-07-20 10:53:41.788</v>
      </c>
      <c r="H1148" t="s">
        <v>34</v>
      </c>
      <c r="I1148">
        <v>0</v>
      </c>
      <c r="J1148" t="s">
        <v>24</v>
      </c>
    </row>
    <row r="1149" spans="1:10" x14ac:dyDescent="0.25">
      <c r="A1149" s="1">
        <v>170</v>
      </c>
      <c r="B1149" t="s">
        <v>25</v>
      </c>
      <c r="C1149">
        <v>706</v>
      </c>
      <c r="D1149">
        <v>4</v>
      </c>
      <c r="E1149" t="s">
        <v>35</v>
      </c>
      <c r="F1149" t="s">
        <v>36</v>
      </c>
      <c r="G1149" t="str">
        <f>"2025-07-19 19:46:17.500"</f>
        <v>2025-07-19 19:46:17.500</v>
      </c>
      <c r="H1149" t="s">
        <v>22</v>
      </c>
      <c r="I1149">
        <v>0</v>
      </c>
      <c r="J1149" t="s">
        <v>24</v>
      </c>
    </row>
    <row r="1150" spans="1:10" x14ac:dyDescent="0.25">
      <c r="A1150" s="1">
        <v>171</v>
      </c>
      <c r="B1150" t="s">
        <v>25</v>
      </c>
      <c r="C1150">
        <v>706</v>
      </c>
      <c r="D1150">
        <v>3</v>
      </c>
      <c r="E1150" t="s">
        <v>35</v>
      </c>
      <c r="F1150" t="s">
        <v>62</v>
      </c>
      <c r="G1150" t="str">
        <f>"2025-07-19 19:46:07.710"</f>
        <v>2025-07-19 19:46:07.710</v>
      </c>
      <c r="H1150" t="s">
        <v>22</v>
      </c>
      <c r="I1150">
        <v>0</v>
      </c>
      <c r="J1150" t="s">
        <v>24</v>
      </c>
    </row>
    <row r="1151" spans="1:10" x14ac:dyDescent="0.25">
      <c r="A1151" s="1">
        <v>172</v>
      </c>
      <c r="B1151" t="s">
        <v>19</v>
      </c>
      <c r="C1151">
        <v>635</v>
      </c>
      <c r="D1151">
        <v>1</v>
      </c>
      <c r="E1151" t="s">
        <v>28</v>
      </c>
      <c r="F1151" t="s">
        <v>29</v>
      </c>
      <c r="G1151" t="str">
        <f>"2025-07-19 15:47:32.088"</f>
        <v>2025-07-19 15:47:32.088</v>
      </c>
      <c r="H1151" t="s">
        <v>22</v>
      </c>
    </row>
    <row r="1152" spans="1:10" x14ac:dyDescent="0.25">
      <c r="A1152" s="1">
        <v>173</v>
      </c>
      <c r="B1152" t="s">
        <v>23</v>
      </c>
      <c r="C1152">
        <v>635</v>
      </c>
      <c r="D1152">
        <v>1</v>
      </c>
      <c r="E1152" t="s">
        <v>28</v>
      </c>
      <c r="F1152" t="s">
        <v>29</v>
      </c>
      <c r="G1152" t="str">
        <f>"2025-07-19 15:17:14.088"</f>
        <v>2025-07-19 15:17:14.088</v>
      </c>
      <c r="H1152" t="s">
        <v>22</v>
      </c>
      <c r="I1152">
        <v>5.43</v>
      </c>
      <c r="J1152" t="s">
        <v>30</v>
      </c>
    </row>
    <row r="1153" spans="1:10" x14ac:dyDescent="0.25">
      <c r="A1153" s="1">
        <v>174</v>
      </c>
      <c r="B1153" t="s">
        <v>19</v>
      </c>
      <c r="C1153">
        <v>635</v>
      </c>
      <c r="D1153">
        <v>1</v>
      </c>
      <c r="E1153" t="s">
        <v>28</v>
      </c>
      <c r="F1153" t="s">
        <v>29</v>
      </c>
      <c r="G1153" t="str">
        <f>"2025-07-19 10:31:16.688"</f>
        <v>2025-07-19 10:31:16.688</v>
      </c>
      <c r="H1153" t="s">
        <v>22</v>
      </c>
    </row>
    <row r="1154" spans="1:10" x14ac:dyDescent="0.25">
      <c r="A1154" s="1">
        <v>175</v>
      </c>
      <c r="B1154" t="s">
        <v>23</v>
      </c>
      <c r="C1154">
        <v>635</v>
      </c>
      <c r="D1154">
        <v>1</v>
      </c>
      <c r="E1154" t="s">
        <v>28</v>
      </c>
      <c r="F1154" t="s">
        <v>29</v>
      </c>
      <c r="G1154" t="str">
        <f>"2025-07-19 10:16:00.188"</f>
        <v>2025-07-19 10:16:00.188</v>
      </c>
      <c r="H1154" t="s">
        <v>22</v>
      </c>
      <c r="I1154">
        <v>7.86</v>
      </c>
      <c r="J1154" t="s">
        <v>30</v>
      </c>
    </row>
    <row r="1155" spans="1:10" x14ac:dyDescent="0.25">
      <c r="A1155" s="1">
        <v>176</v>
      </c>
      <c r="B1155" t="s">
        <v>25</v>
      </c>
      <c r="C1155">
        <v>700</v>
      </c>
      <c r="D1155">
        <v>0</v>
      </c>
      <c r="E1155" t="s">
        <v>26</v>
      </c>
      <c r="F1155" t="s">
        <v>26</v>
      </c>
      <c r="G1155" t="str">
        <f>"2025-07-18 10:14:49.570"</f>
        <v>2025-07-18 10:14:49.570</v>
      </c>
      <c r="H1155" t="s">
        <v>22</v>
      </c>
      <c r="I1155">
        <v>0</v>
      </c>
      <c r="J1155" t="s">
        <v>27</v>
      </c>
    </row>
    <row r="1156" spans="1:10" x14ac:dyDescent="0.25">
      <c r="A1156" s="1">
        <v>177</v>
      </c>
      <c r="B1156" t="s">
        <v>25</v>
      </c>
      <c r="C1156">
        <v>706</v>
      </c>
      <c r="D1156">
        <v>4</v>
      </c>
      <c r="E1156" t="s">
        <v>35</v>
      </c>
      <c r="F1156" t="s">
        <v>36</v>
      </c>
      <c r="G1156" t="str">
        <f>"2025-07-17 08:24:36.461"</f>
        <v>2025-07-17 08:24:36.461</v>
      </c>
      <c r="H1156" t="s">
        <v>22</v>
      </c>
      <c r="I1156">
        <v>0</v>
      </c>
      <c r="J1156" t="s">
        <v>24</v>
      </c>
    </row>
    <row r="1157" spans="1:10" x14ac:dyDescent="0.25">
      <c r="A1157" s="1">
        <v>178</v>
      </c>
      <c r="B1157" t="s">
        <v>25</v>
      </c>
      <c r="C1157">
        <v>700</v>
      </c>
      <c r="D1157">
        <v>0</v>
      </c>
      <c r="E1157" t="s">
        <v>26</v>
      </c>
      <c r="F1157" t="s">
        <v>26</v>
      </c>
      <c r="G1157" t="str">
        <f>"2025-07-17 08:24:21.591"</f>
        <v>2025-07-17 08:24:21.591</v>
      </c>
      <c r="H1157" t="s">
        <v>22</v>
      </c>
    </row>
    <row r="1158" spans="1:10" x14ac:dyDescent="0.25">
      <c r="A1158" s="1">
        <v>179</v>
      </c>
      <c r="B1158" t="s">
        <v>25</v>
      </c>
      <c r="C1158">
        <v>700</v>
      </c>
      <c r="D1158">
        <v>0</v>
      </c>
      <c r="E1158" t="s">
        <v>26</v>
      </c>
      <c r="F1158" t="s">
        <v>26</v>
      </c>
      <c r="G1158" t="str">
        <f>"2025-07-17 06:44:57.521"</f>
        <v>2025-07-17 06:44:57.521</v>
      </c>
      <c r="H1158" t="s">
        <v>22</v>
      </c>
    </row>
    <row r="1159" spans="1:10" x14ac:dyDescent="0.25">
      <c r="A1159" s="1">
        <v>180</v>
      </c>
      <c r="B1159" t="s">
        <v>25</v>
      </c>
      <c r="C1159">
        <v>706</v>
      </c>
      <c r="D1159">
        <v>4</v>
      </c>
      <c r="E1159" t="s">
        <v>35</v>
      </c>
      <c r="F1159" t="s">
        <v>36</v>
      </c>
      <c r="G1159" t="str">
        <f>"2025-07-17 06:10:47.055"</f>
        <v>2025-07-17 06:10:47.055</v>
      </c>
      <c r="H1159" t="s">
        <v>22</v>
      </c>
      <c r="I1159">
        <v>0</v>
      </c>
      <c r="J1159" t="s">
        <v>24</v>
      </c>
    </row>
    <row r="1160" spans="1:10" x14ac:dyDescent="0.25">
      <c r="A1160" s="1">
        <v>181</v>
      </c>
      <c r="B1160" t="s">
        <v>25</v>
      </c>
      <c r="C1160">
        <v>700</v>
      </c>
      <c r="D1160">
        <v>0</v>
      </c>
      <c r="E1160" t="s">
        <v>26</v>
      </c>
      <c r="F1160" t="s">
        <v>26</v>
      </c>
      <c r="G1160" t="str">
        <f>"2025-07-17 06:07:55.525"</f>
        <v>2025-07-17 06:07:55.525</v>
      </c>
      <c r="H1160" t="s">
        <v>22</v>
      </c>
    </row>
    <row r="1161" spans="1:10" x14ac:dyDescent="0.25">
      <c r="A1161" s="1">
        <v>182</v>
      </c>
      <c r="B1161" t="s">
        <v>25</v>
      </c>
      <c r="C1161">
        <v>700</v>
      </c>
      <c r="D1161">
        <v>0</v>
      </c>
      <c r="E1161" t="s">
        <v>26</v>
      </c>
      <c r="F1161" t="s">
        <v>26</v>
      </c>
      <c r="G1161" t="str">
        <f>"2025-07-17 05:12:34.559"</f>
        <v>2025-07-17 05:12:34.559</v>
      </c>
      <c r="H1161" t="s">
        <v>22</v>
      </c>
    </row>
    <row r="1162" spans="1:10" x14ac:dyDescent="0.25">
      <c r="A1162" s="1">
        <v>183</v>
      </c>
      <c r="B1162" t="s">
        <v>37</v>
      </c>
      <c r="C1162">
        <v>630</v>
      </c>
      <c r="D1162">
        <v>5</v>
      </c>
      <c r="E1162" t="s">
        <v>32</v>
      </c>
      <c r="F1162" t="s">
        <v>33</v>
      </c>
      <c r="G1162" t="str">
        <f>"2025-07-17 04:51:59.270"</f>
        <v>2025-07-17 04:51:59.270</v>
      </c>
      <c r="H1162" t="s">
        <v>34</v>
      </c>
      <c r="I1162">
        <v>0</v>
      </c>
      <c r="J1162" t="s">
        <v>24</v>
      </c>
    </row>
    <row r="1163" spans="1:10" x14ac:dyDescent="0.25">
      <c r="A1163" s="1">
        <v>184</v>
      </c>
      <c r="B1163" t="s">
        <v>25</v>
      </c>
      <c r="C1163">
        <v>700</v>
      </c>
      <c r="D1163">
        <v>0</v>
      </c>
      <c r="E1163" t="s">
        <v>26</v>
      </c>
      <c r="F1163" t="s">
        <v>26</v>
      </c>
      <c r="G1163" t="str">
        <f>"2025-07-16 15:59:53.532"</f>
        <v>2025-07-16 15:59:53.532</v>
      </c>
      <c r="H1163" t="s">
        <v>22</v>
      </c>
      <c r="I1163">
        <v>0</v>
      </c>
      <c r="J1163" t="s">
        <v>27</v>
      </c>
    </row>
    <row r="1164" spans="1:10" x14ac:dyDescent="0.25">
      <c r="A1164" s="1">
        <v>185</v>
      </c>
      <c r="B1164" t="s">
        <v>19</v>
      </c>
      <c r="C1164">
        <v>635</v>
      </c>
      <c r="D1164">
        <v>1</v>
      </c>
      <c r="E1164" t="s">
        <v>28</v>
      </c>
      <c r="F1164" t="s">
        <v>29</v>
      </c>
      <c r="G1164" t="str">
        <f>"2025-07-15 00:53:33.806"</f>
        <v>2025-07-15 00:53:33.806</v>
      </c>
      <c r="H1164" t="s">
        <v>22</v>
      </c>
    </row>
    <row r="1165" spans="1:10" x14ac:dyDescent="0.25">
      <c r="A1165" s="1">
        <v>186</v>
      </c>
      <c r="B1165" t="s">
        <v>23</v>
      </c>
      <c r="C1165">
        <v>635</v>
      </c>
      <c r="D1165">
        <v>1</v>
      </c>
      <c r="E1165" t="s">
        <v>28</v>
      </c>
      <c r="F1165" t="s">
        <v>29</v>
      </c>
      <c r="G1165" t="str">
        <f>"2025-07-15 00:38:45.906"</f>
        <v>2025-07-15 00:38:45.906</v>
      </c>
      <c r="H1165" t="s">
        <v>22</v>
      </c>
      <c r="I1165">
        <v>7.41</v>
      </c>
      <c r="J1165" t="s">
        <v>30</v>
      </c>
    </row>
    <row r="1166" spans="1:10" x14ac:dyDescent="0.25">
      <c r="A1166" s="1">
        <v>187</v>
      </c>
      <c r="B1166" t="s">
        <v>19</v>
      </c>
      <c r="C1166">
        <v>635</v>
      </c>
      <c r="D1166">
        <v>1</v>
      </c>
      <c r="E1166" t="s">
        <v>28</v>
      </c>
      <c r="F1166" t="s">
        <v>29</v>
      </c>
      <c r="G1166" t="str">
        <f>"2025-07-14 22:51:14.106"</f>
        <v>2025-07-14 22:51:14.106</v>
      </c>
      <c r="H1166" t="s">
        <v>22</v>
      </c>
    </row>
    <row r="1167" spans="1:10" x14ac:dyDescent="0.25">
      <c r="A1167" s="1">
        <v>188</v>
      </c>
      <c r="B1167" t="s">
        <v>23</v>
      </c>
      <c r="C1167">
        <v>635</v>
      </c>
      <c r="D1167">
        <v>1</v>
      </c>
      <c r="E1167" t="s">
        <v>28</v>
      </c>
      <c r="F1167" t="s">
        <v>29</v>
      </c>
      <c r="G1167" t="str">
        <f>"2025-07-14 22:25:30.606"</f>
        <v>2025-07-14 22:25:30.606</v>
      </c>
      <c r="H1167" t="s">
        <v>22</v>
      </c>
      <c r="I1167">
        <v>5.66</v>
      </c>
      <c r="J1167" t="s">
        <v>30</v>
      </c>
    </row>
    <row r="1168" spans="1:10" x14ac:dyDescent="0.25">
      <c r="A1168" s="1">
        <v>189</v>
      </c>
      <c r="B1168" t="s">
        <v>25</v>
      </c>
      <c r="C1168">
        <v>706</v>
      </c>
      <c r="D1168">
        <v>2</v>
      </c>
      <c r="E1168" t="s">
        <v>35</v>
      </c>
      <c r="F1168" t="s">
        <v>38</v>
      </c>
      <c r="G1168" t="str">
        <f>"2025-07-13 08:42:57.760"</f>
        <v>2025-07-13 08:42:57.760</v>
      </c>
      <c r="H1168" t="s">
        <v>22</v>
      </c>
      <c r="I1168">
        <v>0</v>
      </c>
      <c r="J1168" t="s">
        <v>24</v>
      </c>
    </row>
    <row r="1169" spans="1:10" x14ac:dyDescent="0.25">
      <c r="A1169" s="1">
        <v>190</v>
      </c>
      <c r="B1169" t="s">
        <v>25</v>
      </c>
      <c r="C1169">
        <v>700</v>
      </c>
      <c r="D1169">
        <v>0</v>
      </c>
      <c r="E1169" t="s">
        <v>26</v>
      </c>
      <c r="F1169" t="s">
        <v>26</v>
      </c>
      <c r="G1169" t="str">
        <f>"2025-07-13 08:42:43.669"</f>
        <v>2025-07-13 08:42:43.669</v>
      </c>
      <c r="H1169" t="s">
        <v>22</v>
      </c>
    </row>
    <row r="1170" spans="1:10" x14ac:dyDescent="0.25">
      <c r="A1170" s="1">
        <v>191</v>
      </c>
      <c r="B1170" t="s">
        <v>25</v>
      </c>
      <c r="C1170">
        <v>700</v>
      </c>
      <c r="D1170">
        <v>0</v>
      </c>
      <c r="E1170" t="s">
        <v>26</v>
      </c>
      <c r="F1170" t="s">
        <v>26</v>
      </c>
      <c r="G1170" t="str">
        <f>"2025-07-11 07:53:36.544"</f>
        <v>2025-07-11 07:53:36.544</v>
      </c>
      <c r="H1170" t="s">
        <v>22</v>
      </c>
      <c r="I1170">
        <v>0</v>
      </c>
      <c r="J1170" t="s">
        <v>27</v>
      </c>
    </row>
    <row r="1171" spans="1:10" x14ac:dyDescent="0.25">
      <c r="A1171" s="1">
        <v>192</v>
      </c>
      <c r="B1171" t="s">
        <v>25</v>
      </c>
      <c r="C1171">
        <v>700</v>
      </c>
      <c r="D1171">
        <v>0</v>
      </c>
      <c r="E1171" t="s">
        <v>26</v>
      </c>
      <c r="F1171" t="s">
        <v>26</v>
      </c>
      <c r="G1171" t="str">
        <f>"2025-07-08 20:51:53.528"</f>
        <v>2025-07-08 20:51:53.528</v>
      </c>
      <c r="H1171" t="s">
        <v>22</v>
      </c>
    </row>
    <row r="1172" spans="1:10" x14ac:dyDescent="0.25">
      <c r="A1172" s="1">
        <v>193</v>
      </c>
      <c r="B1172" t="s">
        <v>25</v>
      </c>
      <c r="C1172">
        <v>700</v>
      </c>
      <c r="D1172">
        <v>0</v>
      </c>
      <c r="E1172" t="s">
        <v>26</v>
      </c>
      <c r="F1172" t="s">
        <v>26</v>
      </c>
      <c r="G1172" t="str">
        <f>"2025-07-07 02:44:07.526"</f>
        <v>2025-07-07 02:44:07.526</v>
      </c>
      <c r="H1172" t="s">
        <v>22</v>
      </c>
    </row>
    <row r="1173" spans="1:10" x14ac:dyDescent="0.25">
      <c r="A1173" s="1">
        <v>194</v>
      </c>
      <c r="B1173" t="s">
        <v>37</v>
      </c>
      <c r="C1173">
        <v>630</v>
      </c>
      <c r="D1173">
        <v>5</v>
      </c>
      <c r="E1173" t="s">
        <v>32</v>
      </c>
      <c r="F1173" t="s">
        <v>33</v>
      </c>
      <c r="G1173" t="str">
        <f>"2025-07-06 23:15:41.304"</f>
        <v>2025-07-06 23:15:41.304</v>
      </c>
      <c r="H1173" t="s">
        <v>34</v>
      </c>
      <c r="I1173">
        <v>0</v>
      </c>
      <c r="J1173" t="s">
        <v>24</v>
      </c>
    </row>
    <row r="1174" spans="1:10" x14ac:dyDescent="0.25">
      <c r="A1174" s="1">
        <v>195</v>
      </c>
      <c r="B1174" t="s">
        <v>25</v>
      </c>
      <c r="C1174">
        <v>700</v>
      </c>
      <c r="D1174">
        <v>0</v>
      </c>
      <c r="E1174" t="s">
        <v>26</v>
      </c>
      <c r="F1174" t="s">
        <v>26</v>
      </c>
      <c r="G1174" t="str">
        <f>"2025-07-06 23:10:38.566"</f>
        <v>2025-07-06 23:10:38.566</v>
      </c>
      <c r="H1174" t="s">
        <v>22</v>
      </c>
      <c r="I1174">
        <v>0</v>
      </c>
      <c r="J1174" t="s">
        <v>27</v>
      </c>
    </row>
    <row r="1175" spans="1:10" x14ac:dyDescent="0.25">
      <c r="A1175" s="1">
        <v>196</v>
      </c>
      <c r="B1175" t="s">
        <v>19</v>
      </c>
      <c r="C1175">
        <v>635</v>
      </c>
      <c r="D1175">
        <v>1</v>
      </c>
      <c r="E1175" t="s">
        <v>28</v>
      </c>
      <c r="F1175" t="s">
        <v>29</v>
      </c>
      <c r="G1175" t="str">
        <f>"2025-07-04 17:09:02.967"</f>
        <v>2025-07-04 17:09:02.967</v>
      </c>
      <c r="H1175" t="s">
        <v>22</v>
      </c>
    </row>
    <row r="1176" spans="1:10" x14ac:dyDescent="0.25">
      <c r="A1176" s="1">
        <v>197</v>
      </c>
      <c r="B1176" t="s">
        <v>23</v>
      </c>
      <c r="C1176">
        <v>635</v>
      </c>
      <c r="D1176">
        <v>1</v>
      </c>
      <c r="E1176" t="s">
        <v>28</v>
      </c>
      <c r="F1176" t="s">
        <v>29</v>
      </c>
      <c r="G1176" t="str">
        <f>"2025-07-04 17:05:29.467"</f>
        <v>2025-07-04 17:05:29.467</v>
      </c>
      <c r="H1176" t="s">
        <v>22</v>
      </c>
      <c r="I1176">
        <v>4.3099999999999996</v>
      </c>
      <c r="J1176" t="s">
        <v>30</v>
      </c>
    </row>
    <row r="1177" spans="1:10" x14ac:dyDescent="0.25">
      <c r="A1177" s="1">
        <v>198</v>
      </c>
      <c r="B1177" t="s">
        <v>25</v>
      </c>
      <c r="C1177">
        <v>700</v>
      </c>
      <c r="D1177">
        <v>0</v>
      </c>
      <c r="E1177" t="s">
        <v>26</v>
      </c>
      <c r="F1177" t="s">
        <v>26</v>
      </c>
      <c r="G1177" t="str">
        <f>"2025-07-04 13:18:57.517"</f>
        <v>2025-07-04 13:18:57.517</v>
      </c>
      <c r="H1177" t="s">
        <v>22</v>
      </c>
    </row>
    <row r="1178" spans="1:10" x14ac:dyDescent="0.25">
      <c r="A1178" s="1">
        <v>199</v>
      </c>
      <c r="B1178" t="s">
        <v>19</v>
      </c>
      <c r="C1178">
        <v>630</v>
      </c>
      <c r="D1178">
        <v>5</v>
      </c>
      <c r="E1178" t="s">
        <v>32</v>
      </c>
      <c r="F1178" t="s">
        <v>33</v>
      </c>
      <c r="G1178" t="str">
        <f>"2025-07-04 03:37:16.086"</f>
        <v>2025-07-04 03:37:16.086</v>
      </c>
      <c r="H1178" t="s">
        <v>34</v>
      </c>
    </row>
    <row r="1179" spans="1:10" x14ac:dyDescent="0.25">
      <c r="A1179" s="1">
        <v>200</v>
      </c>
      <c r="B1179" t="s">
        <v>25</v>
      </c>
      <c r="C1179">
        <v>706</v>
      </c>
      <c r="D1179">
        <v>4</v>
      </c>
      <c r="E1179" t="s">
        <v>35</v>
      </c>
      <c r="F1179" t="s">
        <v>36</v>
      </c>
      <c r="G1179" t="str">
        <f>"2025-07-04 03:36:46.007"</f>
        <v>2025-07-04 03:36:46.007</v>
      </c>
      <c r="H1179" t="s">
        <v>22</v>
      </c>
      <c r="I1179">
        <v>0</v>
      </c>
      <c r="J1179" t="s">
        <v>24</v>
      </c>
    </row>
    <row r="1180" spans="1:10" x14ac:dyDescent="0.25">
      <c r="A1180" s="1">
        <v>201</v>
      </c>
      <c r="B1180" t="s">
        <v>37</v>
      </c>
      <c r="C1180">
        <v>630</v>
      </c>
      <c r="D1180">
        <v>5</v>
      </c>
      <c r="E1180" t="s">
        <v>32</v>
      </c>
      <c r="F1180" t="s">
        <v>33</v>
      </c>
      <c r="G1180" t="str">
        <f>"2025-07-04 03:23:06.286"</f>
        <v>2025-07-04 03:23:06.286</v>
      </c>
      <c r="H1180" t="s">
        <v>34</v>
      </c>
      <c r="I1180">
        <v>0</v>
      </c>
      <c r="J1180" t="s">
        <v>24</v>
      </c>
    </row>
    <row r="1181" spans="1:10" x14ac:dyDescent="0.25">
      <c r="A1181" s="1">
        <v>202</v>
      </c>
      <c r="B1181" t="s">
        <v>25</v>
      </c>
      <c r="C1181">
        <v>700</v>
      </c>
      <c r="D1181">
        <v>0</v>
      </c>
      <c r="E1181" t="s">
        <v>26</v>
      </c>
      <c r="F1181" t="s">
        <v>26</v>
      </c>
      <c r="G1181" t="str">
        <f>"2025-07-04 03:18:03.527"</f>
        <v>2025-07-04 03:18:03.527</v>
      </c>
      <c r="H1181" t="s">
        <v>22</v>
      </c>
    </row>
    <row r="1182" spans="1:10" x14ac:dyDescent="0.25">
      <c r="A1182" s="1">
        <v>203</v>
      </c>
      <c r="B1182" t="s">
        <v>25</v>
      </c>
      <c r="C1182">
        <v>706</v>
      </c>
      <c r="D1182">
        <v>4</v>
      </c>
      <c r="E1182" t="s">
        <v>35</v>
      </c>
      <c r="F1182" t="s">
        <v>36</v>
      </c>
      <c r="G1182" t="str">
        <f>"2025-07-04 03:14:59.643"</f>
        <v>2025-07-04 03:14:59.643</v>
      </c>
      <c r="H1182" t="s">
        <v>22</v>
      </c>
      <c r="I1182">
        <v>0</v>
      </c>
      <c r="J1182" t="s">
        <v>24</v>
      </c>
    </row>
    <row r="1183" spans="1:10" x14ac:dyDescent="0.25">
      <c r="A1183" s="1">
        <v>204</v>
      </c>
      <c r="B1183" t="s">
        <v>25</v>
      </c>
      <c r="C1183">
        <v>700</v>
      </c>
      <c r="D1183">
        <v>0</v>
      </c>
      <c r="E1183" t="s">
        <v>26</v>
      </c>
      <c r="F1183" t="s">
        <v>26</v>
      </c>
      <c r="G1183" t="str">
        <f>"2025-07-04 03:13:04.523"</f>
        <v>2025-07-04 03:13:04.523</v>
      </c>
      <c r="H1183" t="s">
        <v>22</v>
      </c>
      <c r="I1183">
        <v>0</v>
      </c>
      <c r="J1183" t="s">
        <v>27</v>
      </c>
    </row>
    <row r="1184" spans="1:10" x14ac:dyDescent="0.25">
      <c r="A1184" s="1">
        <v>205</v>
      </c>
      <c r="B1184" t="s">
        <v>42</v>
      </c>
      <c r="C1184">
        <v>77</v>
      </c>
      <c r="D1184">
        <v>1</v>
      </c>
      <c r="E1184" t="s">
        <v>68</v>
      </c>
      <c r="F1184" t="s">
        <v>69</v>
      </c>
      <c r="G1184" t="str">
        <f>"2025-07-03 08:06:13.779"</f>
        <v>2025-07-03 08:06:13.779</v>
      </c>
      <c r="H1184" t="s">
        <v>45</v>
      </c>
    </row>
    <row r="1185" spans="1:10" x14ac:dyDescent="0.25">
      <c r="A1185" s="1">
        <v>206</v>
      </c>
      <c r="B1185" t="s">
        <v>37</v>
      </c>
      <c r="C1185">
        <v>77</v>
      </c>
      <c r="D1185">
        <v>1</v>
      </c>
      <c r="E1185" t="s">
        <v>68</v>
      </c>
      <c r="F1185" t="s">
        <v>69</v>
      </c>
      <c r="G1185" t="str">
        <f>"2025-07-03 08:06:08.770"</f>
        <v>2025-07-03 08:06:08.770</v>
      </c>
      <c r="H1185" t="s">
        <v>45</v>
      </c>
      <c r="I1185">
        <v>0</v>
      </c>
      <c r="J1185" t="s">
        <v>24</v>
      </c>
    </row>
    <row r="1186" spans="1:10" x14ac:dyDescent="0.25">
      <c r="A1186" s="1">
        <v>207</v>
      </c>
      <c r="B1186" t="s">
        <v>25</v>
      </c>
      <c r="C1186">
        <v>700</v>
      </c>
      <c r="D1186">
        <v>0</v>
      </c>
      <c r="E1186" t="s">
        <v>26</v>
      </c>
      <c r="F1186" t="s">
        <v>26</v>
      </c>
      <c r="G1186" t="str">
        <f>"2025-07-03 08:05:25.539"</f>
        <v>2025-07-03 08:05:25.539</v>
      </c>
      <c r="H1186" t="s">
        <v>22</v>
      </c>
      <c r="I1186">
        <v>0</v>
      </c>
      <c r="J1186" t="s">
        <v>27</v>
      </c>
    </row>
    <row r="1187" spans="1:10" x14ac:dyDescent="0.25">
      <c r="A1187" s="1">
        <v>208</v>
      </c>
      <c r="B1187" t="s">
        <v>25</v>
      </c>
      <c r="C1187">
        <v>700</v>
      </c>
      <c r="D1187">
        <v>0</v>
      </c>
      <c r="E1187" t="s">
        <v>26</v>
      </c>
      <c r="F1187" t="s">
        <v>26</v>
      </c>
      <c r="G1187" t="str">
        <f>"2025-07-03 04:32:22.519"</f>
        <v>2025-07-03 04:32:22.519</v>
      </c>
      <c r="H1187" t="s">
        <v>22</v>
      </c>
      <c r="I1187">
        <v>0</v>
      </c>
      <c r="J1187" t="s">
        <v>27</v>
      </c>
    </row>
    <row r="1188" spans="1:10" x14ac:dyDescent="0.25">
      <c r="A1188" s="1">
        <v>209</v>
      </c>
      <c r="B1188" t="s">
        <v>25</v>
      </c>
      <c r="C1188">
        <v>700</v>
      </c>
      <c r="D1188">
        <v>0</v>
      </c>
      <c r="E1188" t="s">
        <v>26</v>
      </c>
      <c r="F1188" t="s">
        <v>26</v>
      </c>
      <c r="G1188" t="str">
        <f>"2025-07-03 04:02:32.529"</f>
        <v>2025-07-03 04:02:32.529</v>
      </c>
      <c r="H1188" t="s">
        <v>22</v>
      </c>
      <c r="I1188">
        <v>0</v>
      </c>
      <c r="J1188" t="s">
        <v>27</v>
      </c>
    </row>
    <row r="1189" spans="1:10" x14ac:dyDescent="0.25">
      <c r="A1189" s="1">
        <v>210</v>
      </c>
      <c r="B1189" t="s">
        <v>25</v>
      </c>
      <c r="C1189">
        <v>700</v>
      </c>
      <c r="D1189">
        <v>0</v>
      </c>
      <c r="E1189" t="s">
        <v>26</v>
      </c>
      <c r="F1189" t="s">
        <v>26</v>
      </c>
      <c r="G1189" t="str">
        <f>"2025-07-02 17:33:49.654"</f>
        <v>2025-07-02 17:33:49.654</v>
      </c>
      <c r="H1189" t="s">
        <v>22</v>
      </c>
      <c r="I1189">
        <v>0</v>
      </c>
      <c r="J1189" t="s">
        <v>27</v>
      </c>
    </row>
    <row r="1190" spans="1:10" x14ac:dyDescent="0.25">
      <c r="A1190" s="1">
        <v>211</v>
      </c>
      <c r="B1190" t="s">
        <v>19</v>
      </c>
      <c r="C1190">
        <v>635</v>
      </c>
      <c r="D1190">
        <v>1</v>
      </c>
      <c r="E1190" t="s">
        <v>28</v>
      </c>
      <c r="F1190" t="s">
        <v>29</v>
      </c>
      <c r="G1190" t="str">
        <f>"2025-07-02 15:44:58.990"</f>
        <v>2025-07-02 15:44:58.990</v>
      </c>
      <c r="H1190" t="s">
        <v>22</v>
      </c>
    </row>
    <row r="1191" spans="1:10" x14ac:dyDescent="0.25">
      <c r="A1191" s="1">
        <v>212</v>
      </c>
      <c r="B1191" t="s">
        <v>23</v>
      </c>
      <c r="C1191">
        <v>635</v>
      </c>
      <c r="D1191">
        <v>1</v>
      </c>
      <c r="E1191" t="s">
        <v>28</v>
      </c>
      <c r="F1191" t="s">
        <v>29</v>
      </c>
      <c r="G1191" t="str">
        <f>"2025-07-02 15:38:21.490"</f>
        <v>2025-07-02 15:38:21.490</v>
      </c>
      <c r="H1191" t="s">
        <v>22</v>
      </c>
      <c r="I1191">
        <v>3.95</v>
      </c>
      <c r="J1191" t="s">
        <v>30</v>
      </c>
    </row>
    <row r="1192" spans="1:10" x14ac:dyDescent="0.25">
      <c r="A1192" s="1">
        <v>213</v>
      </c>
      <c r="B1192" t="s">
        <v>19</v>
      </c>
      <c r="C1192">
        <v>635</v>
      </c>
      <c r="D1192">
        <v>1</v>
      </c>
      <c r="E1192" t="s">
        <v>28</v>
      </c>
      <c r="F1192" t="s">
        <v>29</v>
      </c>
      <c r="G1192" t="str">
        <f>"2025-07-02 07:27:54.890"</f>
        <v>2025-07-02 07:27:54.890</v>
      </c>
      <c r="H1192" t="s">
        <v>22</v>
      </c>
    </row>
    <row r="1193" spans="1:10" x14ac:dyDescent="0.25">
      <c r="A1193" s="1">
        <v>214</v>
      </c>
      <c r="B1193" t="s">
        <v>23</v>
      </c>
      <c r="C1193">
        <v>635</v>
      </c>
      <c r="D1193">
        <v>1</v>
      </c>
      <c r="E1193" t="s">
        <v>28</v>
      </c>
      <c r="F1193" t="s">
        <v>29</v>
      </c>
      <c r="G1193" t="str">
        <f>"2025-07-02 07:10:50.490"</f>
        <v>2025-07-02 07:10:50.490</v>
      </c>
      <c r="H1193" t="s">
        <v>22</v>
      </c>
      <c r="I1193">
        <v>5.72</v>
      </c>
      <c r="J1193" t="s">
        <v>30</v>
      </c>
    </row>
    <row r="1194" spans="1:10" s="3" customFormat="1" x14ac:dyDescent="0.25">
      <c r="A1194" s="2">
        <v>215</v>
      </c>
      <c r="B1194" s="3" t="s">
        <v>19</v>
      </c>
      <c r="C1194" s="3">
        <v>647</v>
      </c>
      <c r="D1194" s="3">
        <v>1</v>
      </c>
      <c r="E1194" s="3" t="s">
        <v>49</v>
      </c>
      <c r="F1194" s="3" t="s">
        <v>50</v>
      </c>
      <c r="G1194" s="3" t="str">
        <f>"2025-07-02 05:56:32.890"</f>
        <v>2025-07-02 05:56:32.890</v>
      </c>
      <c r="H1194" s="3" t="s">
        <v>22</v>
      </c>
    </row>
    <row r="1195" spans="1:10" s="3" customFormat="1" x14ac:dyDescent="0.25">
      <c r="A1195" s="2">
        <v>216</v>
      </c>
      <c r="B1195" s="3" t="s">
        <v>23</v>
      </c>
      <c r="C1195" s="3">
        <v>647</v>
      </c>
      <c r="D1195" s="3">
        <v>1</v>
      </c>
      <c r="E1195" s="3" t="s">
        <v>49</v>
      </c>
      <c r="F1195" s="3" t="s">
        <v>50</v>
      </c>
      <c r="G1195" s="3" t="str">
        <f>"2025-07-02 05:56:25.091"</f>
        <v>2025-07-02 05:56:25.091</v>
      </c>
      <c r="H1195" s="3" t="s">
        <v>22</v>
      </c>
      <c r="I1195" s="3">
        <v>21.91</v>
      </c>
      <c r="J1195" s="3" t="s">
        <v>31</v>
      </c>
    </row>
    <row r="1196" spans="1:10" x14ac:dyDescent="0.25">
      <c r="A1196" s="1">
        <v>217</v>
      </c>
      <c r="B1196" t="s">
        <v>25</v>
      </c>
      <c r="C1196">
        <v>700</v>
      </c>
      <c r="D1196">
        <v>0</v>
      </c>
      <c r="E1196" t="s">
        <v>26</v>
      </c>
      <c r="F1196" t="s">
        <v>26</v>
      </c>
      <c r="G1196" t="str">
        <f>"2025-07-01 21:46:26.523"</f>
        <v>2025-07-01 21:46:26.523</v>
      </c>
      <c r="H1196" t="s">
        <v>22</v>
      </c>
    </row>
    <row r="1197" spans="1:10" x14ac:dyDescent="0.25">
      <c r="A1197" s="1">
        <v>218</v>
      </c>
      <c r="B1197" t="s">
        <v>25</v>
      </c>
      <c r="C1197">
        <v>706</v>
      </c>
      <c r="D1197">
        <v>4</v>
      </c>
      <c r="E1197" t="s">
        <v>35</v>
      </c>
      <c r="F1197" t="s">
        <v>36</v>
      </c>
      <c r="G1197" t="str">
        <f>"2025-07-01 11:23:05.859"</f>
        <v>2025-07-01 11:23:05.859</v>
      </c>
      <c r="H1197" t="s">
        <v>22</v>
      </c>
      <c r="I1197">
        <v>0</v>
      </c>
      <c r="J1197" t="s">
        <v>24</v>
      </c>
    </row>
    <row r="1198" spans="1:10" x14ac:dyDescent="0.25">
      <c r="A1198" s="1">
        <v>219</v>
      </c>
      <c r="B1198" t="s">
        <v>25</v>
      </c>
      <c r="C1198">
        <v>700</v>
      </c>
      <c r="D1198">
        <v>0</v>
      </c>
      <c r="E1198" t="s">
        <v>26</v>
      </c>
      <c r="F1198" t="s">
        <v>26</v>
      </c>
      <c r="G1198" t="str">
        <f>"2025-07-01 11:22:39.519"</f>
        <v>2025-07-01 11:22:39.519</v>
      </c>
      <c r="H1198" t="s">
        <v>22</v>
      </c>
      <c r="I1198">
        <v>0</v>
      </c>
      <c r="J1198" t="s">
        <v>27</v>
      </c>
    </row>
    <row r="1199" spans="1:10" s="3" customFormat="1" x14ac:dyDescent="0.25">
      <c r="A1199" s="2">
        <v>220</v>
      </c>
      <c r="B1199" s="3" t="s">
        <v>19</v>
      </c>
      <c r="C1199" s="3">
        <v>647</v>
      </c>
      <c r="D1199" s="3">
        <v>1</v>
      </c>
      <c r="E1199" s="3" t="s">
        <v>49</v>
      </c>
      <c r="F1199" s="3" t="s">
        <v>50</v>
      </c>
      <c r="G1199" s="3" t="str">
        <f>"2025-06-30 22:57:46.172"</f>
        <v>2025-06-30 22:57:46.172</v>
      </c>
      <c r="H1199" s="3" t="s">
        <v>22</v>
      </c>
    </row>
    <row r="1200" spans="1:10" s="3" customFormat="1" x14ac:dyDescent="0.25">
      <c r="A1200" s="2">
        <v>221</v>
      </c>
      <c r="B1200" s="3" t="s">
        <v>23</v>
      </c>
      <c r="C1200" s="3">
        <v>647</v>
      </c>
      <c r="D1200" s="3">
        <v>1</v>
      </c>
      <c r="E1200" s="3" t="s">
        <v>49</v>
      </c>
      <c r="F1200" s="3" t="s">
        <v>50</v>
      </c>
      <c r="G1200" s="3" t="str">
        <f>"2025-06-30 22:57:45.173"</f>
        <v>2025-06-30 22:57:45.173</v>
      </c>
      <c r="H1200" s="3" t="s">
        <v>22</v>
      </c>
      <c r="I1200" s="3">
        <v>8.36</v>
      </c>
      <c r="J1200" s="3" t="s">
        <v>31</v>
      </c>
    </row>
    <row r="1201" spans="1:10" x14ac:dyDescent="0.25">
      <c r="A1201" s="1">
        <v>222</v>
      </c>
      <c r="B1201" t="s">
        <v>25</v>
      </c>
      <c r="C1201">
        <v>706</v>
      </c>
      <c r="D1201">
        <v>2</v>
      </c>
      <c r="E1201" t="s">
        <v>35</v>
      </c>
      <c r="F1201" t="s">
        <v>38</v>
      </c>
      <c r="G1201" t="str">
        <f>"2025-06-30 01:55:14.198"</f>
        <v>2025-06-30 01:55:14.198</v>
      </c>
      <c r="H1201" t="s">
        <v>22</v>
      </c>
      <c r="I1201">
        <v>0</v>
      </c>
      <c r="J1201" t="s">
        <v>24</v>
      </c>
    </row>
    <row r="1202" spans="1:10" x14ac:dyDescent="0.25">
      <c r="A1202" s="1">
        <v>223</v>
      </c>
      <c r="B1202" t="s">
        <v>25</v>
      </c>
      <c r="C1202">
        <v>700</v>
      </c>
      <c r="D1202">
        <v>0</v>
      </c>
      <c r="E1202" t="s">
        <v>26</v>
      </c>
      <c r="F1202" t="s">
        <v>26</v>
      </c>
      <c r="G1202" t="str">
        <f>"2025-06-28 09:20:13.918"</f>
        <v>2025-06-28 09:20:13.918</v>
      </c>
      <c r="H1202" t="s">
        <v>22</v>
      </c>
    </row>
    <row r="1203" spans="1:10" s="3" customFormat="1" x14ac:dyDescent="0.25">
      <c r="A1203" s="2">
        <v>224</v>
      </c>
      <c r="B1203" s="3" t="s">
        <v>19</v>
      </c>
      <c r="C1203" s="3">
        <v>647</v>
      </c>
      <c r="D1203" s="3">
        <v>1</v>
      </c>
      <c r="E1203" s="3" t="s">
        <v>49</v>
      </c>
      <c r="F1203" s="3" t="s">
        <v>50</v>
      </c>
      <c r="G1203" s="3" t="str">
        <f>"2025-06-27 06:31:22.668"</f>
        <v>2025-06-27 06:31:22.668</v>
      </c>
      <c r="H1203" s="3" t="s">
        <v>22</v>
      </c>
    </row>
    <row r="1204" spans="1:10" s="3" customFormat="1" x14ac:dyDescent="0.25">
      <c r="A1204" s="2">
        <v>225</v>
      </c>
      <c r="B1204" s="3" t="s">
        <v>23</v>
      </c>
      <c r="C1204" s="3">
        <v>647</v>
      </c>
      <c r="D1204" s="3">
        <v>1</v>
      </c>
      <c r="E1204" s="3" t="s">
        <v>49</v>
      </c>
      <c r="F1204" s="3" t="s">
        <v>50</v>
      </c>
      <c r="G1204" s="3" t="str">
        <f>"2025-06-27 06:31:08.468"</f>
        <v>2025-06-27 06:31:08.468</v>
      </c>
      <c r="H1204" s="3" t="s">
        <v>22</v>
      </c>
      <c r="I1204" s="3">
        <v>10.68</v>
      </c>
      <c r="J1204" s="3" t="s">
        <v>31</v>
      </c>
    </row>
    <row r="1205" spans="1:10" x14ac:dyDescent="0.25">
      <c r="A1205" s="1">
        <v>226</v>
      </c>
      <c r="B1205" t="s">
        <v>19</v>
      </c>
      <c r="C1205">
        <v>635</v>
      </c>
      <c r="D1205">
        <v>1</v>
      </c>
      <c r="E1205" t="s">
        <v>28</v>
      </c>
      <c r="F1205" t="s">
        <v>29</v>
      </c>
      <c r="G1205" t="str">
        <f>"2025-06-27 05:19:10.267"</f>
        <v>2025-06-27 05:19:10.267</v>
      </c>
      <c r="H1205" t="s">
        <v>22</v>
      </c>
    </row>
    <row r="1206" spans="1:10" x14ac:dyDescent="0.25">
      <c r="A1206" s="1">
        <v>227</v>
      </c>
      <c r="B1206" t="s">
        <v>23</v>
      </c>
      <c r="C1206">
        <v>635</v>
      </c>
      <c r="D1206">
        <v>1</v>
      </c>
      <c r="E1206" t="s">
        <v>28</v>
      </c>
      <c r="F1206" t="s">
        <v>29</v>
      </c>
      <c r="G1206" t="str">
        <f>"2025-06-27 04:52:24.867"</f>
        <v>2025-06-27 04:52:24.867</v>
      </c>
      <c r="H1206" t="s">
        <v>22</v>
      </c>
      <c r="I1206">
        <v>6.3</v>
      </c>
      <c r="J1206" t="s">
        <v>30</v>
      </c>
    </row>
    <row r="1207" spans="1:10" x14ac:dyDescent="0.25">
      <c r="A1207" s="1">
        <v>228</v>
      </c>
      <c r="B1207" t="s">
        <v>19</v>
      </c>
      <c r="C1207">
        <v>635</v>
      </c>
      <c r="D1207">
        <v>1</v>
      </c>
      <c r="E1207" t="s">
        <v>28</v>
      </c>
      <c r="F1207" t="s">
        <v>29</v>
      </c>
      <c r="G1207" t="str">
        <f>"2025-06-27 01:56:12.167"</f>
        <v>2025-06-27 01:56:12.167</v>
      </c>
      <c r="H1207" t="s">
        <v>22</v>
      </c>
    </row>
    <row r="1208" spans="1:10" x14ac:dyDescent="0.25">
      <c r="A1208" s="1">
        <v>229</v>
      </c>
      <c r="B1208" t="s">
        <v>23</v>
      </c>
      <c r="C1208">
        <v>635</v>
      </c>
      <c r="D1208">
        <v>1</v>
      </c>
      <c r="E1208" t="s">
        <v>28</v>
      </c>
      <c r="F1208" t="s">
        <v>29</v>
      </c>
      <c r="G1208" t="str">
        <f>"2025-06-27 01:27:47.667"</f>
        <v>2025-06-27 01:27:47.667</v>
      </c>
      <c r="H1208" t="s">
        <v>22</v>
      </c>
      <c r="I1208">
        <v>6.54</v>
      </c>
      <c r="J1208" t="s">
        <v>30</v>
      </c>
    </row>
    <row r="1209" spans="1:10" x14ac:dyDescent="0.25">
      <c r="A1209" s="1">
        <v>230</v>
      </c>
      <c r="B1209" t="s">
        <v>19</v>
      </c>
      <c r="C1209">
        <v>635</v>
      </c>
      <c r="D1209">
        <v>1</v>
      </c>
      <c r="E1209" t="s">
        <v>28</v>
      </c>
      <c r="F1209" t="s">
        <v>29</v>
      </c>
      <c r="G1209" t="str">
        <f>"2025-06-26 14:41:00.367"</f>
        <v>2025-06-26 14:41:00.367</v>
      </c>
      <c r="H1209" t="s">
        <v>22</v>
      </c>
    </row>
    <row r="1210" spans="1:10" x14ac:dyDescent="0.25">
      <c r="A1210" s="1">
        <v>231</v>
      </c>
      <c r="B1210" t="s">
        <v>23</v>
      </c>
      <c r="C1210">
        <v>635</v>
      </c>
      <c r="D1210">
        <v>1</v>
      </c>
      <c r="E1210" t="s">
        <v>28</v>
      </c>
      <c r="F1210" t="s">
        <v>29</v>
      </c>
      <c r="G1210" t="str">
        <f>"2025-06-26 14:35:41.967"</f>
        <v>2025-06-26 14:35:41.967</v>
      </c>
      <c r="H1210" t="s">
        <v>22</v>
      </c>
      <c r="I1210">
        <v>0.88</v>
      </c>
      <c r="J1210" t="s">
        <v>31</v>
      </c>
    </row>
    <row r="1211" spans="1:10" s="3" customFormat="1" x14ac:dyDescent="0.25">
      <c r="A1211" s="2">
        <v>232</v>
      </c>
      <c r="B1211" s="3" t="s">
        <v>19</v>
      </c>
      <c r="C1211" s="3">
        <v>647</v>
      </c>
      <c r="D1211" s="3">
        <v>1</v>
      </c>
      <c r="E1211" s="3" t="s">
        <v>49</v>
      </c>
      <c r="F1211" s="3" t="s">
        <v>50</v>
      </c>
      <c r="G1211" s="3" t="str">
        <f>"2025-06-26 01:58:30.368"</f>
        <v>2025-06-26 01:58:30.368</v>
      </c>
      <c r="H1211" s="3" t="s">
        <v>22</v>
      </c>
    </row>
    <row r="1212" spans="1:10" s="3" customFormat="1" x14ac:dyDescent="0.25">
      <c r="A1212" s="2">
        <v>233</v>
      </c>
      <c r="B1212" s="3" t="s">
        <v>23</v>
      </c>
      <c r="C1212" s="3">
        <v>647</v>
      </c>
      <c r="D1212" s="3">
        <v>1</v>
      </c>
      <c r="E1212" s="3" t="s">
        <v>49</v>
      </c>
      <c r="F1212" s="3" t="s">
        <v>50</v>
      </c>
      <c r="G1212" s="3" t="str">
        <f>"2025-06-26 01:58:26.468"</f>
        <v>2025-06-26 01:58:26.468</v>
      </c>
      <c r="H1212" s="3" t="s">
        <v>22</v>
      </c>
      <c r="I1212" s="3">
        <v>8.52</v>
      </c>
      <c r="J1212" s="3" t="s">
        <v>31</v>
      </c>
    </row>
    <row r="1213" spans="1:10" x14ac:dyDescent="0.25">
      <c r="A1213" s="1">
        <v>234</v>
      </c>
      <c r="B1213" t="s">
        <v>25</v>
      </c>
      <c r="C1213">
        <v>706</v>
      </c>
      <c r="D1213">
        <v>2</v>
      </c>
      <c r="E1213" t="s">
        <v>35</v>
      </c>
      <c r="F1213" t="s">
        <v>38</v>
      </c>
      <c r="G1213" t="str">
        <f>"2025-06-26 01:03:17.116"</f>
        <v>2025-06-26 01:03:17.116</v>
      </c>
      <c r="H1213" t="s">
        <v>22</v>
      </c>
      <c r="I1213">
        <v>0</v>
      </c>
      <c r="J1213" t="s">
        <v>24</v>
      </c>
    </row>
    <row r="1214" spans="1:10" x14ac:dyDescent="0.25">
      <c r="A1214" s="1">
        <v>235</v>
      </c>
      <c r="B1214" t="s">
        <v>25</v>
      </c>
      <c r="C1214">
        <v>700</v>
      </c>
      <c r="D1214">
        <v>0</v>
      </c>
      <c r="E1214" t="s">
        <v>26</v>
      </c>
      <c r="F1214" t="s">
        <v>26</v>
      </c>
      <c r="G1214" t="str">
        <f>"2025-06-26 01:01:32.506"</f>
        <v>2025-06-26 01:01:32.506</v>
      </c>
      <c r="H1214" t="s">
        <v>22</v>
      </c>
      <c r="I1214">
        <v>0</v>
      </c>
      <c r="J1214" t="s">
        <v>27</v>
      </c>
    </row>
    <row r="1215" spans="1:10" x14ac:dyDescent="0.25">
      <c r="A1215" s="1">
        <v>236</v>
      </c>
      <c r="B1215" t="s">
        <v>37</v>
      </c>
      <c r="C1215">
        <v>630</v>
      </c>
      <c r="D1215">
        <v>5</v>
      </c>
      <c r="E1215" t="s">
        <v>32</v>
      </c>
      <c r="F1215" t="s">
        <v>33</v>
      </c>
      <c r="G1215" t="str">
        <f>"2025-06-26 00:34:52.190"</f>
        <v>2025-06-26 00:34:52.190</v>
      </c>
      <c r="H1215" t="s">
        <v>34</v>
      </c>
      <c r="I1215">
        <v>0</v>
      </c>
      <c r="J1215" t="s">
        <v>24</v>
      </c>
    </row>
    <row r="1216" spans="1:10" x14ac:dyDescent="0.25">
      <c r="A1216" s="1">
        <v>237</v>
      </c>
      <c r="B1216" t="s">
        <v>25</v>
      </c>
      <c r="C1216">
        <v>700</v>
      </c>
      <c r="D1216">
        <v>0</v>
      </c>
      <c r="E1216" t="s">
        <v>26</v>
      </c>
      <c r="F1216" t="s">
        <v>26</v>
      </c>
      <c r="G1216" t="str">
        <f>"2025-06-26 00:29:49.512"</f>
        <v>2025-06-26 00:29:49.512</v>
      </c>
      <c r="H1216" t="s">
        <v>22</v>
      </c>
      <c r="I1216">
        <v>0</v>
      </c>
      <c r="J1216" t="s">
        <v>27</v>
      </c>
    </row>
    <row r="1217" spans="1:10" x14ac:dyDescent="0.25">
      <c r="A1217" s="1">
        <v>238</v>
      </c>
      <c r="B1217" t="s">
        <v>25</v>
      </c>
      <c r="C1217">
        <v>700</v>
      </c>
      <c r="D1217">
        <v>0</v>
      </c>
      <c r="E1217" t="s">
        <v>26</v>
      </c>
      <c r="F1217" t="s">
        <v>26</v>
      </c>
      <c r="G1217" t="str">
        <f>"2025-06-25 23:47:31.801"</f>
        <v>2025-06-25 23:47:31.801</v>
      </c>
      <c r="H1217" t="s">
        <v>22</v>
      </c>
      <c r="I1217">
        <v>0</v>
      </c>
      <c r="J1217" t="s">
        <v>27</v>
      </c>
    </row>
    <row r="1218" spans="1:10" x14ac:dyDescent="0.25">
      <c r="A1218" s="1">
        <v>239</v>
      </c>
      <c r="B1218" t="s">
        <v>25</v>
      </c>
      <c r="C1218">
        <v>700</v>
      </c>
      <c r="D1218">
        <v>0</v>
      </c>
      <c r="E1218" t="s">
        <v>26</v>
      </c>
      <c r="F1218" t="s">
        <v>26</v>
      </c>
      <c r="G1218" t="str">
        <f>"2025-06-25 11:12:42.536"</f>
        <v>2025-06-25 11:12:42.536</v>
      </c>
      <c r="H1218" t="s">
        <v>22</v>
      </c>
      <c r="I1218">
        <v>0</v>
      </c>
      <c r="J1218" t="s">
        <v>27</v>
      </c>
    </row>
    <row r="1219" spans="1:10" s="3" customFormat="1" x14ac:dyDescent="0.25">
      <c r="A1219" s="2">
        <v>240</v>
      </c>
      <c r="B1219" s="3" t="s">
        <v>19</v>
      </c>
      <c r="C1219" s="3">
        <v>647</v>
      </c>
      <c r="D1219" s="3">
        <v>1</v>
      </c>
      <c r="E1219" s="3" t="s">
        <v>49</v>
      </c>
      <c r="F1219" s="3" t="s">
        <v>50</v>
      </c>
      <c r="G1219" s="3" t="str">
        <f>"2025-06-24 23:09:15.215"</f>
        <v>2025-06-24 23:09:15.215</v>
      </c>
      <c r="H1219" s="3" t="s">
        <v>22</v>
      </c>
    </row>
    <row r="1220" spans="1:10" s="3" customFormat="1" x14ac:dyDescent="0.25">
      <c r="A1220" s="2">
        <v>241</v>
      </c>
      <c r="B1220" s="3" t="s">
        <v>23</v>
      </c>
      <c r="C1220" s="3">
        <v>647</v>
      </c>
      <c r="D1220" s="3">
        <v>1</v>
      </c>
      <c r="E1220" s="3" t="s">
        <v>49</v>
      </c>
      <c r="F1220" s="3" t="s">
        <v>50</v>
      </c>
      <c r="G1220" s="3" t="str">
        <f>"2025-06-24 23:09:13.115"</f>
        <v>2025-06-24 23:09:13.115</v>
      </c>
      <c r="H1220" s="3" t="s">
        <v>22</v>
      </c>
      <c r="I1220" s="3">
        <v>10.63</v>
      </c>
      <c r="J1220" s="3" t="s">
        <v>31</v>
      </c>
    </row>
    <row r="1221" spans="1:10" x14ac:dyDescent="0.25">
      <c r="A1221" s="1">
        <v>242</v>
      </c>
      <c r="B1221" t="s">
        <v>25</v>
      </c>
      <c r="C1221">
        <v>700</v>
      </c>
      <c r="D1221">
        <v>0</v>
      </c>
      <c r="E1221" t="s">
        <v>26</v>
      </c>
      <c r="F1221" t="s">
        <v>26</v>
      </c>
      <c r="G1221" t="str">
        <f>"2025-06-24 13:36:51.652"</f>
        <v>2025-06-24 13:36:51.652</v>
      </c>
      <c r="H1221" t="s">
        <v>22</v>
      </c>
    </row>
    <row r="1222" spans="1:10" x14ac:dyDescent="0.25">
      <c r="A1222" s="1">
        <v>243</v>
      </c>
      <c r="B1222" t="s">
        <v>19</v>
      </c>
      <c r="C1222">
        <v>635</v>
      </c>
      <c r="D1222">
        <v>1</v>
      </c>
      <c r="E1222" t="s">
        <v>28</v>
      </c>
      <c r="F1222" t="s">
        <v>29</v>
      </c>
      <c r="G1222" t="str">
        <f>"2025-06-24 02:38:39.202"</f>
        <v>2025-06-24 02:38:39.202</v>
      </c>
      <c r="H1222" t="s">
        <v>22</v>
      </c>
    </row>
    <row r="1223" spans="1:10" x14ac:dyDescent="0.25">
      <c r="A1223" s="1">
        <v>244</v>
      </c>
      <c r="B1223" t="s">
        <v>23</v>
      </c>
      <c r="C1223">
        <v>635</v>
      </c>
      <c r="D1223">
        <v>1</v>
      </c>
      <c r="E1223" t="s">
        <v>28</v>
      </c>
      <c r="F1223" t="s">
        <v>29</v>
      </c>
      <c r="G1223" t="str">
        <f>"2025-06-24 02:18:15.202"</f>
        <v>2025-06-24 02:18:15.202</v>
      </c>
      <c r="H1223" t="s">
        <v>22</v>
      </c>
      <c r="I1223">
        <v>6.34</v>
      </c>
      <c r="J1223" t="s">
        <v>30</v>
      </c>
    </row>
    <row r="1224" spans="1:10" s="3" customFormat="1" x14ac:dyDescent="0.25">
      <c r="A1224" s="2">
        <v>245</v>
      </c>
      <c r="B1224" s="3" t="s">
        <v>19</v>
      </c>
      <c r="C1224" s="3">
        <v>647</v>
      </c>
      <c r="D1224" s="3">
        <v>1</v>
      </c>
      <c r="E1224" s="3" t="s">
        <v>49</v>
      </c>
      <c r="F1224" s="3" t="s">
        <v>50</v>
      </c>
      <c r="G1224" s="3" t="str">
        <f>"2025-06-23 17:54:58.450"</f>
        <v>2025-06-23 17:54:58.450</v>
      </c>
      <c r="H1224" s="3" t="s">
        <v>22</v>
      </c>
    </row>
    <row r="1225" spans="1:10" s="3" customFormat="1" x14ac:dyDescent="0.25">
      <c r="A1225" s="2">
        <v>246</v>
      </c>
      <c r="B1225" s="3" t="s">
        <v>23</v>
      </c>
      <c r="C1225" s="3">
        <v>647</v>
      </c>
      <c r="D1225" s="3">
        <v>1</v>
      </c>
      <c r="E1225" s="3" t="s">
        <v>49</v>
      </c>
      <c r="F1225" s="3" t="s">
        <v>50</v>
      </c>
      <c r="G1225" s="3" t="str">
        <f>"2025-06-23 17:54:45.351"</f>
        <v>2025-06-23 17:54:45.351</v>
      </c>
      <c r="H1225" s="3" t="s">
        <v>22</v>
      </c>
      <c r="I1225" s="3">
        <v>9.6</v>
      </c>
      <c r="J1225" s="3" t="s">
        <v>48</v>
      </c>
    </row>
    <row r="1226" spans="1:10" x14ac:dyDescent="0.25">
      <c r="A1226" s="1">
        <v>247</v>
      </c>
      <c r="B1226" t="s">
        <v>25</v>
      </c>
      <c r="C1226">
        <v>700</v>
      </c>
      <c r="D1226">
        <v>0</v>
      </c>
      <c r="E1226" t="s">
        <v>26</v>
      </c>
      <c r="F1226" t="s">
        <v>26</v>
      </c>
      <c r="G1226" t="str">
        <f>"2025-06-22 12:56:12.532"</f>
        <v>2025-06-22 12:56:12.532</v>
      </c>
      <c r="H1226" t="s">
        <v>22</v>
      </c>
      <c r="I1226">
        <v>0</v>
      </c>
      <c r="J1226" t="s">
        <v>27</v>
      </c>
    </row>
    <row r="1227" spans="1:10" s="3" customFormat="1" x14ac:dyDescent="0.25">
      <c r="A1227" s="2">
        <v>248</v>
      </c>
      <c r="B1227" s="3" t="s">
        <v>19</v>
      </c>
      <c r="C1227" s="3">
        <v>647</v>
      </c>
      <c r="D1227" s="3">
        <v>1</v>
      </c>
      <c r="E1227" s="3" t="s">
        <v>49</v>
      </c>
      <c r="F1227" s="3" t="s">
        <v>50</v>
      </c>
      <c r="G1227" s="3" t="str">
        <f>"2025-06-20 20:19:41.967"</f>
        <v>2025-06-20 20:19:41.967</v>
      </c>
      <c r="H1227" s="3" t="s">
        <v>22</v>
      </c>
    </row>
    <row r="1228" spans="1:10" s="3" customFormat="1" x14ac:dyDescent="0.25">
      <c r="A1228" s="2">
        <v>249</v>
      </c>
      <c r="B1228" s="3" t="s">
        <v>23</v>
      </c>
      <c r="C1228" s="3">
        <v>647</v>
      </c>
      <c r="D1228" s="3">
        <v>1</v>
      </c>
      <c r="E1228" s="3" t="s">
        <v>49</v>
      </c>
      <c r="F1228" s="3" t="s">
        <v>50</v>
      </c>
      <c r="G1228" s="3" t="str">
        <f>"2025-06-20 20:19:38.667"</f>
        <v>2025-06-20 20:19:38.667</v>
      </c>
      <c r="H1228" s="3" t="s">
        <v>22</v>
      </c>
      <c r="I1228" s="3">
        <v>20.29</v>
      </c>
      <c r="J1228" s="3" t="s">
        <v>31</v>
      </c>
    </row>
    <row r="1229" spans="1:10" s="3" customFormat="1" x14ac:dyDescent="0.25">
      <c r="A1229" s="2">
        <v>250</v>
      </c>
      <c r="B1229" s="3" t="s">
        <v>19</v>
      </c>
      <c r="C1229" s="3">
        <v>647</v>
      </c>
      <c r="D1229" s="3">
        <v>1</v>
      </c>
      <c r="E1229" s="3" t="s">
        <v>49</v>
      </c>
      <c r="F1229" s="3" t="s">
        <v>50</v>
      </c>
      <c r="G1229" s="3" t="str">
        <f>"2025-06-20 07:17:51.467"</f>
        <v>2025-06-20 07:17:51.467</v>
      </c>
      <c r="H1229" s="3" t="s">
        <v>22</v>
      </c>
    </row>
    <row r="1230" spans="1:10" s="3" customFormat="1" x14ac:dyDescent="0.25">
      <c r="A1230" s="2">
        <v>251</v>
      </c>
      <c r="B1230" s="3" t="s">
        <v>23</v>
      </c>
      <c r="C1230" s="3">
        <v>647</v>
      </c>
      <c r="D1230" s="3">
        <v>1</v>
      </c>
      <c r="E1230" s="3" t="s">
        <v>49</v>
      </c>
      <c r="F1230" s="3" t="s">
        <v>50</v>
      </c>
      <c r="G1230" s="3" t="str">
        <f>"2025-06-20 07:17:50.168"</f>
        <v>2025-06-20 07:17:50.168</v>
      </c>
      <c r="H1230" s="3" t="s">
        <v>22</v>
      </c>
      <c r="I1230" s="3">
        <v>23.33</v>
      </c>
      <c r="J1230" s="3" t="s">
        <v>31</v>
      </c>
    </row>
    <row r="1231" spans="1:10" x14ac:dyDescent="0.25">
      <c r="A1231" s="1">
        <v>252</v>
      </c>
      <c r="B1231" t="s">
        <v>19</v>
      </c>
      <c r="C1231">
        <v>635</v>
      </c>
      <c r="D1231">
        <v>1</v>
      </c>
      <c r="E1231" t="s">
        <v>28</v>
      </c>
      <c r="F1231" t="s">
        <v>29</v>
      </c>
      <c r="G1231" t="str">
        <f>"2025-06-20 02:44:17.367"</f>
        <v>2025-06-20 02:44:17.367</v>
      </c>
      <c r="H1231" t="s">
        <v>22</v>
      </c>
    </row>
    <row r="1232" spans="1:10" x14ac:dyDescent="0.25">
      <c r="A1232" s="1">
        <v>253</v>
      </c>
      <c r="B1232" t="s">
        <v>23</v>
      </c>
      <c r="C1232">
        <v>635</v>
      </c>
      <c r="D1232">
        <v>1</v>
      </c>
      <c r="E1232" t="s">
        <v>28</v>
      </c>
      <c r="F1232" t="s">
        <v>29</v>
      </c>
      <c r="G1232" t="str">
        <f>"2025-06-20 02:29:25.368"</f>
        <v>2025-06-20 02:29:25.368</v>
      </c>
      <c r="H1232" t="s">
        <v>22</v>
      </c>
      <c r="I1232">
        <v>9.2100000000000009</v>
      </c>
      <c r="J1232" t="s">
        <v>30</v>
      </c>
    </row>
    <row r="1233" spans="1:10" x14ac:dyDescent="0.25">
      <c r="A1233" s="1">
        <v>254</v>
      </c>
      <c r="B1233" t="s">
        <v>25</v>
      </c>
      <c r="C1233">
        <v>700</v>
      </c>
      <c r="D1233">
        <v>0</v>
      </c>
      <c r="E1233" t="s">
        <v>26</v>
      </c>
      <c r="F1233" t="s">
        <v>26</v>
      </c>
      <c r="G1233" t="str">
        <f>"2025-06-19 08:11:02.509"</f>
        <v>2025-06-19 08:11:02.509</v>
      </c>
      <c r="H1233" t="s">
        <v>22</v>
      </c>
      <c r="I1233">
        <v>0</v>
      </c>
      <c r="J1233" t="s">
        <v>27</v>
      </c>
    </row>
    <row r="1234" spans="1:10" x14ac:dyDescent="0.25">
      <c r="A1234" s="1">
        <v>255</v>
      </c>
      <c r="B1234" t="s">
        <v>19</v>
      </c>
      <c r="C1234">
        <v>635</v>
      </c>
      <c r="D1234">
        <v>1</v>
      </c>
      <c r="E1234" t="s">
        <v>28</v>
      </c>
      <c r="F1234" t="s">
        <v>29</v>
      </c>
      <c r="G1234" t="str">
        <f>"2025-06-18 04:18:41.497"</f>
        <v>2025-06-18 04:18:41.497</v>
      </c>
      <c r="H1234" t="s">
        <v>22</v>
      </c>
    </row>
    <row r="1235" spans="1:10" x14ac:dyDescent="0.25">
      <c r="A1235" s="1">
        <v>256</v>
      </c>
      <c r="B1235" t="s">
        <v>23</v>
      </c>
      <c r="C1235">
        <v>635</v>
      </c>
      <c r="D1235">
        <v>1</v>
      </c>
      <c r="E1235" t="s">
        <v>28</v>
      </c>
      <c r="F1235" t="s">
        <v>29</v>
      </c>
      <c r="G1235" t="str">
        <f>"2025-06-18 04:15:08.497"</f>
        <v>2025-06-18 04:15:08.497</v>
      </c>
      <c r="H1235" t="s">
        <v>22</v>
      </c>
      <c r="I1235">
        <v>4.0599999999999996</v>
      </c>
      <c r="J1235" t="s">
        <v>30</v>
      </c>
    </row>
    <row r="1236" spans="1:10" x14ac:dyDescent="0.25">
      <c r="A1236" s="1">
        <v>257</v>
      </c>
      <c r="B1236" t="s">
        <v>25</v>
      </c>
      <c r="C1236">
        <v>700</v>
      </c>
      <c r="D1236">
        <v>0</v>
      </c>
      <c r="E1236" t="s">
        <v>26</v>
      </c>
      <c r="F1236" t="s">
        <v>26</v>
      </c>
      <c r="G1236" t="str">
        <f>"2025-06-17 19:45:44.537"</f>
        <v>2025-06-17 19:45:44.537</v>
      </c>
      <c r="H1236" t="s">
        <v>22</v>
      </c>
      <c r="I1236">
        <v>0</v>
      </c>
      <c r="J1236" t="s">
        <v>27</v>
      </c>
    </row>
    <row r="1237" spans="1:10" x14ac:dyDescent="0.25">
      <c r="A1237" s="1">
        <v>258</v>
      </c>
      <c r="B1237" t="s">
        <v>25</v>
      </c>
      <c r="C1237">
        <v>700</v>
      </c>
      <c r="D1237">
        <v>0</v>
      </c>
      <c r="E1237" t="s">
        <v>26</v>
      </c>
      <c r="F1237" t="s">
        <v>26</v>
      </c>
      <c r="G1237" t="str">
        <f>"2025-06-16 10:14:41.525"</f>
        <v>2025-06-16 10:14:41.525</v>
      </c>
      <c r="H1237" t="s">
        <v>22</v>
      </c>
    </row>
    <row r="1238" spans="1:10" x14ac:dyDescent="0.25">
      <c r="A1238" s="1">
        <v>259</v>
      </c>
      <c r="B1238" t="s">
        <v>25</v>
      </c>
      <c r="C1238">
        <v>700</v>
      </c>
      <c r="D1238">
        <v>0</v>
      </c>
      <c r="E1238" t="s">
        <v>26</v>
      </c>
      <c r="F1238" t="s">
        <v>26</v>
      </c>
      <c r="G1238" t="str">
        <f>"2025-06-15 16:20:00.507"</f>
        <v>2025-06-15 16:20:00.507</v>
      </c>
      <c r="H1238" t="s">
        <v>22</v>
      </c>
      <c r="I1238">
        <v>0</v>
      </c>
      <c r="J1238" t="s">
        <v>27</v>
      </c>
    </row>
    <row r="1239" spans="1:10" x14ac:dyDescent="0.25">
      <c r="A1239" s="1">
        <v>260</v>
      </c>
      <c r="B1239" t="s">
        <v>25</v>
      </c>
      <c r="C1239">
        <v>700</v>
      </c>
      <c r="D1239">
        <v>0</v>
      </c>
      <c r="E1239" t="s">
        <v>26</v>
      </c>
      <c r="F1239" t="s">
        <v>26</v>
      </c>
      <c r="G1239" t="str">
        <f>"2025-06-15 13:25:50.617"</f>
        <v>2025-06-15 13:25:50.617</v>
      </c>
      <c r="H1239" t="s">
        <v>22</v>
      </c>
      <c r="I1239">
        <v>0</v>
      </c>
      <c r="J1239" t="s">
        <v>27</v>
      </c>
    </row>
    <row r="1240" spans="1:10" x14ac:dyDescent="0.25">
      <c r="A1240" s="1">
        <v>261</v>
      </c>
      <c r="B1240" t="s">
        <v>25</v>
      </c>
      <c r="C1240">
        <v>700</v>
      </c>
      <c r="D1240">
        <v>0</v>
      </c>
      <c r="E1240" t="s">
        <v>26</v>
      </c>
      <c r="F1240" t="s">
        <v>26</v>
      </c>
      <c r="G1240" t="str">
        <f>"2025-06-15 10:57:16.506"</f>
        <v>2025-06-15 10:57:16.506</v>
      </c>
      <c r="H1240" t="s">
        <v>22</v>
      </c>
    </row>
    <row r="1241" spans="1:10" x14ac:dyDescent="0.25">
      <c r="A1241" s="1">
        <v>262</v>
      </c>
      <c r="B1241" t="s">
        <v>19</v>
      </c>
      <c r="C1241">
        <v>630</v>
      </c>
      <c r="D1241">
        <v>5</v>
      </c>
      <c r="E1241" t="s">
        <v>32</v>
      </c>
      <c r="F1241" t="s">
        <v>33</v>
      </c>
      <c r="G1241" t="str">
        <f>"2025-06-15 10:28:11.565"</f>
        <v>2025-06-15 10:28:11.565</v>
      </c>
      <c r="H1241" t="s">
        <v>34</v>
      </c>
    </row>
    <row r="1242" spans="1:10" x14ac:dyDescent="0.25">
      <c r="A1242" s="1">
        <v>263</v>
      </c>
      <c r="B1242" t="s">
        <v>25</v>
      </c>
      <c r="C1242">
        <v>706</v>
      </c>
      <c r="D1242">
        <v>2</v>
      </c>
      <c r="E1242" t="s">
        <v>35</v>
      </c>
      <c r="F1242" t="s">
        <v>38</v>
      </c>
      <c r="G1242" t="str">
        <f>"2025-06-15 10:27:41.417"</f>
        <v>2025-06-15 10:27:41.417</v>
      </c>
      <c r="H1242" t="s">
        <v>22</v>
      </c>
      <c r="I1242">
        <v>0</v>
      </c>
      <c r="J1242" t="s">
        <v>24</v>
      </c>
    </row>
    <row r="1243" spans="1:10" x14ac:dyDescent="0.25">
      <c r="A1243" s="1">
        <v>264</v>
      </c>
      <c r="B1243" t="s">
        <v>37</v>
      </c>
      <c r="C1243">
        <v>630</v>
      </c>
      <c r="D1243">
        <v>5</v>
      </c>
      <c r="E1243" t="s">
        <v>32</v>
      </c>
      <c r="F1243" t="s">
        <v>33</v>
      </c>
      <c r="G1243" t="str">
        <f>"2025-06-15 09:55:34.466"</f>
        <v>2025-06-15 09:55:34.466</v>
      </c>
      <c r="H1243" t="s">
        <v>34</v>
      </c>
      <c r="I1243">
        <v>0</v>
      </c>
      <c r="J1243" t="s">
        <v>24</v>
      </c>
    </row>
    <row r="1244" spans="1:10" x14ac:dyDescent="0.25">
      <c r="A1244" s="1">
        <v>265</v>
      </c>
      <c r="B1244" t="s">
        <v>25</v>
      </c>
      <c r="C1244">
        <v>700</v>
      </c>
      <c r="D1244">
        <v>0</v>
      </c>
      <c r="E1244" t="s">
        <v>26</v>
      </c>
      <c r="F1244" t="s">
        <v>26</v>
      </c>
      <c r="G1244" t="str">
        <f>"2025-06-15 09:40:24.497"</f>
        <v>2025-06-15 09:40:24.497</v>
      </c>
      <c r="H1244" t="s">
        <v>22</v>
      </c>
    </row>
    <row r="1245" spans="1:10" x14ac:dyDescent="0.25">
      <c r="A1245" s="1">
        <v>266</v>
      </c>
      <c r="B1245" t="s">
        <v>25</v>
      </c>
      <c r="C1245">
        <v>706</v>
      </c>
      <c r="D1245">
        <v>4</v>
      </c>
      <c r="E1245" t="s">
        <v>35</v>
      </c>
      <c r="F1245" t="s">
        <v>36</v>
      </c>
      <c r="G1245" t="str">
        <f>"2025-06-15 09:23:40.649"</f>
        <v>2025-06-15 09:23:40.649</v>
      </c>
      <c r="H1245" t="s">
        <v>22</v>
      </c>
      <c r="I1245">
        <v>0</v>
      </c>
      <c r="J1245" t="s">
        <v>24</v>
      </c>
    </row>
    <row r="1246" spans="1:10" x14ac:dyDescent="0.25">
      <c r="A1246" s="1">
        <v>267</v>
      </c>
      <c r="B1246" t="s">
        <v>25</v>
      </c>
      <c r="C1246">
        <v>700</v>
      </c>
      <c r="D1246">
        <v>0</v>
      </c>
      <c r="E1246" t="s">
        <v>26</v>
      </c>
      <c r="F1246" t="s">
        <v>26</v>
      </c>
      <c r="G1246" t="str">
        <f>"2025-06-15 09:19:54.489"</f>
        <v>2025-06-15 09:19:54.489</v>
      </c>
      <c r="H1246" t="s">
        <v>22</v>
      </c>
    </row>
    <row r="1247" spans="1:10" x14ac:dyDescent="0.25">
      <c r="A1247" s="1">
        <v>268</v>
      </c>
      <c r="B1247" t="s">
        <v>25</v>
      </c>
      <c r="C1247">
        <v>700</v>
      </c>
      <c r="D1247">
        <v>0</v>
      </c>
      <c r="E1247" t="s">
        <v>26</v>
      </c>
      <c r="F1247" t="s">
        <v>26</v>
      </c>
      <c r="G1247" t="str">
        <f>"2025-06-15 08:44:39.499"</f>
        <v>2025-06-15 08:44:39.499</v>
      </c>
      <c r="H1247" t="s">
        <v>22</v>
      </c>
    </row>
    <row r="1248" spans="1:10" x14ac:dyDescent="0.25">
      <c r="A1248" s="1">
        <v>269</v>
      </c>
      <c r="B1248" t="s">
        <v>37</v>
      </c>
      <c r="C1248">
        <v>630</v>
      </c>
      <c r="D1248">
        <v>5</v>
      </c>
      <c r="E1248" t="s">
        <v>32</v>
      </c>
      <c r="F1248" t="s">
        <v>33</v>
      </c>
      <c r="G1248" t="str">
        <f>"2025-06-15 06:38:22.243"</f>
        <v>2025-06-15 06:38:22.243</v>
      </c>
      <c r="H1248" t="s">
        <v>34</v>
      </c>
      <c r="I1248">
        <v>0</v>
      </c>
      <c r="J1248" t="s">
        <v>24</v>
      </c>
    </row>
    <row r="1249" spans="1:10" x14ac:dyDescent="0.25">
      <c r="A1249" s="1">
        <v>270</v>
      </c>
      <c r="B1249" t="s">
        <v>25</v>
      </c>
      <c r="C1249">
        <v>700</v>
      </c>
      <c r="D1249">
        <v>0</v>
      </c>
      <c r="E1249" t="s">
        <v>26</v>
      </c>
      <c r="F1249" t="s">
        <v>26</v>
      </c>
      <c r="G1249" t="str">
        <f>"2025-06-15 06:33:19.535"</f>
        <v>2025-06-15 06:33:19.535</v>
      </c>
      <c r="H1249" t="s">
        <v>22</v>
      </c>
      <c r="I1249">
        <v>0</v>
      </c>
      <c r="J1249" t="s">
        <v>27</v>
      </c>
    </row>
    <row r="1250" spans="1:10" x14ac:dyDescent="0.25">
      <c r="A1250" s="1">
        <v>271</v>
      </c>
      <c r="B1250" t="s">
        <v>42</v>
      </c>
      <c r="C1250">
        <v>77</v>
      </c>
      <c r="D1250">
        <v>1</v>
      </c>
      <c r="E1250" t="s">
        <v>68</v>
      </c>
      <c r="F1250" t="s">
        <v>69</v>
      </c>
      <c r="G1250" t="str">
        <f>"2025-06-14 20:42:00.944"</f>
        <v>2025-06-14 20:42:00.944</v>
      </c>
      <c r="H1250" t="s">
        <v>45</v>
      </c>
    </row>
    <row r="1251" spans="1:10" x14ac:dyDescent="0.25">
      <c r="A1251" s="1">
        <v>272</v>
      </c>
      <c r="B1251" t="s">
        <v>37</v>
      </c>
      <c r="C1251">
        <v>77</v>
      </c>
      <c r="D1251">
        <v>1</v>
      </c>
      <c r="E1251" t="s">
        <v>68</v>
      </c>
      <c r="F1251" t="s">
        <v>69</v>
      </c>
      <c r="G1251" t="str">
        <f>"2025-06-14 20:41:55.860"</f>
        <v>2025-06-14 20:41:55.860</v>
      </c>
      <c r="H1251" t="s">
        <v>45</v>
      </c>
      <c r="I1251">
        <v>0</v>
      </c>
      <c r="J1251" t="s">
        <v>24</v>
      </c>
    </row>
    <row r="1252" spans="1:10" x14ac:dyDescent="0.25">
      <c r="A1252" s="1">
        <v>273</v>
      </c>
      <c r="B1252" t="s">
        <v>25</v>
      </c>
      <c r="C1252">
        <v>700</v>
      </c>
      <c r="D1252">
        <v>0</v>
      </c>
      <c r="E1252" t="s">
        <v>26</v>
      </c>
      <c r="F1252" t="s">
        <v>26</v>
      </c>
      <c r="G1252" t="str">
        <f>"2025-06-14 20:41:20.502"</f>
        <v>2025-06-14 20:41:20.502</v>
      </c>
      <c r="H1252" t="s">
        <v>22</v>
      </c>
      <c r="I1252">
        <v>0</v>
      </c>
      <c r="J1252" t="s">
        <v>27</v>
      </c>
    </row>
    <row r="1253" spans="1:10" x14ac:dyDescent="0.25">
      <c r="A1253" s="1">
        <v>274</v>
      </c>
      <c r="B1253" t="s">
        <v>25</v>
      </c>
      <c r="C1253">
        <v>700</v>
      </c>
      <c r="D1253">
        <v>0</v>
      </c>
      <c r="E1253" t="s">
        <v>26</v>
      </c>
      <c r="F1253" t="s">
        <v>26</v>
      </c>
      <c r="G1253" t="str">
        <f>"2025-06-14 13:16:26.506"</f>
        <v>2025-06-14 13:16:26.506</v>
      </c>
      <c r="H1253" t="s">
        <v>22</v>
      </c>
      <c r="I1253">
        <v>0</v>
      </c>
      <c r="J1253" t="s">
        <v>27</v>
      </c>
    </row>
    <row r="1254" spans="1:10" x14ac:dyDescent="0.25">
      <c r="A1254" s="1">
        <v>275</v>
      </c>
      <c r="B1254" t="s">
        <v>25</v>
      </c>
      <c r="C1254">
        <v>706</v>
      </c>
      <c r="D1254">
        <v>4</v>
      </c>
      <c r="E1254" t="s">
        <v>35</v>
      </c>
      <c r="F1254" t="s">
        <v>36</v>
      </c>
      <c r="G1254" t="str">
        <f>"2025-06-14 11:56:58.273"</f>
        <v>2025-06-14 11:56:58.273</v>
      </c>
      <c r="H1254" t="s">
        <v>22</v>
      </c>
      <c r="I1254">
        <v>0</v>
      </c>
      <c r="J1254" t="s">
        <v>24</v>
      </c>
    </row>
    <row r="1255" spans="1:10" x14ac:dyDescent="0.25">
      <c r="A1255" s="1">
        <v>276</v>
      </c>
      <c r="B1255" t="s">
        <v>25</v>
      </c>
      <c r="C1255">
        <v>700</v>
      </c>
      <c r="D1255">
        <v>0</v>
      </c>
      <c r="E1255" t="s">
        <v>26</v>
      </c>
      <c r="F1255" t="s">
        <v>26</v>
      </c>
      <c r="G1255" t="str">
        <f>"2025-06-14 11:56:42.503"</f>
        <v>2025-06-14 11:56:42.503</v>
      </c>
      <c r="H1255" t="s">
        <v>22</v>
      </c>
      <c r="I1255">
        <v>0</v>
      </c>
      <c r="J1255" t="s">
        <v>27</v>
      </c>
    </row>
    <row r="1256" spans="1:10" x14ac:dyDescent="0.25">
      <c r="A1256" s="1">
        <v>277</v>
      </c>
      <c r="B1256" t="s">
        <v>25</v>
      </c>
      <c r="C1256">
        <v>700</v>
      </c>
      <c r="D1256">
        <v>0</v>
      </c>
      <c r="E1256" t="s">
        <v>26</v>
      </c>
      <c r="F1256" t="s">
        <v>26</v>
      </c>
      <c r="G1256" t="str">
        <f>"2025-06-14 10:55:09.524"</f>
        <v>2025-06-14 10:55:09.524</v>
      </c>
      <c r="H1256" t="s">
        <v>22</v>
      </c>
    </row>
    <row r="1257" spans="1:10" x14ac:dyDescent="0.25">
      <c r="A1257" s="1">
        <v>278</v>
      </c>
      <c r="B1257" t="s">
        <v>25</v>
      </c>
      <c r="C1257">
        <v>700</v>
      </c>
      <c r="D1257">
        <v>0</v>
      </c>
      <c r="E1257" t="s">
        <v>26</v>
      </c>
      <c r="F1257" t="s">
        <v>26</v>
      </c>
      <c r="G1257" t="str">
        <f>"2025-06-13 11:04:31.524"</f>
        <v>2025-06-13 11:04:31.524</v>
      </c>
      <c r="H1257" t="s">
        <v>22</v>
      </c>
      <c r="I1257">
        <v>0</v>
      </c>
      <c r="J1257" t="s">
        <v>27</v>
      </c>
    </row>
    <row r="1258" spans="1:10" x14ac:dyDescent="0.25">
      <c r="A1258" s="1">
        <v>279</v>
      </c>
      <c r="B1258" t="s">
        <v>19</v>
      </c>
      <c r="C1258">
        <v>635</v>
      </c>
      <c r="D1258">
        <v>1</v>
      </c>
      <c r="E1258" t="s">
        <v>28</v>
      </c>
      <c r="F1258" t="s">
        <v>29</v>
      </c>
      <c r="G1258" t="str">
        <f>"2025-06-13 06:15:42.079"</f>
        <v>2025-06-13 06:15:42.079</v>
      </c>
      <c r="H1258" t="s">
        <v>22</v>
      </c>
    </row>
    <row r="1259" spans="1:10" x14ac:dyDescent="0.25">
      <c r="A1259" s="1">
        <v>280</v>
      </c>
      <c r="B1259" t="s">
        <v>23</v>
      </c>
      <c r="C1259">
        <v>635</v>
      </c>
      <c r="D1259">
        <v>1</v>
      </c>
      <c r="E1259" t="s">
        <v>28</v>
      </c>
      <c r="F1259" t="s">
        <v>29</v>
      </c>
      <c r="G1259" t="str">
        <f>"2025-06-13 05:51:15.679"</f>
        <v>2025-06-13 05:51:15.679</v>
      </c>
      <c r="H1259" t="s">
        <v>22</v>
      </c>
      <c r="I1259">
        <v>4.1900000000000004</v>
      </c>
      <c r="J1259" t="s">
        <v>30</v>
      </c>
    </row>
    <row r="1260" spans="1:10" x14ac:dyDescent="0.25">
      <c r="A1260" s="1">
        <v>281</v>
      </c>
      <c r="B1260" t="s">
        <v>25</v>
      </c>
      <c r="C1260">
        <v>700</v>
      </c>
      <c r="D1260">
        <v>0</v>
      </c>
      <c r="E1260" t="s">
        <v>26</v>
      </c>
      <c r="F1260" t="s">
        <v>26</v>
      </c>
      <c r="G1260" t="str">
        <f>"2025-06-12 09:55:10.602"</f>
        <v>2025-06-12 09:55:10.602</v>
      </c>
      <c r="H1260" t="s">
        <v>22</v>
      </c>
    </row>
    <row r="1261" spans="1:10" x14ac:dyDescent="0.25">
      <c r="A1261" s="1">
        <v>282</v>
      </c>
      <c r="B1261" t="s">
        <v>19</v>
      </c>
      <c r="C1261">
        <v>635</v>
      </c>
      <c r="D1261">
        <v>1</v>
      </c>
      <c r="E1261" t="s">
        <v>28</v>
      </c>
      <c r="F1261" t="s">
        <v>29</v>
      </c>
      <c r="G1261" t="str">
        <f>"2025-06-12 02:01:06.055"</f>
        <v>2025-06-12 02:01:06.055</v>
      </c>
      <c r="H1261" t="s">
        <v>22</v>
      </c>
    </row>
    <row r="1262" spans="1:10" x14ac:dyDescent="0.25">
      <c r="A1262" s="1">
        <v>283</v>
      </c>
      <c r="B1262" t="s">
        <v>23</v>
      </c>
      <c r="C1262">
        <v>635</v>
      </c>
      <c r="D1262">
        <v>1</v>
      </c>
      <c r="E1262" t="s">
        <v>28</v>
      </c>
      <c r="F1262" t="s">
        <v>29</v>
      </c>
      <c r="G1262" t="str">
        <f>"2025-06-12 01:57:35.556"</f>
        <v>2025-06-12 01:57:35.556</v>
      </c>
      <c r="H1262" t="s">
        <v>22</v>
      </c>
      <c r="I1262">
        <v>5.64</v>
      </c>
      <c r="J1262" t="s">
        <v>31</v>
      </c>
    </row>
    <row r="1263" spans="1:10" x14ac:dyDescent="0.25">
      <c r="A1263" s="1">
        <v>284</v>
      </c>
      <c r="B1263" t="s">
        <v>25</v>
      </c>
      <c r="C1263">
        <v>700</v>
      </c>
      <c r="D1263">
        <v>0</v>
      </c>
      <c r="E1263" t="s">
        <v>26</v>
      </c>
      <c r="F1263" t="s">
        <v>26</v>
      </c>
      <c r="G1263" t="str">
        <f>"2025-06-11 09:30:17.535"</f>
        <v>2025-06-11 09:30:17.535</v>
      </c>
      <c r="H1263" t="s">
        <v>22</v>
      </c>
      <c r="I1263">
        <v>0</v>
      </c>
      <c r="J1263" t="s">
        <v>27</v>
      </c>
    </row>
    <row r="1264" spans="1:10" x14ac:dyDescent="0.25">
      <c r="A1264" s="1">
        <v>285</v>
      </c>
      <c r="B1264" t="s">
        <v>19</v>
      </c>
      <c r="C1264">
        <v>635</v>
      </c>
      <c r="D1264">
        <v>1</v>
      </c>
      <c r="E1264" t="s">
        <v>28</v>
      </c>
      <c r="F1264" t="s">
        <v>29</v>
      </c>
      <c r="G1264" t="str">
        <f>"2025-06-11 00:28:23.749"</f>
        <v>2025-06-11 00:28:23.749</v>
      </c>
      <c r="H1264" t="s">
        <v>22</v>
      </c>
    </row>
    <row r="1265" spans="1:10" x14ac:dyDescent="0.25">
      <c r="A1265" s="1">
        <v>286</v>
      </c>
      <c r="B1265" t="s">
        <v>23</v>
      </c>
      <c r="C1265">
        <v>635</v>
      </c>
      <c r="D1265">
        <v>1</v>
      </c>
      <c r="E1265" t="s">
        <v>28</v>
      </c>
      <c r="F1265" t="s">
        <v>29</v>
      </c>
      <c r="G1265" t="str">
        <f>"2025-06-11 00:21:13.250"</f>
        <v>2025-06-11 00:21:13.250</v>
      </c>
      <c r="H1265" t="s">
        <v>22</v>
      </c>
      <c r="I1265">
        <v>5.41</v>
      </c>
      <c r="J1265" t="s">
        <v>30</v>
      </c>
    </row>
    <row r="1266" spans="1:10" x14ac:dyDescent="0.25">
      <c r="A1266" s="1">
        <v>287</v>
      </c>
      <c r="B1266" t="s">
        <v>25</v>
      </c>
      <c r="C1266">
        <v>700</v>
      </c>
      <c r="D1266">
        <v>0</v>
      </c>
      <c r="E1266" t="s">
        <v>26</v>
      </c>
      <c r="F1266" t="s">
        <v>26</v>
      </c>
      <c r="G1266" t="str">
        <f>"2025-06-10 10:01:49.732"</f>
        <v>2025-06-10 10:01:49.732</v>
      </c>
      <c r="H1266" t="s">
        <v>22</v>
      </c>
      <c r="I1266">
        <v>0</v>
      </c>
      <c r="J1266" t="s">
        <v>27</v>
      </c>
    </row>
    <row r="1267" spans="1:10" x14ac:dyDescent="0.25">
      <c r="A1267" s="1">
        <v>288</v>
      </c>
      <c r="B1267" t="s">
        <v>19</v>
      </c>
      <c r="C1267">
        <v>635</v>
      </c>
      <c r="D1267">
        <v>1</v>
      </c>
      <c r="E1267" t="s">
        <v>28</v>
      </c>
      <c r="F1267" t="s">
        <v>29</v>
      </c>
      <c r="G1267" t="str">
        <f>"2025-06-10 05:44:26.769"</f>
        <v>2025-06-10 05:44:26.769</v>
      </c>
      <c r="H1267" t="s">
        <v>22</v>
      </c>
    </row>
    <row r="1268" spans="1:10" x14ac:dyDescent="0.25">
      <c r="A1268" s="1">
        <v>289</v>
      </c>
      <c r="B1268" t="s">
        <v>23</v>
      </c>
      <c r="C1268">
        <v>635</v>
      </c>
      <c r="D1268">
        <v>1</v>
      </c>
      <c r="E1268" t="s">
        <v>28</v>
      </c>
      <c r="F1268" t="s">
        <v>29</v>
      </c>
      <c r="G1268" t="str">
        <f>"2025-06-10 05:37:26.769"</f>
        <v>2025-06-10 05:37:26.769</v>
      </c>
      <c r="H1268" t="s">
        <v>22</v>
      </c>
      <c r="I1268">
        <v>0.82</v>
      </c>
      <c r="J1268" t="s">
        <v>30</v>
      </c>
    </row>
    <row r="1269" spans="1:10" x14ac:dyDescent="0.25">
      <c r="A1269" s="1">
        <v>290</v>
      </c>
      <c r="B1269" t="s">
        <v>25</v>
      </c>
      <c r="C1269">
        <v>700</v>
      </c>
      <c r="D1269">
        <v>0</v>
      </c>
      <c r="E1269" t="s">
        <v>26</v>
      </c>
      <c r="F1269" t="s">
        <v>26</v>
      </c>
      <c r="G1269" t="str">
        <f>"2025-06-09 10:16:28.498"</f>
        <v>2025-06-09 10:16:28.498</v>
      </c>
      <c r="H1269" t="s">
        <v>22</v>
      </c>
      <c r="I1269">
        <v>0</v>
      </c>
      <c r="J1269" t="s">
        <v>27</v>
      </c>
    </row>
    <row r="1270" spans="1:10" s="3" customFormat="1" x14ac:dyDescent="0.25">
      <c r="A1270" s="2">
        <v>291</v>
      </c>
      <c r="B1270" s="3" t="s">
        <v>19</v>
      </c>
      <c r="C1270" s="3">
        <v>647</v>
      </c>
      <c r="D1270" s="3">
        <v>1</v>
      </c>
      <c r="E1270" s="3" t="s">
        <v>49</v>
      </c>
      <c r="F1270" s="3" t="s">
        <v>50</v>
      </c>
      <c r="G1270" s="3" t="str">
        <f>"2025-06-09 06:56:21.458"</f>
        <v>2025-06-09 06:56:21.458</v>
      </c>
      <c r="H1270" s="3" t="s">
        <v>22</v>
      </c>
    </row>
    <row r="1271" spans="1:10" s="3" customFormat="1" x14ac:dyDescent="0.25">
      <c r="A1271" s="2">
        <v>292</v>
      </c>
      <c r="B1271" s="3" t="s">
        <v>23</v>
      </c>
      <c r="C1271" s="3">
        <v>647</v>
      </c>
      <c r="D1271" s="3">
        <v>1</v>
      </c>
      <c r="E1271" s="3" t="s">
        <v>49</v>
      </c>
      <c r="F1271" s="3" t="s">
        <v>50</v>
      </c>
      <c r="G1271" s="3" t="str">
        <f>"2025-06-09 06:56:15.358"</f>
        <v>2025-06-09 06:56:15.358</v>
      </c>
      <c r="H1271" s="3" t="s">
        <v>22</v>
      </c>
      <c r="I1271" s="3">
        <v>14.67</v>
      </c>
      <c r="J1271" s="3" t="s">
        <v>31</v>
      </c>
    </row>
    <row r="1272" spans="1:10" s="3" customFormat="1" x14ac:dyDescent="0.25">
      <c r="A1272" s="2">
        <v>293</v>
      </c>
      <c r="B1272" s="3" t="s">
        <v>19</v>
      </c>
      <c r="C1272" s="3">
        <v>647</v>
      </c>
      <c r="D1272" s="3">
        <v>1</v>
      </c>
      <c r="E1272" s="3" t="s">
        <v>49</v>
      </c>
      <c r="F1272" s="3" t="s">
        <v>50</v>
      </c>
      <c r="G1272" s="3" t="str">
        <f>"2025-06-09 03:04:03.259"</f>
        <v>2025-06-09 03:04:03.259</v>
      </c>
      <c r="H1272" s="3" t="s">
        <v>22</v>
      </c>
    </row>
    <row r="1273" spans="1:10" s="3" customFormat="1" x14ac:dyDescent="0.25">
      <c r="A1273" s="2">
        <v>294</v>
      </c>
      <c r="B1273" s="3" t="s">
        <v>23</v>
      </c>
      <c r="C1273" s="3">
        <v>647</v>
      </c>
      <c r="D1273" s="3">
        <v>1</v>
      </c>
      <c r="E1273" s="3" t="s">
        <v>49</v>
      </c>
      <c r="F1273" s="3" t="s">
        <v>50</v>
      </c>
      <c r="G1273" s="3" t="str">
        <f>"2025-06-09 03:03:59.959"</f>
        <v>2025-06-09 03:03:59.959</v>
      </c>
      <c r="H1273" s="3" t="s">
        <v>22</v>
      </c>
      <c r="I1273" s="3">
        <v>14.01</v>
      </c>
      <c r="J1273" s="3" t="s">
        <v>31</v>
      </c>
    </row>
    <row r="1274" spans="1:10" x14ac:dyDescent="0.25">
      <c r="A1274" s="1">
        <v>295</v>
      </c>
      <c r="B1274" t="s">
        <v>19</v>
      </c>
      <c r="C1274">
        <v>635</v>
      </c>
      <c r="D1274">
        <v>1</v>
      </c>
      <c r="E1274" t="s">
        <v>28</v>
      </c>
      <c r="F1274" t="s">
        <v>29</v>
      </c>
      <c r="G1274" t="str">
        <f>"2025-06-09 00:06:37.159"</f>
        <v>2025-06-09 00:06:37.159</v>
      </c>
      <c r="H1274" t="s">
        <v>22</v>
      </c>
    </row>
    <row r="1275" spans="1:10" s="3" customFormat="1" x14ac:dyDescent="0.25">
      <c r="A1275" s="2">
        <v>296</v>
      </c>
      <c r="B1275" s="3" t="s">
        <v>19</v>
      </c>
      <c r="C1275" s="3">
        <v>647</v>
      </c>
      <c r="D1275" s="3">
        <v>1</v>
      </c>
      <c r="E1275" s="3" t="s">
        <v>49</v>
      </c>
      <c r="F1275" s="3" t="s">
        <v>50</v>
      </c>
      <c r="G1275" s="3" t="str">
        <f>"2025-06-09 00:02:47.359"</f>
        <v>2025-06-09 00:02:47.359</v>
      </c>
      <c r="H1275" s="3" t="s">
        <v>22</v>
      </c>
    </row>
    <row r="1276" spans="1:10" s="3" customFormat="1" x14ac:dyDescent="0.25">
      <c r="A1276" s="2">
        <v>297</v>
      </c>
      <c r="B1276" s="3" t="s">
        <v>23</v>
      </c>
      <c r="C1276" s="3">
        <v>647</v>
      </c>
      <c r="D1276" s="3">
        <v>1</v>
      </c>
      <c r="E1276" s="3" t="s">
        <v>49</v>
      </c>
      <c r="F1276" s="3" t="s">
        <v>50</v>
      </c>
      <c r="G1276" s="3" t="str">
        <f>"2025-06-09 00:02:30.259"</f>
        <v>2025-06-09 00:02:30.259</v>
      </c>
      <c r="H1276" s="3" t="s">
        <v>22</v>
      </c>
      <c r="I1276" s="3">
        <v>8.75</v>
      </c>
      <c r="J1276" s="3" t="s">
        <v>31</v>
      </c>
    </row>
    <row r="1277" spans="1:10" x14ac:dyDescent="0.25">
      <c r="A1277" s="1">
        <v>298</v>
      </c>
      <c r="B1277" t="s">
        <v>23</v>
      </c>
      <c r="C1277">
        <v>635</v>
      </c>
      <c r="D1277">
        <v>1</v>
      </c>
      <c r="E1277" t="s">
        <v>28</v>
      </c>
      <c r="F1277" t="s">
        <v>29</v>
      </c>
      <c r="G1277" t="str">
        <f>"2025-06-08 23:56:49.159"</f>
        <v>2025-06-08 23:56:49.159</v>
      </c>
      <c r="H1277" t="s">
        <v>22</v>
      </c>
      <c r="I1277">
        <v>1.05</v>
      </c>
      <c r="J1277" t="s">
        <v>30</v>
      </c>
    </row>
    <row r="1278" spans="1:10" x14ac:dyDescent="0.25">
      <c r="A1278" s="1">
        <v>299</v>
      </c>
      <c r="B1278" t="s">
        <v>25</v>
      </c>
      <c r="C1278">
        <v>700</v>
      </c>
      <c r="D1278">
        <v>0</v>
      </c>
      <c r="E1278" t="s">
        <v>26</v>
      </c>
      <c r="F1278" t="s">
        <v>26</v>
      </c>
      <c r="G1278" t="str">
        <f>"2025-06-06 16:43:02.482"</f>
        <v>2025-06-06 16:43:02.482</v>
      </c>
      <c r="H1278" t="s">
        <v>22</v>
      </c>
    </row>
    <row r="1279" spans="1:10" x14ac:dyDescent="0.25">
      <c r="A1279" s="1">
        <v>300</v>
      </c>
      <c r="B1279" t="s">
        <v>19</v>
      </c>
      <c r="C1279">
        <v>635</v>
      </c>
      <c r="D1279">
        <v>1</v>
      </c>
      <c r="E1279" t="s">
        <v>28</v>
      </c>
      <c r="F1279" t="s">
        <v>29</v>
      </c>
      <c r="G1279" t="str">
        <f>"2025-06-06 02:49:52.595"</f>
        <v>2025-06-06 02:49:52.595</v>
      </c>
      <c r="H1279" t="s">
        <v>22</v>
      </c>
    </row>
    <row r="1280" spans="1:10" x14ac:dyDescent="0.25">
      <c r="A1280" s="1">
        <v>301</v>
      </c>
      <c r="B1280" t="s">
        <v>23</v>
      </c>
      <c r="C1280">
        <v>635</v>
      </c>
      <c r="D1280">
        <v>1</v>
      </c>
      <c r="E1280" t="s">
        <v>28</v>
      </c>
      <c r="F1280" t="s">
        <v>29</v>
      </c>
      <c r="G1280" t="str">
        <f>"2025-06-06 02:40:03.095"</f>
        <v>2025-06-06 02:40:03.095</v>
      </c>
      <c r="H1280" t="s">
        <v>22</v>
      </c>
      <c r="I1280">
        <v>1.65</v>
      </c>
      <c r="J1280" t="s">
        <v>30</v>
      </c>
    </row>
    <row r="1281" spans="1:10" x14ac:dyDescent="0.25">
      <c r="A1281" s="1">
        <v>302</v>
      </c>
      <c r="B1281" t="s">
        <v>25</v>
      </c>
      <c r="C1281">
        <v>700</v>
      </c>
      <c r="D1281">
        <v>0</v>
      </c>
      <c r="E1281" t="s">
        <v>26</v>
      </c>
      <c r="F1281" t="s">
        <v>26</v>
      </c>
      <c r="G1281" t="str">
        <f>"2025-06-05 23:25:30.505"</f>
        <v>2025-06-05 23:25:30.505</v>
      </c>
      <c r="H1281" t="s">
        <v>22</v>
      </c>
    </row>
    <row r="1282" spans="1:10" x14ac:dyDescent="0.25">
      <c r="A1282" s="1">
        <v>303</v>
      </c>
      <c r="B1282" t="s">
        <v>25</v>
      </c>
      <c r="C1282">
        <v>700</v>
      </c>
      <c r="D1282">
        <v>0</v>
      </c>
      <c r="E1282" t="s">
        <v>26</v>
      </c>
      <c r="F1282" t="s">
        <v>26</v>
      </c>
      <c r="G1282" t="str">
        <f>"2025-06-05 13:27:08.512"</f>
        <v>2025-06-05 13:27:08.512</v>
      </c>
      <c r="H1282" t="s">
        <v>22</v>
      </c>
    </row>
    <row r="1283" spans="1:10" x14ac:dyDescent="0.25">
      <c r="A1283" s="1">
        <v>304</v>
      </c>
      <c r="B1283" t="s">
        <v>19</v>
      </c>
      <c r="C1283">
        <v>635</v>
      </c>
      <c r="D1283">
        <v>1</v>
      </c>
      <c r="E1283" t="s">
        <v>28</v>
      </c>
      <c r="F1283" t="s">
        <v>29</v>
      </c>
      <c r="G1283" t="str">
        <f>"2025-06-05 11:48:59.328"</f>
        <v>2025-06-05 11:48:59.328</v>
      </c>
      <c r="H1283" t="s">
        <v>22</v>
      </c>
    </row>
    <row r="1284" spans="1:10" x14ac:dyDescent="0.25">
      <c r="A1284" s="1">
        <v>305</v>
      </c>
      <c r="B1284" t="s">
        <v>23</v>
      </c>
      <c r="C1284">
        <v>635</v>
      </c>
      <c r="D1284">
        <v>1</v>
      </c>
      <c r="E1284" t="s">
        <v>28</v>
      </c>
      <c r="F1284" t="s">
        <v>29</v>
      </c>
      <c r="G1284" t="str">
        <f>"2025-06-05 11:39:45.328"</f>
        <v>2025-06-05 11:39:45.328</v>
      </c>
      <c r="H1284" t="s">
        <v>22</v>
      </c>
      <c r="I1284">
        <v>6.69</v>
      </c>
      <c r="J1284" t="s">
        <v>30</v>
      </c>
    </row>
    <row r="1285" spans="1:10" x14ac:dyDescent="0.25">
      <c r="A1285" s="1">
        <v>306</v>
      </c>
      <c r="B1285" t="s">
        <v>19</v>
      </c>
      <c r="C1285">
        <v>635</v>
      </c>
      <c r="D1285">
        <v>1</v>
      </c>
      <c r="E1285" t="s">
        <v>28</v>
      </c>
      <c r="F1285" t="s">
        <v>29</v>
      </c>
      <c r="G1285" t="str">
        <f>"2025-06-05 07:28:10.328"</f>
        <v>2025-06-05 07:28:10.328</v>
      </c>
      <c r="H1285" t="s">
        <v>22</v>
      </c>
    </row>
    <row r="1286" spans="1:10" x14ac:dyDescent="0.25">
      <c r="A1286" s="1">
        <v>307</v>
      </c>
      <c r="B1286" t="s">
        <v>23</v>
      </c>
      <c r="C1286">
        <v>635</v>
      </c>
      <c r="D1286">
        <v>1</v>
      </c>
      <c r="E1286" t="s">
        <v>28</v>
      </c>
      <c r="F1286" t="s">
        <v>29</v>
      </c>
      <c r="G1286" t="str">
        <f>"2025-06-05 07:24:55.828"</f>
        <v>2025-06-05 07:24:55.828</v>
      </c>
      <c r="H1286" t="s">
        <v>22</v>
      </c>
      <c r="I1286">
        <v>1.08</v>
      </c>
      <c r="J1286" t="s">
        <v>31</v>
      </c>
    </row>
    <row r="1287" spans="1:10" x14ac:dyDescent="0.25">
      <c r="A1287" s="1">
        <v>308</v>
      </c>
      <c r="B1287" t="s">
        <v>19</v>
      </c>
      <c r="C1287">
        <v>630</v>
      </c>
      <c r="D1287">
        <v>5</v>
      </c>
      <c r="E1287" t="s">
        <v>32</v>
      </c>
      <c r="F1287" t="s">
        <v>33</v>
      </c>
      <c r="G1287" t="str">
        <f>"2025-06-04 23:23:28.582"</f>
        <v>2025-06-04 23:23:28.582</v>
      </c>
      <c r="H1287" t="s">
        <v>34</v>
      </c>
    </row>
    <row r="1288" spans="1:10" x14ac:dyDescent="0.25">
      <c r="A1288" s="1">
        <v>309</v>
      </c>
      <c r="B1288" t="s">
        <v>25</v>
      </c>
      <c r="C1288">
        <v>706</v>
      </c>
      <c r="D1288">
        <v>4</v>
      </c>
      <c r="E1288" t="s">
        <v>35</v>
      </c>
      <c r="F1288" t="s">
        <v>36</v>
      </c>
      <c r="G1288" t="str">
        <f>"2025-06-04 23:22:58.566"</f>
        <v>2025-06-04 23:22:58.566</v>
      </c>
      <c r="H1288" t="s">
        <v>22</v>
      </c>
      <c r="I1288">
        <v>0</v>
      </c>
      <c r="J1288" t="s">
        <v>24</v>
      </c>
    </row>
    <row r="1289" spans="1:10" x14ac:dyDescent="0.25">
      <c r="A1289" s="1">
        <v>310</v>
      </c>
      <c r="B1289" t="s">
        <v>37</v>
      </c>
      <c r="C1289">
        <v>630</v>
      </c>
      <c r="D1289">
        <v>5</v>
      </c>
      <c r="E1289" t="s">
        <v>32</v>
      </c>
      <c r="F1289" t="s">
        <v>33</v>
      </c>
      <c r="G1289" t="str">
        <f>"2025-06-04 23:20:27.782"</f>
        <v>2025-06-04 23:20:27.782</v>
      </c>
      <c r="H1289" t="s">
        <v>34</v>
      </c>
      <c r="I1289">
        <v>0</v>
      </c>
      <c r="J1289" t="s">
        <v>24</v>
      </c>
    </row>
    <row r="1290" spans="1:10" x14ac:dyDescent="0.25">
      <c r="A1290" s="1">
        <v>311</v>
      </c>
      <c r="B1290" t="s">
        <v>25</v>
      </c>
      <c r="C1290">
        <v>700</v>
      </c>
      <c r="D1290">
        <v>0</v>
      </c>
      <c r="E1290" t="s">
        <v>26</v>
      </c>
      <c r="F1290" t="s">
        <v>26</v>
      </c>
      <c r="G1290" t="str">
        <f>"2025-06-04 17:18:27.486"</f>
        <v>2025-06-04 17:18:27.486</v>
      </c>
      <c r="H1290" t="s">
        <v>22</v>
      </c>
      <c r="I1290">
        <v>0</v>
      </c>
      <c r="J1290" t="s">
        <v>27</v>
      </c>
    </row>
    <row r="1291" spans="1:10" x14ac:dyDescent="0.25">
      <c r="A1291" s="1">
        <v>312</v>
      </c>
      <c r="B1291" t="s">
        <v>25</v>
      </c>
      <c r="C1291">
        <v>706</v>
      </c>
      <c r="D1291">
        <v>4</v>
      </c>
      <c r="E1291" t="s">
        <v>35</v>
      </c>
      <c r="F1291" t="s">
        <v>36</v>
      </c>
      <c r="G1291" t="str">
        <f>"2025-06-04 16:24:47.053"</f>
        <v>2025-06-04 16:24:47.053</v>
      </c>
      <c r="H1291" t="s">
        <v>22</v>
      </c>
      <c r="I1291">
        <v>0</v>
      </c>
      <c r="J1291" t="s">
        <v>24</v>
      </c>
    </row>
    <row r="1292" spans="1:10" x14ac:dyDescent="0.25">
      <c r="A1292" s="1">
        <v>313</v>
      </c>
      <c r="B1292" t="s">
        <v>25</v>
      </c>
      <c r="C1292">
        <v>700</v>
      </c>
      <c r="D1292">
        <v>0</v>
      </c>
      <c r="E1292" t="s">
        <v>26</v>
      </c>
      <c r="F1292" t="s">
        <v>26</v>
      </c>
      <c r="G1292" t="str">
        <f>"2025-06-04 16:20:05.483"</f>
        <v>2025-06-04 16:20:05.483</v>
      </c>
      <c r="H1292" t="s">
        <v>22</v>
      </c>
      <c r="I1292">
        <v>0</v>
      </c>
      <c r="J1292" t="s">
        <v>27</v>
      </c>
    </row>
    <row r="1293" spans="1:10" x14ac:dyDescent="0.25">
      <c r="A1293" s="1">
        <v>314</v>
      </c>
      <c r="B1293" t="s">
        <v>37</v>
      </c>
      <c r="C1293">
        <v>630</v>
      </c>
      <c r="D1293">
        <v>5</v>
      </c>
      <c r="E1293" t="s">
        <v>32</v>
      </c>
      <c r="F1293" t="s">
        <v>33</v>
      </c>
      <c r="G1293" t="str">
        <f>"2025-06-04 16:07:18.260"</f>
        <v>2025-06-04 16:07:18.260</v>
      </c>
      <c r="H1293" t="s">
        <v>34</v>
      </c>
      <c r="I1293">
        <v>0</v>
      </c>
      <c r="J1293" t="s">
        <v>24</v>
      </c>
    </row>
    <row r="1294" spans="1:10" x14ac:dyDescent="0.25">
      <c r="A1294" s="1">
        <v>315</v>
      </c>
      <c r="B1294" t="s">
        <v>25</v>
      </c>
      <c r="C1294">
        <v>719</v>
      </c>
      <c r="D1294">
        <v>5</v>
      </c>
      <c r="E1294" t="s">
        <v>66</v>
      </c>
      <c r="F1294" t="s">
        <v>67</v>
      </c>
      <c r="G1294" t="str">
        <f>"2025-06-04 16:06:30.134"</f>
        <v>2025-06-04 16:06:30.134</v>
      </c>
      <c r="H1294" t="s">
        <v>22</v>
      </c>
      <c r="I1294">
        <v>0</v>
      </c>
      <c r="J1294" t="s">
        <v>24</v>
      </c>
    </row>
    <row r="1295" spans="1:10" x14ac:dyDescent="0.25">
      <c r="A1295" s="1">
        <v>316</v>
      </c>
      <c r="B1295" t="s">
        <v>25</v>
      </c>
      <c r="C1295">
        <v>719</v>
      </c>
      <c r="D1295">
        <v>5</v>
      </c>
      <c r="E1295" t="s">
        <v>66</v>
      </c>
      <c r="F1295" t="s">
        <v>67</v>
      </c>
      <c r="G1295" t="str">
        <f>"2025-06-04 16:05:00.551"</f>
        <v>2025-06-04 16:05:00.551</v>
      </c>
      <c r="H1295" t="s">
        <v>22</v>
      </c>
      <c r="I1295">
        <v>0</v>
      </c>
      <c r="J1295" t="s">
        <v>24</v>
      </c>
    </row>
    <row r="1296" spans="1:10" x14ac:dyDescent="0.25">
      <c r="A1296" s="1">
        <v>317</v>
      </c>
      <c r="B1296" t="s">
        <v>25</v>
      </c>
      <c r="C1296">
        <v>700</v>
      </c>
      <c r="D1296">
        <v>0</v>
      </c>
      <c r="E1296" t="s">
        <v>26</v>
      </c>
      <c r="F1296" t="s">
        <v>26</v>
      </c>
      <c r="G1296" t="str">
        <f>"2025-06-04 15:58:36.489"</f>
        <v>2025-06-04 15:58:36.489</v>
      </c>
      <c r="H1296" t="s">
        <v>22</v>
      </c>
      <c r="I1296">
        <v>0</v>
      </c>
      <c r="J1296" t="s">
        <v>27</v>
      </c>
    </row>
    <row r="1297" spans="1:10" x14ac:dyDescent="0.25">
      <c r="A1297" s="1">
        <v>318</v>
      </c>
      <c r="B1297" t="s">
        <v>37</v>
      </c>
      <c r="C1297">
        <v>630</v>
      </c>
      <c r="D1297">
        <v>5</v>
      </c>
      <c r="E1297" t="s">
        <v>32</v>
      </c>
      <c r="F1297" t="s">
        <v>33</v>
      </c>
      <c r="G1297" t="str">
        <f>"2025-06-04 14:48:52.373"</f>
        <v>2025-06-04 14:48:52.373</v>
      </c>
      <c r="H1297" t="s">
        <v>34</v>
      </c>
      <c r="I1297">
        <v>0</v>
      </c>
      <c r="J1297" t="s">
        <v>24</v>
      </c>
    </row>
    <row r="1298" spans="1:10" x14ac:dyDescent="0.25">
      <c r="A1298" s="1">
        <v>319</v>
      </c>
      <c r="B1298" t="s">
        <v>25</v>
      </c>
      <c r="C1298">
        <v>700</v>
      </c>
      <c r="D1298">
        <v>0</v>
      </c>
      <c r="E1298" t="s">
        <v>26</v>
      </c>
      <c r="F1298" t="s">
        <v>26</v>
      </c>
      <c r="G1298" t="str">
        <f>"2025-06-04 14:43:49.590"</f>
        <v>2025-06-04 14:43:49.590</v>
      </c>
      <c r="H1298" t="s">
        <v>22</v>
      </c>
      <c r="I1298">
        <v>0</v>
      </c>
      <c r="J1298" t="s">
        <v>27</v>
      </c>
    </row>
    <row r="1299" spans="1:10" x14ac:dyDescent="0.25">
      <c r="A1299" s="1">
        <v>320</v>
      </c>
      <c r="B1299" t="s">
        <v>19</v>
      </c>
      <c r="C1299">
        <v>635</v>
      </c>
      <c r="D1299">
        <v>1</v>
      </c>
      <c r="E1299" t="s">
        <v>28</v>
      </c>
      <c r="F1299" t="s">
        <v>29</v>
      </c>
      <c r="G1299" t="str">
        <f>"2025-06-04 00:53:35.607"</f>
        <v>2025-06-04 00:53:35.607</v>
      </c>
      <c r="H1299" t="s">
        <v>22</v>
      </c>
    </row>
    <row r="1300" spans="1:10" x14ac:dyDescent="0.25">
      <c r="A1300" s="1">
        <v>321</v>
      </c>
      <c r="B1300" t="s">
        <v>23</v>
      </c>
      <c r="C1300">
        <v>635</v>
      </c>
      <c r="D1300">
        <v>1</v>
      </c>
      <c r="E1300" t="s">
        <v>28</v>
      </c>
      <c r="F1300" t="s">
        <v>29</v>
      </c>
      <c r="G1300" t="str">
        <f>"2025-06-04 00:50:57.607"</f>
        <v>2025-06-04 00:50:57.607</v>
      </c>
      <c r="H1300" t="s">
        <v>22</v>
      </c>
      <c r="I1300">
        <v>2.23</v>
      </c>
      <c r="J1300" t="s">
        <v>30</v>
      </c>
    </row>
    <row r="1301" spans="1:10" x14ac:dyDescent="0.25">
      <c r="A1301" s="1">
        <v>322</v>
      </c>
      <c r="B1301" t="s">
        <v>25</v>
      </c>
      <c r="C1301">
        <v>700</v>
      </c>
      <c r="D1301">
        <v>0</v>
      </c>
      <c r="E1301" t="s">
        <v>26</v>
      </c>
      <c r="F1301" t="s">
        <v>26</v>
      </c>
      <c r="G1301" t="str">
        <f>"2025-06-03 09:15:34.476"</f>
        <v>2025-06-03 09:15:34.476</v>
      </c>
      <c r="H1301" t="s">
        <v>22</v>
      </c>
      <c r="I1301">
        <v>0</v>
      </c>
      <c r="J1301" t="s">
        <v>27</v>
      </c>
    </row>
    <row r="1302" spans="1:10" x14ac:dyDescent="0.25">
      <c r="A1302" s="1">
        <v>323</v>
      </c>
      <c r="B1302" t="s">
        <v>19</v>
      </c>
      <c r="C1302">
        <v>635</v>
      </c>
      <c r="D1302">
        <v>1</v>
      </c>
      <c r="E1302" t="s">
        <v>28</v>
      </c>
      <c r="F1302" t="s">
        <v>29</v>
      </c>
      <c r="G1302" t="str">
        <f>"2025-06-02 18:37:06.158"</f>
        <v>2025-06-02 18:37:06.158</v>
      </c>
      <c r="H1302" t="s">
        <v>22</v>
      </c>
    </row>
    <row r="1303" spans="1:10" x14ac:dyDescent="0.25">
      <c r="A1303" s="1">
        <v>324</v>
      </c>
      <c r="B1303" t="s">
        <v>23</v>
      </c>
      <c r="C1303">
        <v>635</v>
      </c>
      <c r="D1303">
        <v>1</v>
      </c>
      <c r="E1303" t="s">
        <v>28</v>
      </c>
      <c r="F1303" t="s">
        <v>29</v>
      </c>
      <c r="G1303" t="str">
        <f>"2025-06-02 18:28:38.658"</f>
        <v>2025-06-02 18:28:38.658</v>
      </c>
      <c r="H1303" t="s">
        <v>22</v>
      </c>
      <c r="I1303">
        <v>8.09</v>
      </c>
      <c r="J1303" t="s">
        <v>30</v>
      </c>
    </row>
    <row r="1304" spans="1:10" x14ac:dyDescent="0.25">
      <c r="A1304" s="1">
        <v>325</v>
      </c>
      <c r="B1304" t="s">
        <v>25</v>
      </c>
      <c r="C1304">
        <v>700</v>
      </c>
      <c r="D1304">
        <v>0</v>
      </c>
      <c r="E1304" t="s">
        <v>26</v>
      </c>
      <c r="F1304" t="s">
        <v>26</v>
      </c>
      <c r="G1304" t="str">
        <f>"2025-06-02 11:31:56.467"</f>
        <v>2025-06-02 11:31:56.467</v>
      </c>
      <c r="H1304" t="s">
        <v>22</v>
      </c>
    </row>
    <row r="1305" spans="1:10" x14ac:dyDescent="0.25">
      <c r="A1305" s="1">
        <v>326</v>
      </c>
      <c r="B1305" t="s">
        <v>42</v>
      </c>
      <c r="C1305">
        <v>215</v>
      </c>
      <c r="D1305">
        <v>9</v>
      </c>
      <c r="E1305" t="s">
        <v>70</v>
      </c>
      <c r="F1305" t="s">
        <v>71</v>
      </c>
      <c r="G1305" t="str">
        <f>"2025-06-02 05:23:48.178"</f>
        <v>2025-06-02 05:23:48.178</v>
      </c>
      <c r="H1305" t="s">
        <v>22</v>
      </c>
    </row>
    <row r="1306" spans="1:10" x14ac:dyDescent="0.25">
      <c r="A1306" s="1">
        <v>327</v>
      </c>
      <c r="B1306" t="s">
        <v>37</v>
      </c>
      <c r="C1306">
        <v>215</v>
      </c>
      <c r="D1306">
        <v>9</v>
      </c>
      <c r="E1306" t="s">
        <v>70</v>
      </c>
      <c r="F1306" t="s">
        <v>71</v>
      </c>
      <c r="G1306" t="str">
        <f>"2025-06-02 05:23:43.103"</f>
        <v>2025-06-02 05:23:43.103</v>
      </c>
      <c r="H1306" t="s">
        <v>22</v>
      </c>
      <c r="I1306">
        <v>16.25</v>
      </c>
      <c r="J1306" t="s">
        <v>30</v>
      </c>
    </row>
    <row r="1307" spans="1:10" x14ac:dyDescent="0.25">
      <c r="A1307" s="1">
        <v>328</v>
      </c>
      <c r="B1307" t="s">
        <v>25</v>
      </c>
      <c r="C1307">
        <v>700</v>
      </c>
      <c r="D1307">
        <v>0</v>
      </c>
      <c r="E1307" t="s">
        <v>26</v>
      </c>
      <c r="F1307" t="s">
        <v>26</v>
      </c>
      <c r="G1307" t="str">
        <f>"2025-06-01 10:38:53.604"</f>
        <v>2025-06-01 10:38:53.604</v>
      </c>
      <c r="H1307" t="s">
        <v>22</v>
      </c>
      <c r="I1307">
        <v>0</v>
      </c>
      <c r="J1307" t="s">
        <v>27</v>
      </c>
    </row>
    <row r="1308" spans="1:10" x14ac:dyDescent="0.25">
      <c r="A1308" s="1">
        <v>329</v>
      </c>
      <c r="B1308" t="s">
        <v>19</v>
      </c>
      <c r="C1308">
        <v>635</v>
      </c>
      <c r="D1308">
        <v>1</v>
      </c>
      <c r="E1308" t="s">
        <v>28</v>
      </c>
      <c r="F1308" t="s">
        <v>29</v>
      </c>
      <c r="G1308" t="str">
        <f>"2025-06-01 10:19:23.440"</f>
        <v>2025-06-01 10:19:23.440</v>
      </c>
      <c r="H1308" t="s">
        <v>22</v>
      </c>
    </row>
    <row r="1309" spans="1:10" x14ac:dyDescent="0.25">
      <c r="A1309" s="1">
        <v>330</v>
      </c>
      <c r="B1309" t="s">
        <v>23</v>
      </c>
      <c r="C1309">
        <v>635</v>
      </c>
      <c r="D1309">
        <v>1</v>
      </c>
      <c r="E1309" t="s">
        <v>28</v>
      </c>
      <c r="F1309" t="s">
        <v>29</v>
      </c>
      <c r="G1309" t="str">
        <f>"2025-06-01 10:06:04.940"</f>
        <v>2025-06-01 10:06:04.940</v>
      </c>
      <c r="H1309" t="s">
        <v>22</v>
      </c>
      <c r="I1309">
        <v>3.93</v>
      </c>
      <c r="J1309" t="s">
        <v>30</v>
      </c>
    </row>
    <row r="1310" spans="1:10" x14ac:dyDescent="0.25">
      <c r="A1310" s="1">
        <v>331</v>
      </c>
      <c r="B1310" t="s">
        <v>19</v>
      </c>
      <c r="C1310">
        <v>635</v>
      </c>
      <c r="D1310">
        <v>1</v>
      </c>
      <c r="E1310" t="s">
        <v>28</v>
      </c>
      <c r="F1310" t="s">
        <v>29</v>
      </c>
      <c r="G1310" t="str">
        <f>"2025-06-01 09:12:20.040"</f>
        <v>2025-06-01 09:12:20.040</v>
      </c>
      <c r="H1310" t="s">
        <v>22</v>
      </c>
    </row>
    <row r="1311" spans="1:10" x14ac:dyDescent="0.25">
      <c r="A1311" s="1">
        <v>332</v>
      </c>
      <c r="B1311" t="s">
        <v>23</v>
      </c>
      <c r="C1311">
        <v>635</v>
      </c>
      <c r="D1311">
        <v>1</v>
      </c>
      <c r="E1311" t="s">
        <v>28</v>
      </c>
      <c r="F1311" t="s">
        <v>29</v>
      </c>
      <c r="G1311" t="str">
        <f>"2025-06-01 08:59:33.040"</f>
        <v>2025-06-01 08:59:33.040</v>
      </c>
      <c r="H1311" t="s">
        <v>22</v>
      </c>
      <c r="I1311">
        <v>5.57</v>
      </c>
      <c r="J1311" t="s">
        <v>30</v>
      </c>
    </row>
    <row r="1312" spans="1:10" x14ac:dyDescent="0.25">
      <c r="A1312" s="1">
        <v>333</v>
      </c>
      <c r="B1312" t="s">
        <v>25</v>
      </c>
      <c r="C1312">
        <v>706</v>
      </c>
      <c r="D1312">
        <v>2</v>
      </c>
      <c r="E1312" t="s">
        <v>35</v>
      </c>
      <c r="F1312" t="s">
        <v>38</v>
      </c>
      <c r="G1312" t="str">
        <f>"2025-05-31 21:09:25.111"</f>
        <v>2025-05-31 21:09:25.111</v>
      </c>
      <c r="H1312" t="s">
        <v>22</v>
      </c>
      <c r="I1312">
        <v>0</v>
      </c>
      <c r="J1312" t="s">
        <v>24</v>
      </c>
    </row>
    <row r="1313" spans="1:10" x14ac:dyDescent="0.25">
      <c r="A1313" s="1">
        <v>334</v>
      </c>
      <c r="B1313" t="s">
        <v>25</v>
      </c>
      <c r="C1313">
        <v>700</v>
      </c>
      <c r="D1313">
        <v>0</v>
      </c>
      <c r="E1313" t="s">
        <v>26</v>
      </c>
      <c r="F1313" t="s">
        <v>26</v>
      </c>
      <c r="G1313" t="str">
        <f>"2025-05-31 21:07:13.501"</f>
        <v>2025-05-31 21:07:13.501</v>
      </c>
      <c r="H1313" t="s">
        <v>22</v>
      </c>
    </row>
    <row r="1314" spans="1:10" x14ac:dyDescent="0.25">
      <c r="A1314" s="1">
        <v>336</v>
      </c>
      <c r="B1314" t="s">
        <v>25</v>
      </c>
      <c r="C1314">
        <v>700</v>
      </c>
      <c r="D1314">
        <v>0</v>
      </c>
      <c r="E1314" t="s">
        <v>26</v>
      </c>
      <c r="F1314" t="s">
        <v>26</v>
      </c>
      <c r="G1314" t="str">
        <f>"2025-05-31 08:44:58.473"</f>
        <v>2025-05-31 08:44:58.473</v>
      </c>
      <c r="H1314" t="s">
        <v>22</v>
      </c>
    </row>
    <row r="1315" spans="1:10" x14ac:dyDescent="0.25">
      <c r="A1315" s="1">
        <v>337</v>
      </c>
      <c r="B1315" t="s">
        <v>25</v>
      </c>
      <c r="C1315">
        <v>700</v>
      </c>
      <c r="D1315">
        <v>0</v>
      </c>
      <c r="E1315" t="s">
        <v>26</v>
      </c>
      <c r="F1315" t="s">
        <v>26</v>
      </c>
      <c r="G1315" t="str">
        <f>"2025-05-30 08:16:42.496"</f>
        <v>2025-05-30 08:16:42.496</v>
      </c>
      <c r="H1315" t="s">
        <v>22</v>
      </c>
    </row>
    <row r="1316" spans="1:10" x14ac:dyDescent="0.25">
      <c r="A1316" s="1">
        <v>338</v>
      </c>
      <c r="B1316" t="s">
        <v>19</v>
      </c>
      <c r="C1316">
        <v>98</v>
      </c>
      <c r="D1316">
        <v>1</v>
      </c>
      <c r="E1316" t="s">
        <v>46</v>
      </c>
      <c r="F1316" t="s">
        <v>47</v>
      </c>
      <c r="G1316" t="str">
        <f>"2025-05-30 01:08:56.889"</f>
        <v>2025-05-30 01:08:56.889</v>
      </c>
      <c r="H1316" t="s">
        <v>22</v>
      </c>
    </row>
    <row r="1317" spans="1:10" x14ac:dyDescent="0.25">
      <c r="A1317" s="1">
        <v>339</v>
      </c>
      <c r="B1317" t="s">
        <v>23</v>
      </c>
      <c r="C1317">
        <v>98</v>
      </c>
      <c r="D1317">
        <v>1</v>
      </c>
      <c r="E1317" t="s">
        <v>46</v>
      </c>
      <c r="F1317" t="s">
        <v>47</v>
      </c>
      <c r="G1317" t="str">
        <f>"2025-05-30 01:08:55.789"</f>
        <v>2025-05-30 01:08:55.789</v>
      </c>
      <c r="H1317" t="s">
        <v>22</v>
      </c>
      <c r="I1317">
        <v>0</v>
      </c>
      <c r="J1317" t="s">
        <v>48</v>
      </c>
    </row>
    <row r="1318" spans="1:10" x14ac:dyDescent="0.25">
      <c r="A1318" s="1">
        <v>340</v>
      </c>
      <c r="B1318" t="s">
        <v>19</v>
      </c>
      <c r="C1318">
        <v>98</v>
      </c>
      <c r="D1318">
        <v>1</v>
      </c>
      <c r="E1318" t="s">
        <v>46</v>
      </c>
      <c r="F1318" t="s">
        <v>47</v>
      </c>
      <c r="G1318" t="str">
        <f>"2025-05-29 23:07:56.389"</f>
        <v>2025-05-29 23:07:56.389</v>
      </c>
      <c r="H1318" t="s">
        <v>22</v>
      </c>
    </row>
    <row r="1319" spans="1:10" x14ac:dyDescent="0.25">
      <c r="A1319" s="1">
        <v>341</v>
      </c>
      <c r="B1319" t="s">
        <v>23</v>
      </c>
      <c r="C1319">
        <v>98</v>
      </c>
      <c r="D1319">
        <v>1</v>
      </c>
      <c r="E1319" t="s">
        <v>46</v>
      </c>
      <c r="F1319" t="s">
        <v>47</v>
      </c>
      <c r="G1319" t="str">
        <f>"2025-05-29 23:07:54.989"</f>
        <v>2025-05-29 23:07:54.989</v>
      </c>
      <c r="H1319" t="s">
        <v>22</v>
      </c>
      <c r="I1319">
        <v>0</v>
      </c>
      <c r="J1319" t="s">
        <v>48</v>
      </c>
    </row>
    <row r="1320" spans="1:10" x14ac:dyDescent="0.25">
      <c r="A1320" s="1">
        <v>342</v>
      </c>
      <c r="B1320" t="s">
        <v>19</v>
      </c>
      <c r="C1320">
        <v>98</v>
      </c>
      <c r="D1320">
        <v>1</v>
      </c>
      <c r="E1320" t="s">
        <v>46</v>
      </c>
      <c r="F1320" t="s">
        <v>47</v>
      </c>
      <c r="G1320" t="str">
        <f>"2025-05-29 23:07:54.289"</f>
        <v>2025-05-29 23:07:54.289</v>
      </c>
      <c r="H1320" t="s">
        <v>22</v>
      </c>
    </row>
    <row r="1321" spans="1:10" x14ac:dyDescent="0.25">
      <c r="A1321" s="1">
        <v>343</v>
      </c>
      <c r="B1321" t="s">
        <v>23</v>
      </c>
      <c r="C1321">
        <v>98</v>
      </c>
      <c r="D1321">
        <v>1</v>
      </c>
      <c r="E1321" t="s">
        <v>46</v>
      </c>
      <c r="F1321" t="s">
        <v>47</v>
      </c>
      <c r="G1321" t="str">
        <f>"2025-05-29 23:07:53.189"</f>
        <v>2025-05-29 23:07:53.189</v>
      </c>
      <c r="H1321" t="s">
        <v>22</v>
      </c>
      <c r="I1321">
        <v>0</v>
      </c>
      <c r="J1321" t="s">
        <v>48</v>
      </c>
    </row>
    <row r="1322" spans="1:10" x14ac:dyDescent="0.25">
      <c r="A1322" s="1">
        <v>344</v>
      </c>
      <c r="B1322" t="s">
        <v>19</v>
      </c>
      <c r="C1322">
        <v>98</v>
      </c>
      <c r="D1322">
        <v>1</v>
      </c>
      <c r="E1322" t="s">
        <v>46</v>
      </c>
      <c r="F1322" t="s">
        <v>47</v>
      </c>
      <c r="G1322" t="str">
        <f>"2025-05-29 23:07:51.689"</f>
        <v>2025-05-29 23:07:51.689</v>
      </c>
      <c r="H1322" t="s">
        <v>22</v>
      </c>
    </row>
    <row r="1323" spans="1:10" x14ac:dyDescent="0.25">
      <c r="A1323" s="1">
        <v>345</v>
      </c>
      <c r="B1323" t="s">
        <v>23</v>
      </c>
      <c r="C1323">
        <v>98</v>
      </c>
      <c r="D1323">
        <v>1</v>
      </c>
      <c r="E1323" t="s">
        <v>46</v>
      </c>
      <c r="F1323" t="s">
        <v>47</v>
      </c>
      <c r="G1323" t="str">
        <f>"2025-05-29 23:07:50.589"</f>
        <v>2025-05-29 23:07:50.589</v>
      </c>
      <c r="H1323" t="s">
        <v>22</v>
      </c>
      <c r="I1323">
        <v>0</v>
      </c>
      <c r="J1323" t="s">
        <v>48</v>
      </c>
    </row>
    <row r="1324" spans="1:10" x14ac:dyDescent="0.25">
      <c r="A1324" s="1">
        <v>346</v>
      </c>
      <c r="B1324" t="s">
        <v>19</v>
      </c>
      <c r="C1324">
        <v>98</v>
      </c>
      <c r="D1324">
        <v>1</v>
      </c>
      <c r="E1324" t="s">
        <v>46</v>
      </c>
      <c r="F1324" t="s">
        <v>47</v>
      </c>
      <c r="G1324" t="str">
        <f>"2025-05-29 23:07:49.889"</f>
        <v>2025-05-29 23:07:49.889</v>
      </c>
      <c r="H1324" t="s">
        <v>22</v>
      </c>
    </row>
    <row r="1325" spans="1:10" x14ac:dyDescent="0.25">
      <c r="A1325" s="1">
        <v>347</v>
      </c>
      <c r="B1325" t="s">
        <v>23</v>
      </c>
      <c r="C1325">
        <v>98</v>
      </c>
      <c r="D1325">
        <v>1</v>
      </c>
      <c r="E1325" t="s">
        <v>46</v>
      </c>
      <c r="F1325" t="s">
        <v>47</v>
      </c>
      <c r="G1325" t="str">
        <f>"2025-05-29 23:07:48.790"</f>
        <v>2025-05-29 23:07:48.790</v>
      </c>
      <c r="H1325" t="s">
        <v>22</v>
      </c>
      <c r="I1325">
        <v>0</v>
      </c>
      <c r="J1325" t="s">
        <v>48</v>
      </c>
    </row>
    <row r="1326" spans="1:10" x14ac:dyDescent="0.25">
      <c r="A1326" s="1">
        <v>348</v>
      </c>
      <c r="B1326" t="s">
        <v>25</v>
      </c>
      <c r="C1326">
        <v>700</v>
      </c>
      <c r="D1326">
        <v>0</v>
      </c>
      <c r="E1326" t="s">
        <v>26</v>
      </c>
      <c r="F1326" t="s">
        <v>26</v>
      </c>
      <c r="G1326" t="str">
        <f>"2025-05-29 08:21:56.505"</f>
        <v>2025-05-29 08:21:56.505</v>
      </c>
      <c r="H1326" t="s">
        <v>22</v>
      </c>
      <c r="I1326">
        <v>0</v>
      </c>
      <c r="J1326" t="s">
        <v>27</v>
      </c>
    </row>
    <row r="1327" spans="1:10" x14ac:dyDescent="0.25">
      <c r="A1327" s="1">
        <v>349</v>
      </c>
      <c r="B1327" t="s">
        <v>25</v>
      </c>
      <c r="C1327">
        <v>700</v>
      </c>
      <c r="D1327">
        <v>0</v>
      </c>
      <c r="E1327" t="s">
        <v>26</v>
      </c>
      <c r="F1327" t="s">
        <v>26</v>
      </c>
      <c r="G1327" t="str">
        <f>"2025-05-28 14:00:27.631"</f>
        <v>2025-05-28 14:00:27.631</v>
      </c>
      <c r="H1327" t="s">
        <v>22</v>
      </c>
      <c r="I1327">
        <v>0</v>
      </c>
      <c r="J1327" t="s">
        <v>27</v>
      </c>
    </row>
    <row r="1328" spans="1:10" x14ac:dyDescent="0.25">
      <c r="A1328" s="1">
        <v>350</v>
      </c>
      <c r="B1328" t="s">
        <v>25</v>
      </c>
      <c r="C1328">
        <v>700</v>
      </c>
      <c r="D1328">
        <v>0</v>
      </c>
      <c r="E1328" t="s">
        <v>26</v>
      </c>
      <c r="F1328" t="s">
        <v>26</v>
      </c>
      <c r="G1328" t="str">
        <f>"2025-05-27 11:15:45.497"</f>
        <v>2025-05-27 11:15:45.497</v>
      </c>
      <c r="H1328" t="s">
        <v>22</v>
      </c>
      <c r="I1328">
        <v>0</v>
      </c>
      <c r="J1328" t="s">
        <v>27</v>
      </c>
    </row>
    <row r="1329" spans="1:10" x14ac:dyDescent="0.25">
      <c r="A1329" s="1">
        <v>351</v>
      </c>
      <c r="B1329" t="s">
        <v>25</v>
      </c>
      <c r="C1329">
        <v>700</v>
      </c>
      <c r="D1329">
        <v>0</v>
      </c>
      <c r="E1329" t="s">
        <v>26</v>
      </c>
      <c r="F1329" t="s">
        <v>26</v>
      </c>
      <c r="G1329" t="str">
        <f>"2025-05-26 11:33:22.498"</f>
        <v>2025-05-26 11:33:22.498</v>
      </c>
      <c r="H1329" t="s">
        <v>22</v>
      </c>
      <c r="I1329">
        <v>0</v>
      </c>
      <c r="J1329" t="s">
        <v>27</v>
      </c>
    </row>
    <row r="1330" spans="1:10" x14ac:dyDescent="0.25">
      <c r="A1330" s="1">
        <v>352</v>
      </c>
      <c r="B1330" t="s">
        <v>19</v>
      </c>
      <c r="C1330">
        <v>630</v>
      </c>
      <c r="D1330">
        <v>5</v>
      </c>
      <c r="E1330" t="s">
        <v>32</v>
      </c>
      <c r="F1330" t="s">
        <v>33</v>
      </c>
      <c r="G1330" t="str">
        <f>"2025-05-25 23:17:20.355"</f>
        <v>2025-05-25 23:17:20.355</v>
      </c>
      <c r="H1330" t="s">
        <v>34</v>
      </c>
    </row>
    <row r="1331" spans="1:10" x14ac:dyDescent="0.25">
      <c r="A1331" s="1">
        <v>353</v>
      </c>
      <c r="B1331" t="s">
        <v>25</v>
      </c>
      <c r="C1331">
        <v>706</v>
      </c>
      <c r="D1331">
        <v>2</v>
      </c>
      <c r="E1331" t="s">
        <v>35</v>
      </c>
      <c r="F1331" t="s">
        <v>38</v>
      </c>
      <c r="G1331" t="str">
        <f>"2025-05-25 23:16:50.368"</f>
        <v>2025-05-25 23:16:50.368</v>
      </c>
      <c r="H1331" t="s">
        <v>22</v>
      </c>
      <c r="I1331">
        <v>0</v>
      </c>
      <c r="J1331" t="s">
        <v>24</v>
      </c>
    </row>
    <row r="1332" spans="1:10" x14ac:dyDescent="0.25">
      <c r="A1332" s="1">
        <v>354</v>
      </c>
      <c r="B1332" t="s">
        <v>37</v>
      </c>
      <c r="C1332">
        <v>630</v>
      </c>
      <c r="D1332">
        <v>5</v>
      </c>
      <c r="E1332" t="s">
        <v>32</v>
      </c>
      <c r="F1332" t="s">
        <v>33</v>
      </c>
      <c r="G1332" t="str">
        <f>"2025-05-25 23:12:29.855"</f>
        <v>2025-05-25 23:12:29.855</v>
      </c>
      <c r="H1332" t="s">
        <v>34</v>
      </c>
      <c r="I1332">
        <v>0</v>
      </c>
      <c r="J1332" t="s">
        <v>24</v>
      </c>
    </row>
    <row r="1333" spans="1:10" x14ac:dyDescent="0.25">
      <c r="A1333" s="1">
        <v>355</v>
      </c>
      <c r="B1333" t="s">
        <v>25</v>
      </c>
      <c r="C1333">
        <v>700</v>
      </c>
      <c r="D1333">
        <v>0</v>
      </c>
      <c r="E1333" t="s">
        <v>26</v>
      </c>
      <c r="F1333" t="s">
        <v>26</v>
      </c>
      <c r="G1333" t="str">
        <f>"2025-05-25 08:17:36.548"</f>
        <v>2025-05-25 08:17:36.548</v>
      </c>
      <c r="H1333" t="s">
        <v>22</v>
      </c>
    </row>
    <row r="1334" spans="1:10" x14ac:dyDescent="0.25">
      <c r="A1334" s="1">
        <v>356</v>
      </c>
      <c r="B1334" t="s">
        <v>25</v>
      </c>
      <c r="C1334">
        <v>706</v>
      </c>
      <c r="D1334">
        <v>2</v>
      </c>
      <c r="E1334" t="s">
        <v>35</v>
      </c>
      <c r="F1334" t="s">
        <v>38</v>
      </c>
      <c r="G1334" t="str">
        <f>"2025-05-25 05:34:56.128"</f>
        <v>2025-05-25 05:34:56.128</v>
      </c>
      <c r="H1334" t="s">
        <v>22</v>
      </c>
      <c r="I1334">
        <v>0</v>
      </c>
      <c r="J1334" t="s">
        <v>24</v>
      </c>
    </row>
    <row r="1335" spans="1:10" x14ac:dyDescent="0.25">
      <c r="A1335" s="1">
        <v>357</v>
      </c>
      <c r="B1335" t="s">
        <v>25</v>
      </c>
      <c r="C1335">
        <v>700</v>
      </c>
      <c r="D1335">
        <v>0</v>
      </c>
      <c r="E1335" t="s">
        <v>26</v>
      </c>
      <c r="F1335" t="s">
        <v>26</v>
      </c>
      <c r="G1335" t="str">
        <f>"2025-05-25 05:31:36.468"</f>
        <v>2025-05-25 05:31:36.468</v>
      </c>
      <c r="H1335" t="s">
        <v>22</v>
      </c>
    </row>
    <row r="1336" spans="1:10" x14ac:dyDescent="0.25">
      <c r="A1336" s="1">
        <v>358</v>
      </c>
      <c r="B1336" t="s">
        <v>37</v>
      </c>
      <c r="C1336">
        <v>630</v>
      </c>
      <c r="D1336">
        <v>5</v>
      </c>
      <c r="E1336" t="s">
        <v>32</v>
      </c>
      <c r="F1336" t="s">
        <v>33</v>
      </c>
      <c r="G1336" t="str">
        <f>"2025-05-25 03:18:52.343"</f>
        <v>2025-05-25 03:18:52.343</v>
      </c>
      <c r="H1336" t="s">
        <v>34</v>
      </c>
      <c r="I1336">
        <v>0</v>
      </c>
      <c r="J1336" t="s">
        <v>24</v>
      </c>
    </row>
    <row r="1337" spans="1:10" x14ac:dyDescent="0.25">
      <c r="A1337" s="1">
        <v>359</v>
      </c>
      <c r="B1337" t="s">
        <v>25</v>
      </c>
      <c r="C1337">
        <v>700</v>
      </c>
      <c r="D1337">
        <v>0</v>
      </c>
      <c r="E1337" t="s">
        <v>26</v>
      </c>
      <c r="F1337" t="s">
        <v>26</v>
      </c>
      <c r="G1337" t="str">
        <f>"2025-05-24 13:30:18.448"</f>
        <v>2025-05-24 13:30:18.448</v>
      </c>
      <c r="H1337" t="s">
        <v>22</v>
      </c>
    </row>
    <row r="1338" spans="1:10" x14ac:dyDescent="0.25">
      <c r="A1338" s="1">
        <v>360</v>
      </c>
      <c r="B1338" t="s">
        <v>25</v>
      </c>
      <c r="C1338">
        <v>700</v>
      </c>
      <c r="D1338">
        <v>0</v>
      </c>
      <c r="E1338" t="s">
        <v>26</v>
      </c>
      <c r="F1338" t="s">
        <v>26</v>
      </c>
      <c r="G1338" t="str">
        <f>"2025-05-24 12:51:40.498"</f>
        <v>2025-05-24 12:51:40.498</v>
      </c>
      <c r="H1338" t="s">
        <v>22</v>
      </c>
      <c r="I1338">
        <v>0</v>
      </c>
      <c r="J1338" t="s">
        <v>27</v>
      </c>
    </row>
    <row r="1339" spans="1:10" s="3" customFormat="1" x14ac:dyDescent="0.25">
      <c r="A1339" s="2">
        <v>361</v>
      </c>
      <c r="B1339" s="3" t="s">
        <v>19</v>
      </c>
      <c r="C1339" s="3">
        <v>647</v>
      </c>
      <c r="D1339" s="3">
        <v>1</v>
      </c>
      <c r="E1339" s="3" t="s">
        <v>49</v>
      </c>
      <c r="F1339" s="3" t="s">
        <v>50</v>
      </c>
      <c r="G1339" s="3" t="str">
        <f>"2025-05-23 20:36:16.810"</f>
        <v>2025-05-23 20:36:16.810</v>
      </c>
      <c r="H1339" s="3" t="s">
        <v>22</v>
      </c>
    </row>
    <row r="1340" spans="1:10" s="3" customFormat="1" x14ac:dyDescent="0.25">
      <c r="A1340" s="2">
        <v>362</v>
      </c>
      <c r="B1340" s="3" t="s">
        <v>23</v>
      </c>
      <c r="C1340" s="3">
        <v>647</v>
      </c>
      <c r="D1340" s="3">
        <v>1</v>
      </c>
      <c r="E1340" s="3" t="s">
        <v>49</v>
      </c>
      <c r="F1340" s="3" t="s">
        <v>50</v>
      </c>
      <c r="G1340" s="3" t="str">
        <f>"2025-05-23 20:36:10.710"</f>
        <v>2025-05-23 20:36:10.710</v>
      </c>
      <c r="H1340" s="3" t="s">
        <v>22</v>
      </c>
      <c r="I1340" s="3">
        <v>30.16</v>
      </c>
      <c r="J1340" s="3" t="s">
        <v>31</v>
      </c>
    </row>
    <row r="1341" spans="1:10" x14ac:dyDescent="0.25">
      <c r="A1341" s="1">
        <v>363</v>
      </c>
      <c r="B1341" t="s">
        <v>25</v>
      </c>
      <c r="C1341">
        <v>700</v>
      </c>
      <c r="D1341">
        <v>0</v>
      </c>
      <c r="E1341" t="s">
        <v>26</v>
      </c>
      <c r="F1341" t="s">
        <v>26</v>
      </c>
      <c r="G1341" t="str">
        <f>"2025-05-23 16:27:38.605"</f>
        <v>2025-05-23 16:27:38.605</v>
      </c>
      <c r="H1341" t="s">
        <v>22</v>
      </c>
    </row>
    <row r="1342" spans="1:10" x14ac:dyDescent="0.25">
      <c r="A1342" s="1">
        <v>364</v>
      </c>
      <c r="B1342" t="s">
        <v>25</v>
      </c>
      <c r="C1342">
        <v>700</v>
      </c>
      <c r="D1342">
        <v>0</v>
      </c>
      <c r="E1342" t="s">
        <v>26</v>
      </c>
      <c r="F1342" t="s">
        <v>26</v>
      </c>
      <c r="G1342" t="str">
        <f>"2025-05-23 12:35:52.488"</f>
        <v>2025-05-23 12:35:52.488</v>
      </c>
      <c r="H1342" t="s">
        <v>22</v>
      </c>
    </row>
    <row r="1343" spans="1:10" s="3" customFormat="1" x14ac:dyDescent="0.25">
      <c r="A1343" s="2">
        <v>365</v>
      </c>
      <c r="B1343" s="3" t="s">
        <v>19</v>
      </c>
      <c r="C1343" s="3">
        <v>647</v>
      </c>
      <c r="D1343" s="3">
        <v>1</v>
      </c>
      <c r="E1343" s="3" t="s">
        <v>49</v>
      </c>
      <c r="F1343" s="3" t="s">
        <v>50</v>
      </c>
      <c r="G1343" s="3" t="str">
        <f>"2025-05-23 05:46:09.757"</f>
        <v>2025-05-23 05:46:09.757</v>
      </c>
      <c r="H1343" s="3" t="s">
        <v>22</v>
      </c>
    </row>
    <row r="1344" spans="1:10" s="3" customFormat="1" x14ac:dyDescent="0.25">
      <c r="A1344" s="2">
        <v>366</v>
      </c>
      <c r="B1344" s="3" t="s">
        <v>23</v>
      </c>
      <c r="C1344" s="3">
        <v>647</v>
      </c>
      <c r="D1344" s="3">
        <v>1</v>
      </c>
      <c r="E1344" s="3" t="s">
        <v>49</v>
      </c>
      <c r="F1344" s="3" t="s">
        <v>50</v>
      </c>
      <c r="G1344" s="3" t="str">
        <f>"2025-05-23 05:46:08.257"</f>
        <v>2025-05-23 05:46:08.257</v>
      </c>
      <c r="H1344" s="3" t="s">
        <v>22</v>
      </c>
      <c r="I1344" s="3">
        <v>29.47</v>
      </c>
      <c r="J1344" s="3" t="s">
        <v>31</v>
      </c>
    </row>
    <row r="1345" spans="1:10" x14ac:dyDescent="0.25">
      <c r="A1345" s="1">
        <v>367</v>
      </c>
      <c r="B1345" t="s">
        <v>19</v>
      </c>
      <c r="C1345">
        <v>61</v>
      </c>
      <c r="D1345">
        <v>2</v>
      </c>
      <c r="E1345" t="s">
        <v>51</v>
      </c>
      <c r="F1345" t="s">
        <v>52</v>
      </c>
      <c r="G1345" t="str">
        <f>"2025-05-22 21:22:06.656"</f>
        <v>2025-05-22 21:22:06.656</v>
      </c>
      <c r="H1345" t="s">
        <v>22</v>
      </c>
    </row>
    <row r="1346" spans="1:10" x14ac:dyDescent="0.25">
      <c r="A1346" s="1">
        <v>368</v>
      </c>
      <c r="B1346" t="s">
        <v>37</v>
      </c>
      <c r="C1346">
        <v>61</v>
      </c>
      <c r="D1346">
        <v>2</v>
      </c>
      <c r="E1346" t="s">
        <v>51</v>
      </c>
      <c r="F1346" t="s">
        <v>52</v>
      </c>
      <c r="G1346" t="str">
        <f>"2025-05-22 21:21:52.057"</f>
        <v>2025-05-22 21:21:52.057</v>
      </c>
      <c r="H1346" t="s">
        <v>22</v>
      </c>
      <c r="I1346">
        <v>35.11</v>
      </c>
      <c r="J1346" t="s">
        <v>31</v>
      </c>
    </row>
    <row r="1347" spans="1:10" x14ac:dyDescent="0.25">
      <c r="A1347" s="1">
        <v>369</v>
      </c>
      <c r="B1347" t="s">
        <v>25</v>
      </c>
      <c r="C1347">
        <v>700</v>
      </c>
      <c r="D1347">
        <v>0</v>
      </c>
      <c r="E1347" t="s">
        <v>26</v>
      </c>
      <c r="F1347" t="s">
        <v>26</v>
      </c>
      <c r="G1347" t="str">
        <f>"2025-05-22 08:58:33.490"</f>
        <v>2025-05-22 08:58:33.490</v>
      </c>
      <c r="H1347" t="s">
        <v>22</v>
      </c>
    </row>
    <row r="1348" spans="1:10" s="3" customFormat="1" x14ac:dyDescent="0.25">
      <c r="A1348" s="2">
        <v>370</v>
      </c>
      <c r="B1348" s="3" t="s">
        <v>19</v>
      </c>
      <c r="C1348" s="3">
        <v>647</v>
      </c>
      <c r="D1348" s="3">
        <v>1</v>
      </c>
      <c r="E1348" s="3" t="s">
        <v>49</v>
      </c>
      <c r="F1348" s="3" t="s">
        <v>50</v>
      </c>
      <c r="G1348" s="3" t="str">
        <f>"2025-05-22 06:39:49.343"</f>
        <v>2025-05-22 06:39:49.343</v>
      </c>
      <c r="H1348" s="3" t="s">
        <v>22</v>
      </c>
    </row>
    <row r="1349" spans="1:10" s="3" customFormat="1" x14ac:dyDescent="0.25">
      <c r="A1349" s="2">
        <v>371</v>
      </c>
      <c r="B1349" s="3" t="s">
        <v>23</v>
      </c>
      <c r="C1349" s="3">
        <v>647</v>
      </c>
      <c r="D1349" s="3">
        <v>1</v>
      </c>
      <c r="E1349" s="3" t="s">
        <v>49</v>
      </c>
      <c r="F1349" s="3" t="s">
        <v>50</v>
      </c>
      <c r="G1349" s="3" t="str">
        <f>"2025-05-22 06:39:45.043"</f>
        <v>2025-05-22 06:39:45.043</v>
      </c>
      <c r="H1349" s="3" t="s">
        <v>22</v>
      </c>
      <c r="I1349" s="3">
        <v>26.49</v>
      </c>
      <c r="J1349" s="3" t="s">
        <v>31</v>
      </c>
    </row>
    <row r="1350" spans="1:10" s="3" customFormat="1" x14ac:dyDescent="0.25">
      <c r="A1350" s="2">
        <v>372</v>
      </c>
      <c r="B1350" s="3" t="s">
        <v>19</v>
      </c>
      <c r="C1350" s="3">
        <v>647</v>
      </c>
      <c r="D1350" s="3">
        <v>1</v>
      </c>
      <c r="E1350" s="3" t="s">
        <v>49</v>
      </c>
      <c r="F1350" s="3" t="s">
        <v>50</v>
      </c>
      <c r="G1350" s="3" t="str">
        <f>"2025-05-22 02:08:56.243"</f>
        <v>2025-05-22 02:08:56.243</v>
      </c>
      <c r="H1350" s="3" t="s">
        <v>22</v>
      </c>
    </row>
    <row r="1351" spans="1:10" s="3" customFormat="1" x14ac:dyDescent="0.25">
      <c r="A1351" s="2">
        <v>373</v>
      </c>
      <c r="B1351" s="3" t="s">
        <v>23</v>
      </c>
      <c r="C1351" s="3">
        <v>647</v>
      </c>
      <c r="D1351" s="3">
        <v>1</v>
      </c>
      <c r="E1351" s="3" t="s">
        <v>49</v>
      </c>
      <c r="F1351" s="3" t="s">
        <v>50</v>
      </c>
      <c r="G1351" s="3" t="str">
        <f>"2025-05-22 02:08:52.944"</f>
        <v>2025-05-22 02:08:52.944</v>
      </c>
      <c r="H1351" s="3" t="s">
        <v>22</v>
      </c>
      <c r="I1351" s="3">
        <v>22.59</v>
      </c>
      <c r="J1351" s="3" t="s">
        <v>31</v>
      </c>
    </row>
    <row r="1352" spans="1:10" x14ac:dyDescent="0.25">
      <c r="A1352" s="1">
        <v>374</v>
      </c>
      <c r="B1352" t="s">
        <v>25</v>
      </c>
      <c r="C1352">
        <v>700</v>
      </c>
      <c r="D1352">
        <v>0</v>
      </c>
      <c r="E1352" t="s">
        <v>26</v>
      </c>
      <c r="F1352" t="s">
        <v>26</v>
      </c>
      <c r="G1352" t="str">
        <f>"2025-05-21 12:39:10.450"</f>
        <v>2025-05-21 12:39:10.450</v>
      </c>
      <c r="H1352" t="s">
        <v>22</v>
      </c>
      <c r="I1352">
        <v>0</v>
      </c>
      <c r="J1352" t="s">
        <v>27</v>
      </c>
    </row>
    <row r="1353" spans="1:10" x14ac:dyDescent="0.25">
      <c r="A1353" s="1">
        <v>375</v>
      </c>
      <c r="B1353" t="s">
        <v>19</v>
      </c>
      <c r="C1353">
        <v>635</v>
      </c>
      <c r="D1353">
        <v>1</v>
      </c>
      <c r="E1353" t="s">
        <v>28</v>
      </c>
      <c r="F1353" t="s">
        <v>29</v>
      </c>
      <c r="G1353" t="str">
        <f>"2025-05-21 01:57:28.015"</f>
        <v>2025-05-21 01:57:28.015</v>
      </c>
      <c r="H1353" t="s">
        <v>22</v>
      </c>
    </row>
    <row r="1354" spans="1:10" x14ac:dyDescent="0.25">
      <c r="A1354" s="1">
        <v>376</v>
      </c>
      <c r="B1354" t="s">
        <v>23</v>
      </c>
      <c r="C1354">
        <v>635</v>
      </c>
      <c r="D1354">
        <v>1</v>
      </c>
      <c r="E1354" t="s">
        <v>28</v>
      </c>
      <c r="F1354" t="s">
        <v>29</v>
      </c>
      <c r="G1354" t="str">
        <f>"2025-05-21 01:53:38.015"</f>
        <v>2025-05-21 01:53:38.015</v>
      </c>
      <c r="H1354" t="s">
        <v>22</v>
      </c>
      <c r="I1354">
        <v>8.1999999999999993</v>
      </c>
      <c r="J1354" t="s">
        <v>30</v>
      </c>
    </row>
    <row r="1355" spans="1:10" s="3" customFormat="1" x14ac:dyDescent="0.25">
      <c r="A1355" s="2">
        <v>377</v>
      </c>
      <c r="B1355" s="3" t="s">
        <v>19</v>
      </c>
      <c r="C1355" s="3">
        <v>647</v>
      </c>
      <c r="D1355" s="3">
        <v>1</v>
      </c>
      <c r="E1355" s="3" t="s">
        <v>49</v>
      </c>
      <c r="F1355" s="3" t="s">
        <v>50</v>
      </c>
      <c r="G1355" s="3" t="str">
        <f>"2025-05-20 07:30:27.469"</f>
        <v>2025-05-20 07:30:27.469</v>
      </c>
      <c r="H1355" s="3" t="s">
        <v>22</v>
      </c>
    </row>
    <row r="1356" spans="1:10" s="3" customFormat="1" x14ac:dyDescent="0.25">
      <c r="A1356" s="2">
        <v>378</v>
      </c>
      <c r="B1356" s="3" t="s">
        <v>23</v>
      </c>
      <c r="C1356" s="3">
        <v>647</v>
      </c>
      <c r="D1356" s="3">
        <v>1</v>
      </c>
      <c r="E1356" s="3" t="s">
        <v>49</v>
      </c>
      <c r="F1356" s="3" t="s">
        <v>50</v>
      </c>
      <c r="G1356" s="3" t="str">
        <f>"2025-05-20 07:30:15.969"</f>
        <v>2025-05-20 07:30:15.969</v>
      </c>
      <c r="H1356" s="3" t="s">
        <v>22</v>
      </c>
      <c r="I1356" s="3">
        <v>20.97</v>
      </c>
      <c r="J1356" s="3" t="s">
        <v>31</v>
      </c>
    </row>
    <row r="1357" spans="1:10" x14ac:dyDescent="0.25">
      <c r="A1357" s="1">
        <v>379</v>
      </c>
      <c r="B1357" t="s">
        <v>19</v>
      </c>
      <c r="C1357">
        <v>635</v>
      </c>
      <c r="D1357">
        <v>1</v>
      </c>
      <c r="E1357" t="s">
        <v>28</v>
      </c>
      <c r="F1357" t="s">
        <v>29</v>
      </c>
      <c r="G1357" t="str">
        <f>"2025-05-19 17:15:34.115"</f>
        <v>2025-05-19 17:15:34.115</v>
      </c>
      <c r="H1357" t="s">
        <v>22</v>
      </c>
    </row>
    <row r="1358" spans="1:10" x14ac:dyDescent="0.25">
      <c r="A1358" s="1">
        <v>380</v>
      </c>
      <c r="B1358" t="s">
        <v>23</v>
      </c>
      <c r="C1358">
        <v>635</v>
      </c>
      <c r="D1358">
        <v>1</v>
      </c>
      <c r="E1358" t="s">
        <v>28</v>
      </c>
      <c r="F1358" t="s">
        <v>29</v>
      </c>
      <c r="G1358" t="str">
        <f>"2025-05-19 17:03:45.115"</f>
        <v>2025-05-19 17:03:45.115</v>
      </c>
      <c r="H1358" t="s">
        <v>22</v>
      </c>
      <c r="I1358">
        <v>4.93</v>
      </c>
      <c r="J1358" t="s">
        <v>30</v>
      </c>
    </row>
    <row r="1359" spans="1:10" x14ac:dyDescent="0.25">
      <c r="A1359" s="1">
        <v>381</v>
      </c>
      <c r="B1359" t="s">
        <v>25</v>
      </c>
      <c r="C1359">
        <v>700</v>
      </c>
      <c r="D1359">
        <v>0</v>
      </c>
      <c r="E1359" t="s">
        <v>26</v>
      </c>
      <c r="F1359" t="s">
        <v>26</v>
      </c>
      <c r="G1359" t="str">
        <f>"2025-05-19 14:10:10.464"</f>
        <v>2025-05-19 14:10:10.464</v>
      </c>
      <c r="H1359" t="s">
        <v>22</v>
      </c>
      <c r="I1359">
        <v>0</v>
      </c>
      <c r="J1359" t="s">
        <v>27</v>
      </c>
    </row>
    <row r="1360" spans="1:10" x14ac:dyDescent="0.25">
      <c r="A1360" s="1">
        <v>383</v>
      </c>
      <c r="B1360" t="s">
        <v>25</v>
      </c>
      <c r="C1360">
        <v>700</v>
      </c>
      <c r="D1360">
        <v>0</v>
      </c>
      <c r="E1360" t="s">
        <v>26</v>
      </c>
      <c r="F1360" t="s">
        <v>26</v>
      </c>
      <c r="G1360" t="str">
        <f>"2025-05-19 04:59:48.466"</f>
        <v>2025-05-19 04:59:48.466</v>
      </c>
      <c r="H1360" t="s">
        <v>22</v>
      </c>
      <c r="I1360">
        <v>0</v>
      </c>
      <c r="J1360" t="s">
        <v>27</v>
      </c>
    </row>
    <row r="1361" spans="1:10" x14ac:dyDescent="0.25">
      <c r="A1361" s="1">
        <v>384</v>
      </c>
      <c r="B1361" t="s">
        <v>25</v>
      </c>
      <c r="C1361">
        <v>700</v>
      </c>
      <c r="D1361">
        <v>0</v>
      </c>
      <c r="E1361" t="s">
        <v>26</v>
      </c>
      <c r="F1361" t="s">
        <v>26</v>
      </c>
      <c r="G1361" t="str">
        <f>"2025-05-18 20:06:24.439"</f>
        <v>2025-05-18 20:06:24.439</v>
      </c>
      <c r="H1361" t="s">
        <v>22</v>
      </c>
      <c r="I1361">
        <v>0</v>
      </c>
      <c r="J1361" t="s">
        <v>27</v>
      </c>
    </row>
    <row r="1362" spans="1:10" x14ac:dyDescent="0.25">
      <c r="A1362" s="1">
        <v>385</v>
      </c>
      <c r="B1362" t="s">
        <v>25</v>
      </c>
      <c r="C1362">
        <v>700</v>
      </c>
      <c r="D1362">
        <v>0</v>
      </c>
      <c r="E1362" t="s">
        <v>26</v>
      </c>
      <c r="F1362" t="s">
        <v>26</v>
      </c>
      <c r="G1362" t="str">
        <f>"2025-05-17 09:32:38.439"</f>
        <v>2025-05-17 09:32:38.439</v>
      </c>
      <c r="H1362" t="s">
        <v>22</v>
      </c>
    </row>
    <row r="1363" spans="1:10" x14ac:dyDescent="0.25">
      <c r="A1363" s="1">
        <v>386</v>
      </c>
      <c r="B1363" t="s">
        <v>25</v>
      </c>
      <c r="C1363">
        <v>706</v>
      </c>
      <c r="D1363">
        <v>2</v>
      </c>
      <c r="E1363" t="s">
        <v>35</v>
      </c>
      <c r="F1363" t="s">
        <v>38</v>
      </c>
      <c r="G1363" t="str">
        <f>"2025-05-16 10:41:47.884"</f>
        <v>2025-05-16 10:41:47.884</v>
      </c>
      <c r="H1363" t="s">
        <v>22</v>
      </c>
      <c r="I1363">
        <v>0</v>
      </c>
      <c r="J1363" t="s">
        <v>24</v>
      </c>
    </row>
    <row r="1364" spans="1:10" x14ac:dyDescent="0.25">
      <c r="A1364" s="1">
        <v>387</v>
      </c>
      <c r="B1364" t="s">
        <v>25</v>
      </c>
      <c r="C1364">
        <v>700</v>
      </c>
      <c r="D1364">
        <v>0</v>
      </c>
      <c r="E1364" t="s">
        <v>26</v>
      </c>
      <c r="F1364" t="s">
        <v>26</v>
      </c>
      <c r="G1364" t="str">
        <f>"2025-05-16 10:41:24.454"</f>
        <v>2025-05-16 10:41:24.454</v>
      </c>
      <c r="H1364" t="s">
        <v>22</v>
      </c>
      <c r="I1364">
        <v>0</v>
      </c>
      <c r="J1364" t="s">
        <v>27</v>
      </c>
    </row>
    <row r="1365" spans="1:10" x14ac:dyDescent="0.25">
      <c r="A1365" s="1">
        <v>388</v>
      </c>
      <c r="B1365" t="s">
        <v>19</v>
      </c>
      <c r="C1365">
        <v>61</v>
      </c>
      <c r="D1365">
        <v>2</v>
      </c>
      <c r="E1365" t="s">
        <v>51</v>
      </c>
      <c r="F1365" t="s">
        <v>52</v>
      </c>
      <c r="G1365" t="str">
        <f>"2025-05-16 08:22:25.925"</f>
        <v>2025-05-16 08:22:25.925</v>
      </c>
      <c r="H1365" t="s">
        <v>22</v>
      </c>
    </row>
    <row r="1366" spans="1:10" x14ac:dyDescent="0.25">
      <c r="A1366" s="1">
        <v>389</v>
      </c>
      <c r="B1366" t="s">
        <v>37</v>
      </c>
      <c r="C1366">
        <v>61</v>
      </c>
      <c r="D1366">
        <v>2</v>
      </c>
      <c r="E1366" t="s">
        <v>51</v>
      </c>
      <c r="F1366" t="s">
        <v>52</v>
      </c>
      <c r="G1366" t="str">
        <f>"2025-05-16 08:22:19.625"</f>
        <v>2025-05-16 08:22:19.625</v>
      </c>
      <c r="H1366" t="s">
        <v>22</v>
      </c>
      <c r="I1366">
        <v>35.83</v>
      </c>
      <c r="J1366" t="s">
        <v>31</v>
      </c>
    </row>
    <row r="1367" spans="1:10" x14ac:dyDescent="0.25">
      <c r="A1367" s="1">
        <v>390</v>
      </c>
      <c r="B1367" t="s">
        <v>25</v>
      </c>
      <c r="C1367">
        <v>706</v>
      </c>
      <c r="D1367">
        <v>4</v>
      </c>
      <c r="E1367" t="s">
        <v>35</v>
      </c>
      <c r="F1367" t="s">
        <v>36</v>
      </c>
      <c r="G1367" t="str">
        <f>"2025-05-15 13:52:14.644"</f>
        <v>2025-05-15 13:52:14.644</v>
      </c>
      <c r="H1367" t="s">
        <v>22</v>
      </c>
      <c r="I1367">
        <v>0</v>
      </c>
      <c r="J1367" t="s">
        <v>24</v>
      </c>
    </row>
    <row r="1368" spans="1:10" x14ac:dyDescent="0.25">
      <c r="A1368" s="1">
        <v>391</v>
      </c>
      <c r="B1368" t="s">
        <v>25</v>
      </c>
      <c r="C1368">
        <v>700</v>
      </c>
      <c r="D1368">
        <v>0</v>
      </c>
      <c r="E1368" t="s">
        <v>26</v>
      </c>
      <c r="F1368" t="s">
        <v>26</v>
      </c>
      <c r="G1368" t="str">
        <f>"2025-05-15 13:51:50.614"</f>
        <v>2025-05-15 13:51:50.614</v>
      </c>
      <c r="H1368" t="s">
        <v>22</v>
      </c>
    </row>
    <row r="1369" spans="1:10" x14ac:dyDescent="0.25">
      <c r="A1369" s="1">
        <v>392</v>
      </c>
      <c r="B1369" t="s">
        <v>37</v>
      </c>
      <c r="C1369">
        <v>630</v>
      </c>
      <c r="D1369">
        <v>5</v>
      </c>
      <c r="E1369" t="s">
        <v>32</v>
      </c>
      <c r="F1369" t="s">
        <v>33</v>
      </c>
      <c r="G1369" t="str">
        <f>"2025-05-15 13:24:32.432"</f>
        <v>2025-05-15 13:24:32.432</v>
      </c>
      <c r="H1369" t="s">
        <v>34</v>
      </c>
      <c r="I1369">
        <v>0</v>
      </c>
      <c r="J1369" t="s">
        <v>24</v>
      </c>
    </row>
    <row r="1370" spans="1:10" x14ac:dyDescent="0.25">
      <c r="A1370" s="1">
        <v>393</v>
      </c>
      <c r="B1370" t="s">
        <v>19</v>
      </c>
      <c r="C1370">
        <v>630</v>
      </c>
      <c r="D1370">
        <v>5</v>
      </c>
      <c r="E1370" t="s">
        <v>32</v>
      </c>
      <c r="F1370" t="s">
        <v>33</v>
      </c>
      <c r="G1370" t="str">
        <f>"2025-05-15 11:36:06.631"</f>
        <v>2025-05-15 11:36:06.631</v>
      </c>
      <c r="H1370" t="s">
        <v>34</v>
      </c>
    </row>
    <row r="1371" spans="1:10" x14ac:dyDescent="0.25">
      <c r="A1371" s="1">
        <v>394</v>
      </c>
      <c r="B1371" t="s">
        <v>25</v>
      </c>
      <c r="C1371">
        <v>706</v>
      </c>
      <c r="D1371">
        <v>2</v>
      </c>
      <c r="E1371" t="s">
        <v>35</v>
      </c>
      <c r="F1371" t="s">
        <v>38</v>
      </c>
      <c r="G1371" t="str">
        <f>"2025-05-15 11:35:36.649"</f>
        <v>2025-05-15 11:35:36.649</v>
      </c>
      <c r="H1371" t="s">
        <v>22</v>
      </c>
      <c r="I1371">
        <v>0</v>
      </c>
      <c r="J1371" t="s">
        <v>24</v>
      </c>
    </row>
    <row r="1372" spans="1:10" x14ac:dyDescent="0.25">
      <c r="A1372" s="1">
        <v>395</v>
      </c>
      <c r="B1372" t="s">
        <v>37</v>
      </c>
      <c r="C1372">
        <v>630</v>
      </c>
      <c r="D1372">
        <v>5</v>
      </c>
      <c r="E1372" t="s">
        <v>32</v>
      </c>
      <c r="F1372" t="s">
        <v>33</v>
      </c>
      <c r="G1372" t="str">
        <f>"2025-05-15 10:51:19.332"</f>
        <v>2025-05-15 10:51:19.332</v>
      </c>
      <c r="H1372" t="s">
        <v>34</v>
      </c>
      <c r="I1372">
        <v>0</v>
      </c>
      <c r="J1372" t="s">
        <v>24</v>
      </c>
    </row>
    <row r="1373" spans="1:10" x14ac:dyDescent="0.25">
      <c r="A1373" s="1">
        <v>396</v>
      </c>
      <c r="B1373" t="s">
        <v>25</v>
      </c>
      <c r="C1373">
        <v>700</v>
      </c>
      <c r="D1373">
        <v>0</v>
      </c>
      <c r="E1373" t="s">
        <v>26</v>
      </c>
      <c r="F1373" t="s">
        <v>26</v>
      </c>
      <c r="G1373" t="str">
        <f>"2025-05-15 10:46:16.649"</f>
        <v>2025-05-15 10:46:16.649</v>
      </c>
      <c r="H1373" t="s">
        <v>22</v>
      </c>
      <c r="I1373">
        <v>0</v>
      </c>
      <c r="J1373" t="s">
        <v>27</v>
      </c>
    </row>
    <row r="1374" spans="1:10" x14ac:dyDescent="0.25">
      <c r="A1374" s="1">
        <v>397</v>
      </c>
      <c r="B1374" t="s">
        <v>19</v>
      </c>
      <c r="C1374">
        <v>635</v>
      </c>
      <c r="D1374">
        <v>1</v>
      </c>
      <c r="E1374" t="s">
        <v>28</v>
      </c>
      <c r="F1374" t="s">
        <v>29</v>
      </c>
      <c r="G1374" t="str">
        <f>"2025-05-15 05:26:23.575"</f>
        <v>2025-05-15 05:26:23.575</v>
      </c>
      <c r="H1374" t="s">
        <v>22</v>
      </c>
    </row>
    <row r="1375" spans="1:10" x14ac:dyDescent="0.25">
      <c r="A1375" s="1">
        <v>398</v>
      </c>
      <c r="B1375" t="s">
        <v>23</v>
      </c>
      <c r="C1375">
        <v>635</v>
      </c>
      <c r="D1375">
        <v>1</v>
      </c>
      <c r="E1375" t="s">
        <v>28</v>
      </c>
      <c r="F1375" t="s">
        <v>29</v>
      </c>
      <c r="G1375" t="str">
        <f>"2025-05-15 05:23:34.575"</f>
        <v>2025-05-15 05:23:34.575</v>
      </c>
      <c r="H1375" t="s">
        <v>22</v>
      </c>
      <c r="I1375">
        <v>0.22</v>
      </c>
      <c r="J1375" t="s">
        <v>48</v>
      </c>
    </row>
    <row r="1376" spans="1:10" x14ac:dyDescent="0.25">
      <c r="A1376" s="1">
        <v>399</v>
      </c>
      <c r="B1376" t="s">
        <v>25</v>
      </c>
      <c r="C1376">
        <v>700</v>
      </c>
      <c r="D1376">
        <v>0</v>
      </c>
      <c r="E1376" t="s">
        <v>26</v>
      </c>
      <c r="F1376" t="s">
        <v>26</v>
      </c>
      <c r="G1376" t="str">
        <f>"2025-05-14 08:18:57.429"</f>
        <v>2025-05-14 08:18:57.429</v>
      </c>
      <c r="H1376" t="s">
        <v>22</v>
      </c>
      <c r="I1376">
        <v>0</v>
      </c>
      <c r="J1376" t="s">
        <v>27</v>
      </c>
    </row>
    <row r="1377" spans="1:10" x14ac:dyDescent="0.25">
      <c r="A1377" s="1">
        <v>400</v>
      </c>
      <c r="B1377" t="s">
        <v>25</v>
      </c>
      <c r="C1377">
        <v>706</v>
      </c>
      <c r="D1377">
        <v>3</v>
      </c>
      <c r="E1377" t="s">
        <v>35</v>
      </c>
      <c r="F1377" t="s">
        <v>62</v>
      </c>
      <c r="G1377" t="str">
        <f>"2025-05-14 08:17:12.339"</f>
        <v>2025-05-14 08:17:12.339</v>
      </c>
      <c r="H1377" t="s">
        <v>22</v>
      </c>
      <c r="I1377">
        <v>0</v>
      </c>
      <c r="J1377" t="s">
        <v>24</v>
      </c>
    </row>
    <row r="1378" spans="1:10" x14ac:dyDescent="0.25">
      <c r="A1378" s="1">
        <v>401</v>
      </c>
      <c r="B1378" t="s">
        <v>37</v>
      </c>
      <c r="C1378">
        <v>630</v>
      </c>
      <c r="D1378">
        <v>5</v>
      </c>
      <c r="E1378" t="s">
        <v>32</v>
      </c>
      <c r="F1378" t="s">
        <v>33</v>
      </c>
      <c r="G1378" t="str">
        <f>"2025-05-14 08:14:22.251"</f>
        <v>2025-05-14 08:14:22.251</v>
      </c>
      <c r="H1378" t="s">
        <v>34</v>
      </c>
      <c r="I1378">
        <v>0</v>
      </c>
      <c r="J1378" t="s">
        <v>24</v>
      </c>
    </row>
    <row r="1379" spans="1:10" x14ac:dyDescent="0.25">
      <c r="A1379" s="1">
        <v>402</v>
      </c>
      <c r="B1379" t="s">
        <v>19</v>
      </c>
      <c r="C1379">
        <v>635</v>
      </c>
      <c r="D1379">
        <v>1</v>
      </c>
      <c r="E1379" t="s">
        <v>28</v>
      </c>
      <c r="F1379" t="s">
        <v>29</v>
      </c>
      <c r="G1379" t="str">
        <f>"2025-05-14 07:24:28.797"</f>
        <v>2025-05-14 07:24:28.797</v>
      </c>
      <c r="H1379" t="s">
        <v>22</v>
      </c>
    </row>
    <row r="1380" spans="1:10" x14ac:dyDescent="0.25">
      <c r="A1380" s="1">
        <v>403</v>
      </c>
      <c r="B1380" t="s">
        <v>23</v>
      </c>
      <c r="C1380">
        <v>635</v>
      </c>
      <c r="D1380">
        <v>1</v>
      </c>
      <c r="E1380" t="s">
        <v>28</v>
      </c>
      <c r="F1380" t="s">
        <v>29</v>
      </c>
      <c r="G1380" t="str">
        <f>"2025-05-14 07:21:10.797"</f>
        <v>2025-05-14 07:21:10.797</v>
      </c>
      <c r="H1380" t="s">
        <v>22</v>
      </c>
      <c r="I1380">
        <v>-0.91</v>
      </c>
      <c r="J1380" t="s">
        <v>48</v>
      </c>
    </row>
    <row r="1381" spans="1:10" x14ac:dyDescent="0.25">
      <c r="A1381" s="1">
        <v>404</v>
      </c>
      <c r="B1381" t="s">
        <v>19</v>
      </c>
      <c r="C1381">
        <v>635</v>
      </c>
      <c r="D1381">
        <v>1</v>
      </c>
      <c r="E1381" t="s">
        <v>28</v>
      </c>
      <c r="F1381" t="s">
        <v>29</v>
      </c>
      <c r="G1381" t="str">
        <f>"2025-05-13 20:00:25.497"</f>
        <v>2025-05-13 20:00:25.497</v>
      </c>
      <c r="H1381" t="s">
        <v>22</v>
      </c>
    </row>
    <row r="1382" spans="1:10" x14ac:dyDescent="0.25">
      <c r="A1382" s="1">
        <v>405</v>
      </c>
      <c r="B1382" t="s">
        <v>23</v>
      </c>
      <c r="C1382">
        <v>635</v>
      </c>
      <c r="D1382">
        <v>1</v>
      </c>
      <c r="E1382" t="s">
        <v>28</v>
      </c>
      <c r="F1382" t="s">
        <v>29</v>
      </c>
      <c r="G1382" t="str">
        <f>"2025-05-13 19:56:19.997"</f>
        <v>2025-05-13 19:56:19.997</v>
      </c>
      <c r="H1382" t="s">
        <v>22</v>
      </c>
      <c r="I1382">
        <v>1.71</v>
      </c>
      <c r="J1382" t="s">
        <v>30</v>
      </c>
    </row>
    <row r="1383" spans="1:10" x14ac:dyDescent="0.25">
      <c r="A1383" s="1">
        <v>406</v>
      </c>
      <c r="B1383" t="s">
        <v>25</v>
      </c>
      <c r="C1383">
        <v>700</v>
      </c>
      <c r="D1383">
        <v>0</v>
      </c>
      <c r="E1383" t="s">
        <v>26</v>
      </c>
      <c r="F1383" t="s">
        <v>26</v>
      </c>
      <c r="G1383" t="str">
        <f>"2025-05-12 21:20:28.429"</f>
        <v>2025-05-12 21:20:28.429</v>
      </c>
      <c r="H1383" t="s">
        <v>22</v>
      </c>
    </row>
    <row r="1384" spans="1:10" x14ac:dyDescent="0.25">
      <c r="A1384" s="1">
        <v>407</v>
      </c>
      <c r="B1384" t="s">
        <v>19</v>
      </c>
      <c r="C1384">
        <v>630</v>
      </c>
      <c r="D1384">
        <v>5</v>
      </c>
      <c r="E1384" t="s">
        <v>32</v>
      </c>
      <c r="F1384" t="s">
        <v>33</v>
      </c>
      <c r="G1384" t="str">
        <f>"2025-05-12 16:43:02.496"</f>
        <v>2025-05-12 16:43:02.496</v>
      </c>
      <c r="H1384" t="s">
        <v>34</v>
      </c>
    </row>
    <row r="1385" spans="1:10" x14ac:dyDescent="0.25">
      <c r="A1385" s="1">
        <v>408</v>
      </c>
      <c r="B1385" t="s">
        <v>25</v>
      </c>
      <c r="C1385">
        <v>706</v>
      </c>
      <c r="D1385">
        <v>4</v>
      </c>
      <c r="E1385" t="s">
        <v>35</v>
      </c>
      <c r="F1385" t="s">
        <v>36</v>
      </c>
      <c r="G1385" t="str">
        <f>"2025-05-12 16:42:32.443"</f>
        <v>2025-05-12 16:42:32.443</v>
      </c>
      <c r="H1385" t="s">
        <v>22</v>
      </c>
      <c r="I1385">
        <v>0</v>
      </c>
      <c r="J1385" t="s">
        <v>24</v>
      </c>
    </row>
    <row r="1386" spans="1:10" x14ac:dyDescent="0.25">
      <c r="A1386" s="1">
        <v>409</v>
      </c>
      <c r="B1386" t="s">
        <v>25</v>
      </c>
      <c r="C1386">
        <v>706</v>
      </c>
      <c r="D1386">
        <v>3</v>
      </c>
      <c r="E1386" t="s">
        <v>35</v>
      </c>
      <c r="F1386" t="s">
        <v>62</v>
      </c>
      <c r="G1386" t="str">
        <f>"2025-05-12 16:41:46.113"</f>
        <v>2025-05-12 16:41:46.113</v>
      </c>
      <c r="H1386" t="s">
        <v>22</v>
      </c>
      <c r="I1386">
        <v>0</v>
      </c>
      <c r="J1386" t="s">
        <v>24</v>
      </c>
    </row>
    <row r="1387" spans="1:10" x14ac:dyDescent="0.25">
      <c r="A1387" s="1">
        <v>410</v>
      </c>
      <c r="B1387" t="s">
        <v>37</v>
      </c>
      <c r="C1387">
        <v>630</v>
      </c>
      <c r="D1387">
        <v>5</v>
      </c>
      <c r="E1387" t="s">
        <v>32</v>
      </c>
      <c r="F1387" t="s">
        <v>33</v>
      </c>
      <c r="G1387" t="str">
        <f>"2025-05-12 16:39:03.296"</f>
        <v>2025-05-12 16:39:03.296</v>
      </c>
      <c r="H1387" t="s">
        <v>34</v>
      </c>
      <c r="I1387">
        <v>0</v>
      </c>
      <c r="J1387" t="s">
        <v>24</v>
      </c>
    </row>
    <row r="1388" spans="1:10" x14ac:dyDescent="0.25">
      <c r="A1388" s="1">
        <v>411</v>
      </c>
      <c r="B1388" t="s">
        <v>25</v>
      </c>
      <c r="C1388">
        <v>700</v>
      </c>
      <c r="D1388">
        <v>0</v>
      </c>
      <c r="E1388" t="s">
        <v>26</v>
      </c>
      <c r="F1388" t="s">
        <v>26</v>
      </c>
      <c r="G1388" t="str">
        <f>"2025-05-12 16:34:00.453"</f>
        <v>2025-05-12 16:34:00.453</v>
      </c>
      <c r="H1388" t="s">
        <v>22</v>
      </c>
      <c r="I1388">
        <v>0</v>
      </c>
      <c r="J1388" t="s">
        <v>27</v>
      </c>
    </row>
    <row r="1389" spans="1:10" x14ac:dyDescent="0.25">
      <c r="A1389" s="1">
        <v>412</v>
      </c>
      <c r="B1389" t="s">
        <v>25</v>
      </c>
      <c r="C1389">
        <v>700</v>
      </c>
      <c r="D1389">
        <v>0</v>
      </c>
      <c r="E1389" t="s">
        <v>26</v>
      </c>
      <c r="F1389" t="s">
        <v>26</v>
      </c>
      <c r="G1389" t="str">
        <f>"2025-05-12 15:02:36.661"</f>
        <v>2025-05-12 15:02:36.661</v>
      </c>
      <c r="H1389" t="s">
        <v>22</v>
      </c>
      <c r="I1389">
        <v>0</v>
      </c>
      <c r="J1389" t="s">
        <v>27</v>
      </c>
    </row>
    <row r="1390" spans="1:10" x14ac:dyDescent="0.25">
      <c r="A1390" s="1">
        <v>413</v>
      </c>
      <c r="B1390" t="s">
        <v>25</v>
      </c>
      <c r="C1390">
        <v>700</v>
      </c>
      <c r="D1390">
        <v>0</v>
      </c>
      <c r="E1390" t="s">
        <v>26</v>
      </c>
      <c r="F1390" t="s">
        <v>26</v>
      </c>
      <c r="G1390" t="str">
        <f>"2025-05-12 14:51:59.430"</f>
        <v>2025-05-12 14:51:59.430</v>
      </c>
      <c r="H1390" t="s">
        <v>22</v>
      </c>
    </row>
    <row r="1391" spans="1:10" x14ac:dyDescent="0.25">
      <c r="A1391" s="1">
        <v>414</v>
      </c>
      <c r="B1391" t="s">
        <v>25</v>
      </c>
      <c r="C1391">
        <v>700</v>
      </c>
      <c r="D1391">
        <v>0</v>
      </c>
      <c r="E1391" t="s">
        <v>26</v>
      </c>
      <c r="F1391" t="s">
        <v>26</v>
      </c>
      <c r="G1391" t="str">
        <f>"2025-05-11 21:44:59.448"</f>
        <v>2025-05-11 21:44:59.448</v>
      </c>
      <c r="H1391" t="s">
        <v>22</v>
      </c>
    </row>
    <row r="1392" spans="1:10" x14ac:dyDescent="0.25">
      <c r="A1392" s="1">
        <v>415</v>
      </c>
      <c r="B1392" t="s">
        <v>19</v>
      </c>
      <c r="C1392">
        <v>635</v>
      </c>
      <c r="D1392">
        <v>1</v>
      </c>
      <c r="E1392" t="s">
        <v>28</v>
      </c>
      <c r="F1392" t="s">
        <v>29</v>
      </c>
      <c r="G1392" t="str">
        <f>"2025-05-11 20:14:13.292"</f>
        <v>2025-05-11 20:14:13.292</v>
      </c>
      <c r="H1392" t="s">
        <v>22</v>
      </c>
    </row>
    <row r="1393" spans="1:10" x14ac:dyDescent="0.25">
      <c r="A1393" s="1">
        <v>416</v>
      </c>
      <c r="B1393" t="s">
        <v>23</v>
      </c>
      <c r="C1393">
        <v>635</v>
      </c>
      <c r="D1393">
        <v>1</v>
      </c>
      <c r="E1393" t="s">
        <v>28</v>
      </c>
      <c r="F1393" t="s">
        <v>29</v>
      </c>
      <c r="G1393" t="str">
        <f>"2025-05-11 20:10:28.292"</f>
        <v>2025-05-11 20:10:28.292</v>
      </c>
      <c r="H1393" t="s">
        <v>22</v>
      </c>
      <c r="I1393">
        <v>1.35</v>
      </c>
      <c r="J1393" t="s">
        <v>48</v>
      </c>
    </row>
    <row r="1394" spans="1:10" x14ac:dyDescent="0.25">
      <c r="A1394" s="1">
        <v>417</v>
      </c>
      <c r="B1394" t="s">
        <v>25</v>
      </c>
      <c r="C1394">
        <v>706</v>
      </c>
      <c r="D1394">
        <v>4</v>
      </c>
      <c r="E1394" t="s">
        <v>35</v>
      </c>
      <c r="F1394" t="s">
        <v>36</v>
      </c>
      <c r="G1394" t="str">
        <f>"2025-05-11 09:17:02.262"</f>
        <v>2025-05-11 09:17:02.262</v>
      </c>
      <c r="H1394" t="s">
        <v>22</v>
      </c>
      <c r="I1394">
        <v>0</v>
      </c>
      <c r="J1394" t="s">
        <v>24</v>
      </c>
    </row>
    <row r="1395" spans="1:10" x14ac:dyDescent="0.25">
      <c r="A1395" s="1">
        <v>418</v>
      </c>
      <c r="B1395" t="s">
        <v>25</v>
      </c>
      <c r="C1395">
        <v>700</v>
      </c>
      <c r="D1395">
        <v>0</v>
      </c>
      <c r="E1395" t="s">
        <v>26</v>
      </c>
      <c r="F1395" t="s">
        <v>26</v>
      </c>
      <c r="G1395" t="str">
        <f>"2025-05-11 09:16:20.422"</f>
        <v>2025-05-11 09:16:20.422</v>
      </c>
      <c r="H1395" t="s">
        <v>22</v>
      </c>
    </row>
    <row r="1396" spans="1:10" x14ac:dyDescent="0.25">
      <c r="A1396" s="1">
        <v>419</v>
      </c>
      <c r="B1396" t="s">
        <v>25</v>
      </c>
      <c r="C1396">
        <v>700</v>
      </c>
      <c r="D1396">
        <v>0</v>
      </c>
      <c r="E1396" t="s">
        <v>26</v>
      </c>
      <c r="F1396" t="s">
        <v>26</v>
      </c>
      <c r="G1396" t="str">
        <f>"2025-05-09 22:36:48.441"</f>
        <v>2025-05-09 22:36:48.441</v>
      </c>
      <c r="H1396" t="s">
        <v>22</v>
      </c>
    </row>
    <row r="1397" spans="1:10" x14ac:dyDescent="0.25">
      <c r="A1397" s="1">
        <v>420</v>
      </c>
      <c r="B1397" t="s">
        <v>19</v>
      </c>
      <c r="C1397">
        <v>635</v>
      </c>
      <c r="D1397">
        <v>1</v>
      </c>
      <c r="E1397" t="s">
        <v>28</v>
      </c>
      <c r="F1397" t="s">
        <v>29</v>
      </c>
      <c r="G1397" t="str">
        <f>"2025-05-09 10:57:31.649"</f>
        <v>2025-05-09 10:57:31.649</v>
      </c>
      <c r="H1397" t="s">
        <v>22</v>
      </c>
    </row>
    <row r="1398" spans="1:10" x14ac:dyDescent="0.25">
      <c r="A1398" s="1">
        <v>421</v>
      </c>
      <c r="B1398" t="s">
        <v>23</v>
      </c>
      <c r="C1398">
        <v>635</v>
      </c>
      <c r="D1398">
        <v>1</v>
      </c>
      <c r="E1398" t="s">
        <v>28</v>
      </c>
      <c r="F1398" t="s">
        <v>29</v>
      </c>
      <c r="G1398" t="str">
        <f>"2025-05-09 10:52:16.149"</f>
        <v>2025-05-09 10:52:16.149</v>
      </c>
      <c r="H1398" t="s">
        <v>22</v>
      </c>
      <c r="I1398">
        <v>8.09</v>
      </c>
      <c r="J1398" t="s">
        <v>30</v>
      </c>
    </row>
    <row r="1399" spans="1:10" x14ac:dyDescent="0.25">
      <c r="A1399" s="1">
        <v>422</v>
      </c>
      <c r="B1399" t="s">
        <v>25</v>
      </c>
      <c r="C1399">
        <v>700</v>
      </c>
      <c r="D1399">
        <v>0</v>
      </c>
      <c r="E1399" t="s">
        <v>26</v>
      </c>
      <c r="F1399" t="s">
        <v>26</v>
      </c>
      <c r="G1399" t="str">
        <f>"2025-05-07 13:50:30.441"</f>
        <v>2025-05-07 13:50:30.441</v>
      </c>
      <c r="H1399" t="s">
        <v>22</v>
      </c>
      <c r="I1399">
        <v>0</v>
      </c>
      <c r="J1399" t="s">
        <v>27</v>
      </c>
    </row>
    <row r="1400" spans="1:10" x14ac:dyDescent="0.25">
      <c r="A1400" s="1">
        <v>423</v>
      </c>
      <c r="B1400" t="s">
        <v>25</v>
      </c>
      <c r="C1400">
        <v>700</v>
      </c>
      <c r="D1400">
        <v>0</v>
      </c>
      <c r="E1400" t="s">
        <v>26</v>
      </c>
      <c r="F1400" t="s">
        <v>26</v>
      </c>
      <c r="G1400" t="str">
        <f>"2025-05-06 20:31:33.426"</f>
        <v>2025-05-06 20:31:33.426</v>
      </c>
      <c r="H1400" t="s">
        <v>22</v>
      </c>
      <c r="I1400">
        <v>0</v>
      </c>
      <c r="J1400" t="s">
        <v>27</v>
      </c>
    </row>
    <row r="1401" spans="1:10" x14ac:dyDescent="0.25">
      <c r="A1401" s="1">
        <v>424</v>
      </c>
      <c r="B1401" t="s">
        <v>19</v>
      </c>
      <c r="C1401">
        <v>635</v>
      </c>
      <c r="D1401">
        <v>1</v>
      </c>
      <c r="E1401" t="s">
        <v>28</v>
      </c>
      <c r="F1401" t="s">
        <v>29</v>
      </c>
      <c r="G1401" t="str">
        <f>"2025-05-05 11:33:36.756"</f>
        <v>2025-05-05 11:33:36.756</v>
      </c>
      <c r="H1401" t="s">
        <v>22</v>
      </c>
    </row>
    <row r="1402" spans="1:10" x14ac:dyDescent="0.25">
      <c r="A1402" s="1">
        <v>425</v>
      </c>
      <c r="B1402" t="s">
        <v>23</v>
      </c>
      <c r="C1402">
        <v>635</v>
      </c>
      <c r="D1402">
        <v>1</v>
      </c>
      <c r="E1402" t="s">
        <v>28</v>
      </c>
      <c r="F1402" t="s">
        <v>29</v>
      </c>
      <c r="G1402" t="str">
        <f>"2025-05-05 11:29:14.256"</f>
        <v>2025-05-05 11:29:14.256</v>
      </c>
      <c r="H1402" t="s">
        <v>22</v>
      </c>
      <c r="I1402">
        <v>4.63</v>
      </c>
      <c r="J1402" t="s">
        <v>30</v>
      </c>
    </row>
    <row r="1403" spans="1:10" x14ac:dyDescent="0.25">
      <c r="A1403" s="1">
        <v>426</v>
      </c>
      <c r="B1403" t="s">
        <v>25</v>
      </c>
      <c r="C1403">
        <v>706</v>
      </c>
      <c r="D1403">
        <v>2</v>
      </c>
      <c r="E1403" t="s">
        <v>35</v>
      </c>
      <c r="F1403" t="s">
        <v>38</v>
      </c>
      <c r="G1403" t="str">
        <f>"2025-05-04 19:37:06.538"</f>
        <v>2025-05-04 19:37:06.538</v>
      </c>
      <c r="H1403" t="s">
        <v>22</v>
      </c>
      <c r="I1403">
        <v>0</v>
      </c>
      <c r="J1403" t="s">
        <v>24</v>
      </c>
    </row>
    <row r="1404" spans="1:10" x14ac:dyDescent="0.25">
      <c r="A1404" s="1">
        <v>427</v>
      </c>
      <c r="B1404" t="s">
        <v>25</v>
      </c>
      <c r="C1404">
        <v>700</v>
      </c>
      <c r="D1404">
        <v>0</v>
      </c>
      <c r="E1404" t="s">
        <v>26</v>
      </c>
      <c r="F1404" t="s">
        <v>26</v>
      </c>
      <c r="G1404" t="str">
        <f>"2025-05-04 19:36:51.408"</f>
        <v>2025-05-04 19:36:51.408</v>
      </c>
      <c r="H1404" t="s">
        <v>22</v>
      </c>
    </row>
    <row r="1405" spans="1:10" x14ac:dyDescent="0.25">
      <c r="A1405" s="1">
        <v>428</v>
      </c>
      <c r="B1405" t="s">
        <v>19</v>
      </c>
      <c r="C1405">
        <v>630</v>
      </c>
      <c r="D1405">
        <v>5</v>
      </c>
      <c r="E1405" t="s">
        <v>32</v>
      </c>
      <c r="F1405" t="s">
        <v>33</v>
      </c>
      <c r="G1405" t="str">
        <f>"2025-05-04 11:36:23.039"</f>
        <v>2025-05-04 11:36:23.039</v>
      </c>
      <c r="H1405" t="s">
        <v>34</v>
      </c>
    </row>
    <row r="1406" spans="1:10" x14ac:dyDescent="0.25">
      <c r="A1406" s="1">
        <v>429</v>
      </c>
      <c r="B1406" t="s">
        <v>25</v>
      </c>
      <c r="C1406">
        <v>706</v>
      </c>
      <c r="D1406">
        <v>2</v>
      </c>
      <c r="E1406" t="s">
        <v>35</v>
      </c>
      <c r="F1406" t="s">
        <v>38</v>
      </c>
      <c r="G1406" t="str">
        <f>"2025-05-04 11:35:52.941"</f>
        <v>2025-05-04 11:35:52.941</v>
      </c>
      <c r="H1406" t="s">
        <v>22</v>
      </c>
      <c r="I1406">
        <v>0</v>
      </c>
      <c r="J1406" t="s">
        <v>24</v>
      </c>
    </row>
    <row r="1407" spans="1:10" x14ac:dyDescent="0.25">
      <c r="A1407" s="1">
        <v>430</v>
      </c>
      <c r="B1407" t="s">
        <v>37</v>
      </c>
      <c r="C1407">
        <v>630</v>
      </c>
      <c r="D1407">
        <v>5</v>
      </c>
      <c r="E1407" t="s">
        <v>32</v>
      </c>
      <c r="F1407" t="s">
        <v>33</v>
      </c>
      <c r="G1407" t="str">
        <f>"2025-05-04 11:32:35.340"</f>
        <v>2025-05-04 11:32:35.340</v>
      </c>
      <c r="H1407" t="s">
        <v>34</v>
      </c>
      <c r="I1407">
        <v>0</v>
      </c>
      <c r="J1407" t="s">
        <v>24</v>
      </c>
    </row>
    <row r="1408" spans="1:10" x14ac:dyDescent="0.25">
      <c r="A1408" s="1">
        <v>431</v>
      </c>
      <c r="B1408" t="s">
        <v>25</v>
      </c>
      <c r="C1408">
        <v>700</v>
      </c>
      <c r="D1408">
        <v>0</v>
      </c>
      <c r="E1408" t="s">
        <v>26</v>
      </c>
      <c r="F1408" t="s">
        <v>26</v>
      </c>
      <c r="G1408" t="str">
        <f>"2025-05-04 11:27:32.531"</f>
        <v>2025-05-04 11:27:32.531</v>
      </c>
      <c r="H1408" t="s">
        <v>22</v>
      </c>
      <c r="I1408">
        <v>0</v>
      </c>
      <c r="J1408" t="s">
        <v>27</v>
      </c>
    </row>
    <row r="1409" spans="1:10" x14ac:dyDescent="0.25">
      <c r="A1409" s="1">
        <v>432</v>
      </c>
      <c r="B1409" t="s">
        <v>37</v>
      </c>
      <c r="C1409">
        <v>630</v>
      </c>
      <c r="D1409">
        <v>5</v>
      </c>
      <c r="E1409" t="s">
        <v>32</v>
      </c>
      <c r="F1409" t="s">
        <v>33</v>
      </c>
      <c r="G1409" t="str">
        <f>"2025-05-04 10:54:00.158"</f>
        <v>2025-05-04 10:54:00.158</v>
      </c>
      <c r="H1409" t="s">
        <v>34</v>
      </c>
      <c r="I1409">
        <v>0</v>
      </c>
      <c r="J1409" t="s">
        <v>24</v>
      </c>
    </row>
    <row r="1410" spans="1:10" x14ac:dyDescent="0.25">
      <c r="A1410" s="1">
        <v>433</v>
      </c>
      <c r="B1410" t="s">
        <v>25</v>
      </c>
      <c r="C1410">
        <v>706</v>
      </c>
      <c r="D1410">
        <v>3</v>
      </c>
      <c r="E1410" t="s">
        <v>35</v>
      </c>
      <c r="F1410" t="s">
        <v>62</v>
      </c>
      <c r="G1410" t="str">
        <f>"2025-05-04 10:48:58.623"</f>
        <v>2025-05-04 10:48:58.623</v>
      </c>
      <c r="H1410" t="s">
        <v>22</v>
      </c>
      <c r="I1410">
        <v>0</v>
      </c>
      <c r="J1410" t="s">
        <v>24</v>
      </c>
    </row>
    <row r="1411" spans="1:10" x14ac:dyDescent="0.25">
      <c r="A1411" s="1">
        <v>434</v>
      </c>
      <c r="B1411" t="s">
        <v>25</v>
      </c>
      <c r="C1411">
        <v>700</v>
      </c>
      <c r="D1411">
        <v>0</v>
      </c>
      <c r="E1411" t="s">
        <v>26</v>
      </c>
      <c r="F1411" t="s">
        <v>26</v>
      </c>
      <c r="G1411" t="str">
        <f>"2025-05-04 10:44:31.423"</f>
        <v>2025-05-04 10:44:31.423</v>
      </c>
      <c r="H1411" t="s">
        <v>22</v>
      </c>
    </row>
    <row r="1412" spans="1:10" x14ac:dyDescent="0.25">
      <c r="A1412" s="1">
        <v>435</v>
      </c>
      <c r="B1412" t="s">
        <v>19</v>
      </c>
      <c r="C1412">
        <v>635</v>
      </c>
      <c r="D1412">
        <v>1</v>
      </c>
      <c r="E1412" t="s">
        <v>28</v>
      </c>
      <c r="F1412" t="s">
        <v>29</v>
      </c>
      <c r="G1412" t="str">
        <f>"2025-05-03 20:35:01.826"</f>
        <v>2025-05-03 20:35:01.826</v>
      </c>
      <c r="H1412" t="s">
        <v>22</v>
      </c>
    </row>
    <row r="1413" spans="1:10" x14ac:dyDescent="0.25">
      <c r="A1413" s="1">
        <v>436</v>
      </c>
      <c r="B1413" t="s">
        <v>23</v>
      </c>
      <c r="C1413">
        <v>635</v>
      </c>
      <c r="D1413">
        <v>1</v>
      </c>
      <c r="E1413" t="s">
        <v>28</v>
      </c>
      <c r="F1413" t="s">
        <v>29</v>
      </c>
      <c r="G1413" t="str">
        <f>"2025-05-03 20:32:08.827"</f>
        <v>2025-05-03 20:32:08.827</v>
      </c>
      <c r="H1413" t="s">
        <v>22</v>
      </c>
      <c r="I1413">
        <v>2.1</v>
      </c>
      <c r="J1413" t="s">
        <v>31</v>
      </c>
    </row>
    <row r="1414" spans="1:10" x14ac:dyDescent="0.25">
      <c r="A1414" s="1">
        <v>437</v>
      </c>
      <c r="B1414" t="s">
        <v>25</v>
      </c>
      <c r="C1414">
        <v>706</v>
      </c>
      <c r="D1414">
        <v>4</v>
      </c>
      <c r="E1414" t="s">
        <v>35</v>
      </c>
      <c r="F1414" t="s">
        <v>36</v>
      </c>
      <c r="G1414" t="str">
        <f>"2025-05-03 19:36:13.647"</f>
        <v>2025-05-03 19:36:13.647</v>
      </c>
      <c r="H1414" t="s">
        <v>22</v>
      </c>
      <c r="I1414">
        <v>0</v>
      </c>
      <c r="J1414" t="s">
        <v>24</v>
      </c>
    </row>
    <row r="1415" spans="1:10" x14ac:dyDescent="0.25">
      <c r="A1415" s="1">
        <v>438</v>
      </c>
      <c r="B1415" t="s">
        <v>25</v>
      </c>
      <c r="C1415">
        <v>700</v>
      </c>
      <c r="D1415">
        <v>0</v>
      </c>
      <c r="E1415" t="s">
        <v>26</v>
      </c>
      <c r="F1415" t="s">
        <v>26</v>
      </c>
      <c r="G1415" t="str">
        <f>"2025-05-03 19:35:38.407"</f>
        <v>2025-05-03 19:35:38.407</v>
      </c>
      <c r="H1415" t="s">
        <v>22</v>
      </c>
      <c r="I1415">
        <v>0</v>
      </c>
      <c r="J1415" t="s">
        <v>27</v>
      </c>
    </row>
    <row r="1416" spans="1:10" x14ac:dyDescent="0.25">
      <c r="A1416" s="1">
        <v>439</v>
      </c>
      <c r="B1416" t="s">
        <v>25</v>
      </c>
      <c r="C1416">
        <v>700</v>
      </c>
      <c r="D1416">
        <v>0</v>
      </c>
      <c r="E1416" t="s">
        <v>26</v>
      </c>
      <c r="F1416" t="s">
        <v>26</v>
      </c>
      <c r="G1416" t="str">
        <f>"2025-05-03 07:36:22.411"</f>
        <v>2025-05-03 07:36:22.411</v>
      </c>
      <c r="H1416" t="s">
        <v>22</v>
      </c>
    </row>
    <row r="1417" spans="1:10" x14ac:dyDescent="0.25">
      <c r="A1417" s="1">
        <v>440</v>
      </c>
      <c r="B1417" t="s">
        <v>25</v>
      </c>
      <c r="C1417">
        <v>700</v>
      </c>
      <c r="D1417">
        <v>0</v>
      </c>
      <c r="E1417" t="s">
        <v>26</v>
      </c>
      <c r="F1417" t="s">
        <v>26</v>
      </c>
      <c r="G1417" t="str">
        <f>"2025-05-03 04:11:40.415"</f>
        <v>2025-05-03 04:11:40.415</v>
      </c>
      <c r="H1417" t="s">
        <v>22</v>
      </c>
    </row>
    <row r="1418" spans="1:10" x14ac:dyDescent="0.25">
      <c r="A1418" s="1">
        <v>441</v>
      </c>
      <c r="B1418" t="s">
        <v>25</v>
      </c>
      <c r="C1418">
        <v>706</v>
      </c>
      <c r="D1418">
        <v>4</v>
      </c>
      <c r="E1418" t="s">
        <v>35</v>
      </c>
      <c r="F1418" t="s">
        <v>36</v>
      </c>
      <c r="G1418" t="str">
        <f>"2025-05-02 14:43:24.852"</f>
        <v>2025-05-02 14:43:24.852</v>
      </c>
      <c r="H1418" t="s">
        <v>22</v>
      </c>
      <c r="I1418">
        <v>0</v>
      </c>
      <c r="J1418" t="s">
        <v>24</v>
      </c>
    </row>
    <row r="1419" spans="1:10" x14ac:dyDescent="0.25">
      <c r="A1419" s="1">
        <v>442</v>
      </c>
      <c r="B1419" t="s">
        <v>25</v>
      </c>
      <c r="C1419">
        <v>700</v>
      </c>
      <c r="D1419">
        <v>0</v>
      </c>
      <c r="E1419" t="s">
        <v>26</v>
      </c>
      <c r="F1419" t="s">
        <v>26</v>
      </c>
      <c r="G1419" t="str">
        <f>"2025-05-02 14:43:02.392"</f>
        <v>2025-05-02 14:43:02.392</v>
      </c>
      <c r="H1419" t="s">
        <v>22</v>
      </c>
    </row>
    <row r="1420" spans="1:10" x14ac:dyDescent="0.25">
      <c r="A1420" s="1">
        <v>443</v>
      </c>
      <c r="B1420" t="s">
        <v>25</v>
      </c>
      <c r="C1420">
        <v>706</v>
      </c>
      <c r="D1420">
        <v>4</v>
      </c>
      <c r="E1420" t="s">
        <v>35</v>
      </c>
      <c r="F1420" t="s">
        <v>36</v>
      </c>
      <c r="G1420" t="str">
        <f>"2025-05-02 07:50:38.349"</f>
        <v>2025-05-02 07:50:38.349</v>
      </c>
      <c r="H1420" t="s">
        <v>22</v>
      </c>
      <c r="I1420">
        <v>0</v>
      </c>
      <c r="J1420" t="s">
        <v>24</v>
      </c>
    </row>
    <row r="1421" spans="1:10" x14ac:dyDescent="0.25">
      <c r="A1421" s="1">
        <v>444</v>
      </c>
      <c r="B1421" t="s">
        <v>25</v>
      </c>
      <c r="C1421">
        <v>700</v>
      </c>
      <c r="D1421">
        <v>0</v>
      </c>
      <c r="E1421" t="s">
        <v>26</v>
      </c>
      <c r="F1421" t="s">
        <v>26</v>
      </c>
      <c r="G1421" t="str">
        <f>"2025-05-02 07:49:27.439"</f>
        <v>2025-05-02 07:49:27.439</v>
      </c>
      <c r="H1421" t="s">
        <v>22</v>
      </c>
      <c r="I1421">
        <v>0</v>
      </c>
      <c r="J1421" t="s">
        <v>27</v>
      </c>
    </row>
    <row r="1422" spans="1:10" x14ac:dyDescent="0.25">
      <c r="A1422" s="1">
        <v>445</v>
      </c>
      <c r="B1422" t="s">
        <v>25</v>
      </c>
      <c r="C1422">
        <v>700</v>
      </c>
      <c r="D1422">
        <v>0</v>
      </c>
      <c r="E1422" t="s">
        <v>26</v>
      </c>
      <c r="F1422" t="s">
        <v>26</v>
      </c>
      <c r="G1422" t="str">
        <f>"2025-05-02 03:06:58.421"</f>
        <v>2025-05-02 03:06:58.421</v>
      </c>
      <c r="H1422" t="s">
        <v>22</v>
      </c>
    </row>
    <row r="1423" spans="1:10" x14ac:dyDescent="0.25">
      <c r="A1423" s="1">
        <v>446</v>
      </c>
      <c r="B1423" t="s">
        <v>19</v>
      </c>
      <c r="C1423">
        <v>635</v>
      </c>
      <c r="D1423">
        <v>1</v>
      </c>
      <c r="E1423" t="s">
        <v>28</v>
      </c>
      <c r="F1423" t="s">
        <v>29</v>
      </c>
      <c r="G1423" t="str">
        <f>"2025-05-01 22:16:31.780"</f>
        <v>2025-05-01 22:16:31.780</v>
      </c>
      <c r="H1423" t="s">
        <v>22</v>
      </c>
    </row>
    <row r="1424" spans="1:10" x14ac:dyDescent="0.25">
      <c r="A1424" s="1">
        <v>447</v>
      </c>
      <c r="B1424" t="s">
        <v>23</v>
      </c>
      <c r="C1424">
        <v>635</v>
      </c>
      <c r="D1424">
        <v>1</v>
      </c>
      <c r="E1424" t="s">
        <v>28</v>
      </c>
      <c r="F1424" t="s">
        <v>29</v>
      </c>
      <c r="G1424" t="str">
        <f>"2025-05-01 22:13:37.281"</f>
        <v>2025-05-01 22:13:37.281</v>
      </c>
      <c r="H1424" t="s">
        <v>22</v>
      </c>
      <c r="I1424">
        <v>1.76</v>
      </c>
      <c r="J1424" t="s">
        <v>30</v>
      </c>
    </row>
    <row r="1425" spans="1:10" x14ac:dyDescent="0.25">
      <c r="A1425" s="1">
        <v>448</v>
      </c>
      <c r="B1425" t="s">
        <v>25</v>
      </c>
      <c r="C1425">
        <v>700</v>
      </c>
      <c r="D1425">
        <v>0</v>
      </c>
      <c r="E1425" t="s">
        <v>26</v>
      </c>
      <c r="F1425" t="s">
        <v>26</v>
      </c>
      <c r="G1425" t="str">
        <f>"2025-05-01 21:12:38.408"</f>
        <v>2025-05-01 21:12:38.408</v>
      </c>
      <c r="H1425" t="s">
        <v>22</v>
      </c>
      <c r="I1425">
        <v>0</v>
      </c>
      <c r="J1425" t="s">
        <v>27</v>
      </c>
    </row>
    <row r="1426" spans="1:10" x14ac:dyDescent="0.25">
      <c r="A1426" s="1">
        <v>449</v>
      </c>
      <c r="B1426" t="s">
        <v>25</v>
      </c>
      <c r="C1426">
        <v>700</v>
      </c>
      <c r="D1426">
        <v>0</v>
      </c>
      <c r="E1426" t="s">
        <v>26</v>
      </c>
      <c r="F1426" t="s">
        <v>26</v>
      </c>
      <c r="G1426" t="str">
        <f>"2025-05-01 19:34:15.538"</f>
        <v>2025-05-01 19:34:15.538</v>
      </c>
      <c r="H1426" t="s">
        <v>22</v>
      </c>
      <c r="I1426">
        <v>0</v>
      </c>
      <c r="J1426" t="s">
        <v>27</v>
      </c>
    </row>
    <row r="1427" spans="1:10" x14ac:dyDescent="0.25">
      <c r="A1427" s="1">
        <v>450</v>
      </c>
      <c r="B1427" t="s">
        <v>25</v>
      </c>
      <c r="C1427">
        <v>700</v>
      </c>
      <c r="D1427">
        <v>0</v>
      </c>
      <c r="E1427" t="s">
        <v>26</v>
      </c>
      <c r="F1427" t="s">
        <v>26</v>
      </c>
      <c r="G1427" t="str">
        <f>"2025-04-30 11:59:06.408"</f>
        <v>2025-04-30 11:59:06.408</v>
      </c>
      <c r="H1427" t="s">
        <v>22</v>
      </c>
      <c r="I1427">
        <v>0</v>
      </c>
      <c r="J1427" t="s">
        <v>27</v>
      </c>
    </row>
    <row r="1428" spans="1:10" x14ac:dyDescent="0.25">
      <c r="A1428" s="1">
        <v>451</v>
      </c>
      <c r="B1428" t="s">
        <v>25</v>
      </c>
      <c r="C1428">
        <v>700</v>
      </c>
      <c r="D1428">
        <v>0</v>
      </c>
      <c r="E1428" t="s">
        <v>26</v>
      </c>
      <c r="F1428" t="s">
        <v>26</v>
      </c>
      <c r="G1428" t="str">
        <f>"2025-04-30 11:51:06.412"</f>
        <v>2025-04-30 11:51:06.412</v>
      </c>
      <c r="H1428" t="s">
        <v>22</v>
      </c>
      <c r="I1428">
        <v>0</v>
      </c>
      <c r="J1428" t="s">
        <v>27</v>
      </c>
    </row>
    <row r="1429" spans="1:10" x14ac:dyDescent="0.25">
      <c r="A1429" s="1">
        <v>452</v>
      </c>
      <c r="B1429" t="s">
        <v>25</v>
      </c>
      <c r="C1429">
        <v>700</v>
      </c>
      <c r="D1429">
        <v>0</v>
      </c>
      <c r="E1429" t="s">
        <v>26</v>
      </c>
      <c r="F1429" t="s">
        <v>26</v>
      </c>
      <c r="G1429" t="str">
        <f>"2025-04-30 11:42:19.444"</f>
        <v>2025-04-30 11:42:19.444</v>
      </c>
      <c r="H1429" t="s">
        <v>22</v>
      </c>
      <c r="I1429">
        <v>0</v>
      </c>
      <c r="J1429" t="s">
        <v>27</v>
      </c>
    </row>
    <row r="1430" spans="1:10" x14ac:dyDescent="0.25">
      <c r="A1430" s="1">
        <v>453</v>
      </c>
      <c r="B1430" t="s">
        <v>25</v>
      </c>
      <c r="C1430">
        <v>700</v>
      </c>
      <c r="D1430">
        <v>0</v>
      </c>
      <c r="E1430" t="s">
        <v>26</v>
      </c>
      <c r="F1430" t="s">
        <v>26</v>
      </c>
      <c r="G1430" t="str">
        <f>"2025-04-30 11:41:03.411"</f>
        <v>2025-04-30 11:41:03.411</v>
      </c>
      <c r="H1430" t="s">
        <v>22</v>
      </c>
      <c r="I1430">
        <v>0</v>
      </c>
      <c r="J1430" t="s">
        <v>27</v>
      </c>
    </row>
    <row r="1431" spans="1:10" x14ac:dyDescent="0.25">
      <c r="A1431" s="1">
        <v>454</v>
      </c>
      <c r="B1431" t="s">
        <v>25</v>
      </c>
      <c r="C1431">
        <v>706</v>
      </c>
      <c r="D1431">
        <v>4</v>
      </c>
      <c r="E1431" t="s">
        <v>35</v>
      </c>
      <c r="F1431" t="s">
        <v>36</v>
      </c>
      <c r="G1431" t="str">
        <f>"2025-04-30 11:38:50.994"</f>
        <v>2025-04-30 11:38:50.994</v>
      </c>
      <c r="H1431" t="s">
        <v>22</v>
      </c>
      <c r="I1431">
        <v>0</v>
      </c>
      <c r="J1431" t="s">
        <v>24</v>
      </c>
    </row>
    <row r="1432" spans="1:10" x14ac:dyDescent="0.25">
      <c r="A1432" s="1">
        <v>455</v>
      </c>
      <c r="B1432" t="s">
        <v>25</v>
      </c>
      <c r="C1432">
        <v>706</v>
      </c>
      <c r="D1432">
        <v>2</v>
      </c>
      <c r="E1432" t="s">
        <v>35</v>
      </c>
      <c r="F1432" t="s">
        <v>38</v>
      </c>
      <c r="G1432" t="str">
        <f>"2025-04-30 11:38:27.264"</f>
        <v>2025-04-30 11:38:27.264</v>
      </c>
      <c r="H1432" t="s">
        <v>22</v>
      </c>
      <c r="I1432">
        <v>0</v>
      </c>
      <c r="J1432" t="s">
        <v>24</v>
      </c>
    </row>
    <row r="1433" spans="1:10" x14ac:dyDescent="0.25">
      <c r="A1433" s="1">
        <v>456</v>
      </c>
      <c r="B1433" t="s">
        <v>37</v>
      </c>
      <c r="C1433">
        <v>630</v>
      </c>
      <c r="D1433">
        <v>5</v>
      </c>
      <c r="E1433" t="s">
        <v>32</v>
      </c>
      <c r="F1433" t="s">
        <v>33</v>
      </c>
      <c r="G1433" t="str">
        <f>"2025-04-30 11:31:29.263"</f>
        <v>2025-04-30 11:31:29.263</v>
      </c>
      <c r="H1433" t="s">
        <v>34</v>
      </c>
      <c r="I1433">
        <v>0</v>
      </c>
      <c r="J1433" t="s">
        <v>24</v>
      </c>
    </row>
    <row r="1434" spans="1:10" x14ac:dyDescent="0.25">
      <c r="A1434" s="1">
        <v>457</v>
      </c>
      <c r="B1434" t="s">
        <v>19</v>
      </c>
      <c r="C1434">
        <v>630</v>
      </c>
      <c r="D1434">
        <v>5</v>
      </c>
      <c r="E1434" t="s">
        <v>32</v>
      </c>
      <c r="F1434" t="s">
        <v>33</v>
      </c>
      <c r="G1434" t="str">
        <f>"2025-04-30 11:16:05.663"</f>
        <v>2025-04-30 11:16:05.663</v>
      </c>
      <c r="H1434" t="s">
        <v>34</v>
      </c>
    </row>
    <row r="1435" spans="1:10" x14ac:dyDescent="0.25">
      <c r="A1435" s="1">
        <v>458</v>
      </c>
      <c r="B1435" t="s">
        <v>25</v>
      </c>
      <c r="C1435">
        <v>706</v>
      </c>
      <c r="D1435">
        <v>4</v>
      </c>
      <c r="E1435" t="s">
        <v>35</v>
      </c>
      <c r="F1435" t="s">
        <v>36</v>
      </c>
      <c r="G1435" t="str">
        <f>"2025-04-30 11:15:35.544"</f>
        <v>2025-04-30 11:15:35.544</v>
      </c>
      <c r="H1435" t="s">
        <v>22</v>
      </c>
      <c r="I1435">
        <v>0</v>
      </c>
      <c r="J1435" t="s">
        <v>24</v>
      </c>
    </row>
    <row r="1436" spans="1:10" x14ac:dyDescent="0.25">
      <c r="A1436" s="1">
        <v>459</v>
      </c>
      <c r="B1436" t="s">
        <v>37</v>
      </c>
      <c r="C1436">
        <v>630</v>
      </c>
      <c r="D1436">
        <v>5</v>
      </c>
      <c r="E1436" t="s">
        <v>32</v>
      </c>
      <c r="F1436" t="s">
        <v>33</v>
      </c>
      <c r="G1436" t="str">
        <f>"2025-04-30 11:15:03.264"</f>
        <v>2025-04-30 11:15:03.264</v>
      </c>
      <c r="H1436" t="s">
        <v>34</v>
      </c>
      <c r="I1436">
        <v>0</v>
      </c>
      <c r="J1436" t="s">
        <v>24</v>
      </c>
    </row>
    <row r="1437" spans="1:10" x14ac:dyDescent="0.25">
      <c r="A1437" s="1">
        <v>460</v>
      </c>
      <c r="B1437" t="s">
        <v>25</v>
      </c>
      <c r="C1437">
        <v>700</v>
      </c>
      <c r="D1437">
        <v>0</v>
      </c>
      <c r="E1437" t="s">
        <v>26</v>
      </c>
      <c r="F1437" t="s">
        <v>26</v>
      </c>
      <c r="G1437" t="str">
        <f>"2025-04-30 11:10:00.414"</f>
        <v>2025-04-30 11:10:00.414</v>
      </c>
      <c r="H1437" t="s">
        <v>22</v>
      </c>
      <c r="I1437">
        <v>0</v>
      </c>
      <c r="J1437" t="s">
        <v>27</v>
      </c>
    </row>
    <row r="1438" spans="1:10" x14ac:dyDescent="0.25">
      <c r="A1438" s="1">
        <v>461</v>
      </c>
      <c r="B1438" t="s">
        <v>25</v>
      </c>
      <c r="C1438">
        <v>700</v>
      </c>
      <c r="D1438">
        <v>0</v>
      </c>
      <c r="E1438" t="s">
        <v>26</v>
      </c>
      <c r="F1438" t="s">
        <v>26</v>
      </c>
      <c r="G1438" t="str">
        <f>"2025-04-30 09:58:00.667"</f>
        <v>2025-04-30 09:58:00.667</v>
      </c>
      <c r="H1438" t="s">
        <v>22</v>
      </c>
      <c r="I1438">
        <v>0</v>
      </c>
      <c r="J1438" t="s">
        <v>27</v>
      </c>
    </row>
    <row r="1439" spans="1:10" x14ac:dyDescent="0.25">
      <c r="A1439" s="1">
        <v>462</v>
      </c>
      <c r="B1439" t="s">
        <v>25</v>
      </c>
      <c r="C1439">
        <v>700</v>
      </c>
      <c r="D1439">
        <v>0</v>
      </c>
      <c r="E1439" t="s">
        <v>26</v>
      </c>
      <c r="F1439" t="s">
        <v>26</v>
      </c>
      <c r="G1439" t="str">
        <f>"2025-04-29 13:56:39.415"</f>
        <v>2025-04-29 13:56:39.415</v>
      </c>
      <c r="H1439" t="s">
        <v>22</v>
      </c>
      <c r="I1439">
        <v>0</v>
      </c>
      <c r="J1439" t="s">
        <v>27</v>
      </c>
    </row>
    <row r="1440" spans="1:10" x14ac:dyDescent="0.25">
      <c r="A1440" s="1">
        <v>463</v>
      </c>
      <c r="B1440" t="s">
        <v>19</v>
      </c>
      <c r="C1440">
        <v>635</v>
      </c>
      <c r="D1440">
        <v>1</v>
      </c>
      <c r="E1440" t="s">
        <v>28</v>
      </c>
      <c r="F1440" t="s">
        <v>29</v>
      </c>
      <c r="G1440" t="str">
        <f>"2025-04-28 02:43:51.078"</f>
        <v>2025-04-28 02:43:51.078</v>
      </c>
      <c r="H1440" t="s">
        <v>22</v>
      </c>
    </row>
    <row r="1441" spans="1:10" x14ac:dyDescent="0.25">
      <c r="A1441" s="1">
        <v>464</v>
      </c>
      <c r="B1441" t="s">
        <v>23</v>
      </c>
      <c r="C1441">
        <v>635</v>
      </c>
      <c r="D1441">
        <v>1</v>
      </c>
      <c r="E1441" t="s">
        <v>28</v>
      </c>
      <c r="F1441" t="s">
        <v>29</v>
      </c>
      <c r="G1441" t="str">
        <f>"2025-04-28 02:35:54.078"</f>
        <v>2025-04-28 02:35:54.078</v>
      </c>
      <c r="H1441" t="s">
        <v>22</v>
      </c>
      <c r="I1441">
        <v>2.3199999999999998</v>
      </c>
      <c r="J1441" t="s">
        <v>30</v>
      </c>
    </row>
    <row r="1442" spans="1:10" s="3" customFormat="1" x14ac:dyDescent="0.25">
      <c r="A1442" s="2">
        <v>465</v>
      </c>
      <c r="B1442" s="3" t="s">
        <v>19</v>
      </c>
      <c r="C1442" s="3">
        <v>647</v>
      </c>
      <c r="D1442" s="3">
        <v>1</v>
      </c>
      <c r="E1442" s="3" t="s">
        <v>49</v>
      </c>
      <c r="F1442" s="3" t="s">
        <v>50</v>
      </c>
      <c r="G1442" s="3" t="str">
        <f>"2025-04-27 17:47:18.332"</f>
        <v>2025-04-27 17:47:18.332</v>
      </c>
      <c r="H1442" s="3" t="s">
        <v>22</v>
      </c>
    </row>
    <row r="1443" spans="1:10" s="3" customFormat="1" x14ac:dyDescent="0.25">
      <c r="A1443" s="2">
        <v>466</v>
      </c>
      <c r="B1443" s="3" t="s">
        <v>23</v>
      </c>
      <c r="C1443" s="3">
        <v>647</v>
      </c>
      <c r="D1443" s="3">
        <v>1</v>
      </c>
      <c r="E1443" s="3" t="s">
        <v>49</v>
      </c>
      <c r="F1443" s="3" t="s">
        <v>50</v>
      </c>
      <c r="G1443" s="3" t="str">
        <f>"2025-04-27 17:47:14.432"</f>
        <v>2025-04-27 17:47:14.432</v>
      </c>
      <c r="H1443" s="3" t="s">
        <v>22</v>
      </c>
      <c r="I1443" s="3">
        <v>9.52</v>
      </c>
      <c r="J1443" s="3" t="s">
        <v>31</v>
      </c>
    </row>
    <row r="1444" spans="1:10" x14ac:dyDescent="0.25">
      <c r="A1444" s="1">
        <v>467</v>
      </c>
      <c r="B1444" t="s">
        <v>19</v>
      </c>
      <c r="C1444">
        <v>635</v>
      </c>
      <c r="D1444">
        <v>1</v>
      </c>
      <c r="E1444" t="s">
        <v>28</v>
      </c>
      <c r="F1444" t="s">
        <v>29</v>
      </c>
      <c r="G1444" t="str">
        <f>"2025-04-26 11:25:20.778"</f>
        <v>2025-04-26 11:25:20.778</v>
      </c>
      <c r="H1444" t="s">
        <v>22</v>
      </c>
    </row>
    <row r="1445" spans="1:10" x14ac:dyDescent="0.25">
      <c r="A1445" s="1">
        <v>468</v>
      </c>
      <c r="B1445" t="s">
        <v>23</v>
      </c>
      <c r="C1445">
        <v>635</v>
      </c>
      <c r="D1445">
        <v>1</v>
      </c>
      <c r="E1445" t="s">
        <v>28</v>
      </c>
      <c r="F1445" t="s">
        <v>29</v>
      </c>
      <c r="G1445" t="str">
        <f>"2025-04-26 11:19:40.778"</f>
        <v>2025-04-26 11:19:40.778</v>
      </c>
      <c r="H1445" t="s">
        <v>22</v>
      </c>
      <c r="I1445">
        <v>8.1999999999999993</v>
      </c>
      <c r="J1445" t="s">
        <v>30</v>
      </c>
    </row>
    <row r="1446" spans="1:10" x14ac:dyDescent="0.25">
      <c r="A1446" s="1">
        <v>469</v>
      </c>
      <c r="B1446" t="s">
        <v>19</v>
      </c>
      <c r="C1446">
        <v>635</v>
      </c>
      <c r="D1446">
        <v>1</v>
      </c>
      <c r="E1446" t="s">
        <v>28</v>
      </c>
      <c r="F1446" t="s">
        <v>29</v>
      </c>
      <c r="G1446" t="str">
        <f>"2025-04-25 23:37:11.978"</f>
        <v>2025-04-25 23:37:11.978</v>
      </c>
      <c r="H1446" t="s">
        <v>22</v>
      </c>
    </row>
    <row r="1447" spans="1:10" x14ac:dyDescent="0.25">
      <c r="A1447" s="1">
        <v>470</v>
      </c>
      <c r="B1447" t="s">
        <v>23</v>
      </c>
      <c r="C1447">
        <v>635</v>
      </c>
      <c r="D1447">
        <v>1</v>
      </c>
      <c r="E1447" t="s">
        <v>28</v>
      </c>
      <c r="F1447" t="s">
        <v>29</v>
      </c>
      <c r="G1447" t="str">
        <f>"2025-04-25 23:28:28.979"</f>
        <v>2025-04-25 23:28:28.979</v>
      </c>
      <c r="H1447" t="s">
        <v>22</v>
      </c>
      <c r="I1447">
        <v>1.22</v>
      </c>
      <c r="J1447" t="s">
        <v>30</v>
      </c>
    </row>
    <row r="1448" spans="1:10" x14ac:dyDescent="0.25">
      <c r="A1448" s="1">
        <v>471</v>
      </c>
      <c r="B1448" t="s">
        <v>25</v>
      </c>
      <c r="C1448">
        <v>700</v>
      </c>
      <c r="D1448">
        <v>0</v>
      </c>
      <c r="E1448" t="s">
        <v>26</v>
      </c>
      <c r="F1448" t="s">
        <v>26</v>
      </c>
      <c r="G1448" t="str">
        <f>"2025-04-25 10:14:20.398"</f>
        <v>2025-04-25 10:14:20.398</v>
      </c>
      <c r="H1448" t="s">
        <v>22</v>
      </c>
    </row>
    <row r="1449" spans="1:10" x14ac:dyDescent="0.25">
      <c r="A1449" s="1">
        <v>472</v>
      </c>
      <c r="B1449" t="s">
        <v>19</v>
      </c>
      <c r="C1449">
        <v>635</v>
      </c>
      <c r="D1449">
        <v>1</v>
      </c>
      <c r="E1449" t="s">
        <v>28</v>
      </c>
      <c r="F1449" t="s">
        <v>29</v>
      </c>
      <c r="G1449" t="str">
        <f>"2025-04-25 02:24:55.818"</f>
        <v>2025-04-25 02:24:55.818</v>
      </c>
      <c r="H1449" t="s">
        <v>22</v>
      </c>
    </row>
    <row r="1450" spans="1:10" x14ac:dyDescent="0.25">
      <c r="A1450" s="1">
        <v>473</v>
      </c>
      <c r="B1450" t="s">
        <v>23</v>
      </c>
      <c r="C1450">
        <v>635</v>
      </c>
      <c r="D1450">
        <v>1</v>
      </c>
      <c r="E1450" t="s">
        <v>28</v>
      </c>
      <c r="F1450" t="s">
        <v>29</v>
      </c>
      <c r="G1450" t="str">
        <f>"2025-04-25 02:14:24.818"</f>
        <v>2025-04-25 02:14:24.818</v>
      </c>
      <c r="H1450" t="s">
        <v>22</v>
      </c>
      <c r="I1450">
        <v>1.31</v>
      </c>
      <c r="J1450" t="s">
        <v>30</v>
      </c>
    </row>
    <row r="1451" spans="1:10" x14ac:dyDescent="0.25">
      <c r="A1451" s="1">
        <v>475</v>
      </c>
      <c r="B1451" t="s">
        <v>19</v>
      </c>
      <c r="C1451">
        <v>635</v>
      </c>
      <c r="D1451">
        <v>1</v>
      </c>
      <c r="E1451" t="s">
        <v>28</v>
      </c>
      <c r="F1451" t="s">
        <v>29</v>
      </c>
      <c r="G1451" t="str">
        <f>"2025-04-22 09:13:18.918"</f>
        <v>2025-04-22 09:13:18.918</v>
      </c>
      <c r="H1451" t="s">
        <v>22</v>
      </c>
    </row>
    <row r="1452" spans="1:10" x14ac:dyDescent="0.25">
      <c r="A1452" s="1">
        <v>476</v>
      </c>
      <c r="B1452" t="s">
        <v>23</v>
      </c>
      <c r="C1452">
        <v>635</v>
      </c>
      <c r="D1452">
        <v>1</v>
      </c>
      <c r="E1452" t="s">
        <v>28</v>
      </c>
      <c r="F1452" t="s">
        <v>29</v>
      </c>
      <c r="G1452" t="str">
        <f>"2025-04-22 09:11:02.919"</f>
        <v>2025-04-22 09:11:02.919</v>
      </c>
      <c r="H1452" t="s">
        <v>22</v>
      </c>
      <c r="I1452">
        <v>5.46</v>
      </c>
      <c r="J1452" t="s">
        <v>31</v>
      </c>
    </row>
    <row r="1453" spans="1:10" x14ac:dyDescent="0.25">
      <c r="A1453" s="1">
        <v>477</v>
      </c>
      <c r="B1453" t="s">
        <v>25</v>
      </c>
      <c r="C1453">
        <v>700</v>
      </c>
      <c r="D1453">
        <v>0</v>
      </c>
      <c r="E1453" t="s">
        <v>26</v>
      </c>
      <c r="F1453" t="s">
        <v>26</v>
      </c>
      <c r="G1453" t="str">
        <f>"2025-04-22 09:00:44.590"</f>
        <v>2025-04-22 09:00:44.590</v>
      </c>
      <c r="H1453" t="s">
        <v>22</v>
      </c>
      <c r="I1453">
        <v>0</v>
      </c>
      <c r="J1453" t="s">
        <v>27</v>
      </c>
    </row>
    <row r="1454" spans="1:10" x14ac:dyDescent="0.25">
      <c r="A1454" s="1">
        <v>478</v>
      </c>
      <c r="B1454" t="s">
        <v>19</v>
      </c>
      <c r="C1454">
        <v>635</v>
      </c>
      <c r="D1454">
        <v>1</v>
      </c>
      <c r="E1454" t="s">
        <v>28</v>
      </c>
      <c r="F1454" t="s">
        <v>29</v>
      </c>
      <c r="G1454" t="str">
        <f>"2025-04-21 14:04:38.495"</f>
        <v>2025-04-21 14:04:38.495</v>
      </c>
      <c r="H1454" t="s">
        <v>22</v>
      </c>
    </row>
    <row r="1455" spans="1:10" x14ac:dyDescent="0.25">
      <c r="A1455" s="1">
        <v>479</v>
      </c>
      <c r="B1455" t="s">
        <v>23</v>
      </c>
      <c r="C1455">
        <v>635</v>
      </c>
      <c r="D1455">
        <v>1</v>
      </c>
      <c r="E1455" t="s">
        <v>28</v>
      </c>
      <c r="F1455" t="s">
        <v>29</v>
      </c>
      <c r="G1455" t="str">
        <f>"2025-04-21 14:00:53.995"</f>
        <v>2025-04-21 14:00:53.995</v>
      </c>
      <c r="H1455" t="s">
        <v>22</v>
      </c>
      <c r="I1455">
        <v>7.46</v>
      </c>
      <c r="J1455" t="s">
        <v>30</v>
      </c>
    </row>
    <row r="1456" spans="1:10" x14ac:dyDescent="0.25">
      <c r="A1456" s="1">
        <v>480</v>
      </c>
      <c r="B1456" t="s">
        <v>19</v>
      </c>
      <c r="C1456">
        <v>635</v>
      </c>
      <c r="D1456">
        <v>1</v>
      </c>
      <c r="E1456" t="s">
        <v>28</v>
      </c>
      <c r="F1456" t="s">
        <v>29</v>
      </c>
      <c r="G1456" t="str">
        <f>"2025-04-21 07:07:27.295"</f>
        <v>2025-04-21 07:07:27.295</v>
      </c>
      <c r="H1456" t="s">
        <v>22</v>
      </c>
    </row>
    <row r="1457" spans="1:10" x14ac:dyDescent="0.25">
      <c r="A1457" s="1">
        <v>481</v>
      </c>
      <c r="B1457" t="s">
        <v>23</v>
      </c>
      <c r="C1457">
        <v>635</v>
      </c>
      <c r="D1457">
        <v>1</v>
      </c>
      <c r="E1457" t="s">
        <v>28</v>
      </c>
      <c r="F1457" t="s">
        <v>29</v>
      </c>
      <c r="G1457" t="str">
        <f>"2025-04-21 06:58:07.795"</f>
        <v>2025-04-21 06:58:07.795</v>
      </c>
      <c r="H1457" t="s">
        <v>22</v>
      </c>
      <c r="I1457">
        <v>9.94</v>
      </c>
      <c r="J1457" t="s">
        <v>31</v>
      </c>
    </row>
    <row r="1458" spans="1:10" x14ac:dyDescent="0.25">
      <c r="A1458" s="1">
        <v>482</v>
      </c>
      <c r="B1458" t="s">
        <v>25</v>
      </c>
      <c r="C1458">
        <v>700</v>
      </c>
      <c r="D1458">
        <v>0</v>
      </c>
      <c r="E1458" t="s">
        <v>26</v>
      </c>
      <c r="F1458" t="s">
        <v>26</v>
      </c>
      <c r="G1458" t="str">
        <f>"2025-04-19 14:56:14.415"</f>
        <v>2025-04-19 14:56:14.415</v>
      </c>
      <c r="H1458" t="s">
        <v>22</v>
      </c>
      <c r="I1458">
        <v>0</v>
      </c>
      <c r="J1458" t="s">
        <v>27</v>
      </c>
    </row>
    <row r="1459" spans="1:10" x14ac:dyDescent="0.25">
      <c r="A1459" s="1">
        <v>483</v>
      </c>
      <c r="B1459" t="s">
        <v>19</v>
      </c>
      <c r="C1459">
        <v>635</v>
      </c>
      <c r="D1459">
        <v>1</v>
      </c>
      <c r="E1459" t="s">
        <v>28</v>
      </c>
      <c r="F1459" t="s">
        <v>29</v>
      </c>
      <c r="G1459" t="str">
        <f>"2025-04-18 11:10:20.090"</f>
        <v>2025-04-18 11:10:20.090</v>
      </c>
      <c r="H1459" t="s">
        <v>22</v>
      </c>
    </row>
    <row r="1460" spans="1:10" x14ac:dyDescent="0.25">
      <c r="A1460" s="1">
        <v>484</v>
      </c>
      <c r="B1460" t="s">
        <v>23</v>
      </c>
      <c r="C1460">
        <v>635</v>
      </c>
      <c r="D1460">
        <v>1</v>
      </c>
      <c r="E1460" t="s">
        <v>28</v>
      </c>
      <c r="F1460" t="s">
        <v>29</v>
      </c>
      <c r="G1460" t="str">
        <f>"2025-04-18 11:06:21.090"</f>
        <v>2025-04-18 11:06:21.090</v>
      </c>
      <c r="H1460" t="s">
        <v>22</v>
      </c>
      <c r="I1460">
        <v>3.34</v>
      </c>
      <c r="J1460" t="s">
        <v>30</v>
      </c>
    </row>
    <row r="1461" spans="1:10" s="3" customFormat="1" x14ac:dyDescent="0.25">
      <c r="A1461" s="2">
        <v>485</v>
      </c>
      <c r="B1461" s="3" t="s">
        <v>19</v>
      </c>
      <c r="C1461" s="3">
        <v>647</v>
      </c>
      <c r="D1461" s="3">
        <v>1</v>
      </c>
      <c r="E1461" s="3" t="s">
        <v>49</v>
      </c>
      <c r="F1461" s="3" t="s">
        <v>50</v>
      </c>
      <c r="G1461" s="3" t="str">
        <f>"2025-04-18 05:22:43.091"</f>
        <v>2025-04-18 05:22:43.091</v>
      </c>
      <c r="H1461" s="3" t="s">
        <v>22</v>
      </c>
    </row>
    <row r="1462" spans="1:10" s="3" customFormat="1" x14ac:dyDescent="0.25">
      <c r="A1462" s="2">
        <v>486</v>
      </c>
      <c r="B1462" s="3" t="s">
        <v>23</v>
      </c>
      <c r="C1462" s="3">
        <v>647</v>
      </c>
      <c r="D1462" s="3">
        <v>1</v>
      </c>
      <c r="E1462" s="3" t="s">
        <v>49</v>
      </c>
      <c r="F1462" s="3" t="s">
        <v>50</v>
      </c>
      <c r="G1462" s="3" t="str">
        <f>"2025-04-18 05:22:38.591"</f>
        <v>2025-04-18 05:22:38.591</v>
      </c>
      <c r="H1462" s="3" t="s">
        <v>22</v>
      </c>
      <c r="I1462" s="3">
        <v>12.34</v>
      </c>
      <c r="J1462" s="3" t="s">
        <v>31</v>
      </c>
    </row>
    <row r="1463" spans="1:10" x14ac:dyDescent="0.25">
      <c r="A1463" s="1">
        <v>487</v>
      </c>
      <c r="B1463" t="s">
        <v>19</v>
      </c>
      <c r="C1463">
        <v>630</v>
      </c>
      <c r="D1463">
        <v>5</v>
      </c>
      <c r="E1463" t="s">
        <v>32</v>
      </c>
      <c r="F1463" t="s">
        <v>33</v>
      </c>
      <c r="G1463" t="str">
        <f>"2025-04-17 22:22:17.591"</f>
        <v>2025-04-17 22:22:17.591</v>
      </c>
      <c r="H1463" t="s">
        <v>34</v>
      </c>
    </row>
    <row r="1464" spans="1:10" x14ac:dyDescent="0.25">
      <c r="A1464" s="1">
        <v>488</v>
      </c>
      <c r="B1464" t="s">
        <v>25</v>
      </c>
      <c r="C1464">
        <v>706</v>
      </c>
      <c r="D1464">
        <v>2</v>
      </c>
      <c r="E1464" t="s">
        <v>35</v>
      </c>
      <c r="F1464" t="s">
        <v>38</v>
      </c>
      <c r="G1464" t="str">
        <f>"2025-04-17 22:21:47.470"</f>
        <v>2025-04-17 22:21:47.470</v>
      </c>
      <c r="H1464" t="s">
        <v>22</v>
      </c>
      <c r="I1464">
        <v>0</v>
      </c>
      <c r="J1464" t="s">
        <v>24</v>
      </c>
    </row>
    <row r="1465" spans="1:10" x14ac:dyDescent="0.25">
      <c r="A1465" s="1">
        <v>489</v>
      </c>
      <c r="B1465" t="s">
        <v>37</v>
      </c>
      <c r="C1465">
        <v>630</v>
      </c>
      <c r="D1465">
        <v>5</v>
      </c>
      <c r="E1465" t="s">
        <v>32</v>
      </c>
      <c r="F1465" t="s">
        <v>33</v>
      </c>
      <c r="G1465" t="str">
        <f>"2025-04-17 21:56:58.191"</f>
        <v>2025-04-17 21:56:58.191</v>
      </c>
      <c r="H1465" t="s">
        <v>34</v>
      </c>
      <c r="I1465">
        <v>0</v>
      </c>
      <c r="J1465" t="s">
        <v>24</v>
      </c>
    </row>
    <row r="1466" spans="1:10" x14ac:dyDescent="0.25">
      <c r="A1466" s="1">
        <v>490</v>
      </c>
      <c r="B1466" t="s">
        <v>25</v>
      </c>
      <c r="C1466">
        <v>700</v>
      </c>
      <c r="D1466">
        <v>0</v>
      </c>
      <c r="E1466" t="s">
        <v>26</v>
      </c>
      <c r="F1466" t="s">
        <v>26</v>
      </c>
      <c r="G1466" t="str">
        <f>"2025-04-17 21:51:55.410"</f>
        <v>2025-04-17 21:51:55.410</v>
      </c>
      <c r="H1466" t="s">
        <v>22</v>
      </c>
    </row>
    <row r="1467" spans="1:10" x14ac:dyDescent="0.25">
      <c r="A1467" s="1">
        <v>491</v>
      </c>
      <c r="B1467" t="s">
        <v>37</v>
      </c>
      <c r="C1467">
        <v>630</v>
      </c>
      <c r="D1467">
        <v>5</v>
      </c>
      <c r="E1467" t="s">
        <v>32</v>
      </c>
      <c r="F1467" t="s">
        <v>33</v>
      </c>
      <c r="G1467" t="str">
        <f>"2025-04-17 21:29:57.352"</f>
        <v>2025-04-17 21:29:57.352</v>
      </c>
      <c r="H1467" t="s">
        <v>34</v>
      </c>
      <c r="I1467">
        <v>0</v>
      </c>
      <c r="J1467" t="s">
        <v>24</v>
      </c>
    </row>
    <row r="1468" spans="1:10" x14ac:dyDescent="0.25">
      <c r="A1468" s="1">
        <v>492</v>
      </c>
      <c r="B1468" t="s">
        <v>25</v>
      </c>
      <c r="C1468">
        <v>700</v>
      </c>
      <c r="D1468">
        <v>0</v>
      </c>
      <c r="E1468" t="s">
        <v>26</v>
      </c>
      <c r="F1468" t="s">
        <v>26</v>
      </c>
      <c r="G1468" t="str">
        <f>"2025-04-17 21:24:54.613"</f>
        <v>2025-04-17 21:24:54.613</v>
      </c>
      <c r="H1468" t="s">
        <v>22</v>
      </c>
    </row>
    <row r="1469" spans="1:10" x14ac:dyDescent="0.25">
      <c r="A1469" s="1">
        <v>493</v>
      </c>
      <c r="B1469" t="s">
        <v>25</v>
      </c>
      <c r="C1469">
        <v>700</v>
      </c>
      <c r="D1469">
        <v>0</v>
      </c>
      <c r="E1469" t="s">
        <v>26</v>
      </c>
      <c r="F1469" t="s">
        <v>26</v>
      </c>
      <c r="G1469" t="str">
        <f>"2025-04-17 13:26:27.421"</f>
        <v>2025-04-17 13:26:27.421</v>
      </c>
      <c r="H1469" t="s">
        <v>22</v>
      </c>
    </row>
    <row r="1470" spans="1:10" x14ac:dyDescent="0.25">
      <c r="A1470" s="1">
        <v>494</v>
      </c>
      <c r="B1470" t="s">
        <v>25</v>
      </c>
      <c r="C1470">
        <v>700</v>
      </c>
      <c r="D1470">
        <v>0</v>
      </c>
      <c r="E1470" t="s">
        <v>26</v>
      </c>
      <c r="F1470" t="s">
        <v>26</v>
      </c>
      <c r="G1470" t="str">
        <f>"2025-04-15 20:59:51.402"</f>
        <v>2025-04-15 20:59:51.402</v>
      </c>
      <c r="H1470" t="s">
        <v>22</v>
      </c>
    </row>
    <row r="1471" spans="1:10" x14ac:dyDescent="0.25">
      <c r="A1471" s="1">
        <v>495</v>
      </c>
      <c r="B1471" t="s">
        <v>25</v>
      </c>
      <c r="C1471">
        <v>700</v>
      </c>
      <c r="D1471">
        <v>0</v>
      </c>
      <c r="E1471" t="s">
        <v>26</v>
      </c>
      <c r="F1471" t="s">
        <v>26</v>
      </c>
      <c r="G1471" t="str">
        <f>"2025-04-15 20:55:06.426"</f>
        <v>2025-04-15 20:55:06.426</v>
      </c>
      <c r="H1471" t="s">
        <v>22</v>
      </c>
    </row>
    <row r="1472" spans="1:10" x14ac:dyDescent="0.25">
      <c r="A1472" s="1">
        <v>496</v>
      </c>
      <c r="B1472" t="s">
        <v>25</v>
      </c>
      <c r="C1472">
        <v>700</v>
      </c>
      <c r="D1472">
        <v>0</v>
      </c>
      <c r="E1472" t="s">
        <v>26</v>
      </c>
      <c r="F1472" t="s">
        <v>26</v>
      </c>
      <c r="G1472" t="str">
        <f>"2025-04-15 20:21:59.387"</f>
        <v>2025-04-15 20:21:59.387</v>
      </c>
      <c r="H1472" t="s">
        <v>22</v>
      </c>
    </row>
    <row r="1473" spans="1:10" x14ac:dyDescent="0.25">
      <c r="A1473" s="1">
        <v>497</v>
      </c>
      <c r="B1473" t="s">
        <v>25</v>
      </c>
      <c r="C1473">
        <v>706</v>
      </c>
      <c r="D1473">
        <v>4</v>
      </c>
      <c r="E1473" t="s">
        <v>35</v>
      </c>
      <c r="F1473" t="s">
        <v>36</v>
      </c>
      <c r="G1473" t="str">
        <f>"2025-04-15 14:00:24.052"</f>
        <v>2025-04-15 14:00:24.052</v>
      </c>
      <c r="H1473" t="s">
        <v>22</v>
      </c>
      <c r="I1473">
        <v>0</v>
      </c>
      <c r="J1473" t="s">
        <v>24</v>
      </c>
    </row>
    <row r="1474" spans="1:10" x14ac:dyDescent="0.25">
      <c r="A1474" s="1">
        <v>498</v>
      </c>
      <c r="B1474" t="s">
        <v>25</v>
      </c>
      <c r="C1474">
        <v>700</v>
      </c>
      <c r="D1474">
        <v>0</v>
      </c>
      <c r="E1474" t="s">
        <v>26</v>
      </c>
      <c r="F1474" t="s">
        <v>26</v>
      </c>
      <c r="G1474" t="str">
        <f>"2025-04-15 13:59:57.402"</f>
        <v>2025-04-15 13:59:57.402</v>
      </c>
      <c r="H1474" t="s">
        <v>22</v>
      </c>
      <c r="I1474">
        <v>0</v>
      </c>
      <c r="J1474" t="s">
        <v>27</v>
      </c>
    </row>
    <row r="1475" spans="1:10" x14ac:dyDescent="0.25">
      <c r="A1475" s="1">
        <v>499</v>
      </c>
      <c r="B1475" t="s">
        <v>25</v>
      </c>
      <c r="C1475">
        <v>700</v>
      </c>
      <c r="D1475">
        <v>0</v>
      </c>
      <c r="E1475" t="s">
        <v>26</v>
      </c>
      <c r="F1475" t="s">
        <v>26</v>
      </c>
      <c r="G1475" t="str">
        <f>"2025-04-14 08:57:20.449"</f>
        <v>2025-04-14 08:57:20.449</v>
      </c>
      <c r="H1475" t="s">
        <v>22</v>
      </c>
      <c r="I1475">
        <v>0</v>
      </c>
      <c r="J1475" t="s">
        <v>27</v>
      </c>
    </row>
    <row r="1476" spans="1:10" x14ac:dyDescent="0.25">
      <c r="A1476" s="1">
        <v>500</v>
      </c>
      <c r="B1476" t="s">
        <v>25</v>
      </c>
      <c r="C1476">
        <v>700</v>
      </c>
      <c r="D1476">
        <v>0</v>
      </c>
      <c r="E1476" t="s">
        <v>26</v>
      </c>
      <c r="F1476" t="s">
        <v>26</v>
      </c>
      <c r="G1476" t="str">
        <f>"2025-04-14 08:11:07.488"</f>
        <v>2025-04-14 08:11:07.488</v>
      </c>
      <c r="H1476" t="s">
        <v>22</v>
      </c>
    </row>
    <row r="1477" spans="1:10" x14ac:dyDescent="0.25">
      <c r="A1477" s="1">
        <v>501</v>
      </c>
      <c r="B1477" t="s">
        <v>25</v>
      </c>
      <c r="C1477">
        <v>700</v>
      </c>
      <c r="D1477">
        <v>0</v>
      </c>
      <c r="E1477" t="s">
        <v>26</v>
      </c>
      <c r="F1477" t="s">
        <v>26</v>
      </c>
      <c r="G1477" t="str">
        <f>"2025-04-13 20:37:36.629"</f>
        <v>2025-04-13 20:37:36.629</v>
      </c>
      <c r="H1477" t="s">
        <v>22</v>
      </c>
      <c r="I1477">
        <v>0</v>
      </c>
      <c r="J1477" t="s">
        <v>27</v>
      </c>
    </row>
    <row r="1478" spans="1:10" x14ac:dyDescent="0.25">
      <c r="A1478" s="1">
        <v>502</v>
      </c>
      <c r="B1478" t="s">
        <v>25</v>
      </c>
      <c r="C1478">
        <v>706</v>
      </c>
      <c r="D1478">
        <v>4</v>
      </c>
      <c r="E1478" t="s">
        <v>35</v>
      </c>
      <c r="F1478" t="s">
        <v>36</v>
      </c>
      <c r="G1478" t="str">
        <f>"2025-04-13 10:49:12.235"</f>
        <v>2025-04-13 10:49:12.235</v>
      </c>
      <c r="H1478" t="s">
        <v>22</v>
      </c>
      <c r="I1478">
        <v>0</v>
      </c>
      <c r="J1478" t="s">
        <v>24</v>
      </c>
    </row>
    <row r="1479" spans="1:10" x14ac:dyDescent="0.25">
      <c r="A1479" s="1">
        <v>503</v>
      </c>
      <c r="B1479" t="s">
        <v>25</v>
      </c>
      <c r="C1479">
        <v>700</v>
      </c>
      <c r="D1479">
        <v>0</v>
      </c>
      <c r="E1479" t="s">
        <v>26</v>
      </c>
      <c r="F1479" t="s">
        <v>26</v>
      </c>
      <c r="G1479" t="str">
        <f>"2025-04-13 10:48:54.495"</f>
        <v>2025-04-13 10:48:54.495</v>
      </c>
      <c r="H1479" t="s">
        <v>22</v>
      </c>
      <c r="I1479">
        <v>0</v>
      </c>
      <c r="J1479" t="s">
        <v>27</v>
      </c>
    </row>
    <row r="1480" spans="1:10" x14ac:dyDescent="0.25">
      <c r="A1480" s="1">
        <v>504</v>
      </c>
      <c r="B1480" t="s">
        <v>25</v>
      </c>
      <c r="C1480">
        <v>700</v>
      </c>
      <c r="D1480">
        <v>0</v>
      </c>
      <c r="E1480" t="s">
        <v>26</v>
      </c>
      <c r="F1480" t="s">
        <v>26</v>
      </c>
      <c r="G1480" t="str">
        <f>"2025-04-13 10:26:41.408"</f>
        <v>2025-04-13 10:26:41.408</v>
      </c>
      <c r="H1480" t="s">
        <v>22</v>
      </c>
      <c r="I1480">
        <v>0</v>
      </c>
      <c r="J1480" t="s">
        <v>27</v>
      </c>
    </row>
    <row r="1481" spans="1:10" x14ac:dyDescent="0.25">
      <c r="A1481" s="1">
        <v>505</v>
      </c>
      <c r="B1481" t="s">
        <v>37</v>
      </c>
      <c r="C1481">
        <v>630</v>
      </c>
      <c r="D1481">
        <v>5</v>
      </c>
      <c r="E1481" t="s">
        <v>32</v>
      </c>
      <c r="F1481" t="s">
        <v>33</v>
      </c>
      <c r="G1481" t="str">
        <f>"2025-04-13 10:19:57.063"</f>
        <v>2025-04-13 10:19:57.063</v>
      </c>
      <c r="H1481" t="s">
        <v>34</v>
      </c>
      <c r="I1481">
        <v>0</v>
      </c>
      <c r="J1481" t="s">
        <v>24</v>
      </c>
    </row>
    <row r="1482" spans="1:10" x14ac:dyDescent="0.25">
      <c r="A1482" s="1">
        <v>506</v>
      </c>
      <c r="B1482" t="s">
        <v>25</v>
      </c>
      <c r="C1482">
        <v>700</v>
      </c>
      <c r="D1482">
        <v>0</v>
      </c>
      <c r="E1482" t="s">
        <v>26</v>
      </c>
      <c r="F1482" t="s">
        <v>26</v>
      </c>
      <c r="G1482" t="str">
        <f>"2025-04-13 10:14:54.402"</f>
        <v>2025-04-13 10:14:54.402</v>
      </c>
      <c r="H1482" t="s">
        <v>22</v>
      </c>
    </row>
    <row r="1483" spans="1:10" s="3" customFormat="1" x14ac:dyDescent="0.25">
      <c r="A1483" s="2">
        <v>507</v>
      </c>
      <c r="B1483" s="3" t="s">
        <v>19</v>
      </c>
      <c r="C1483" s="3">
        <v>647</v>
      </c>
      <c r="D1483" s="3">
        <v>1</v>
      </c>
      <c r="E1483" s="3" t="s">
        <v>49</v>
      </c>
      <c r="F1483" s="3" t="s">
        <v>50</v>
      </c>
      <c r="G1483" s="3" t="str">
        <f>"2025-04-12 22:58:42.174"</f>
        <v>2025-04-12 22:58:42.174</v>
      </c>
      <c r="H1483" s="3" t="s">
        <v>22</v>
      </c>
    </row>
    <row r="1484" spans="1:10" s="3" customFormat="1" x14ac:dyDescent="0.25">
      <c r="A1484" s="2">
        <v>508</v>
      </c>
      <c r="B1484" s="3" t="s">
        <v>23</v>
      </c>
      <c r="C1484" s="3">
        <v>647</v>
      </c>
      <c r="D1484" s="3">
        <v>1</v>
      </c>
      <c r="E1484" s="3" t="s">
        <v>49</v>
      </c>
      <c r="F1484" s="3" t="s">
        <v>50</v>
      </c>
      <c r="G1484" s="3" t="str">
        <f>"2025-04-12 22:58:39.275"</f>
        <v>2025-04-12 22:58:39.275</v>
      </c>
      <c r="H1484" s="3" t="s">
        <v>22</v>
      </c>
      <c r="I1484" s="3">
        <v>14.15</v>
      </c>
      <c r="J1484" s="3" t="s">
        <v>31</v>
      </c>
    </row>
    <row r="1485" spans="1:10" x14ac:dyDescent="0.25">
      <c r="A1485" s="1">
        <v>509</v>
      </c>
      <c r="B1485" t="s">
        <v>25</v>
      </c>
      <c r="C1485">
        <v>700</v>
      </c>
      <c r="D1485">
        <v>0</v>
      </c>
      <c r="E1485" t="s">
        <v>26</v>
      </c>
      <c r="F1485" t="s">
        <v>26</v>
      </c>
      <c r="G1485" t="str">
        <f>"2025-04-12 10:47:48.437"</f>
        <v>2025-04-12 10:47:48.437</v>
      </c>
      <c r="H1485" t="s">
        <v>22</v>
      </c>
      <c r="I1485">
        <v>0</v>
      </c>
      <c r="J1485" t="s">
        <v>27</v>
      </c>
    </row>
    <row r="1486" spans="1:10" x14ac:dyDescent="0.25">
      <c r="A1486" s="1">
        <v>510</v>
      </c>
      <c r="B1486" t="s">
        <v>25</v>
      </c>
      <c r="C1486">
        <v>700</v>
      </c>
      <c r="D1486">
        <v>0</v>
      </c>
      <c r="E1486" t="s">
        <v>26</v>
      </c>
      <c r="F1486" t="s">
        <v>26</v>
      </c>
      <c r="G1486" t="str">
        <f>"2025-04-11 10:54:37.401"</f>
        <v>2025-04-11 10:54:37.401</v>
      </c>
      <c r="H1486" t="s">
        <v>22</v>
      </c>
    </row>
    <row r="1487" spans="1:10" x14ac:dyDescent="0.25">
      <c r="A1487" s="1">
        <v>511</v>
      </c>
      <c r="B1487" t="s">
        <v>25</v>
      </c>
      <c r="C1487">
        <v>700</v>
      </c>
      <c r="D1487">
        <v>0</v>
      </c>
      <c r="E1487" t="s">
        <v>26</v>
      </c>
      <c r="F1487" t="s">
        <v>26</v>
      </c>
      <c r="G1487" t="str">
        <f>"2025-04-11 10:45:46.384"</f>
        <v>2025-04-11 10:45:46.384</v>
      </c>
      <c r="H1487" t="s">
        <v>22</v>
      </c>
    </row>
    <row r="1488" spans="1:10" x14ac:dyDescent="0.25">
      <c r="A1488" s="1">
        <v>512</v>
      </c>
      <c r="B1488" t="s">
        <v>25</v>
      </c>
      <c r="C1488">
        <v>700</v>
      </c>
      <c r="D1488">
        <v>0</v>
      </c>
      <c r="E1488" t="s">
        <v>26</v>
      </c>
      <c r="F1488" t="s">
        <v>26</v>
      </c>
      <c r="G1488" t="str">
        <f>"2025-04-11 10:31:21.410"</f>
        <v>2025-04-11 10:31:21.410</v>
      </c>
      <c r="H1488" t="s">
        <v>22</v>
      </c>
      <c r="I1488">
        <v>0</v>
      </c>
      <c r="J1488" t="s">
        <v>27</v>
      </c>
    </row>
    <row r="1489" spans="1:10" x14ac:dyDescent="0.25">
      <c r="A1489" s="1">
        <v>514</v>
      </c>
      <c r="B1489" t="s">
        <v>25</v>
      </c>
      <c r="C1489">
        <v>700</v>
      </c>
      <c r="D1489">
        <v>0</v>
      </c>
      <c r="E1489" t="s">
        <v>26</v>
      </c>
      <c r="F1489" t="s">
        <v>26</v>
      </c>
      <c r="G1489" t="str">
        <f>"2025-04-10 08:18:19.429"</f>
        <v>2025-04-10 08:18:19.429</v>
      </c>
      <c r="H1489" t="s">
        <v>22</v>
      </c>
      <c r="I1489">
        <v>0</v>
      </c>
      <c r="J1489" t="s">
        <v>27</v>
      </c>
    </row>
    <row r="1490" spans="1:10" x14ac:dyDescent="0.25">
      <c r="A1490" s="1">
        <v>515</v>
      </c>
      <c r="B1490" t="s">
        <v>19</v>
      </c>
      <c r="C1490">
        <v>635</v>
      </c>
      <c r="D1490">
        <v>1</v>
      </c>
      <c r="E1490" t="s">
        <v>28</v>
      </c>
      <c r="F1490" t="s">
        <v>29</v>
      </c>
      <c r="G1490" t="str">
        <f>"2025-04-09 16:52:22.166"</f>
        <v>2025-04-09 16:52:22.166</v>
      </c>
      <c r="H1490" t="s">
        <v>22</v>
      </c>
    </row>
    <row r="1491" spans="1:10" x14ac:dyDescent="0.25">
      <c r="A1491" s="1">
        <v>516</v>
      </c>
      <c r="B1491" t="s">
        <v>23</v>
      </c>
      <c r="C1491">
        <v>635</v>
      </c>
      <c r="D1491">
        <v>1</v>
      </c>
      <c r="E1491" t="s">
        <v>28</v>
      </c>
      <c r="F1491" t="s">
        <v>29</v>
      </c>
      <c r="G1491" t="str">
        <f>"2025-04-09 16:48:56.166"</f>
        <v>2025-04-09 16:48:56.166</v>
      </c>
      <c r="H1491" t="s">
        <v>22</v>
      </c>
      <c r="I1491">
        <v>1.67</v>
      </c>
      <c r="J1491" t="s">
        <v>48</v>
      </c>
    </row>
    <row r="1492" spans="1:10" x14ac:dyDescent="0.25">
      <c r="A1492" s="1">
        <v>517</v>
      </c>
      <c r="B1492" t="s">
        <v>25</v>
      </c>
      <c r="C1492">
        <v>700</v>
      </c>
      <c r="D1492">
        <v>0</v>
      </c>
      <c r="E1492" t="s">
        <v>26</v>
      </c>
      <c r="F1492" t="s">
        <v>26</v>
      </c>
      <c r="G1492" t="str">
        <f>"2025-04-09 09:09:01.418"</f>
        <v>2025-04-09 09:09:01.418</v>
      </c>
      <c r="H1492" t="s">
        <v>22</v>
      </c>
      <c r="I1492">
        <v>0</v>
      </c>
      <c r="J1492" t="s">
        <v>27</v>
      </c>
    </row>
    <row r="1493" spans="1:10" x14ac:dyDescent="0.25">
      <c r="A1493" s="1">
        <v>518</v>
      </c>
      <c r="B1493" t="s">
        <v>25</v>
      </c>
      <c r="C1493">
        <v>700</v>
      </c>
      <c r="D1493">
        <v>0</v>
      </c>
      <c r="E1493" t="s">
        <v>26</v>
      </c>
      <c r="F1493" t="s">
        <v>26</v>
      </c>
      <c r="G1493" t="str">
        <f>"2025-04-08 16:27:35.388"</f>
        <v>2025-04-08 16:27:35.388</v>
      </c>
      <c r="H1493" t="s">
        <v>22</v>
      </c>
      <c r="I1493">
        <v>0</v>
      </c>
      <c r="J1493" t="s">
        <v>27</v>
      </c>
    </row>
    <row r="1494" spans="1:10" s="3" customFormat="1" x14ac:dyDescent="0.25">
      <c r="A1494" s="2">
        <v>519</v>
      </c>
      <c r="B1494" s="3" t="s">
        <v>19</v>
      </c>
      <c r="C1494" s="3">
        <v>647</v>
      </c>
      <c r="D1494" s="3">
        <v>1</v>
      </c>
      <c r="E1494" s="3" t="s">
        <v>49</v>
      </c>
      <c r="F1494" s="3" t="s">
        <v>50</v>
      </c>
      <c r="G1494" s="3" t="str">
        <f>"2025-04-08 05:12:13.495"</f>
        <v>2025-04-08 05:12:13.495</v>
      </c>
      <c r="H1494" s="3" t="s">
        <v>22</v>
      </c>
    </row>
    <row r="1495" spans="1:10" s="3" customFormat="1" x14ac:dyDescent="0.25">
      <c r="A1495" s="2">
        <v>520</v>
      </c>
      <c r="B1495" s="3" t="s">
        <v>23</v>
      </c>
      <c r="C1495" s="3">
        <v>647</v>
      </c>
      <c r="D1495" s="3">
        <v>1</v>
      </c>
      <c r="E1495" s="3" t="s">
        <v>49</v>
      </c>
      <c r="F1495" s="3" t="s">
        <v>50</v>
      </c>
      <c r="G1495" s="3" t="str">
        <f>"2025-04-08 05:12:07.796"</f>
        <v>2025-04-08 05:12:07.796</v>
      </c>
      <c r="H1495" s="3" t="s">
        <v>22</v>
      </c>
      <c r="I1495" s="3">
        <v>8.6199999999999992</v>
      </c>
      <c r="J1495" s="3" t="s">
        <v>31</v>
      </c>
    </row>
    <row r="1496" spans="1:10" x14ac:dyDescent="0.25">
      <c r="A1496" s="1">
        <v>521</v>
      </c>
      <c r="B1496" t="s">
        <v>25</v>
      </c>
      <c r="C1496">
        <v>700</v>
      </c>
      <c r="D1496">
        <v>0</v>
      </c>
      <c r="E1496" t="s">
        <v>26</v>
      </c>
      <c r="F1496" t="s">
        <v>26</v>
      </c>
      <c r="G1496" t="str">
        <f>"2025-04-07 10:11:48.446"</f>
        <v>2025-04-07 10:11:48.446</v>
      </c>
      <c r="H1496" t="s">
        <v>22</v>
      </c>
      <c r="I1496">
        <v>0</v>
      </c>
      <c r="J1496" t="s">
        <v>27</v>
      </c>
    </row>
    <row r="1497" spans="1:10" x14ac:dyDescent="0.25">
      <c r="A1497" s="1">
        <v>522</v>
      </c>
      <c r="B1497" t="s">
        <v>25</v>
      </c>
      <c r="C1497">
        <v>700</v>
      </c>
      <c r="D1497">
        <v>0</v>
      </c>
      <c r="E1497" t="s">
        <v>26</v>
      </c>
      <c r="F1497" t="s">
        <v>26</v>
      </c>
      <c r="G1497" t="str">
        <f>"2025-04-07 10:05:34.382"</f>
        <v>2025-04-07 10:05:34.382</v>
      </c>
      <c r="H1497" t="s">
        <v>22</v>
      </c>
      <c r="I1497">
        <v>0</v>
      </c>
      <c r="J1497" t="s">
        <v>27</v>
      </c>
    </row>
    <row r="1498" spans="1:10" x14ac:dyDescent="0.25">
      <c r="A1498" s="1">
        <v>523</v>
      </c>
      <c r="B1498" t="s">
        <v>25</v>
      </c>
      <c r="C1498">
        <v>700</v>
      </c>
      <c r="D1498">
        <v>0</v>
      </c>
      <c r="E1498" t="s">
        <v>26</v>
      </c>
      <c r="F1498" t="s">
        <v>26</v>
      </c>
      <c r="G1498" t="str">
        <f>"2025-04-07 07:19:36.413"</f>
        <v>2025-04-07 07:19:36.413</v>
      </c>
      <c r="H1498" t="s">
        <v>22</v>
      </c>
      <c r="I1498">
        <v>0</v>
      </c>
      <c r="J1498" t="s">
        <v>27</v>
      </c>
    </row>
    <row r="1499" spans="1:10" x14ac:dyDescent="0.25">
      <c r="A1499" s="1">
        <v>524</v>
      </c>
      <c r="B1499" t="s">
        <v>19</v>
      </c>
      <c r="C1499">
        <v>635</v>
      </c>
      <c r="D1499">
        <v>1</v>
      </c>
      <c r="E1499" t="s">
        <v>28</v>
      </c>
      <c r="F1499" t="s">
        <v>29</v>
      </c>
      <c r="G1499" t="str">
        <f>"2025-04-06 23:55:55.365"</f>
        <v>2025-04-06 23:55:55.365</v>
      </c>
      <c r="H1499" t="s">
        <v>22</v>
      </c>
    </row>
    <row r="1500" spans="1:10" x14ac:dyDescent="0.25">
      <c r="A1500" s="1">
        <v>525</v>
      </c>
      <c r="B1500" t="s">
        <v>23</v>
      </c>
      <c r="C1500">
        <v>635</v>
      </c>
      <c r="D1500">
        <v>1</v>
      </c>
      <c r="E1500" t="s">
        <v>28</v>
      </c>
      <c r="F1500" t="s">
        <v>29</v>
      </c>
      <c r="G1500" t="str">
        <f>"2025-04-06 23:49:11.366"</f>
        <v>2025-04-06 23:49:11.366</v>
      </c>
      <c r="H1500" t="s">
        <v>22</v>
      </c>
      <c r="I1500">
        <v>8.7899999999999991</v>
      </c>
      <c r="J1500" t="s">
        <v>30</v>
      </c>
    </row>
    <row r="1501" spans="1:10" x14ac:dyDescent="0.25">
      <c r="A1501" s="1">
        <v>526</v>
      </c>
      <c r="B1501" t="s">
        <v>25</v>
      </c>
      <c r="C1501">
        <v>700</v>
      </c>
      <c r="D1501">
        <v>0</v>
      </c>
      <c r="E1501" t="s">
        <v>26</v>
      </c>
      <c r="F1501" t="s">
        <v>26</v>
      </c>
      <c r="G1501" t="str">
        <f>"2025-04-06 13:19:56.416"</f>
        <v>2025-04-06 13:19:56.416</v>
      </c>
      <c r="H1501" t="s">
        <v>22</v>
      </c>
      <c r="I1501">
        <v>0</v>
      </c>
      <c r="J1501" t="s">
        <v>27</v>
      </c>
    </row>
    <row r="1502" spans="1:10" x14ac:dyDescent="0.25">
      <c r="A1502" s="1">
        <v>527</v>
      </c>
      <c r="B1502" t="s">
        <v>25</v>
      </c>
      <c r="C1502">
        <v>700</v>
      </c>
      <c r="D1502">
        <v>0</v>
      </c>
      <c r="E1502" t="s">
        <v>26</v>
      </c>
      <c r="F1502" t="s">
        <v>26</v>
      </c>
      <c r="G1502" t="str">
        <f>"2025-04-05 19:58:46.387"</f>
        <v>2025-04-05 19:58:46.387</v>
      </c>
      <c r="H1502" t="s">
        <v>22</v>
      </c>
      <c r="I1502">
        <v>0</v>
      </c>
      <c r="J1502" t="s">
        <v>27</v>
      </c>
    </row>
    <row r="1503" spans="1:10" x14ac:dyDescent="0.25">
      <c r="A1503" s="1">
        <v>528</v>
      </c>
      <c r="B1503" t="s">
        <v>25</v>
      </c>
      <c r="C1503">
        <v>700</v>
      </c>
      <c r="D1503">
        <v>0</v>
      </c>
      <c r="E1503" t="s">
        <v>26</v>
      </c>
      <c r="F1503" t="s">
        <v>26</v>
      </c>
      <c r="G1503" t="str">
        <f>"2025-04-05 14:16:22.391"</f>
        <v>2025-04-05 14:16:22.391</v>
      </c>
      <c r="H1503" t="s">
        <v>22</v>
      </c>
    </row>
    <row r="1504" spans="1:10" x14ac:dyDescent="0.25">
      <c r="A1504" s="1">
        <v>529</v>
      </c>
      <c r="B1504" t="s">
        <v>25</v>
      </c>
      <c r="C1504">
        <v>700</v>
      </c>
      <c r="D1504">
        <v>0</v>
      </c>
      <c r="E1504" t="s">
        <v>26</v>
      </c>
      <c r="F1504" t="s">
        <v>26</v>
      </c>
      <c r="G1504" t="str">
        <f>"2025-04-05 11:10:47.389"</f>
        <v>2025-04-05 11:10:47.389</v>
      </c>
      <c r="H1504" t="s">
        <v>22</v>
      </c>
      <c r="I1504">
        <v>0</v>
      </c>
      <c r="J1504" t="s">
        <v>27</v>
      </c>
    </row>
    <row r="1505" spans="1:10" x14ac:dyDescent="0.25">
      <c r="A1505" s="1">
        <v>530</v>
      </c>
      <c r="B1505" t="s">
        <v>19</v>
      </c>
      <c r="C1505">
        <v>630</v>
      </c>
      <c r="D1505">
        <v>5</v>
      </c>
      <c r="E1505" t="s">
        <v>32</v>
      </c>
      <c r="F1505" t="s">
        <v>33</v>
      </c>
      <c r="G1505" t="str">
        <f>"2025-04-05 10:13:54.934"</f>
        <v>2025-04-05 10:13:54.934</v>
      </c>
      <c r="H1505" t="s">
        <v>34</v>
      </c>
    </row>
    <row r="1506" spans="1:10" x14ac:dyDescent="0.25">
      <c r="A1506" s="1">
        <v>531</v>
      </c>
      <c r="B1506" t="s">
        <v>25</v>
      </c>
      <c r="C1506">
        <v>706</v>
      </c>
      <c r="D1506">
        <v>4</v>
      </c>
      <c r="E1506" t="s">
        <v>35</v>
      </c>
      <c r="F1506" t="s">
        <v>36</v>
      </c>
      <c r="G1506" t="str">
        <f>"2025-04-05 10:13:24.842"</f>
        <v>2025-04-05 10:13:24.842</v>
      </c>
      <c r="H1506" t="s">
        <v>22</v>
      </c>
      <c r="I1506">
        <v>0</v>
      </c>
      <c r="J1506" t="s">
        <v>24</v>
      </c>
    </row>
    <row r="1507" spans="1:10" x14ac:dyDescent="0.25">
      <c r="A1507" s="1">
        <v>532</v>
      </c>
      <c r="B1507" t="s">
        <v>37</v>
      </c>
      <c r="C1507">
        <v>630</v>
      </c>
      <c r="D1507">
        <v>5</v>
      </c>
      <c r="E1507" t="s">
        <v>32</v>
      </c>
      <c r="F1507" t="s">
        <v>33</v>
      </c>
      <c r="G1507" t="str">
        <f>"2025-04-05 10:12:23.134"</f>
        <v>2025-04-05 10:12:23.134</v>
      </c>
      <c r="H1507" t="s">
        <v>34</v>
      </c>
      <c r="I1507">
        <v>0</v>
      </c>
      <c r="J1507" t="s">
        <v>24</v>
      </c>
    </row>
    <row r="1508" spans="1:10" x14ac:dyDescent="0.25">
      <c r="A1508" s="1">
        <v>533</v>
      </c>
      <c r="B1508" t="s">
        <v>25</v>
      </c>
      <c r="C1508">
        <v>700</v>
      </c>
      <c r="D1508">
        <v>0</v>
      </c>
      <c r="E1508" t="s">
        <v>26</v>
      </c>
      <c r="F1508" t="s">
        <v>26</v>
      </c>
      <c r="G1508" t="str">
        <f>"2025-04-05 10:07:20.392"</f>
        <v>2025-04-05 10:07:20.392</v>
      </c>
      <c r="H1508" t="s">
        <v>22</v>
      </c>
      <c r="I1508">
        <v>0</v>
      </c>
      <c r="J1508" t="s">
        <v>27</v>
      </c>
    </row>
    <row r="1509" spans="1:10" x14ac:dyDescent="0.25">
      <c r="A1509" s="1">
        <v>534</v>
      </c>
      <c r="B1509" t="s">
        <v>37</v>
      </c>
      <c r="C1509">
        <v>630</v>
      </c>
      <c r="D1509">
        <v>5</v>
      </c>
      <c r="E1509" t="s">
        <v>32</v>
      </c>
      <c r="F1509" t="s">
        <v>33</v>
      </c>
      <c r="G1509" t="str">
        <f>"2025-04-05 09:13:20.097"</f>
        <v>2025-04-05 09:13:20.097</v>
      </c>
      <c r="H1509" t="s">
        <v>34</v>
      </c>
      <c r="I1509">
        <v>0</v>
      </c>
      <c r="J1509" t="s">
        <v>24</v>
      </c>
    </row>
    <row r="1510" spans="1:10" x14ac:dyDescent="0.25">
      <c r="A1510" s="1">
        <v>535</v>
      </c>
      <c r="B1510" t="s">
        <v>25</v>
      </c>
      <c r="C1510">
        <v>700</v>
      </c>
      <c r="D1510">
        <v>0</v>
      </c>
      <c r="E1510" t="s">
        <v>26</v>
      </c>
      <c r="F1510" t="s">
        <v>26</v>
      </c>
      <c r="G1510" t="str">
        <f>"2025-04-05 09:08:17.375"</f>
        <v>2025-04-05 09:08:17.375</v>
      </c>
      <c r="H1510" t="s">
        <v>22</v>
      </c>
    </row>
    <row r="1511" spans="1:10" x14ac:dyDescent="0.25">
      <c r="A1511" s="1">
        <v>536</v>
      </c>
      <c r="B1511" t="s">
        <v>25</v>
      </c>
      <c r="C1511">
        <v>700</v>
      </c>
      <c r="D1511">
        <v>0</v>
      </c>
      <c r="E1511" t="s">
        <v>26</v>
      </c>
      <c r="F1511" t="s">
        <v>26</v>
      </c>
      <c r="G1511" t="str">
        <f>"2025-04-05 08:48:44.393"</f>
        <v>2025-04-05 08:48:44.393</v>
      </c>
      <c r="H1511" t="s">
        <v>22</v>
      </c>
      <c r="I1511">
        <v>0</v>
      </c>
      <c r="J1511" t="s">
        <v>27</v>
      </c>
    </row>
    <row r="1512" spans="1:10" x14ac:dyDescent="0.25">
      <c r="A1512" s="1">
        <v>537</v>
      </c>
      <c r="B1512" t="s">
        <v>25</v>
      </c>
      <c r="C1512">
        <v>706</v>
      </c>
      <c r="D1512">
        <v>4</v>
      </c>
      <c r="E1512" t="s">
        <v>35</v>
      </c>
      <c r="F1512" t="s">
        <v>36</v>
      </c>
      <c r="G1512" t="str">
        <f>"2025-04-03 20:05:23.151"</f>
        <v>2025-04-03 20:05:23.151</v>
      </c>
      <c r="H1512" t="s">
        <v>22</v>
      </c>
      <c r="I1512">
        <v>0</v>
      </c>
      <c r="J1512" t="s">
        <v>24</v>
      </c>
    </row>
    <row r="1513" spans="1:10" x14ac:dyDescent="0.25">
      <c r="A1513" s="1">
        <v>538</v>
      </c>
      <c r="B1513" t="s">
        <v>25</v>
      </c>
      <c r="C1513">
        <v>700</v>
      </c>
      <c r="D1513">
        <v>0</v>
      </c>
      <c r="E1513" t="s">
        <v>26</v>
      </c>
      <c r="F1513" t="s">
        <v>26</v>
      </c>
      <c r="G1513" t="str">
        <f>"2025-04-03 20:05:03.411"</f>
        <v>2025-04-03 20:05:03.411</v>
      </c>
      <c r="H1513" t="s">
        <v>22</v>
      </c>
    </row>
    <row r="1514" spans="1:10" x14ac:dyDescent="0.25">
      <c r="A1514" s="1">
        <v>539</v>
      </c>
      <c r="B1514" t="s">
        <v>25</v>
      </c>
      <c r="C1514">
        <v>706</v>
      </c>
      <c r="D1514">
        <v>2</v>
      </c>
      <c r="E1514" t="s">
        <v>35</v>
      </c>
      <c r="F1514" t="s">
        <v>38</v>
      </c>
      <c r="G1514" t="str">
        <f>"2025-04-03 10:57:28.314"</f>
        <v>2025-04-03 10:57:28.314</v>
      </c>
      <c r="H1514" t="s">
        <v>22</v>
      </c>
      <c r="I1514">
        <v>0</v>
      </c>
      <c r="J1514" t="s">
        <v>24</v>
      </c>
    </row>
    <row r="1515" spans="1:10" x14ac:dyDescent="0.25">
      <c r="A1515" s="1">
        <v>540</v>
      </c>
      <c r="B1515" t="s">
        <v>25</v>
      </c>
      <c r="C1515">
        <v>700</v>
      </c>
      <c r="D1515">
        <v>0</v>
      </c>
      <c r="E1515" t="s">
        <v>26</v>
      </c>
      <c r="F1515" t="s">
        <v>26</v>
      </c>
      <c r="G1515" t="str">
        <f>"2025-04-03 10:55:07.374"</f>
        <v>2025-04-03 10:55:07.374</v>
      </c>
      <c r="H1515" t="s">
        <v>22</v>
      </c>
      <c r="I1515">
        <v>0</v>
      </c>
      <c r="J1515" t="s">
        <v>27</v>
      </c>
    </row>
    <row r="1516" spans="1:10" x14ac:dyDescent="0.25">
      <c r="A1516" s="1">
        <v>541</v>
      </c>
      <c r="B1516" t="s">
        <v>25</v>
      </c>
      <c r="C1516">
        <v>700</v>
      </c>
      <c r="D1516">
        <v>0</v>
      </c>
      <c r="E1516" t="s">
        <v>26</v>
      </c>
      <c r="F1516" t="s">
        <v>26</v>
      </c>
      <c r="G1516" t="str">
        <f>"2025-04-03 08:06:54.490"</f>
        <v>2025-04-03 08:06:54.490</v>
      </c>
      <c r="H1516" t="s">
        <v>22</v>
      </c>
      <c r="I1516">
        <v>0</v>
      </c>
      <c r="J1516" t="s">
        <v>27</v>
      </c>
    </row>
    <row r="1517" spans="1:10" x14ac:dyDescent="0.25">
      <c r="A1517" s="1">
        <v>542</v>
      </c>
      <c r="B1517" t="s">
        <v>25</v>
      </c>
      <c r="C1517">
        <v>700</v>
      </c>
      <c r="D1517">
        <v>0</v>
      </c>
      <c r="E1517" t="s">
        <v>26</v>
      </c>
      <c r="F1517" t="s">
        <v>26</v>
      </c>
      <c r="G1517" t="str">
        <f>"2025-04-02 19:51:18.459"</f>
        <v>2025-04-02 19:51:18.459</v>
      </c>
      <c r="H1517" t="s">
        <v>22</v>
      </c>
    </row>
    <row r="1518" spans="1:10" x14ac:dyDescent="0.25">
      <c r="A1518" s="1">
        <v>543</v>
      </c>
      <c r="B1518" t="s">
        <v>25</v>
      </c>
      <c r="C1518">
        <v>706</v>
      </c>
      <c r="D1518">
        <v>3</v>
      </c>
      <c r="E1518" t="s">
        <v>35</v>
      </c>
      <c r="F1518" t="s">
        <v>62</v>
      </c>
      <c r="G1518" t="str">
        <f>"2025-04-02 07:39:58.435"</f>
        <v>2025-04-02 07:39:58.435</v>
      </c>
      <c r="H1518" t="s">
        <v>22</v>
      </c>
      <c r="I1518">
        <v>0</v>
      </c>
      <c r="J1518" t="s">
        <v>24</v>
      </c>
    </row>
    <row r="1519" spans="1:10" x14ac:dyDescent="0.25">
      <c r="A1519" s="1">
        <v>544</v>
      </c>
      <c r="B1519" t="s">
        <v>19</v>
      </c>
      <c r="C1519">
        <v>635</v>
      </c>
      <c r="D1519">
        <v>1</v>
      </c>
      <c r="E1519" t="s">
        <v>28</v>
      </c>
      <c r="F1519" t="s">
        <v>29</v>
      </c>
      <c r="G1519" t="str">
        <f>"2025-04-01 13:48:02.642"</f>
        <v>2025-04-01 13:48:02.642</v>
      </c>
      <c r="H1519" t="s">
        <v>22</v>
      </c>
    </row>
    <row r="1520" spans="1:10" x14ac:dyDescent="0.25">
      <c r="A1520" s="1">
        <v>545</v>
      </c>
      <c r="B1520" t="s">
        <v>23</v>
      </c>
      <c r="C1520">
        <v>635</v>
      </c>
      <c r="D1520">
        <v>1</v>
      </c>
      <c r="E1520" t="s">
        <v>28</v>
      </c>
      <c r="F1520" t="s">
        <v>29</v>
      </c>
      <c r="G1520" t="str">
        <f>"2025-04-01 13:44:29.642"</f>
        <v>2025-04-01 13:44:29.642</v>
      </c>
      <c r="H1520" t="s">
        <v>22</v>
      </c>
      <c r="I1520">
        <v>5.17</v>
      </c>
      <c r="J1520" t="s">
        <v>31</v>
      </c>
    </row>
    <row r="1521" spans="1:10" x14ac:dyDescent="0.25">
      <c r="A1521" s="1">
        <v>546</v>
      </c>
      <c r="B1521" t="s">
        <v>25</v>
      </c>
      <c r="C1521">
        <v>700</v>
      </c>
      <c r="D1521">
        <v>0</v>
      </c>
      <c r="E1521" t="s">
        <v>26</v>
      </c>
      <c r="F1521" t="s">
        <v>26</v>
      </c>
      <c r="G1521" t="str">
        <f>"2025-04-01 10:50:01.385"</f>
        <v>2025-04-01 10:50:01.385</v>
      </c>
      <c r="H1521" t="s">
        <v>22</v>
      </c>
      <c r="I1521">
        <v>0</v>
      </c>
      <c r="J1521" t="s">
        <v>27</v>
      </c>
    </row>
    <row r="1522" spans="1:10" x14ac:dyDescent="0.25">
      <c r="A1522" s="1">
        <v>547</v>
      </c>
      <c r="B1522" t="s">
        <v>25</v>
      </c>
      <c r="C1522">
        <v>706</v>
      </c>
      <c r="D1522">
        <v>2</v>
      </c>
      <c r="E1522" t="s">
        <v>35</v>
      </c>
      <c r="F1522" t="s">
        <v>38</v>
      </c>
      <c r="G1522" t="str">
        <f>"2025-03-31 13:47:14.729"</f>
        <v>2025-03-31 13:47:14.729</v>
      </c>
      <c r="H1522" t="s">
        <v>22</v>
      </c>
      <c r="I1522">
        <v>0</v>
      </c>
      <c r="J1522" t="s">
        <v>24</v>
      </c>
    </row>
    <row r="1523" spans="1:10" x14ac:dyDescent="0.25">
      <c r="A1523" s="1">
        <v>548</v>
      </c>
      <c r="B1523" t="s">
        <v>25</v>
      </c>
      <c r="C1523">
        <v>700</v>
      </c>
      <c r="D1523">
        <v>0</v>
      </c>
      <c r="E1523" t="s">
        <v>26</v>
      </c>
      <c r="F1523" t="s">
        <v>26</v>
      </c>
      <c r="G1523" t="str">
        <f>"2025-03-31 13:46:57.379"</f>
        <v>2025-03-31 13:46:57.379</v>
      </c>
      <c r="H1523" t="s">
        <v>22</v>
      </c>
    </row>
    <row r="1524" spans="1:10" s="3" customFormat="1" x14ac:dyDescent="0.25">
      <c r="A1524" s="2">
        <v>549</v>
      </c>
      <c r="B1524" s="3" t="s">
        <v>19</v>
      </c>
      <c r="C1524" s="3">
        <v>647</v>
      </c>
      <c r="D1524" s="3">
        <v>1</v>
      </c>
      <c r="E1524" s="3" t="s">
        <v>49</v>
      </c>
      <c r="F1524" s="3" t="s">
        <v>50</v>
      </c>
      <c r="G1524" s="3" t="str">
        <f>"2025-03-29 15:39:49.162"</f>
        <v>2025-03-29 15:39:49.162</v>
      </c>
      <c r="H1524" s="3" t="s">
        <v>22</v>
      </c>
    </row>
    <row r="1525" spans="1:10" s="3" customFormat="1" x14ac:dyDescent="0.25">
      <c r="A1525" s="2">
        <v>550</v>
      </c>
      <c r="B1525" s="3" t="s">
        <v>23</v>
      </c>
      <c r="C1525" s="3">
        <v>647</v>
      </c>
      <c r="D1525" s="3">
        <v>1</v>
      </c>
      <c r="E1525" s="3" t="s">
        <v>49</v>
      </c>
      <c r="F1525" s="3" t="s">
        <v>50</v>
      </c>
      <c r="G1525" s="3" t="str">
        <f>"2025-03-29 15:39:40.664"</f>
        <v>2025-03-29 15:39:40.664</v>
      </c>
      <c r="H1525" s="3" t="s">
        <v>22</v>
      </c>
      <c r="I1525" s="3">
        <v>11.09</v>
      </c>
      <c r="J1525" s="3" t="s">
        <v>31</v>
      </c>
    </row>
    <row r="1526" spans="1:10" x14ac:dyDescent="0.25">
      <c r="A1526" s="1">
        <v>551</v>
      </c>
      <c r="B1526" t="s">
        <v>25</v>
      </c>
      <c r="C1526">
        <v>700</v>
      </c>
      <c r="D1526">
        <v>0</v>
      </c>
      <c r="E1526" t="s">
        <v>26</v>
      </c>
      <c r="F1526" t="s">
        <v>26</v>
      </c>
      <c r="G1526" t="str">
        <f>"2025-03-29 12:03:20.396"</f>
        <v>2025-03-29 12:03:20.396</v>
      </c>
      <c r="H1526" t="s">
        <v>22</v>
      </c>
    </row>
    <row r="1527" spans="1:10" x14ac:dyDescent="0.25">
      <c r="A1527" s="1">
        <v>554</v>
      </c>
      <c r="B1527" t="s">
        <v>25</v>
      </c>
      <c r="C1527">
        <v>782</v>
      </c>
      <c r="D1527">
        <v>7</v>
      </c>
      <c r="E1527" t="s">
        <v>72</v>
      </c>
      <c r="F1527" t="s">
        <v>73</v>
      </c>
      <c r="G1527" t="str">
        <f>"2025-03-28 21:48:57.005"</f>
        <v>2025-03-28 21:48:57.005</v>
      </c>
      <c r="H1527" t="s">
        <v>22</v>
      </c>
      <c r="I1527">
        <v>0</v>
      </c>
      <c r="J1527" t="s">
        <v>48</v>
      </c>
    </row>
    <row r="1528" spans="1:10" x14ac:dyDescent="0.25">
      <c r="A1528" s="1">
        <v>557</v>
      </c>
      <c r="B1528" t="s">
        <v>19</v>
      </c>
      <c r="C1528">
        <v>630</v>
      </c>
      <c r="D1528">
        <v>5</v>
      </c>
      <c r="E1528" t="s">
        <v>32</v>
      </c>
      <c r="F1528" t="s">
        <v>33</v>
      </c>
      <c r="G1528" t="str">
        <f>"2025-03-28 21:48:56.998"</f>
        <v>2025-03-28 21:48:56.998</v>
      </c>
      <c r="H1528" t="s">
        <v>34</v>
      </c>
    </row>
    <row r="1529" spans="1:10" x14ac:dyDescent="0.25">
      <c r="A1529" s="1">
        <v>558</v>
      </c>
      <c r="B1529" t="s">
        <v>25</v>
      </c>
      <c r="C1529">
        <v>782</v>
      </c>
      <c r="D1529">
        <v>7</v>
      </c>
      <c r="E1529" t="s">
        <v>72</v>
      </c>
      <c r="F1529" t="s">
        <v>73</v>
      </c>
      <c r="G1529" t="str">
        <f>"2025-03-28 21:48:56.997"</f>
        <v>2025-03-28 21:48:56.997</v>
      </c>
      <c r="H1529" t="s">
        <v>22</v>
      </c>
      <c r="I1529">
        <v>0</v>
      </c>
      <c r="J1529" t="s">
        <v>48</v>
      </c>
    </row>
    <row r="1530" spans="1:10" x14ac:dyDescent="0.25">
      <c r="A1530" s="1">
        <v>559</v>
      </c>
      <c r="B1530" t="s">
        <v>25</v>
      </c>
      <c r="C1530">
        <v>706</v>
      </c>
      <c r="D1530">
        <v>4</v>
      </c>
      <c r="E1530" t="s">
        <v>35</v>
      </c>
      <c r="F1530" t="s">
        <v>36</v>
      </c>
      <c r="G1530" t="str">
        <f>"2025-03-28 21:48:28.183"</f>
        <v>2025-03-28 21:48:28.183</v>
      </c>
      <c r="H1530" t="s">
        <v>22</v>
      </c>
      <c r="I1530">
        <v>0</v>
      </c>
      <c r="J1530" t="s">
        <v>24</v>
      </c>
    </row>
    <row r="1531" spans="1:10" x14ac:dyDescent="0.25">
      <c r="A1531" s="1">
        <v>560</v>
      </c>
      <c r="B1531" t="s">
        <v>37</v>
      </c>
      <c r="C1531">
        <v>630</v>
      </c>
      <c r="D1531">
        <v>5</v>
      </c>
      <c r="E1531" t="s">
        <v>32</v>
      </c>
      <c r="F1531" t="s">
        <v>33</v>
      </c>
      <c r="G1531" t="str">
        <f>"2025-03-28 21:20:47.098"</f>
        <v>2025-03-28 21:20:47.098</v>
      </c>
      <c r="H1531" t="s">
        <v>34</v>
      </c>
      <c r="I1531">
        <v>0</v>
      </c>
      <c r="J1531" t="s">
        <v>24</v>
      </c>
    </row>
    <row r="1532" spans="1:10" x14ac:dyDescent="0.25">
      <c r="A1532" s="1">
        <v>561</v>
      </c>
      <c r="B1532" t="s">
        <v>19</v>
      </c>
      <c r="C1532">
        <v>630</v>
      </c>
      <c r="D1532">
        <v>5</v>
      </c>
      <c r="E1532" t="s">
        <v>32</v>
      </c>
      <c r="F1532" t="s">
        <v>33</v>
      </c>
      <c r="G1532" t="str">
        <f>"2025-03-28 21:15:02.898"</f>
        <v>2025-03-28 21:15:02.898</v>
      </c>
      <c r="H1532" t="s">
        <v>34</v>
      </c>
    </row>
    <row r="1533" spans="1:10" x14ac:dyDescent="0.25">
      <c r="A1533" s="1">
        <v>562</v>
      </c>
      <c r="B1533" t="s">
        <v>25</v>
      </c>
      <c r="C1533">
        <v>706</v>
      </c>
      <c r="D1533">
        <v>4</v>
      </c>
      <c r="E1533" t="s">
        <v>35</v>
      </c>
      <c r="F1533" t="s">
        <v>36</v>
      </c>
      <c r="G1533" t="str">
        <f>"2025-03-28 21:14:32.833"</f>
        <v>2025-03-28 21:14:32.833</v>
      </c>
      <c r="H1533" t="s">
        <v>22</v>
      </c>
      <c r="I1533">
        <v>0</v>
      </c>
      <c r="J1533" t="s">
        <v>24</v>
      </c>
    </row>
    <row r="1534" spans="1:10" x14ac:dyDescent="0.25">
      <c r="A1534" s="1">
        <v>563</v>
      </c>
      <c r="B1534" t="s">
        <v>37</v>
      </c>
      <c r="C1534">
        <v>630</v>
      </c>
      <c r="D1534">
        <v>5</v>
      </c>
      <c r="E1534" t="s">
        <v>32</v>
      </c>
      <c r="F1534" t="s">
        <v>33</v>
      </c>
      <c r="G1534" t="str">
        <f>"2025-03-28 21:02:04.098"</f>
        <v>2025-03-28 21:02:04.098</v>
      </c>
      <c r="H1534" t="s">
        <v>34</v>
      </c>
      <c r="I1534">
        <v>0</v>
      </c>
      <c r="J1534" t="s">
        <v>24</v>
      </c>
    </row>
    <row r="1535" spans="1:10" x14ac:dyDescent="0.25">
      <c r="A1535" s="1">
        <v>564</v>
      </c>
      <c r="B1535" t="s">
        <v>25</v>
      </c>
      <c r="C1535">
        <v>700</v>
      </c>
      <c r="D1535">
        <v>0</v>
      </c>
      <c r="E1535" t="s">
        <v>26</v>
      </c>
      <c r="F1535" t="s">
        <v>26</v>
      </c>
      <c r="G1535" t="str">
        <f>"2025-03-28 20:57:01.383"</f>
        <v>2025-03-28 20:57:01.383</v>
      </c>
      <c r="H1535" t="s">
        <v>22</v>
      </c>
      <c r="I1535">
        <v>0</v>
      </c>
      <c r="J1535" t="s">
        <v>27</v>
      </c>
    </row>
    <row r="1536" spans="1:10" x14ac:dyDescent="0.25">
      <c r="A1536" s="1">
        <v>565</v>
      </c>
      <c r="B1536" t="s">
        <v>19</v>
      </c>
      <c r="C1536">
        <v>619</v>
      </c>
      <c r="D1536">
        <v>1</v>
      </c>
      <c r="E1536" t="s">
        <v>74</v>
      </c>
      <c r="F1536" t="s">
        <v>29</v>
      </c>
      <c r="G1536" t="str">
        <f>"2025-03-28 20:28:20.242"</f>
        <v>2025-03-28 20:28:20.242</v>
      </c>
      <c r="H1536" t="s">
        <v>65</v>
      </c>
    </row>
    <row r="1537" spans="1:10" x14ac:dyDescent="0.25">
      <c r="A1537" s="1">
        <v>566</v>
      </c>
      <c r="B1537" t="s">
        <v>23</v>
      </c>
      <c r="C1537">
        <v>619</v>
      </c>
      <c r="D1537">
        <v>1</v>
      </c>
      <c r="E1537" t="s">
        <v>74</v>
      </c>
      <c r="F1537" t="s">
        <v>29</v>
      </c>
      <c r="G1537" t="str">
        <f>"2025-03-28 20:25:29.094"</f>
        <v>2025-03-28 20:25:29.094</v>
      </c>
      <c r="H1537" t="s">
        <v>65</v>
      </c>
      <c r="I1537">
        <v>0</v>
      </c>
      <c r="J1537" t="s">
        <v>24</v>
      </c>
    </row>
    <row r="1538" spans="1:10" x14ac:dyDescent="0.25">
      <c r="A1538" s="1">
        <v>567</v>
      </c>
      <c r="B1538" t="s">
        <v>25</v>
      </c>
      <c r="C1538">
        <v>706</v>
      </c>
      <c r="D1538">
        <v>2</v>
      </c>
      <c r="E1538" t="s">
        <v>35</v>
      </c>
      <c r="F1538" t="s">
        <v>38</v>
      </c>
      <c r="G1538" t="str">
        <f>"2025-03-28 20:25:23.019"</f>
        <v>2025-03-28 20:25:23.019</v>
      </c>
      <c r="H1538" t="s">
        <v>22</v>
      </c>
      <c r="I1538">
        <v>0</v>
      </c>
      <c r="J1538" t="s">
        <v>24</v>
      </c>
    </row>
    <row r="1539" spans="1:10" x14ac:dyDescent="0.25">
      <c r="A1539" s="1">
        <v>568</v>
      </c>
      <c r="B1539" t="s">
        <v>19</v>
      </c>
      <c r="C1539">
        <v>619</v>
      </c>
      <c r="D1539">
        <v>1</v>
      </c>
      <c r="E1539" t="s">
        <v>74</v>
      </c>
      <c r="F1539" t="s">
        <v>29</v>
      </c>
      <c r="G1539" t="str">
        <f>"2025-03-28 20:24:56.242"</f>
        <v>2025-03-28 20:24:56.242</v>
      </c>
      <c r="H1539" t="s">
        <v>65</v>
      </c>
    </row>
    <row r="1540" spans="1:10" x14ac:dyDescent="0.25">
      <c r="A1540" s="1">
        <v>569</v>
      </c>
      <c r="B1540" t="s">
        <v>23</v>
      </c>
      <c r="C1540">
        <v>619</v>
      </c>
      <c r="D1540">
        <v>1</v>
      </c>
      <c r="E1540" t="s">
        <v>74</v>
      </c>
      <c r="F1540" t="s">
        <v>29</v>
      </c>
      <c r="G1540" t="str">
        <f>"2025-03-28 20:23:28.142"</f>
        <v>2025-03-28 20:23:28.142</v>
      </c>
      <c r="H1540" t="s">
        <v>65</v>
      </c>
      <c r="I1540">
        <v>14.26</v>
      </c>
      <c r="J1540" t="s">
        <v>31</v>
      </c>
    </row>
    <row r="1541" spans="1:10" x14ac:dyDescent="0.25">
      <c r="A1541" s="1">
        <v>570</v>
      </c>
      <c r="B1541" t="s">
        <v>25</v>
      </c>
      <c r="C1541">
        <v>706</v>
      </c>
      <c r="D1541">
        <v>4</v>
      </c>
      <c r="E1541" t="s">
        <v>35</v>
      </c>
      <c r="F1541" t="s">
        <v>36</v>
      </c>
      <c r="G1541" t="str">
        <f>"2025-03-28 19:17:19.439"</f>
        <v>2025-03-28 19:17:19.439</v>
      </c>
      <c r="H1541" t="s">
        <v>22</v>
      </c>
      <c r="I1541">
        <v>0</v>
      </c>
      <c r="J1541" t="s">
        <v>24</v>
      </c>
    </row>
    <row r="1542" spans="1:10" x14ac:dyDescent="0.25">
      <c r="A1542" s="1">
        <v>571</v>
      </c>
      <c r="B1542" t="s">
        <v>25</v>
      </c>
      <c r="C1542">
        <v>706</v>
      </c>
      <c r="D1542">
        <v>4</v>
      </c>
      <c r="E1542" t="s">
        <v>35</v>
      </c>
      <c r="F1542" t="s">
        <v>36</v>
      </c>
      <c r="G1542" t="str">
        <f>"2025-03-28 17:00:23.649"</f>
        <v>2025-03-28 17:00:23.649</v>
      </c>
      <c r="H1542" t="s">
        <v>22</v>
      </c>
      <c r="I1542">
        <v>0</v>
      </c>
      <c r="J1542" t="s">
        <v>63</v>
      </c>
    </row>
    <row r="1543" spans="1:10" x14ac:dyDescent="0.25">
      <c r="A1543" s="1">
        <v>572</v>
      </c>
      <c r="B1543" t="s">
        <v>25</v>
      </c>
      <c r="C1543">
        <v>706</v>
      </c>
      <c r="D1543">
        <v>3</v>
      </c>
      <c r="E1543" t="s">
        <v>35</v>
      </c>
      <c r="F1543" t="s">
        <v>62</v>
      </c>
      <c r="G1543" t="str">
        <f>"2025-03-28 17:00:09.129"</f>
        <v>2025-03-28 17:00:09.129</v>
      </c>
      <c r="H1543" t="s">
        <v>22</v>
      </c>
      <c r="I1543">
        <v>0</v>
      </c>
      <c r="J1543" t="s">
        <v>63</v>
      </c>
    </row>
    <row r="1544" spans="1:10" x14ac:dyDescent="0.25">
      <c r="A1544" s="1">
        <v>573</v>
      </c>
      <c r="B1544" t="s">
        <v>19</v>
      </c>
      <c r="C1544">
        <v>635</v>
      </c>
      <c r="D1544">
        <v>1</v>
      </c>
      <c r="E1544" t="s">
        <v>28</v>
      </c>
      <c r="F1544" t="s">
        <v>29</v>
      </c>
      <c r="G1544" t="str">
        <f>"2025-03-27 23:03:14.942"</f>
        <v>2025-03-27 23:03:14.942</v>
      </c>
      <c r="H1544" t="s">
        <v>22</v>
      </c>
    </row>
    <row r="1545" spans="1:10" x14ac:dyDescent="0.25">
      <c r="A1545" s="1">
        <v>574</v>
      </c>
      <c r="B1545" t="s">
        <v>23</v>
      </c>
      <c r="C1545">
        <v>635</v>
      </c>
      <c r="D1545">
        <v>1</v>
      </c>
      <c r="E1545" t="s">
        <v>28</v>
      </c>
      <c r="F1545" t="s">
        <v>29</v>
      </c>
      <c r="G1545" t="str">
        <f>"2025-03-27 23:00:27.542"</f>
        <v>2025-03-27 23:00:27.542</v>
      </c>
      <c r="H1545" t="s">
        <v>22</v>
      </c>
      <c r="I1545">
        <v>6.81</v>
      </c>
      <c r="J1545" t="s">
        <v>30</v>
      </c>
    </row>
    <row r="1546" spans="1:10" x14ac:dyDescent="0.25">
      <c r="A1546" s="1">
        <v>575</v>
      </c>
      <c r="B1546" t="s">
        <v>25</v>
      </c>
      <c r="C1546">
        <v>700</v>
      </c>
      <c r="D1546">
        <v>0</v>
      </c>
      <c r="E1546" t="s">
        <v>26</v>
      </c>
      <c r="F1546" t="s">
        <v>26</v>
      </c>
      <c r="G1546" t="str">
        <f>"2025-03-25 12:12:23.359"</f>
        <v>2025-03-25 12:12:23.359</v>
      </c>
      <c r="H1546" t="s">
        <v>22</v>
      </c>
    </row>
    <row r="1547" spans="1:10" x14ac:dyDescent="0.25">
      <c r="A1547" s="1">
        <v>576</v>
      </c>
      <c r="B1547" t="s">
        <v>25</v>
      </c>
      <c r="C1547">
        <v>700</v>
      </c>
      <c r="D1547">
        <v>0</v>
      </c>
      <c r="E1547" t="s">
        <v>26</v>
      </c>
      <c r="F1547" t="s">
        <v>26</v>
      </c>
      <c r="G1547" t="str">
        <f>"2025-03-25 10:51:15.355"</f>
        <v>2025-03-25 10:51:15.355</v>
      </c>
      <c r="H1547" t="s">
        <v>22</v>
      </c>
    </row>
    <row r="1548" spans="1:10" x14ac:dyDescent="0.25">
      <c r="A1548" s="1">
        <v>577</v>
      </c>
      <c r="B1548" t="s">
        <v>25</v>
      </c>
      <c r="C1548">
        <v>700</v>
      </c>
      <c r="D1548">
        <v>0</v>
      </c>
      <c r="E1548" t="s">
        <v>26</v>
      </c>
      <c r="F1548" t="s">
        <v>26</v>
      </c>
      <c r="G1548" t="str">
        <f>"2025-03-25 10:31:31.346"</f>
        <v>2025-03-25 10:31:31.346</v>
      </c>
      <c r="H1548" t="s">
        <v>22</v>
      </c>
    </row>
    <row r="1549" spans="1:10" x14ac:dyDescent="0.25">
      <c r="A1549" s="1">
        <v>578</v>
      </c>
      <c r="B1549" t="s">
        <v>25</v>
      </c>
      <c r="C1549">
        <v>700</v>
      </c>
      <c r="D1549">
        <v>0</v>
      </c>
      <c r="E1549" t="s">
        <v>26</v>
      </c>
      <c r="F1549" t="s">
        <v>26</v>
      </c>
      <c r="G1549" t="str">
        <f>"2025-03-25 10:26:47.359"</f>
        <v>2025-03-25 10:26:47.359</v>
      </c>
      <c r="H1549" t="s">
        <v>22</v>
      </c>
      <c r="I1549">
        <v>0</v>
      </c>
      <c r="J1549" t="s">
        <v>27</v>
      </c>
    </row>
    <row r="1550" spans="1:10" x14ac:dyDescent="0.25">
      <c r="A1550" s="1">
        <v>579</v>
      </c>
      <c r="B1550" t="s">
        <v>25</v>
      </c>
      <c r="C1550">
        <v>700</v>
      </c>
      <c r="D1550">
        <v>0</v>
      </c>
      <c r="E1550" t="s">
        <v>26</v>
      </c>
      <c r="F1550" t="s">
        <v>26</v>
      </c>
      <c r="G1550" t="str">
        <f>"2025-03-25 09:07:10.606"</f>
        <v>2025-03-25 09:07:10.606</v>
      </c>
      <c r="H1550" t="s">
        <v>22</v>
      </c>
      <c r="I1550">
        <v>0</v>
      </c>
      <c r="J1550" t="s">
        <v>27</v>
      </c>
    </row>
    <row r="1551" spans="1:10" x14ac:dyDescent="0.25">
      <c r="A1551" s="1">
        <v>580</v>
      </c>
      <c r="B1551" t="s">
        <v>42</v>
      </c>
      <c r="C1551">
        <v>77</v>
      </c>
      <c r="D1551">
        <v>1</v>
      </c>
      <c r="E1551" t="s">
        <v>68</v>
      </c>
      <c r="F1551" t="s">
        <v>69</v>
      </c>
      <c r="G1551" t="str">
        <f>"2025-03-24 10:00:17.623"</f>
        <v>2025-03-24 10:00:17.623</v>
      </c>
      <c r="H1551" t="s">
        <v>45</v>
      </c>
    </row>
    <row r="1552" spans="1:10" x14ac:dyDescent="0.25">
      <c r="A1552" s="1">
        <v>581</v>
      </c>
      <c r="B1552" t="s">
        <v>37</v>
      </c>
      <c r="C1552">
        <v>77</v>
      </c>
      <c r="D1552">
        <v>1</v>
      </c>
      <c r="E1552" t="s">
        <v>68</v>
      </c>
      <c r="F1552" t="s">
        <v>69</v>
      </c>
      <c r="G1552" t="str">
        <f>"2025-03-24 10:00:12.617"</f>
        <v>2025-03-24 10:00:12.617</v>
      </c>
      <c r="H1552" t="s">
        <v>45</v>
      </c>
      <c r="I1552">
        <v>0</v>
      </c>
      <c r="J1552" t="s">
        <v>24</v>
      </c>
    </row>
    <row r="1553" spans="1:10" x14ac:dyDescent="0.25">
      <c r="A1553" s="1">
        <v>582</v>
      </c>
      <c r="B1553" t="s">
        <v>25</v>
      </c>
      <c r="C1553">
        <v>700</v>
      </c>
      <c r="D1553">
        <v>0</v>
      </c>
      <c r="E1553" t="s">
        <v>26</v>
      </c>
      <c r="F1553" t="s">
        <v>26</v>
      </c>
      <c r="G1553" t="str">
        <f>"2025-03-24 09:59:37.357"</f>
        <v>2025-03-24 09:59:37.357</v>
      </c>
      <c r="H1553" t="s">
        <v>22</v>
      </c>
    </row>
    <row r="1554" spans="1:10" x14ac:dyDescent="0.25">
      <c r="A1554" s="1">
        <v>583</v>
      </c>
      <c r="B1554" t="s">
        <v>25</v>
      </c>
      <c r="C1554">
        <v>700</v>
      </c>
      <c r="D1554">
        <v>0</v>
      </c>
      <c r="E1554" t="s">
        <v>26</v>
      </c>
      <c r="F1554" t="s">
        <v>26</v>
      </c>
      <c r="G1554" t="str">
        <f>"2025-03-23 12:45:50.368"</f>
        <v>2025-03-23 12:45:50.368</v>
      </c>
      <c r="H1554" t="s">
        <v>22</v>
      </c>
    </row>
    <row r="1555" spans="1:10" x14ac:dyDescent="0.25">
      <c r="A1555" s="1">
        <v>584</v>
      </c>
      <c r="B1555" t="s">
        <v>25</v>
      </c>
      <c r="C1555">
        <v>700</v>
      </c>
      <c r="D1555">
        <v>0</v>
      </c>
      <c r="E1555" t="s">
        <v>26</v>
      </c>
      <c r="F1555" t="s">
        <v>26</v>
      </c>
      <c r="G1555" t="str">
        <f>"2025-03-22 07:38:33.349"</f>
        <v>2025-03-22 07:38:33.349</v>
      </c>
      <c r="H1555" t="s">
        <v>22</v>
      </c>
      <c r="I1555">
        <v>0</v>
      </c>
      <c r="J1555" t="s">
        <v>27</v>
      </c>
    </row>
    <row r="1556" spans="1:10" x14ac:dyDescent="0.25">
      <c r="A1556" s="1">
        <v>585</v>
      </c>
      <c r="B1556" t="s">
        <v>25</v>
      </c>
      <c r="C1556">
        <v>706</v>
      </c>
      <c r="D1556">
        <v>4</v>
      </c>
      <c r="E1556" t="s">
        <v>35</v>
      </c>
      <c r="F1556" t="s">
        <v>36</v>
      </c>
      <c r="G1556" t="str">
        <f>"2025-03-21 20:17:24.052"</f>
        <v>2025-03-21 20:17:24.052</v>
      </c>
      <c r="H1556" t="s">
        <v>22</v>
      </c>
      <c r="I1556">
        <v>0</v>
      </c>
      <c r="J1556" t="s">
        <v>24</v>
      </c>
    </row>
    <row r="1557" spans="1:10" x14ac:dyDescent="0.25">
      <c r="A1557" s="1">
        <v>586</v>
      </c>
      <c r="B1557" t="s">
        <v>25</v>
      </c>
      <c r="C1557">
        <v>700</v>
      </c>
      <c r="D1557">
        <v>0</v>
      </c>
      <c r="E1557" t="s">
        <v>26</v>
      </c>
      <c r="F1557" t="s">
        <v>26</v>
      </c>
      <c r="G1557" t="str">
        <f>"2025-03-21 20:16:59.352"</f>
        <v>2025-03-21 20:16:59.352</v>
      </c>
      <c r="H1557" t="s">
        <v>22</v>
      </c>
      <c r="I1557">
        <v>0</v>
      </c>
      <c r="J1557" t="s">
        <v>27</v>
      </c>
    </row>
    <row r="1558" spans="1:10" x14ac:dyDescent="0.25">
      <c r="A1558" s="1">
        <v>587</v>
      </c>
      <c r="B1558" t="s">
        <v>25</v>
      </c>
      <c r="C1558">
        <v>706</v>
      </c>
      <c r="D1558">
        <v>3</v>
      </c>
      <c r="E1558" t="s">
        <v>35</v>
      </c>
      <c r="F1558" t="s">
        <v>62</v>
      </c>
      <c r="G1558" t="str">
        <f>"2025-03-21 16:54:39.895"</f>
        <v>2025-03-21 16:54:39.895</v>
      </c>
      <c r="H1558" t="s">
        <v>22</v>
      </c>
      <c r="I1558">
        <v>0</v>
      </c>
      <c r="J1558" t="s">
        <v>24</v>
      </c>
    </row>
    <row r="1559" spans="1:10" x14ac:dyDescent="0.25">
      <c r="A1559" s="1">
        <v>588</v>
      </c>
      <c r="B1559" t="s">
        <v>37</v>
      </c>
      <c r="C1559">
        <v>630</v>
      </c>
      <c r="D1559">
        <v>5</v>
      </c>
      <c r="E1559" t="s">
        <v>32</v>
      </c>
      <c r="F1559" t="s">
        <v>33</v>
      </c>
      <c r="G1559" t="str">
        <f>"2025-03-21 16:49:01.185"</f>
        <v>2025-03-21 16:49:01.185</v>
      </c>
      <c r="H1559" t="s">
        <v>34</v>
      </c>
      <c r="I1559">
        <v>0</v>
      </c>
      <c r="J1559" t="s">
        <v>24</v>
      </c>
    </row>
    <row r="1560" spans="1:10" x14ac:dyDescent="0.25">
      <c r="A1560" s="1">
        <v>589</v>
      </c>
      <c r="B1560" t="s">
        <v>25</v>
      </c>
      <c r="C1560">
        <v>700</v>
      </c>
      <c r="D1560">
        <v>0</v>
      </c>
      <c r="E1560" t="s">
        <v>26</v>
      </c>
      <c r="F1560" t="s">
        <v>26</v>
      </c>
      <c r="G1560" t="str">
        <f>"2025-03-21 16:43:58.405"</f>
        <v>2025-03-21 16:43:58.405</v>
      </c>
      <c r="H1560" t="s">
        <v>22</v>
      </c>
    </row>
    <row r="1561" spans="1:10" x14ac:dyDescent="0.25">
      <c r="A1561" s="1">
        <v>590</v>
      </c>
      <c r="B1561" t="s">
        <v>25</v>
      </c>
      <c r="C1561">
        <v>706</v>
      </c>
      <c r="D1561">
        <v>2</v>
      </c>
      <c r="E1561" t="s">
        <v>35</v>
      </c>
      <c r="F1561" t="s">
        <v>38</v>
      </c>
      <c r="G1561" t="str">
        <f>"2025-03-21 16:40:41.701"</f>
        <v>2025-03-21 16:40:41.701</v>
      </c>
      <c r="H1561" t="s">
        <v>22</v>
      </c>
      <c r="I1561">
        <v>0</v>
      </c>
      <c r="J1561" t="s">
        <v>24</v>
      </c>
    </row>
    <row r="1562" spans="1:10" x14ac:dyDescent="0.25">
      <c r="A1562" s="1">
        <v>591</v>
      </c>
      <c r="B1562" t="s">
        <v>25</v>
      </c>
      <c r="C1562">
        <v>700</v>
      </c>
      <c r="D1562">
        <v>0</v>
      </c>
      <c r="E1562" t="s">
        <v>26</v>
      </c>
      <c r="F1562" t="s">
        <v>26</v>
      </c>
      <c r="G1562" t="str">
        <f>"2025-03-21 16:40:24.451"</f>
        <v>2025-03-21 16:40:24.451</v>
      </c>
      <c r="H1562" t="s">
        <v>22</v>
      </c>
      <c r="I1562">
        <v>0</v>
      </c>
      <c r="J1562" t="s">
        <v>27</v>
      </c>
    </row>
    <row r="1563" spans="1:10" x14ac:dyDescent="0.25">
      <c r="A1563" s="1">
        <v>592</v>
      </c>
      <c r="B1563" t="s">
        <v>25</v>
      </c>
      <c r="C1563">
        <v>700</v>
      </c>
      <c r="D1563">
        <v>0</v>
      </c>
      <c r="E1563" t="s">
        <v>26</v>
      </c>
      <c r="F1563" t="s">
        <v>26</v>
      </c>
      <c r="G1563" t="str">
        <f>"2025-03-21 15:05:36.389"</f>
        <v>2025-03-21 15:05:36.389</v>
      </c>
      <c r="H1563" t="s">
        <v>22</v>
      </c>
      <c r="I1563">
        <v>0</v>
      </c>
      <c r="J1563" t="s">
        <v>27</v>
      </c>
    </row>
    <row r="1564" spans="1:10" x14ac:dyDescent="0.25">
      <c r="A1564" s="1">
        <v>593</v>
      </c>
      <c r="B1564" t="s">
        <v>59</v>
      </c>
      <c r="C1564">
        <v>134</v>
      </c>
      <c r="D1564">
        <v>4</v>
      </c>
      <c r="E1564" t="s">
        <v>75</v>
      </c>
      <c r="F1564" t="s">
        <v>76</v>
      </c>
      <c r="G1564" t="str">
        <f>"2025-03-20 21:29:28.995"</f>
        <v>2025-03-20 21:29:28.995</v>
      </c>
      <c r="H1564" t="s">
        <v>58</v>
      </c>
    </row>
    <row r="1565" spans="1:10" x14ac:dyDescent="0.25">
      <c r="A1565" s="1">
        <v>594</v>
      </c>
      <c r="B1565" t="s">
        <v>37</v>
      </c>
      <c r="C1565">
        <v>134</v>
      </c>
      <c r="D1565">
        <v>4</v>
      </c>
      <c r="E1565" t="s">
        <v>75</v>
      </c>
      <c r="F1565" t="s">
        <v>76</v>
      </c>
      <c r="G1565" t="str">
        <f>"2025-03-20 21:29:26.124"</f>
        <v>2025-03-20 21:29:26.124</v>
      </c>
      <c r="H1565" t="s">
        <v>58</v>
      </c>
      <c r="I1565">
        <v>22.24</v>
      </c>
      <c r="J1565" t="s">
        <v>30</v>
      </c>
    </row>
    <row r="1566" spans="1:10" s="3" customFormat="1" x14ac:dyDescent="0.25">
      <c r="A1566" s="2">
        <v>595</v>
      </c>
      <c r="B1566" s="3" t="s">
        <v>19</v>
      </c>
      <c r="C1566" s="3">
        <v>647</v>
      </c>
      <c r="D1566" s="3">
        <v>1</v>
      </c>
      <c r="E1566" s="3" t="s">
        <v>49</v>
      </c>
      <c r="F1566" s="3" t="s">
        <v>50</v>
      </c>
      <c r="G1566" s="3" t="str">
        <f>"2025-03-19 13:57:59.522"</f>
        <v>2025-03-19 13:57:59.522</v>
      </c>
      <c r="H1566" s="3" t="s">
        <v>22</v>
      </c>
    </row>
    <row r="1567" spans="1:10" s="3" customFormat="1" x14ac:dyDescent="0.25">
      <c r="A1567" s="2">
        <v>596</v>
      </c>
      <c r="B1567" s="3" t="s">
        <v>23</v>
      </c>
      <c r="C1567" s="3">
        <v>647</v>
      </c>
      <c r="D1567" s="3">
        <v>1</v>
      </c>
      <c r="E1567" s="3" t="s">
        <v>49</v>
      </c>
      <c r="F1567" s="3" t="s">
        <v>50</v>
      </c>
      <c r="G1567" s="3" t="str">
        <f>"2025-03-19 13:57:58.222"</f>
        <v>2025-03-19 13:57:58.222</v>
      </c>
      <c r="H1567" s="3" t="s">
        <v>22</v>
      </c>
      <c r="I1567" s="3">
        <v>16.52</v>
      </c>
      <c r="J1567" s="3" t="s">
        <v>31</v>
      </c>
    </row>
    <row r="1568" spans="1:10" x14ac:dyDescent="0.25">
      <c r="A1568" s="1">
        <v>597</v>
      </c>
      <c r="B1568" t="s">
        <v>25</v>
      </c>
      <c r="C1568">
        <v>700</v>
      </c>
      <c r="D1568">
        <v>0</v>
      </c>
      <c r="E1568" t="s">
        <v>26</v>
      </c>
      <c r="F1568" t="s">
        <v>26</v>
      </c>
      <c r="G1568" t="str">
        <f>"2025-03-19 10:24:03.324"</f>
        <v>2025-03-19 10:24:03.324</v>
      </c>
      <c r="H1568" t="s">
        <v>22</v>
      </c>
    </row>
    <row r="1569" spans="1:10" x14ac:dyDescent="0.25">
      <c r="A1569" s="1">
        <v>598</v>
      </c>
      <c r="B1569" t="s">
        <v>19</v>
      </c>
      <c r="C1569">
        <v>635</v>
      </c>
      <c r="D1569">
        <v>1</v>
      </c>
      <c r="E1569" t="s">
        <v>28</v>
      </c>
      <c r="F1569" t="s">
        <v>29</v>
      </c>
      <c r="G1569" t="str">
        <f>"2025-03-17 21:01:55.937"</f>
        <v>2025-03-17 21:01:55.937</v>
      </c>
      <c r="H1569" t="s">
        <v>22</v>
      </c>
    </row>
    <row r="1570" spans="1:10" x14ac:dyDescent="0.25">
      <c r="A1570" s="1">
        <v>599</v>
      </c>
      <c r="B1570" t="s">
        <v>23</v>
      </c>
      <c r="C1570">
        <v>635</v>
      </c>
      <c r="D1570">
        <v>1</v>
      </c>
      <c r="E1570" t="s">
        <v>28</v>
      </c>
      <c r="F1570" t="s">
        <v>29</v>
      </c>
      <c r="G1570" t="str">
        <f>"2025-03-17 20:57:31.937"</f>
        <v>2025-03-17 20:57:31.937</v>
      </c>
      <c r="H1570" t="s">
        <v>22</v>
      </c>
      <c r="I1570">
        <v>2.64</v>
      </c>
      <c r="J1570" t="s">
        <v>30</v>
      </c>
    </row>
    <row r="1571" spans="1:10" x14ac:dyDescent="0.25">
      <c r="A1571" s="1">
        <v>600</v>
      </c>
      <c r="B1571" t="s">
        <v>19</v>
      </c>
      <c r="C1571">
        <v>98</v>
      </c>
      <c r="D1571">
        <v>1</v>
      </c>
      <c r="E1571" t="s">
        <v>46</v>
      </c>
      <c r="F1571" t="s">
        <v>47</v>
      </c>
      <c r="G1571" t="str">
        <f>"2025-03-14 21:16:06.537"</f>
        <v>2025-03-14 21:16:06.537</v>
      </c>
      <c r="H1571" t="s">
        <v>22</v>
      </c>
    </row>
    <row r="1572" spans="1:10" x14ac:dyDescent="0.25">
      <c r="A1572" s="1">
        <v>601</v>
      </c>
      <c r="B1572" t="s">
        <v>23</v>
      </c>
      <c r="C1572">
        <v>98</v>
      </c>
      <c r="D1572">
        <v>1</v>
      </c>
      <c r="E1572" t="s">
        <v>46</v>
      </c>
      <c r="F1572" t="s">
        <v>47</v>
      </c>
      <c r="G1572" t="str">
        <f>"2025-03-14 21:16:05.538"</f>
        <v>2025-03-14 21:16:05.538</v>
      </c>
      <c r="H1572" t="s">
        <v>22</v>
      </c>
      <c r="I1572">
        <v>0</v>
      </c>
      <c r="J1572" t="s">
        <v>48</v>
      </c>
    </row>
    <row r="1573" spans="1:10" x14ac:dyDescent="0.25">
      <c r="A1573" s="1">
        <v>602</v>
      </c>
      <c r="B1573" t="s">
        <v>25</v>
      </c>
      <c r="C1573">
        <v>700</v>
      </c>
      <c r="D1573">
        <v>0</v>
      </c>
      <c r="E1573" t="s">
        <v>26</v>
      </c>
      <c r="F1573" t="s">
        <v>26</v>
      </c>
      <c r="G1573" t="str">
        <f>"2025-03-14 16:48:02.341"</f>
        <v>2025-03-14 16:48:02.341</v>
      </c>
      <c r="H1573" t="s">
        <v>22</v>
      </c>
      <c r="I1573">
        <v>0</v>
      </c>
      <c r="J1573" t="s">
        <v>27</v>
      </c>
    </row>
    <row r="1574" spans="1:10" x14ac:dyDescent="0.25">
      <c r="A1574" s="1">
        <v>603</v>
      </c>
      <c r="B1574" t="s">
        <v>19</v>
      </c>
      <c r="C1574">
        <v>630</v>
      </c>
      <c r="D1574">
        <v>5</v>
      </c>
      <c r="E1574" t="s">
        <v>32</v>
      </c>
      <c r="F1574" t="s">
        <v>33</v>
      </c>
      <c r="G1574" t="str">
        <f>"2025-03-14 16:32:47.825"</f>
        <v>2025-03-14 16:32:47.825</v>
      </c>
      <c r="H1574" t="s">
        <v>34</v>
      </c>
    </row>
    <row r="1575" spans="1:10" x14ac:dyDescent="0.25">
      <c r="A1575" s="1">
        <v>604</v>
      </c>
      <c r="B1575" t="s">
        <v>25</v>
      </c>
      <c r="C1575">
        <v>706</v>
      </c>
      <c r="D1575">
        <v>4</v>
      </c>
      <c r="E1575" t="s">
        <v>35</v>
      </c>
      <c r="F1575" t="s">
        <v>36</v>
      </c>
      <c r="G1575" t="str">
        <f>"2025-03-14 16:32:17.851"</f>
        <v>2025-03-14 16:32:17.851</v>
      </c>
      <c r="H1575" t="s">
        <v>22</v>
      </c>
      <c r="I1575">
        <v>0</v>
      </c>
      <c r="J1575" t="s">
        <v>24</v>
      </c>
    </row>
    <row r="1576" spans="1:10" x14ac:dyDescent="0.25">
      <c r="A1576" s="1">
        <v>605</v>
      </c>
      <c r="B1576" t="s">
        <v>37</v>
      </c>
      <c r="C1576">
        <v>630</v>
      </c>
      <c r="D1576">
        <v>5</v>
      </c>
      <c r="E1576" t="s">
        <v>32</v>
      </c>
      <c r="F1576" t="s">
        <v>33</v>
      </c>
      <c r="G1576" t="str">
        <f>"2025-03-14 16:29:50.225"</f>
        <v>2025-03-14 16:29:50.225</v>
      </c>
      <c r="H1576" t="s">
        <v>34</v>
      </c>
      <c r="I1576">
        <v>0</v>
      </c>
      <c r="J1576" t="s">
        <v>24</v>
      </c>
    </row>
    <row r="1577" spans="1:10" x14ac:dyDescent="0.25">
      <c r="A1577" s="1">
        <v>606</v>
      </c>
      <c r="B1577" t="s">
        <v>25</v>
      </c>
      <c r="C1577">
        <v>700</v>
      </c>
      <c r="D1577">
        <v>0</v>
      </c>
      <c r="E1577" t="s">
        <v>26</v>
      </c>
      <c r="F1577" t="s">
        <v>26</v>
      </c>
      <c r="G1577" t="str">
        <f>"2025-03-14 16:24:47.481"</f>
        <v>2025-03-14 16:24:47.481</v>
      </c>
      <c r="H1577" t="s">
        <v>22</v>
      </c>
    </row>
    <row r="1578" spans="1:10" x14ac:dyDescent="0.25">
      <c r="A1578" s="1">
        <v>607</v>
      </c>
      <c r="B1578" t="s">
        <v>37</v>
      </c>
      <c r="C1578">
        <v>630</v>
      </c>
      <c r="D1578">
        <v>5</v>
      </c>
      <c r="E1578" t="s">
        <v>32</v>
      </c>
      <c r="F1578" t="s">
        <v>33</v>
      </c>
      <c r="G1578" t="str">
        <f>"2025-03-14 14:32:14.128"</f>
        <v>2025-03-14 14:32:14.128</v>
      </c>
      <c r="H1578" t="s">
        <v>34</v>
      </c>
      <c r="I1578">
        <v>0</v>
      </c>
      <c r="J1578" t="s">
        <v>24</v>
      </c>
    </row>
    <row r="1579" spans="1:10" x14ac:dyDescent="0.25">
      <c r="A1579" s="1">
        <v>608</v>
      </c>
      <c r="B1579" t="s">
        <v>59</v>
      </c>
      <c r="C1579">
        <v>33</v>
      </c>
      <c r="D1579">
        <v>1</v>
      </c>
      <c r="E1579" t="s">
        <v>39</v>
      </c>
      <c r="F1579" t="s">
        <v>40</v>
      </c>
      <c r="G1579" t="str">
        <f>"2025-03-14 05:28:42.627"</f>
        <v>2025-03-14 05:28:42.627</v>
      </c>
      <c r="H1579" t="s">
        <v>41</v>
      </c>
    </row>
    <row r="1580" spans="1:10" x14ac:dyDescent="0.25">
      <c r="A1580" s="1">
        <v>609</v>
      </c>
      <c r="B1580" t="s">
        <v>37</v>
      </c>
      <c r="C1580">
        <v>33</v>
      </c>
      <c r="D1580">
        <v>1</v>
      </c>
      <c r="E1580" t="s">
        <v>39</v>
      </c>
      <c r="F1580" t="s">
        <v>40</v>
      </c>
      <c r="G1580" t="str">
        <f>"2025-03-14 05:28:27.206"</f>
        <v>2025-03-14 05:28:27.206</v>
      </c>
      <c r="H1580" t="s">
        <v>41</v>
      </c>
      <c r="I1580">
        <v>7.67</v>
      </c>
      <c r="J1580" t="s">
        <v>30</v>
      </c>
    </row>
    <row r="1581" spans="1:10" x14ac:dyDescent="0.25">
      <c r="A1581" s="1">
        <v>610</v>
      </c>
      <c r="B1581" t="s">
        <v>42</v>
      </c>
      <c r="C1581">
        <v>126</v>
      </c>
      <c r="D1581">
        <v>7</v>
      </c>
      <c r="E1581" t="s">
        <v>77</v>
      </c>
      <c r="F1581" t="s">
        <v>78</v>
      </c>
      <c r="G1581" t="str">
        <f>"2025-03-14 00:19:15.406"</f>
        <v>2025-03-14 00:19:15.406</v>
      </c>
      <c r="H1581" t="s">
        <v>58</v>
      </c>
    </row>
    <row r="1582" spans="1:10" x14ac:dyDescent="0.25">
      <c r="A1582" s="1">
        <v>611</v>
      </c>
      <c r="B1582" t="s">
        <v>37</v>
      </c>
      <c r="C1582">
        <v>126</v>
      </c>
      <c r="D1582">
        <v>7</v>
      </c>
      <c r="E1582" t="s">
        <v>77</v>
      </c>
      <c r="F1582" t="s">
        <v>78</v>
      </c>
      <c r="G1582" t="str">
        <f>"2025-03-14 00:19:10.390"</f>
        <v>2025-03-14 00:19:10.390</v>
      </c>
      <c r="H1582" t="s">
        <v>58</v>
      </c>
      <c r="I1582">
        <v>16.170000000000002</v>
      </c>
      <c r="J1582" t="s">
        <v>31</v>
      </c>
    </row>
    <row r="1583" spans="1:10" x14ac:dyDescent="0.25">
      <c r="A1583" s="1">
        <v>612</v>
      </c>
      <c r="B1583" t="s">
        <v>42</v>
      </c>
      <c r="C1583">
        <v>137</v>
      </c>
      <c r="D1583">
        <v>4</v>
      </c>
      <c r="E1583" t="s">
        <v>79</v>
      </c>
      <c r="F1583" t="s">
        <v>80</v>
      </c>
      <c r="G1583" t="str">
        <f>"2025-03-13 05:58:39.706"</f>
        <v>2025-03-13 05:58:39.706</v>
      </c>
      <c r="H1583" t="s">
        <v>58</v>
      </c>
    </row>
    <row r="1584" spans="1:10" x14ac:dyDescent="0.25">
      <c r="A1584" s="1">
        <v>613</v>
      </c>
      <c r="B1584" t="s">
        <v>37</v>
      </c>
      <c r="C1584">
        <v>137</v>
      </c>
      <c r="D1584">
        <v>4</v>
      </c>
      <c r="E1584" t="s">
        <v>79</v>
      </c>
      <c r="F1584" t="s">
        <v>80</v>
      </c>
      <c r="G1584" t="str">
        <f>"2025-03-13 05:58:34.670"</f>
        <v>2025-03-13 05:58:34.670</v>
      </c>
      <c r="H1584" t="s">
        <v>58</v>
      </c>
      <c r="I1584">
        <v>11.72</v>
      </c>
      <c r="J1584" t="s">
        <v>30</v>
      </c>
    </row>
    <row r="1585" spans="1:10" x14ac:dyDescent="0.25">
      <c r="A1585" s="1">
        <v>614</v>
      </c>
      <c r="B1585" t="s">
        <v>42</v>
      </c>
      <c r="C1585">
        <v>126</v>
      </c>
      <c r="D1585">
        <v>7</v>
      </c>
      <c r="E1585" t="s">
        <v>77</v>
      </c>
      <c r="F1585" t="s">
        <v>78</v>
      </c>
      <c r="G1585" t="str">
        <f>"2025-03-13 04:55:35.107"</f>
        <v>2025-03-13 04:55:35.107</v>
      </c>
      <c r="H1585" t="s">
        <v>58</v>
      </c>
    </row>
    <row r="1586" spans="1:10" x14ac:dyDescent="0.25">
      <c r="A1586" s="1">
        <v>615</v>
      </c>
      <c r="B1586" t="s">
        <v>37</v>
      </c>
      <c r="C1586">
        <v>126</v>
      </c>
      <c r="D1586">
        <v>7</v>
      </c>
      <c r="E1586" t="s">
        <v>77</v>
      </c>
      <c r="F1586" t="s">
        <v>78</v>
      </c>
      <c r="G1586" t="str">
        <f>"2025-03-13 04:55:30.050"</f>
        <v>2025-03-13 04:55:30.050</v>
      </c>
      <c r="H1586" t="s">
        <v>58</v>
      </c>
      <c r="I1586">
        <v>16.18</v>
      </c>
      <c r="J1586" t="s">
        <v>30</v>
      </c>
    </row>
    <row r="1587" spans="1:10" x14ac:dyDescent="0.25">
      <c r="A1587" s="1">
        <v>616</v>
      </c>
      <c r="B1587" t="s">
        <v>42</v>
      </c>
      <c r="C1587">
        <v>137</v>
      </c>
      <c r="D1587">
        <v>4</v>
      </c>
      <c r="E1587" t="s">
        <v>79</v>
      </c>
      <c r="F1587" t="s">
        <v>80</v>
      </c>
      <c r="G1587" t="str">
        <f>"2025-03-13 03:39:52.506"</f>
        <v>2025-03-13 03:39:52.506</v>
      </c>
      <c r="H1587" t="s">
        <v>58</v>
      </c>
    </row>
    <row r="1588" spans="1:10" x14ac:dyDescent="0.25">
      <c r="A1588" s="1">
        <v>617</v>
      </c>
      <c r="B1588" t="s">
        <v>37</v>
      </c>
      <c r="C1588">
        <v>137</v>
      </c>
      <c r="D1588">
        <v>4</v>
      </c>
      <c r="E1588" t="s">
        <v>79</v>
      </c>
      <c r="F1588" t="s">
        <v>80</v>
      </c>
      <c r="G1588" t="str">
        <f>"2025-03-13 03:39:47.450"</f>
        <v>2025-03-13 03:39:47.450</v>
      </c>
      <c r="H1588" t="s">
        <v>58</v>
      </c>
      <c r="I1588">
        <v>17.55</v>
      </c>
      <c r="J1588" t="s">
        <v>30</v>
      </c>
    </row>
    <row r="1589" spans="1:10" x14ac:dyDescent="0.25">
      <c r="A1589" s="1">
        <v>618</v>
      </c>
      <c r="B1589" t="s">
        <v>42</v>
      </c>
      <c r="C1589">
        <v>137</v>
      </c>
      <c r="D1589">
        <v>4</v>
      </c>
      <c r="E1589" t="s">
        <v>79</v>
      </c>
      <c r="F1589" t="s">
        <v>80</v>
      </c>
      <c r="G1589" t="str">
        <f>"2025-03-13 00:27:14.006"</f>
        <v>2025-03-13 00:27:14.006</v>
      </c>
      <c r="H1589" t="s">
        <v>58</v>
      </c>
    </row>
    <row r="1590" spans="1:10" x14ac:dyDescent="0.25">
      <c r="A1590" s="1">
        <v>619</v>
      </c>
      <c r="B1590" t="s">
        <v>37</v>
      </c>
      <c r="C1590">
        <v>137</v>
      </c>
      <c r="D1590">
        <v>4</v>
      </c>
      <c r="E1590" t="s">
        <v>79</v>
      </c>
      <c r="F1590" t="s">
        <v>80</v>
      </c>
      <c r="G1590" t="str">
        <f>"2025-03-13 00:27:08.990"</f>
        <v>2025-03-13 00:27:08.990</v>
      </c>
      <c r="H1590" t="s">
        <v>58</v>
      </c>
      <c r="I1590">
        <v>24.3</v>
      </c>
      <c r="J1590" t="s">
        <v>31</v>
      </c>
    </row>
    <row r="1591" spans="1:10" x14ac:dyDescent="0.25">
      <c r="A1591" s="1">
        <v>620</v>
      </c>
      <c r="B1591" t="s">
        <v>42</v>
      </c>
      <c r="C1591">
        <v>137</v>
      </c>
      <c r="D1591">
        <v>4</v>
      </c>
      <c r="E1591" t="s">
        <v>79</v>
      </c>
      <c r="F1591" t="s">
        <v>80</v>
      </c>
      <c r="G1591" t="str">
        <f>"2025-03-12 21:22:04.307"</f>
        <v>2025-03-12 21:22:04.307</v>
      </c>
      <c r="H1591" t="s">
        <v>58</v>
      </c>
    </row>
    <row r="1592" spans="1:10" x14ac:dyDescent="0.25">
      <c r="A1592" s="1">
        <v>621</v>
      </c>
      <c r="B1592" t="s">
        <v>37</v>
      </c>
      <c r="C1592">
        <v>137</v>
      </c>
      <c r="D1592">
        <v>4</v>
      </c>
      <c r="E1592" t="s">
        <v>79</v>
      </c>
      <c r="F1592" t="s">
        <v>80</v>
      </c>
      <c r="G1592" t="str">
        <f>"2025-03-12 21:21:59.270"</f>
        <v>2025-03-12 21:21:59.270</v>
      </c>
      <c r="H1592" t="s">
        <v>58</v>
      </c>
      <c r="I1592">
        <v>11.84</v>
      </c>
      <c r="J1592" t="s">
        <v>30</v>
      </c>
    </row>
    <row r="1593" spans="1:10" x14ac:dyDescent="0.25">
      <c r="A1593" s="1">
        <v>622</v>
      </c>
      <c r="B1593" t="s">
        <v>25</v>
      </c>
      <c r="C1593">
        <v>700</v>
      </c>
      <c r="D1593">
        <v>0</v>
      </c>
      <c r="E1593" t="s">
        <v>26</v>
      </c>
      <c r="F1593" t="s">
        <v>26</v>
      </c>
      <c r="G1593" t="str">
        <f>"2025-03-12 14:01:29.323"</f>
        <v>2025-03-12 14:01:29.323</v>
      </c>
      <c r="H1593" t="s">
        <v>22</v>
      </c>
    </row>
    <row r="1594" spans="1:10" s="3" customFormat="1" x14ac:dyDescent="0.25">
      <c r="A1594" s="2">
        <v>623</v>
      </c>
      <c r="B1594" s="3" t="s">
        <v>19</v>
      </c>
      <c r="C1594" s="3">
        <v>647</v>
      </c>
      <c r="D1594" s="3">
        <v>1</v>
      </c>
      <c r="E1594" s="3" t="s">
        <v>49</v>
      </c>
      <c r="F1594" s="3" t="s">
        <v>50</v>
      </c>
      <c r="G1594" s="3" t="str">
        <f>"2025-03-11 23:29:56.834"</f>
        <v>2025-03-11 23:29:56.834</v>
      </c>
      <c r="H1594" s="3" t="s">
        <v>22</v>
      </c>
    </row>
    <row r="1595" spans="1:10" s="3" customFormat="1" x14ac:dyDescent="0.25">
      <c r="A1595" s="2">
        <v>624</v>
      </c>
      <c r="B1595" s="3" t="s">
        <v>23</v>
      </c>
      <c r="C1595" s="3">
        <v>647</v>
      </c>
      <c r="D1595" s="3">
        <v>1</v>
      </c>
      <c r="E1595" s="3" t="s">
        <v>49</v>
      </c>
      <c r="F1595" s="3" t="s">
        <v>50</v>
      </c>
      <c r="G1595" s="3" t="str">
        <f>"2025-03-11 23:29:53.334"</f>
        <v>2025-03-11 23:29:53.334</v>
      </c>
      <c r="H1595" s="3" t="s">
        <v>22</v>
      </c>
      <c r="I1595" s="3">
        <v>16.11</v>
      </c>
      <c r="J1595" s="3" t="s">
        <v>31</v>
      </c>
    </row>
    <row r="1596" spans="1:10" x14ac:dyDescent="0.25">
      <c r="A1596" s="1">
        <v>625</v>
      </c>
      <c r="B1596" t="s">
        <v>19</v>
      </c>
      <c r="C1596">
        <v>635</v>
      </c>
      <c r="D1596">
        <v>1</v>
      </c>
      <c r="E1596" t="s">
        <v>28</v>
      </c>
      <c r="F1596" t="s">
        <v>29</v>
      </c>
      <c r="G1596" t="str">
        <f>"2025-03-10 23:13:04.533"</f>
        <v>2025-03-10 23:13:04.533</v>
      </c>
      <c r="H1596" t="s">
        <v>22</v>
      </c>
    </row>
    <row r="1597" spans="1:10" x14ac:dyDescent="0.25">
      <c r="A1597" s="1">
        <v>626</v>
      </c>
      <c r="B1597" t="s">
        <v>23</v>
      </c>
      <c r="C1597">
        <v>635</v>
      </c>
      <c r="D1597">
        <v>1</v>
      </c>
      <c r="E1597" t="s">
        <v>28</v>
      </c>
      <c r="F1597" t="s">
        <v>29</v>
      </c>
      <c r="G1597" t="str">
        <f>"2025-03-10 23:10:40.034"</f>
        <v>2025-03-10 23:10:40.034</v>
      </c>
      <c r="H1597" t="s">
        <v>22</v>
      </c>
      <c r="I1597">
        <v>3.64</v>
      </c>
      <c r="J1597" t="s">
        <v>30</v>
      </c>
    </row>
    <row r="1598" spans="1:10" x14ac:dyDescent="0.25">
      <c r="A1598" s="1">
        <v>627</v>
      </c>
      <c r="B1598" t="s">
        <v>19</v>
      </c>
      <c r="C1598">
        <v>635</v>
      </c>
      <c r="D1598">
        <v>1</v>
      </c>
      <c r="E1598" t="s">
        <v>28</v>
      </c>
      <c r="F1598" t="s">
        <v>29</v>
      </c>
      <c r="G1598" t="str">
        <f>"2025-03-08 16:11:59.634"</f>
        <v>2025-03-08 16:11:59.634</v>
      </c>
      <c r="H1598" t="s">
        <v>22</v>
      </c>
    </row>
    <row r="1599" spans="1:10" x14ac:dyDescent="0.25">
      <c r="A1599" s="1">
        <v>628</v>
      </c>
      <c r="B1599" t="s">
        <v>23</v>
      </c>
      <c r="C1599">
        <v>635</v>
      </c>
      <c r="D1599">
        <v>1</v>
      </c>
      <c r="E1599" t="s">
        <v>28</v>
      </c>
      <c r="F1599" t="s">
        <v>29</v>
      </c>
      <c r="G1599" t="str">
        <f>"2025-03-08 16:08:16.634"</f>
        <v>2025-03-08 16:08:16.634</v>
      </c>
      <c r="H1599" t="s">
        <v>22</v>
      </c>
      <c r="I1599">
        <v>8.19</v>
      </c>
      <c r="J1599" t="s">
        <v>31</v>
      </c>
    </row>
    <row r="1600" spans="1:10" x14ac:dyDescent="0.25">
      <c r="A1600" s="1">
        <v>629</v>
      </c>
      <c r="B1600" t="s">
        <v>25</v>
      </c>
      <c r="C1600">
        <v>700</v>
      </c>
      <c r="D1600">
        <v>0</v>
      </c>
      <c r="E1600" t="s">
        <v>26</v>
      </c>
      <c r="F1600" t="s">
        <v>26</v>
      </c>
      <c r="G1600" t="str">
        <f>"2025-03-08 12:53:04.336"</f>
        <v>2025-03-08 12:53:04.336</v>
      </c>
      <c r="H1600" t="s">
        <v>22</v>
      </c>
      <c r="I1600">
        <v>0</v>
      </c>
      <c r="J1600" t="s">
        <v>27</v>
      </c>
    </row>
    <row r="1601" spans="1:10" x14ac:dyDescent="0.25">
      <c r="A1601" s="1">
        <v>630</v>
      </c>
      <c r="B1601" t="s">
        <v>25</v>
      </c>
      <c r="C1601">
        <v>706</v>
      </c>
      <c r="D1601">
        <v>4</v>
      </c>
      <c r="E1601" t="s">
        <v>35</v>
      </c>
      <c r="F1601" t="s">
        <v>36</v>
      </c>
      <c r="G1601" t="str">
        <f>"2025-03-05 13:25:38.247"</f>
        <v>2025-03-05 13:25:38.247</v>
      </c>
      <c r="H1601" t="s">
        <v>22</v>
      </c>
      <c r="I1601">
        <v>0</v>
      </c>
      <c r="J1601" t="s">
        <v>24</v>
      </c>
    </row>
    <row r="1602" spans="1:10" x14ac:dyDescent="0.25">
      <c r="A1602" s="1">
        <v>631</v>
      </c>
      <c r="B1602" t="s">
        <v>25</v>
      </c>
      <c r="C1602">
        <v>700</v>
      </c>
      <c r="D1602">
        <v>0</v>
      </c>
      <c r="E1602" t="s">
        <v>26</v>
      </c>
      <c r="F1602" t="s">
        <v>26</v>
      </c>
      <c r="G1602" t="str">
        <f>"2025-03-05 13:25:19.297"</f>
        <v>2025-03-05 13:25:19.297</v>
      </c>
      <c r="H1602" t="s">
        <v>22</v>
      </c>
    </row>
    <row r="1603" spans="1:10" x14ac:dyDescent="0.25">
      <c r="A1603" s="1">
        <v>632</v>
      </c>
      <c r="B1603" t="s">
        <v>25</v>
      </c>
      <c r="C1603">
        <v>700</v>
      </c>
      <c r="D1603">
        <v>0</v>
      </c>
      <c r="E1603" t="s">
        <v>26</v>
      </c>
      <c r="F1603" t="s">
        <v>26</v>
      </c>
      <c r="G1603" t="str">
        <f>"2025-03-05 12:43:41.301"</f>
        <v>2025-03-05 12:43:41.301</v>
      </c>
      <c r="H1603" t="s">
        <v>22</v>
      </c>
    </row>
    <row r="1604" spans="1:10" x14ac:dyDescent="0.25">
      <c r="A1604" s="1">
        <v>633</v>
      </c>
      <c r="B1604" t="s">
        <v>25</v>
      </c>
      <c r="C1604">
        <v>700</v>
      </c>
      <c r="D1604">
        <v>0</v>
      </c>
      <c r="E1604" t="s">
        <v>26</v>
      </c>
      <c r="F1604" t="s">
        <v>26</v>
      </c>
      <c r="G1604" t="str">
        <f>"2025-03-05 12:33:35.308"</f>
        <v>2025-03-05 12:33:35.308</v>
      </c>
      <c r="H1604" t="s">
        <v>22</v>
      </c>
      <c r="I1604">
        <v>0</v>
      </c>
      <c r="J1604" t="s">
        <v>27</v>
      </c>
    </row>
    <row r="1605" spans="1:10" x14ac:dyDescent="0.25">
      <c r="A1605" s="1">
        <v>634</v>
      </c>
      <c r="B1605" t="s">
        <v>25</v>
      </c>
      <c r="C1605">
        <v>700</v>
      </c>
      <c r="D1605">
        <v>0</v>
      </c>
      <c r="E1605" t="s">
        <v>26</v>
      </c>
      <c r="F1605" t="s">
        <v>26</v>
      </c>
      <c r="G1605" t="str">
        <f>"2025-03-05 12:25:39.318"</f>
        <v>2025-03-05 12:25:39.318</v>
      </c>
      <c r="H1605" t="s">
        <v>22</v>
      </c>
      <c r="I1605">
        <v>0</v>
      </c>
      <c r="J1605" t="s">
        <v>27</v>
      </c>
    </row>
    <row r="1606" spans="1:10" x14ac:dyDescent="0.25">
      <c r="A1606" s="1">
        <v>635</v>
      </c>
      <c r="B1606" t="s">
        <v>25</v>
      </c>
      <c r="C1606">
        <v>700</v>
      </c>
      <c r="D1606">
        <v>0</v>
      </c>
      <c r="E1606" t="s">
        <v>26</v>
      </c>
      <c r="F1606" t="s">
        <v>26</v>
      </c>
      <c r="G1606" t="str">
        <f>"2025-03-05 12:12:00.417"</f>
        <v>2025-03-05 12:12:00.417</v>
      </c>
      <c r="H1606" t="s">
        <v>22</v>
      </c>
      <c r="I1606">
        <v>0</v>
      </c>
      <c r="J1606" t="s">
        <v>27</v>
      </c>
    </row>
    <row r="1607" spans="1:10" x14ac:dyDescent="0.25">
      <c r="A1607" s="1">
        <v>636</v>
      </c>
      <c r="B1607" t="s">
        <v>25</v>
      </c>
      <c r="C1607">
        <v>700</v>
      </c>
      <c r="D1607">
        <v>0</v>
      </c>
      <c r="E1607" t="s">
        <v>26</v>
      </c>
      <c r="F1607" t="s">
        <v>26</v>
      </c>
      <c r="G1607" t="str">
        <f>"2025-03-05 11:44:23.310"</f>
        <v>2025-03-05 11:44:23.310</v>
      </c>
      <c r="H1607" t="s">
        <v>22</v>
      </c>
      <c r="I1607">
        <v>0</v>
      </c>
      <c r="J1607" t="s">
        <v>27</v>
      </c>
    </row>
    <row r="1608" spans="1:10" x14ac:dyDescent="0.25">
      <c r="A1608" s="1">
        <v>637</v>
      </c>
      <c r="B1608" t="s">
        <v>25</v>
      </c>
      <c r="C1608">
        <v>700</v>
      </c>
      <c r="D1608">
        <v>0</v>
      </c>
      <c r="E1608" t="s">
        <v>26</v>
      </c>
      <c r="F1608" t="s">
        <v>26</v>
      </c>
      <c r="G1608" t="str">
        <f>"2025-03-05 11:36:57.309"</f>
        <v>2025-03-05 11:36:57.309</v>
      </c>
      <c r="H1608" t="s">
        <v>22</v>
      </c>
      <c r="I1608">
        <v>0</v>
      </c>
      <c r="J1608" t="s">
        <v>27</v>
      </c>
    </row>
    <row r="1609" spans="1:10" x14ac:dyDescent="0.25">
      <c r="A1609" s="1">
        <v>638</v>
      </c>
      <c r="B1609" t="s">
        <v>25</v>
      </c>
      <c r="C1609">
        <v>700</v>
      </c>
      <c r="D1609">
        <v>0</v>
      </c>
      <c r="E1609" t="s">
        <v>26</v>
      </c>
      <c r="F1609" t="s">
        <v>26</v>
      </c>
      <c r="G1609" t="str">
        <f>"2025-03-05 11:35:41.316"</f>
        <v>2025-03-05 11:35:41.316</v>
      </c>
      <c r="H1609" t="s">
        <v>22</v>
      </c>
      <c r="I1609">
        <v>0</v>
      </c>
      <c r="J1609" t="s">
        <v>27</v>
      </c>
    </row>
    <row r="1610" spans="1:10" x14ac:dyDescent="0.25">
      <c r="A1610" s="1">
        <v>639</v>
      </c>
      <c r="B1610" t="s">
        <v>25</v>
      </c>
      <c r="C1610">
        <v>700</v>
      </c>
      <c r="D1610">
        <v>0</v>
      </c>
      <c r="E1610" t="s">
        <v>26</v>
      </c>
      <c r="F1610" t="s">
        <v>26</v>
      </c>
      <c r="G1610" t="str">
        <f>"2025-03-05 11:32:34.312"</f>
        <v>2025-03-05 11:32:34.312</v>
      </c>
      <c r="H1610" t="s">
        <v>22</v>
      </c>
      <c r="I1610">
        <v>0</v>
      </c>
      <c r="J1610" t="s">
        <v>27</v>
      </c>
    </row>
    <row r="1611" spans="1:10" x14ac:dyDescent="0.25">
      <c r="A1611" s="1">
        <v>640</v>
      </c>
      <c r="B1611" t="s">
        <v>25</v>
      </c>
      <c r="C1611">
        <v>700</v>
      </c>
      <c r="D1611">
        <v>0</v>
      </c>
      <c r="E1611" t="s">
        <v>26</v>
      </c>
      <c r="F1611" t="s">
        <v>26</v>
      </c>
      <c r="G1611" t="str">
        <f>"2025-03-05 11:29:46.303"</f>
        <v>2025-03-05 11:29:46.303</v>
      </c>
      <c r="H1611" t="s">
        <v>22</v>
      </c>
      <c r="I1611">
        <v>0</v>
      </c>
      <c r="J1611" t="s">
        <v>27</v>
      </c>
    </row>
    <row r="1612" spans="1:10" x14ac:dyDescent="0.25">
      <c r="A1612" s="1">
        <v>641</v>
      </c>
      <c r="B1612" t="s">
        <v>25</v>
      </c>
      <c r="C1612">
        <v>706</v>
      </c>
      <c r="D1612">
        <v>3</v>
      </c>
      <c r="E1612" t="s">
        <v>35</v>
      </c>
      <c r="F1612" t="s">
        <v>62</v>
      </c>
      <c r="G1612" t="str">
        <f>"2025-03-05 11:26:09.808"</f>
        <v>2025-03-05 11:26:09.808</v>
      </c>
      <c r="H1612" t="s">
        <v>22</v>
      </c>
      <c r="I1612">
        <v>0</v>
      </c>
      <c r="J1612" t="s">
        <v>24</v>
      </c>
    </row>
    <row r="1613" spans="1:10" x14ac:dyDescent="0.25">
      <c r="A1613" s="1">
        <v>642</v>
      </c>
      <c r="B1613" t="s">
        <v>25</v>
      </c>
      <c r="C1613">
        <v>700</v>
      </c>
      <c r="D1613">
        <v>0</v>
      </c>
      <c r="E1613" t="s">
        <v>26</v>
      </c>
      <c r="F1613" t="s">
        <v>26</v>
      </c>
      <c r="G1613" t="str">
        <f>"2025-03-05 11:24:09.358"</f>
        <v>2025-03-05 11:24:09.358</v>
      </c>
      <c r="H1613" t="s">
        <v>22</v>
      </c>
    </row>
    <row r="1614" spans="1:10" x14ac:dyDescent="0.25">
      <c r="A1614" s="1">
        <v>643</v>
      </c>
      <c r="B1614" t="s">
        <v>25</v>
      </c>
      <c r="C1614">
        <v>700</v>
      </c>
      <c r="D1614">
        <v>0</v>
      </c>
      <c r="E1614" t="s">
        <v>26</v>
      </c>
      <c r="F1614" t="s">
        <v>26</v>
      </c>
      <c r="G1614" t="str">
        <f>"2025-03-05 11:21:22.304"</f>
        <v>2025-03-05 11:21:22.304</v>
      </c>
      <c r="H1614" t="s">
        <v>22</v>
      </c>
    </row>
    <row r="1615" spans="1:10" x14ac:dyDescent="0.25">
      <c r="A1615" s="1">
        <v>644</v>
      </c>
      <c r="B1615" t="s">
        <v>25</v>
      </c>
      <c r="C1615">
        <v>700</v>
      </c>
      <c r="D1615">
        <v>0</v>
      </c>
      <c r="E1615" t="s">
        <v>26</v>
      </c>
      <c r="F1615" t="s">
        <v>26</v>
      </c>
      <c r="G1615" t="str">
        <f>"2025-03-05 11:14:30.308"</f>
        <v>2025-03-05 11:14:30.308</v>
      </c>
      <c r="H1615" t="s">
        <v>22</v>
      </c>
      <c r="I1615">
        <v>0</v>
      </c>
      <c r="J1615" t="s">
        <v>27</v>
      </c>
    </row>
    <row r="1616" spans="1:10" x14ac:dyDescent="0.25">
      <c r="A1616" s="1">
        <v>645</v>
      </c>
      <c r="B1616" t="s">
        <v>25</v>
      </c>
      <c r="C1616">
        <v>700</v>
      </c>
      <c r="D1616">
        <v>0</v>
      </c>
      <c r="E1616" t="s">
        <v>26</v>
      </c>
      <c r="F1616" t="s">
        <v>26</v>
      </c>
      <c r="G1616" t="str">
        <f>"2025-03-05 10:44:27.316"</f>
        <v>2025-03-05 10:44:27.316</v>
      </c>
      <c r="H1616" t="s">
        <v>22</v>
      </c>
    </row>
    <row r="1617" spans="1:10" s="3" customFormat="1" x14ac:dyDescent="0.25">
      <c r="A1617" s="2">
        <v>646</v>
      </c>
      <c r="B1617" s="3" t="s">
        <v>19</v>
      </c>
      <c r="C1617" s="3">
        <v>647</v>
      </c>
      <c r="D1617" s="3">
        <v>1</v>
      </c>
      <c r="E1617" s="3" t="s">
        <v>49</v>
      </c>
      <c r="F1617" s="3" t="s">
        <v>50</v>
      </c>
      <c r="G1617" s="3" t="str">
        <f>"2025-03-05 04:41:14.100"</f>
        <v>2025-03-05 04:41:14.100</v>
      </c>
      <c r="H1617" s="3" t="s">
        <v>22</v>
      </c>
    </row>
    <row r="1618" spans="1:10" s="3" customFormat="1" x14ac:dyDescent="0.25">
      <c r="A1618" s="2">
        <v>647</v>
      </c>
      <c r="B1618" s="3" t="s">
        <v>23</v>
      </c>
      <c r="C1618" s="3">
        <v>647</v>
      </c>
      <c r="D1618" s="3">
        <v>1</v>
      </c>
      <c r="E1618" s="3" t="s">
        <v>49</v>
      </c>
      <c r="F1618" s="3" t="s">
        <v>50</v>
      </c>
      <c r="G1618" s="3" t="str">
        <f>"2025-03-05 04:41:11.600"</f>
        <v>2025-03-05 04:41:11.600</v>
      </c>
      <c r="H1618" s="3" t="s">
        <v>22</v>
      </c>
      <c r="I1618" s="3">
        <v>17.14</v>
      </c>
      <c r="J1618" s="3" t="s">
        <v>31</v>
      </c>
    </row>
    <row r="1619" spans="1:10" x14ac:dyDescent="0.25">
      <c r="A1619" s="1">
        <v>648</v>
      </c>
      <c r="B1619" t="s">
        <v>19</v>
      </c>
      <c r="C1619">
        <v>635</v>
      </c>
      <c r="D1619">
        <v>1</v>
      </c>
      <c r="E1619" t="s">
        <v>28</v>
      </c>
      <c r="F1619" t="s">
        <v>29</v>
      </c>
      <c r="G1619" t="str">
        <f>"2025-03-05 04:17:32.852"</f>
        <v>2025-03-05 04:17:32.852</v>
      </c>
      <c r="H1619" t="s">
        <v>22</v>
      </c>
    </row>
    <row r="1620" spans="1:10" x14ac:dyDescent="0.25">
      <c r="A1620" s="1">
        <v>649</v>
      </c>
      <c r="B1620" t="s">
        <v>23</v>
      </c>
      <c r="C1620">
        <v>635</v>
      </c>
      <c r="D1620">
        <v>1</v>
      </c>
      <c r="E1620" t="s">
        <v>28</v>
      </c>
      <c r="F1620" t="s">
        <v>29</v>
      </c>
      <c r="G1620" t="str">
        <f>"2025-03-05 04:08:08.853"</f>
        <v>2025-03-05 04:08:08.853</v>
      </c>
      <c r="H1620" t="s">
        <v>22</v>
      </c>
      <c r="I1620">
        <v>10.220000000000001</v>
      </c>
      <c r="J1620" t="s">
        <v>31</v>
      </c>
    </row>
    <row r="1621" spans="1:10" x14ac:dyDescent="0.25">
      <c r="A1621" s="1">
        <v>650</v>
      </c>
      <c r="B1621" t="s">
        <v>25</v>
      </c>
      <c r="C1621">
        <v>700</v>
      </c>
      <c r="D1621">
        <v>0</v>
      </c>
      <c r="E1621" t="s">
        <v>26</v>
      </c>
      <c r="F1621" t="s">
        <v>26</v>
      </c>
      <c r="G1621" t="str">
        <f>"2025-03-04 11:01:39.294"</f>
        <v>2025-03-04 11:01:39.294</v>
      </c>
      <c r="H1621" t="s">
        <v>22</v>
      </c>
    </row>
    <row r="1622" spans="1:10" x14ac:dyDescent="0.25">
      <c r="A1622" s="1">
        <v>651</v>
      </c>
      <c r="B1622" t="s">
        <v>25</v>
      </c>
      <c r="C1622">
        <v>700</v>
      </c>
      <c r="D1622">
        <v>0</v>
      </c>
      <c r="E1622" t="s">
        <v>26</v>
      </c>
      <c r="F1622" t="s">
        <v>26</v>
      </c>
      <c r="G1622" t="str">
        <f>"2025-03-04 10:55:31.293"</f>
        <v>2025-03-04 10:55:31.293</v>
      </c>
      <c r="H1622" t="s">
        <v>22</v>
      </c>
      <c r="I1622">
        <v>0</v>
      </c>
      <c r="J1622" t="s">
        <v>27</v>
      </c>
    </row>
    <row r="1623" spans="1:10" x14ac:dyDescent="0.25">
      <c r="A1623" s="1">
        <v>652</v>
      </c>
      <c r="B1623" t="s">
        <v>37</v>
      </c>
      <c r="C1623">
        <v>630</v>
      </c>
      <c r="D1623">
        <v>5</v>
      </c>
      <c r="E1623" t="s">
        <v>32</v>
      </c>
      <c r="F1623" t="s">
        <v>33</v>
      </c>
      <c r="G1623" t="str">
        <f>"2025-03-04 10:44:22.107"</f>
        <v>2025-03-04 10:44:22.107</v>
      </c>
      <c r="H1623" t="s">
        <v>34</v>
      </c>
      <c r="I1623">
        <v>0</v>
      </c>
      <c r="J1623" t="s">
        <v>24</v>
      </c>
    </row>
    <row r="1624" spans="1:10" x14ac:dyDescent="0.25">
      <c r="A1624" s="1">
        <v>653</v>
      </c>
      <c r="B1624" t="s">
        <v>25</v>
      </c>
      <c r="C1624">
        <v>700</v>
      </c>
      <c r="D1624">
        <v>0</v>
      </c>
      <c r="E1624" t="s">
        <v>26</v>
      </c>
      <c r="F1624" t="s">
        <v>26</v>
      </c>
      <c r="G1624" t="str">
        <f>"2025-03-04 10:39:19.298"</f>
        <v>2025-03-04 10:39:19.298</v>
      </c>
      <c r="H1624" t="s">
        <v>22</v>
      </c>
      <c r="I1624">
        <v>0</v>
      </c>
      <c r="J1624" t="s">
        <v>27</v>
      </c>
    </row>
    <row r="1625" spans="1:10" x14ac:dyDescent="0.25">
      <c r="A1625" s="1">
        <v>654</v>
      </c>
      <c r="B1625" t="s">
        <v>37</v>
      </c>
      <c r="C1625">
        <v>630</v>
      </c>
      <c r="D1625">
        <v>5</v>
      </c>
      <c r="E1625" t="s">
        <v>32</v>
      </c>
      <c r="F1625" t="s">
        <v>33</v>
      </c>
      <c r="G1625" t="str">
        <f>"2025-03-04 10:10:57.135"</f>
        <v>2025-03-04 10:10:57.135</v>
      </c>
      <c r="H1625" t="s">
        <v>34</v>
      </c>
      <c r="I1625">
        <v>0</v>
      </c>
      <c r="J1625" t="s">
        <v>24</v>
      </c>
    </row>
    <row r="1626" spans="1:10" x14ac:dyDescent="0.25">
      <c r="A1626" s="1">
        <v>655</v>
      </c>
      <c r="B1626" t="s">
        <v>25</v>
      </c>
      <c r="C1626">
        <v>700</v>
      </c>
      <c r="D1626">
        <v>0</v>
      </c>
      <c r="E1626" t="s">
        <v>26</v>
      </c>
      <c r="F1626" t="s">
        <v>26</v>
      </c>
      <c r="G1626" t="str">
        <f>"2025-03-04 10:05:54.316"</f>
        <v>2025-03-04 10:05:54.316</v>
      </c>
      <c r="H1626" t="s">
        <v>22</v>
      </c>
      <c r="I1626">
        <v>0</v>
      </c>
      <c r="J1626" t="s">
        <v>27</v>
      </c>
    </row>
    <row r="1627" spans="1:10" x14ac:dyDescent="0.25">
      <c r="A1627" s="1">
        <v>656</v>
      </c>
      <c r="B1627" t="s">
        <v>25</v>
      </c>
      <c r="C1627">
        <v>706</v>
      </c>
      <c r="D1627">
        <v>3</v>
      </c>
      <c r="E1627" t="s">
        <v>35</v>
      </c>
      <c r="F1627" t="s">
        <v>62</v>
      </c>
      <c r="G1627" t="str">
        <f>"2025-03-04 07:44:28.665"</f>
        <v>2025-03-04 07:44:28.665</v>
      </c>
      <c r="H1627" t="s">
        <v>22</v>
      </c>
      <c r="I1627">
        <v>0</v>
      </c>
      <c r="J1627" t="s">
        <v>24</v>
      </c>
    </row>
    <row r="1628" spans="1:10" x14ac:dyDescent="0.25">
      <c r="A1628" s="1">
        <v>657</v>
      </c>
      <c r="B1628" t="s">
        <v>19</v>
      </c>
      <c r="C1628">
        <v>630</v>
      </c>
      <c r="D1628">
        <v>5</v>
      </c>
      <c r="E1628" t="s">
        <v>32</v>
      </c>
      <c r="F1628" t="s">
        <v>33</v>
      </c>
      <c r="G1628" t="str">
        <f>"2025-03-04 00:29:00.813"</f>
        <v>2025-03-04 00:29:00.813</v>
      </c>
      <c r="H1628" t="s">
        <v>34</v>
      </c>
    </row>
    <row r="1629" spans="1:10" x14ac:dyDescent="0.25">
      <c r="A1629" s="1">
        <v>658</v>
      </c>
      <c r="B1629" t="s">
        <v>25</v>
      </c>
      <c r="C1629">
        <v>706</v>
      </c>
      <c r="D1629">
        <v>4</v>
      </c>
      <c r="E1629" t="s">
        <v>35</v>
      </c>
      <c r="F1629" t="s">
        <v>36</v>
      </c>
      <c r="G1629" t="str">
        <f>"2025-03-04 00:28:30.655"</f>
        <v>2025-03-04 00:28:30.655</v>
      </c>
      <c r="H1629" t="s">
        <v>22</v>
      </c>
      <c r="I1629">
        <v>0</v>
      </c>
      <c r="J1629" t="s">
        <v>24</v>
      </c>
    </row>
    <row r="1630" spans="1:10" x14ac:dyDescent="0.25">
      <c r="A1630" s="1">
        <v>659</v>
      </c>
      <c r="B1630" t="s">
        <v>37</v>
      </c>
      <c r="C1630">
        <v>630</v>
      </c>
      <c r="D1630">
        <v>5</v>
      </c>
      <c r="E1630" t="s">
        <v>32</v>
      </c>
      <c r="F1630" t="s">
        <v>33</v>
      </c>
      <c r="G1630" t="str">
        <f>"2025-03-03 22:49:23.514"</f>
        <v>2025-03-03 22:49:23.514</v>
      </c>
      <c r="H1630" t="s">
        <v>34</v>
      </c>
      <c r="I1630">
        <v>0</v>
      </c>
      <c r="J1630" t="s">
        <v>24</v>
      </c>
    </row>
    <row r="1631" spans="1:10" x14ac:dyDescent="0.25">
      <c r="A1631" s="1">
        <v>660</v>
      </c>
      <c r="B1631" t="s">
        <v>25</v>
      </c>
      <c r="C1631">
        <v>706</v>
      </c>
      <c r="D1631">
        <v>4</v>
      </c>
      <c r="E1631" t="s">
        <v>35</v>
      </c>
      <c r="F1631" t="s">
        <v>36</v>
      </c>
      <c r="G1631" t="str">
        <f>"2025-03-03 22:38:01.555"</f>
        <v>2025-03-03 22:38:01.555</v>
      </c>
      <c r="H1631" t="s">
        <v>22</v>
      </c>
      <c r="I1631">
        <v>0</v>
      </c>
      <c r="J1631" t="s">
        <v>24</v>
      </c>
    </row>
    <row r="1632" spans="1:10" x14ac:dyDescent="0.25">
      <c r="A1632" s="1">
        <v>661</v>
      </c>
      <c r="B1632" t="s">
        <v>25</v>
      </c>
      <c r="C1632">
        <v>700</v>
      </c>
      <c r="D1632">
        <v>0</v>
      </c>
      <c r="E1632" t="s">
        <v>26</v>
      </c>
      <c r="F1632" t="s">
        <v>26</v>
      </c>
      <c r="G1632" t="str">
        <f>"2025-03-03 22:34:11.285"</f>
        <v>2025-03-03 22:34:11.285</v>
      </c>
      <c r="H1632" t="s">
        <v>22</v>
      </c>
    </row>
    <row r="1633" spans="1:10" x14ac:dyDescent="0.25">
      <c r="A1633" s="1">
        <v>662</v>
      </c>
      <c r="B1633" t="s">
        <v>37</v>
      </c>
      <c r="C1633">
        <v>630</v>
      </c>
      <c r="D1633">
        <v>5</v>
      </c>
      <c r="E1633" t="s">
        <v>32</v>
      </c>
      <c r="F1633" t="s">
        <v>33</v>
      </c>
      <c r="G1633" t="str">
        <f>"2025-03-03 21:49:12.929"</f>
        <v>2025-03-03 21:49:12.929</v>
      </c>
      <c r="H1633" t="s">
        <v>34</v>
      </c>
      <c r="I1633">
        <v>0</v>
      </c>
      <c r="J1633" t="s">
        <v>24</v>
      </c>
    </row>
    <row r="1634" spans="1:10" x14ac:dyDescent="0.25">
      <c r="A1634" s="1">
        <v>663</v>
      </c>
      <c r="B1634" t="s">
        <v>19</v>
      </c>
      <c r="C1634">
        <v>4</v>
      </c>
      <c r="D1634">
        <v>1</v>
      </c>
      <c r="E1634" t="s">
        <v>81</v>
      </c>
      <c r="F1634" t="s">
        <v>82</v>
      </c>
      <c r="G1634" t="str">
        <f>"2025-03-03 21:48:52.665"</f>
        <v>2025-03-03 21:48:52.665</v>
      </c>
      <c r="H1634" t="s">
        <v>83</v>
      </c>
    </row>
    <row r="1635" spans="1:10" x14ac:dyDescent="0.25">
      <c r="A1635" s="1">
        <v>664</v>
      </c>
      <c r="B1635" t="s">
        <v>23</v>
      </c>
      <c r="C1635">
        <v>4</v>
      </c>
      <c r="D1635">
        <v>1</v>
      </c>
      <c r="E1635" t="s">
        <v>81</v>
      </c>
      <c r="F1635" t="s">
        <v>82</v>
      </c>
      <c r="G1635" t="str">
        <f>"2025-03-03 21:44:15.046"</f>
        <v>2025-03-03 21:44:15.046</v>
      </c>
      <c r="H1635" t="s">
        <v>83</v>
      </c>
      <c r="I1635">
        <v>0</v>
      </c>
      <c r="J1635" t="s">
        <v>84</v>
      </c>
    </row>
    <row r="1636" spans="1:10" x14ac:dyDescent="0.25">
      <c r="A1636" s="1">
        <v>665</v>
      </c>
      <c r="B1636" t="s">
        <v>25</v>
      </c>
      <c r="C1636">
        <v>700</v>
      </c>
      <c r="D1636">
        <v>0</v>
      </c>
      <c r="E1636" t="s">
        <v>26</v>
      </c>
      <c r="F1636" t="s">
        <v>26</v>
      </c>
      <c r="G1636" t="str">
        <f>"2025-03-03 21:44:10.308"</f>
        <v>2025-03-03 21:44:10.308</v>
      </c>
      <c r="H1636" t="s">
        <v>22</v>
      </c>
    </row>
    <row r="1637" spans="1:10" x14ac:dyDescent="0.25">
      <c r="A1637" s="1">
        <v>666</v>
      </c>
      <c r="B1637" t="s">
        <v>37</v>
      </c>
      <c r="C1637">
        <v>630</v>
      </c>
      <c r="D1637">
        <v>5</v>
      </c>
      <c r="E1637" t="s">
        <v>32</v>
      </c>
      <c r="F1637" t="s">
        <v>33</v>
      </c>
      <c r="G1637" t="str">
        <f>"2025-03-03 21:15:48.535"</f>
        <v>2025-03-03 21:15:48.535</v>
      </c>
      <c r="H1637" t="s">
        <v>34</v>
      </c>
      <c r="I1637">
        <v>0</v>
      </c>
      <c r="J1637" t="s">
        <v>24</v>
      </c>
    </row>
    <row r="1638" spans="1:10" x14ac:dyDescent="0.25">
      <c r="A1638" s="1">
        <v>667</v>
      </c>
      <c r="B1638" t="s">
        <v>25</v>
      </c>
      <c r="C1638">
        <v>700</v>
      </c>
      <c r="D1638">
        <v>0</v>
      </c>
      <c r="E1638" t="s">
        <v>26</v>
      </c>
      <c r="F1638" t="s">
        <v>26</v>
      </c>
      <c r="G1638" t="str">
        <f>"2025-03-02 12:18:32.456"</f>
        <v>2025-03-02 12:18:32.456</v>
      </c>
      <c r="H1638" t="s">
        <v>22</v>
      </c>
    </row>
    <row r="1639" spans="1:10" x14ac:dyDescent="0.25">
      <c r="A1639" s="1">
        <v>668</v>
      </c>
      <c r="B1639" t="s">
        <v>42</v>
      </c>
      <c r="C1639">
        <v>137</v>
      </c>
      <c r="D1639">
        <v>4</v>
      </c>
      <c r="E1639" t="s">
        <v>79</v>
      </c>
      <c r="F1639" t="s">
        <v>80</v>
      </c>
      <c r="G1639" t="str">
        <f>"2025-03-02 08:47:14.636"</f>
        <v>2025-03-02 08:47:14.636</v>
      </c>
      <c r="H1639" t="s">
        <v>58</v>
      </c>
    </row>
    <row r="1640" spans="1:10" x14ac:dyDescent="0.25">
      <c r="A1640" s="1">
        <v>669</v>
      </c>
      <c r="B1640" t="s">
        <v>37</v>
      </c>
      <c r="C1640">
        <v>137</v>
      </c>
      <c r="D1640">
        <v>4</v>
      </c>
      <c r="E1640" t="s">
        <v>79</v>
      </c>
      <c r="F1640" t="s">
        <v>80</v>
      </c>
      <c r="G1640" t="str">
        <f>"2025-03-02 08:47:09.545"</f>
        <v>2025-03-02 08:47:09.545</v>
      </c>
      <c r="H1640" t="s">
        <v>58</v>
      </c>
      <c r="I1640">
        <v>20.51</v>
      </c>
      <c r="J1640" t="s">
        <v>30</v>
      </c>
    </row>
    <row r="1641" spans="1:10" x14ac:dyDescent="0.25">
      <c r="A1641" s="1">
        <v>670</v>
      </c>
      <c r="B1641" t="s">
        <v>42</v>
      </c>
      <c r="C1641">
        <v>137</v>
      </c>
      <c r="D1641">
        <v>4</v>
      </c>
      <c r="E1641" t="s">
        <v>79</v>
      </c>
      <c r="F1641" t="s">
        <v>80</v>
      </c>
      <c r="G1641" t="str">
        <f>"2025-03-02 04:45:08.836"</f>
        <v>2025-03-02 04:45:08.836</v>
      </c>
      <c r="H1641" t="s">
        <v>58</v>
      </c>
    </row>
    <row r="1642" spans="1:10" x14ac:dyDescent="0.25">
      <c r="A1642" s="1">
        <v>671</v>
      </c>
      <c r="B1642" t="s">
        <v>37</v>
      </c>
      <c r="C1642">
        <v>137</v>
      </c>
      <c r="D1642">
        <v>4</v>
      </c>
      <c r="E1642" t="s">
        <v>79</v>
      </c>
      <c r="F1642" t="s">
        <v>80</v>
      </c>
      <c r="G1642" t="str">
        <f>"2025-03-02 04:45:03.745"</f>
        <v>2025-03-02 04:45:03.745</v>
      </c>
      <c r="H1642" t="s">
        <v>58</v>
      </c>
      <c r="I1642">
        <v>6.57</v>
      </c>
      <c r="J1642" t="s">
        <v>30</v>
      </c>
    </row>
    <row r="1643" spans="1:10" x14ac:dyDescent="0.25">
      <c r="A1643" s="1">
        <v>672</v>
      </c>
      <c r="B1643" t="s">
        <v>42</v>
      </c>
      <c r="C1643">
        <v>137</v>
      </c>
      <c r="D1643">
        <v>4</v>
      </c>
      <c r="E1643" t="s">
        <v>79</v>
      </c>
      <c r="F1643" t="s">
        <v>80</v>
      </c>
      <c r="G1643" t="str">
        <f>"2025-03-02 02:20:02.336"</f>
        <v>2025-03-02 02:20:02.336</v>
      </c>
      <c r="H1643" t="s">
        <v>58</v>
      </c>
    </row>
    <row r="1644" spans="1:10" x14ac:dyDescent="0.25">
      <c r="A1644" s="1">
        <v>673</v>
      </c>
      <c r="B1644" t="s">
        <v>37</v>
      </c>
      <c r="C1644">
        <v>137</v>
      </c>
      <c r="D1644">
        <v>4</v>
      </c>
      <c r="E1644" t="s">
        <v>79</v>
      </c>
      <c r="F1644" t="s">
        <v>80</v>
      </c>
      <c r="G1644" t="str">
        <f>"2025-03-02 02:19:57.245"</f>
        <v>2025-03-02 02:19:57.245</v>
      </c>
      <c r="H1644" t="s">
        <v>58</v>
      </c>
      <c r="I1644">
        <v>13.27</v>
      </c>
      <c r="J1644" t="s">
        <v>30</v>
      </c>
    </row>
    <row r="1645" spans="1:10" x14ac:dyDescent="0.25">
      <c r="A1645" s="1">
        <v>674</v>
      </c>
      <c r="B1645" t="s">
        <v>25</v>
      </c>
      <c r="C1645">
        <v>700</v>
      </c>
      <c r="D1645">
        <v>0</v>
      </c>
      <c r="E1645" t="s">
        <v>26</v>
      </c>
      <c r="F1645" t="s">
        <v>26</v>
      </c>
      <c r="G1645" t="str">
        <f>"2025-03-01 09:05:32.281"</f>
        <v>2025-03-01 09:05:32.281</v>
      </c>
      <c r="H1645" t="s">
        <v>22</v>
      </c>
    </row>
    <row r="1646" spans="1:10" x14ac:dyDescent="0.25">
      <c r="A1646" s="1">
        <v>675</v>
      </c>
      <c r="B1646" t="s">
        <v>42</v>
      </c>
      <c r="C1646">
        <v>126</v>
      </c>
      <c r="D1646">
        <v>7</v>
      </c>
      <c r="E1646" t="s">
        <v>77</v>
      </c>
      <c r="F1646" t="s">
        <v>78</v>
      </c>
      <c r="G1646" t="str">
        <f>"2025-02-27 22:33:55.881"</f>
        <v>2025-02-27 22:33:55.881</v>
      </c>
      <c r="H1646" t="s">
        <v>58</v>
      </c>
    </row>
    <row r="1647" spans="1:10" x14ac:dyDescent="0.25">
      <c r="A1647" s="1">
        <v>676</v>
      </c>
      <c r="B1647" t="s">
        <v>37</v>
      </c>
      <c r="C1647">
        <v>126</v>
      </c>
      <c r="D1647">
        <v>7</v>
      </c>
      <c r="E1647" t="s">
        <v>77</v>
      </c>
      <c r="F1647" t="s">
        <v>78</v>
      </c>
      <c r="G1647" t="str">
        <f>"2025-02-27 22:33:50.865"</f>
        <v>2025-02-27 22:33:50.865</v>
      </c>
      <c r="H1647" t="s">
        <v>58</v>
      </c>
      <c r="I1647">
        <v>17.850000000000001</v>
      </c>
      <c r="J1647" t="s">
        <v>30</v>
      </c>
    </row>
    <row r="1648" spans="1:10" x14ac:dyDescent="0.25">
      <c r="A1648" s="1">
        <v>677</v>
      </c>
      <c r="B1648" t="s">
        <v>42</v>
      </c>
      <c r="C1648">
        <v>135</v>
      </c>
      <c r="D1648">
        <v>4</v>
      </c>
      <c r="E1648" t="s">
        <v>56</v>
      </c>
      <c r="F1648" t="s">
        <v>80</v>
      </c>
      <c r="G1648" t="str">
        <f>"2025-02-27 20:40:39.482"</f>
        <v>2025-02-27 20:40:39.482</v>
      </c>
      <c r="H1648" t="s">
        <v>58</v>
      </c>
    </row>
    <row r="1649" spans="1:10" x14ac:dyDescent="0.25">
      <c r="A1649" s="1">
        <v>678</v>
      </c>
      <c r="B1649" t="s">
        <v>37</v>
      </c>
      <c r="C1649">
        <v>135</v>
      </c>
      <c r="D1649">
        <v>4</v>
      </c>
      <c r="E1649" t="s">
        <v>56</v>
      </c>
      <c r="F1649" t="s">
        <v>80</v>
      </c>
      <c r="G1649" t="str">
        <f>"2025-02-27 20:40:34.425"</f>
        <v>2025-02-27 20:40:34.425</v>
      </c>
      <c r="H1649" t="s">
        <v>58</v>
      </c>
      <c r="I1649">
        <v>12.23</v>
      </c>
      <c r="J1649" t="s">
        <v>30</v>
      </c>
    </row>
    <row r="1650" spans="1:10" x14ac:dyDescent="0.25">
      <c r="A1650" s="1">
        <v>679</v>
      </c>
      <c r="B1650" t="s">
        <v>25</v>
      </c>
      <c r="C1650">
        <v>700</v>
      </c>
      <c r="D1650">
        <v>0</v>
      </c>
      <c r="E1650" t="s">
        <v>26</v>
      </c>
      <c r="F1650" t="s">
        <v>26</v>
      </c>
      <c r="G1650" t="str">
        <f>"2025-02-26 07:45:36.361"</f>
        <v>2025-02-26 07:45:36.361</v>
      </c>
      <c r="H1650" t="s">
        <v>22</v>
      </c>
      <c r="I1650">
        <v>0</v>
      </c>
      <c r="J1650" t="s">
        <v>27</v>
      </c>
    </row>
    <row r="1651" spans="1:10" x14ac:dyDescent="0.25">
      <c r="A1651" s="1">
        <v>680</v>
      </c>
      <c r="B1651" t="s">
        <v>42</v>
      </c>
      <c r="C1651">
        <v>126</v>
      </c>
      <c r="D1651">
        <v>7</v>
      </c>
      <c r="E1651" t="s">
        <v>77</v>
      </c>
      <c r="F1651" t="s">
        <v>78</v>
      </c>
      <c r="G1651" t="str">
        <f>"2025-02-25 18:37:12.379"</f>
        <v>2025-02-25 18:37:12.379</v>
      </c>
      <c r="H1651" t="s">
        <v>58</v>
      </c>
    </row>
    <row r="1652" spans="1:10" x14ac:dyDescent="0.25">
      <c r="A1652" s="1">
        <v>681</v>
      </c>
      <c r="B1652" t="s">
        <v>37</v>
      </c>
      <c r="C1652">
        <v>126</v>
      </c>
      <c r="D1652">
        <v>7</v>
      </c>
      <c r="E1652" t="s">
        <v>77</v>
      </c>
      <c r="F1652" t="s">
        <v>78</v>
      </c>
      <c r="G1652" t="str">
        <f>"2025-02-25 18:37:07.304"</f>
        <v>2025-02-25 18:37:07.304</v>
      </c>
      <c r="H1652" t="s">
        <v>58</v>
      </c>
      <c r="I1652">
        <v>19.57</v>
      </c>
      <c r="J1652" t="s">
        <v>30</v>
      </c>
    </row>
    <row r="1653" spans="1:10" x14ac:dyDescent="0.25">
      <c r="A1653" s="1">
        <v>682</v>
      </c>
      <c r="B1653" t="s">
        <v>42</v>
      </c>
      <c r="C1653">
        <v>135</v>
      </c>
      <c r="D1653">
        <v>7</v>
      </c>
      <c r="E1653" t="s">
        <v>56</v>
      </c>
      <c r="F1653" t="s">
        <v>57</v>
      </c>
      <c r="G1653" t="str">
        <f>"2025-02-25 03:56:14.780"</f>
        <v>2025-02-25 03:56:14.780</v>
      </c>
      <c r="H1653" t="s">
        <v>58</v>
      </c>
    </row>
    <row r="1654" spans="1:10" x14ac:dyDescent="0.25">
      <c r="A1654" s="1">
        <v>683</v>
      </c>
      <c r="B1654" t="s">
        <v>37</v>
      </c>
      <c r="C1654">
        <v>135</v>
      </c>
      <c r="D1654">
        <v>7</v>
      </c>
      <c r="E1654" t="s">
        <v>56</v>
      </c>
      <c r="F1654" t="s">
        <v>57</v>
      </c>
      <c r="G1654" t="str">
        <f>"2025-02-25 03:56:09.684"</f>
        <v>2025-02-25 03:56:09.684</v>
      </c>
      <c r="H1654" t="s">
        <v>58</v>
      </c>
      <c r="I1654">
        <v>19.11</v>
      </c>
      <c r="J1654" t="s">
        <v>30</v>
      </c>
    </row>
    <row r="1655" spans="1:10" x14ac:dyDescent="0.25">
      <c r="A1655" s="1">
        <v>684</v>
      </c>
      <c r="B1655" t="s">
        <v>42</v>
      </c>
      <c r="C1655">
        <v>137</v>
      </c>
      <c r="D1655">
        <v>4</v>
      </c>
      <c r="E1655" t="s">
        <v>79</v>
      </c>
      <c r="F1655" t="s">
        <v>80</v>
      </c>
      <c r="G1655" t="str">
        <f>"2025-02-25 03:45:40.479"</f>
        <v>2025-02-25 03:45:40.479</v>
      </c>
      <c r="H1655" t="s">
        <v>58</v>
      </c>
    </row>
    <row r="1656" spans="1:10" x14ac:dyDescent="0.25">
      <c r="A1656" s="1">
        <v>685</v>
      </c>
      <c r="B1656" t="s">
        <v>37</v>
      </c>
      <c r="C1656">
        <v>137</v>
      </c>
      <c r="D1656">
        <v>4</v>
      </c>
      <c r="E1656" t="s">
        <v>79</v>
      </c>
      <c r="F1656" t="s">
        <v>80</v>
      </c>
      <c r="G1656" t="str">
        <f>"2025-02-25 03:45:35.443"</f>
        <v>2025-02-25 03:45:35.443</v>
      </c>
      <c r="H1656" t="s">
        <v>58</v>
      </c>
      <c r="I1656">
        <v>20.85</v>
      </c>
      <c r="J1656" t="s">
        <v>30</v>
      </c>
    </row>
    <row r="1657" spans="1:10" x14ac:dyDescent="0.25">
      <c r="A1657" s="1">
        <v>686</v>
      </c>
      <c r="B1657" t="s">
        <v>42</v>
      </c>
      <c r="C1657">
        <v>135</v>
      </c>
      <c r="D1657">
        <v>1</v>
      </c>
      <c r="E1657" t="s">
        <v>56</v>
      </c>
      <c r="F1657" t="s">
        <v>85</v>
      </c>
      <c r="G1657" t="str">
        <f>"2025-02-25 00:24:14.879"</f>
        <v>2025-02-25 00:24:14.879</v>
      </c>
      <c r="H1657" t="s">
        <v>58</v>
      </c>
    </row>
    <row r="1658" spans="1:10" x14ac:dyDescent="0.25">
      <c r="A1658" s="1">
        <v>687</v>
      </c>
      <c r="B1658" t="s">
        <v>37</v>
      </c>
      <c r="C1658">
        <v>135</v>
      </c>
      <c r="D1658">
        <v>1</v>
      </c>
      <c r="E1658" t="s">
        <v>56</v>
      </c>
      <c r="F1658" t="s">
        <v>85</v>
      </c>
      <c r="G1658" t="str">
        <f>"2025-02-25 00:24:09.824"</f>
        <v>2025-02-25 00:24:09.824</v>
      </c>
      <c r="H1658" t="s">
        <v>58</v>
      </c>
      <c r="I1658">
        <v>9</v>
      </c>
      <c r="J1658" t="s">
        <v>30</v>
      </c>
    </row>
    <row r="1659" spans="1:10" x14ac:dyDescent="0.25">
      <c r="A1659" s="1">
        <v>688</v>
      </c>
      <c r="B1659" t="s">
        <v>42</v>
      </c>
      <c r="C1659">
        <v>137</v>
      </c>
      <c r="D1659">
        <v>7</v>
      </c>
      <c r="E1659" t="s">
        <v>79</v>
      </c>
      <c r="F1659" t="s">
        <v>86</v>
      </c>
      <c r="G1659" t="str">
        <f>"2025-02-24 23:48:04.980"</f>
        <v>2025-02-24 23:48:04.980</v>
      </c>
      <c r="H1659" t="s">
        <v>58</v>
      </c>
    </row>
    <row r="1660" spans="1:10" x14ac:dyDescent="0.25">
      <c r="A1660" s="1">
        <v>689</v>
      </c>
      <c r="B1660" t="s">
        <v>37</v>
      </c>
      <c r="C1660">
        <v>137</v>
      </c>
      <c r="D1660">
        <v>7</v>
      </c>
      <c r="E1660" t="s">
        <v>79</v>
      </c>
      <c r="F1660" t="s">
        <v>86</v>
      </c>
      <c r="G1660" t="str">
        <f>"2025-02-24 23:47:59.964"</f>
        <v>2025-02-24 23:47:59.964</v>
      </c>
      <c r="H1660" t="s">
        <v>58</v>
      </c>
      <c r="I1660">
        <v>0</v>
      </c>
      <c r="J1660" t="s">
        <v>48</v>
      </c>
    </row>
    <row r="1661" spans="1:10" x14ac:dyDescent="0.25">
      <c r="A1661" s="1">
        <v>690</v>
      </c>
      <c r="B1661" t="s">
        <v>25</v>
      </c>
      <c r="C1661">
        <v>700</v>
      </c>
      <c r="D1661">
        <v>0</v>
      </c>
      <c r="E1661" t="s">
        <v>26</v>
      </c>
      <c r="F1661" t="s">
        <v>26</v>
      </c>
      <c r="G1661" t="str">
        <f>"2025-02-24 15:48:55.228"</f>
        <v>2025-02-24 15:48:55.228</v>
      </c>
      <c r="H1661" t="s">
        <v>22</v>
      </c>
    </row>
    <row r="1662" spans="1:10" x14ac:dyDescent="0.25">
      <c r="A1662" s="1">
        <v>691</v>
      </c>
      <c r="B1662" t="s">
        <v>25</v>
      </c>
      <c r="C1662">
        <v>700</v>
      </c>
      <c r="D1662">
        <v>0</v>
      </c>
      <c r="E1662" t="s">
        <v>26</v>
      </c>
      <c r="F1662" t="s">
        <v>26</v>
      </c>
      <c r="G1662" t="str">
        <f>"2025-02-24 15:28:49.219"</f>
        <v>2025-02-24 15:28:49.219</v>
      </c>
      <c r="H1662" t="s">
        <v>22</v>
      </c>
      <c r="I1662">
        <v>0</v>
      </c>
      <c r="J1662" t="s">
        <v>27</v>
      </c>
    </row>
    <row r="1663" spans="1:10" x14ac:dyDescent="0.25">
      <c r="A1663" s="1">
        <v>692</v>
      </c>
      <c r="B1663" t="s">
        <v>37</v>
      </c>
      <c r="C1663">
        <v>630</v>
      </c>
      <c r="D1663">
        <v>5</v>
      </c>
      <c r="E1663" t="s">
        <v>32</v>
      </c>
      <c r="F1663" t="s">
        <v>33</v>
      </c>
      <c r="G1663" t="str">
        <f>"2025-02-24 15:09:41.387"</f>
        <v>2025-02-24 15:09:41.387</v>
      </c>
      <c r="H1663" t="s">
        <v>34</v>
      </c>
      <c r="I1663">
        <v>0</v>
      </c>
      <c r="J1663" t="s">
        <v>24</v>
      </c>
    </row>
    <row r="1664" spans="1:10" x14ac:dyDescent="0.25">
      <c r="A1664" s="1">
        <v>693</v>
      </c>
      <c r="B1664" t="s">
        <v>25</v>
      </c>
      <c r="C1664">
        <v>706</v>
      </c>
      <c r="D1664">
        <v>4</v>
      </c>
      <c r="E1664" t="s">
        <v>35</v>
      </c>
      <c r="F1664" t="s">
        <v>36</v>
      </c>
      <c r="G1664" t="str">
        <f>"2025-02-24 15:00:56.738"</f>
        <v>2025-02-24 15:00:56.738</v>
      </c>
      <c r="H1664" t="s">
        <v>22</v>
      </c>
      <c r="I1664">
        <v>0</v>
      </c>
      <c r="J1664" t="s">
        <v>63</v>
      </c>
    </row>
    <row r="1665" spans="1:10" x14ac:dyDescent="0.25">
      <c r="A1665" s="1">
        <v>694</v>
      </c>
      <c r="B1665" t="s">
        <v>25</v>
      </c>
      <c r="C1665">
        <v>700</v>
      </c>
      <c r="D1665">
        <v>0</v>
      </c>
      <c r="E1665" t="s">
        <v>26</v>
      </c>
      <c r="F1665" t="s">
        <v>26</v>
      </c>
      <c r="G1665" t="str">
        <f>"2025-02-24 15:00:08.228"</f>
        <v>2025-02-24 15:00:08.228</v>
      </c>
      <c r="H1665" t="s">
        <v>22</v>
      </c>
      <c r="I1665">
        <v>0</v>
      </c>
      <c r="J1665" t="s">
        <v>27</v>
      </c>
    </row>
    <row r="1666" spans="1:10" x14ac:dyDescent="0.25">
      <c r="A1666" s="1">
        <v>695</v>
      </c>
      <c r="B1666" t="s">
        <v>25</v>
      </c>
      <c r="C1666">
        <v>700</v>
      </c>
      <c r="D1666">
        <v>0</v>
      </c>
      <c r="E1666" t="s">
        <v>26</v>
      </c>
      <c r="F1666" t="s">
        <v>26</v>
      </c>
      <c r="G1666" t="str">
        <f>"2025-02-23 11:26:48.228"</f>
        <v>2025-02-23 11:26:48.228</v>
      </c>
      <c r="H1666" t="s">
        <v>22</v>
      </c>
      <c r="I1666">
        <v>0</v>
      </c>
      <c r="J1666" t="s">
        <v>27</v>
      </c>
    </row>
    <row r="1667" spans="1:10" x14ac:dyDescent="0.25">
      <c r="A1667" s="1">
        <v>696</v>
      </c>
      <c r="B1667" t="s">
        <v>37</v>
      </c>
      <c r="C1667">
        <v>9</v>
      </c>
      <c r="D1667">
        <v>2</v>
      </c>
      <c r="E1667" t="s">
        <v>87</v>
      </c>
      <c r="F1667" t="s">
        <v>88</v>
      </c>
      <c r="G1667" t="str">
        <f>"2025-02-23 10:41:48.935"</f>
        <v>2025-02-23 10:41:48.935</v>
      </c>
      <c r="H1667" t="s">
        <v>45</v>
      </c>
      <c r="I1667">
        <v>0</v>
      </c>
      <c r="J1667" t="s">
        <v>48</v>
      </c>
    </row>
    <row r="1668" spans="1:10" x14ac:dyDescent="0.25">
      <c r="A1668" s="1">
        <v>699</v>
      </c>
      <c r="B1668" t="s">
        <v>25</v>
      </c>
      <c r="C1668">
        <v>782</v>
      </c>
      <c r="D1668">
        <v>7</v>
      </c>
      <c r="E1668" t="s">
        <v>72</v>
      </c>
      <c r="F1668" t="s">
        <v>73</v>
      </c>
      <c r="G1668" t="str">
        <f>"2025-02-23 10:41:38.337"</f>
        <v>2025-02-23 10:41:38.337</v>
      </c>
      <c r="H1668" t="s">
        <v>22</v>
      </c>
      <c r="I1668">
        <v>0</v>
      </c>
      <c r="J1668" t="s">
        <v>24</v>
      </c>
    </row>
    <row r="1669" spans="1:10" x14ac:dyDescent="0.25">
      <c r="A1669" s="1">
        <v>702</v>
      </c>
      <c r="B1669" t="s">
        <v>19</v>
      </c>
      <c r="C1669">
        <v>9</v>
      </c>
      <c r="D1669">
        <v>2</v>
      </c>
      <c r="E1669" t="s">
        <v>87</v>
      </c>
      <c r="F1669" t="s">
        <v>88</v>
      </c>
      <c r="G1669" t="str">
        <f>"2025-02-23 10:41:38.330"</f>
        <v>2025-02-23 10:41:38.330</v>
      </c>
      <c r="H1669" t="s">
        <v>45</v>
      </c>
    </row>
    <row r="1670" spans="1:10" x14ac:dyDescent="0.25">
      <c r="A1670" s="1">
        <v>703</v>
      </c>
      <c r="B1670" t="s">
        <v>25</v>
      </c>
      <c r="C1670">
        <v>782</v>
      </c>
      <c r="D1670">
        <v>7</v>
      </c>
      <c r="E1670" t="s">
        <v>72</v>
      </c>
      <c r="F1670" t="s">
        <v>73</v>
      </c>
      <c r="G1670" t="str">
        <f>"2025-02-23 10:41:38.329"</f>
        <v>2025-02-23 10:41:38.329</v>
      </c>
      <c r="H1670" t="s">
        <v>22</v>
      </c>
      <c r="I1670">
        <v>0</v>
      </c>
      <c r="J1670" t="s">
        <v>24</v>
      </c>
    </row>
    <row r="1671" spans="1:10" x14ac:dyDescent="0.25">
      <c r="A1671" s="1">
        <v>704</v>
      </c>
      <c r="B1671" t="s">
        <v>37</v>
      </c>
      <c r="C1671">
        <v>9</v>
      </c>
      <c r="D1671">
        <v>2</v>
      </c>
      <c r="E1671" t="s">
        <v>87</v>
      </c>
      <c r="F1671" t="s">
        <v>88</v>
      </c>
      <c r="G1671" t="str">
        <f>"2025-02-23 10:41:19.846"</f>
        <v>2025-02-23 10:41:19.846</v>
      </c>
      <c r="H1671" t="s">
        <v>45</v>
      </c>
      <c r="I1671">
        <v>0</v>
      </c>
      <c r="J1671" t="s">
        <v>48</v>
      </c>
    </row>
    <row r="1672" spans="1:10" x14ac:dyDescent="0.25">
      <c r="A1672" s="1">
        <v>705</v>
      </c>
      <c r="B1672" t="s">
        <v>25</v>
      </c>
      <c r="C1672">
        <v>700</v>
      </c>
      <c r="D1672">
        <v>0</v>
      </c>
      <c r="E1672" t="s">
        <v>26</v>
      </c>
      <c r="F1672" t="s">
        <v>26</v>
      </c>
      <c r="G1672" t="str">
        <f>"2025-02-23 10:40:47.218"</f>
        <v>2025-02-23 10:40:47.218</v>
      </c>
      <c r="H1672" t="s">
        <v>22</v>
      </c>
    </row>
    <row r="1673" spans="1:10" x14ac:dyDescent="0.25">
      <c r="A1673" s="1">
        <v>706</v>
      </c>
      <c r="B1673" t="s">
        <v>37</v>
      </c>
      <c r="C1673">
        <v>9</v>
      </c>
      <c r="D1673">
        <v>2</v>
      </c>
      <c r="E1673" t="s">
        <v>87</v>
      </c>
      <c r="F1673" t="s">
        <v>88</v>
      </c>
      <c r="G1673" t="str">
        <f>"2025-02-23 09:49:47.036"</f>
        <v>2025-02-23 09:49:47.036</v>
      </c>
      <c r="H1673" t="s">
        <v>45</v>
      </c>
      <c r="I1673">
        <v>0</v>
      </c>
      <c r="J1673" t="s">
        <v>48</v>
      </c>
    </row>
    <row r="1674" spans="1:10" x14ac:dyDescent="0.25">
      <c r="A1674" s="1">
        <v>707</v>
      </c>
      <c r="B1674" t="s">
        <v>19</v>
      </c>
      <c r="C1674">
        <v>4</v>
      </c>
      <c r="D1674">
        <v>1</v>
      </c>
      <c r="E1674" t="s">
        <v>81</v>
      </c>
      <c r="F1674" t="s">
        <v>82</v>
      </c>
      <c r="G1674" t="str">
        <f>"2025-02-23 09:43:56.058"</f>
        <v>2025-02-23 09:43:56.058</v>
      </c>
      <c r="H1674" t="s">
        <v>83</v>
      </c>
    </row>
    <row r="1675" spans="1:10" x14ac:dyDescent="0.25">
      <c r="A1675" s="1">
        <v>708</v>
      </c>
      <c r="B1675" t="s">
        <v>25</v>
      </c>
      <c r="C1675">
        <v>700</v>
      </c>
      <c r="D1675">
        <v>0</v>
      </c>
      <c r="E1675" t="s">
        <v>26</v>
      </c>
      <c r="F1675" t="s">
        <v>26</v>
      </c>
      <c r="G1675" t="str">
        <f>"2025-02-23 09:43:48.227"</f>
        <v>2025-02-23 09:43:48.227</v>
      </c>
      <c r="H1675" t="s">
        <v>22</v>
      </c>
      <c r="I1675">
        <v>0</v>
      </c>
      <c r="J1675" t="s">
        <v>27</v>
      </c>
    </row>
    <row r="1676" spans="1:10" x14ac:dyDescent="0.25">
      <c r="A1676" s="1">
        <v>709</v>
      </c>
      <c r="B1676" t="s">
        <v>59</v>
      </c>
      <c r="C1676">
        <v>9</v>
      </c>
      <c r="D1676">
        <v>1</v>
      </c>
      <c r="E1676" t="s">
        <v>87</v>
      </c>
      <c r="F1676" t="s">
        <v>89</v>
      </c>
      <c r="G1676" t="str">
        <f>"2025-02-23 09:09:27.052"</f>
        <v>2025-02-23 09:09:27.052</v>
      </c>
      <c r="H1676" t="s">
        <v>45</v>
      </c>
    </row>
    <row r="1677" spans="1:10" x14ac:dyDescent="0.25">
      <c r="A1677" s="1">
        <v>710</v>
      </c>
      <c r="B1677" t="s">
        <v>23</v>
      </c>
      <c r="C1677">
        <v>4</v>
      </c>
      <c r="D1677">
        <v>1</v>
      </c>
      <c r="E1677" t="s">
        <v>81</v>
      </c>
      <c r="F1677" t="s">
        <v>82</v>
      </c>
      <c r="G1677" t="str">
        <f>"2025-02-23 09:03:48.150"</f>
        <v>2025-02-23 09:03:48.150</v>
      </c>
      <c r="H1677" t="s">
        <v>83</v>
      </c>
      <c r="I1677">
        <v>0</v>
      </c>
      <c r="J1677" t="s">
        <v>24</v>
      </c>
    </row>
    <row r="1678" spans="1:10" x14ac:dyDescent="0.25">
      <c r="A1678" s="1">
        <v>711</v>
      </c>
      <c r="B1678" t="s">
        <v>37</v>
      </c>
      <c r="C1678">
        <v>9</v>
      </c>
      <c r="D1678">
        <v>1</v>
      </c>
      <c r="E1678" t="s">
        <v>87</v>
      </c>
      <c r="F1678" t="s">
        <v>89</v>
      </c>
      <c r="G1678" t="str">
        <f>"2025-02-23 08:58:15.792"</f>
        <v>2025-02-23 08:58:15.792</v>
      </c>
      <c r="H1678" t="s">
        <v>45</v>
      </c>
      <c r="I1678">
        <v>0</v>
      </c>
      <c r="J1678" t="s">
        <v>48</v>
      </c>
    </row>
    <row r="1679" spans="1:10" x14ac:dyDescent="0.25">
      <c r="A1679" s="1">
        <v>712</v>
      </c>
      <c r="B1679" t="s">
        <v>59</v>
      </c>
      <c r="C1679">
        <v>9</v>
      </c>
      <c r="D1679">
        <v>1</v>
      </c>
      <c r="E1679" t="s">
        <v>87</v>
      </c>
      <c r="F1679" t="s">
        <v>89</v>
      </c>
      <c r="G1679" t="str">
        <f>"2025-02-23 08:57:58.500"</f>
        <v>2025-02-23 08:57:58.500</v>
      </c>
      <c r="H1679" t="s">
        <v>45</v>
      </c>
    </row>
    <row r="1680" spans="1:10" x14ac:dyDescent="0.25">
      <c r="A1680" s="1">
        <v>713</v>
      </c>
      <c r="B1680" t="s">
        <v>37</v>
      </c>
      <c r="C1680">
        <v>9</v>
      </c>
      <c r="D1680">
        <v>1</v>
      </c>
      <c r="E1680" t="s">
        <v>87</v>
      </c>
      <c r="F1680" t="s">
        <v>89</v>
      </c>
      <c r="G1680" t="str">
        <f>"2025-02-23 08:54:44.792"</f>
        <v>2025-02-23 08:54:44.792</v>
      </c>
      <c r="H1680" t="s">
        <v>45</v>
      </c>
      <c r="I1680">
        <v>0</v>
      </c>
      <c r="J1680" t="s">
        <v>48</v>
      </c>
    </row>
    <row r="1681" spans="1:10" x14ac:dyDescent="0.25">
      <c r="A1681" s="1">
        <v>716</v>
      </c>
      <c r="B1681" t="s">
        <v>25</v>
      </c>
      <c r="C1681">
        <v>782</v>
      </c>
      <c r="D1681">
        <v>7</v>
      </c>
      <c r="E1681" t="s">
        <v>72</v>
      </c>
      <c r="F1681" t="s">
        <v>73</v>
      </c>
      <c r="G1681" t="str">
        <f>"2025-02-23 08:54:27.305"</f>
        <v>2025-02-23 08:54:27.305</v>
      </c>
      <c r="H1681" t="s">
        <v>22</v>
      </c>
      <c r="I1681">
        <v>0</v>
      </c>
      <c r="J1681" t="s">
        <v>24</v>
      </c>
    </row>
    <row r="1682" spans="1:10" x14ac:dyDescent="0.25">
      <c r="A1682" s="1">
        <v>719</v>
      </c>
      <c r="B1682" t="s">
        <v>19</v>
      </c>
      <c r="C1682">
        <v>9</v>
      </c>
      <c r="D1682">
        <v>1</v>
      </c>
      <c r="E1682" t="s">
        <v>87</v>
      </c>
      <c r="F1682" t="s">
        <v>89</v>
      </c>
      <c r="G1682" t="str">
        <f>"2025-02-23 08:54:27.301"</f>
        <v>2025-02-23 08:54:27.301</v>
      </c>
      <c r="H1682" t="s">
        <v>45</v>
      </c>
    </row>
    <row r="1683" spans="1:10" x14ac:dyDescent="0.25">
      <c r="A1683" s="1">
        <v>720</v>
      </c>
      <c r="B1683" t="s">
        <v>25</v>
      </c>
      <c r="C1683">
        <v>782</v>
      </c>
      <c r="D1683">
        <v>7</v>
      </c>
      <c r="E1683" t="s">
        <v>72</v>
      </c>
      <c r="F1683" t="s">
        <v>73</v>
      </c>
      <c r="G1683" t="str">
        <f>"2025-02-23 08:54:27.300"</f>
        <v>2025-02-23 08:54:27.300</v>
      </c>
      <c r="H1683" t="s">
        <v>22</v>
      </c>
      <c r="I1683">
        <v>0</v>
      </c>
      <c r="J1683" t="s">
        <v>24</v>
      </c>
    </row>
    <row r="1684" spans="1:10" x14ac:dyDescent="0.25">
      <c r="A1684" s="1">
        <v>721</v>
      </c>
      <c r="B1684" t="s">
        <v>37</v>
      </c>
      <c r="C1684">
        <v>9</v>
      </c>
      <c r="D1684">
        <v>1</v>
      </c>
      <c r="E1684" t="s">
        <v>87</v>
      </c>
      <c r="F1684" t="s">
        <v>89</v>
      </c>
      <c r="G1684" t="str">
        <f>"2025-02-23 08:51:25.992"</f>
        <v>2025-02-23 08:51:25.992</v>
      </c>
      <c r="H1684" t="s">
        <v>45</v>
      </c>
      <c r="I1684">
        <v>0</v>
      </c>
      <c r="J1684" t="s">
        <v>48</v>
      </c>
    </row>
    <row r="1685" spans="1:10" x14ac:dyDescent="0.25">
      <c r="A1685" s="1">
        <v>722</v>
      </c>
      <c r="B1685" t="s">
        <v>59</v>
      </c>
      <c r="C1685">
        <v>23</v>
      </c>
      <c r="D1685">
        <v>1</v>
      </c>
      <c r="E1685" t="s">
        <v>90</v>
      </c>
      <c r="F1685" t="s">
        <v>91</v>
      </c>
      <c r="G1685" t="str">
        <f>"2025-02-23 08:47:38.300"</f>
        <v>2025-02-23 08:47:38.300</v>
      </c>
      <c r="H1685" t="s">
        <v>45</v>
      </c>
    </row>
    <row r="1686" spans="1:10" x14ac:dyDescent="0.25">
      <c r="A1686" s="1">
        <v>723</v>
      </c>
      <c r="B1686" t="s">
        <v>37</v>
      </c>
      <c r="C1686">
        <v>23</v>
      </c>
      <c r="D1686">
        <v>1</v>
      </c>
      <c r="E1686" t="s">
        <v>90</v>
      </c>
      <c r="F1686" t="s">
        <v>91</v>
      </c>
      <c r="G1686" t="str">
        <f>"2025-02-23 08:45:19.892"</f>
        <v>2025-02-23 08:45:19.892</v>
      </c>
      <c r="H1686" t="s">
        <v>45</v>
      </c>
      <c r="I1686">
        <v>0</v>
      </c>
      <c r="J1686" t="s">
        <v>48</v>
      </c>
    </row>
    <row r="1687" spans="1:10" x14ac:dyDescent="0.25">
      <c r="A1687" s="1">
        <v>724</v>
      </c>
      <c r="B1687" t="s">
        <v>59</v>
      </c>
      <c r="C1687">
        <v>9</v>
      </c>
      <c r="D1687">
        <v>1</v>
      </c>
      <c r="E1687" t="s">
        <v>87</v>
      </c>
      <c r="F1687" t="s">
        <v>89</v>
      </c>
      <c r="G1687" t="str">
        <f>"2025-02-23 08:45:04.152"</f>
        <v>2025-02-23 08:45:04.152</v>
      </c>
      <c r="H1687" t="s">
        <v>45</v>
      </c>
    </row>
    <row r="1688" spans="1:10" x14ac:dyDescent="0.25">
      <c r="A1688" s="1">
        <v>725</v>
      </c>
      <c r="B1688" t="s">
        <v>37</v>
      </c>
      <c r="C1688">
        <v>9</v>
      </c>
      <c r="D1688">
        <v>1</v>
      </c>
      <c r="E1688" t="s">
        <v>87</v>
      </c>
      <c r="F1688" t="s">
        <v>89</v>
      </c>
      <c r="G1688" t="str">
        <f>"2025-02-23 08:45:02.692"</f>
        <v>2025-02-23 08:45:02.692</v>
      </c>
      <c r="H1688" t="s">
        <v>45</v>
      </c>
      <c r="I1688">
        <v>0</v>
      </c>
      <c r="J1688" t="s">
        <v>48</v>
      </c>
    </row>
    <row r="1689" spans="1:10" x14ac:dyDescent="0.25">
      <c r="A1689" s="1">
        <v>726</v>
      </c>
      <c r="B1689" t="s">
        <v>19</v>
      </c>
      <c r="C1689">
        <v>98</v>
      </c>
      <c r="D1689">
        <v>1</v>
      </c>
      <c r="E1689" t="s">
        <v>46</v>
      </c>
      <c r="F1689" t="s">
        <v>47</v>
      </c>
      <c r="G1689" t="str">
        <f>"2025-02-23 08:42:15.292"</f>
        <v>2025-02-23 08:42:15.292</v>
      </c>
      <c r="H1689" t="s">
        <v>22</v>
      </c>
    </row>
    <row r="1690" spans="1:10" x14ac:dyDescent="0.25">
      <c r="A1690" s="1">
        <v>727</v>
      </c>
      <c r="B1690" t="s">
        <v>23</v>
      </c>
      <c r="C1690">
        <v>98</v>
      </c>
      <c r="D1690">
        <v>1</v>
      </c>
      <c r="E1690" t="s">
        <v>46</v>
      </c>
      <c r="F1690" t="s">
        <v>47</v>
      </c>
      <c r="G1690" t="str">
        <f>"2025-02-23 08:42:13.892"</f>
        <v>2025-02-23 08:42:13.892</v>
      </c>
      <c r="H1690" t="s">
        <v>22</v>
      </c>
      <c r="I1690">
        <v>0</v>
      </c>
      <c r="J1690" t="s">
        <v>63</v>
      </c>
    </row>
    <row r="1691" spans="1:10" x14ac:dyDescent="0.25">
      <c r="A1691" s="1">
        <v>728</v>
      </c>
      <c r="B1691" t="s">
        <v>19</v>
      </c>
      <c r="C1691">
        <v>98</v>
      </c>
      <c r="D1691">
        <v>1</v>
      </c>
      <c r="E1691" t="s">
        <v>46</v>
      </c>
      <c r="F1691" t="s">
        <v>47</v>
      </c>
      <c r="G1691" t="str">
        <f>"2025-02-23 08:42:11.492"</f>
        <v>2025-02-23 08:42:11.492</v>
      </c>
      <c r="H1691" t="s">
        <v>22</v>
      </c>
    </row>
    <row r="1692" spans="1:10" x14ac:dyDescent="0.25">
      <c r="A1692" s="1">
        <v>729</v>
      </c>
      <c r="B1692" t="s">
        <v>23</v>
      </c>
      <c r="C1692">
        <v>98</v>
      </c>
      <c r="D1692">
        <v>1</v>
      </c>
      <c r="E1692" t="s">
        <v>46</v>
      </c>
      <c r="F1692" t="s">
        <v>47</v>
      </c>
      <c r="G1692" t="str">
        <f>"2025-02-23 08:42:10.492"</f>
        <v>2025-02-23 08:42:10.492</v>
      </c>
      <c r="H1692" t="s">
        <v>22</v>
      </c>
      <c r="I1692">
        <v>0</v>
      </c>
      <c r="J1692" t="s">
        <v>63</v>
      </c>
    </row>
    <row r="1693" spans="1:10" x14ac:dyDescent="0.25">
      <c r="A1693" s="1">
        <v>730</v>
      </c>
      <c r="B1693" t="s">
        <v>59</v>
      </c>
      <c r="C1693">
        <v>23</v>
      </c>
      <c r="D1693">
        <v>1</v>
      </c>
      <c r="E1693" t="s">
        <v>90</v>
      </c>
      <c r="F1693" t="s">
        <v>91</v>
      </c>
      <c r="G1693" t="str">
        <f>"2025-02-23 08:42:04.252"</f>
        <v>2025-02-23 08:42:04.252</v>
      </c>
      <c r="H1693" t="s">
        <v>45</v>
      </c>
    </row>
    <row r="1694" spans="1:10" x14ac:dyDescent="0.25">
      <c r="A1694" s="1">
        <v>731</v>
      </c>
      <c r="B1694" t="s">
        <v>37</v>
      </c>
      <c r="C1694">
        <v>23</v>
      </c>
      <c r="D1694">
        <v>1</v>
      </c>
      <c r="E1694" t="s">
        <v>90</v>
      </c>
      <c r="F1694" t="s">
        <v>91</v>
      </c>
      <c r="G1694" t="str">
        <f>"2025-02-23 08:41:04.192"</f>
        <v>2025-02-23 08:41:04.192</v>
      </c>
      <c r="H1694" t="s">
        <v>45</v>
      </c>
      <c r="I1694">
        <v>0</v>
      </c>
      <c r="J1694" t="s">
        <v>48</v>
      </c>
    </row>
    <row r="1695" spans="1:10" x14ac:dyDescent="0.25">
      <c r="A1695" s="1">
        <v>732</v>
      </c>
      <c r="B1695" t="s">
        <v>25</v>
      </c>
      <c r="C1695">
        <v>700</v>
      </c>
      <c r="D1695">
        <v>0</v>
      </c>
      <c r="E1695" t="s">
        <v>26</v>
      </c>
      <c r="F1695" t="s">
        <v>26</v>
      </c>
      <c r="G1695" t="str">
        <f>"2025-02-23 08:40:34.205"</f>
        <v>2025-02-23 08:40:34.205</v>
      </c>
      <c r="H1695" t="s">
        <v>22</v>
      </c>
    </row>
    <row r="1696" spans="1:10" x14ac:dyDescent="0.25">
      <c r="A1696" s="1">
        <v>733</v>
      </c>
      <c r="B1696" t="s">
        <v>25</v>
      </c>
      <c r="C1696">
        <v>700</v>
      </c>
      <c r="D1696">
        <v>0</v>
      </c>
      <c r="E1696" t="s">
        <v>26</v>
      </c>
      <c r="F1696" t="s">
        <v>26</v>
      </c>
      <c r="G1696" t="str">
        <f>"2025-02-23 08:39:31.230"</f>
        <v>2025-02-23 08:39:31.230</v>
      </c>
      <c r="H1696" t="s">
        <v>22</v>
      </c>
    </row>
    <row r="1697" spans="1:10" x14ac:dyDescent="0.25">
      <c r="A1697" s="1">
        <v>734</v>
      </c>
      <c r="B1697" t="s">
        <v>37</v>
      </c>
      <c r="C1697">
        <v>23</v>
      </c>
      <c r="D1697">
        <v>1</v>
      </c>
      <c r="E1697" t="s">
        <v>90</v>
      </c>
      <c r="F1697" t="s">
        <v>91</v>
      </c>
      <c r="G1697" t="str">
        <f>"2025-02-23 08:37:37.579"</f>
        <v>2025-02-23 08:37:37.579</v>
      </c>
      <c r="H1697" t="s">
        <v>45</v>
      </c>
      <c r="I1697">
        <v>0</v>
      </c>
      <c r="J1697" t="s">
        <v>48</v>
      </c>
    </row>
    <row r="1698" spans="1:10" x14ac:dyDescent="0.25">
      <c r="A1698" s="1">
        <v>735</v>
      </c>
      <c r="B1698" t="s">
        <v>59</v>
      </c>
      <c r="C1698">
        <v>23</v>
      </c>
      <c r="D1698">
        <v>1</v>
      </c>
      <c r="E1698" t="s">
        <v>90</v>
      </c>
      <c r="F1698" t="s">
        <v>91</v>
      </c>
      <c r="G1698" t="str">
        <f>"2025-02-23 08:37:20.799"</f>
        <v>2025-02-23 08:37:20.799</v>
      </c>
      <c r="H1698" t="s">
        <v>45</v>
      </c>
    </row>
    <row r="1699" spans="1:10" x14ac:dyDescent="0.25">
      <c r="A1699" s="1">
        <v>736</v>
      </c>
      <c r="B1699" t="s">
        <v>37</v>
      </c>
      <c r="C1699">
        <v>23</v>
      </c>
      <c r="D1699">
        <v>1</v>
      </c>
      <c r="E1699" t="s">
        <v>90</v>
      </c>
      <c r="F1699" t="s">
        <v>91</v>
      </c>
      <c r="G1699" t="str">
        <f>"2025-02-23 08:33:34.227"</f>
        <v>2025-02-23 08:33:34.227</v>
      </c>
      <c r="H1699" t="s">
        <v>45</v>
      </c>
      <c r="I1699">
        <v>0</v>
      </c>
      <c r="J1699" t="s">
        <v>48</v>
      </c>
    </row>
    <row r="1700" spans="1:10" x14ac:dyDescent="0.25">
      <c r="A1700" s="1">
        <v>737</v>
      </c>
      <c r="B1700" t="s">
        <v>59</v>
      </c>
      <c r="C1700">
        <v>2</v>
      </c>
      <c r="D1700">
        <v>1</v>
      </c>
      <c r="E1700" t="s">
        <v>92</v>
      </c>
      <c r="F1700" t="s">
        <v>93</v>
      </c>
      <c r="G1700" t="str">
        <f>"2025-02-23 08:32:21.200"</f>
        <v>2025-02-23 08:32:21.200</v>
      </c>
      <c r="H1700" t="s">
        <v>45</v>
      </c>
    </row>
    <row r="1701" spans="1:10" x14ac:dyDescent="0.25">
      <c r="A1701" s="1">
        <v>738</v>
      </c>
      <c r="B1701" t="s">
        <v>37</v>
      </c>
      <c r="C1701">
        <v>2</v>
      </c>
      <c r="D1701">
        <v>1</v>
      </c>
      <c r="E1701" t="s">
        <v>92</v>
      </c>
      <c r="F1701" t="s">
        <v>93</v>
      </c>
      <c r="G1701" t="str">
        <f>"2025-02-23 08:31:40.779"</f>
        <v>2025-02-23 08:31:40.779</v>
      </c>
      <c r="H1701" t="s">
        <v>45</v>
      </c>
      <c r="I1701">
        <v>18.75</v>
      </c>
      <c r="J1701" t="s">
        <v>30</v>
      </c>
    </row>
    <row r="1702" spans="1:10" x14ac:dyDescent="0.25">
      <c r="A1702" s="1">
        <v>739</v>
      </c>
      <c r="B1702" t="s">
        <v>42</v>
      </c>
      <c r="C1702">
        <v>135</v>
      </c>
      <c r="D1702">
        <v>7</v>
      </c>
      <c r="E1702" t="s">
        <v>56</v>
      </c>
      <c r="F1702" t="s">
        <v>57</v>
      </c>
      <c r="G1702" t="str">
        <f>"2025-02-23 06:13:22.072"</f>
        <v>2025-02-23 06:13:22.072</v>
      </c>
      <c r="H1702" t="s">
        <v>58</v>
      </c>
    </row>
    <row r="1703" spans="1:10" x14ac:dyDescent="0.25">
      <c r="A1703" s="1">
        <v>740</v>
      </c>
      <c r="B1703" t="s">
        <v>37</v>
      </c>
      <c r="C1703">
        <v>135</v>
      </c>
      <c r="D1703">
        <v>7</v>
      </c>
      <c r="E1703" t="s">
        <v>56</v>
      </c>
      <c r="F1703" t="s">
        <v>57</v>
      </c>
      <c r="G1703" t="str">
        <f>"2025-02-23 06:13:17.022"</f>
        <v>2025-02-23 06:13:17.022</v>
      </c>
      <c r="H1703" t="s">
        <v>58</v>
      </c>
      <c r="I1703">
        <v>12.89</v>
      </c>
      <c r="J1703" t="s">
        <v>30</v>
      </c>
    </row>
    <row r="1704" spans="1:10" x14ac:dyDescent="0.25">
      <c r="A1704" s="1">
        <v>741</v>
      </c>
      <c r="B1704" t="s">
        <v>42</v>
      </c>
      <c r="C1704">
        <v>137</v>
      </c>
      <c r="D1704">
        <v>4</v>
      </c>
      <c r="E1704" t="s">
        <v>79</v>
      </c>
      <c r="F1704" t="s">
        <v>80</v>
      </c>
      <c r="G1704" t="str">
        <f>"2025-02-23 04:09:26.172"</f>
        <v>2025-02-23 04:09:26.172</v>
      </c>
      <c r="H1704" t="s">
        <v>58</v>
      </c>
    </row>
    <row r="1705" spans="1:10" x14ac:dyDescent="0.25">
      <c r="A1705" s="1">
        <v>742</v>
      </c>
      <c r="B1705" t="s">
        <v>37</v>
      </c>
      <c r="C1705">
        <v>137</v>
      </c>
      <c r="D1705">
        <v>4</v>
      </c>
      <c r="E1705" t="s">
        <v>79</v>
      </c>
      <c r="F1705" t="s">
        <v>80</v>
      </c>
      <c r="G1705" t="str">
        <f>"2025-02-23 04:09:21.142"</f>
        <v>2025-02-23 04:09:21.142</v>
      </c>
      <c r="H1705" t="s">
        <v>58</v>
      </c>
      <c r="I1705">
        <v>31.37</v>
      </c>
      <c r="J1705" t="s">
        <v>31</v>
      </c>
    </row>
    <row r="1706" spans="1:10" x14ac:dyDescent="0.25">
      <c r="A1706" s="1">
        <v>743</v>
      </c>
      <c r="B1706" t="s">
        <v>25</v>
      </c>
      <c r="C1706">
        <v>700</v>
      </c>
      <c r="D1706">
        <v>0</v>
      </c>
      <c r="E1706" t="s">
        <v>26</v>
      </c>
      <c r="F1706" t="s">
        <v>26</v>
      </c>
      <c r="G1706" t="str">
        <f>"2025-02-22 16:09:57.202"</f>
        <v>2025-02-22 16:09:57.202</v>
      </c>
      <c r="H1706" t="s">
        <v>22</v>
      </c>
      <c r="I1706">
        <v>0</v>
      </c>
      <c r="J1706" t="s">
        <v>27</v>
      </c>
    </row>
    <row r="1707" spans="1:10" x14ac:dyDescent="0.25">
      <c r="A1707" s="1">
        <v>744</v>
      </c>
      <c r="B1707" t="s">
        <v>25</v>
      </c>
      <c r="C1707">
        <v>700</v>
      </c>
      <c r="D1707">
        <v>0</v>
      </c>
      <c r="E1707" t="s">
        <v>26</v>
      </c>
      <c r="F1707" t="s">
        <v>26</v>
      </c>
      <c r="G1707" t="str">
        <f>"2025-02-22 16:00:29.196"</f>
        <v>2025-02-22 16:00:29.196</v>
      </c>
      <c r="H1707" t="s">
        <v>22</v>
      </c>
    </row>
    <row r="1708" spans="1:10" x14ac:dyDescent="0.25">
      <c r="A1708" s="1">
        <v>745</v>
      </c>
      <c r="B1708" t="s">
        <v>19</v>
      </c>
      <c r="C1708">
        <v>48</v>
      </c>
      <c r="D1708">
        <v>1</v>
      </c>
      <c r="E1708" t="s">
        <v>43</v>
      </c>
      <c r="F1708" t="s">
        <v>44</v>
      </c>
      <c r="G1708" t="str">
        <f>"2025-02-22 14:53:55.919"</f>
        <v>2025-02-22 14:53:55.919</v>
      </c>
      <c r="H1708" t="s">
        <v>45</v>
      </c>
    </row>
    <row r="1709" spans="1:10" x14ac:dyDescent="0.25">
      <c r="A1709" s="1">
        <v>746</v>
      </c>
      <c r="B1709" t="s">
        <v>25</v>
      </c>
      <c r="C1709">
        <v>700</v>
      </c>
      <c r="D1709">
        <v>0</v>
      </c>
      <c r="E1709" t="s">
        <v>26</v>
      </c>
      <c r="F1709" t="s">
        <v>26</v>
      </c>
      <c r="G1709" t="str">
        <f>"2025-02-22 14:53:41.196"</f>
        <v>2025-02-22 14:53:41.196</v>
      </c>
      <c r="H1709" t="s">
        <v>22</v>
      </c>
      <c r="I1709">
        <v>0</v>
      </c>
      <c r="J1709" t="s">
        <v>27</v>
      </c>
    </row>
    <row r="1710" spans="1:10" x14ac:dyDescent="0.25">
      <c r="A1710" s="1">
        <v>747</v>
      </c>
      <c r="B1710" t="s">
        <v>23</v>
      </c>
      <c r="C1710">
        <v>48</v>
      </c>
      <c r="D1710">
        <v>1</v>
      </c>
      <c r="E1710" t="s">
        <v>43</v>
      </c>
      <c r="F1710" t="s">
        <v>44</v>
      </c>
      <c r="G1710" t="str">
        <f>"2025-02-22 14:46:55.147"</f>
        <v>2025-02-22 14:46:55.147</v>
      </c>
      <c r="H1710" t="s">
        <v>45</v>
      </c>
      <c r="I1710">
        <v>0</v>
      </c>
      <c r="J1710" t="s">
        <v>24</v>
      </c>
    </row>
    <row r="1711" spans="1:10" x14ac:dyDescent="0.25">
      <c r="A1711" s="1">
        <v>748</v>
      </c>
      <c r="B1711" t="s">
        <v>42</v>
      </c>
      <c r="C1711">
        <v>48</v>
      </c>
      <c r="D1711">
        <v>1</v>
      </c>
      <c r="E1711" t="s">
        <v>43</v>
      </c>
      <c r="F1711" t="s">
        <v>44</v>
      </c>
      <c r="G1711" t="str">
        <f>"2025-02-22 14:46:47.416"</f>
        <v>2025-02-22 14:46:47.416</v>
      </c>
      <c r="H1711" t="s">
        <v>45</v>
      </c>
    </row>
    <row r="1712" spans="1:10" x14ac:dyDescent="0.25">
      <c r="A1712" s="1">
        <v>749</v>
      </c>
      <c r="B1712" t="s">
        <v>37</v>
      </c>
      <c r="C1712">
        <v>48</v>
      </c>
      <c r="D1712">
        <v>1</v>
      </c>
      <c r="E1712" t="s">
        <v>43</v>
      </c>
      <c r="F1712" t="s">
        <v>44</v>
      </c>
      <c r="G1712" t="str">
        <f>"2025-02-22 14:46:42.347"</f>
        <v>2025-02-22 14:46:42.347</v>
      </c>
      <c r="H1712" t="s">
        <v>45</v>
      </c>
      <c r="I1712">
        <v>0</v>
      </c>
      <c r="J1712" t="s">
        <v>24</v>
      </c>
    </row>
    <row r="1713" spans="1:10" x14ac:dyDescent="0.25">
      <c r="A1713" s="1">
        <v>750</v>
      </c>
      <c r="B1713" t="s">
        <v>42</v>
      </c>
      <c r="C1713">
        <v>48</v>
      </c>
      <c r="D1713">
        <v>1</v>
      </c>
      <c r="E1713" t="s">
        <v>43</v>
      </c>
      <c r="F1713" t="s">
        <v>44</v>
      </c>
      <c r="G1713" t="str">
        <f>"2025-02-22 14:46:34.616"</f>
        <v>2025-02-22 14:46:34.616</v>
      </c>
      <c r="H1713" t="s">
        <v>45</v>
      </c>
    </row>
    <row r="1714" spans="1:10" x14ac:dyDescent="0.25">
      <c r="A1714" s="1">
        <v>751</v>
      </c>
      <c r="B1714" t="s">
        <v>37</v>
      </c>
      <c r="C1714">
        <v>48</v>
      </c>
      <c r="D1714">
        <v>1</v>
      </c>
      <c r="E1714" t="s">
        <v>43</v>
      </c>
      <c r="F1714" t="s">
        <v>44</v>
      </c>
      <c r="G1714" t="str">
        <f>"2025-02-22 14:46:29.547"</f>
        <v>2025-02-22 14:46:29.547</v>
      </c>
      <c r="H1714" t="s">
        <v>45</v>
      </c>
      <c r="I1714">
        <v>0</v>
      </c>
      <c r="J1714" t="s">
        <v>24</v>
      </c>
    </row>
    <row r="1715" spans="1:10" x14ac:dyDescent="0.25">
      <c r="A1715" s="1">
        <v>752</v>
      </c>
      <c r="B1715" t="s">
        <v>25</v>
      </c>
      <c r="C1715">
        <v>706</v>
      </c>
      <c r="D1715">
        <v>2</v>
      </c>
      <c r="E1715" t="s">
        <v>35</v>
      </c>
      <c r="F1715" t="s">
        <v>38</v>
      </c>
      <c r="G1715" t="str">
        <f>"2025-02-22 14:46:17.586"</f>
        <v>2025-02-22 14:46:17.586</v>
      </c>
      <c r="H1715" t="s">
        <v>22</v>
      </c>
      <c r="I1715">
        <v>0</v>
      </c>
      <c r="J1715" t="s">
        <v>24</v>
      </c>
    </row>
    <row r="1716" spans="1:10" x14ac:dyDescent="0.25">
      <c r="A1716" s="1">
        <v>753</v>
      </c>
      <c r="B1716" t="s">
        <v>25</v>
      </c>
      <c r="C1716">
        <v>706</v>
      </c>
      <c r="D1716">
        <v>3</v>
      </c>
      <c r="E1716" t="s">
        <v>35</v>
      </c>
      <c r="F1716" t="s">
        <v>62</v>
      </c>
      <c r="G1716" t="str">
        <f>"2025-02-22 14:45:05.706"</f>
        <v>2025-02-22 14:45:05.706</v>
      </c>
      <c r="H1716" t="s">
        <v>22</v>
      </c>
      <c r="I1716">
        <v>0</v>
      </c>
      <c r="J1716" t="s">
        <v>24</v>
      </c>
    </row>
    <row r="1717" spans="1:10" x14ac:dyDescent="0.25">
      <c r="A1717" s="1">
        <v>754</v>
      </c>
      <c r="B1717" t="s">
        <v>59</v>
      </c>
      <c r="C1717">
        <v>630</v>
      </c>
      <c r="D1717">
        <v>5</v>
      </c>
      <c r="E1717" t="s">
        <v>32</v>
      </c>
      <c r="F1717" t="s">
        <v>33</v>
      </c>
      <c r="G1717" t="str">
        <f>"2025-02-22 14:43:28.837"</f>
        <v>2025-02-22 14:43:28.837</v>
      </c>
      <c r="H1717" t="s">
        <v>34</v>
      </c>
    </row>
    <row r="1718" spans="1:10" x14ac:dyDescent="0.25">
      <c r="A1718" s="1">
        <v>755</v>
      </c>
      <c r="B1718" t="s">
        <v>25</v>
      </c>
      <c r="C1718">
        <v>706</v>
      </c>
      <c r="D1718">
        <v>2</v>
      </c>
      <c r="E1718" t="s">
        <v>35</v>
      </c>
      <c r="F1718" t="s">
        <v>38</v>
      </c>
      <c r="G1718" t="str">
        <f>"2025-02-22 14:42:41.286"</f>
        <v>2025-02-22 14:42:41.286</v>
      </c>
      <c r="H1718" t="s">
        <v>22</v>
      </c>
      <c r="I1718">
        <v>0</v>
      </c>
      <c r="J1718" t="s">
        <v>24</v>
      </c>
    </row>
    <row r="1719" spans="1:10" x14ac:dyDescent="0.25">
      <c r="A1719" s="1">
        <v>756</v>
      </c>
      <c r="B1719" t="s">
        <v>25</v>
      </c>
      <c r="C1719">
        <v>706</v>
      </c>
      <c r="D1719">
        <v>4</v>
      </c>
      <c r="E1719" t="s">
        <v>35</v>
      </c>
      <c r="F1719" t="s">
        <v>36</v>
      </c>
      <c r="G1719" t="str">
        <f>"2025-02-22 14:39:33.226"</f>
        <v>2025-02-22 14:39:33.226</v>
      </c>
      <c r="H1719" t="s">
        <v>22</v>
      </c>
      <c r="I1719">
        <v>0</v>
      </c>
      <c r="J1719" t="s">
        <v>24</v>
      </c>
    </row>
    <row r="1720" spans="1:10" x14ac:dyDescent="0.25">
      <c r="A1720" s="1">
        <v>757</v>
      </c>
      <c r="B1720" t="s">
        <v>37</v>
      </c>
      <c r="C1720">
        <v>630</v>
      </c>
      <c r="D1720">
        <v>5</v>
      </c>
      <c r="E1720" t="s">
        <v>32</v>
      </c>
      <c r="F1720" t="s">
        <v>33</v>
      </c>
      <c r="G1720" t="str">
        <f>"2025-02-22 14:38:40.537"</f>
        <v>2025-02-22 14:38:40.537</v>
      </c>
      <c r="H1720" t="s">
        <v>34</v>
      </c>
      <c r="I1720">
        <v>0</v>
      </c>
      <c r="J1720" t="s">
        <v>24</v>
      </c>
    </row>
    <row r="1721" spans="1:10" x14ac:dyDescent="0.25">
      <c r="A1721" s="1">
        <v>758</v>
      </c>
      <c r="B1721" t="s">
        <v>25</v>
      </c>
      <c r="C1721">
        <v>706</v>
      </c>
      <c r="D1721">
        <v>2</v>
      </c>
      <c r="E1721" t="s">
        <v>35</v>
      </c>
      <c r="F1721" t="s">
        <v>38</v>
      </c>
      <c r="G1721" t="str">
        <f>"2025-02-22 14:33:33.086"</f>
        <v>2025-02-22 14:33:33.086</v>
      </c>
      <c r="H1721" t="s">
        <v>22</v>
      </c>
      <c r="I1721">
        <v>0</v>
      </c>
      <c r="J1721" t="s">
        <v>24</v>
      </c>
    </row>
    <row r="1722" spans="1:10" x14ac:dyDescent="0.25">
      <c r="A1722" s="1">
        <v>759</v>
      </c>
      <c r="B1722" t="s">
        <v>25</v>
      </c>
      <c r="C1722">
        <v>706</v>
      </c>
      <c r="D1722">
        <v>4</v>
      </c>
      <c r="E1722" t="s">
        <v>35</v>
      </c>
      <c r="F1722" t="s">
        <v>36</v>
      </c>
      <c r="G1722" t="str">
        <f>"2025-02-22 14:31:13.236"</f>
        <v>2025-02-22 14:31:13.236</v>
      </c>
      <c r="H1722" t="s">
        <v>22</v>
      </c>
      <c r="I1722">
        <v>0</v>
      </c>
      <c r="J1722" t="s">
        <v>24</v>
      </c>
    </row>
    <row r="1723" spans="1:10" x14ac:dyDescent="0.25">
      <c r="A1723" s="1">
        <v>760</v>
      </c>
      <c r="B1723" t="s">
        <v>25</v>
      </c>
      <c r="C1723">
        <v>706</v>
      </c>
      <c r="D1723">
        <v>4</v>
      </c>
      <c r="E1723" t="s">
        <v>35</v>
      </c>
      <c r="F1723" t="s">
        <v>36</v>
      </c>
      <c r="G1723" t="str">
        <f>"2025-02-22 14:28:42.446"</f>
        <v>2025-02-22 14:28:42.446</v>
      </c>
      <c r="H1723" t="s">
        <v>22</v>
      </c>
      <c r="I1723">
        <v>0</v>
      </c>
      <c r="J1723" t="s">
        <v>24</v>
      </c>
    </row>
    <row r="1724" spans="1:10" x14ac:dyDescent="0.25">
      <c r="A1724" s="1">
        <v>761</v>
      </c>
      <c r="B1724" t="s">
        <v>25</v>
      </c>
      <c r="C1724">
        <v>700</v>
      </c>
      <c r="D1724">
        <v>0</v>
      </c>
      <c r="E1724" t="s">
        <v>26</v>
      </c>
      <c r="F1724" t="s">
        <v>26</v>
      </c>
      <c r="G1724" t="str">
        <f>"2025-02-22 14:27:19.216"</f>
        <v>2025-02-22 14:27:19.216</v>
      </c>
      <c r="H1724" t="s">
        <v>22</v>
      </c>
      <c r="I1724">
        <v>0</v>
      </c>
      <c r="J1724" t="s">
        <v>27</v>
      </c>
    </row>
    <row r="1725" spans="1:10" x14ac:dyDescent="0.25">
      <c r="A1725" s="1">
        <v>762</v>
      </c>
      <c r="B1725" t="s">
        <v>37</v>
      </c>
      <c r="C1725">
        <v>630</v>
      </c>
      <c r="D1725">
        <v>5</v>
      </c>
      <c r="E1725" t="s">
        <v>32</v>
      </c>
      <c r="F1725" t="s">
        <v>33</v>
      </c>
      <c r="G1725" t="str">
        <f>"2025-02-22 09:03:51.059"</f>
        <v>2025-02-22 09:03:51.059</v>
      </c>
      <c r="H1725" t="s">
        <v>34</v>
      </c>
      <c r="I1725">
        <v>0</v>
      </c>
      <c r="J1725" t="s">
        <v>24</v>
      </c>
    </row>
    <row r="1726" spans="1:10" x14ac:dyDescent="0.25">
      <c r="A1726" s="1">
        <v>763</v>
      </c>
      <c r="B1726" t="s">
        <v>42</v>
      </c>
      <c r="C1726">
        <v>119</v>
      </c>
      <c r="D1726">
        <v>1</v>
      </c>
      <c r="E1726" t="s">
        <v>94</v>
      </c>
      <c r="F1726" t="s">
        <v>95</v>
      </c>
      <c r="G1726" t="str">
        <f>"2025-02-22 02:09:46.855"</f>
        <v>2025-02-22 02:09:46.855</v>
      </c>
      <c r="H1726" t="s">
        <v>58</v>
      </c>
    </row>
    <row r="1727" spans="1:10" x14ac:dyDescent="0.25">
      <c r="A1727" s="1">
        <v>764</v>
      </c>
      <c r="B1727" t="s">
        <v>37</v>
      </c>
      <c r="C1727">
        <v>119</v>
      </c>
      <c r="D1727">
        <v>1</v>
      </c>
      <c r="E1727" t="s">
        <v>94</v>
      </c>
      <c r="F1727" t="s">
        <v>95</v>
      </c>
      <c r="G1727" t="str">
        <f>"2025-02-22 02:09:41.766"</f>
        <v>2025-02-22 02:09:41.766</v>
      </c>
      <c r="H1727" t="s">
        <v>58</v>
      </c>
      <c r="I1727">
        <v>13.44</v>
      </c>
      <c r="J1727" t="s">
        <v>30</v>
      </c>
    </row>
    <row r="1728" spans="1:10" x14ac:dyDescent="0.25">
      <c r="A1728" s="1">
        <v>765</v>
      </c>
      <c r="B1728" t="s">
        <v>42</v>
      </c>
      <c r="C1728">
        <v>137</v>
      </c>
      <c r="D1728">
        <v>4</v>
      </c>
      <c r="E1728" t="s">
        <v>79</v>
      </c>
      <c r="F1728" t="s">
        <v>80</v>
      </c>
      <c r="G1728" t="str">
        <f>"2025-02-22 01:44:52.355"</f>
        <v>2025-02-22 01:44:52.355</v>
      </c>
      <c r="H1728" t="s">
        <v>58</v>
      </c>
    </row>
    <row r="1729" spans="1:10" x14ac:dyDescent="0.25">
      <c r="A1729" s="1">
        <v>766</v>
      </c>
      <c r="B1729" t="s">
        <v>37</v>
      </c>
      <c r="C1729">
        <v>137</v>
      </c>
      <c r="D1729">
        <v>4</v>
      </c>
      <c r="E1729" t="s">
        <v>79</v>
      </c>
      <c r="F1729" t="s">
        <v>80</v>
      </c>
      <c r="G1729" t="str">
        <f>"2025-02-22 01:44:47.267"</f>
        <v>2025-02-22 01:44:47.267</v>
      </c>
      <c r="H1729" t="s">
        <v>58</v>
      </c>
      <c r="I1729">
        <v>10</v>
      </c>
      <c r="J1729" t="s">
        <v>30</v>
      </c>
    </row>
    <row r="1730" spans="1:10" x14ac:dyDescent="0.25">
      <c r="A1730" s="1">
        <v>767</v>
      </c>
      <c r="B1730" t="s">
        <v>25</v>
      </c>
      <c r="C1730">
        <v>700</v>
      </c>
      <c r="D1730">
        <v>0</v>
      </c>
      <c r="E1730" t="s">
        <v>26</v>
      </c>
      <c r="F1730" t="s">
        <v>26</v>
      </c>
      <c r="G1730" t="str">
        <f>"2025-02-21 14:37:14.158"</f>
        <v>2025-02-21 14:37:14.158</v>
      </c>
      <c r="H1730" t="s">
        <v>22</v>
      </c>
    </row>
    <row r="1731" spans="1:10" x14ac:dyDescent="0.25">
      <c r="A1731" s="1">
        <v>768</v>
      </c>
      <c r="B1731" t="s">
        <v>25</v>
      </c>
      <c r="C1731">
        <v>700</v>
      </c>
      <c r="D1731">
        <v>0</v>
      </c>
      <c r="E1731" t="s">
        <v>26</v>
      </c>
      <c r="F1731" t="s">
        <v>26</v>
      </c>
      <c r="G1731" t="str">
        <f>"2025-02-21 14:26:25.180"</f>
        <v>2025-02-21 14:26:25.180</v>
      </c>
      <c r="H1731" t="s">
        <v>22</v>
      </c>
      <c r="I1731">
        <v>0</v>
      </c>
      <c r="J1731" t="s">
        <v>27</v>
      </c>
    </row>
    <row r="1732" spans="1:10" x14ac:dyDescent="0.25">
      <c r="A1732" s="1">
        <v>769</v>
      </c>
      <c r="B1732" t="s">
        <v>42</v>
      </c>
      <c r="C1732">
        <v>137</v>
      </c>
      <c r="D1732">
        <v>4</v>
      </c>
      <c r="E1732" t="s">
        <v>79</v>
      </c>
      <c r="F1732" t="s">
        <v>80</v>
      </c>
      <c r="G1732" t="str">
        <f>"2025-02-21 09:18:34.871"</f>
        <v>2025-02-21 09:18:34.871</v>
      </c>
      <c r="H1732" t="s">
        <v>58</v>
      </c>
    </row>
    <row r="1733" spans="1:10" x14ac:dyDescent="0.25">
      <c r="A1733" s="1">
        <v>770</v>
      </c>
      <c r="B1733" t="s">
        <v>37</v>
      </c>
      <c r="C1733">
        <v>137</v>
      </c>
      <c r="D1733">
        <v>4</v>
      </c>
      <c r="E1733" t="s">
        <v>79</v>
      </c>
      <c r="F1733" t="s">
        <v>80</v>
      </c>
      <c r="G1733" t="str">
        <f>"2025-02-21 09:18:29.831"</f>
        <v>2025-02-21 09:18:29.831</v>
      </c>
      <c r="H1733" t="s">
        <v>58</v>
      </c>
      <c r="I1733">
        <v>8.3699999999999992</v>
      </c>
      <c r="J1733" t="s">
        <v>30</v>
      </c>
    </row>
    <row r="1734" spans="1:10" x14ac:dyDescent="0.25">
      <c r="A1734" s="1">
        <v>771</v>
      </c>
      <c r="B1734" t="s">
        <v>25</v>
      </c>
      <c r="C1734">
        <v>700</v>
      </c>
      <c r="D1734">
        <v>0</v>
      </c>
      <c r="E1734" t="s">
        <v>26</v>
      </c>
      <c r="F1734" t="s">
        <v>26</v>
      </c>
      <c r="G1734" t="str">
        <f>"2025-02-20 17:51:16.147"</f>
        <v>2025-02-20 17:51:16.147</v>
      </c>
      <c r="H1734" t="s">
        <v>22</v>
      </c>
    </row>
    <row r="1735" spans="1:10" x14ac:dyDescent="0.25">
      <c r="A1735" s="1">
        <v>772</v>
      </c>
      <c r="B1735" t="s">
        <v>25</v>
      </c>
      <c r="C1735">
        <v>700</v>
      </c>
      <c r="D1735">
        <v>0</v>
      </c>
      <c r="E1735" t="s">
        <v>26</v>
      </c>
      <c r="F1735" t="s">
        <v>26</v>
      </c>
      <c r="G1735" t="str">
        <f>"2025-02-20 17:45:58.126"</f>
        <v>2025-02-20 17:45:58.126</v>
      </c>
      <c r="H1735" t="s">
        <v>22</v>
      </c>
    </row>
    <row r="1736" spans="1:10" x14ac:dyDescent="0.25">
      <c r="A1736" s="1">
        <v>773</v>
      </c>
      <c r="B1736" t="s">
        <v>25</v>
      </c>
      <c r="C1736">
        <v>700</v>
      </c>
      <c r="D1736">
        <v>0</v>
      </c>
      <c r="E1736" t="s">
        <v>26</v>
      </c>
      <c r="F1736" t="s">
        <v>26</v>
      </c>
      <c r="G1736" t="str">
        <f>"2025-02-20 17:41:07.145"</f>
        <v>2025-02-20 17:41:07.145</v>
      </c>
      <c r="H1736" t="s">
        <v>22</v>
      </c>
      <c r="I1736">
        <v>0</v>
      </c>
      <c r="J1736" t="s">
        <v>27</v>
      </c>
    </row>
    <row r="1737" spans="1:10" x14ac:dyDescent="0.25">
      <c r="A1737" s="1">
        <v>774</v>
      </c>
      <c r="B1737" t="s">
        <v>25</v>
      </c>
      <c r="C1737">
        <v>700</v>
      </c>
      <c r="D1737">
        <v>0</v>
      </c>
      <c r="E1737" t="s">
        <v>26</v>
      </c>
      <c r="F1737" t="s">
        <v>26</v>
      </c>
      <c r="G1737" t="str">
        <f>"2025-02-20 17:13:30.139"</f>
        <v>2025-02-20 17:13:30.139</v>
      </c>
      <c r="H1737" t="s">
        <v>22</v>
      </c>
    </row>
    <row r="1738" spans="1:10" x14ac:dyDescent="0.25">
      <c r="A1738" s="1">
        <v>775</v>
      </c>
      <c r="B1738" t="s">
        <v>25</v>
      </c>
      <c r="C1738">
        <v>706</v>
      </c>
      <c r="D1738">
        <v>2</v>
      </c>
      <c r="E1738" t="s">
        <v>35</v>
      </c>
      <c r="F1738" t="s">
        <v>38</v>
      </c>
      <c r="G1738" t="str">
        <f>"2025-02-20 16:38:15.019"</f>
        <v>2025-02-20 16:38:15.019</v>
      </c>
      <c r="H1738" t="s">
        <v>22</v>
      </c>
      <c r="I1738">
        <v>0</v>
      </c>
      <c r="J1738" t="s">
        <v>24</v>
      </c>
    </row>
    <row r="1739" spans="1:10" x14ac:dyDescent="0.25">
      <c r="A1739" s="1">
        <v>776</v>
      </c>
      <c r="B1739" t="s">
        <v>25</v>
      </c>
      <c r="C1739">
        <v>706</v>
      </c>
      <c r="D1739">
        <v>3</v>
      </c>
      <c r="E1739" t="s">
        <v>35</v>
      </c>
      <c r="F1739" t="s">
        <v>62</v>
      </c>
      <c r="G1739" t="str">
        <f>"2025-02-20 16:37:01.229"</f>
        <v>2025-02-20 16:37:01.229</v>
      </c>
      <c r="H1739" t="s">
        <v>22</v>
      </c>
      <c r="I1739">
        <v>0</v>
      </c>
      <c r="J1739" t="s">
        <v>24</v>
      </c>
    </row>
    <row r="1740" spans="1:10" x14ac:dyDescent="0.25">
      <c r="A1740" s="1">
        <v>777</v>
      </c>
      <c r="B1740" t="s">
        <v>25</v>
      </c>
      <c r="C1740">
        <v>706</v>
      </c>
      <c r="D1740">
        <v>4</v>
      </c>
      <c r="E1740" t="s">
        <v>35</v>
      </c>
      <c r="F1740" t="s">
        <v>36</v>
      </c>
      <c r="G1740" t="str">
        <f>"2025-02-20 16:34:07.649"</f>
        <v>2025-02-20 16:34:07.649</v>
      </c>
      <c r="H1740" t="s">
        <v>22</v>
      </c>
      <c r="I1740">
        <v>0</v>
      </c>
      <c r="J1740" t="s">
        <v>24</v>
      </c>
    </row>
    <row r="1741" spans="1:10" x14ac:dyDescent="0.25">
      <c r="A1741" s="1">
        <v>778</v>
      </c>
      <c r="B1741" t="s">
        <v>25</v>
      </c>
      <c r="C1741">
        <v>700</v>
      </c>
      <c r="D1741">
        <v>0</v>
      </c>
      <c r="E1741" t="s">
        <v>26</v>
      </c>
      <c r="F1741" t="s">
        <v>26</v>
      </c>
      <c r="G1741" t="str">
        <f>"2025-02-20 16:33:22.139"</f>
        <v>2025-02-20 16:33:22.139</v>
      </c>
      <c r="H1741" t="s">
        <v>22</v>
      </c>
    </row>
    <row r="1742" spans="1:10" x14ac:dyDescent="0.25">
      <c r="A1742" s="1">
        <v>779</v>
      </c>
      <c r="B1742" t="s">
        <v>25</v>
      </c>
      <c r="C1742">
        <v>706</v>
      </c>
      <c r="D1742">
        <v>4</v>
      </c>
      <c r="E1742" t="s">
        <v>35</v>
      </c>
      <c r="F1742" t="s">
        <v>36</v>
      </c>
      <c r="G1742" t="str">
        <f>"2025-02-20 16:23:55.840"</f>
        <v>2025-02-20 16:23:55.840</v>
      </c>
      <c r="H1742" t="s">
        <v>22</v>
      </c>
      <c r="I1742">
        <v>0</v>
      </c>
      <c r="J1742" t="s">
        <v>24</v>
      </c>
    </row>
    <row r="1743" spans="1:10" x14ac:dyDescent="0.25">
      <c r="A1743" s="1">
        <v>780</v>
      </c>
      <c r="B1743" t="s">
        <v>25</v>
      </c>
      <c r="C1743">
        <v>706</v>
      </c>
      <c r="D1743">
        <v>2</v>
      </c>
      <c r="E1743" t="s">
        <v>35</v>
      </c>
      <c r="F1743" t="s">
        <v>38</v>
      </c>
      <c r="G1743" t="str">
        <f>"2025-02-20 16:20:50.530"</f>
        <v>2025-02-20 16:20:50.530</v>
      </c>
      <c r="H1743" t="s">
        <v>22</v>
      </c>
      <c r="I1743">
        <v>0</v>
      </c>
      <c r="J1743" t="s">
        <v>24</v>
      </c>
    </row>
    <row r="1744" spans="1:10" x14ac:dyDescent="0.25">
      <c r="A1744" s="1">
        <v>781</v>
      </c>
      <c r="B1744" t="s">
        <v>25</v>
      </c>
      <c r="C1744">
        <v>700</v>
      </c>
      <c r="D1744">
        <v>0</v>
      </c>
      <c r="E1744" t="s">
        <v>26</v>
      </c>
      <c r="F1744" t="s">
        <v>26</v>
      </c>
      <c r="G1744" t="str">
        <f>"2025-02-20 16:19:56.140"</f>
        <v>2025-02-20 16:19:56.140</v>
      </c>
      <c r="H1744" t="s">
        <v>22</v>
      </c>
      <c r="I1744">
        <v>0</v>
      </c>
      <c r="J1744" t="s">
        <v>27</v>
      </c>
    </row>
    <row r="1745" spans="1:10" x14ac:dyDescent="0.25">
      <c r="A1745" s="1">
        <v>782</v>
      </c>
      <c r="B1745" t="s">
        <v>19</v>
      </c>
      <c r="C1745">
        <v>619</v>
      </c>
      <c r="D1745">
        <v>1</v>
      </c>
      <c r="E1745" t="s">
        <v>74</v>
      </c>
      <c r="F1745" t="s">
        <v>29</v>
      </c>
      <c r="G1745" t="str">
        <f>"2025-02-20 16:18:30.576"</f>
        <v>2025-02-20 16:18:30.576</v>
      </c>
      <c r="H1745" t="s">
        <v>65</v>
      </c>
    </row>
    <row r="1746" spans="1:10" x14ac:dyDescent="0.25">
      <c r="A1746" s="1">
        <v>783</v>
      </c>
      <c r="B1746" t="s">
        <v>23</v>
      </c>
      <c r="C1746">
        <v>619</v>
      </c>
      <c r="D1746">
        <v>1</v>
      </c>
      <c r="E1746" t="s">
        <v>74</v>
      </c>
      <c r="F1746" t="s">
        <v>29</v>
      </c>
      <c r="G1746" t="str">
        <f>"2025-02-20 16:18:19.523"</f>
        <v>2025-02-20 16:18:19.523</v>
      </c>
      <c r="H1746" t="s">
        <v>65</v>
      </c>
      <c r="I1746">
        <v>0</v>
      </c>
      <c r="J1746" t="s">
        <v>24</v>
      </c>
    </row>
    <row r="1747" spans="1:10" x14ac:dyDescent="0.25">
      <c r="A1747" s="1">
        <v>784</v>
      </c>
      <c r="B1747" t="s">
        <v>25</v>
      </c>
      <c r="C1747">
        <v>706</v>
      </c>
      <c r="D1747">
        <v>4</v>
      </c>
      <c r="E1747" t="s">
        <v>35</v>
      </c>
      <c r="F1747" t="s">
        <v>36</v>
      </c>
      <c r="G1747" t="str">
        <f>"2025-02-20 16:18:13.765"</f>
        <v>2025-02-20 16:18:13.765</v>
      </c>
      <c r="H1747" t="s">
        <v>22</v>
      </c>
      <c r="I1747">
        <v>0</v>
      </c>
      <c r="J1747" t="s">
        <v>24</v>
      </c>
    </row>
    <row r="1748" spans="1:10" x14ac:dyDescent="0.25">
      <c r="A1748" s="1">
        <v>785</v>
      </c>
      <c r="B1748" t="s">
        <v>19</v>
      </c>
      <c r="C1748">
        <v>98</v>
      </c>
      <c r="D1748">
        <v>1</v>
      </c>
      <c r="E1748" t="s">
        <v>46</v>
      </c>
      <c r="F1748" t="s">
        <v>47</v>
      </c>
      <c r="G1748" t="str">
        <f>"2025-02-20 16:00:50.276"</f>
        <v>2025-02-20 16:00:50.276</v>
      </c>
      <c r="H1748" t="s">
        <v>22</v>
      </c>
    </row>
    <row r="1749" spans="1:10" x14ac:dyDescent="0.25">
      <c r="A1749" s="1">
        <v>786</v>
      </c>
      <c r="B1749" t="s">
        <v>23</v>
      </c>
      <c r="C1749">
        <v>98</v>
      </c>
      <c r="D1749">
        <v>1</v>
      </c>
      <c r="E1749" t="s">
        <v>46</v>
      </c>
      <c r="F1749" t="s">
        <v>47</v>
      </c>
      <c r="G1749" t="str">
        <f>"2025-02-20 16:00:49.276"</f>
        <v>2025-02-20 16:00:49.276</v>
      </c>
      <c r="H1749" t="s">
        <v>22</v>
      </c>
      <c r="I1749">
        <v>0</v>
      </c>
      <c r="J1749" t="s">
        <v>48</v>
      </c>
    </row>
    <row r="1750" spans="1:10" x14ac:dyDescent="0.25">
      <c r="A1750" s="1">
        <v>787</v>
      </c>
      <c r="B1750" t="s">
        <v>19</v>
      </c>
      <c r="C1750">
        <v>89</v>
      </c>
      <c r="D1750">
        <v>2</v>
      </c>
      <c r="E1750" t="s">
        <v>96</v>
      </c>
      <c r="F1750" t="s">
        <v>97</v>
      </c>
      <c r="G1750" t="str">
        <f>"2025-02-20 15:49:40.676"</f>
        <v>2025-02-20 15:49:40.676</v>
      </c>
      <c r="H1750" t="s">
        <v>22</v>
      </c>
    </row>
    <row r="1751" spans="1:10" x14ac:dyDescent="0.25">
      <c r="A1751" s="1">
        <v>788</v>
      </c>
      <c r="B1751" t="s">
        <v>37</v>
      </c>
      <c r="C1751">
        <v>89</v>
      </c>
      <c r="D1751">
        <v>2</v>
      </c>
      <c r="E1751" t="s">
        <v>96</v>
      </c>
      <c r="F1751" t="s">
        <v>97</v>
      </c>
      <c r="G1751" t="str">
        <f>"2025-02-20 15:48:56.176"</f>
        <v>2025-02-20 15:48:56.176</v>
      </c>
      <c r="H1751" t="s">
        <v>22</v>
      </c>
      <c r="I1751">
        <v>8.73</v>
      </c>
      <c r="J1751" t="s">
        <v>30</v>
      </c>
    </row>
    <row r="1752" spans="1:10" x14ac:dyDescent="0.25">
      <c r="A1752" s="1">
        <v>789</v>
      </c>
      <c r="B1752" t="s">
        <v>19</v>
      </c>
      <c r="C1752">
        <v>89</v>
      </c>
      <c r="D1752">
        <v>2</v>
      </c>
      <c r="E1752" t="s">
        <v>96</v>
      </c>
      <c r="F1752" t="s">
        <v>97</v>
      </c>
      <c r="G1752" t="str">
        <f>"2025-02-20 15:48:16.376"</f>
        <v>2025-02-20 15:48:16.376</v>
      </c>
      <c r="H1752" t="s">
        <v>22</v>
      </c>
    </row>
    <row r="1753" spans="1:10" x14ac:dyDescent="0.25">
      <c r="A1753" s="1">
        <v>790</v>
      </c>
      <c r="B1753" t="s">
        <v>37</v>
      </c>
      <c r="C1753">
        <v>89</v>
      </c>
      <c r="D1753">
        <v>2</v>
      </c>
      <c r="E1753" t="s">
        <v>96</v>
      </c>
      <c r="F1753" t="s">
        <v>97</v>
      </c>
      <c r="G1753" t="str">
        <f>"2025-02-20 15:47:33.577"</f>
        <v>2025-02-20 15:47:33.577</v>
      </c>
      <c r="H1753" t="s">
        <v>22</v>
      </c>
      <c r="I1753">
        <v>13.41</v>
      </c>
      <c r="J1753" t="s">
        <v>30</v>
      </c>
    </row>
    <row r="1754" spans="1:10" x14ac:dyDescent="0.25">
      <c r="A1754" s="1">
        <v>791</v>
      </c>
      <c r="B1754" t="s">
        <v>25</v>
      </c>
      <c r="C1754">
        <v>700</v>
      </c>
      <c r="D1754">
        <v>0</v>
      </c>
      <c r="E1754" t="s">
        <v>26</v>
      </c>
      <c r="F1754" t="s">
        <v>26</v>
      </c>
      <c r="G1754" t="str">
        <f>"2025-02-20 15:40:03.135"</f>
        <v>2025-02-20 15:40:03.135</v>
      </c>
      <c r="H1754" t="s">
        <v>22</v>
      </c>
      <c r="I1754">
        <v>0</v>
      </c>
      <c r="J1754" t="s">
        <v>27</v>
      </c>
    </row>
    <row r="1755" spans="1:10" x14ac:dyDescent="0.25">
      <c r="A1755" s="1">
        <v>792</v>
      </c>
      <c r="B1755" t="s">
        <v>25</v>
      </c>
      <c r="C1755">
        <v>700</v>
      </c>
      <c r="D1755">
        <v>0</v>
      </c>
      <c r="E1755" t="s">
        <v>26</v>
      </c>
      <c r="F1755" t="s">
        <v>26</v>
      </c>
      <c r="G1755" t="str">
        <f>"2025-02-20 15:30:47.122"</f>
        <v>2025-02-20 15:30:47.122</v>
      </c>
      <c r="H1755" t="s">
        <v>22</v>
      </c>
      <c r="I1755">
        <v>0</v>
      </c>
      <c r="J1755" t="s">
        <v>27</v>
      </c>
    </row>
    <row r="1756" spans="1:10" x14ac:dyDescent="0.25">
      <c r="A1756" s="1">
        <v>793</v>
      </c>
      <c r="B1756" t="s">
        <v>25</v>
      </c>
      <c r="C1756">
        <v>700</v>
      </c>
      <c r="D1756">
        <v>0</v>
      </c>
      <c r="E1756" t="s">
        <v>26</v>
      </c>
      <c r="F1756" t="s">
        <v>26</v>
      </c>
      <c r="G1756" t="str">
        <f>"2025-02-20 15:24:39.112"</f>
        <v>2025-02-20 15:24:39.112</v>
      </c>
      <c r="H1756" t="s">
        <v>22</v>
      </c>
    </row>
    <row r="1757" spans="1:10" x14ac:dyDescent="0.25">
      <c r="A1757" s="1">
        <v>794</v>
      </c>
      <c r="B1757" t="s">
        <v>25</v>
      </c>
      <c r="C1757">
        <v>700</v>
      </c>
      <c r="D1757">
        <v>0</v>
      </c>
      <c r="E1757" t="s">
        <v>26</v>
      </c>
      <c r="F1757" t="s">
        <v>26</v>
      </c>
      <c r="G1757" t="str">
        <f>"2025-02-20 15:22:45.118"</f>
        <v>2025-02-20 15:22:45.118</v>
      </c>
      <c r="H1757" t="s">
        <v>22</v>
      </c>
      <c r="I1757">
        <v>0</v>
      </c>
      <c r="J1757" t="s">
        <v>27</v>
      </c>
    </row>
    <row r="1758" spans="1:10" x14ac:dyDescent="0.25">
      <c r="A1758" s="1">
        <v>795</v>
      </c>
      <c r="B1758" t="s">
        <v>25</v>
      </c>
      <c r="C1758">
        <v>700</v>
      </c>
      <c r="D1758">
        <v>0</v>
      </c>
      <c r="E1758" t="s">
        <v>26</v>
      </c>
      <c r="F1758" t="s">
        <v>26</v>
      </c>
      <c r="G1758" t="str">
        <f>"2025-02-20 15:21:31.123"</f>
        <v>2025-02-20 15:21:31.123</v>
      </c>
      <c r="H1758" t="s">
        <v>22</v>
      </c>
      <c r="I1758">
        <v>0</v>
      </c>
      <c r="J1758" t="s">
        <v>27</v>
      </c>
    </row>
    <row r="1759" spans="1:10" x14ac:dyDescent="0.25">
      <c r="A1759" s="1">
        <v>796</v>
      </c>
      <c r="B1759" t="s">
        <v>59</v>
      </c>
      <c r="C1759">
        <v>87</v>
      </c>
      <c r="D1759">
        <v>1</v>
      </c>
      <c r="E1759" t="s">
        <v>98</v>
      </c>
      <c r="F1759" t="s">
        <v>99</v>
      </c>
      <c r="G1759" t="str">
        <f>"2025-02-20 15:20:04.123"</f>
        <v>2025-02-20 15:20:04.123</v>
      </c>
      <c r="H1759" t="s">
        <v>22</v>
      </c>
    </row>
    <row r="1760" spans="1:10" x14ac:dyDescent="0.25">
      <c r="A1760" s="1">
        <v>797</v>
      </c>
      <c r="B1760" t="s">
        <v>37</v>
      </c>
      <c r="C1760">
        <v>87</v>
      </c>
      <c r="D1760">
        <v>1</v>
      </c>
      <c r="E1760" t="s">
        <v>98</v>
      </c>
      <c r="F1760" t="s">
        <v>99</v>
      </c>
      <c r="G1760" t="str">
        <f>"2025-02-20 15:17:14.095"</f>
        <v>2025-02-20 15:17:14.095</v>
      </c>
      <c r="H1760" t="s">
        <v>22</v>
      </c>
      <c r="I1760">
        <v>5.0599999999999996</v>
      </c>
      <c r="J1760" t="s">
        <v>30</v>
      </c>
    </row>
    <row r="1761" spans="1:10" x14ac:dyDescent="0.25">
      <c r="A1761" s="1">
        <v>798</v>
      </c>
      <c r="B1761" t="s">
        <v>25</v>
      </c>
      <c r="C1761">
        <v>706</v>
      </c>
      <c r="D1761">
        <v>4</v>
      </c>
      <c r="E1761" t="s">
        <v>35</v>
      </c>
      <c r="F1761" t="s">
        <v>36</v>
      </c>
      <c r="G1761" t="str">
        <f>"2025-02-20 15:02:50.855"</f>
        <v>2025-02-20 15:02:50.855</v>
      </c>
      <c r="H1761" t="s">
        <v>22</v>
      </c>
      <c r="I1761">
        <v>0</v>
      </c>
      <c r="J1761" t="s">
        <v>24</v>
      </c>
    </row>
    <row r="1762" spans="1:10" x14ac:dyDescent="0.25">
      <c r="A1762" s="1">
        <v>799</v>
      </c>
      <c r="B1762" t="s">
        <v>25</v>
      </c>
      <c r="C1762">
        <v>706</v>
      </c>
      <c r="D1762">
        <v>3</v>
      </c>
      <c r="E1762" t="s">
        <v>35</v>
      </c>
      <c r="F1762" t="s">
        <v>62</v>
      </c>
      <c r="G1762" t="str">
        <f>"2025-02-20 15:01:42.735"</f>
        <v>2025-02-20 15:01:42.735</v>
      </c>
      <c r="H1762" t="s">
        <v>22</v>
      </c>
      <c r="I1762">
        <v>0</v>
      </c>
      <c r="J1762" t="s">
        <v>24</v>
      </c>
    </row>
    <row r="1763" spans="1:10" x14ac:dyDescent="0.25">
      <c r="A1763" s="1">
        <v>800</v>
      </c>
      <c r="B1763" t="s">
        <v>25</v>
      </c>
      <c r="C1763">
        <v>700</v>
      </c>
      <c r="D1763">
        <v>0</v>
      </c>
      <c r="E1763" t="s">
        <v>26</v>
      </c>
      <c r="F1763" t="s">
        <v>26</v>
      </c>
      <c r="G1763" t="str">
        <f>"2025-02-20 15:00:01.115"</f>
        <v>2025-02-20 15:00:01.115</v>
      </c>
      <c r="H1763" t="s">
        <v>22</v>
      </c>
    </row>
    <row r="1764" spans="1:10" x14ac:dyDescent="0.25">
      <c r="A1764" s="1">
        <v>801</v>
      </c>
      <c r="B1764" t="s">
        <v>37</v>
      </c>
      <c r="C1764">
        <v>630</v>
      </c>
      <c r="D1764">
        <v>5</v>
      </c>
      <c r="E1764" t="s">
        <v>32</v>
      </c>
      <c r="F1764" t="s">
        <v>33</v>
      </c>
      <c r="G1764" t="str">
        <f>"2025-02-20 14:42:47.890"</f>
        <v>2025-02-20 14:42:47.890</v>
      </c>
      <c r="H1764" t="s">
        <v>34</v>
      </c>
      <c r="I1764">
        <v>0</v>
      </c>
      <c r="J1764" t="s">
        <v>24</v>
      </c>
    </row>
    <row r="1765" spans="1:10" x14ac:dyDescent="0.25">
      <c r="A1765" s="1">
        <v>802</v>
      </c>
      <c r="B1765" t="s">
        <v>25</v>
      </c>
      <c r="C1765">
        <v>700</v>
      </c>
      <c r="D1765">
        <v>0</v>
      </c>
      <c r="E1765" t="s">
        <v>26</v>
      </c>
      <c r="F1765" t="s">
        <v>26</v>
      </c>
      <c r="G1765" t="str">
        <f>"2025-02-20 14:37:45.151"</f>
        <v>2025-02-20 14:37:45.151</v>
      </c>
      <c r="H1765" t="s">
        <v>22</v>
      </c>
      <c r="I1765">
        <v>0</v>
      </c>
      <c r="J1765" t="s">
        <v>27</v>
      </c>
    </row>
    <row r="1766" spans="1:10" x14ac:dyDescent="0.25">
      <c r="A1766" s="1">
        <v>803</v>
      </c>
      <c r="B1766" t="s">
        <v>19</v>
      </c>
      <c r="C1766">
        <v>98</v>
      </c>
      <c r="D1766">
        <v>1</v>
      </c>
      <c r="E1766" t="s">
        <v>46</v>
      </c>
      <c r="F1766" t="s">
        <v>47</v>
      </c>
      <c r="G1766" t="str">
        <f>"2025-02-20 13:51:45.047"</f>
        <v>2025-02-20 13:51:45.047</v>
      </c>
      <c r="H1766" t="s">
        <v>22</v>
      </c>
    </row>
    <row r="1767" spans="1:10" x14ac:dyDescent="0.25">
      <c r="A1767" s="1">
        <v>804</v>
      </c>
      <c r="B1767" t="s">
        <v>23</v>
      </c>
      <c r="C1767">
        <v>98</v>
      </c>
      <c r="D1767">
        <v>1</v>
      </c>
      <c r="E1767" t="s">
        <v>46</v>
      </c>
      <c r="F1767" t="s">
        <v>47</v>
      </c>
      <c r="G1767" t="str">
        <f>"2025-02-20 13:51:44.047"</f>
        <v>2025-02-20 13:51:44.047</v>
      </c>
      <c r="H1767" t="s">
        <v>22</v>
      </c>
      <c r="I1767">
        <v>0</v>
      </c>
      <c r="J1767" t="s">
        <v>48</v>
      </c>
    </row>
    <row r="1768" spans="1:10" x14ac:dyDescent="0.25">
      <c r="A1768" s="1">
        <v>805</v>
      </c>
      <c r="B1768" t="s">
        <v>19</v>
      </c>
      <c r="C1768">
        <v>98</v>
      </c>
      <c r="D1768">
        <v>1</v>
      </c>
      <c r="E1768" t="s">
        <v>46</v>
      </c>
      <c r="F1768" t="s">
        <v>47</v>
      </c>
      <c r="G1768" t="str">
        <f>"2025-02-20 13:51:43.447"</f>
        <v>2025-02-20 13:51:43.447</v>
      </c>
      <c r="H1768" t="s">
        <v>22</v>
      </c>
    </row>
    <row r="1769" spans="1:10" x14ac:dyDescent="0.25">
      <c r="A1769" s="1">
        <v>806</v>
      </c>
      <c r="B1769" t="s">
        <v>23</v>
      </c>
      <c r="C1769">
        <v>98</v>
      </c>
      <c r="D1769">
        <v>1</v>
      </c>
      <c r="E1769" t="s">
        <v>46</v>
      </c>
      <c r="F1769" t="s">
        <v>47</v>
      </c>
      <c r="G1769" t="str">
        <f>"2025-02-20 13:51:40.247"</f>
        <v>2025-02-20 13:51:40.247</v>
      </c>
      <c r="H1769" t="s">
        <v>22</v>
      </c>
      <c r="I1769">
        <v>0</v>
      </c>
      <c r="J1769" t="s">
        <v>48</v>
      </c>
    </row>
    <row r="1770" spans="1:10" x14ac:dyDescent="0.25">
      <c r="A1770" s="1">
        <v>807</v>
      </c>
      <c r="B1770" t="s">
        <v>25</v>
      </c>
      <c r="C1770">
        <v>706</v>
      </c>
      <c r="D1770">
        <v>4</v>
      </c>
      <c r="E1770" t="s">
        <v>35</v>
      </c>
      <c r="F1770" t="s">
        <v>36</v>
      </c>
      <c r="G1770" t="str">
        <f>"2025-02-20 12:49:46.053"</f>
        <v>2025-02-20 12:49:46.053</v>
      </c>
      <c r="H1770" t="s">
        <v>22</v>
      </c>
      <c r="I1770">
        <v>0</v>
      </c>
      <c r="J1770" t="s">
        <v>24</v>
      </c>
    </row>
    <row r="1771" spans="1:10" x14ac:dyDescent="0.25">
      <c r="A1771" s="1">
        <v>808</v>
      </c>
      <c r="B1771" t="s">
        <v>25</v>
      </c>
      <c r="C1771">
        <v>700</v>
      </c>
      <c r="D1771">
        <v>0</v>
      </c>
      <c r="E1771" t="s">
        <v>26</v>
      </c>
      <c r="F1771" t="s">
        <v>26</v>
      </c>
      <c r="G1771" t="str">
        <f>"2025-02-20 12:49:30.103"</f>
        <v>2025-02-20 12:49:30.103</v>
      </c>
      <c r="H1771" t="s">
        <v>22</v>
      </c>
    </row>
    <row r="1772" spans="1:10" x14ac:dyDescent="0.25">
      <c r="A1772" s="1">
        <v>809</v>
      </c>
      <c r="B1772" t="s">
        <v>25</v>
      </c>
      <c r="C1772">
        <v>700</v>
      </c>
      <c r="D1772">
        <v>0</v>
      </c>
      <c r="E1772" t="s">
        <v>26</v>
      </c>
      <c r="F1772" t="s">
        <v>26</v>
      </c>
      <c r="G1772" t="str">
        <f>"2025-02-20 11:08:28.107"</f>
        <v>2025-02-20 11:08:28.107</v>
      </c>
      <c r="H1772" t="s">
        <v>22</v>
      </c>
    </row>
    <row r="1773" spans="1:10" x14ac:dyDescent="0.25">
      <c r="A1773" s="1">
        <v>810</v>
      </c>
      <c r="B1773" t="s">
        <v>25</v>
      </c>
      <c r="C1773">
        <v>700</v>
      </c>
      <c r="D1773">
        <v>0</v>
      </c>
      <c r="E1773" t="s">
        <v>26</v>
      </c>
      <c r="F1773" t="s">
        <v>26</v>
      </c>
      <c r="G1773" t="str">
        <f>"2025-02-20 09:47:27.118"</f>
        <v>2025-02-20 09:47:27.118</v>
      </c>
      <c r="H1773" t="s">
        <v>22</v>
      </c>
      <c r="I1773">
        <v>0</v>
      </c>
      <c r="J1773" t="s">
        <v>27</v>
      </c>
    </row>
    <row r="1774" spans="1:10" x14ac:dyDescent="0.25">
      <c r="A1774" s="1">
        <v>811</v>
      </c>
      <c r="B1774" t="s">
        <v>25</v>
      </c>
      <c r="C1774">
        <v>700</v>
      </c>
      <c r="D1774">
        <v>0</v>
      </c>
      <c r="E1774" t="s">
        <v>26</v>
      </c>
      <c r="F1774" t="s">
        <v>26</v>
      </c>
      <c r="G1774" t="str">
        <f>"2025-02-20 08:24:12.111"</f>
        <v>2025-02-20 08:24:12.111</v>
      </c>
      <c r="H1774" t="s">
        <v>22</v>
      </c>
      <c r="I1774">
        <v>0</v>
      </c>
      <c r="J1774" t="s">
        <v>27</v>
      </c>
    </row>
    <row r="1775" spans="1:10" x14ac:dyDescent="0.25">
      <c r="A1775" s="1">
        <v>812</v>
      </c>
      <c r="B1775" t="s">
        <v>25</v>
      </c>
      <c r="C1775">
        <v>700</v>
      </c>
      <c r="D1775">
        <v>0</v>
      </c>
      <c r="E1775" t="s">
        <v>26</v>
      </c>
      <c r="F1775" t="s">
        <v>26</v>
      </c>
      <c r="G1775" t="str">
        <f>"2025-02-19 18:56:12.107"</f>
        <v>2025-02-19 18:56:12.107</v>
      </c>
      <c r="H1775" t="s">
        <v>22</v>
      </c>
      <c r="I1775">
        <v>0</v>
      </c>
      <c r="J1775" t="s">
        <v>27</v>
      </c>
    </row>
    <row r="1776" spans="1:10" x14ac:dyDescent="0.25">
      <c r="A1776" s="1">
        <v>813</v>
      </c>
      <c r="B1776" t="s">
        <v>25</v>
      </c>
      <c r="C1776">
        <v>700</v>
      </c>
      <c r="D1776">
        <v>0</v>
      </c>
      <c r="E1776" t="s">
        <v>26</v>
      </c>
      <c r="F1776" t="s">
        <v>26</v>
      </c>
      <c r="G1776" t="str">
        <f>"2025-02-19 18:29:45.128"</f>
        <v>2025-02-19 18:29:45.128</v>
      </c>
      <c r="H1776" t="s">
        <v>22</v>
      </c>
      <c r="I1776">
        <v>0</v>
      </c>
      <c r="J1776" t="s">
        <v>27</v>
      </c>
    </row>
    <row r="1777" spans="1:10" x14ac:dyDescent="0.25">
      <c r="A1777" s="1">
        <v>814</v>
      </c>
      <c r="B1777" t="s">
        <v>19</v>
      </c>
      <c r="C1777">
        <v>98</v>
      </c>
      <c r="D1777">
        <v>1</v>
      </c>
      <c r="E1777" t="s">
        <v>46</v>
      </c>
      <c r="F1777" t="s">
        <v>47</v>
      </c>
      <c r="G1777" t="str">
        <f>"2025-02-19 17:10:16.356"</f>
        <v>2025-02-19 17:10:16.356</v>
      </c>
      <c r="H1777" t="s">
        <v>22</v>
      </c>
    </row>
    <row r="1778" spans="1:10" x14ac:dyDescent="0.25">
      <c r="A1778" s="1">
        <v>815</v>
      </c>
      <c r="B1778" t="s">
        <v>23</v>
      </c>
      <c r="C1778">
        <v>98</v>
      </c>
      <c r="D1778">
        <v>1</v>
      </c>
      <c r="E1778" t="s">
        <v>46</v>
      </c>
      <c r="F1778" t="s">
        <v>47</v>
      </c>
      <c r="G1778" t="str">
        <f>"2025-02-19 17:10:15.356"</f>
        <v>2025-02-19 17:10:15.356</v>
      </c>
      <c r="H1778" t="s">
        <v>22</v>
      </c>
      <c r="I1778">
        <v>13.29</v>
      </c>
      <c r="J1778" t="s">
        <v>30</v>
      </c>
    </row>
    <row r="1779" spans="1:10" x14ac:dyDescent="0.25">
      <c r="A1779" s="1">
        <v>816</v>
      </c>
      <c r="B1779" t="s">
        <v>19</v>
      </c>
      <c r="C1779">
        <v>98</v>
      </c>
      <c r="D1779">
        <v>1</v>
      </c>
      <c r="E1779" t="s">
        <v>46</v>
      </c>
      <c r="F1779" t="s">
        <v>47</v>
      </c>
      <c r="G1779" t="str">
        <f>"2025-02-19 17:10:15.156"</f>
        <v>2025-02-19 17:10:15.156</v>
      </c>
      <c r="H1779" t="s">
        <v>22</v>
      </c>
    </row>
    <row r="1780" spans="1:10" x14ac:dyDescent="0.25">
      <c r="A1780" s="1">
        <v>817</v>
      </c>
      <c r="B1780" t="s">
        <v>23</v>
      </c>
      <c r="C1780">
        <v>98</v>
      </c>
      <c r="D1780">
        <v>1</v>
      </c>
      <c r="E1780" t="s">
        <v>46</v>
      </c>
      <c r="F1780" t="s">
        <v>47</v>
      </c>
      <c r="G1780" t="str">
        <f>"2025-02-19 17:10:14.156"</f>
        <v>2025-02-19 17:10:14.156</v>
      </c>
      <c r="H1780" t="s">
        <v>22</v>
      </c>
      <c r="I1780">
        <v>13.03</v>
      </c>
      <c r="J1780" t="s">
        <v>30</v>
      </c>
    </row>
    <row r="1781" spans="1:10" x14ac:dyDescent="0.25">
      <c r="A1781" s="1">
        <v>818</v>
      </c>
      <c r="B1781" t="s">
        <v>25</v>
      </c>
      <c r="C1781">
        <v>700</v>
      </c>
      <c r="D1781">
        <v>0</v>
      </c>
      <c r="E1781" t="s">
        <v>26</v>
      </c>
      <c r="F1781" t="s">
        <v>26</v>
      </c>
      <c r="G1781" t="str">
        <f>"2025-02-19 13:37:25.065"</f>
        <v>2025-02-19 13:37:25.065</v>
      </c>
      <c r="H1781" t="s">
        <v>22</v>
      </c>
    </row>
    <row r="1782" spans="1:10" x14ac:dyDescent="0.25">
      <c r="A1782" s="1">
        <v>819</v>
      </c>
      <c r="B1782" t="s">
        <v>19</v>
      </c>
      <c r="C1782">
        <v>98</v>
      </c>
      <c r="D1782">
        <v>1</v>
      </c>
      <c r="E1782" t="s">
        <v>46</v>
      </c>
      <c r="F1782" t="s">
        <v>47</v>
      </c>
      <c r="G1782" t="str">
        <f>"2025-02-19 09:42:40.938"</f>
        <v>2025-02-19 09:42:40.938</v>
      </c>
      <c r="H1782" t="s">
        <v>22</v>
      </c>
    </row>
    <row r="1783" spans="1:10" x14ac:dyDescent="0.25">
      <c r="A1783" s="1">
        <v>820</v>
      </c>
      <c r="B1783" t="s">
        <v>23</v>
      </c>
      <c r="C1783">
        <v>98</v>
      </c>
      <c r="D1783">
        <v>1</v>
      </c>
      <c r="E1783" t="s">
        <v>46</v>
      </c>
      <c r="F1783" t="s">
        <v>47</v>
      </c>
      <c r="G1783" t="str">
        <f>"2025-02-19 09:42:39.138"</f>
        <v>2025-02-19 09:42:39.138</v>
      </c>
      <c r="H1783" t="s">
        <v>22</v>
      </c>
      <c r="I1783">
        <v>0</v>
      </c>
      <c r="J1783" t="s">
        <v>24</v>
      </c>
    </row>
    <row r="1784" spans="1:10" x14ac:dyDescent="0.25">
      <c r="A1784" s="1">
        <v>821</v>
      </c>
      <c r="B1784" t="s">
        <v>19</v>
      </c>
      <c r="C1784">
        <v>98</v>
      </c>
      <c r="D1784">
        <v>1</v>
      </c>
      <c r="E1784" t="s">
        <v>46</v>
      </c>
      <c r="F1784" t="s">
        <v>47</v>
      </c>
      <c r="G1784" t="str">
        <f>"2025-02-19 09:42:38.338"</f>
        <v>2025-02-19 09:42:38.338</v>
      </c>
      <c r="H1784" t="s">
        <v>22</v>
      </c>
    </row>
    <row r="1785" spans="1:10" x14ac:dyDescent="0.25">
      <c r="A1785" s="1">
        <v>822</v>
      </c>
      <c r="B1785" t="s">
        <v>23</v>
      </c>
      <c r="C1785">
        <v>98</v>
      </c>
      <c r="D1785">
        <v>1</v>
      </c>
      <c r="E1785" t="s">
        <v>46</v>
      </c>
      <c r="F1785" t="s">
        <v>47</v>
      </c>
      <c r="G1785" t="str">
        <f>"2025-02-19 09:42:37.338"</f>
        <v>2025-02-19 09:42:37.338</v>
      </c>
      <c r="H1785" t="s">
        <v>22</v>
      </c>
      <c r="I1785">
        <v>0</v>
      </c>
      <c r="J1785" t="s">
        <v>24</v>
      </c>
    </row>
    <row r="1786" spans="1:10" x14ac:dyDescent="0.25">
      <c r="A1786" s="1">
        <v>823</v>
      </c>
      <c r="B1786" t="s">
        <v>25</v>
      </c>
      <c r="C1786">
        <v>700</v>
      </c>
      <c r="D1786">
        <v>0</v>
      </c>
      <c r="E1786" t="s">
        <v>26</v>
      </c>
      <c r="F1786" t="s">
        <v>26</v>
      </c>
      <c r="G1786" t="str">
        <f>"2025-02-19 09:41:10.073"</f>
        <v>2025-02-19 09:41:10.073</v>
      </c>
      <c r="H1786" t="s">
        <v>22</v>
      </c>
      <c r="I1786">
        <v>0</v>
      </c>
      <c r="J1786" t="s">
        <v>27</v>
      </c>
    </row>
    <row r="1787" spans="1:10" x14ac:dyDescent="0.25">
      <c r="A1787" s="1">
        <v>824</v>
      </c>
      <c r="B1787" t="s">
        <v>25</v>
      </c>
      <c r="C1787">
        <v>700</v>
      </c>
      <c r="D1787">
        <v>0</v>
      </c>
      <c r="E1787" t="s">
        <v>26</v>
      </c>
      <c r="F1787" t="s">
        <v>26</v>
      </c>
      <c r="G1787" t="str">
        <f>"2025-02-18 16:22:31.072"</f>
        <v>2025-02-18 16:22:31.072</v>
      </c>
      <c r="H1787" t="s">
        <v>22</v>
      </c>
    </row>
    <row r="1788" spans="1:10" x14ac:dyDescent="0.25">
      <c r="A1788" s="1">
        <v>825</v>
      </c>
      <c r="B1788" t="s">
        <v>25</v>
      </c>
      <c r="C1788">
        <v>706</v>
      </c>
      <c r="D1788">
        <v>4</v>
      </c>
      <c r="E1788" t="s">
        <v>35</v>
      </c>
      <c r="F1788" t="s">
        <v>36</v>
      </c>
      <c r="G1788" t="str">
        <f>"2025-02-18 16:12:23.203"</f>
        <v>2025-02-18 16:12:23.203</v>
      </c>
      <c r="H1788" t="s">
        <v>22</v>
      </c>
      <c r="I1788">
        <v>0</v>
      </c>
      <c r="J1788" t="s">
        <v>24</v>
      </c>
    </row>
    <row r="1789" spans="1:10" x14ac:dyDescent="0.25">
      <c r="A1789" s="1">
        <v>826</v>
      </c>
      <c r="B1789" t="s">
        <v>25</v>
      </c>
      <c r="C1789">
        <v>700</v>
      </c>
      <c r="D1789">
        <v>0</v>
      </c>
      <c r="E1789" t="s">
        <v>26</v>
      </c>
      <c r="F1789" t="s">
        <v>26</v>
      </c>
      <c r="G1789" t="str">
        <f>"2025-02-18 16:04:48.053"</f>
        <v>2025-02-18 16:04:48.053</v>
      </c>
      <c r="H1789" t="s">
        <v>22</v>
      </c>
      <c r="I1789">
        <v>0</v>
      </c>
      <c r="J1789" t="s">
        <v>27</v>
      </c>
    </row>
    <row r="1790" spans="1:10" x14ac:dyDescent="0.25">
      <c r="A1790" s="1">
        <v>827</v>
      </c>
      <c r="B1790" t="s">
        <v>19</v>
      </c>
      <c r="C1790">
        <v>43</v>
      </c>
      <c r="D1790">
        <v>1</v>
      </c>
      <c r="E1790" t="s">
        <v>100</v>
      </c>
      <c r="F1790" t="s">
        <v>101</v>
      </c>
      <c r="G1790" t="str">
        <f>"2025-02-18 15:53:08.967"</f>
        <v>2025-02-18 15:53:08.967</v>
      </c>
      <c r="H1790" t="s">
        <v>34</v>
      </c>
    </row>
    <row r="1791" spans="1:10" x14ac:dyDescent="0.25">
      <c r="A1791" s="1">
        <v>828</v>
      </c>
      <c r="B1791" t="s">
        <v>25</v>
      </c>
      <c r="C1791">
        <v>700</v>
      </c>
      <c r="D1791">
        <v>0</v>
      </c>
      <c r="E1791" t="s">
        <v>26</v>
      </c>
      <c r="F1791" t="s">
        <v>26</v>
      </c>
      <c r="G1791" t="str">
        <f>"2025-02-18 15:52:56.071"</f>
        <v>2025-02-18 15:52:56.071</v>
      </c>
      <c r="H1791" t="s">
        <v>22</v>
      </c>
      <c r="I1791">
        <v>0</v>
      </c>
      <c r="J1791" t="s">
        <v>27</v>
      </c>
    </row>
    <row r="1792" spans="1:10" x14ac:dyDescent="0.25">
      <c r="A1792" s="1">
        <v>832</v>
      </c>
      <c r="B1792" t="s">
        <v>25</v>
      </c>
      <c r="C1792">
        <v>700</v>
      </c>
      <c r="D1792">
        <v>0</v>
      </c>
      <c r="E1792" t="s">
        <v>26</v>
      </c>
      <c r="F1792" t="s">
        <v>26</v>
      </c>
      <c r="G1792" t="str">
        <f>"2025-02-18 15:04:18.052"</f>
        <v>2025-02-18 15:04:18.052</v>
      </c>
      <c r="H1792" t="s">
        <v>22</v>
      </c>
      <c r="I1792">
        <v>0</v>
      </c>
      <c r="J1792" t="s">
        <v>27</v>
      </c>
    </row>
    <row r="1793" spans="1:10" x14ac:dyDescent="0.25">
      <c r="A1793" s="1">
        <v>834</v>
      </c>
      <c r="B1793" t="s">
        <v>25</v>
      </c>
      <c r="C1793">
        <v>706</v>
      </c>
      <c r="D1793">
        <v>4</v>
      </c>
      <c r="E1793" t="s">
        <v>35</v>
      </c>
      <c r="F1793" t="s">
        <v>36</v>
      </c>
      <c r="G1793" t="str">
        <f>"2025-02-18 13:04:09.814"</f>
        <v>2025-02-18 13:04:09.814</v>
      </c>
      <c r="H1793" t="s">
        <v>22</v>
      </c>
      <c r="I1793">
        <v>0</v>
      </c>
      <c r="J1793" t="s">
        <v>24</v>
      </c>
    </row>
    <row r="1794" spans="1:10" x14ac:dyDescent="0.25">
      <c r="A1794" s="1">
        <v>835</v>
      </c>
      <c r="B1794" t="s">
        <v>23</v>
      </c>
      <c r="C1794">
        <v>43</v>
      </c>
      <c r="D1794">
        <v>1</v>
      </c>
      <c r="E1794" t="s">
        <v>100</v>
      </c>
      <c r="F1794" t="s">
        <v>101</v>
      </c>
      <c r="G1794" t="str">
        <f>"2025-02-18 13:02:16.258"</f>
        <v>2025-02-18 13:02:16.258</v>
      </c>
      <c r="H1794" t="s">
        <v>34</v>
      </c>
      <c r="I1794">
        <v>0</v>
      </c>
      <c r="J1794" t="s">
        <v>24</v>
      </c>
    </row>
    <row r="1795" spans="1:10" x14ac:dyDescent="0.25">
      <c r="A1795" s="1">
        <v>836</v>
      </c>
      <c r="B1795" t="s">
        <v>25</v>
      </c>
      <c r="C1795">
        <v>700</v>
      </c>
      <c r="D1795">
        <v>0</v>
      </c>
      <c r="E1795" t="s">
        <v>26</v>
      </c>
      <c r="F1795" t="s">
        <v>26</v>
      </c>
      <c r="G1795" t="str">
        <f>"2025-02-18 12:49:54.044"</f>
        <v>2025-02-18 12:49:54.044</v>
      </c>
      <c r="H1795" t="s">
        <v>22</v>
      </c>
    </row>
    <row r="1796" spans="1:10" x14ac:dyDescent="0.25">
      <c r="A1796" s="1">
        <v>837</v>
      </c>
      <c r="B1796" t="s">
        <v>25</v>
      </c>
      <c r="C1796">
        <v>700</v>
      </c>
      <c r="D1796">
        <v>0</v>
      </c>
      <c r="E1796" t="s">
        <v>26</v>
      </c>
      <c r="F1796" t="s">
        <v>26</v>
      </c>
      <c r="G1796" t="str">
        <f>"2025-02-18 11:03:43.056"</f>
        <v>2025-02-18 11:03:43.056</v>
      </c>
      <c r="H1796" t="s">
        <v>22</v>
      </c>
    </row>
    <row r="1797" spans="1:10" x14ac:dyDescent="0.25">
      <c r="A1797" s="1">
        <v>838</v>
      </c>
      <c r="B1797" t="s">
        <v>25</v>
      </c>
      <c r="C1797">
        <v>700</v>
      </c>
      <c r="D1797">
        <v>0</v>
      </c>
      <c r="E1797" t="s">
        <v>26</v>
      </c>
      <c r="F1797" t="s">
        <v>26</v>
      </c>
      <c r="G1797" t="str">
        <f>"2025-02-18 08:28:45.044"</f>
        <v>2025-02-18 08:28:45.044</v>
      </c>
      <c r="H1797" t="s">
        <v>22</v>
      </c>
    </row>
    <row r="1798" spans="1:10" x14ac:dyDescent="0.25">
      <c r="A1798" s="1">
        <v>839</v>
      </c>
      <c r="B1798" t="s">
        <v>25</v>
      </c>
      <c r="C1798">
        <v>700</v>
      </c>
      <c r="D1798">
        <v>0</v>
      </c>
      <c r="E1798" t="s">
        <v>26</v>
      </c>
      <c r="F1798" t="s">
        <v>26</v>
      </c>
      <c r="G1798" t="str">
        <f>"2025-02-17 17:25:12.047"</f>
        <v>2025-02-17 17:25:12.047</v>
      </c>
      <c r="H1798" t="s">
        <v>22</v>
      </c>
    </row>
    <row r="1799" spans="1:10" x14ac:dyDescent="0.25">
      <c r="A1799" s="1">
        <v>840</v>
      </c>
      <c r="B1799" t="s">
        <v>25</v>
      </c>
      <c r="C1799">
        <v>700</v>
      </c>
      <c r="D1799">
        <v>0</v>
      </c>
      <c r="E1799" t="s">
        <v>26</v>
      </c>
      <c r="F1799" t="s">
        <v>26</v>
      </c>
      <c r="G1799" t="str">
        <f>"2025-02-17 15:57:03.040"</f>
        <v>2025-02-17 15:57:03.040</v>
      </c>
      <c r="H1799" t="s">
        <v>22</v>
      </c>
      <c r="I1799">
        <v>0</v>
      </c>
      <c r="J1799" t="s">
        <v>27</v>
      </c>
    </row>
    <row r="1800" spans="1:10" x14ac:dyDescent="0.25">
      <c r="A1800" s="1">
        <v>841</v>
      </c>
      <c r="B1800" t="s">
        <v>25</v>
      </c>
      <c r="C1800">
        <v>700</v>
      </c>
      <c r="D1800">
        <v>0</v>
      </c>
      <c r="E1800" t="s">
        <v>26</v>
      </c>
      <c r="F1800" t="s">
        <v>26</v>
      </c>
      <c r="G1800" t="str">
        <f>"2025-02-17 14:46:50.054"</f>
        <v>2025-02-17 14:46:50.054</v>
      </c>
      <c r="H1800" t="s">
        <v>22</v>
      </c>
    </row>
    <row r="1801" spans="1:10" x14ac:dyDescent="0.25">
      <c r="A1801" s="1">
        <v>842</v>
      </c>
      <c r="B1801" t="s">
        <v>25</v>
      </c>
      <c r="C1801">
        <v>706</v>
      </c>
      <c r="D1801">
        <v>2</v>
      </c>
      <c r="E1801" t="s">
        <v>35</v>
      </c>
      <c r="F1801" t="s">
        <v>38</v>
      </c>
      <c r="G1801" t="str">
        <f>"2025-02-17 14:39:28.907"</f>
        <v>2025-02-17 14:39:28.907</v>
      </c>
      <c r="H1801" t="s">
        <v>22</v>
      </c>
      <c r="I1801">
        <v>0</v>
      </c>
      <c r="J1801" t="s">
        <v>24</v>
      </c>
    </row>
    <row r="1802" spans="1:10" x14ac:dyDescent="0.25">
      <c r="A1802" s="1">
        <v>843</v>
      </c>
      <c r="B1802" t="s">
        <v>25</v>
      </c>
      <c r="C1802">
        <v>706</v>
      </c>
      <c r="D1802">
        <v>2</v>
      </c>
      <c r="E1802" t="s">
        <v>35</v>
      </c>
      <c r="F1802" t="s">
        <v>38</v>
      </c>
      <c r="G1802" t="str">
        <f>"2025-02-17 14:35:55.507"</f>
        <v>2025-02-17 14:35:55.507</v>
      </c>
      <c r="H1802" t="s">
        <v>22</v>
      </c>
      <c r="I1802">
        <v>0</v>
      </c>
      <c r="J1802" t="s">
        <v>24</v>
      </c>
    </row>
    <row r="1803" spans="1:10" x14ac:dyDescent="0.25">
      <c r="A1803" s="1">
        <v>844</v>
      </c>
      <c r="B1803" t="s">
        <v>25</v>
      </c>
      <c r="C1803">
        <v>706</v>
      </c>
      <c r="D1803">
        <v>4</v>
      </c>
      <c r="E1803" t="s">
        <v>35</v>
      </c>
      <c r="F1803" t="s">
        <v>36</v>
      </c>
      <c r="G1803" t="str">
        <f>"2025-02-17 14:32:00.247"</f>
        <v>2025-02-17 14:32:00.247</v>
      </c>
      <c r="H1803" t="s">
        <v>22</v>
      </c>
      <c r="I1803">
        <v>0</v>
      </c>
      <c r="J1803" t="s">
        <v>24</v>
      </c>
    </row>
    <row r="1804" spans="1:10" x14ac:dyDescent="0.25">
      <c r="A1804" s="1">
        <v>845</v>
      </c>
      <c r="B1804" t="s">
        <v>25</v>
      </c>
      <c r="C1804">
        <v>700</v>
      </c>
      <c r="D1804">
        <v>0</v>
      </c>
      <c r="E1804" t="s">
        <v>26</v>
      </c>
      <c r="F1804" t="s">
        <v>26</v>
      </c>
      <c r="G1804" t="str">
        <f>"2025-02-17 11:09:39.047"</f>
        <v>2025-02-17 11:09:39.047</v>
      </c>
      <c r="H1804" t="s">
        <v>22</v>
      </c>
    </row>
    <row r="1805" spans="1:10" x14ac:dyDescent="0.25">
      <c r="A1805" s="1">
        <v>846</v>
      </c>
      <c r="B1805" t="s">
        <v>25</v>
      </c>
      <c r="C1805">
        <v>700</v>
      </c>
      <c r="D1805">
        <v>0</v>
      </c>
      <c r="E1805" t="s">
        <v>26</v>
      </c>
      <c r="F1805" t="s">
        <v>26</v>
      </c>
      <c r="G1805" t="str">
        <f>"2025-02-17 11:08:06.037"</f>
        <v>2025-02-17 11:08:06.037</v>
      </c>
      <c r="H1805" t="s">
        <v>22</v>
      </c>
    </row>
    <row r="1806" spans="1:10" x14ac:dyDescent="0.25">
      <c r="A1806" s="1">
        <v>847</v>
      </c>
      <c r="B1806" t="s">
        <v>25</v>
      </c>
      <c r="C1806">
        <v>706</v>
      </c>
      <c r="D1806">
        <v>2</v>
      </c>
      <c r="E1806" t="s">
        <v>35</v>
      </c>
      <c r="F1806" t="s">
        <v>38</v>
      </c>
      <c r="G1806" t="str">
        <f>"2025-02-17 11:05:19.200"</f>
        <v>2025-02-17 11:05:19.200</v>
      </c>
      <c r="H1806" t="s">
        <v>22</v>
      </c>
      <c r="I1806">
        <v>0</v>
      </c>
      <c r="J1806" t="s">
        <v>24</v>
      </c>
    </row>
    <row r="1807" spans="1:10" x14ac:dyDescent="0.25">
      <c r="A1807" s="1">
        <v>848</v>
      </c>
      <c r="B1807" t="s">
        <v>25</v>
      </c>
      <c r="C1807">
        <v>700</v>
      </c>
      <c r="D1807">
        <v>0</v>
      </c>
      <c r="E1807" t="s">
        <v>26</v>
      </c>
      <c r="F1807" t="s">
        <v>26</v>
      </c>
      <c r="G1807" t="str">
        <f>"2025-02-17 10:21:26.040"</f>
        <v>2025-02-17 10:21:26.040</v>
      </c>
      <c r="H1807" t="s">
        <v>22</v>
      </c>
      <c r="I1807">
        <v>0</v>
      </c>
      <c r="J1807" t="s">
        <v>27</v>
      </c>
    </row>
    <row r="1808" spans="1:10" x14ac:dyDescent="0.25">
      <c r="A1808" s="1">
        <v>849</v>
      </c>
      <c r="B1808" t="s">
        <v>25</v>
      </c>
      <c r="C1808">
        <v>706</v>
      </c>
      <c r="D1808">
        <v>2</v>
      </c>
      <c r="E1808" t="s">
        <v>35</v>
      </c>
      <c r="F1808" t="s">
        <v>38</v>
      </c>
      <c r="G1808" t="str">
        <f>"2025-02-17 10:15:18.496"</f>
        <v>2025-02-17 10:15:18.496</v>
      </c>
      <c r="H1808" t="s">
        <v>22</v>
      </c>
      <c r="I1808">
        <v>0</v>
      </c>
      <c r="J1808" t="s">
        <v>24</v>
      </c>
    </row>
    <row r="1809" spans="1:10" x14ac:dyDescent="0.25">
      <c r="A1809" s="1">
        <v>850</v>
      </c>
      <c r="B1809" t="s">
        <v>25</v>
      </c>
      <c r="C1809">
        <v>700</v>
      </c>
      <c r="D1809">
        <v>0</v>
      </c>
      <c r="E1809" t="s">
        <v>26</v>
      </c>
      <c r="F1809" t="s">
        <v>26</v>
      </c>
      <c r="G1809" t="str">
        <f>"2025-02-17 10:13:56.046"</f>
        <v>2025-02-17 10:13:56.046</v>
      </c>
      <c r="H1809" t="s">
        <v>22</v>
      </c>
    </row>
    <row r="1810" spans="1:10" x14ac:dyDescent="0.25">
      <c r="A1810" s="1">
        <v>851</v>
      </c>
      <c r="B1810" t="s">
        <v>25</v>
      </c>
      <c r="C1810">
        <v>700</v>
      </c>
      <c r="D1810">
        <v>0</v>
      </c>
      <c r="E1810" t="s">
        <v>26</v>
      </c>
      <c r="F1810" t="s">
        <v>26</v>
      </c>
      <c r="G1810" t="str">
        <f>"2025-02-17 10:05:40.042"</f>
        <v>2025-02-17 10:05:40.042</v>
      </c>
      <c r="H1810" t="s">
        <v>22</v>
      </c>
      <c r="I1810">
        <v>0</v>
      </c>
      <c r="J1810" t="s">
        <v>27</v>
      </c>
    </row>
    <row r="1811" spans="1:10" x14ac:dyDescent="0.25">
      <c r="A1811" s="1">
        <v>852</v>
      </c>
      <c r="B1811" t="s">
        <v>25</v>
      </c>
      <c r="C1811">
        <v>700</v>
      </c>
      <c r="D1811">
        <v>0</v>
      </c>
      <c r="E1811" t="s">
        <v>26</v>
      </c>
      <c r="F1811" t="s">
        <v>26</v>
      </c>
      <c r="G1811" t="str">
        <f>"2025-02-17 08:26:56.032"</f>
        <v>2025-02-17 08:26:56.032</v>
      </c>
      <c r="H1811" t="s">
        <v>22</v>
      </c>
      <c r="I1811">
        <v>0</v>
      </c>
      <c r="J1811" t="s">
        <v>27</v>
      </c>
    </row>
    <row r="1812" spans="1:10" x14ac:dyDescent="0.25">
      <c r="A1812" s="1">
        <v>853</v>
      </c>
      <c r="B1812" t="s">
        <v>25</v>
      </c>
      <c r="C1812">
        <v>700</v>
      </c>
      <c r="D1812">
        <v>0</v>
      </c>
      <c r="E1812" t="s">
        <v>26</v>
      </c>
      <c r="F1812" t="s">
        <v>26</v>
      </c>
      <c r="G1812" t="str">
        <f>"2025-02-16 16:32:32.038"</f>
        <v>2025-02-16 16:32:32.038</v>
      </c>
      <c r="H1812" t="s">
        <v>22</v>
      </c>
    </row>
    <row r="1813" spans="1:10" x14ac:dyDescent="0.25">
      <c r="A1813" s="1">
        <v>854</v>
      </c>
      <c r="B1813" t="s">
        <v>25</v>
      </c>
      <c r="C1813">
        <v>706</v>
      </c>
      <c r="D1813">
        <v>4</v>
      </c>
      <c r="E1813" t="s">
        <v>35</v>
      </c>
      <c r="F1813" t="s">
        <v>36</v>
      </c>
      <c r="G1813" t="str">
        <f>"2025-02-16 15:21:22.049"</f>
        <v>2025-02-16 15:21:22.049</v>
      </c>
      <c r="H1813" t="s">
        <v>22</v>
      </c>
      <c r="I1813">
        <v>0</v>
      </c>
      <c r="J1813" t="s">
        <v>63</v>
      </c>
    </row>
    <row r="1814" spans="1:10" x14ac:dyDescent="0.25">
      <c r="A1814" s="1">
        <v>855</v>
      </c>
      <c r="B1814" t="s">
        <v>25</v>
      </c>
      <c r="C1814">
        <v>700</v>
      </c>
      <c r="D1814">
        <v>0</v>
      </c>
      <c r="E1814" t="s">
        <v>26</v>
      </c>
      <c r="F1814" t="s">
        <v>26</v>
      </c>
      <c r="G1814" t="str">
        <f>"2025-02-16 15:20:46.019"</f>
        <v>2025-02-16 15:20:46.019</v>
      </c>
      <c r="H1814" t="s">
        <v>22</v>
      </c>
    </row>
    <row r="1815" spans="1:10" x14ac:dyDescent="0.25">
      <c r="A1815" s="1">
        <v>856</v>
      </c>
      <c r="B1815" t="s">
        <v>25</v>
      </c>
      <c r="C1815">
        <v>700</v>
      </c>
      <c r="D1815">
        <v>0</v>
      </c>
      <c r="E1815" t="s">
        <v>26</v>
      </c>
      <c r="F1815" t="s">
        <v>26</v>
      </c>
      <c r="G1815" t="str">
        <f>"2025-02-16 15:04:16.022"</f>
        <v>2025-02-16 15:04:16.022</v>
      </c>
      <c r="H1815" t="s">
        <v>22</v>
      </c>
      <c r="I1815">
        <v>0</v>
      </c>
      <c r="J1815" t="s">
        <v>27</v>
      </c>
    </row>
    <row r="1816" spans="1:10" x14ac:dyDescent="0.25">
      <c r="A1816" s="1">
        <v>857</v>
      </c>
      <c r="B1816" t="s">
        <v>25</v>
      </c>
      <c r="C1816">
        <v>706</v>
      </c>
      <c r="D1816">
        <v>3</v>
      </c>
      <c r="E1816" t="s">
        <v>35</v>
      </c>
      <c r="F1816" t="s">
        <v>62</v>
      </c>
      <c r="G1816" t="str">
        <f>"2025-02-16 15:00:38.514"</f>
        <v>2025-02-16 15:00:38.514</v>
      </c>
      <c r="H1816" t="s">
        <v>22</v>
      </c>
      <c r="I1816">
        <v>0</v>
      </c>
      <c r="J1816" t="s">
        <v>24</v>
      </c>
    </row>
    <row r="1817" spans="1:10" x14ac:dyDescent="0.25">
      <c r="A1817" s="1">
        <v>858</v>
      </c>
      <c r="B1817" t="s">
        <v>25</v>
      </c>
      <c r="C1817">
        <v>700</v>
      </c>
      <c r="D1817">
        <v>0</v>
      </c>
      <c r="E1817" t="s">
        <v>26</v>
      </c>
      <c r="F1817" t="s">
        <v>26</v>
      </c>
      <c r="G1817" t="str">
        <f>"2025-02-16 14:57:22.024"</f>
        <v>2025-02-16 14:57:22.024</v>
      </c>
      <c r="H1817" t="s">
        <v>22</v>
      </c>
    </row>
    <row r="1818" spans="1:10" x14ac:dyDescent="0.25">
      <c r="A1818" s="1">
        <v>859</v>
      </c>
      <c r="B1818" t="s">
        <v>25</v>
      </c>
      <c r="C1818">
        <v>706</v>
      </c>
      <c r="D1818">
        <v>4</v>
      </c>
      <c r="E1818" t="s">
        <v>35</v>
      </c>
      <c r="F1818" t="s">
        <v>36</v>
      </c>
      <c r="G1818" t="str">
        <f>"2025-02-16 14:53:44.808"</f>
        <v>2025-02-16 14:53:44.808</v>
      </c>
      <c r="H1818" t="s">
        <v>22</v>
      </c>
      <c r="I1818">
        <v>0</v>
      </c>
      <c r="J1818" t="s">
        <v>24</v>
      </c>
    </row>
    <row r="1819" spans="1:10" x14ac:dyDescent="0.25">
      <c r="A1819" s="1">
        <v>860</v>
      </c>
      <c r="B1819" t="s">
        <v>25</v>
      </c>
      <c r="C1819">
        <v>700</v>
      </c>
      <c r="D1819">
        <v>0</v>
      </c>
      <c r="E1819" t="s">
        <v>26</v>
      </c>
      <c r="F1819" t="s">
        <v>26</v>
      </c>
      <c r="G1819" t="str">
        <f>"2025-02-16 14:40:58.028"</f>
        <v>2025-02-16 14:40:58.028</v>
      </c>
      <c r="H1819" t="s">
        <v>22</v>
      </c>
      <c r="I1819">
        <v>0</v>
      </c>
      <c r="J1819" t="s">
        <v>27</v>
      </c>
    </row>
    <row r="1820" spans="1:10" x14ac:dyDescent="0.25">
      <c r="A1820" s="1">
        <v>861</v>
      </c>
      <c r="B1820" t="s">
        <v>25</v>
      </c>
      <c r="C1820">
        <v>700</v>
      </c>
      <c r="D1820">
        <v>0</v>
      </c>
      <c r="E1820" t="s">
        <v>26</v>
      </c>
      <c r="F1820" t="s">
        <v>26</v>
      </c>
      <c r="G1820" t="str">
        <f>"2025-02-16 14:34:35.018"</f>
        <v>2025-02-16 14:34:35.018</v>
      </c>
      <c r="H1820" t="s">
        <v>22</v>
      </c>
    </row>
    <row r="1821" spans="1:10" x14ac:dyDescent="0.25">
      <c r="A1821" s="1">
        <v>862</v>
      </c>
      <c r="B1821" t="s">
        <v>37</v>
      </c>
      <c r="C1821">
        <v>630</v>
      </c>
      <c r="D1821">
        <v>5</v>
      </c>
      <c r="E1821" t="s">
        <v>32</v>
      </c>
      <c r="F1821" t="s">
        <v>33</v>
      </c>
      <c r="G1821" t="str">
        <f>"2025-02-16 14:21:07.722"</f>
        <v>2025-02-16 14:21:07.722</v>
      </c>
      <c r="H1821" t="s">
        <v>34</v>
      </c>
      <c r="I1821">
        <v>0</v>
      </c>
      <c r="J1821" t="s">
        <v>63</v>
      </c>
    </row>
    <row r="1822" spans="1:10" x14ac:dyDescent="0.25">
      <c r="A1822" s="1">
        <v>865</v>
      </c>
      <c r="B1822" t="s">
        <v>25</v>
      </c>
      <c r="C1822">
        <v>782</v>
      </c>
      <c r="D1822">
        <v>7</v>
      </c>
      <c r="E1822" t="s">
        <v>72</v>
      </c>
      <c r="F1822" t="s">
        <v>73</v>
      </c>
      <c r="G1822" t="str">
        <f>"2025-02-16 14:16:19.880"</f>
        <v>2025-02-16 14:16:19.880</v>
      </c>
      <c r="H1822" t="s">
        <v>22</v>
      </c>
      <c r="I1822">
        <v>0</v>
      </c>
      <c r="J1822" t="s">
        <v>63</v>
      </c>
    </row>
    <row r="1823" spans="1:10" x14ac:dyDescent="0.25">
      <c r="A1823" s="1">
        <v>868</v>
      </c>
      <c r="B1823" t="s">
        <v>19</v>
      </c>
      <c r="C1823">
        <v>12</v>
      </c>
      <c r="D1823">
        <v>2</v>
      </c>
      <c r="E1823" t="s">
        <v>102</v>
      </c>
      <c r="F1823" t="s">
        <v>103</v>
      </c>
      <c r="G1823" t="str">
        <f>"2025-02-16 14:16:19.876"</f>
        <v>2025-02-16 14:16:19.876</v>
      </c>
      <c r="H1823" t="s">
        <v>22</v>
      </c>
    </row>
    <row r="1824" spans="1:10" x14ac:dyDescent="0.25">
      <c r="A1824" s="1">
        <v>869</v>
      </c>
      <c r="B1824" t="s">
        <v>19</v>
      </c>
      <c r="C1824">
        <v>12</v>
      </c>
      <c r="D1824">
        <v>1</v>
      </c>
      <c r="E1824" t="s">
        <v>102</v>
      </c>
      <c r="F1824" t="s">
        <v>104</v>
      </c>
      <c r="G1824" t="str">
        <f>"2025-02-16 14:16:19.875"</f>
        <v>2025-02-16 14:16:19.875</v>
      </c>
      <c r="H1824" t="s">
        <v>22</v>
      </c>
    </row>
    <row r="1825" spans="1:10" x14ac:dyDescent="0.25">
      <c r="A1825" s="1">
        <v>870</v>
      </c>
      <c r="B1825" t="s">
        <v>25</v>
      </c>
      <c r="C1825">
        <v>782</v>
      </c>
      <c r="D1825">
        <v>7</v>
      </c>
      <c r="E1825" t="s">
        <v>72</v>
      </c>
      <c r="F1825" t="s">
        <v>73</v>
      </c>
      <c r="G1825" t="str">
        <f>"2025-02-16 14:16:19.874"</f>
        <v>2025-02-16 14:16:19.874</v>
      </c>
      <c r="H1825" t="s">
        <v>22</v>
      </c>
      <c r="I1825">
        <v>0</v>
      </c>
      <c r="J1825" t="s">
        <v>63</v>
      </c>
    </row>
    <row r="1826" spans="1:10" x14ac:dyDescent="0.25">
      <c r="A1826" s="1">
        <v>871</v>
      </c>
      <c r="B1826" t="s">
        <v>19</v>
      </c>
      <c r="C1826">
        <v>4</v>
      </c>
      <c r="D1826">
        <v>1</v>
      </c>
      <c r="E1826" t="s">
        <v>81</v>
      </c>
      <c r="F1826" t="s">
        <v>82</v>
      </c>
      <c r="G1826" t="str">
        <f>"2025-02-16 14:16:12.753"</f>
        <v>2025-02-16 14:16:12.753</v>
      </c>
      <c r="H1826" t="s">
        <v>83</v>
      </c>
    </row>
    <row r="1827" spans="1:10" x14ac:dyDescent="0.25">
      <c r="A1827" s="1">
        <v>872</v>
      </c>
      <c r="B1827" t="s">
        <v>25</v>
      </c>
      <c r="C1827">
        <v>700</v>
      </c>
      <c r="D1827">
        <v>0</v>
      </c>
      <c r="E1827" t="s">
        <v>26</v>
      </c>
      <c r="F1827" t="s">
        <v>26</v>
      </c>
      <c r="G1827" t="str">
        <f>"2025-02-16 14:16:05.005"</f>
        <v>2025-02-16 14:16:05.005</v>
      </c>
      <c r="H1827" t="s">
        <v>22</v>
      </c>
    </row>
    <row r="1828" spans="1:10" x14ac:dyDescent="0.25">
      <c r="A1828" s="1">
        <v>873</v>
      </c>
      <c r="B1828" t="s">
        <v>37</v>
      </c>
      <c r="C1828">
        <v>630</v>
      </c>
      <c r="D1828">
        <v>5</v>
      </c>
      <c r="E1828" t="s">
        <v>32</v>
      </c>
      <c r="F1828" t="s">
        <v>33</v>
      </c>
      <c r="G1828" t="str">
        <f>"2025-02-16 12:01:51.750"</f>
        <v>2025-02-16 12:01:51.750</v>
      </c>
      <c r="H1828" t="s">
        <v>34</v>
      </c>
      <c r="I1828">
        <v>0</v>
      </c>
      <c r="J1828" t="s">
        <v>24</v>
      </c>
    </row>
    <row r="1829" spans="1:10" x14ac:dyDescent="0.25">
      <c r="A1829" s="1">
        <v>874</v>
      </c>
      <c r="B1829" t="s">
        <v>25</v>
      </c>
      <c r="C1829">
        <v>719</v>
      </c>
      <c r="D1829">
        <v>1</v>
      </c>
      <c r="E1829" t="s">
        <v>66</v>
      </c>
      <c r="F1829" t="s">
        <v>105</v>
      </c>
      <c r="G1829" t="str">
        <f>"2025-02-16 11:59:00.324"</f>
        <v>2025-02-16 11:59:00.324</v>
      </c>
      <c r="H1829" t="s">
        <v>22</v>
      </c>
      <c r="I1829">
        <v>0</v>
      </c>
      <c r="J1829" t="s">
        <v>24</v>
      </c>
    </row>
    <row r="1830" spans="1:10" x14ac:dyDescent="0.25">
      <c r="A1830" s="1">
        <v>875</v>
      </c>
      <c r="B1830" t="s">
        <v>19</v>
      </c>
      <c r="C1830">
        <v>650</v>
      </c>
      <c r="D1830">
        <v>4</v>
      </c>
      <c r="E1830" t="s">
        <v>106</v>
      </c>
      <c r="F1830" t="s">
        <v>107</v>
      </c>
      <c r="G1830" t="str">
        <f>"2025-02-16 08:58:28.051"</f>
        <v>2025-02-16 08:58:28.051</v>
      </c>
      <c r="H1830" t="s">
        <v>22</v>
      </c>
    </row>
    <row r="1831" spans="1:10" x14ac:dyDescent="0.25">
      <c r="A1831" s="1">
        <v>876</v>
      </c>
      <c r="B1831" t="s">
        <v>19</v>
      </c>
      <c r="C1831">
        <v>98</v>
      </c>
      <c r="D1831">
        <v>1</v>
      </c>
      <c r="E1831" t="s">
        <v>46</v>
      </c>
      <c r="F1831" t="s">
        <v>47</v>
      </c>
      <c r="G1831" t="str">
        <f>"2025-02-16 08:57:16.542"</f>
        <v>2025-02-16 08:57:16.542</v>
      </c>
      <c r="H1831" t="s">
        <v>22</v>
      </c>
    </row>
    <row r="1832" spans="1:10" x14ac:dyDescent="0.25">
      <c r="A1832" s="1">
        <v>877</v>
      </c>
      <c r="B1832" t="s">
        <v>23</v>
      </c>
      <c r="C1832">
        <v>98</v>
      </c>
      <c r="D1832">
        <v>1</v>
      </c>
      <c r="E1832" t="s">
        <v>46</v>
      </c>
      <c r="F1832" t="s">
        <v>47</v>
      </c>
      <c r="G1832" t="str">
        <f>"2025-02-16 08:57:15.543"</f>
        <v>2025-02-16 08:57:15.543</v>
      </c>
      <c r="H1832" t="s">
        <v>22</v>
      </c>
      <c r="I1832">
        <v>0</v>
      </c>
      <c r="J1832" t="s">
        <v>24</v>
      </c>
    </row>
    <row r="1833" spans="1:10" x14ac:dyDescent="0.25">
      <c r="A1833" s="1">
        <v>878</v>
      </c>
      <c r="B1833" t="s">
        <v>25</v>
      </c>
      <c r="C1833">
        <v>700</v>
      </c>
      <c r="D1833">
        <v>0</v>
      </c>
      <c r="E1833" t="s">
        <v>26</v>
      </c>
      <c r="F1833" t="s">
        <v>26</v>
      </c>
      <c r="G1833" t="str">
        <f>"2025-02-16 08:56:46.012"</f>
        <v>2025-02-16 08:56:46.012</v>
      </c>
      <c r="H1833" t="s">
        <v>22</v>
      </c>
    </row>
    <row r="1834" spans="1:10" x14ac:dyDescent="0.25">
      <c r="A1834" s="1">
        <v>879</v>
      </c>
      <c r="B1834" t="s">
        <v>37</v>
      </c>
      <c r="C1834">
        <v>641</v>
      </c>
      <c r="D1834">
        <v>1</v>
      </c>
      <c r="E1834" t="s">
        <v>108</v>
      </c>
      <c r="F1834" t="s">
        <v>103</v>
      </c>
      <c r="G1834" t="str">
        <f>"2025-02-16 08:53:47.090"</f>
        <v>2025-02-16 08:53:47.090</v>
      </c>
      <c r="H1834" t="s">
        <v>22</v>
      </c>
      <c r="I1834">
        <v>0</v>
      </c>
      <c r="J1834" t="s">
        <v>84</v>
      </c>
    </row>
    <row r="1835" spans="1:10" x14ac:dyDescent="0.25">
      <c r="A1835" s="1">
        <v>880</v>
      </c>
      <c r="B1835" t="s">
        <v>37</v>
      </c>
      <c r="C1835">
        <v>640</v>
      </c>
      <c r="D1835">
        <v>1</v>
      </c>
      <c r="E1835" t="s">
        <v>109</v>
      </c>
      <c r="F1835" t="s">
        <v>104</v>
      </c>
      <c r="G1835" t="str">
        <f>"2025-02-16 08:53:47.082"</f>
        <v>2025-02-16 08:53:47.082</v>
      </c>
      <c r="H1835" t="s">
        <v>65</v>
      </c>
      <c r="I1835">
        <v>0</v>
      </c>
      <c r="J1835" t="s">
        <v>84</v>
      </c>
    </row>
    <row r="1836" spans="1:10" x14ac:dyDescent="0.25">
      <c r="A1836" s="1">
        <v>881</v>
      </c>
      <c r="B1836" t="s">
        <v>25</v>
      </c>
      <c r="C1836">
        <v>700</v>
      </c>
      <c r="D1836">
        <v>0</v>
      </c>
      <c r="E1836" t="s">
        <v>26</v>
      </c>
      <c r="F1836" t="s">
        <v>26</v>
      </c>
      <c r="G1836" t="str">
        <f>"2025-02-16 08:53:36.943"</f>
        <v>2025-02-16 08:53:36.943</v>
      </c>
      <c r="H1836" t="s">
        <v>22</v>
      </c>
    </row>
    <row r="1837" spans="1:10" x14ac:dyDescent="0.25">
      <c r="A1837" s="1">
        <v>882</v>
      </c>
      <c r="B1837" t="s">
        <v>19</v>
      </c>
      <c r="C1837">
        <v>590</v>
      </c>
      <c r="D1837">
        <v>8</v>
      </c>
      <c r="E1837" t="s">
        <v>110</v>
      </c>
      <c r="F1837" t="s">
        <v>111</v>
      </c>
      <c r="G1837" t="str">
        <f>"2025-02-16 08:52:54.077"</f>
        <v>2025-02-16 08:52:54.077</v>
      </c>
      <c r="H1837" t="s">
        <v>22</v>
      </c>
    </row>
    <row r="1838" spans="1:10" x14ac:dyDescent="0.25">
      <c r="A1838" s="1">
        <v>883</v>
      </c>
      <c r="B1838" t="s">
        <v>19</v>
      </c>
      <c r="C1838">
        <v>590</v>
      </c>
      <c r="D1838">
        <v>7</v>
      </c>
      <c r="E1838" t="s">
        <v>110</v>
      </c>
      <c r="F1838" t="s">
        <v>112</v>
      </c>
      <c r="G1838" t="str">
        <f>"2025-02-16 08:52:40.877"</f>
        <v>2025-02-16 08:52:40.877</v>
      </c>
      <c r="H1838" t="s">
        <v>22</v>
      </c>
    </row>
    <row r="1839" spans="1:10" x14ac:dyDescent="0.25">
      <c r="A1839" s="1">
        <v>884</v>
      </c>
      <c r="B1839" t="s">
        <v>37</v>
      </c>
      <c r="C1839">
        <v>641</v>
      </c>
      <c r="D1839">
        <v>1</v>
      </c>
      <c r="E1839" t="s">
        <v>108</v>
      </c>
      <c r="F1839" t="s">
        <v>103</v>
      </c>
      <c r="G1839" t="str">
        <f>"2025-02-16 08:52:37.083"</f>
        <v>2025-02-16 08:52:37.083</v>
      </c>
      <c r="H1839" t="s">
        <v>22</v>
      </c>
      <c r="I1839">
        <v>0</v>
      </c>
      <c r="J1839" t="s">
        <v>84</v>
      </c>
    </row>
    <row r="1840" spans="1:10" x14ac:dyDescent="0.25">
      <c r="A1840" s="1">
        <v>885</v>
      </c>
      <c r="B1840" t="s">
        <v>37</v>
      </c>
      <c r="C1840">
        <v>640</v>
      </c>
      <c r="D1840">
        <v>1</v>
      </c>
      <c r="E1840" t="s">
        <v>109</v>
      </c>
      <c r="F1840" t="s">
        <v>104</v>
      </c>
      <c r="G1840" t="str">
        <f>"2025-02-16 08:52:37.075"</f>
        <v>2025-02-16 08:52:37.075</v>
      </c>
      <c r="H1840" t="s">
        <v>65</v>
      </c>
      <c r="I1840">
        <v>0</v>
      </c>
      <c r="J1840" t="s">
        <v>84</v>
      </c>
    </row>
    <row r="1841" spans="1:10" x14ac:dyDescent="0.25">
      <c r="A1841" s="1">
        <v>886</v>
      </c>
      <c r="B1841" t="s">
        <v>25</v>
      </c>
      <c r="C1841">
        <v>700</v>
      </c>
      <c r="D1841">
        <v>0</v>
      </c>
      <c r="E1841" t="s">
        <v>26</v>
      </c>
      <c r="F1841" t="s">
        <v>26</v>
      </c>
      <c r="G1841" t="str">
        <f>"2025-02-16 08:52:26.937"</f>
        <v>2025-02-16 08:52:26.937</v>
      </c>
      <c r="H1841" t="s">
        <v>22</v>
      </c>
    </row>
    <row r="1842" spans="1:10" x14ac:dyDescent="0.25">
      <c r="A1842" s="1">
        <v>887</v>
      </c>
      <c r="B1842" t="s">
        <v>37</v>
      </c>
      <c r="C1842">
        <v>641</v>
      </c>
      <c r="D1842">
        <v>1</v>
      </c>
      <c r="E1842" t="s">
        <v>108</v>
      </c>
      <c r="F1842" t="s">
        <v>103</v>
      </c>
      <c r="G1842" t="str">
        <f>"2025-02-16 08:51:45.128"</f>
        <v>2025-02-16 08:51:45.128</v>
      </c>
      <c r="H1842" t="s">
        <v>22</v>
      </c>
      <c r="I1842">
        <v>0</v>
      </c>
      <c r="J1842" t="s">
        <v>84</v>
      </c>
    </row>
    <row r="1843" spans="1:10" x14ac:dyDescent="0.25">
      <c r="A1843" s="1">
        <v>888</v>
      </c>
      <c r="B1843" t="s">
        <v>37</v>
      </c>
      <c r="C1843">
        <v>640</v>
      </c>
      <c r="D1843">
        <v>1</v>
      </c>
      <c r="E1843" t="s">
        <v>109</v>
      </c>
      <c r="F1843" t="s">
        <v>104</v>
      </c>
      <c r="G1843" t="str">
        <f>"2025-02-16 08:51:45.121"</f>
        <v>2025-02-16 08:51:45.121</v>
      </c>
      <c r="H1843" t="s">
        <v>65</v>
      </c>
      <c r="I1843">
        <v>0</v>
      </c>
      <c r="J1843" t="s">
        <v>84</v>
      </c>
    </row>
    <row r="1844" spans="1:10" x14ac:dyDescent="0.25">
      <c r="A1844" s="1">
        <v>889</v>
      </c>
      <c r="B1844" t="s">
        <v>25</v>
      </c>
      <c r="C1844">
        <v>700</v>
      </c>
      <c r="D1844">
        <v>0</v>
      </c>
      <c r="E1844" t="s">
        <v>26</v>
      </c>
      <c r="F1844" t="s">
        <v>26</v>
      </c>
      <c r="G1844" t="str">
        <f>"2025-02-16 08:51:34.943"</f>
        <v>2025-02-16 08:51:34.943</v>
      </c>
      <c r="H1844" t="s">
        <v>22</v>
      </c>
    </row>
    <row r="1845" spans="1:10" x14ac:dyDescent="0.25">
      <c r="A1845" s="1">
        <v>892</v>
      </c>
      <c r="B1845" t="s">
        <v>25</v>
      </c>
      <c r="C1845">
        <v>753</v>
      </c>
      <c r="D1845">
        <v>1</v>
      </c>
      <c r="E1845" t="s">
        <v>113</v>
      </c>
      <c r="F1845" t="s">
        <v>114</v>
      </c>
      <c r="G1845" t="str">
        <f>"2025-02-16 08:49:35.404"</f>
        <v>2025-02-16 08:49:35.404</v>
      </c>
      <c r="H1845" t="s">
        <v>22</v>
      </c>
      <c r="I1845">
        <v>0</v>
      </c>
      <c r="J1845" t="s">
        <v>24</v>
      </c>
    </row>
    <row r="1846" spans="1:10" x14ac:dyDescent="0.25">
      <c r="A1846" s="1">
        <v>893</v>
      </c>
      <c r="B1846" t="s">
        <v>23</v>
      </c>
      <c r="C1846">
        <v>590</v>
      </c>
      <c r="D1846">
        <v>8</v>
      </c>
      <c r="E1846" t="s">
        <v>110</v>
      </c>
      <c r="F1846" t="s">
        <v>111</v>
      </c>
      <c r="G1846" t="str">
        <f>"2025-02-16 08:49:33.105"</f>
        <v>2025-02-16 08:49:33.105</v>
      </c>
      <c r="H1846" t="s">
        <v>22</v>
      </c>
      <c r="I1846">
        <v>0</v>
      </c>
      <c r="J1846" t="s">
        <v>24</v>
      </c>
    </row>
    <row r="1847" spans="1:10" x14ac:dyDescent="0.25">
      <c r="A1847" s="1">
        <v>894</v>
      </c>
      <c r="B1847" t="s">
        <v>23</v>
      </c>
      <c r="C1847">
        <v>590</v>
      </c>
      <c r="D1847">
        <v>7</v>
      </c>
      <c r="E1847" t="s">
        <v>110</v>
      </c>
      <c r="F1847" t="s">
        <v>112</v>
      </c>
      <c r="G1847" t="str">
        <f>"2025-02-16 08:49:33.104"</f>
        <v>2025-02-16 08:49:33.104</v>
      </c>
      <c r="H1847" t="s">
        <v>22</v>
      </c>
      <c r="I1847">
        <v>0</v>
      </c>
      <c r="J1847" t="s">
        <v>24</v>
      </c>
    </row>
    <row r="1848" spans="1:10" x14ac:dyDescent="0.25">
      <c r="A1848" s="1">
        <v>895</v>
      </c>
      <c r="B1848" t="s">
        <v>37</v>
      </c>
      <c r="C1848">
        <v>641</v>
      </c>
      <c r="D1848">
        <v>1</v>
      </c>
      <c r="E1848" t="s">
        <v>108</v>
      </c>
      <c r="F1848" t="s">
        <v>103</v>
      </c>
      <c r="G1848" t="str">
        <f>"2025-02-16 08:49:29.702"</f>
        <v>2025-02-16 08:49:29.702</v>
      </c>
      <c r="H1848" t="s">
        <v>22</v>
      </c>
      <c r="I1848">
        <v>0</v>
      </c>
      <c r="J1848" t="s">
        <v>24</v>
      </c>
    </row>
    <row r="1849" spans="1:10" x14ac:dyDescent="0.25">
      <c r="A1849" s="1">
        <v>896</v>
      </c>
      <c r="B1849" t="s">
        <v>37</v>
      </c>
      <c r="C1849">
        <v>640</v>
      </c>
      <c r="D1849">
        <v>1</v>
      </c>
      <c r="E1849" t="s">
        <v>109</v>
      </c>
      <c r="F1849" t="s">
        <v>104</v>
      </c>
      <c r="G1849" t="str">
        <f>"2025-02-16 08:49:29.694"</f>
        <v>2025-02-16 08:49:29.694</v>
      </c>
      <c r="H1849" t="s">
        <v>65</v>
      </c>
      <c r="I1849">
        <v>0</v>
      </c>
      <c r="J1849" t="s">
        <v>24</v>
      </c>
    </row>
    <row r="1850" spans="1:10" x14ac:dyDescent="0.25">
      <c r="A1850" s="1">
        <v>897</v>
      </c>
      <c r="B1850" t="s">
        <v>23</v>
      </c>
      <c r="C1850">
        <v>4</v>
      </c>
      <c r="D1850">
        <v>1</v>
      </c>
      <c r="E1850" t="s">
        <v>81</v>
      </c>
      <c r="F1850" t="s">
        <v>82</v>
      </c>
      <c r="G1850" t="str">
        <f>"2025-02-16 08:49:24.393"</f>
        <v>2025-02-16 08:49:24.393</v>
      </c>
      <c r="H1850" t="s">
        <v>83</v>
      </c>
      <c r="I1850">
        <v>0</v>
      </c>
      <c r="J1850" t="s">
        <v>84</v>
      </c>
    </row>
    <row r="1851" spans="1:10" x14ac:dyDescent="0.25">
      <c r="A1851" s="1">
        <v>898</v>
      </c>
      <c r="B1851" t="s">
        <v>23</v>
      </c>
      <c r="C1851">
        <v>12</v>
      </c>
      <c r="D1851">
        <v>1</v>
      </c>
      <c r="E1851" t="s">
        <v>102</v>
      </c>
      <c r="F1851" t="s">
        <v>104</v>
      </c>
      <c r="G1851" t="str">
        <f>"2025-02-16 08:49:23.554"</f>
        <v>2025-02-16 08:49:23.554</v>
      </c>
      <c r="H1851" t="s">
        <v>22</v>
      </c>
      <c r="I1851">
        <v>0</v>
      </c>
      <c r="J1851" t="s">
        <v>84</v>
      </c>
    </row>
    <row r="1852" spans="1:10" x14ac:dyDescent="0.25">
      <c r="A1852" s="1">
        <v>899</v>
      </c>
      <c r="B1852" t="s">
        <v>23</v>
      </c>
      <c r="C1852">
        <v>12</v>
      </c>
      <c r="D1852">
        <v>2</v>
      </c>
      <c r="E1852" t="s">
        <v>102</v>
      </c>
      <c r="F1852" t="s">
        <v>103</v>
      </c>
      <c r="G1852" t="str">
        <f>"2025-02-16 08:49:23.455"</f>
        <v>2025-02-16 08:49:23.455</v>
      </c>
      <c r="H1852" t="s">
        <v>22</v>
      </c>
      <c r="I1852">
        <v>0</v>
      </c>
      <c r="J1852" t="s">
        <v>84</v>
      </c>
    </row>
    <row r="1853" spans="1:10" x14ac:dyDescent="0.25">
      <c r="A1853" s="1">
        <v>900</v>
      </c>
      <c r="B1853" t="s">
        <v>23</v>
      </c>
      <c r="C1853">
        <v>650</v>
      </c>
      <c r="D1853">
        <v>4</v>
      </c>
      <c r="E1853" t="s">
        <v>106</v>
      </c>
      <c r="F1853" t="s">
        <v>107</v>
      </c>
      <c r="G1853" t="str">
        <f>"2025-02-16 08:49:22.156"</f>
        <v>2025-02-16 08:49:22.156</v>
      </c>
      <c r="H1853" t="s">
        <v>22</v>
      </c>
      <c r="I1853">
        <v>0</v>
      </c>
      <c r="J1853" t="s">
        <v>27</v>
      </c>
    </row>
    <row r="1854" spans="1:10" x14ac:dyDescent="0.25">
      <c r="A1854" s="1">
        <v>901</v>
      </c>
      <c r="B1854" t="s">
        <v>25</v>
      </c>
      <c r="C1854">
        <v>700</v>
      </c>
      <c r="D1854">
        <v>0</v>
      </c>
      <c r="E1854" t="s">
        <v>26</v>
      </c>
      <c r="F1854" t="s">
        <v>26</v>
      </c>
      <c r="G1854" t="str">
        <f>"2025-02-16 08:49:19.514"</f>
        <v>2025-02-16 08:49:19.514</v>
      </c>
      <c r="H1854" t="s">
        <v>22</v>
      </c>
    </row>
  </sheetData>
  <autoFilter ref="A9:J1854" xr:uid="{7F893A0D-C024-4409-92E6-63C6A2FFDC6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E34A89-89D2-40BC-8A30-68A9B09FC3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events_ru_75_20260515-100604 95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2026-05-15T05:13:27Z</dcterms:modified>
</cp:coreProperties>
</file>
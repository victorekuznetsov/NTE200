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CA94596A-2CB8-4B21-B51F-894CD4D5CE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76_20260516-051029 61" sheetId="2" r:id="rId1"/>
    <sheet name="Лист1" sheetId="1" r:id="rId2"/>
  </sheets>
  <definedNames>
    <definedName name="_xlnm._FilterDatabase" localSheetId="0" hidden="1">'events_ru_76_20260516-051029 61'!$A$9:$J$2098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7FD832-B1C3-4543-861E-6D9F43C7D5E5}" keepAlive="1" name="Запрос — events_ru_76_20260516-051029 612" description="Соединение с запросом &quot;events_ru_76_20260516-051029 612&quot; в книге." type="5" refreshedVersion="0" background="1">
    <dbPr connection="Provider=Microsoft.Mashup.OleDb.1;Data Source=$Workbook$;Location=&quot;events_ru_76_20260516-051029 612&quot;;Extended Properties=&quot;&quot;" command="SELECT * FROM [events_ru_76_20260516-051029 612]"/>
  </connection>
</connections>
</file>

<file path=xl/sharedStrings.xml><?xml version="1.0" encoding="utf-8"?>
<sst xmlns="http://schemas.openxmlformats.org/spreadsheetml/2006/main" count="9637" uniqueCount="88">
  <si>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</si>
  <si>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</si>
  <si>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</si>
  <si>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</si>
  <si>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</si>
  <si>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</si>
  <si>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</si>
  <si>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</si>
  <si>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</si>
  <si>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</si>
  <si>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</si>
  <si>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</si>
  <si>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</si>
  <si>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</si>
  <si>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</si>
  <si>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</si>
  <si>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</si>
  <si>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</si>
  <si>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</si>
  <si>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</si>
  <si>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</si>
  <si>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</si>
  <si>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Null</t>
  </si>
  <si>
    <t>SRst</t>
  </si>
  <si>
    <t>Температура окружающего воздуха вне пределов</t>
  </si>
  <si>
    <t>Высокий</t>
  </si>
  <si>
    <t>Log+</t>
  </si>
  <si>
    <t>Test</t>
  </si>
  <si>
    <t>Рабочий тормоз на ходу</t>
  </si>
  <si>
    <t>Рабочие тормоза использованы на ходу</t>
  </si>
  <si>
    <t>Ready</t>
  </si>
  <si>
    <t>Система в безопасном режиме</t>
  </si>
  <si>
    <t>Введен безопасный режим файловой системы - Низкий заряд батареи</t>
  </si>
  <si>
    <t>Retard</t>
  </si>
  <si>
    <t>WRst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</si>
  <si>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</si>
  <si>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</si>
  <si>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</si>
  <si>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 xml:space="preserve">Log </t>
  </si>
  <si>
    <t>Propel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</si>
  <si>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</si>
  <si>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</si>
  <si>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</si>
  <si>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Вход в безопасный режим файловой системы - Запуск двигателя</t>
  </si>
  <si>
    <t>Самосвал перегружен - NR</t>
  </si>
  <si>
    <t>Не доступно</t>
  </si>
  <si>
    <t>Получено предупреждение ДВС</t>
  </si>
  <si>
    <t>Запрет тяги</t>
  </si>
  <si>
    <t>Вход в безопасный режим файловой системы - Ключ или CPS</t>
  </si>
  <si>
    <t>Команда сохранения данных PTU</t>
  </si>
  <si>
    <t>Инициированное водителем сохранение данных</t>
  </si>
  <si>
    <t>Превышении скорости</t>
  </si>
  <si>
    <t>Управление скоростью - превышение</t>
  </si>
  <si>
    <t>КЗ на землю</t>
  </si>
  <si>
    <t>Ток утечки превысил пороговое значение</t>
  </si>
  <si>
    <t>Нет питания</t>
  </si>
  <si>
    <t>Reset All Faults</t>
  </si>
  <si>
    <t>Zero</t>
  </si>
  <si>
    <t>Превышение тока обмотки возбуждения генератора</t>
  </si>
  <si>
    <t>Мгновенно</t>
  </si>
  <si>
    <t>TMC2 Фаза В+/фаза В- ИНВ</t>
  </si>
  <si>
    <t>Ошибка насыщения IGBT фаза В-</t>
  </si>
  <si>
    <t>Инв2 Выкл</t>
  </si>
  <si>
    <t>Установка часов реального времени</t>
  </si>
  <si>
    <t>через WebPTU</t>
  </si>
  <si>
    <t>Кластер дельты крутящего момента</t>
  </si>
  <si>
    <t>Множественные большие колебания крутящего момента</t>
  </si>
  <si>
    <t>Самопроизвольный останов ДВС</t>
  </si>
  <si>
    <t>Unrequested Engine Speed Drop - While Stopped</t>
  </si>
  <si>
    <t>ARst</t>
  </si>
  <si>
    <t>TMC1 Фаза В- ИНВ</t>
  </si>
  <si>
    <t>Модули фаз В+ и В- вкл.</t>
  </si>
  <si>
    <t>Инв1 Выкл</t>
  </si>
  <si>
    <t>Rest</t>
  </si>
  <si>
    <t>Отказ педали ретардера</t>
  </si>
  <si>
    <t>Слишком низкое напряжение</t>
  </si>
  <si>
    <t>Слишком высокое напряжение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</si>
  <si>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</si>
  <si>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</si>
  <si>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</si>
  <si>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через панель DID</t>
  </si>
  <si>
    <t>Нужна калибровка педали</t>
  </si>
  <si>
    <t>Нужна калибровка запуска</t>
  </si>
  <si>
    <t>Педаль акслератора вне пределов - низкий уровень</t>
  </si>
  <si>
    <t>Педаль акслератора вне пределов - высокий уровень</t>
  </si>
  <si>
    <t>--Обновлена версия ПО--</t>
  </si>
  <si>
    <t>Приложение</t>
  </si>
  <si>
    <t>Su-Sd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</si>
</sst>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565DA-C59D-4DBF-8233-9F2C09F29997}">
  <dimension ref="A1:J2098"/>
  <sheetViews>
    <sheetView tabSelected="1" workbookViewId="0">
      <selection activeCell="E50" sqref="E50"/>
    </sheetView>
  </sheetViews>
  <sheetFormatPr defaultRowHeight="15" x14ac:dyDescent="0.25"/>
  <cols>
    <col min="1" max="1" width="16" bestFit="1" customWidth="1"/>
    <col min="5" max="5" width="49.28515625" customWidth="1"/>
    <col min="6" max="6" width="67" bestFit="1" customWidth="1"/>
    <col min="7" max="7" width="22" bestFit="1" customWidth="1"/>
    <col min="8" max="8" width="28" bestFit="1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76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"2026-05-16 05:10:29.612"</f>
        <v>2026-05-16 05:10:29.612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"2026-05-16 05:06:31.979"</f>
        <v>2026-05-16 05:06:31.979</v>
      </c>
      <c r="H10" t="s">
        <v>21</v>
      </c>
      <c r="I10">
        <v>0</v>
      </c>
      <c r="J10" t="s">
        <v>22</v>
      </c>
    </row>
    <row r="11" spans="1:10" x14ac:dyDescent="0.25">
      <c r="A11" s="1"/>
      <c r="B11" t="s">
        <v>19</v>
      </c>
      <c r="C11">
        <v>700</v>
      </c>
      <c r="D11">
        <v>0</v>
      </c>
      <c r="E11" t="s">
        <v>20</v>
      </c>
      <c r="F11" t="s">
        <v>20</v>
      </c>
      <c r="G11" t="str">
        <f>"2026-05-15 23:03:57.976"</f>
        <v>2026-05-15 23:03:57.976</v>
      </c>
      <c r="H11" t="s">
        <v>21</v>
      </c>
      <c r="I11">
        <v>0</v>
      </c>
      <c r="J11" t="s">
        <v>22</v>
      </c>
    </row>
    <row r="12" spans="1:10" x14ac:dyDescent="0.25">
      <c r="A12" s="1"/>
      <c r="B12" t="s">
        <v>23</v>
      </c>
      <c r="C12">
        <v>631</v>
      </c>
      <c r="D12">
        <v>2</v>
      </c>
      <c r="E12" t="s">
        <v>24</v>
      </c>
      <c r="F12" t="s">
        <v>25</v>
      </c>
      <c r="G12" t="str">
        <f>"2026-05-15 20:43:48.386"</f>
        <v>2026-05-15 20:43:48.386</v>
      </c>
      <c r="H12" t="s">
        <v>21</v>
      </c>
    </row>
    <row r="13" spans="1:10" x14ac:dyDescent="0.25">
      <c r="A13" s="1"/>
      <c r="B13" t="s">
        <v>26</v>
      </c>
      <c r="C13">
        <v>631</v>
      </c>
      <c r="D13">
        <v>2</v>
      </c>
      <c r="E13" t="s">
        <v>24</v>
      </c>
      <c r="F13" t="s">
        <v>25</v>
      </c>
      <c r="G13" t="str">
        <f>"2026-05-15 20:40:27.339"</f>
        <v>2026-05-15 20:40:27.339</v>
      </c>
      <c r="H13" t="s">
        <v>21</v>
      </c>
      <c r="I13">
        <v>0</v>
      </c>
      <c r="J13" t="s">
        <v>27</v>
      </c>
    </row>
    <row r="14" spans="1:10" x14ac:dyDescent="0.25">
      <c r="A14" s="1"/>
      <c r="B14" t="s">
        <v>19</v>
      </c>
      <c r="C14">
        <v>700</v>
      </c>
      <c r="D14">
        <v>0</v>
      </c>
      <c r="E14" t="s">
        <v>20</v>
      </c>
      <c r="F14" t="s">
        <v>20</v>
      </c>
      <c r="G14" t="str">
        <f>"2026-05-15 20:40:14.016"</f>
        <v>2026-05-15 20:40:14.016</v>
      </c>
      <c r="H14" t="s">
        <v>21</v>
      </c>
    </row>
    <row r="15" spans="1:10" s="3" customFormat="1" x14ac:dyDescent="0.25">
      <c r="A15" s="2"/>
      <c r="B15" s="3" t="s">
        <v>23</v>
      </c>
      <c r="C15" s="3">
        <v>647</v>
      </c>
      <c r="D15" s="3">
        <v>1</v>
      </c>
      <c r="E15" s="3" t="s">
        <v>28</v>
      </c>
      <c r="F15" s="3" t="s">
        <v>29</v>
      </c>
      <c r="G15" s="3" t="str">
        <f>"2026-05-15 02:57:31.790"</f>
        <v>2026-05-15 02:57:31.790</v>
      </c>
      <c r="H15" s="3" t="s">
        <v>21</v>
      </c>
    </row>
    <row r="16" spans="1:10" s="3" customFormat="1" x14ac:dyDescent="0.25">
      <c r="A16" s="2"/>
      <c r="B16" s="3" t="s">
        <v>26</v>
      </c>
      <c r="C16" s="3">
        <v>647</v>
      </c>
      <c r="D16" s="3">
        <v>1</v>
      </c>
      <c r="E16" s="3" t="s">
        <v>28</v>
      </c>
      <c r="F16" s="3" t="s">
        <v>29</v>
      </c>
      <c r="G16" s="3" t="str">
        <f>"2026-05-15 02:57:30.691"</f>
        <v>2026-05-15 02:57:30.691</v>
      </c>
      <c r="H16" s="3" t="s">
        <v>21</v>
      </c>
      <c r="I16" s="3">
        <v>17.850000000000001</v>
      </c>
      <c r="J16" s="3" t="s">
        <v>30</v>
      </c>
    </row>
    <row r="17" spans="1:10" x14ac:dyDescent="0.25">
      <c r="A17" s="1"/>
      <c r="B17" t="s">
        <v>19</v>
      </c>
      <c r="C17">
        <v>700</v>
      </c>
      <c r="D17">
        <v>0</v>
      </c>
      <c r="E17" t="s">
        <v>20</v>
      </c>
      <c r="F17" t="s">
        <v>20</v>
      </c>
      <c r="G17" t="str">
        <f>"2026-05-15 00:49:39.977"</f>
        <v>2026-05-15 00:49:39.977</v>
      </c>
      <c r="H17" t="s">
        <v>21</v>
      </c>
      <c r="I17">
        <v>0</v>
      </c>
      <c r="J17" t="s">
        <v>22</v>
      </c>
    </row>
    <row r="18" spans="1:10" x14ac:dyDescent="0.25">
      <c r="A18" s="1"/>
      <c r="B18" t="s">
        <v>19</v>
      </c>
      <c r="C18">
        <v>700</v>
      </c>
      <c r="D18">
        <v>0</v>
      </c>
      <c r="E18" t="s">
        <v>20</v>
      </c>
      <c r="F18" t="s">
        <v>20</v>
      </c>
      <c r="G18" t="str">
        <f>"2026-05-15 00:23:19.978"</f>
        <v>2026-05-15 00:23:19.978</v>
      </c>
      <c r="H18" t="s">
        <v>21</v>
      </c>
      <c r="I18">
        <v>0</v>
      </c>
      <c r="J18" t="s">
        <v>22</v>
      </c>
    </row>
    <row r="19" spans="1:10" x14ac:dyDescent="0.25">
      <c r="A19" s="1"/>
      <c r="B19" t="s">
        <v>19</v>
      </c>
      <c r="C19">
        <v>700</v>
      </c>
      <c r="D19">
        <v>0</v>
      </c>
      <c r="E19" t="s">
        <v>20</v>
      </c>
      <c r="F19" t="s">
        <v>20</v>
      </c>
      <c r="G19" t="str">
        <f>"2026-05-14 22:52:16.964"</f>
        <v>2026-05-14 22:52:16.964</v>
      </c>
      <c r="H19" t="s">
        <v>21</v>
      </c>
    </row>
    <row r="20" spans="1:10" x14ac:dyDescent="0.25">
      <c r="A20" s="1">
        <v>0</v>
      </c>
      <c r="B20" t="s">
        <v>19</v>
      </c>
      <c r="C20">
        <v>706</v>
      </c>
      <c r="D20">
        <v>4</v>
      </c>
      <c r="E20" t="s">
        <v>31</v>
      </c>
      <c r="F20" t="s">
        <v>32</v>
      </c>
      <c r="G20" t="str">
        <f>"2026-05-14 13:02:43.364"</f>
        <v>2026-05-14 13:02:43.364</v>
      </c>
      <c r="H20" t="s">
        <v>21</v>
      </c>
      <c r="I20">
        <v>0</v>
      </c>
      <c r="J20" t="s">
        <v>27</v>
      </c>
    </row>
    <row r="21" spans="1:10" x14ac:dyDescent="0.25">
      <c r="A21" s="1">
        <v>1</v>
      </c>
      <c r="B21" t="s">
        <v>19</v>
      </c>
      <c r="C21">
        <v>700</v>
      </c>
      <c r="D21">
        <v>0</v>
      </c>
      <c r="E21" t="s">
        <v>20</v>
      </c>
      <c r="F21" t="s">
        <v>20</v>
      </c>
      <c r="G21" t="str">
        <f>"2026-05-14 13:00:03.134"</f>
        <v>2026-05-14 13:00:03.134</v>
      </c>
      <c r="H21" t="s">
        <v>21</v>
      </c>
    </row>
    <row r="22" spans="1:10" x14ac:dyDescent="0.25">
      <c r="A22" s="1">
        <v>2</v>
      </c>
      <c r="B22" t="s">
        <v>19</v>
      </c>
      <c r="C22">
        <v>700</v>
      </c>
      <c r="D22">
        <v>0</v>
      </c>
      <c r="E22" t="s">
        <v>20</v>
      </c>
      <c r="F22" t="s">
        <v>20</v>
      </c>
      <c r="G22" t="str">
        <f>"2026-05-13 13:41:06.973"</f>
        <v>2026-05-13 13:41:06.973</v>
      </c>
      <c r="H22" t="s">
        <v>21</v>
      </c>
      <c r="I22">
        <v>0</v>
      </c>
      <c r="J22" t="s">
        <v>22</v>
      </c>
    </row>
    <row r="23" spans="1:10" x14ac:dyDescent="0.25">
      <c r="A23" s="1">
        <v>3</v>
      </c>
      <c r="B23" t="s">
        <v>19</v>
      </c>
      <c r="C23">
        <v>700</v>
      </c>
      <c r="D23">
        <v>0</v>
      </c>
      <c r="E23" t="s">
        <v>20</v>
      </c>
      <c r="F23" t="s">
        <v>20</v>
      </c>
      <c r="G23" t="str">
        <f>"2026-05-13 13:00:47.990"</f>
        <v>2026-05-13 13:00:47.990</v>
      </c>
      <c r="H23" t="s">
        <v>21</v>
      </c>
    </row>
    <row r="24" spans="1:10" s="3" customFormat="1" x14ac:dyDescent="0.25">
      <c r="A24" s="2">
        <v>4</v>
      </c>
      <c r="B24" s="3" t="s">
        <v>23</v>
      </c>
      <c r="C24" s="3">
        <v>647</v>
      </c>
      <c r="D24" s="3">
        <v>1</v>
      </c>
      <c r="E24" s="3" t="s">
        <v>28</v>
      </c>
      <c r="F24" s="3" t="s">
        <v>29</v>
      </c>
      <c r="G24" s="3" t="str">
        <f>"2026-05-12 22:23:57.518"</f>
        <v>2026-05-12 22:23:57.518</v>
      </c>
      <c r="H24" s="3" t="s">
        <v>21</v>
      </c>
    </row>
    <row r="25" spans="1:10" s="3" customFormat="1" x14ac:dyDescent="0.25">
      <c r="A25" s="2">
        <v>5</v>
      </c>
      <c r="B25" s="3" t="s">
        <v>26</v>
      </c>
      <c r="C25" s="3">
        <v>647</v>
      </c>
      <c r="D25" s="3">
        <v>1</v>
      </c>
      <c r="E25" s="3" t="s">
        <v>28</v>
      </c>
      <c r="F25" s="3" t="s">
        <v>29</v>
      </c>
      <c r="G25" s="3" t="str">
        <f>"2026-05-12 22:23:56.018"</f>
        <v>2026-05-12 22:23:56.018</v>
      </c>
      <c r="H25" s="3" t="s">
        <v>21</v>
      </c>
      <c r="I25" s="3">
        <v>9.23</v>
      </c>
      <c r="J25" s="3" t="s">
        <v>33</v>
      </c>
    </row>
    <row r="26" spans="1:10" x14ac:dyDescent="0.25">
      <c r="A26" s="1">
        <v>6</v>
      </c>
      <c r="B26" t="s">
        <v>19</v>
      </c>
      <c r="C26">
        <v>700</v>
      </c>
      <c r="D26">
        <v>0</v>
      </c>
      <c r="E26" t="s">
        <v>20</v>
      </c>
      <c r="F26" t="s">
        <v>20</v>
      </c>
      <c r="G26" t="str">
        <f>"2026-05-12 20:58:36.188"</f>
        <v>2026-05-12 20:58:36.188</v>
      </c>
      <c r="H26" t="s">
        <v>21</v>
      </c>
    </row>
    <row r="27" spans="1:10" x14ac:dyDescent="0.25">
      <c r="A27" s="1">
        <v>7</v>
      </c>
      <c r="B27" t="s">
        <v>34</v>
      </c>
      <c r="C27">
        <v>33</v>
      </c>
      <c r="D27">
        <v>1</v>
      </c>
      <c r="E27" t="s">
        <v>35</v>
      </c>
      <c r="F27" t="s">
        <v>36</v>
      </c>
      <c r="G27" t="str">
        <f>"2026-05-12 18:08:59.350"</f>
        <v>2026-05-12 18:08:59.350</v>
      </c>
      <c r="H27" t="s">
        <v>37</v>
      </c>
    </row>
    <row r="28" spans="1:10" x14ac:dyDescent="0.25">
      <c r="A28" s="1">
        <v>8</v>
      </c>
      <c r="B28" t="s">
        <v>38</v>
      </c>
      <c r="C28">
        <v>33</v>
      </c>
      <c r="D28">
        <v>1</v>
      </c>
      <c r="E28" t="s">
        <v>35</v>
      </c>
      <c r="F28" t="s">
        <v>36</v>
      </c>
      <c r="G28" t="str">
        <f>"2026-05-12 18:08:40.761"</f>
        <v>2026-05-12 18:08:40.761</v>
      </c>
      <c r="H28" t="s">
        <v>37</v>
      </c>
      <c r="I28">
        <v>7.07</v>
      </c>
      <c r="J28" t="s">
        <v>39</v>
      </c>
    </row>
    <row r="29" spans="1:10" x14ac:dyDescent="0.25">
      <c r="A29" s="1">
        <v>9</v>
      </c>
      <c r="B29" t="s">
        <v>23</v>
      </c>
      <c r="C29">
        <v>630</v>
      </c>
      <c r="D29">
        <v>5</v>
      </c>
      <c r="E29" t="s">
        <v>40</v>
      </c>
      <c r="F29" t="s">
        <v>41</v>
      </c>
      <c r="G29" t="str">
        <f>"2026-05-12 14:47:28.303"</f>
        <v>2026-05-12 14:47:28.303</v>
      </c>
      <c r="H29" t="s">
        <v>42</v>
      </c>
    </row>
    <row r="30" spans="1:10" x14ac:dyDescent="0.25">
      <c r="A30" s="1">
        <v>0</v>
      </c>
      <c r="B30" t="s">
        <v>19</v>
      </c>
      <c r="C30">
        <v>706</v>
      </c>
      <c r="D30">
        <v>4</v>
      </c>
      <c r="E30" t="s">
        <v>31</v>
      </c>
      <c r="F30" t="s">
        <v>32</v>
      </c>
      <c r="G30" t="str">
        <f>"2026-05-12 14:46:58.178"</f>
        <v>2026-05-12 14:46:58.178</v>
      </c>
      <c r="H30" t="s">
        <v>21</v>
      </c>
      <c r="I30">
        <v>0</v>
      </c>
      <c r="J30" t="s">
        <v>27</v>
      </c>
    </row>
    <row r="31" spans="1:10" x14ac:dyDescent="0.25">
      <c r="A31" s="1">
        <v>1</v>
      </c>
      <c r="B31" t="s">
        <v>38</v>
      </c>
      <c r="C31">
        <v>630</v>
      </c>
      <c r="D31">
        <v>5</v>
      </c>
      <c r="E31" t="s">
        <v>40</v>
      </c>
      <c r="F31" t="s">
        <v>41</v>
      </c>
      <c r="G31" t="str">
        <f>"2026-05-12 14:24:49.803"</f>
        <v>2026-05-12 14:24:49.803</v>
      </c>
      <c r="H31" t="s">
        <v>42</v>
      </c>
      <c r="I31">
        <v>0</v>
      </c>
      <c r="J31" t="s">
        <v>27</v>
      </c>
    </row>
    <row r="32" spans="1:10" x14ac:dyDescent="0.25">
      <c r="A32" s="1">
        <v>2</v>
      </c>
      <c r="B32" t="s">
        <v>19</v>
      </c>
      <c r="C32">
        <v>700</v>
      </c>
      <c r="D32">
        <v>0</v>
      </c>
      <c r="E32" t="s">
        <v>20</v>
      </c>
      <c r="F32" t="s">
        <v>20</v>
      </c>
      <c r="G32" t="str">
        <f>"2026-05-12 14:19:47.038"</f>
        <v>2026-05-12 14:19:47.038</v>
      </c>
      <c r="H32" t="s">
        <v>21</v>
      </c>
      <c r="I32">
        <v>0</v>
      </c>
      <c r="J32" t="s">
        <v>22</v>
      </c>
    </row>
    <row r="33" spans="1:10" x14ac:dyDescent="0.25">
      <c r="A33" s="1">
        <v>3</v>
      </c>
      <c r="B33" t="s">
        <v>19</v>
      </c>
      <c r="C33">
        <v>700</v>
      </c>
      <c r="D33">
        <v>0</v>
      </c>
      <c r="E33" t="s">
        <v>20</v>
      </c>
      <c r="F33" t="s">
        <v>20</v>
      </c>
      <c r="G33" t="str">
        <f>"2026-05-12 14:12:17.967"</f>
        <v>2026-05-12 14:12:17.967</v>
      </c>
      <c r="H33" t="s">
        <v>21</v>
      </c>
    </row>
    <row r="34" spans="1:10" x14ac:dyDescent="0.25">
      <c r="A34" s="1">
        <v>4</v>
      </c>
      <c r="B34" t="s">
        <v>19</v>
      </c>
      <c r="C34">
        <v>706</v>
      </c>
      <c r="D34">
        <v>2</v>
      </c>
      <c r="E34" t="s">
        <v>31</v>
      </c>
      <c r="F34" t="s">
        <v>43</v>
      </c>
      <c r="G34" t="str">
        <f>"2026-05-12 14:01:19.181"</f>
        <v>2026-05-12 14:01:19.181</v>
      </c>
      <c r="H34" t="s">
        <v>21</v>
      </c>
      <c r="I34">
        <v>0</v>
      </c>
      <c r="J34" t="s">
        <v>27</v>
      </c>
    </row>
    <row r="35" spans="1:10" x14ac:dyDescent="0.25">
      <c r="A35" s="1">
        <v>5</v>
      </c>
      <c r="B35" t="s">
        <v>19</v>
      </c>
      <c r="C35">
        <v>700</v>
      </c>
      <c r="D35">
        <v>0</v>
      </c>
      <c r="E35" t="s">
        <v>20</v>
      </c>
      <c r="F35" t="s">
        <v>20</v>
      </c>
      <c r="G35" t="str">
        <f>"2026-05-12 14:01:02.061"</f>
        <v>2026-05-12 14:01:02.061</v>
      </c>
      <c r="H35" t="s">
        <v>21</v>
      </c>
    </row>
    <row r="36" spans="1:10" x14ac:dyDescent="0.25">
      <c r="A36" s="1">
        <v>6</v>
      </c>
      <c r="B36" t="s">
        <v>19</v>
      </c>
      <c r="C36">
        <v>700</v>
      </c>
      <c r="D36">
        <v>0</v>
      </c>
      <c r="E36" t="s">
        <v>20</v>
      </c>
      <c r="F36" t="s">
        <v>20</v>
      </c>
      <c r="G36" t="str">
        <f>"2026-05-11 12:07:44.140"</f>
        <v>2026-05-11 12:07:44.140</v>
      </c>
      <c r="H36" t="s">
        <v>21</v>
      </c>
      <c r="I36">
        <v>0</v>
      </c>
      <c r="J36" t="s">
        <v>22</v>
      </c>
    </row>
    <row r="37" spans="1:10" x14ac:dyDescent="0.25">
      <c r="A37" s="1">
        <v>7</v>
      </c>
      <c r="B37" t="s">
        <v>19</v>
      </c>
      <c r="C37">
        <v>700</v>
      </c>
      <c r="D37">
        <v>0</v>
      </c>
      <c r="E37" t="s">
        <v>20</v>
      </c>
      <c r="F37" t="s">
        <v>20</v>
      </c>
      <c r="G37" t="str">
        <f>"2026-05-11 07:58:32.998"</f>
        <v>2026-05-11 07:58:32.998</v>
      </c>
      <c r="H37" t="s">
        <v>21</v>
      </c>
    </row>
    <row r="38" spans="1:10" x14ac:dyDescent="0.25">
      <c r="A38" s="1">
        <v>8</v>
      </c>
      <c r="B38" t="s">
        <v>19</v>
      </c>
      <c r="C38">
        <v>706</v>
      </c>
      <c r="D38">
        <v>2</v>
      </c>
      <c r="E38" t="s">
        <v>31</v>
      </c>
      <c r="F38" t="s">
        <v>43</v>
      </c>
      <c r="G38" t="str">
        <f>"2026-05-10 18:43:06.188"</f>
        <v>2026-05-10 18:43:06.188</v>
      </c>
      <c r="H38" t="s">
        <v>21</v>
      </c>
      <c r="I38">
        <v>0</v>
      </c>
      <c r="J38" t="s">
        <v>27</v>
      </c>
    </row>
    <row r="39" spans="1:10" x14ac:dyDescent="0.25">
      <c r="A39" s="1">
        <v>9</v>
      </c>
      <c r="B39" t="s">
        <v>19</v>
      </c>
      <c r="C39">
        <v>700</v>
      </c>
      <c r="D39">
        <v>0</v>
      </c>
      <c r="E39" t="s">
        <v>20</v>
      </c>
      <c r="F39" t="s">
        <v>20</v>
      </c>
      <c r="G39" t="str">
        <f>"2026-05-10 18:42:51.968"</f>
        <v>2026-05-10 18:42:51.968</v>
      </c>
      <c r="H39" t="s">
        <v>21</v>
      </c>
    </row>
    <row r="40" spans="1:10" x14ac:dyDescent="0.25">
      <c r="A40" s="1">
        <v>1</v>
      </c>
      <c r="B40" t="s">
        <v>23</v>
      </c>
      <c r="C40">
        <v>630</v>
      </c>
      <c r="D40">
        <v>5</v>
      </c>
      <c r="E40" t="s">
        <v>40</v>
      </c>
      <c r="F40" t="s">
        <v>41</v>
      </c>
      <c r="G40" t="str">
        <f>"2026-05-08 13:29:17.420"</f>
        <v>2026-05-08 13:29:17.420</v>
      </c>
      <c r="H40" t="s">
        <v>42</v>
      </c>
    </row>
    <row r="41" spans="1:10" x14ac:dyDescent="0.25">
      <c r="A41" s="1">
        <v>2</v>
      </c>
      <c r="B41" t="s">
        <v>19</v>
      </c>
      <c r="C41">
        <v>706</v>
      </c>
      <c r="D41">
        <v>4</v>
      </c>
      <c r="E41" t="s">
        <v>31</v>
      </c>
      <c r="F41" t="s">
        <v>32</v>
      </c>
      <c r="G41" t="str">
        <f>"2026-05-08 13:28:47.345"</f>
        <v>2026-05-08 13:28:47.345</v>
      </c>
      <c r="H41" t="s">
        <v>21</v>
      </c>
      <c r="I41">
        <v>0</v>
      </c>
      <c r="J41" t="s">
        <v>27</v>
      </c>
    </row>
    <row r="42" spans="1:10" x14ac:dyDescent="0.25">
      <c r="A42" s="1">
        <v>3</v>
      </c>
      <c r="B42" t="s">
        <v>38</v>
      </c>
      <c r="C42">
        <v>630</v>
      </c>
      <c r="D42">
        <v>5</v>
      </c>
      <c r="E42" t="s">
        <v>40</v>
      </c>
      <c r="F42" t="s">
        <v>41</v>
      </c>
      <c r="G42" t="str">
        <f>"2026-05-08 13:26:58.821"</f>
        <v>2026-05-08 13:26:58.821</v>
      </c>
      <c r="H42" t="s">
        <v>42</v>
      </c>
      <c r="I42">
        <v>0</v>
      </c>
      <c r="J42" t="s">
        <v>27</v>
      </c>
    </row>
    <row r="43" spans="1:10" x14ac:dyDescent="0.25">
      <c r="A43" s="1">
        <v>4</v>
      </c>
      <c r="B43" t="s">
        <v>19</v>
      </c>
      <c r="C43">
        <v>700</v>
      </c>
      <c r="D43">
        <v>0</v>
      </c>
      <c r="E43" t="s">
        <v>20</v>
      </c>
      <c r="F43" t="s">
        <v>20</v>
      </c>
      <c r="G43" t="str">
        <f>"2026-05-08 13:21:55.995"</f>
        <v>2026-05-08 13:21:55.995</v>
      </c>
      <c r="H43" t="s">
        <v>21</v>
      </c>
      <c r="I43">
        <v>0</v>
      </c>
      <c r="J43" t="s">
        <v>22</v>
      </c>
    </row>
    <row r="44" spans="1:10" s="3" customFormat="1" x14ac:dyDescent="0.25">
      <c r="A44" s="2">
        <v>5</v>
      </c>
      <c r="B44" s="3" t="s">
        <v>23</v>
      </c>
      <c r="C44" s="3">
        <v>647</v>
      </c>
      <c r="D44" s="3">
        <v>1</v>
      </c>
      <c r="E44" s="3" t="s">
        <v>28</v>
      </c>
      <c r="F44" s="3" t="s">
        <v>29</v>
      </c>
      <c r="G44" s="3" t="str">
        <f>"2026-05-07 00:29:05.719"</f>
        <v>2026-05-07 00:29:05.719</v>
      </c>
      <c r="H44" s="3" t="s">
        <v>21</v>
      </c>
    </row>
    <row r="45" spans="1:10" s="3" customFormat="1" x14ac:dyDescent="0.25">
      <c r="A45" s="2">
        <v>6</v>
      </c>
      <c r="B45" s="3" t="s">
        <v>26</v>
      </c>
      <c r="C45" s="3">
        <v>647</v>
      </c>
      <c r="D45" s="3">
        <v>1</v>
      </c>
      <c r="E45" s="3" t="s">
        <v>28</v>
      </c>
      <c r="F45" s="3" t="s">
        <v>29</v>
      </c>
      <c r="G45" s="3" t="str">
        <f>"2026-05-07 00:28:59.019"</f>
        <v>2026-05-07 00:28:59.019</v>
      </c>
      <c r="H45" s="3" t="s">
        <v>21</v>
      </c>
      <c r="I45" s="3">
        <v>12.57</v>
      </c>
      <c r="J45" s="3" t="s">
        <v>33</v>
      </c>
    </row>
    <row r="46" spans="1:10" s="3" customFormat="1" x14ac:dyDescent="0.25">
      <c r="A46" s="2">
        <v>7</v>
      </c>
      <c r="B46" s="3" t="s">
        <v>23</v>
      </c>
      <c r="C46" s="3">
        <v>647</v>
      </c>
      <c r="D46" s="3">
        <v>1</v>
      </c>
      <c r="E46" s="3" t="s">
        <v>28</v>
      </c>
      <c r="F46" s="3" t="s">
        <v>29</v>
      </c>
      <c r="G46" s="3" t="str">
        <f>"2026-05-06 05:45:18.520"</f>
        <v>2026-05-06 05:45:18.520</v>
      </c>
      <c r="H46" s="3" t="s">
        <v>21</v>
      </c>
    </row>
    <row r="47" spans="1:10" s="3" customFormat="1" x14ac:dyDescent="0.25">
      <c r="A47" s="2">
        <v>8</v>
      </c>
      <c r="B47" s="3" t="s">
        <v>26</v>
      </c>
      <c r="C47" s="3">
        <v>647</v>
      </c>
      <c r="D47" s="3">
        <v>1</v>
      </c>
      <c r="E47" s="3" t="s">
        <v>28</v>
      </c>
      <c r="F47" s="3" t="s">
        <v>29</v>
      </c>
      <c r="G47" s="3" t="str">
        <f>"2026-05-06 05:45:16.319"</f>
        <v>2026-05-06 05:45:16.319</v>
      </c>
      <c r="H47" s="3" t="s">
        <v>21</v>
      </c>
      <c r="I47" s="3">
        <v>11.26</v>
      </c>
      <c r="J47" s="3" t="s">
        <v>33</v>
      </c>
    </row>
    <row r="48" spans="1:10" s="3" customFormat="1" x14ac:dyDescent="0.25">
      <c r="A48" s="2">
        <v>9</v>
      </c>
      <c r="B48" s="3" t="s">
        <v>23</v>
      </c>
      <c r="C48" s="3">
        <v>647</v>
      </c>
      <c r="D48" s="3">
        <v>1</v>
      </c>
      <c r="E48" s="3" t="s">
        <v>28</v>
      </c>
      <c r="F48" s="3" t="s">
        <v>29</v>
      </c>
      <c r="G48" s="3" t="str">
        <f>"2026-05-06 04:19:36.919"</f>
        <v>2026-05-06 04:19:36.919</v>
      </c>
      <c r="H48" s="3" t="s">
        <v>21</v>
      </c>
    </row>
    <row r="49" spans="1:10" s="3" customFormat="1" x14ac:dyDescent="0.25">
      <c r="A49" s="2">
        <v>0</v>
      </c>
      <c r="B49" s="3" t="s">
        <v>26</v>
      </c>
      <c r="C49" s="3">
        <v>647</v>
      </c>
      <c r="D49" s="3">
        <v>1</v>
      </c>
      <c r="E49" s="3" t="s">
        <v>28</v>
      </c>
      <c r="F49" s="3" t="s">
        <v>29</v>
      </c>
      <c r="G49" s="3" t="str">
        <f>"2026-05-06 04:19:30.419"</f>
        <v>2026-05-06 04:19:30.419</v>
      </c>
      <c r="H49" s="3" t="s">
        <v>21</v>
      </c>
      <c r="I49" s="3">
        <v>17.22</v>
      </c>
      <c r="J49" s="3" t="s">
        <v>33</v>
      </c>
    </row>
    <row r="50" spans="1:10" s="3" customFormat="1" x14ac:dyDescent="0.25">
      <c r="A50" s="2">
        <v>1</v>
      </c>
      <c r="B50" s="3" t="s">
        <v>23</v>
      </c>
      <c r="C50" s="3">
        <v>647</v>
      </c>
      <c r="D50" s="3">
        <v>1</v>
      </c>
      <c r="E50" s="3" t="s">
        <v>28</v>
      </c>
      <c r="F50" s="3" t="s">
        <v>29</v>
      </c>
      <c r="G50" s="3" t="str">
        <f>"2026-05-06 04:19:26.919"</f>
        <v>2026-05-06 04:19:26.919</v>
      </c>
      <c r="H50" s="3" t="s">
        <v>21</v>
      </c>
    </row>
    <row r="51" spans="1:10" s="3" customFormat="1" x14ac:dyDescent="0.25">
      <c r="A51" s="2">
        <v>2</v>
      </c>
      <c r="B51" s="3" t="s">
        <v>26</v>
      </c>
      <c r="C51" s="3">
        <v>647</v>
      </c>
      <c r="D51" s="3">
        <v>1</v>
      </c>
      <c r="E51" s="3" t="s">
        <v>28</v>
      </c>
      <c r="F51" s="3" t="s">
        <v>29</v>
      </c>
      <c r="G51" s="3" t="str">
        <f>"2026-05-06 04:19:19.820"</f>
        <v>2026-05-06 04:19:19.820</v>
      </c>
      <c r="H51" s="3" t="s">
        <v>21</v>
      </c>
      <c r="I51" s="3">
        <v>17.54</v>
      </c>
      <c r="J51" s="3" t="s">
        <v>33</v>
      </c>
    </row>
    <row r="52" spans="1:10" x14ac:dyDescent="0.25">
      <c r="A52" s="1">
        <v>3</v>
      </c>
      <c r="B52" t="s">
        <v>19</v>
      </c>
      <c r="C52">
        <v>700</v>
      </c>
      <c r="D52">
        <v>0</v>
      </c>
      <c r="E52" t="s">
        <v>20</v>
      </c>
      <c r="F52" t="s">
        <v>20</v>
      </c>
      <c r="G52" t="str">
        <f>"2026-05-05 20:55:29.990"</f>
        <v>2026-05-05 20:55:29.990</v>
      </c>
      <c r="H52" t="s">
        <v>21</v>
      </c>
      <c r="I52">
        <v>0</v>
      </c>
      <c r="J52" t="s">
        <v>22</v>
      </c>
    </row>
    <row r="53" spans="1:10" x14ac:dyDescent="0.25">
      <c r="A53" s="1">
        <v>4</v>
      </c>
      <c r="B53" t="s">
        <v>19</v>
      </c>
      <c r="C53">
        <v>700</v>
      </c>
      <c r="D53">
        <v>0</v>
      </c>
      <c r="E53" t="s">
        <v>20</v>
      </c>
      <c r="F53" t="s">
        <v>20</v>
      </c>
      <c r="G53" t="str">
        <f>"2026-05-05 20:06:40.974"</f>
        <v>2026-05-05 20:06:40.974</v>
      </c>
      <c r="H53" t="s">
        <v>21</v>
      </c>
      <c r="I53">
        <v>0</v>
      </c>
      <c r="J53" t="s">
        <v>22</v>
      </c>
    </row>
    <row r="54" spans="1:10" x14ac:dyDescent="0.25">
      <c r="A54" s="1">
        <v>5</v>
      </c>
      <c r="B54" t="s">
        <v>19</v>
      </c>
      <c r="C54">
        <v>700</v>
      </c>
      <c r="D54">
        <v>0</v>
      </c>
      <c r="E54" t="s">
        <v>20</v>
      </c>
      <c r="F54" t="s">
        <v>20</v>
      </c>
      <c r="G54" t="str">
        <f>"2026-05-05 18:40:21.954"</f>
        <v>2026-05-05 18:40:21.954</v>
      </c>
      <c r="H54" t="s">
        <v>21</v>
      </c>
      <c r="I54">
        <v>0</v>
      </c>
      <c r="J54" t="s">
        <v>22</v>
      </c>
    </row>
    <row r="55" spans="1:10" x14ac:dyDescent="0.25">
      <c r="A55" s="1">
        <v>6</v>
      </c>
      <c r="B55" t="s">
        <v>19</v>
      </c>
      <c r="C55">
        <v>700</v>
      </c>
      <c r="D55">
        <v>0</v>
      </c>
      <c r="E55" t="s">
        <v>20</v>
      </c>
      <c r="F55" t="s">
        <v>20</v>
      </c>
      <c r="G55" t="str">
        <f>"2026-05-05 18:11:10.969"</f>
        <v>2026-05-05 18:11:10.969</v>
      </c>
      <c r="H55" t="s">
        <v>21</v>
      </c>
      <c r="I55">
        <v>0</v>
      </c>
      <c r="J55" t="s">
        <v>22</v>
      </c>
    </row>
    <row r="56" spans="1:10" x14ac:dyDescent="0.25">
      <c r="A56" s="1">
        <v>7</v>
      </c>
      <c r="B56" t="s">
        <v>19</v>
      </c>
      <c r="C56">
        <v>700</v>
      </c>
      <c r="D56">
        <v>0</v>
      </c>
      <c r="E56" t="s">
        <v>20</v>
      </c>
      <c r="F56" t="s">
        <v>20</v>
      </c>
      <c r="G56" t="str">
        <f>"2026-05-05 17:18:09.953"</f>
        <v>2026-05-05 17:18:09.953</v>
      </c>
      <c r="H56" t="s">
        <v>21</v>
      </c>
      <c r="I56">
        <v>0</v>
      </c>
      <c r="J56" t="s">
        <v>22</v>
      </c>
    </row>
    <row r="57" spans="1:10" x14ac:dyDescent="0.25">
      <c r="A57" s="1">
        <v>8</v>
      </c>
      <c r="B57" t="s">
        <v>19</v>
      </c>
      <c r="C57">
        <v>700</v>
      </c>
      <c r="D57">
        <v>0</v>
      </c>
      <c r="E57" t="s">
        <v>20</v>
      </c>
      <c r="F57" t="s">
        <v>20</v>
      </c>
      <c r="G57" t="str">
        <f>"2026-05-05 17:11:24.957"</f>
        <v>2026-05-05 17:11:24.957</v>
      </c>
      <c r="H57" t="s">
        <v>21</v>
      </c>
      <c r="I57">
        <v>0</v>
      </c>
      <c r="J57" t="s">
        <v>22</v>
      </c>
    </row>
    <row r="58" spans="1:10" x14ac:dyDescent="0.25">
      <c r="A58" s="1">
        <v>9</v>
      </c>
      <c r="B58" t="s">
        <v>19</v>
      </c>
      <c r="C58">
        <v>700</v>
      </c>
      <c r="D58">
        <v>0</v>
      </c>
      <c r="E58" t="s">
        <v>20</v>
      </c>
      <c r="F58" t="s">
        <v>20</v>
      </c>
      <c r="G58" t="str">
        <f>"2026-05-05 11:24:43.956"</f>
        <v>2026-05-05 11:24:43.956</v>
      </c>
      <c r="H58" t="s">
        <v>21</v>
      </c>
      <c r="I58">
        <v>0</v>
      </c>
      <c r="J58" t="s">
        <v>22</v>
      </c>
    </row>
    <row r="59" spans="1:10" x14ac:dyDescent="0.25">
      <c r="A59" s="1">
        <v>0</v>
      </c>
      <c r="B59" t="s">
        <v>19</v>
      </c>
      <c r="C59">
        <v>706</v>
      </c>
      <c r="D59">
        <v>4</v>
      </c>
      <c r="E59" t="s">
        <v>31</v>
      </c>
      <c r="F59" t="s">
        <v>32</v>
      </c>
      <c r="G59" t="str">
        <f>"2026-05-05 09:57:06.956"</f>
        <v>2026-05-05 09:57:06.956</v>
      </c>
      <c r="H59" t="s">
        <v>21</v>
      </c>
      <c r="I59">
        <v>0</v>
      </c>
      <c r="J59" t="s">
        <v>27</v>
      </c>
    </row>
    <row r="60" spans="1:10" x14ac:dyDescent="0.25">
      <c r="A60" s="1">
        <v>1</v>
      </c>
      <c r="B60" t="s">
        <v>19</v>
      </c>
      <c r="C60">
        <v>700</v>
      </c>
      <c r="D60">
        <v>0</v>
      </c>
      <c r="E60" t="s">
        <v>20</v>
      </c>
      <c r="F60" t="s">
        <v>20</v>
      </c>
      <c r="G60" t="str">
        <f>"2026-05-05 09:56:50.976"</f>
        <v>2026-05-05 09:56:50.976</v>
      </c>
      <c r="H60" t="s">
        <v>21</v>
      </c>
      <c r="I60">
        <v>0</v>
      </c>
      <c r="J60" t="s">
        <v>22</v>
      </c>
    </row>
    <row r="61" spans="1:10" x14ac:dyDescent="0.25">
      <c r="A61" s="1">
        <v>2</v>
      </c>
      <c r="B61" t="s">
        <v>19</v>
      </c>
      <c r="C61">
        <v>700</v>
      </c>
      <c r="D61">
        <v>0</v>
      </c>
      <c r="E61" t="s">
        <v>20</v>
      </c>
      <c r="F61" t="s">
        <v>20</v>
      </c>
      <c r="G61" t="str">
        <f>"2026-05-05 08:47:26.961"</f>
        <v>2026-05-05 08:47:26.961</v>
      </c>
      <c r="H61" t="s">
        <v>21</v>
      </c>
    </row>
    <row r="62" spans="1:10" x14ac:dyDescent="0.25">
      <c r="A62" s="1">
        <v>3</v>
      </c>
      <c r="B62" t="s">
        <v>19</v>
      </c>
      <c r="C62">
        <v>706</v>
      </c>
      <c r="D62">
        <v>4</v>
      </c>
      <c r="E62" t="s">
        <v>31</v>
      </c>
      <c r="F62" t="s">
        <v>32</v>
      </c>
      <c r="G62" t="str">
        <f>"2026-05-05 08:10:57.120"</f>
        <v>2026-05-05 08:10:57.120</v>
      </c>
      <c r="H62" t="s">
        <v>21</v>
      </c>
      <c r="I62">
        <v>0</v>
      </c>
      <c r="J62" t="s">
        <v>27</v>
      </c>
    </row>
    <row r="63" spans="1:10" x14ac:dyDescent="0.25">
      <c r="A63" s="1">
        <v>4</v>
      </c>
      <c r="B63" t="s">
        <v>19</v>
      </c>
      <c r="C63">
        <v>700</v>
      </c>
      <c r="D63">
        <v>0</v>
      </c>
      <c r="E63" t="s">
        <v>20</v>
      </c>
      <c r="F63" t="s">
        <v>20</v>
      </c>
      <c r="G63" t="str">
        <f>"2026-05-05 07:58:00.970"</f>
        <v>2026-05-05 07:58:00.970</v>
      </c>
      <c r="H63" t="s">
        <v>21</v>
      </c>
      <c r="I63">
        <v>0</v>
      </c>
      <c r="J63" t="s">
        <v>22</v>
      </c>
    </row>
    <row r="64" spans="1:10" x14ac:dyDescent="0.25">
      <c r="A64" s="1">
        <v>5</v>
      </c>
      <c r="B64" t="s">
        <v>19</v>
      </c>
      <c r="C64">
        <v>700</v>
      </c>
      <c r="D64">
        <v>0</v>
      </c>
      <c r="E64" t="s">
        <v>20</v>
      </c>
      <c r="F64" t="s">
        <v>20</v>
      </c>
      <c r="G64" t="str">
        <f>"2026-05-01 11:51:17.020"</f>
        <v>2026-05-01 11:51:17.020</v>
      </c>
      <c r="H64" t="s">
        <v>21</v>
      </c>
      <c r="I64">
        <v>0</v>
      </c>
      <c r="J64" t="s">
        <v>22</v>
      </c>
    </row>
    <row r="65" spans="1:10" x14ac:dyDescent="0.25">
      <c r="A65" s="1">
        <v>6</v>
      </c>
      <c r="B65" t="s">
        <v>19</v>
      </c>
      <c r="C65">
        <v>700</v>
      </c>
      <c r="D65">
        <v>0</v>
      </c>
      <c r="E65" t="s">
        <v>20</v>
      </c>
      <c r="F65" t="s">
        <v>20</v>
      </c>
      <c r="G65" t="str">
        <f>"2026-05-01 08:34:12.969"</f>
        <v>2026-05-01 08:34:12.969</v>
      </c>
      <c r="H65" t="s">
        <v>21</v>
      </c>
      <c r="I65">
        <v>0</v>
      </c>
      <c r="J65" t="s">
        <v>22</v>
      </c>
    </row>
    <row r="66" spans="1:10" x14ac:dyDescent="0.25">
      <c r="A66" s="1">
        <v>7</v>
      </c>
      <c r="B66" t="s">
        <v>19</v>
      </c>
      <c r="C66">
        <v>700</v>
      </c>
      <c r="D66">
        <v>0</v>
      </c>
      <c r="E66" t="s">
        <v>20</v>
      </c>
      <c r="F66" t="s">
        <v>20</v>
      </c>
      <c r="G66" t="str">
        <f>"2026-05-01 08:08:03.156"</f>
        <v>2026-05-01 08:08:03.156</v>
      </c>
      <c r="H66" t="s">
        <v>21</v>
      </c>
      <c r="I66">
        <v>0</v>
      </c>
      <c r="J66" t="s">
        <v>22</v>
      </c>
    </row>
    <row r="67" spans="1:10" x14ac:dyDescent="0.25">
      <c r="A67" s="1">
        <v>8</v>
      </c>
      <c r="B67" t="s">
        <v>19</v>
      </c>
      <c r="C67">
        <v>706</v>
      </c>
      <c r="D67">
        <v>2</v>
      </c>
      <c r="E67" t="s">
        <v>31</v>
      </c>
      <c r="F67" t="s">
        <v>43</v>
      </c>
      <c r="G67" t="str">
        <f>"2026-05-01 07:57:19.866"</f>
        <v>2026-05-01 07:57:19.866</v>
      </c>
      <c r="H67" t="s">
        <v>21</v>
      </c>
      <c r="I67">
        <v>0</v>
      </c>
      <c r="J67" t="s">
        <v>27</v>
      </c>
    </row>
    <row r="68" spans="1:10" x14ac:dyDescent="0.25">
      <c r="A68" s="1">
        <v>9</v>
      </c>
      <c r="B68" t="s">
        <v>19</v>
      </c>
      <c r="C68">
        <v>700</v>
      </c>
      <c r="D68">
        <v>0</v>
      </c>
      <c r="E68" t="s">
        <v>20</v>
      </c>
      <c r="F68" t="s">
        <v>20</v>
      </c>
      <c r="G68" t="str">
        <f>"2026-05-01 07:56:44.966"</f>
        <v>2026-05-01 07:56:44.966</v>
      </c>
      <c r="H68" t="s">
        <v>21</v>
      </c>
      <c r="I68">
        <v>0</v>
      </c>
      <c r="J68" t="s">
        <v>22</v>
      </c>
    </row>
    <row r="69" spans="1:10" x14ac:dyDescent="0.25">
      <c r="A69" s="1">
        <v>0</v>
      </c>
      <c r="B69" t="s">
        <v>19</v>
      </c>
      <c r="C69">
        <v>700</v>
      </c>
      <c r="D69">
        <v>0</v>
      </c>
      <c r="E69" t="s">
        <v>20</v>
      </c>
      <c r="F69" t="s">
        <v>20</v>
      </c>
      <c r="G69" t="str">
        <f>"2026-05-01 04:41:49.061"</f>
        <v>2026-05-01 04:41:49.061</v>
      </c>
      <c r="H69" t="s">
        <v>21</v>
      </c>
    </row>
    <row r="70" spans="1:10" x14ac:dyDescent="0.25">
      <c r="A70" s="1">
        <v>1</v>
      </c>
      <c r="B70" t="s">
        <v>19</v>
      </c>
      <c r="C70">
        <v>700</v>
      </c>
      <c r="D70">
        <v>0</v>
      </c>
      <c r="E70" t="s">
        <v>20</v>
      </c>
      <c r="F70" t="s">
        <v>20</v>
      </c>
      <c r="G70" t="str">
        <f>"2026-05-01 02:00:29.969"</f>
        <v>2026-05-01 02:00:29.969</v>
      </c>
      <c r="H70" t="s">
        <v>21</v>
      </c>
      <c r="I70">
        <v>0</v>
      </c>
      <c r="J70" t="s">
        <v>22</v>
      </c>
    </row>
    <row r="71" spans="1:10" x14ac:dyDescent="0.25">
      <c r="A71" s="1">
        <v>2</v>
      </c>
      <c r="B71" t="s">
        <v>19</v>
      </c>
      <c r="C71">
        <v>706</v>
      </c>
      <c r="D71">
        <v>2</v>
      </c>
      <c r="E71" t="s">
        <v>31</v>
      </c>
      <c r="F71" t="s">
        <v>43</v>
      </c>
      <c r="G71" t="str">
        <f>"2026-04-30 23:19:41.393"</f>
        <v>2026-04-30 23:19:41.393</v>
      </c>
      <c r="H71" t="s">
        <v>21</v>
      </c>
      <c r="I71">
        <v>0</v>
      </c>
      <c r="J71" t="s">
        <v>27</v>
      </c>
    </row>
    <row r="72" spans="1:10" x14ac:dyDescent="0.25">
      <c r="A72" s="1">
        <v>3</v>
      </c>
      <c r="B72" t="s">
        <v>19</v>
      </c>
      <c r="C72">
        <v>706</v>
      </c>
      <c r="D72">
        <v>2</v>
      </c>
      <c r="E72" t="s">
        <v>31</v>
      </c>
      <c r="F72" t="s">
        <v>43</v>
      </c>
      <c r="G72" t="str">
        <f>"2026-04-30 23:19:07.993"</f>
        <v>2026-04-30 23:19:07.993</v>
      </c>
      <c r="H72" t="s">
        <v>21</v>
      </c>
      <c r="I72">
        <v>0</v>
      </c>
      <c r="J72" t="s">
        <v>27</v>
      </c>
    </row>
    <row r="73" spans="1:10" x14ac:dyDescent="0.25">
      <c r="A73" s="1">
        <v>4</v>
      </c>
      <c r="B73" t="s">
        <v>19</v>
      </c>
      <c r="C73">
        <v>700</v>
      </c>
      <c r="D73">
        <v>0</v>
      </c>
      <c r="E73" t="s">
        <v>20</v>
      </c>
      <c r="F73" t="s">
        <v>20</v>
      </c>
      <c r="G73" t="str">
        <f>"2026-04-30 23:12:05.153"</f>
        <v>2026-04-30 23:12:05.153</v>
      </c>
      <c r="H73" t="s">
        <v>21</v>
      </c>
    </row>
    <row r="74" spans="1:10" x14ac:dyDescent="0.25">
      <c r="A74" s="1">
        <v>5</v>
      </c>
      <c r="B74" t="s">
        <v>23</v>
      </c>
      <c r="C74">
        <v>630</v>
      </c>
      <c r="D74">
        <v>5</v>
      </c>
      <c r="E74" t="s">
        <v>40</v>
      </c>
      <c r="F74" t="s">
        <v>41</v>
      </c>
      <c r="G74" t="str">
        <f>"2026-04-30 20:59:38.069"</f>
        <v>2026-04-30 20:59:38.069</v>
      </c>
      <c r="H74" t="s">
        <v>42</v>
      </c>
    </row>
    <row r="75" spans="1:10" x14ac:dyDescent="0.25">
      <c r="A75" s="1">
        <v>6</v>
      </c>
      <c r="B75" t="s">
        <v>19</v>
      </c>
      <c r="C75">
        <v>706</v>
      </c>
      <c r="D75">
        <v>4</v>
      </c>
      <c r="E75" t="s">
        <v>31</v>
      </c>
      <c r="F75" t="s">
        <v>32</v>
      </c>
      <c r="G75" t="str">
        <f>"2026-04-30 20:59:08.013"</f>
        <v>2026-04-30 20:59:08.013</v>
      </c>
      <c r="H75" t="s">
        <v>21</v>
      </c>
      <c r="I75">
        <v>0</v>
      </c>
      <c r="J75" t="s">
        <v>27</v>
      </c>
    </row>
    <row r="76" spans="1:10" x14ac:dyDescent="0.25">
      <c r="A76" s="1">
        <v>7</v>
      </c>
      <c r="B76" t="s">
        <v>38</v>
      </c>
      <c r="C76">
        <v>630</v>
      </c>
      <c r="D76">
        <v>5</v>
      </c>
      <c r="E76" t="s">
        <v>40</v>
      </c>
      <c r="F76" t="s">
        <v>41</v>
      </c>
      <c r="G76" t="str">
        <f>"2026-04-30 20:57:16.070"</f>
        <v>2026-04-30 20:57:16.070</v>
      </c>
      <c r="H76" t="s">
        <v>42</v>
      </c>
      <c r="I76">
        <v>0</v>
      </c>
      <c r="J76" t="s">
        <v>27</v>
      </c>
    </row>
    <row r="77" spans="1:10" x14ac:dyDescent="0.25">
      <c r="A77" s="1">
        <v>8</v>
      </c>
      <c r="B77" t="s">
        <v>19</v>
      </c>
      <c r="C77">
        <v>700</v>
      </c>
      <c r="D77">
        <v>0</v>
      </c>
      <c r="E77" t="s">
        <v>20</v>
      </c>
      <c r="F77" t="s">
        <v>20</v>
      </c>
      <c r="G77" t="str">
        <f>"2026-04-30 20:52:13.293"</f>
        <v>2026-04-30 20:52:13.293</v>
      </c>
      <c r="H77" t="s">
        <v>21</v>
      </c>
    </row>
    <row r="78" spans="1:10" x14ac:dyDescent="0.25">
      <c r="A78" s="1">
        <v>9</v>
      </c>
      <c r="B78" t="s">
        <v>23</v>
      </c>
      <c r="C78">
        <v>635</v>
      </c>
      <c r="D78">
        <v>1</v>
      </c>
      <c r="E78" t="s">
        <v>44</v>
      </c>
      <c r="F78" t="s">
        <v>45</v>
      </c>
      <c r="G78" t="str">
        <f>"2026-04-30 17:47:55.915"</f>
        <v>2026-04-30 17:47:55.915</v>
      </c>
      <c r="H78" t="s">
        <v>21</v>
      </c>
    </row>
    <row r="79" spans="1:10" x14ac:dyDescent="0.25">
      <c r="A79" s="1">
        <v>0</v>
      </c>
      <c r="B79" t="s">
        <v>26</v>
      </c>
      <c r="C79">
        <v>635</v>
      </c>
      <c r="D79">
        <v>1</v>
      </c>
      <c r="E79" t="s">
        <v>44</v>
      </c>
      <c r="F79" t="s">
        <v>45</v>
      </c>
      <c r="G79" t="str">
        <f>"2026-04-30 17:44:57.415"</f>
        <v>2026-04-30 17:44:57.415</v>
      </c>
      <c r="H79" t="s">
        <v>21</v>
      </c>
      <c r="I79">
        <v>7.09</v>
      </c>
      <c r="J79" t="s">
        <v>39</v>
      </c>
    </row>
    <row r="80" spans="1:10" x14ac:dyDescent="0.25">
      <c r="A80" s="1">
        <v>1</v>
      </c>
      <c r="B80" t="s">
        <v>19</v>
      </c>
      <c r="C80">
        <v>706</v>
      </c>
      <c r="D80">
        <v>4</v>
      </c>
      <c r="E80" t="s">
        <v>31</v>
      </c>
      <c r="F80" t="s">
        <v>32</v>
      </c>
      <c r="G80" t="str">
        <f>"2026-04-30 13:56:12.757"</f>
        <v>2026-04-30 13:56:12.757</v>
      </c>
      <c r="H80" t="s">
        <v>21</v>
      </c>
      <c r="I80">
        <v>0</v>
      </c>
      <c r="J80" t="s">
        <v>27</v>
      </c>
    </row>
    <row r="81" spans="1:10" x14ac:dyDescent="0.25">
      <c r="A81" s="1">
        <v>2</v>
      </c>
      <c r="B81" t="s">
        <v>19</v>
      </c>
      <c r="C81">
        <v>700</v>
      </c>
      <c r="D81">
        <v>0</v>
      </c>
      <c r="E81" t="s">
        <v>20</v>
      </c>
      <c r="F81" t="s">
        <v>20</v>
      </c>
      <c r="G81" t="str">
        <f>"2026-04-30 13:55:45.987"</f>
        <v>2026-04-30 13:55:45.987</v>
      </c>
      <c r="H81" t="s">
        <v>21</v>
      </c>
    </row>
    <row r="82" spans="1:10" x14ac:dyDescent="0.25">
      <c r="A82" s="1">
        <v>3</v>
      </c>
      <c r="B82" t="s">
        <v>23</v>
      </c>
      <c r="C82">
        <v>635</v>
      </c>
      <c r="D82">
        <v>1</v>
      </c>
      <c r="E82" t="s">
        <v>44</v>
      </c>
      <c r="F82" t="s">
        <v>45</v>
      </c>
      <c r="G82" t="str">
        <f>"2026-04-30 02:54:46.282"</f>
        <v>2026-04-30 02:54:46.282</v>
      </c>
      <c r="H82" t="s">
        <v>21</v>
      </c>
    </row>
    <row r="83" spans="1:10" x14ac:dyDescent="0.25">
      <c r="A83" s="1">
        <v>4</v>
      </c>
      <c r="B83" t="s">
        <v>26</v>
      </c>
      <c r="C83">
        <v>635</v>
      </c>
      <c r="D83">
        <v>1</v>
      </c>
      <c r="E83" t="s">
        <v>44</v>
      </c>
      <c r="F83" t="s">
        <v>45</v>
      </c>
      <c r="G83" t="str">
        <f>"2026-04-30 02:46:10.782"</f>
        <v>2026-04-30 02:46:10.782</v>
      </c>
      <c r="H83" t="s">
        <v>21</v>
      </c>
      <c r="I83">
        <v>1.79</v>
      </c>
      <c r="J83" t="s">
        <v>39</v>
      </c>
    </row>
    <row r="84" spans="1:10" s="3" customFormat="1" x14ac:dyDescent="0.25">
      <c r="A84" s="2">
        <v>5</v>
      </c>
      <c r="B84" s="3" t="s">
        <v>23</v>
      </c>
      <c r="C84" s="3">
        <v>647</v>
      </c>
      <c r="D84" s="3">
        <v>1</v>
      </c>
      <c r="E84" s="3" t="s">
        <v>28</v>
      </c>
      <c r="F84" s="3" t="s">
        <v>29</v>
      </c>
      <c r="G84" s="3" t="str">
        <f>"2026-04-29 22:32:28.282"</f>
        <v>2026-04-29 22:32:28.282</v>
      </c>
      <c r="H84" s="3" t="s">
        <v>21</v>
      </c>
    </row>
    <row r="85" spans="1:10" s="3" customFormat="1" x14ac:dyDescent="0.25">
      <c r="A85" s="2">
        <v>6</v>
      </c>
      <c r="B85" s="3" t="s">
        <v>26</v>
      </c>
      <c r="C85" s="3">
        <v>647</v>
      </c>
      <c r="D85" s="3">
        <v>1</v>
      </c>
      <c r="E85" s="3" t="s">
        <v>28</v>
      </c>
      <c r="F85" s="3" t="s">
        <v>29</v>
      </c>
      <c r="G85" s="3" t="str">
        <f>"2026-04-29 22:32:25.583"</f>
        <v>2026-04-29 22:32:25.583</v>
      </c>
      <c r="H85" s="3" t="s">
        <v>21</v>
      </c>
      <c r="I85" s="3">
        <v>9.6</v>
      </c>
      <c r="J85" s="3" t="s">
        <v>33</v>
      </c>
    </row>
    <row r="86" spans="1:10" x14ac:dyDescent="0.25">
      <c r="A86" s="1">
        <v>7</v>
      </c>
      <c r="B86" t="s">
        <v>19</v>
      </c>
      <c r="C86">
        <v>706</v>
      </c>
      <c r="D86">
        <v>4</v>
      </c>
      <c r="E86" t="s">
        <v>31</v>
      </c>
      <c r="F86" t="s">
        <v>32</v>
      </c>
      <c r="G86" t="str">
        <f>"2026-04-29 14:36:30.844"</f>
        <v>2026-04-29 14:36:30.844</v>
      </c>
      <c r="H86" t="s">
        <v>21</v>
      </c>
      <c r="I86">
        <v>0</v>
      </c>
      <c r="J86" t="s">
        <v>27</v>
      </c>
    </row>
    <row r="87" spans="1:10" x14ac:dyDescent="0.25">
      <c r="A87" s="1">
        <v>8</v>
      </c>
      <c r="B87" t="s">
        <v>19</v>
      </c>
      <c r="C87">
        <v>700</v>
      </c>
      <c r="D87">
        <v>0</v>
      </c>
      <c r="E87" t="s">
        <v>20</v>
      </c>
      <c r="F87" t="s">
        <v>20</v>
      </c>
      <c r="G87" t="str">
        <f>"2026-04-29 14:36:11.954"</f>
        <v>2026-04-29 14:36:11.954</v>
      </c>
      <c r="H87" t="s">
        <v>21</v>
      </c>
      <c r="I87">
        <v>0</v>
      </c>
      <c r="J87" t="s">
        <v>22</v>
      </c>
    </row>
    <row r="88" spans="1:10" x14ac:dyDescent="0.25">
      <c r="A88" s="1">
        <v>9</v>
      </c>
      <c r="B88" t="s">
        <v>19</v>
      </c>
      <c r="C88">
        <v>700</v>
      </c>
      <c r="D88">
        <v>0</v>
      </c>
      <c r="E88" t="s">
        <v>20</v>
      </c>
      <c r="F88" t="s">
        <v>20</v>
      </c>
      <c r="G88" t="str">
        <f>"2026-04-29 14:28:14.959"</f>
        <v>2026-04-29 14:28:14.959</v>
      </c>
      <c r="H88" t="s">
        <v>21</v>
      </c>
      <c r="I88">
        <v>0</v>
      </c>
      <c r="J88" t="s">
        <v>22</v>
      </c>
    </row>
    <row r="89" spans="1:10" x14ac:dyDescent="0.25">
      <c r="A89" s="1">
        <v>0</v>
      </c>
      <c r="B89" t="s">
        <v>19</v>
      </c>
      <c r="C89">
        <v>700</v>
      </c>
      <c r="D89">
        <v>0</v>
      </c>
      <c r="E89" t="s">
        <v>20</v>
      </c>
      <c r="F89" t="s">
        <v>20</v>
      </c>
      <c r="G89" t="str">
        <f>"2026-04-29 08:00:12.963"</f>
        <v>2026-04-29 08:00:12.963</v>
      </c>
      <c r="H89" t="s">
        <v>21</v>
      </c>
      <c r="I89">
        <v>0</v>
      </c>
      <c r="J89" t="s">
        <v>22</v>
      </c>
    </row>
    <row r="90" spans="1:10" s="3" customFormat="1" x14ac:dyDescent="0.25">
      <c r="A90" s="2">
        <v>1</v>
      </c>
      <c r="B90" s="3" t="s">
        <v>23</v>
      </c>
      <c r="C90" s="3">
        <v>647</v>
      </c>
      <c r="D90" s="3">
        <v>1</v>
      </c>
      <c r="E90" s="3" t="s">
        <v>28</v>
      </c>
      <c r="F90" s="3" t="s">
        <v>29</v>
      </c>
      <c r="G90" s="3" t="str">
        <f>"2026-04-29 07:33:09.639"</f>
        <v>2026-04-29 07:33:09.639</v>
      </c>
      <c r="H90" s="3" t="s">
        <v>21</v>
      </c>
    </row>
    <row r="91" spans="1:10" s="3" customFormat="1" x14ac:dyDescent="0.25">
      <c r="A91" s="2">
        <v>2</v>
      </c>
      <c r="B91" s="3" t="s">
        <v>26</v>
      </c>
      <c r="C91" s="3">
        <v>647</v>
      </c>
      <c r="D91" s="3">
        <v>1</v>
      </c>
      <c r="E91" s="3" t="s">
        <v>28</v>
      </c>
      <c r="F91" s="3" t="s">
        <v>29</v>
      </c>
      <c r="G91" s="3" t="str">
        <f>"2026-04-29 07:33:08.539"</f>
        <v>2026-04-29 07:33:08.539</v>
      </c>
      <c r="H91" s="3" t="s">
        <v>21</v>
      </c>
      <c r="I91" s="3">
        <v>32.19</v>
      </c>
      <c r="J91" s="3" t="s">
        <v>33</v>
      </c>
    </row>
    <row r="92" spans="1:10" s="3" customFormat="1" x14ac:dyDescent="0.25">
      <c r="A92" s="2">
        <v>3</v>
      </c>
      <c r="B92" s="3" t="s">
        <v>23</v>
      </c>
      <c r="C92" s="3">
        <v>647</v>
      </c>
      <c r="D92" s="3">
        <v>1</v>
      </c>
      <c r="E92" s="3" t="s">
        <v>28</v>
      </c>
      <c r="F92" s="3" t="s">
        <v>29</v>
      </c>
      <c r="G92" s="3" t="str">
        <f>"2026-04-29 01:49:05.039"</f>
        <v>2026-04-29 01:49:05.039</v>
      </c>
      <c r="H92" s="3" t="s">
        <v>21</v>
      </c>
    </row>
    <row r="93" spans="1:10" s="3" customFormat="1" x14ac:dyDescent="0.25">
      <c r="A93" s="2">
        <v>4</v>
      </c>
      <c r="B93" s="3" t="s">
        <v>26</v>
      </c>
      <c r="C93" s="3">
        <v>647</v>
      </c>
      <c r="D93" s="3">
        <v>1</v>
      </c>
      <c r="E93" s="3" t="s">
        <v>28</v>
      </c>
      <c r="F93" s="3" t="s">
        <v>29</v>
      </c>
      <c r="G93" s="3" t="str">
        <f>"2026-04-29 01:48:59.139"</f>
        <v>2026-04-29 01:48:59.139</v>
      </c>
      <c r="H93" s="3" t="s">
        <v>21</v>
      </c>
      <c r="I93" s="3">
        <v>8.77</v>
      </c>
      <c r="J93" s="3" t="s">
        <v>33</v>
      </c>
    </row>
    <row r="94" spans="1:10" s="3" customFormat="1" x14ac:dyDescent="0.25">
      <c r="A94" s="2">
        <v>5</v>
      </c>
      <c r="B94" s="3" t="s">
        <v>23</v>
      </c>
      <c r="C94" s="3">
        <v>647</v>
      </c>
      <c r="D94" s="3">
        <v>1</v>
      </c>
      <c r="E94" s="3" t="s">
        <v>28</v>
      </c>
      <c r="F94" s="3" t="s">
        <v>29</v>
      </c>
      <c r="G94" s="3" t="str">
        <f>"2026-04-28 23:17:10.639"</f>
        <v>2026-04-28 23:17:10.639</v>
      </c>
      <c r="H94" s="3" t="s">
        <v>21</v>
      </c>
    </row>
    <row r="95" spans="1:10" s="3" customFormat="1" x14ac:dyDescent="0.25">
      <c r="A95" s="2">
        <v>6</v>
      </c>
      <c r="B95" s="3" t="s">
        <v>26</v>
      </c>
      <c r="C95" s="3">
        <v>647</v>
      </c>
      <c r="D95" s="3">
        <v>1</v>
      </c>
      <c r="E95" s="3" t="s">
        <v>28</v>
      </c>
      <c r="F95" s="3" t="s">
        <v>29</v>
      </c>
      <c r="G95" s="3" t="str">
        <f>"2026-04-28 23:17:02.139"</f>
        <v>2026-04-28 23:17:02.139</v>
      </c>
      <c r="H95" s="3" t="s">
        <v>21</v>
      </c>
      <c r="I95" s="3">
        <v>17.63</v>
      </c>
      <c r="J95" s="3" t="s">
        <v>33</v>
      </c>
    </row>
    <row r="96" spans="1:10" s="3" customFormat="1" x14ac:dyDescent="0.25">
      <c r="A96" s="2">
        <v>7</v>
      </c>
      <c r="B96" s="3" t="s">
        <v>23</v>
      </c>
      <c r="C96" s="3">
        <v>647</v>
      </c>
      <c r="D96" s="3">
        <v>1</v>
      </c>
      <c r="E96" s="3" t="s">
        <v>28</v>
      </c>
      <c r="F96" s="3" t="s">
        <v>29</v>
      </c>
      <c r="G96" s="3" t="str">
        <f>"2026-04-28 21:30:19.539"</f>
        <v>2026-04-28 21:30:19.539</v>
      </c>
      <c r="H96" s="3" t="s">
        <v>21</v>
      </c>
    </row>
    <row r="97" spans="1:10" s="3" customFormat="1" x14ac:dyDescent="0.25">
      <c r="A97" s="2">
        <v>8</v>
      </c>
      <c r="B97" s="3" t="s">
        <v>26</v>
      </c>
      <c r="C97" s="3">
        <v>647</v>
      </c>
      <c r="D97" s="3">
        <v>1</v>
      </c>
      <c r="E97" s="3" t="s">
        <v>28</v>
      </c>
      <c r="F97" s="3" t="s">
        <v>29</v>
      </c>
      <c r="G97" s="3" t="str">
        <f>"2026-04-28 21:30:12.439"</f>
        <v>2026-04-28 21:30:12.439</v>
      </c>
      <c r="H97" s="3" t="s">
        <v>21</v>
      </c>
      <c r="I97" s="3">
        <v>24.12</v>
      </c>
      <c r="J97" s="3" t="s">
        <v>33</v>
      </c>
    </row>
    <row r="98" spans="1:10" s="3" customFormat="1" x14ac:dyDescent="0.25">
      <c r="A98" s="2">
        <v>9</v>
      </c>
      <c r="B98" s="3" t="s">
        <v>23</v>
      </c>
      <c r="C98" s="3">
        <v>647</v>
      </c>
      <c r="D98" s="3">
        <v>1</v>
      </c>
      <c r="E98" s="3" t="s">
        <v>28</v>
      </c>
      <c r="F98" s="3" t="s">
        <v>29</v>
      </c>
      <c r="G98" s="3" t="str">
        <f>"2026-04-28 20:05:45.039"</f>
        <v>2026-04-28 20:05:45.039</v>
      </c>
      <c r="H98" s="3" t="s">
        <v>21</v>
      </c>
    </row>
    <row r="99" spans="1:10" s="3" customFormat="1" x14ac:dyDescent="0.25">
      <c r="A99" s="2">
        <v>0</v>
      </c>
      <c r="B99" s="3" t="s">
        <v>26</v>
      </c>
      <c r="C99" s="3">
        <v>647</v>
      </c>
      <c r="D99" s="3">
        <v>1</v>
      </c>
      <c r="E99" s="3" t="s">
        <v>28</v>
      </c>
      <c r="F99" s="3" t="s">
        <v>29</v>
      </c>
      <c r="G99" s="3" t="str">
        <f>"2026-04-28 20:05:43.539"</f>
        <v>2026-04-28 20:05:43.539</v>
      </c>
      <c r="H99" s="3" t="s">
        <v>21</v>
      </c>
      <c r="I99" s="3">
        <v>11.91</v>
      </c>
      <c r="J99" s="3" t="s">
        <v>33</v>
      </c>
    </row>
    <row r="100" spans="1:10" s="3" customFormat="1" x14ac:dyDescent="0.25">
      <c r="A100" s="2">
        <v>1</v>
      </c>
      <c r="B100" s="3" t="s">
        <v>23</v>
      </c>
      <c r="C100" s="3">
        <v>647</v>
      </c>
      <c r="D100" s="3">
        <v>1</v>
      </c>
      <c r="E100" s="3" t="s">
        <v>28</v>
      </c>
      <c r="F100" s="3" t="s">
        <v>29</v>
      </c>
      <c r="G100" s="3" t="str">
        <f>"2026-04-28 20:04:25.639"</f>
        <v>2026-04-28 20:04:25.639</v>
      </c>
      <c r="H100" s="3" t="s">
        <v>21</v>
      </c>
    </row>
    <row r="101" spans="1:10" s="3" customFormat="1" x14ac:dyDescent="0.25">
      <c r="A101" s="2">
        <v>2</v>
      </c>
      <c r="B101" s="3" t="s">
        <v>26</v>
      </c>
      <c r="C101" s="3">
        <v>647</v>
      </c>
      <c r="D101" s="3">
        <v>1</v>
      </c>
      <c r="E101" s="3" t="s">
        <v>28</v>
      </c>
      <c r="F101" s="3" t="s">
        <v>29</v>
      </c>
      <c r="G101" s="3" t="str">
        <f>"2026-04-28 20:04:23.939"</f>
        <v>2026-04-28 20:04:23.939</v>
      </c>
      <c r="H101" s="3" t="s">
        <v>21</v>
      </c>
      <c r="I101" s="3">
        <v>10.58</v>
      </c>
      <c r="J101" s="3" t="s">
        <v>33</v>
      </c>
    </row>
    <row r="102" spans="1:10" s="3" customFormat="1" x14ac:dyDescent="0.25">
      <c r="A102" s="2">
        <v>3</v>
      </c>
      <c r="B102" s="3" t="s">
        <v>23</v>
      </c>
      <c r="C102" s="3">
        <v>647</v>
      </c>
      <c r="D102" s="3">
        <v>1</v>
      </c>
      <c r="E102" s="3" t="s">
        <v>28</v>
      </c>
      <c r="F102" s="3" t="s">
        <v>29</v>
      </c>
      <c r="G102" s="3" t="str">
        <f>"2026-04-28 20:04:16.638"</f>
        <v>2026-04-28 20:04:16.638</v>
      </c>
      <c r="H102" s="3" t="s">
        <v>21</v>
      </c>
    </row>
    <row r="103" spans="1:10" s="3" customFormat="1" x14ac:dyDescent="0.25">
      <c r="A103" s="2">
        <v>4</v>
      </c>
      <c r="B103" s="3" t="s">
        <v>26</v>
      </c>
      <c r="C103" s="3">
        <v>647</v>
      </c>
      <c r="D103" s="3">
        <v>1</v>
      </c>
      <c r="E103" s="3" t="s">
        <v>28</v>
      </c>
      <c r="F103" s="3" t="s">
        <v>29</v>
      </c>
      <c r="G103" s="3" t="str">
        <f>"2026-04-28 20:04:08.138"</f>
        <v>2026-04-28 20:04:08.138</v>
      </c>
      <c r="H103" s="3" t="s">
        <v>21</v>
      </c>
      <c r="I103" s="3">
        <v>14.88</v>
      </c>
      <c r="J103" s="3" t="s">
        <v>33</v>
      </c>
    </row>
    <row r="104" spans="1:10" x14ac:dyDescent="0.25">
      <c r="A104" s="1">
        <v>5</v>
      </c>
      <c r="B104" t="s">
        <v>19</v>
      </c>
      <c r="C104">
        <v>706</v>
      </c>
      <c r="D104">
        <v>2</v>
      </c>
      <c r="E104" t="s">
        <v>31</v>
      </c>
      <c r="F104" t="s">
        <v>43</v>
      </c>
      <c r="G104" t="str">
        <f>"2026-04-28 07:51:42.907"</f>
        <v>2026-04-28 07:51:42.907</v>
      </c>
      <c r="H104" t="s">
        <v>21</v>
      </c>
      <c r="I104">
        <v>0</v>
      </c>
      <c r="J104" t="s">
        <v>27</v>
      </c>
    </row>
    <row r="105" spans="1:10" x14ac:dyDescent="0.25">
      <c r="A105" s="1">
        <v>6</v>
      </c>
      <c r="B105" t="s">
        <v>19</v>
      </c>
      <c r="C105">
        <v>700</v>
      </c>
      <c r="D105">
        <v>0</v>
      </c>
      <c r="E105" t="s">
        <v>20</v>
      </c>
      <c r="F105" t="s">
        <v>20</v>
      </c>
      <c r="G105" t="str">
        <f>"2026-04-28 07:50:57.187"</f>
        <v>2026-04-28 07:50:57.187</v>
      </c>
      <c r="H105" t="s">
        <v>21</v>
      </c>
    </row>
    <row r="106" spans="1:10" s="3" customFormat="1" x14ac:dyDescent="0.25">
      <c r="A106" s="2">
        <v>7</v>
      </c>
      <c r="B106" s="3" t="s">
        <v>23</v>
      </c>
      <c r="C106" s="3">
        <v>647</v>
      </c>
      <c r="D106" s="3">
        <v>1</v>
      </c>
      <c r="E106" s="3" t="s">
        <v>28</v>
      </c>
      <c r="F106" s="3" t="s">
        <v>29</v>
      </c>
      <c r="G106" s="3" t="str">
        <f>"2026-04-28 03:39:57.500"</f>
        <v>2026-04-28 03:39:57.500</v>
      </c>
      <c r="H106" s="3" t="s">
        <v>21</v>
      </c>
    </row>
    <row r="107" spans="1:10" s="3" customFormat="1" x14ac:dyDescent="0.25">
      <c r="A107" s="2">
        <v>8</v>
      </c>
      <c r="B107" s="3" t="s">
        <v>26</v>
      </c>
      <c r="C107" s="3">
        <v>647</v>
      </c>
      <c r="D107" s="3">
        <v>1</v>
      </c>
      <c r="E107" s="3" t="s">
        <v>28</v>
      </c>
      <c r="F107" s="3" t="s">
        <v>29</v>
      </c>
      <c r="G107" s="3" t="str">
        <f>"2026-04-28 03:39:54.801"</f>
        <v>2026-04-28 03:39:54.801</v>
      </c>
      <c r="H107" s="3" t="s">
        <v>21</v>
      </c>
      <c r="I107" s="3">
        <v>9.77</v>
      </c>
      <c r="J107" s="3" t="s">
        <v>33</v>
      </c>
    </row>
    <row r="108" spans="1:10" x14ac:dyDescent="0.25">
      <c r="A108" s="1">
        <v>9</v>
      </c>
      <c r="B108" t="s">
        <v>19</v>
      </c>
      <c r="C108">
        <v>700</v>
      </c>
      <c r="D108">
        <v>0</v>
      </c>
      <c r="E108" t="s">
        <v>20</v>
      </c>
      <c r="F108" t="s">
        <v>20</v>
      </c>
      <c r="G108" t="str">
        <f>"2026-04-26 14:11:09.951"</f>
        <v>2026-04-26 14:11:09.951</v>
      </c>
      <c r="H108" t="s">
        <v>21</v>
      </c>
    </row>
    <row r="109" spans="1:10" x14ac:dyDescent="0.25">
      <c r="A109" s="1">
        <v>0</v>
      </c>
      <c r="B109" t="s">
        <v>19</v>
      </c>
      <c r="C109">
        <v>700</v>
      </c>
      <c r="D109">
        <v>0</v>
      </c>
      <c r="E109" t="s">
        <v>20</v>
      </c>
      <c r="F109" t="s">
        <v>20</v>
      </c>
      <c r="G109" t="str">
        <f>"2026-04-26 13:51:52.964"</f>
        <v>2026-04-26 13:51:52.964</v>
      </c>
      <c r="H109" t="s">
        <v>21</v>
      </c>
      <c r="I109">
        <v>0</v>
      </c>
      <c r="J109" t="s">
        <v>22</v>
      </c>
    </row>
    <row r="110" spans="1:10" s="3" customFormat="1" x14ac:dyDescent="0.25">
      <c r="A110" s="2">
        <v>1</v>
      </c>
      <c r="B110" s="3" t="s">
        <v>23</v>
      </c>
      <c r="C110" s="3">
        <v>647</v>
      </c>
      <c r="D110" s="3">
        <v>1</v>
      </c>
      <c r="E110" s="3" t="s">
        <v>28</v>
      </c>
      <c r="F110" s="3" t="s">
        <v>29</v>
      </c>
      <c r="G110" s="3" t="str">
        <f>"2026-04-26 03:43:29.402"</f>
        <v>2026-04-26 03:43:29.402</v>
      </c>
      <c r="H110" s="3" t="s">
        <v>21</v>
      </c>
    </row>
    <row r="111" spans="1:10" s="3" customFormat="1" x14ac:dyDescent="0.25">
      <c r="A111" s="2">
        <v>2</v>
      </c>
      <c r="B111" s="3" t="s">
        <v>26</v>
      </c>
      <c r="C111" s="3">
        <v>647</v>
      </c>
      <c r="D111" s="3">
        <v>1</v>
      </c>
      <c r="E111" s="3" t="s">
        <v>28</v>
      </c>
      <c r="F111" s="3" t="s">
        <v>29</v>
      </c>
      <c r="G111" s="3" t="str">
        <f>"2026-04-26 03:43:28.302"</f>
        <v>2026-04-26 03:43:28.302</v>
      </c>
      <c r="H111" s="3" t="s">
        <v>21</v>
      </c>
      <c r="I111" s="3">
        <v>14.59</v>
      </c>
      <c r="J111" s="3" t="s">
        <v>33</v>
      </c>
    </row>
    <row r="112" spans="1:10" x14ac:dyDescent="0.25">
      <c r="A112" s="1">
        <v>4</v>
      </c>
      <c r="B112" t="s">
        <v>19</v>
      </c>
      <c r="C112">
        <v>700</v>
      </c>
      <c r="D112">
        <v>0</v>
      </c>
      <c r="E112" t="s">
        <v>20</v>
      </c>
      <c r="F112" t="s">
        <v>20</v>
      </c>
      <c r="G112" t="str">
        <f>"2026-04-25 14:15:34.258"</f>
        <v>2026-04-25 14:15:34.258</v>
      </c>
      <c r="H112" t="s">
        <v>21</v>
      </c>
      <c r="I112">
        <v>0</v>
      </c>
      <c r="J112" t="s">
        <v>22</v>
      </c>
    </row>
    <row r="113" spans="1:10" s="3" customFormat="1" x14ac:dyDescent="0.25">
      <c r="A113" s="2">
        <v>5</v>
      </c>
      <c r="B113" s="3" t="s">
        <v>23</v>
      </c>
      <c r="C113" s="3">
        <v>647</v>
      </c>
      <c r="D113" s="3">
        <v>1</v>
      </c>
      <c r="E113" s="3" t="s">
        <v>28</v>
      </c>
      <c r="F113" s="3" t="s">
        <v>29</v>
      </c>
      <c r="G113" s="3" t="str">
        <f>"2026-04-25 06:56:10.804"</f>
        <v>2026-04-25 06:56:10.804</v>
      </c>
      <c r="H113" s="3" t="s">
        <v>21</v>
      </c>
    </row>
    <row r="114" spans="1:10" s="3" customFormat="1" x14ac:dyDescent="0.25">
      <c r="A114" s="2">
        <v>6</v>
      </c>
      <c r="B114" s="3" t="s">
        <v>26</v>
      </c>
      <c r="C114" s="3">
        <v>647</v>
      </c>
      <c r="D114" s="3">
        <v>1</v>
      </c>
      <c r="E114" s="3" t="s">
        <v>28</v>
      </c>
      <c r="F114" s="3" t="s">
        <v>29</v>
      </c>
      <c r="G114" s="3" t="str">
        <f>"2026-04-25 06:56:02.704"</f>
        <v>2026-04-25 06:56:02.704</v>
      </c>
      <c r="H114" s="3" t="s">
        <v>21</v>
      </c>
      <c r="I114" s="3">
        <v>11.71</v>
      </c>
      <c r="J114" s="3" t="s">
        <v>33</v>
      </c>
    </row>
    <row r="115" spans="1:10" x14ac:dyDescent="0.25">
      <c r="A115" s="1">
        <v>7</v>
      </c>
      <c r="B115" t="s">
        <v>19</v>
      </c>
      <c r="C115">
        <v>700</v>
      </c>
      <c r="D115">
        <v>0</v>
      </c>
      <c r="E115" t="s">
        <v>20</v>
      </c>
      <c r="F115" t="s">
        <v>20</v>
      </c>
      <c r="G115" t="str">
        <f>"2026-04-24 13:49:34.952"</f>
        <v>2026-04-24 13:49:34.952</v>
      </c>
      <c r="H115" t="s">
        <v>21</v>
      </c>
    </row>
    <row r="116" spans="1:10" x14ac:dyDescent="0.25">
      <c r="A116" s="1">
        <v>8</v>
      </c>
      <c r="B116" t="s">
        <v>23</v>
      </c>
      <c r="C116">
        <v>630</v>
      </c>
      <c r="D116">
        <v>5</v>
      </c>
      <c r="E116" t="s">
        <v>40</v>
      </c>
      <c r="F116" t="s">
        <v>41</v>
      </c>
      <c r="G116" t="str">
        <f>"2026-04-20 04:45:22.873"</f>
        <v>2026-04-20 04:45:22.873</v>
      </c>
      <c r="H116" t="s">
        <v>42</v>
      </c>
    </row>
    <row r="117" spans="1:10" x14ac:dyDescent="0.25">
      <c r="A117" s="1">
        <v>9</v>
      </c>
      <c r="B117" t="s">
        <v>19</v>
      </c>
      <c r="C117">
        <v>706</v>
      </c>
      <c r="D117">
        <v>4</v>
      </c>
      <c r="E117" t="s">
        <v>31</v>
      </c>
      <c r="F117" t="s">
        <v>32</v>
      </c>
      <c r="G117" t="str">
        <f>"2026-04-20 04:44:52.751"</f>
        <v>2026-04-20 04:44:52.751</v>
      </c>
      <c r="H117" t="s">
        <v>21</v>
      </c>
      <c r="I117">
        <v>0</v>
      </c>
      <c r="J117" t="s">
        <v>27</v>
      </c>
    </row>
    <row r="118" spans="1:10" x14ac:dyDescent="0.25">
      <c r="A118" s="1">
        <v>10</v>
      </c>
      <c r="B118" t="s">
        <v>38</v>
      </c>
      <c r="C118">
        <v>630</v>
      </c>
      <c r="D118">
        <v>5</v>
      </c>
      <c r="E118" t="s">
        <v>40</v>
      </c>
      <c r="F118" t="s">
        <v>41</v>
      </c>
      <c r="G118" t="str">
        <f>"2026-04-20 03:56:04.773"</f>
        <v>2026-04-20 03:56:04.773</v>
      </c>
      <c r="H118" t="s">
        <v>42</v>
      </c>
      <c r="I118">
        <v>0</v>
      </c>
      <c r="J118" t="s">
        <v>27</v>
      </c>
    </row>
    <row r="119" spans="1:10" x14ac:dyDescent="0.25">
      <c r="A119" s="1">
        <v>11</v>
      </c>
      <c r="B119" t="s">
        <v>19</v>
      </c>
      <c r="C119">
        <v>706</v>
      </c>
      <c r="D119">
        <v>4</v>
      </c>
      <c r="E119" t="s">
        <v>31</v>
      </c>
      <c r="F119" t="s">
        <v>32</v>
      </c>
      <c r="G119" t="str">
        <f>"2026-04-20 03:45:44.751"</f>
        <v>2026-04-20 03:45:44.751</v>
      </c>
      <c r="H119" t="s">
        <v>21</v>
      </c>
      <c r="I119">
        <v>0</v>
      </c>
      <c r="J119" t="s">
        <v>27</v>
      </c>
    </row>
    <row r="120" spans="1:10" x14ac:dyDescent="0.25">
      <c r="A120" s="1">
        <v>12</v>
      </c>
      <c r="B120" t="s">
        <v>19</v>
      </c>
      <c r="C120">
        <v>700</v>
      </c>
      <c r="D120">
        <v>0</v>
      </c>
      <c r="E120" t="s">
        <v>20</v>
      </c>
      <c r="F120" t="s">
        <v>20</v>
      </c>
      <c r="G120" t="str">
        <f>"2026-04-20 02:55:11.971"</f>
        <v>2026-04-20 02:55:11.971</v>
      </c>
      <c r="H120" t="s">
        <v>21</v>
      </c>
    </row>
    <row r="121" spans="1:10" x14ac:dyDescent="0.25">
      <c r="A121" s="1">
        <v>13</v>
      </c>
      <c r="B121" t="s">
        <v>23</v>
      </c>
      <c r="C121">
        <v>635</v>
      </c>
      <c r="D121">
        <v>1</v>
      </c>
      <c r="E121" t="s">
        <v>44</v>
      </c>
      <c r="F121" t="s">
        <v>45</v>
      </c>
      <c r="G121" t="str">
        <f>"2026-04-18 18:35:35.708"</f>
        <v>2026-04-18 18:35:35.708</v>
      </c>
      <c r="H121" t="s">
        <v>21</v>
      </c>
    </row>
    <row r="122" spans="1:10" x14ac:dyDescent="0.25">
      <c r="A122" s="1">
        <v>14</v>
      </c>
      <c r="B122" t="s">
        <v>26</v>
      </c>
      <c r="C122">
        <v>635</v>
      </c>
      <c r="D122">
        <v>1</v>
      </c>
      <c r="E122" t="s">
        <v>44</v>
      </c>
      <c r="F122" t="s">
        <v>45</v>
      </c>
      <c r="G122" t="str">
        <f>"2026-04-18 18:32:36.708"</f>
        <v>2026-04-18 18:32:36.708</v>
      </c>
      <c r="H122" t="s">
        <v>21</v>
      </c>
      <c r="I122">
        <v>2.0699999999999998</v>
      </c>
      <c r="J122" t="s">
        <v>33</v>
      </c>
    </row>
    <row r="123" spans="1:10" x14ac:dyDescent="0.25">
      <c r="A123" s="1">
        <v>15</v>
      </c>
      <c r="B123" t="s">
        <v>23</v>
      </c>
      <c r="C123">
        <v>619</v>
      </c>
      <c r="D123">
        <v>1</v>
      </c>
      <c r="E123" t="s">
        <v>46</v>
      </c>
      <c r="F123" t="s">
        <v>45</v>
      </c>
      <c r="G123" t="str">
        <f>"2026-04-18 14:21:38.808"</f>
        <v>2026-04-18 14:21:38.808</v>
      </c>
      <c r="H123" t="s">
        <v>47</v>
      </c>
    </row>
    <row r="124" spans="1:10" x14ac:dyDescent="0.25">
      <c r="A124" s="1">
        <v>16</v>
      </c>
      <c r="B124" t="s">
        <v>26</v>
      </c>
      <c r="C124">
        <v>619</v>
      </c>
      <c r="D124">
        <v>1</v>
      </c>
      <c r="E124" t="s">
        <v>46</v>
      </c>
      <c r="F124" t="s">
        <v>45</v>
      </c>
      <c r="G124" t="str">
        <f>"2026-04-18 14:20:50.108"</f>
        <v>2026-04-18 14:20:50.108</v>
      </c>
      <c r="H124" t="s">
        <v>47</v>
      </c>
      <c r="I124">
        <v>0</v>
      </c>
      <c r="J124" t="s">
        <v>27</v>
      </c>
    </row>
    <row r="125" spans="1:10" x14ac:dyDescent="0.25">
      <c r="A125" s="1">
        <v>17</v>
      </c>
      <c r="B125" t="s">
        <v>19</v>
      </c>
      <c r="C125">
        <v>706</v>
      </c>
      <c r="D125">
        <v>4</v>
      </c>
      <c r="E125" t="s">
        <v>31</v>
      </c>
      <c r="F125" t="s">
        <v>32</v>
      </c>
      <c r="G125" t="str">
        <f>"2026-04-18 14:20:45.259"</f>
        <v>2026-04-18 14:20:45.259</v>
      </c>
      <c r="H125" t="s">
        <v>21</v>
      </c>
      <c r="I125">
        <v>0</v>
      </c>
      <c r="J125" t="s">
        <v>27</v>
      </c>
    </row>
    <row r="126" spans="1:10" x14ac:dyDescent="0.25">
      <c r="A126" s="1">
        <v>18</v>
      </c>
      <c r="B126" t="s">
        <v>19</v>
      </c>
      <c r="C126">
        <v>706</v>
      </c>
      <c r="D126">
        <v>3</v>
      </c>
      <c r="E126" t="s">
        <v>31</v>
      </c>
      <c r="F126" t="s">
        <v>48</v>
      </c>
      <c r="G126" t="str">
        <f>"2026-04-18 14:20:21.929"</f>
        <v>2026-04-18 14:20:21.929</v>
      </c>
      <c r="H126" t="s">
        <v>21</v>
      </c>
      <c r="I126">
        <v>0</v>
      </c>
      <c r="J126" t="s">
        <v>27</v>
      </c>
    </row>
    <row r="127" spans="1:10" x14ac:dyDescent="0.25">
      <c r="A127" s="1">
        <v>19</v>
      </c>
      <c r="B127" t="s">
        <v>19</v>
      </c>
      <c r="C127">
        <v>700</v>
      </c>
      <c r="D127">
        <v>0</v>
      </c>
      <c r="E127" t="s">
        <v>20</v>
      </c>
      <c r="F127" t="s">
        <v>20</v>
      </c>
      <c r="G127" t="str">
        <f>"2026-04-18 14:18:58.949"</f>
        <v>2026-04-18 14:18:58.949</v>
      </c>
      <c r="H127" t="s">
        <v>21</v>
      </c>
    </row>
    <row r="128" spans="1:10" x14ac:dyDescent="0.25">
      <c r="A128" s="1">
        <v>20</v>
      </c>
      <c r="B128" t="s">
        <v>19</v>
      </c>
      <c r="C128">
        <v>700</v>
      </c>
      <c r="D128">
        <v>0</v>
      </c>
      <c r="E128" t="s">
        <v>20</v>
      </c>
      <c r="F128" t="s">
        <v>20</v>
      </c>
      <c r="G128" t="str">
        <f>"2026-04-18 14:01:46.956"</f>
        <v>2026-04-18 14:01:46.956</v>
      </c>
      <c r="H128" t="s">
        <v>21</v>
      </c>
    </row>
    <row r="129" spans="1:10" x14ac:dyDescent="0.25">
      <c r="A129" s="1">
        <v>21</v>
      </c>
      <c r="B129" t="s">
        <v>19</v>
      </c>
      <c r="C129">
        <v>706</v>
      </c>
      <c r="D129">
        <v>2</v>
      </c>
      <c r="E129" t="s">
        <v>31</v>
      </c>
      <c r="F129" t="s">
        <v>43</v>
      </c>
      <c r="G129" t="str">
        <f>"2026-04-18 13:50:48.839"</f>
        <v>2026-04-18 13:50:48.839</v>
      </c>
      <c r="H129" t="s">
        <v>21</v>
      </c>
      <c r="I129">
        <v>0</v>
      </c>
      <c r="J129" t="s">
        <v>27</v>
      </c>
    </row>
    <row r="130" spans="1:10" x14ac:dyDescent="0.25">
      <c r="A130" s="1">
        <v>22</v>
      </c>
      <c r="B130" t="s">
        <v>19</v>
      </c>
      <c r="C130">
        <v>700</v>
      </c>
      <c r="D130">
        <v>0</v>
      </c>
      <c r="E130" t="s">
        <v>20</v>
      </c>
      <c r="F130" t="s">
        <v>20</v>
      </c>
      <c r="G130" t="str">
        <f>"2026-04-18 13:50:34.959"</f>
        <v>2026-04-18 13:50:34.959</v>
      </c>
      <c r="H130" t="s">
        <v>21</v>
      </c>
    </row>
    <row r="131" spans="1:10" x14ac:dyDescent="0.25">
      <c r="A131" s="1">
        <v>23</v>
      </c>
      <c r="B131" t="s">
        <v>23</v>
      </c>
      <c r="C131">
        <v>635</v>
      </c>
      <c r="D131">
        <v>1</v>
      </c>
      <c r="E131" t="s">
        <v>44</v>
      </c>
      <c r="F131" t="s">
        <v>45</v>
      </c>
      <c r="G131" t="str">
        <f>"2026-04-18 11:38:21.992"</f>
        <v>2026-04-18 11:38:21.992</v>
      </c>
      <c r="H131" t="s">
        <v>21</v>
      </c>
    </row>
    <row r="132" spans="1:10" x14ac:dyDescent="0.25">
      <c r="A132" s="1">
        <v>24</v>
      </c>
      <c r="B132" t="s">
        <v>26</v>
      </c>
      <c r="C132">
        <v>635</v>
      </c>
      <c r="D132">
        <v>1</v>
      </c>
      <c r="E132" t="s">
        <v>44</v>
      </c>
      <c r="F132" t="s">
        <v>45</v>
      </c>
      <c r="G132" t="str">
        <f>"2026-04-18 11:32:00.492"</f>
        <v>2026-04-18 11:32:00.492</v>
      </c>
      <c r="H132" t="s">
        <v>21</v>
      </c>
      <c r="I132">
        <v>1.37</v>
      </c>
      <c r="J132" t="s">
        <v>39</v>
      </c>
    </row>
    <row r="133" spans="1:10" x14ac:dyDescent="0.25">
      <c r="A133" s="1">
        <v>25</v>
      </c>
      <c r="B133" t="s">
        <v>23</v>
      </c>
      <c r="C133">
        <v>630</v>
      </c>
      <c r="D133">
        <v>5</v>
      </c>
      <c r="E133" t="s">
        <v>40</v>
      </c>
      <c r="F133" t="s">
        <v>41</v>
      </c>
      <c r="G133" t="str">
        <f>"2026-04-18 04:49:25.192"</f>
        <v>2026-04-18 04:49:25.192</v>
      </c>
      <c r="H133" t="s">
        <v>42</v>
      </c>
    </row>
    <row r="134" spans="1:10" x14ac:dyDescent="0.25">
      <c r="A134" s="1">
        <v>26</v>
      </c>
      <c r="B134" t="s">
        <v>19</v>
      </c>
      <c r="C134">
        <v>706</v>
      </c>
      <c r="D134">
        <v>2</v>
      </c>
      <c r="E134" t="s">
        <v>31</v>
      </c>
      <c r="F134" t="s">
        <v>43</v>
      </c>
      <c r="G134" t="str">
        <f>"2026-04-18 04:48:55.163"</f>
        <v>2026-04-18 04:48:55.163</v>
      </c>
      <c r="H134" t="s">
        <v>21</v>
      </c>
      <c r="I134">
        <v>0</v>
      </c>
      <c r="J134" t="s">
        <v>27</v>
      </c>
    </row>
    <row r="135" spans="1:10" x14ac:dyDescent="0.25">
      <c r="A135" s="1">
        <v>27</v>
      </c>
      <c r="B135" t="s">
        <v>38</v>
      </c>
      <c r="C135">
        <v>630</v>
      </c>
      <c r="D135">
        <v>5</v>
      </c>
      <c r="E135" t="s">
        <v>40</v>
      </c>
      <c r="F135" t="s">
        <v>41</v>
      </c>
      <c r="G135" t="str">
        <f>"2026-04-18 04:43:41.393"</f>
        <v>2026-04-18 04:43:41.393</v>
      </c>
      <c r="H135" t="s">
        <v>42</v>
      </c>
      <c r="I135">
        <v>0</v>
      </c>
      <c r="J135" t="s">
        <v>27</v>
      </c>
    </row>
    <row r="136" spans="1:10" x14ac:dyDescent="0.25">
      <c r="A136" s="1">
        <v>28</v>
      </c>
      <c r="B136" t="s">
        <v>19</v>
      </c>
      <c r="C136">
        <v>700</v>
      </c>
      <c r="D136">
        <v>0</v>
      </c>
      <c r="E136" t="s">
        <v>20</v>
      </c>
      <c r="F136" t="s">
        <v>20</v>
      </c>
      <c r="G136" t="str">
        <f>"2026-04-17 11:36:42.153"</f>
        <v>2026-04-17 11:36:42.153</v>
      </c>
      <c r="H136" t="s">
        <v>21</v>
      </c>
      <c r="I136">
        <v>0</v>
      </c>
      <c r="J136" t="s">
        <v>22</v>
      </c>
    </row>
    <row r="137" spans="1:10" x14ac:dyDescent="0.25">
      <c r="A137" s="1">
        <v>29</v>
      </c>
      <c r="B137" t="s">
        <v>19</v>
      </c>
      <c r="C137">
        <v>700</v>
      </c>
      <c r="D137">
        <v>0</v>
      </c>
      <c r="E137" t="s">
        <v>20</v>
      </c>
      <c r="F137" t="s">
        <v>20</v>
      </c>
      <c r="G137" t="str">
        <f>"2026-04-16 14:21:52.983"</f>
        <v>2026-04-16 14:21:52.983</v>
      </c>
      <c r="H137" t="s">
        <v>21</v>
      </c>
      <c r="I137">
        <v>0</v>
      </c>
      <c r="J137" t="s">
        <v>22</v>
      </c>
    </row>
    <row r="138" spans="1:10" s="3" customFormat="1" x14ac:dyDescent="0.25">
      <c r="A138" s="2">
        <v>30</v>
      </c>
      <c r="B138" s="3" t="s">
        <v>23</v>
      </c>
      <c r="C138" s="3">
        <v>647</v>
      </c>
      <c r="D138" s="3">
        <v>1</v>
      </c>
      <c r="E138" s="3" t="s">
        <v>28</v>
      </c>
      <c r="F138" s="3" t="s">
        <v>29</v>
      </c>
      <c r="G138" s="3" t="str">
        <f>"2026-04-16 09:10:37.107"</f>
        <v>2026-04-16 09:10:37.107</v>
      </c>
      <c r="H138" s="3" t="s">
        <v>21</v>
      </c>
    </row>
    <row r="139" spans="1:10" s="3" customFormat="1" x14ac:dyDescent="0.25">
      <c r="A139" s="2">
        <v>31</v>
      </c>
      <c r="B139" s="3" t="s">
        <v>26</v>
      </c>
      <c r="C139" s="3">
        <v>647</v>
      </c>
      <c r="D139" s="3">
        <v>1</v>
      </c>
      <c r="E139" s="3" t="s">
        <v>28</v>
      </c>
      <c r="F139" s="3" t="s">
        <v>29</v>
      </c>
      <c r="G139" s="3" t="str">
        <f>"2026-04-16 09:10:33.808"</f>
        <v>2026-04-16 09:10:33.808</v>
      </c>
      <c r="H139" s="3" t="s">
        <v>21</v>
      </c>
      <c r="I139" s="3">
        <v>12.65</v>
      </c>
      <c r="J139" s="3" t="s">
        <v>33</v>
      </c>
    </row>
    <row r="140" spans="1:10" x14ac:dyDescent="0.25">
      <c r="A140" s="1">
        <v>32</v>
      </c>
      <c r="B140" t="s">
        <v>19</v>
      </c>
      <c r="C140">
        <v>706</v>
      </c>
      <c r="D140">
        <v>4</v>
      </c>
      <c r="E140" t="s">
        <v>31</v>
      </c>
      <c r="F140" t="s">
        <v>32</v>
      </c>
      <c r="G140" t="str">
        <f>"2026-04-14 13:32:42.410"</f>
        <v>2026-04-14 13:32:42.410</v>
      </c>
      <c r="H140" t="s">
        <v>21</v>
      </c>
      <c r="I140">
        <v>0</v>
      </c>
      <c r="J140" t="s">
        <v>27</v>
      </c>
    </row>
    <row r="141" spans="1:10" x14ac:dyDescent="0.25">
      <c r="A141" s="1">
        <v>33</v>
      </c>
      <c r="B141" t="s">
        <v>19</v>
      </c>
      <c r="C141">
        <v>700</v>
      </c>
      <c r="D141">
        <v>0</v>
      </c>
      <c r="E141" t="s">
        <v>20</v>
      </c>
      <c r="F141" t="s">
        <v>20</v>
      </c>
      <c r="G141" t="str">
        <f>"2026-04-14 13:32:21.950"</f>
        <v>2026-04-14 13:32:21.950</v>
      </c>
      <c r="H141" t="s">
        <v>21</v>
      </c>
    </row>
    <row r="142" spans="1:10" x14ac:dyDescent="0.25">
      <c r="A142" s="1">
        <v>34</v>
      </c>
      <c r="B142" t="s">
        <v>19</v>
      </c>
      <c r="C142">
        <v>700</v>
      </c>
      <c r="D142">
        <v>0</v>
      </c>
      <c r="E142" t="s">
        <v>20</v>
      </c>
      <c r="F142" t="s">
        <v>20</v>
      </c>
      <c r="G142" t="str">
        <f>"2026-04-14 12:36:20.982"</f>
        <v>2026-04-14 12:36:20.982</v>
      </c>
      <c r="H142" t="s">
        <v>21</v>
      </c>
      <c r="I142">
        <v>0</v>
      </c>
      <c r="J142" t="s">
        <v>22</v>
      </c>
    </row>
    <row r="143" spans="1:10" x14ac:dyDescent="0.25">
      <c r="A143" s="1">
        <v>35</v>
      </c>
      <c r="B143" t="s">
        <v>19</v>
      </c>
      <c r="C143">
        <v>700</v>
      </c>
      <c r="D143">
        <v>0</v>
      </c>
      <c r="E143" t="s">
        <v>20</v>
      </c>
      <c r="F143" t="s">
        <v>20</v>
      </c>
      <c r="G143" t="str">
        <f>"2026-04-13 23:36:06.947"</f>
        <v>2026-04-13 23:36:06.947</v>
      </c>
      <c r="H143" t="s">
        <v>21</v>
      </c>
      <c r="I143">
        <v>0</v>
      </c>
      <c r="J143" t="s">
        <v>22</v>
      </c>
    </row>
    <row r="144" spans="1:10" x14ac:dyDescent="0.25">
      <c r="A144" s="1">
        <v>36</v>
      </c>
      <c r="B144" t="s">
        <v>19</v>
      </c>
      <c r="C144">
        <v>700</v>
      </c>
      <c r="D144">
        <v>0</v>
      </c>
      <c r="E144" t="s">
        <v>20</v>
      </c>
      <c r="F144" t="s">
        <v>20</v>
      </c>
      <c r="G144" t="str">
        <f>"2026-04-13 22:59:31.939"</f>
        <v>2026-04-13 22:59:31.939</v>
      </c>
      <c r="H144" t="s">
        <v>21</v>
      </c>
      <c r="I144">
        <v>0</v>
      </c>
      <c r="J144" t="s">
        <v>22</v>
      </c>
    </row>
    <row r="145" spans="1:10" x14ac:dyDescent="0.25">
      <c r="A145" s="1">
        <v>37</v>
      </c>
      <c r="B145" t="s">
        <v>38</v>
      </c>
      <c r="C145">
        <v>630</v>
      </c>
      <c r="D145">
        <v>5</v>
      </c>
      <c r="E145" t="s">
        <v>40</v>
      </c>
      <c r="F145" t="s">
        <v>41</v>
      </c>
      <c r="G145" t="str">
        <f>"2026-04-13 22:50:43.243"</f>
        <v>2026-04-13 22:50:43.243</v>
      </c>
      <c r="H145" t="s">
        <v>42</v>
      </c>
      <c r="I145">
        <v>0</v>
      </c>
      <c r="J145" t="s">
        <v>27</v>
      </c>
    </row>
    <row r="146" spans="1:10" s="3" customFormat="1" x14ac:dyDescent="0.25">
      <c r="A146" s="2">
        <v>38</v>
      </c>
      <c r="B146" s="3" t="s">
        <v>23</v>
      </c>
      <c r="C146" s="3">
        <v>647</v>
      </c>
      <c r="D146" s="3">
        <v>1</v>
      </c>
      <c r="E146" s="3" t="s">
        <v>28</v>
      </c>
      <c r="F146" s="3" t="s">
        <v>29</v>
      </c>
      <c r="G146" s="3" t="str">
        <f>"2026-04-10 18:00:26.444"</f>
        <v>2026-04-10 18:00:26.444</v>
      </c>
      <c r="H146" s="3" t="s">
        <v>21</v>
      </c>
    </row>
    <row r="147" spans="1:10" s="3" customFormat="1" x14ac:dyDescent="0.25">
      <c r="A147" s="2">
        <v>39</v>
      </c>
      <c r="B147" s="3" t="s">
        <v>26</v>
      </c>
      <c r="C147" s="3">
        <v>647</v>
      </c>
      <c r="D147" s="3">
        <v>1</v>
      </c>
      <c r="E147" s="3" t="s">
        <v>28</v>
      </c>
      <c r="F147" s="3" t="s">
        <v>29</v>
      </c>
      <c r="G147" s="3" t="str">
        <f>"2026-04-10 18:00:23.144"</f>
        <v>2026-04-10 18:00:23.144</v>
      </c>
      <c r="H147" s="3" t="s">
        <v>21</v>
      </c>
      <c r="I147" s="3">
        <v>8.0500000000000007</v>
      </c>
      <c r="J147" s="3" t="s">
        <v>33</v>
      </c>
    </row>
    <row r="148" spans="1:10" x14ac:dyDescent="0.25">
      <c r="A148" s="1">
        <v>40</v>
      </c>
      <c r="B148" t="s">
        <v>19</v>
      </c>
      <c r="C148">
        <v>706</v>
      </c>
      <c r="D148">
        <v>2</v>
      </c>
      <c r="E148" t="s">
        <v>31</v>
      </c>
      <c r="F148" t="s">
        <v>43</v>
      </c>
      <c r="G148" t="str">
        <f>"2026-04-10 14:22:15.056"</f>
        <v>2026-04-10 14:22:15.056</v>
      </c>
      <c r="H148" t="s">
        <v>21</v>
      </c>
      <c r="I148">
        <v>0</v>
      </c>
      <c r="J148" t="s">
        <v>27</v>
      </c>
    </row>
    <row r="149" spans="1:10" x14ac:dyDescent="0.25">
      <c r="A149" s="1">
        <v>41</v>
      </c>
      <c r="B149" t="s">
        <v>19</v>
      </c>
      <c r="C149">
        <v>700</v>
      </c>
      <c r="D149">
        <v>0</v>
      </c>
      <c r="E149" t="s">
        <v>20</v>
      </c>
      <c r="F149" t="s">
        <v>20</v>
      </c>
      <c r="G149" t="str">
        <f>"2026-04-10 14:21:58.196"</f>
        <v>2026-04-10 14:21:58.196</v>
      </c>
      <c r="H149" t="s">
        <v>21</v>
      </c>
      <c r="I149">
        <v>0</v>
      </c>
      <c r="J149" t="s">
        <v>22</v>
      </c>
    </row>
    <row r="150" spans="1:10" x14ac:dyDescent="0.25">
      <c r="A150" s="1">
        <v>42</v>
      </c>
      <c r="B150" t="s">
        <v>19</v>
      </c>
      <c r="C150">
        <v>700</v>
      </c>
      <c r="D150">
        <v>0</v>
      </c>
      <c r="E150" t="s">
        <v>20</v>
      </c>
      <c r="F150" t="s">
        <v>20</v>
      </c>
      <c r="G150" t="str">
        <f>"2026-04-09 12:10:05.947"</f>
        <v>2026-04-09 12:10:05.947</v>
      </c>
      <c r="H150" t="s">
        <v>21</v>
      </c>
      <c r="I150">
        <v>0</v>
      </c>
      <c r="J150" t="s">
        <v>22</v>
      </c>
    </row>
    <row r="151" spans="1:10" x14ac:dyDescent="0.25">
      <c r="A151" s="1">
        <v>43</v>
      </c>
      <c r="B151" t="s">
        <v>19</v>
      </c>
      <c r="C151">
        <v>700</v>
      </c>
      <c r="D151">
        <v>0</v>
      </c>
      <c r="E151" t="s">
        <v>20</v>
      </c>
      <c r="F151" t="s">
        <v>20</v>
      </c>
      <c r="G151" t="str">
        <f>"2026-04-09 11:44:43.938"</f>
        <v>2026-04-09 11:44:43.938</v>
      </c>
      <c r="H151" t="s">
        <v>21</v>
      </c>
    </row>
    <row r="152" spans="1:10" x14ac:dyDescent="0.25">
      <c r="A152" s="1">
        <v>44</v>
      </c>
      <c r="B152" t="s">
        <v>23</v>
      </c>
      <c r="C152">
        <v>619</v>
      </c>
      <c r="D152">
        <v>1</v>
      </c>
      <c r="E152" t="s">
        <v>46</v>
      </c>
      <c r="F152" t="s">
        <v>45</v>
      </c>
      <c r="G152" t="str">
        <f>"2026-04-09 11:43:02.994"</f>
        <v>2026-04-09 11:43:02.994</v>
      </c>
      <c r="H152" t="s">
        <v>47</v>
      </c>
    </row>
    <row r="153" spans="1:10" x14ac:dyDescent="0.25">
      <c r="A153" s="1">
        <v>45</v>
      </c>
      <c r="B153" t="s">
        <v>26</v>
      </c>
      <c r="C153">
        <v>619</v>
      </c>
      <c r="D153">
        <v>1</v>
      </c>
      <c r="E153" t="s">
        <v>46</v>
      </c>
      <c r="F153" t="s">
        <v>45</v>
      </c>
      <c r="G153" t="str">
        <f>"2026-04-09 11:42:01.246"</f>
        <v>2026-04-09 11:42:01.246</v>
      </c>
      <c r="H153" t="s">
        <v>47</v>
      </c>
      <c r="I153">
        <v>0</v>
      </c>
      <c r="J153" t="s">
        <v>27</v>
      </c>
    </row>
    <row r="154" spans="1:10" x14ac:dyDescent="0.25">
      <c r="A154" s="1">
        <v>46</v>
      </c>
      <c r="B154" t="s">
        <v>19</v>
      </c>
      <c r="C154">
        <v>706</v>
      </c>
      <c r="D154">
        <v>2</v>
      </c>
      <c r="E154" t="s">
        <v>31</v>
      </c>
      <c r="F154" t="s">
        <v>43</v>
      </c>
      <c r="G154" t="str">
        <f>"2026-04-09 11:41:56.427"</f>
        <v>2026-04-09 11:41:56.427</v>
      </c>
      <c r="H154" t="s">
        <v>21</v>
      </c>
      <c r="I154">
        <v>0</v>
      </c>
      <c r="J154" t="s">
        <v>27</v>
      </c>
    </row>
    <row r="155" spans="1:10" x14ac:dyDescent="0.25">
      <c r="A155" s="1">
        <v>47</v>
      </c>
      <c r="B155" t="s">
        <v>19</v>
      </c>
      <c r="C155">
        <v>700</v>
      </c>
      <c r="D155">
        <v>0</v>
      </c>
      <c r="E155" t="s">
        <v>20</v>
      </c>
      <c r="F155" t="s">
        <v>20</v>
      </c>
      <c r="G155" t="str">
        <f>"2026-04-09 11:41:35.947"</f>
        <v>2026-04-09 11:41:35.947</v>
      </c>
      <c r="H155" t="s">
        <v>21</v>
      </c>
      <c r="I155">
        <v>0</v>
      </c>
      <c r="J155" t="s">
        <v>22</v>
      </c>
    </row>
    <row r="156" spans="1:10" x14ac:dyDescent="0.25">
      <c r="A156" s="1">
        <v>48</v>
      </c>
      <c r="B156" t="s">
        <v>38</v>
      </c>
      <c r="C156">
        <v>630</v>
      </c>
      <c r="D156">
        <v>5</v>
      </c>
      <c r="E156" t="s">
        <v>40</v>
      </c>
      <c r="F156" t="s">
        <v>41</v>
      </c>
      <c r="G156" t="str">
        <f>"2026-04-09 11:17:26.696"</f>
        <v>2026-04-09 11:17:26.696</v>
      </c>
      <c r="H156" t="s">
        <v>42</v>
      </c>
      <c r="I156">
        <v>0</v>
      </c>
      <c r="J156" t="s">
        <v>27</v>
      </c>
    </row>
    <row r="157" spans="1:10" x14ac:dyDescent="0.25">
      <c r="A157" s="1">
        <v>49</v>
      </c>
      <c r="B157" t="s">
        <v>19</v>
      </c>
      <c r="C157">
        <v>700</v>
      </c>
      <c r="D157">
        <v>0</v>
      </c>
      <c r="E157" t="s">
        <v>20</v>
      </c>
      <c r="F157" t="s">
        <v>20</v>
      </c>
      <c r="G157" t="str">
        <f>"2026-04-09 11:12:23.945"</f>
        <v>2026-04-09 11:12:23.945</v>
      </c>
      <c r="H157" t="s">
        <v>21</v>
      </c>
      <c r="I157">
        <v>0</v>
      </c>
      <c r="J157" t="s">
        <v>22</v>
      </c>
    </row>
    <row r="158" spans="1:10" x14ac:dyDescent="0.25">
      <c r="A158" s="1">
        <v>50</v>
      </c>
      <c r="B158" t="s">
        <v>23</v>
      </c>
      <c r="C158">
        <v>619</v>
      </c>
      <c r="D158">
        <v>1</v>
      </c>
      <c r="E158" t="s">
        <v>46</v>
      </c>
      <c r="F158" t="s">
        <v>45</v>
      </c>
      <c r="G158" t="str">
        <f>"2026-04-09 10:37:14.333"</f>
        <v>2026-04-09 10:37:14.333</v>
      </c>
      <c r="H158" t="s">
        <v>47</v>
      </c>
    </row>
    <row r="159" spans="1:10" x14ac:dyDescent="0.25">
      <c r="A159" s="1">
        <v>51</v>
      </c>
      <c r="B159" t="s">
        <v>26</v>
      </c>
      <c r="C159">
        <v>619</v>
      </c>
      <c r="D159">
        <v>1</v>
      </c>
      <c r="E159" t="s">
        <v>46</v>
      </c>
      <c r="F159" t="s">
        <v>45</v>
      </c>
      <c r="G159" t="str">
        <f>"2026-04-09 10:36:24.985"</f>
        <v>2026-04-09 10:36:24.985</v>
      </c>
      <c r="H159" t="s">
        <v>47</v>
      </c>
      <c r="I159">
        <v>0</v>
      </c>
      <c r="J159" t="s">
        <v>27</v>
      </c>
    </row>
    <row r="160" spans="1:10" x14ac:dyDescent="0.25">
      <c r="A160" s="1">
        <v>52</v>
      </c>
      <c r="B160" t="s">
        <v>19</v>
      </c>
      <c r="C160">
        <v>706</v>
      </c>
      <c r="D160">
        <v>4</v>
      </c>
      <c r="E160" t="s">
        <v>31</v>
      </c>
      <c r="F160" t="s">
        <v>32</v>
      </c>
      <c r="G160" t="str">
        <f>"2026-04-09 10:36:19.935"</f>
        <v>2026-04-09 10:36:19.935</v>
      </c>
      <c r="H160" t="s">
        <v>21</v>
      </c>
      <c r="I160">
        <v>0</v>
      </c>
      <c r="J160" t="s">
        <v>27</v>
      </c>
    </row>
    <row r="161" spans="1:10" x14ac:dyDescent="0.25">
      <c r="A161" s="1">
        <v>53</v>
      </c>
      <c r="B161" t="s">
        <v>19</v>
      </c>
      <c r="C161">
        <v>700</v>
      </c>
      <c r="D161">
        <v>0</v>
      </c>
      <c r="E161" t="s">
        <v>20</v>
      </c>
      <c r="F161" t="s">
        <v>20</v>
      </c>
      <c r="G161" t="str">
        <f>"2026-04-09 10:31:50.135"</f>
        <v>2026-04-09 10:31:50.135</v>
      </c>
      <c r="H161" t="s">
        <v>21</v>
      </c>
      <c r="I161">
        <v>0</v>
      </c>
      <c r="J161" t="s">
        <v>22</v>
      </c>
    </row>
    <row r="162" spans="1:10" x14ac:dyDescent="0.25">
      <c r="A162" s="1">
        <v>54</v>
      </c>
      <c r="B162" t="s">
        <v>38</v>
      </c>
      <c r="C162">
        <v>630</v>
      </c>
      <c r="D162">
        <v>5</v>
      </c>
      <c r="E162" t="s">
        <v>40</v>
      </c>
      <c r="F162" t="s">
        <v>41</v>
      </c>
      <c r="G162" t="str">
        <f>"2026-04-09 09:22:14.869"</f>
        <v>2026-04-09 09:22:14.869</v>
      </c>
      <c r="H162" t="s">
        <v>42</v>
      </c>
      <c r="I162">
        <v>0</v>
      </c>
      <c r="J162" t="s">
        <v>27</v>
      </c>
    </row>
    <row r="163" spans="1:10" x14ac:dyDescent="0.25">
      <c r="A163" s="1">
        <v>55</v>
      </c>
      <c r="B163" t="s">
        <v>19</v>
      </c>
      <c r="C163">
        <v>700</v>
      </c>
      <c r="D163">
        <v>0</v>
      </c>
      <c r="E163" t="s">
        <v>20</v>
      </c>
      <c r="F163" t="s">
        <v>20</v>
      </c>
      <c r="G163" t="str">
        <f>"2026-04-09 09:17:12.173"</f>
        <v>2026-04-09 09:17:12.173</v>
      </c>
      <c r="H163" t="s">
        <v>21</v>
      </c>
      <c r="I163">
        <v>0</v>
      </c>
      <c r="J163" t="s">
        <v>22</v>
      </c>
    </row>
    <row r="164" spans="1:10" x14ac:dyDescent="0.25">
      <c r="A164" s="1">
        <v>56</v>
      </c>
      <c r="B164" t="s">
        <v>19</v>
      </c>
      <c r="C164">
        <v>706</v>
      </c>
      <c r="D164">
        <v>2</v>
      </c>
      <c r="E164" t="s">
        <v>31</v>
      </c>
      <c r="F164" t="s">
        <v>43</v>
      </c>
      <c r="G164" t="str">
        <f>"2026-04-07 14:23:25.669"</f>
        <v>2026-04-07 14:23:25.669</v>
      </c>
      <c r="H164" t="s">
        <v>21</v>
      </c>
      <c r="I164">
        <v>0</v>
      </c>
      <c r="J164" t="s">
        <v>27</v>
      </c>
    </row>
    <row r="165" spans="1:10" x14ac:dyDescent="0.25">
      <c r="A165" s="1">
        <v>57</v>
      </c>
      <c r="B165" t="s">
        <v>19</v>
      </c>
      <c r="C165">
        <v>700</v>
      </c>
      <c r="D165">
        <v>0</v>
      </c>
      <c r="E165" t="s">
        <v>20</v>
      </c>
      <c r="F165" t="s">
        <v>20</v>
      </c>
      <c r="G165" t="str">
        <f>"2026-04-07 14:23:06.939"</f>
        <v>2026-04-07 14:23:06.939</v>
      </c>
      <c r="H165" t="s">
        <v>21</v>
      </c>
    </row>
    <row r="166" spans="1:10" x14ac:dyDescent="0.25">
      <c r="A166" s="1">
        <v>58</v>
      </c>
      <c r="B166" t="s">
        <v>19</v>
      </c>
      <c r="C166">
        <v>700</v>
      </c>
      <c r="D166">
        <v>0</v>
      </c>
      <c r="E166" t="s">
        <v>20</v>
      </c>
      <c r="F166" t="s">
        <v>20</v>
      </c>
      <c r="G166" t="str">
        <f>"2026-04-07 14:21:25.025"</f>
        <v>2026-04-07 14:21:25.025</v>
      </c>
      <c r="H166" t="s">
        <v>21</v>
      </c>
    </row>
    <row r="167" spans="1:10" x14ac:dyDescent="0.25">
      <c r="A167" s="1">
        <v>59</v>
      </c>
      <c r="B167" t="s">
        <v>23</v>
      </c>
      <c r="C167">
        <v>619</v>
      </c>
      <c r="D167">
        <v>1</v>
      </c>
      <c r="E167" t="s">
        <v>46</v>
      </c>
      <c r="F167" t="s">
        <v>45</v>
      </c>
      <c r="G167" t="str">
        <f>"2026-04-07 14:20:33.902"</f>
        <v>2026-04-07 14:20:33.902</v>
      </c>
      <c r="H167" t="s">
        <v>47</v>
      </c>
    </row>
    <row r="168" spans="1:10" x14ac:dyDescent="0.25">
      <c r="A168" s="1">
        <v>60</v>
      </c>
      <c r="B168" t="s">
        <v>26</v>
      </c>
      <c r="C168">
        <v>619</v>
      </c>
      <c r="D168">
        <v>1</v>
      </c>
      <c r="E168" t="s">
        <v>46</v>
      </c>
      <c r="F168" t="s">
        <v>45</v>
      </c>
      <c r="G168" t="str">
        <f>"2026-04-07 14:20:05.349"</f>
        <v>2026-04-07 14:20:05.349</v>
      </c>
      <c r="H168" t="s">
        <v>47</v>
      </c>
      <c r="I168">
        <v>0</v>
      </c>
      <c r="J168" t="s">
        <v>27</v>
      </c>
    </row>
    <row r="169" spans="1:10" x14ac:dyDescent="0.25">
      <c r="A169" s="1">
        <v>61</v>
      </c>
      <c r="B169" t="s">
        <v>19</v>
      </c>
      <c r="C169">
        <v>706</v>
      </c>
      <c r="D169">
        <v>2</v>
      </c>
      <c r="E169" t="s">
        <v>31</v>
      </c>
      <c r="F169" t="s">
        <v>43</v>
      </c>
      <c r="G169" t="str">
        <f>"2026-04-07 14:19:58.892"</f>
        <v>2026-04-07 14:19:58.892</v>
      </c>
      <c r="H169" t="s">
        <v>21</v>
      </c>
      <c r="I169">
        <v>0</v>
      </c>
      <c r="J169" t="s">
        <v>27</v>
      </c>
    </row>
    <row r="170" spans="1:10" x14ac:dyDescent="0.25">
      <c r="A170" s="1">
        <v>62</v>
      </c>
      <c r="B170" t="s">
        <v>19</v>
      </c>
      <c r="C170">
        <v>706</v>
      </c>
      <c r="D170">
        <v>3</v>
      </c>
      <c r="E170" t="s">
        <v>31</v>
      </c>
      <c r="F170" t="s">
        <v>48</v>
      </c>
      <c r="G170" t="str">
        <f>"2026-04-07 14:19:06.892"</f>
        <v>2026-04-07 14:19:06.892</v>
      </c>
      <c r="H170" t="s">
        <v>21</v>
      </c>
      <c r="I170">
        <v>0</v>
      </c>
      <c r="J170" t="s">
        <v>27</v>
      </c>
    </row>
    <row r="171" spans="1:10" x14ac:dyDescent="0.25">
      <c r="A171" s="1">
        <v>63</v>
      </c>
      <c r="B171" t="s">
        <v>19</v>
      </c>
      <c r="C171">
        <v>700</v>
      </c>
      <c r="D171">
        <v>0</v>
      </c>
      <c r="E171" t="s">
        <v>20</v>
      </c>
      <c r="F171" t="s">
        <v>20</v>
      </c>
      <c r="G171" t="str">
        <f>"2026-04-07 14:18:18.922"</f>
        <v>2026-04-07 14:18:18.922</v>
      </c>
      <c r="H171" t="s">
        <v>21</v>
      </c>
    </row>
    <row r="172" spans="1:10" x14ac:dyDescent="0.25">
      <c r="A172" s="1">
        <v>64</v>
      </c>
      <c r="B172" t="s">
        <v>19</v>
      </c>
      <c r="C172">
        <v>700</v>
      </c>
      <c r="D172">
        <v>0</v>
      </c>
      <c r="E172" t="s">
        <v>20</v>
      </c>
      <c r="F172" t="s">
        <v>20</v>
      </c>
      <c r="G172" t="str">
        <f>"2026-04-07 14:03:07.933"</f>
        <v>2026-04-07 14:03:07.933</v>
      </c>
      <c r="H172" t="s">
        <v>21</v>
      </c>
    </row>
    <row r="173" spans="1:10" x14ac:dyDescent="0.25">
      <c r="A173" s="1">
        <v>65</v>
      </c>
      <c r="B173" t="s">
        <v>19</v>
      </c>
      <c r="C173">
        <v>706</v>
      </c>
      <c r="D173">
        <v>4</v>
      </c>
      <c r="E173" t="s">
        <v>31</v>
      </c>
      <c r="F173" t="s">
        <v>32</v>
      </c>
      <c r="G173" t="str">
        <f>"2026-04-07 13:48:40.224"</f>
        <v>2026-04-07 13:48:40.224</v>
      </c>
      <c r="H173" t="s">
        <v>21</v>
      </c>
      <c r="I173">
        <v>0</v>
      </c>
      <c r="J173" t="s">
        <v>27</v>
      </c>
    </row>
    <row r="174" spans="1:10" x14ac:dyDescent="0.25">
      <c r="A174" s="1">
        <v>66</v>
      </c>
      <c r="B174" t="s">
        <v>19</v>
      </c>
      <c r="C174">
        <v>700</v>
      </c>
      <c r="D174">
        <v>0</v>
      </c>
      <c r="E174" t="s">
        <v>20</v>
      </c>
      <c r="F174" t="s">
        <v>20</v>
      </c>
      <c r="G174" t="str">
        <f>"2026-04-07 13:48:21.944"</f>
        <v>2026-04-07 13:48:21.944</v>
      </c>
      <c r="H174" t="s">
        <v>21</v>
      </c>
      <c r="I174">
        <v>0</v>
      </c>
      <c r="J174" t="s">
        <v>22</v>
      </c>
    </row>
    <row r="175" spans="1:10" x14ac:dyDescent="0.25">
      <c r="A175" s="1">
        <v>67</v>
      </c>
      <c r="B175" t="s">
        <v>23</v>
      </c>
      <c r="C175">
        <v>619</v>
      </c>
      <c r="D175">
        <v>1</v>
      </c>
      <c r="E175" t="s">
        <v>46</v>
      </c>
      <c r="F175" t="s">
        <v>45</v>
      </c>
      <c r="G175" t="str">
        <f>"2026-04-07 13:46:42.335"</f>
        <v>2026-04-07 13:46:42.335</v>
      </c>
      <c r="H175" t="s">
        <v>47</v>
      </c>
    </row>
    <row r="176" spans="1:10" x14ac:dyDescent="0.25">
      <c r="A176" s="1">
        <v>68</v>
      </c>
      <c r="B176" t="s">
        <v>26</v>
      </c>
      <c r="C176">
        <v>619</v>
      </c>
      <c r="D176">
        <v>1</v>
      </c>
      <c r="E176" t="s">
        <v>46</v>
      </c>
      <c r="F176" t="s">
        <v>45</v>
      </c>
      <c r="G176" t="str">
        <f>"2026-04-07 13:46:03.136"</f>
        <v>2026-04-07 13:46:03.136</v>
      </c>
      <c r="H176" t="s">
        <v>47</v>
      </c>
      <c r="I176">
        <v>0</v>
      </c>
      <c r="J176" t="s">
        <v>27</v>
      </c>
    </row>
    <row r="177" spans="1:10" x14ac:dyDescent="0.25">
      <c r="A177" s="1">
        <v>69</v>
      </c>
      <c r="B177" t="s">
        <v>19</v>
      </c>
      <c r="C177">
        <v>706</v>
      </c>
      <c r="D177">
        <v>2</v>
      </c>
      <c r="E177" t="s">
        <v>31</v>
      </c>
      <c r="F177" t="s">
        <v>43</v>
      </c>
      <c r="G177" t="str">
        <f>"2026-04-07 13:45:56.697"</f>
        <v>2026-04-07 13:45:56.697</v>
      </c>
      <c r="H177" t="s">
        <v>21</v>
      </c>
      <c r="I177">
        <v>0</v>
      </c>
      <c r="J177" t="s">
        <v>27</v>
      </c>
    </row>
    <row r="178" spans="1:10" x14ac:dyDescent="0.25">
      <c r="A178" s="1">
        <v>70</v>
      </c>
      <c r="B178" t="s">
        <v>19</v>
      </c>
      <c r="C178">
        <v>700</v>
      </c>
      <c r="D178">
        <v>0</v>
      </c>
      <c r="E178" t="s">
        <v>20</v>
      </c>
      <c r="F178" t="s">
        <v>20</v>
      </c>
      <c r="G178" t="str">
        <f>"2026-04-07 13:45:39.967"</f>
        <v>2026-04-07 13:45:39.967</v>
      </c>
      <c r="H178" t="s">
        <v>21</v>
      </c>
    </row>
    <row r="179" spans="1:10" x14ac:dyDescent="0.25">
      <c r="A179" s="1">
        <v>71</v>
      </c>
      <c r="B179" t="s">
        <v>19</v>
      </c>
      <c r="C179">
        <v>700</v>
      </c>
      <c r="D179">
        <v>0</v>
      </c>
      <c r="E179" t="s">
        <v>20</v>
      </c>
      <c r="F179" t="s">
        <v>20</v>
      </c>
      <c r="G179" t="str">
        <f>"2026-04-07 13:42:57.968"</f>
        <v>2026-04-07 13:42:57.968</v>
      </c>
      <c r="H179" t="s">
        <v>21</v>
      </c>
      <c r="I179">
        <v>0</v>
      </c>
      <c r="J179" t="s">
        <v>22</v>
      </c>
    </row>
    <row r="180" spans="1:10" x14ac:dyDescent="0.25">
      <c r="A180" s="1">
        <v>72</v>
      </c>
      <c r="B180" t="s">
        <v>19</v>
      </c>
      <c r="C180">
        <v>706</v>
      </c>
      <c r="D180">
        <v>4</v>
      </c>
      <c r="E180" t="s">
        <v>31</v>
      </c>
      <c r="F180" t="s">
        <v>32</v>
      </c>
      <c r="G180" t="str">
        <f>"2026-04-07 13:21:18.197"</f>
        <v>2026-04-07 13:21:18.197</v>
      </c>
      <c r="H180" t="s">
        <v>21</v>
      </c>
      <c r="I180">
        <v>0</v>
      </c>
      <c r="J180" t="s">
        <v>27</v>
      </c>
    </row>
    <row r="181" spans="1:10" x14ac:dyDescent="0.25">
      <c r="A181" s="1">
        <v>73</v>
      </c>
      <c r="B181" t="s">
        <v>19</v>
      </c>
      <c r="C181">
        <v>706</v>
      </c>
      <c r="D181">
        <v>3</v>
      </c>
      <c r="E181" t="s">
        <v>31</v>
      </c>
      <c r="F181" t="s">
        <v>48</v>
      </c>
      <c r="G181" t="str">
        <f>"2026-04-07 13:20:54.587"</f>
        <v>2026-04-07 13:20:54.587</v>
      </c>
      <c r="H181" t="s">
        <v>21</v>
      </c>
      <c r="I181">
        <v>0</v>
      </c>
      <c r="J181" t="s">
        <v>27</v>
      </c>
    </row>
    <row r="182" spans="1:10" x14ac:dyDescent="0.25">
      <c r="A182" s="1">
        <v>74</v>
      </c>
      <c r="B182" t="s">
        <v>23</v>
      </c>
      <c r="C182">
        <v>619</v>
      </c>
      <c r="D182">
        <v>1</v>
      </c>
      <c r="E182" t="s">
        <v>46</v>
      </c>
      <c r="F182" t="s">
        <v>45</v>
      </c>
      <c r="G182" t="str">
        <f>"2026-04-07 13:20:29.685"</f>
        <v>2026-04-07 13:20:29.685</v>
      </c>
      <c r="H182" t="s">
        <v>47</v>
      </c>
    </row>
    <row r="183" spans="1:10" x14ac:dyDescent="0.25">
      <c r="A183" s="1">
        <v>75</v>
      </c>
      <c r="B183" t="s">
        <v>26</v>
      </c>
      <c r="C183">
        <v>619</v>
      </c>
      <c r="D183">
        <v>1</v>
      </c>
      <c r="E183" t="s">
        <v>46</v>
      </c>
      <c r="F183" t="s">
        <v>45</v>
      </c>
      <c r="G183" t="str">
        <f>"2026-04-07 13:19:34.585"</f>
        <v>2026-04-07 13:19:34.585</v>
      </c>
      <c r="H183" t="s">
        <v>47</v>
      </c>
      <c r="I183">
        <v>0</v>
      </c>
      <c r="J183" t="s">
        <v>27</v>
      </c>
    </row>
    <row r="184" spans="1:10" x14ac:dyDescent="0.25">
      <c r="A184" s="1">
        <v>76</v>
      </c>
      <c r="B184" t="s">
        <v>19</v>
      </c>
      <c r="C184">
        <v>706</v>
      </c>
      <c r="D184">
        <v>2</v>
      </c>
      <c r="E184" t="s">
        <v>31</v>
      </c>
      <c r="F184" t="s">
        <v>43</v>
      </c>
      <c r="G184" t="str">
        <f>"2026-04-07 13:19:28.037"</f>
        <v>2026-04-07 13:19:28.037</v>
      </c>
      <c r="H184" t="s">
        <v>21</v>
      </c>
      <c r="I184">
        <v>0</v>
      </c>
      <c r="J184" t="s">
        <v>27</v>
      </c>
    </row>
    <row r="185" spans="1:10" x14ac:dyDescent="0.25">
      <c r="A185" s="1">
        <v>77</v>
      </c>
      <c r="B185" t="s">
        <v>19</v>
      </c>
      <c r="C185">
        <v>700</v>
      </c>
      <c r="D185">
        <v>0</v>
      </c>
      <c r="E185" t="s">
        <v>20</v>
      </c>
      <c r="F185" t="s">
        <v>20</v>
      </c>
      <c r="G185" t="str">
        <f>"2026-04-07 13:18:31.977"</f>
        <v>2026-04-07 13:18:31.977</v>
      </c>
      <c r="H185" t="s">
        <v>21</v>
      </c>
      <c r="I185">
        <v>0</v>
      </c>
      <c r="J185" t="s">
        <v>22</v>
      </c>
    </row>
    <row r="186" spans="1:10" x14ac:dyDescent="0.25">
      <c r="A186" s="1">
        <v>78</v>
      </c>
      <c r="B186" t="s">
        <v>19</v>
      </c>
      <c r="C186">
        <v>700</v>
      </c>
      <c r="D186">
        <v>0</v>
      </c>
      <c r="E186" t="s">
        <v>20</v>
      </c>
      <c r="F186" t="s">
        <v>20</v>
      </c>
      <c r="G186" t="str">
        <f>"2026-04-07 09:53:06.925"</f>
        <v>2026-04-07 09:53:06.925</v>
      </c>
      <c r="H186" t="s">
        <v>21</v>
      </c>
    </row>
    <row r="187" spans="1:10" x14ac:dyDescent="0.25">
      <c r="A187" s="1">
        <v>79</v>
      </c>
      <c r="B187" t="s">
        <v>19</v>
      </c>
      <c r="C187">
        <v>700</v>
      </c>
      <c r="D187">
        <v>0</v>
      </c>
      <c r="E187" t="s">
        <v>20</v>
      </c>
      <c r="F187" t="s">
        <v>20</v>
      </c>
      <c r="G187" t="str">
        <f>"2026-04-07 09:50:13.974"</f>
        <v>2026-04-07 09:50:13.974</v>
      </c>
      <c r="H187" t="s">
        <v>21</v>
      </c>
      <c r="I187">
        <v>0</v>
      </c>
      <c r="J187" t="s">
        <v>22</v>
      </c>
    </row>
    <row r="188" spans="1:10" x14ac:dyDescent="0.25">
      <c r="A188" s="1">
        <v>80</v>
      </c>
      <c r="B188" t="s">
        <v>23</v>
      </c>
      <c r="C188">
        <v>635</v>
      </c>
      <c r="D188">
        <v>1</v>
      </c>
      <c r="E188" t="s">
        <v>44</v>
      </c>
      <c r="F188" t="s">
        <v>45</v>
      </c>
      <c r="G188" t="str">
        <f>"2026-04-04 00:22:34.618"</f>
        <v>2026-04-04 00:22:34.618</v>
      </c>
      <c r="H188" t="s">
        <v>21</v>
      </c>
    </row>
    <row r="189" spans="1:10" x14ac:dyDescent="0.25">
      <c r="A189" s="1">
        <v>81</v>
      </c>
      <c r="B189" t="s">
        <v>26</v>
      </c>
      <c r="C189">
        <v>635</v>
      </c>
      <c r="D189">
        <v>1</v>
      </c>
      <c r="E189" t="s">
        <v>44</v>
      </c>
      <c r="F189" t="s">
        <v>45</v>
      </c>
      <c r="G189" t="str">
        <f>"2026-04-04 00:16:50.118"</f>
        <v>2026-04-04 00:16:50.118</v>
      </c>
      <c r="H189" t="s">
        <v>21</v>
      </c>
      <c r="I189">
        <v>9.52</v>
      </c>
      <c r="J189" t="s">
        <v>33</v>
      </c>
    </row>
    <row r="190" spans="1:10" x14ac:dyDescent="0.25">
      <c r="A190" s="1">
        <v>82</v>
      </c>
      <c r="B190" t="s">
        <v>23</v>
      </c>
      <c r="C190">
        <v>635</v>
      </c>
      <c r="D190">
        <v>1</v>
      </c>
      <c r="E190" t="s">
        <v>44</v>
      </c>
      <c r="F190" t="s">
        <v>45</v>
      </c>
      <c r="G190" t="str">
        <f>"2026-04-03 22:45:41.217"</f>
        <v>2026-04-03 22:45:41.217</v>
      </c>
      <c r="H190" t="s">
        <v>21</v>
      </c>
    </row>
    <row r="191" spans="1:10" x14ac:dyDescent="0.25">
      <c r="A191" s="1">
        <v>83</v>
      </c>
      <c r="B191" t="s">
        <v>26</v>
      </c>
      <c r="C191">
        <v>635</v>
      </c>
      <c r="D191">
        <v>1</v>
      </c>
      <c r="E191" t="s">
        <v>44</v>
      </c>
      <c r="F191" t="s">
        <v>45</v>
      </c>
      <c r="G191" t="str">
        <f>"2026-04-03 22:37:50.318"</f>
        <v>2026-04-03 22:37:50.318</v>
      </c>
      <c r="H191" t="s">
        <v>21</v>
      </c>
      <c r="I191">
        <v>8.83</v>
      </c>
      <c r="J191" t="s">
        <v>33</v>
      </c>
    </row>
    <row r="192" spans="1:10" x14ac:dyDescent="0.25">
      <c r="A192" s="1">
        <v>84</v>
      </c>
      <c r="B192" t="s">
        <v>23</v>
      </c>
      <c r="C192">
        <v>98</v>
      </c>
      <c r="D192">
        <v>1</v>
      </c>
      <c r="E192" t="s">
        <v>49</v>
      </c>
      <c r="F192" t="s">
        <v>50</v>
      </c>
      <c r="G192" t="str">
        <f>"2026-04-03 21:38:21.818"</f>
        <v>2026-04-03 21:38:21.818</v>
      </c>
      <c r="H192" t="s">
        <v>21</v>
      </c>
    </row>
    <row r="193" spans="1:10" x14ac:dyDescent="0.25">
      <c r="A193" s="1">
        <v>85</v>
      </c>
      <c r="B193" t="s">
        <v>26</v>
      </c>
      <c r="C193">
        <v>98</v>
      </c>
      <c r="D193">
        <v>1</v>
      </c>
      <c r="E193" t="s">
        <v>49</v>
      </c>
      <c r="F193" t="s">
        <v>50</v>
      </c>
      <c r="G193" t="str">
        <f>"2026-04-03 21:38:20.819"</f>
        <v>2026-04-03 21:38:20.819</v>
      </c>
      <c r="H193" t="s">
        <v>21</v>
      </c>
      <c r="I193">
        <v>0</v>
      </c>
      <c r="J193" t="s">
        <v>30</v>
      </c>
    </row>
    <row r="194" spans="1:10" x14ac:dyDescent="0.25">
      <c r="A194" s="1">
        <v>86</v>
      </c>
      <c r="B194" t="s">
        <v>19</v>
      </c>
      <c r="C194">
        <v>700</v>
      </c>
      <c r="D194">
        <v>0</v>
      </c>
      <c r="E194" t="s">
        <v>20</v>
      </c>
      <c r="F194" t="s">
        <v>20</v>
      </c>
      <c r="G194" t="str">
        <f>"2026-04-02 13:25:52.938"</f>
        <v>2026-04-02 13:25:52.938</v>
      </c>
      <c r="H194" t="s">
        <v>21</v>
      </c>
    </row>
    <row r="195" spans="1:10" x14ac:dyDescent="0.25">
      <c r="A195" s="1">
        <v>87</v>
      </c>
      <c r="B195" t="s">
        <v>23</v>
      </c>
      <c r="C195">
        <v>635</v>
      </c>
      <c r="D195">
        <v>1</v>
      </c>
      <c r="E195" t="s">
        <v>44</v>
      </c>
      <c r="F195" t="s">
        <v>45</v>
      </c>
      <c r="G195" t="str">
        <f>"2026-04-02 11:06:42.103"</f>
        <v>2026-04-02 11:06:42.103</v>
      </c>
      <c r="H195" t="s">
        <v>21</v>
      </c>
    </row>
    <row r="196" spans="1:10" x14ac:dyDescent="0.25">
      <c r="A196" s="1">
        <v>88</v>
      </c>
      <c r="B196" t="s">
        <v>26</v>
      </c>
      <c r="C196">
        <v>635</v>
      </c>
      <c r="D196">
        <v>1</v>
      </c>
      <c r="E196" t="s">
        <v>44</v>
      </c>
      <c r="F196" t="s">
        <v>45</v>
      </c>
      <c r="G196" t="str">
        <f>"2026-04-02 11:02:58.603"</f>
        <v>2026-04-02 11:02:58.603</v>
      </c>
      <c r="H196" t="s">
        <v>21</v>
      </c>
      <c r="I196">
        <v>2.44</v>
      </c>
      <c r="J196" t="s">
        <v>30</v>
      </c>
    </row>
    <row r="197" spans="1:10" x14ac:dyDescent="0.25">
      <c r="A197" s="1">
        <v>89</v>
      </c>
      <c r="B197" t="s">
        <v>23</v>
      </c>
      <c r="C197">
        <v>630</v>
      </c>
      <c r="D197">
        <v>5</v>
      </c>
      <c r="E197" t="s">
        <v>40</v>
      </c>
      <c r="F197" t="s">
        <v>41</v>
      </c>
      <c r="G197" t="str">
        <f>"2026-04-02 01:15:07.204"</f>
        <v>2026-04-02 01:15:07.204</v>
      </c>
      <c r="H197" t="s">
        <v>42</v>
      </c>
    </row>
    <row r="198" spans="1:10" x14ac:dyDescent="0.25">
      <c r="A198" s="1">
        <v>90</v>
      </c>
      <c r="B198" t="s">
        <v>19</v>
      </c>
      <c r="C198">
        <v>706</v>
      </c>
      <c r="D198">
        <v>2</v>
      </c>
      <c r="E198" t="s">
        <v>31</v>
      </c>
      <c r="F198" t="s">
        <v>43</v>
      </c>
      <c r="G198" t="str">
        <f>"2026-04-02 01:14:37.193"</f>
        <v>2026-04-02 01:14:37.193</v>
      </c>
      <c r="H198" t="s">
        <v>21</v>
      </c>
      <c r="I198">
        <v>0</v>
      </c>
      <c r="J198" t="s">
        <v>27</v>
      </c>
    </row>
    <row r="199" spans="1:10" x14ac:dyDescent="0.25">
      <c r="A199" s="1">
        <v>91</v>
      </c>
      <c r="B199" t="s">
        <v>38</v>
      </c>
      <c r="C199">
        <v>630</v>
      </c>
      <c r="D199">
        <v>5</v>
      </c>
      <c r="E199" t="s">
        <v>40</v>
      </c>
      <c r="F199" t="s">
        <v>41</v>
      </c>
      <c r="G199" t="str">
        <f>"2026-04-02 01:05:27.304"</f>
        <v>2026-04-02 01:05:27.304</v>
      </c>
      <c r="H199" t="s">
        <v>42</v>
      </c>
      <c r="I199">
        <v>0</v>
      </c>
      <c r="J199" t="s">
        <v>27</v>
      </c>
    </row>
    <row r="200" spans="1:10" x14ac:dyDescent="0.25">
      <c r="A200" s="1">
        <v>92</v>
      </c>
      <c r="B200" t="s">
        <v>23</v>
      </c>
      <c r="C200">
        <v>635</v>
      </c>
      <c r="D200">
        <v>1</v>
      </c>
      <c r="E200" t="s">
        <v>44</v>
      </c>
      <c r="F200" t="s">
        <v>45</v>
      </c>
      <c r="G200" t="str">
        <f>"2026-04-01 10:50:17.003"</f>
        <v>2026-04-01 10:50:17.003</v>
      </c>
      <c r="H200" t="s">
        <v>21</v>
      </c>
    </row>
    <row r="201" spans="1:10" x14ac:dyDescent="0.25">
      <c r="A201" s="1">
        <v>93</v>
      </c>
      <c r="B201" t="s">
        <v>26</v>
      </c>
      <c r="C201">
        <v>635</v>
      </c>
      <c r="D201">
        <v>1</v>
      </c>
      <c r="E201" t="s">
        <v>44</v>
      </c>
      <c r="F201" t="s">
        <v>45</v>
      </c>
      <c r="G201" t="str">
        <f>"2026-04-01 10:44:37.003"</f>
        <v>2026-04-01 10:44:37.003</v>
      </c>
      <c r="H201" t="s">
        <v>21</v>
      </c>
      <c r="I201">
        <v>2.69</v>
      </c>
      <c r="J201" t="s">
        <v>33</v>
      </c>
    </row>
    <row r="202" spans="1:10" x14ac:dyDescent="0.25">
      <c r="A202" s="1">
        <v>94</v>
      </c>
      <c r="B202" t="s">
        <v>23</v>
      </c>
      <c r="C202">
        <v>635</v>
      </c>
      <c r="D202">
        <v>1</v>
      </c>
      <c r="E202" t="s">
        <v>44</v>
      </c>
      <c r="F202" t="s">
        <v>45</v>
      </c>
      <c r="G202" t="str">
        <f>"2026-03-30 17:46:20.103"</f>
        <v>2026-03-30 17:46:20.103</v>
      </c>
      <c r="H202" t="s">
        <v>21</v>
      </c>
    </row>
    <row r="203" spans="1:10" x14ac:dyDescent="0.25">
      <c r="A203" s="1">
        <v>95</v>
      </c>
      <c r="B203" t="s">
        <v>26</v>
      </c>
      <c r="C203">
        <v>635</v>
      </c>
      <c r="D203">
        <v>1</v>
      </c>
      <c r="E203" t="s">
        <v>44</v>
      </c>
      <c r="F203" t="s">
        <v>45</v>
      </c>
      <c r="G203" t="str">
        <f>"2026-03-30 17:41:05.603"</f>
        <v>2026-03-30 17:41:05.603</v>
      </c>
      <c r="H203" t="s">
        <v>21</v>
      </c>
      <c r="I203">
        <v>1.1100000000000001</v>
      </c>
      <c r="J203" t="s">
        <v>33</v>
      </c>
    </row>
    <row r="204" spans="1:10" x14ac:dyDescent="0.25">
      <c r="A204" s="1">
        <v>96</v>
      </c>
      <c r="B204" t="s">
        <v>19</v>
      </c>
      <c r="C204">
        <v>706</v>
      </c>
      <c r="D204">
        <v>2</v>
      </c>
      <c r="E204" t="s">
        <v>31</v>
      </c>
      <c r="F204" t="s">
        <v>43</v>
      </c>
      <c r="G204" t="str">
        <f>"2026-03-30 09:00:25.693"</f>
        <v>2026-03-30 09:00:25.693</v>
      </c>
      <c r="H204" t="s">
        <v>21</v>
      </c>
      <c r="I204">
        <v>0</v>
      </c>
      <c r="J204" t="s">
        <v>27</v>
      </c>
    </row>
    <row r="205" spans="1:10" x14ac:dyDescent="0.25">
      <c r="A205" s="1">
        <v>97</v>
      </c>
      <c r="B205" t="s">
        <v>19</v>
      </c>
      <c r="C205">
        <v>700</v>
      </c>
      <c r="D205">
        <v>0</v>
      </c>
      <c r="E205" t="s">
        <v>20</v>
      </c>
      <c r="F205" t="s">
        <v>20</v>
      </c>
      <c r="G205" t="str">
        <f>"2026-03-30 09:00:11.933"</f>
        <v>2026-03-30 09:00:11.933</v>
      </c>
      <c r="H205" t="s">
        <v>21</v>
      </c>
      <c r="I205">
        <v>0</v>
      </c>
      <c r="J205" t="s">
        <v>22</v>
      </c>
    </row>
    <row r="206" spans="1:10" x14ac:dyDescent="0.25">
      <c r="A206" s="1">
        <v>98</v>
      </c>
      <c r="B206" t="s">
        <v>19</v>
      </c>
      <c r="C206">
        <v>700</v>
      </c>
      <c r="D206">
        <v>0</v>
      </c>
      <c r="E206" t="s">
        <v>20</v>
      </c>
      <c r="F206" t="s">
        <v>20</v>
      </c>
      <c r="G206" t="str">
        <f>"2026-03-30 08:01:57.937"</f>
        <v>2026-03-30 08:01:57.937</v>
      </c>
      <c r="H206" t="s">
        <v>21</v>
      </c>
    </row>
    <row r="207" spans="1:10" x14ac:dyDescent="0.25">
      <c r="A207" s="1">
        <v>99</v>
      </c>
      <c r="B207" t="s">
        <v>19</v>
      </c>
      <c r="C207">
        <v>700</v>
      </c>
      <c r="D207">
        <v>0</v>
      </c>
      <c r="E207" t="s">
        <v>20</v>
      </c>
      <c r="F207" t="s">
        <v>20</v>
      </c>
      <c r="G207" t="str">
        <f>"2026-03-30 07:56:33.957"</f>
        <v>2026-03-30 07:56:33.957</v>
      </c>
      <c r="H207" t="s">
        <v>21</v>
      </c>
    </row>
    <row r="208" spans="1:10" x14ac:dyDescent="0.25">
      <c r="A208" s="1">
        <v>0</v>
      </c>
      <c r="B208" t="s">
        <v>19</v>
      </c>
      <c r="C208">
        <v>700</v>
      </c>
      <c r="D208">
        <v>0</v>
      </c>
      <c r="E208" t="s">
        <v>20</v>
      </c>
      <c r="F208" t="s">
        <v>20</v>
      </c>
      <c r="G208" t="str">
        <f>"2026-03-29 19:38:20.939"</f>
        <v>2026-03-29 19:38:20.939</v>
      </c>
      <c r="H208" t="s">
        <v>21</v>
      </c>
    </row>
    <row r="209" spans="1:10" x14ac:dyDescent="0.25">
      <c r="A209" s="1">
        <v>1</v>
      </c>
      <c r="B209" t="s">
        <v>19</v>
      </c>
      <c r="C209">
        <v>706</v>
      </c>
      <c r="D209">
        <v>4</v>
      </c>
      <c r="E209" t="s">
        <v>31</v>
      </c>
      <c r="F209" t="s">
        <v>32</v>
      </c>
      <c r="G209" t="str">
        <f>"2026-03-29 16:47:49.120"</f>
        <v>2026-03-29 16:47:49.120</v>
      </c>
      <c r="H209" t="s">
        <v>21</v>
      </c>
      <c r="I209">
        <v>0</v>
      </c>
      <c r="J209" t="s">
        <v>27</v>
      </c>
    </row>
    <row r="210" spans="1:10" x14ac:dyDescent="0.25">
      <c r="A210" s="1">
        <v>2</v>
      </c>
      <c r="B210" t="s">
        <v>19</v>
      </c>
      <c r="C210">
        <v>700</v>
      </c>
      <c r="D210">
        <v>0</v>
      </c>
      <c r="E210" t="s">
        <v>20</v>
      </c>
      <c r="F210" t="s">
        <v>20</v>
      </c>
      <c r="G210" t="str">
        <f>"2026-03-29 16:19:17.940"</f>
        <v>2026-03-29 16:19:17.940</v>
      </c>
      <c r="H210" t="s">
        <v>21</v>
      </c>
      <c r="I210">
        <v>0</v>
      </c>
      <c r="J210" t="s">
        <v>22</v>
      </c>
    </row>
    <row r="211" spans="1:10" x14ac:dyDescent="0.25">
      <c r="A211" s="1">
        <v>3</v>
      </c>
      <c r="B211" t="s">
        <v>19</v>
      </c>
      <c r="C211">
        <v>700</v>
      </c>
      <c r="D211">
        <v>0</v>
      </c>
      <c r="E211" t="s">
        <v>20</v>
      </c>
      <c r="F211" t="s">
        <v>20</v>
      </c>
      <c r="G211" t="str">
        <f>"2026-03-29 15:34:15.967"</f>
        <v>2026-03-29 15:34:15.967</v>
      </c>
      <c r="H211" t="s">
        <v>21</v>
      </c>
    </row>
    <row r="212" spans="1:10" x14ac:dyDescent="0.25">
      <c r="A212" s="1">
        <v>4</v>
      </c>
      <c r="B212" t="s">
        <v>19</v>
      </c>
      <c r="C212">
        <v>700</v>
      </c>
      <c r="D212">
        <v>0</v>
      </c>
      <c r="E212" t="s">
        <v>20</v>
      </c>
      <c r="F212" t="s">
        <v>20</v>
      </c>
      <c r="G212" t="str">
        <f>"2026-03-29 07:46:59.965"</f>
        <v>2026-03-29 07:46:59.965</v>
      </c>
      <c r="H212" t="s">
        <v>21</v>
      </c>
    </row>
    <row r="213" spans="1:10" x14ac:dyDescent="0.25">
      <c r="A213" s="1">
        <v>5</v>
      </c>
      <c r="B213" t="s">
        <v>19</v>
      </c>
      <c r="C213">
        <v>700</v>
      </c>
      <c r="D213">
        <v>0</v>
      </c>
      <c r="E213" t="s">
        <v>20</v>
      </c>
      <c r="F213" t="s">
        <v>20</v>
      </c>
      <c r="G213" t="str">
        <f>"2026-03-29 01:43:59.933"</f>
        <v>2026-03-29 01:43:59.933</v>
      </c>
      <c r="H213" t="s">
        <v>21</v>
      </c>
      <c r="I213">
        <v>0</v>
      </c>
      <c r="J213" t="s">
        <v>22</v>
      </c>
    </row>
    <row r="214" spans="1:10" x14ac:dyDescent="0.25">
      <c r="A214" s="1">
        <v>6</v>
      </c>
      <c r="B214" t="s">
        <v>19</v>
      </c>
      <c r="C214">
        <v>700</v>
      </c>
      <c r="D214">
        <v>0</v>
      </c>
      <c r="E214" t="s">
        <v>20</v>
      </c>
      <c r="F214" t="s">
        <v>20</v>
      </c>
      <c r="G214" t="str">
        <f>"2026-03-28 13:08:01.217"</f>
        <v>2026-03-28 13:08:01.217</v>
      </c>
      <c r="H214" t="s">
        <v>21</v>
      </c>
    </row>
    <row r="215" spans="1:10" x14ac:dyDescent="0.25">
      <c r="A215" s="1">
        <v>7</v>
      </c>
      <c r="B215" t="s">
        <v>19</v>
      </c>
      <c r="C215">
        <v>706</v>
      </c>
      <c r="D215">
        <v>2</v>
      </c>
      <c r="E215" t="s">
        <v>31</v>
      </c>
      <c r="F215" t="s">
        <v>43</v>
      </c>
      <c r="G215" t="str">
        <f>"2026-03-28 12:39:14.386"</f>
        <v>2026-03-28 12:39:14.386</v>
      </c>
      <c r="H215" t="s">
        <v>21</v>
      </c>
      <c r="I215">
        <v>0</v>
      </c>
      <c r="J215" t="s">
        <v>27</v>
      </c>
    </row>
    <row r="216" spans="1:10" x14ac:dyDescent="0.25">
      <c r="A216" s="1">
        <v>8</v>
      </c>
      <c r="B216" t="s">
        <v>19</v>
      </c>
      <c r="C216">
        <v>700</v>
      </c>
      <c r="D216">
        <v>0</v>
      </c>
      <c r="E216" t="s">
        <v>20</v>
      </c>
      <c r="F216" t="s">
        <v>20</v>
      </c>
      <c r="G216" t="str">
        <f>"2026-03-28 12:38:49.966"</f>
        <v>2026-03-28 12:38:49.966</v>
      </c>
      <c r="H216" t="s">
        <v>21</v>
      </c>
    </row>
    <row r="217" spans="1:10" x14ac:dyDescent="0.25">
      <c r="A217" s="1">
        <v>9</v>
      </c>
      <c r="B217" t="s">
        <v>23</v>
      </c>
      <c r="C217">
        <v>98</v>
      </c>
      <c r="D217">
        <v>1</v>
      </c>
      <c r="E217" t="s">
        <v>49</v>
      </c>
      <c r="F217" t="s">
        <v>50</v>
      </c>
      <c r="G217" t="str">
        <f>"2026-03-28 06:04:38.191"</f>
        <v>2026-03-28 06:04:38.191</v>
      </c>
      <c r="H217" t="s">
        <v>21</v>
      </c>
    </row>
    <row r="218" spans="1:10" x14ac:dyDescent="0.25">
      <c r="A218" s="1">
        <v>10</v>
      </c>
      <c r="B218" t="s">
        <v>26</v>
      </c>
      <c r="C218">
        <v>98</v>
      </c>
      <c r="D218">
        <v>1</v>
      </c>
      <c r="E218" t="s">
        <v>49</v>
      </c>
      <c r="F218" t="s">
        <v>50</v>
      </c>
      <c r="G218" t="str">
        <f>"2026-03-28 06:04:37.191"</f>
        <v>2026-03-28 06:04:37.191</v>
      </c>
      <c r="H218" t="s">
        <v>21</v>
      </c>
      <c r="I218">
        <v>0</v>
      </c>
      <c r="J218" t="s">
        <v>30</v>
      </c>
    </row>
    <row r="219" spans="1:10" x14ac:dyDescent="0.25">
      <c r="A219" s="1">
        <v>11</v>
      </c>
      <c r="B219" t="s">
        <v>23</v>
      </c>
      <c r="C219">
        <v>98</v>
      </c>
      <c r="D219">
        <v>1</v>
      </c>
      <c r="E219" t="s">
        <v>49</v>
      </c>
      <c r="F219" t="s">
        <v>50</v>
      </c>
      <c r="G219" t="str">
        <f>"2026-03-28 06:04:36.791"</f>
        <v>2026-03-28 06:04:36.791</v>
      </c>
      <c r="H219" t="s">
        <v>21</v>
      </c>
    </row>
    <row r="220" spans="1:10" x14ac:dyDescent="0.25">
      <c r="A220" s="1">
        <v>12</v>
      </c>
      <c r="B220" t="s">
        <v>26</v>
      </c>
      <c r="C220">
        <v>98</v>
      </c>
      <c r="D220">
        <v>1</v>
      </c>
      <c r="E220" t="s">
        <v>49</v>
      </c>
      <c r="F220" t="s">
        <v>50</v>
      </c>
      <c r="G220" t="str">
        <f>"2026-03-28 06:04:35.391"</f>
        <v>2026-03-28 06:04:35.391</v>
      </c>
      <c r="H220" t="s">
        <v>21</v>
      </c>
      <c r="I220">
        <v>0</v>
      </c>
      <c r="J220" t="s">
        <v>30</v>
      </c>
    </row>
    <row r="221" spans="1:10" x14ac:dyDescent="0.25">
      <c r="A221" s="1">
        <v>13</v>
      </c>
      <c r="B221" t="s">
        <v>23</v>
      </c>
      <c r="C221">
        <v>98</v>
      </c>
      <c r="D221">
        <v>1</v>
      </c>
      <c r="E221" t="s">
        <v>49</v>
      </c>
      <c r="F221" t="s">
        <v>50</v>
      </c>
      <c r="G221" t="str">
        <f>"2026-03-28 06:04:35.191"</f>
        <v>2026-03-28 06:04:35.191</v>
      </c>
      <c r="H221" t="s">
        <v>21</v>
      </c>
    </row>
    <row r="222" spans="1:10" x14ac:dyDescent="0.25">
      <c r="A222" s="1">
        <v>14</v>
      </c>
      <c r="B222" t="s">
        <v>26</v>
      </c>
      <c r="C222">
        <v>98</v>
      </c>
      <c r="D222">
        <v>1</v>
      </c>
      <c r="E222" t="s">
        <v>49</v>
      </c>
      <c r="F222" t="s">
        <v>50</v>
      </c>
      <c r="G222" t="str">
        <f>"2026-03-28 06:04:34.191"</f>
        <v>2026-03-28 06:04:34.191</v>
      </c>
      <c r="H222" t="s">
        <v>21</v>
      </c>
      <c r="I222">
        <v>0</v>
      </c>
      <c r="J222" t="s">
        <v>30</v>
      </c>
    </row>
    <row r="223" spans="1:10" x14ac:dyDescent="0.25">
      <c r="A223" s="1">
        <v>15</v>
      </c>
      <c r="B223" t="s">
        <v>23</v>
      </c>
      <c r="C223">
        <v>98</v>
      </c>
      <c r="D223">
        <v>1</v>
      </c>
      <c r="E223" t="s">
        <v>49</v>
      </c>
      <c r="F223" t="s">
        <v>50</v>
      </c>
      <c r="G223" t="str">
        <f>"2026-03-28 06:04:27.791"</f>
        <v>2026-03-28 06:04:27.791</v>
      </c>
      <c r="H223" t="s">
        <v>21</v>
      </c>
    </row>
    <row r="224" spans="1:10" x14ac:dyDescent="0.25">
      <c r="A224" s="1">
        <v>16</v>
      </c>
      <c r="B224" t="s">
        <v>26</v>
      </c>
      <c r="C224">
        <v>98</v>
      </c>
      <c r="D224">
        <v>1</v>
      </c>
      <c r="E224" t="s">
        <v>49</v>
      </c>
      <c r="F224" t="s">
        <v>50</v>
      </c>
      <c r="G224" t="str">
        <f>"2026-03-28 06:04:26.791"</f>
        <v>2026-03-28 06:04:26.791</v>
      </c>
      <c r="H224" t="s">
        <v>21</v>
      </c>
      <c r="I224">
        <v>0.03</v>
      </c>
      <c r="J224" t="s">
        <v>30</v>
      </c>
    </row>
    <row r="225" spans="1:10" x14ac:dyDescent="0.25">
      <c r="A225" s="1">
        <v>17</v>
      </c>
      <c r="B225" t="s">
        <v>23</v>
      </c>
      <c r="C225">
        <v>98</v>
      </c>
      <c r="D225">
        <v>1</v>
      </c>
      <c r="E225" t="s">
        <v>49</v>
      </c>
      <c r="F225" t="s">
        <v>50</v>
      </c>
      <c r="G225" t="str">
        <f>"2026-03-28 06:04:26.591"</f>
        <v>2026-03-28 06:04:26.591</v>
      </c>
      <c r="H225" t="s">
        <v>21</v>
      </c>
    </row>
    <row r="226" spans="1:10" x14ac:dyDescent="0.25">
      <c r="A226" s="1">
        <v>18</v>
      </c>
      <c r="B226" t="s">
        <v>26</v>
      </c>
      <c r="C226">
        <v>98</v>
      </c>
      <c r="D226">
        <v>1</v>
      </c>
      <c r="E226" t="s">
        <v>49</v>
      </c>
      <c r="F226" t="s">
        <v>50</v>
      </c>
      <c r="G226" t="str">
        <f>"2026-03-28 06:04:25.591"</f>
        <v>2026-03-28 06:04:25.591</v>
      </c>
      <c r="H226" t="s">
        <v>21</v>
      </c>
      <c r="I226">
        <v>0</v>
      </c>
      <c r="J226" t="s">
        <v>30</v>
      </c>
    </row>
    <row r="227" spans="1:10" x14ac:dyDescent="0.25">
      <c r="A227" s="1">
        <v>19</v>
      </c>
      <c r="B227" t="s">
        <v>23</v>
      </c>
      <c r="C227">
        <v>98</v>
      </c>
      <c r="D227">
        <v>1</v>
      </c>
      <c r="E227" t="s">
        <v>49</v>
      </c>
      <c r="F227" t="s">
        <v>50</v>
      </c>
      <c r="G227" t="str">
        <f>"2026-03-28 06:04:25.391"</f>
        <v>2026-03-28 06:04:25.391</v>
      </c>
      <c r="H227" t="s">
        <v>21</v>
      </c>
    </row>
    <row r="228" spans="1:10" x14ac:dyDescent="0.25">
      <c r="A228" s="1">
        <v>20</v>
      </c>
      <c r="B228" t="s">
        <v>26</v>
      </c>
      <c r="C228">
        <v>98</v>
      </c>
      <c r="D228">
        <v>1</v>
      </c>
      <c r="E228" t="s">
        <v>49</v>
      </c>
      <c r="F228" t="s">
        <v>50</v>
      </c>
      <c r="G228" t="str">
        <f>"2026-03-28 06:04:24.392"</f>
        <v>2026-03-28 06:04:24.392</v>
      </c>
      <c r="H228" t="s">
        <v>21</v>
      </c>
      <c r="I228">
        <v>0</v>
      </c>
      <c r="J228" t="s">
        <v>30</v>
      </c>
    </row>
    <row r="229" spans="1:10" x14ac:dyDescent="0.25">
      <c r="A229" s="1">
        <v>21</v>
      </c>
      <c r="B229" t="s">
        <v>19</v>
      </c>
      <c r="C229">
        <v>700</v>
      </c>
      <c r="D229">
        <v>0</v>
      </c>
      <c r="E229" t="s">
        <v>20</v>
      </c>
      <c r="F229" t="s">
        <v>20</v>
      </c>
      <c r="G229" t="str">
        <f>"2026-03-28 04:56:42.111"</f>
        <v>2026-03-28 04:56:42.111</v>
      </c>
      <c r="H229" t="s">
        <v>21</v>
      </c>
    </row>
    <row r="230" spans="1:10" s="3" customFormat="1" x14ac:dyDescent="0.25">
      <c r="A230" s="2">
        <v>22</v>
      </c>
      <c r="B230" s="3" t="s">
        <v>23</v>
      </c>
      <c r="C230" s="3">
        <v>647</v>
      </c>
      <c r="D230" s="3">
        <v>1</v>
      </c>
      <c r="E230" s="3" t="s">
        <v>28</v>
      </c>
      <c r="F230" s="3" t="s">
        <v>29</v>
      </c>
      <c r="G230" s="3" t="str">
        <f>"2026-03-27 16:24:59.324"</f>
        <v>2026-03-27 16:24:59.324</v>
      </c>
      <c r="H230" s="3" t="s">
        <v>21</v>
      </c>
    </row>
    <row r="231" spans="1:10" s="3" customFormat="1" x14ac:dyDescent="0.25">
      <c r="A231" s="2">
        <v>23</v>
      </c>
      <c r="B231" s="3" t="s">
        <v>26</v>
      </c>
      <c r="C231" s="3">
        <v>647</v>
      </c>
      <c r="D231" s="3">
        <v>1</v>
      </c>
      <c r="E231" s="3" t="s">
        <v>28</v>
      </c>
      <c r="F231" s="3" t="s">
        <v>29</v>
      </c>
      <c r="G231" s="3" t="str">
        <f>"2026-03-27 16:24:57.924"</f>
        <v>2026-03-27 16:24:57.924</v>
      </c>
      <c r="H231" s="3" t="s">
        <v>21</v>
      </c>
      <c r="I231" s="3">
        <v>9.18</v>
      </c>
      <c r="J231" s="3" t="s">
        <v>33</v>
      </c>
    </row>
    <row r="232" spans="1:10" x14ac:dyDescent="0.25">
      <c r="A232" s="1">
        <v>24</v>
      </c>
      <c r="B232" t="s">
        <v>23</v>
      </c>
      <c r="C232">
        <v>635</v>
      </c>
      <c r="D232">
        <v>1</v>
      </c>
      <c r="E232" t="s">
        <v>44</v>
      </c>
      <c r="F232" t="s">
        <v>45</v>
      </c>
      <c r="G232" t="str">
        <f>"2026-03-27 09:51:09.770"</f>
        <v>2026-03-27 09:51:09.770</v>
      </c>
      <c r="H232" t="s">
        <v>21</v>
      </c>
    </row>
    <row r="233" spans="1:10" x14ac:dyDescent="0.25">
      <c r="A233" s="1">
        <v>25</v>
      </c>
      <c r="B233" t="s">
        <v>26</v>
      </c>
      <c r="C233">
        <v>635</v>
      </c>
      <c r="D233">
        <v>1</v>
      </c>
      <c r="E233" t="s">
        <v>44</v>
      </c>
      <c r="F233" t="s">
        <v>45</v>
      </c>
      <c r="G233" t="str">
        <f>"2026-03-27 09:44:55.770"</f>
        <v>2026-03-27 09:44:55.770</v>
      </c>
      <c r="H233" t="s">
        <v>21</v>
      </c>
      <c r="I233">
        <v>-1.32</v>
      </c>
      <c r="J233" t="s">
        <v>39</v>
      </c>
    </row>
    <row r="234" spans="1:10" x14ac:dyDescent="0.25">
      <c r="A234" s="1">
        <v>26</v>
      </c>
      <c r="B234" t="s">
        <v>34</v>
      </c>
      <c r="C234">
        <v>33</v>
      </c>
      <c r="D234">
        <v>1</v>
      </c>
      <c r="E234" t="s">
        <v>35</v>
      </c>
      <c r="F234" t="s">
        <v>36</v>
      </c>
      <c r="G234" t="str">
        <f>"2026-03-26 20:48:57.824"</f>
        <v>2026-03-26 20:48:57.824</v>
      </c>
      <c r="H234" t="s">
        <v>37</v>
      </c>
    </row>
    <row r="235" spans="1:10" x14ac:dyDescent="0.25">
      <c r="A235" s="1">
        <v>27</v>
      </c>
      <c r="B235" t="s">
        <v>38</v>
      </c>
      <c r="C235">
        <v>33</v>
      </c>
      <c r="D235">
        <v>1</v>
      </c>
      <c r="E235" t="s">
        <v>35</v>
      </c>
      <c r="F235" t="s">
        <v>36</v>
      </c>
      <c r="G235" t="str">
        <f>"2026-03-26 20:48:31.882"</f>
        <v>2026-03-26 20:48:31.882</v>
      </c>
      <c r="H235" t="s">
        <v>37</v>
      </c>
      <c r="I235">
        <v>11.86</v>
      </c>
      <c r="J235" t="s">
        <v>39</v>
      </c>
    </row>
    <row r="236" spans="1:10" x14ac:dyDescent="0.25">
      <c r="A236" s="1">
        <v>28</v>
      </c>
      <c r="B236" t="s">
        <v>19</v>
      </c>
      <c r="C236">
        <v>706</v>
      </c>
      <c r="D236">
        <v>4</v>
      </c>
      <c r="E236" t="s">
        <v>31</v>
      </c>
      <c r="F236" t="s">
        <v>32</v>
      </c>
      <c r="G236" t="str">
        <f>"2026-03-26 14:26:53.653"</f>
        <v>2026-03-26 14:26:53.653</v>
      </c>
      <c r="H236" t="s">
        <v>21</v>
      </c>
      <c r="I236">
        <v>0</v>
      </c>
      <c r="J236" t="s">
        <v>27</v>
      </c>
    </row>
    <row r="237" spans="1:10" x14ac:dyDescent="0.25">
      <c r="A237" s="1">
        <v>29</v>
      </c>
      <c r="B237" t="s">
        <v>19</v>
      </c>
      <c r="C237">
        <v>700</v>
      </c>
      <c r="D237">
        <v>0</v>
      </c>
      <c r="E237" t="s">
        <v>20</v>
      </c>
      <c r="F237" t="s">
        <v>20</v>
      </c>
      <c r="G237" t="str">
        <f>"2026-03-26 14:26:39.932"</f>
        <v>2026-03-26 14:26:39.932</v>
      </c>
      <c r="H237" t="s">
        <v>21</v>
      </c>
    </row>
    <row r="238" spans="1:10" s="3" customFormat="1" x14ac:dyDescent="0.25">
      <c r="A238" s="2">
        <v>30</v>
      </c>
      <c r="B238" s="3" t="s">
        <v>23</v>
      </c>
      <c r="C238" s="3">
        <v>647</v>
      </c>
      <c r="D238" s="3">
        <v>1</v>
      </c>
      <c r="E238" s="3" t="s">
        <v>28</v>
      </c>
      <c r="F238" s="3" t="s">
        <v>29</v>
      </c>
      <c r="G238" s="3" t="str">
        <f>"2026-03-26 10:26:15.510"</f>
        <v>2026-03-26 10:26:15.510</v>
      </c>
      <c r="H238" s="3" t="s">
        <v>21</v>
      </c>
    </row>
    <row r="239" spans="1:10" s="3" customFormat="1" x14ac:dyDescent="0.25">
      <c r="A239" s="2">
        <v>31</v>
      </c>
      <c r="B239" s="3" t="s">
        <v>26</v>
      </c>
      <c r="C239" s="3">
        <v>647</v>
      </c>
      <c r="D239" s="3">
        <v>1</v>
      </c>
      <c r="E239" s="3" t="s">
        <v>28</v>
      </c>
      <c r="F239" s="3" t="s">
        <v>29</v>
      </c>
      <c r="G239" s="3" t="str">
        <f>"2026-03-26 10:26:14.210"</f>
        <v>2026-03-26 10:26:14.210</v>
      </c>
      <c r="H239" s="3" t="s">
        <v>21</v>
      </c>
      <c r="I239" s="3">
        <v>13.08</v>
      </c>
      <c r="J239" s="3" t="s">
        <v>33</v>
      </c>
    </row>
    <row r="240" spans="1:10" s="3" customFormat="1" x14ac:dyDescent="0.25">
      <c r="A240" s="2">
        <v>32</v>
      </c>
      <c r="B240" s="3" t="s">
        <v>23</v>
      </c>
      <c r="C240" s="3">
        <v>647</v>
      </c>
      <c r="D240" s="3">
        <v>1</v>
      </c>
      <c r="E240" s="3" t="s">
        <v>28</v>
      </c>
      <c r="F240" s="3" t="s">
        <v>29</v>
      </c>
      <c r="G240" s="3" t="str">
        <f>"2026-03-25 10:25:51.210"</f>
        <v>2026-03-25 10:25:51.210</v>
      </c>
      <c r="H240" s="3" t="s">
        <v>21</v>
      </c>
    </row>
    <row r="241" spans="1:10" s="3" customFormat="1" x14ac:dyDescent="0.25">
      <c r="A241" s="2">
        <v>33</v>
      </c>
      <c r="B241" s="3" t="s">
        <v>26</v>
      </c>
      <c r="C241" s="3">
        <v>647</v>
      </c>
      <c r="D241" s="3">
        <v>1</v>
      </c>
      <c r="E241" s="3" t="s">
        <v>28</v>
      </c>
      <c r="F241" s="3" t="s">
        <v>29</v>
      </c>
      <c r="G241" s="3" t="str">
        <f>"2026-03-25 10:25:49.310"</f>
        <v>2026-03-25 10:25:49.310</v>
      </c>
      <c r="H241" s="3" t="s">
        <v>21</v>
      </c>
      <c r="I241" s="3">
        <v>8.56</v>
      </c>
      <c r="J241" s="3" t="s">
        <v>33</v>
      </c>
    </row>
    <row r="242" spans="1:10" x14ac:dyDescent="0.25">
      <c r="A242" s="1">
        <v>34</v>
      </c>
      <c r="B242" t="s">
        <v>19</v>
      </c>
      <c r="C242">
        <v>706</v>
      </c>
      <c r="D242">
        <v>2</v>
      </c>
      <c r="E242" t="s">
        <v>31</v>
      </c>
      <c r="F242" t="s">
        <v>43</v>
      </c>
      <c r="G242" t="str">
        <f>"2026-03-24 13:25:49.449"</f>
        <v>2026-03-24 13:25:49.449</v>
      </c>
      <c r="H242" t="s">
        <v>21</v>
      </c>
      <c r="I242">
        <v>0</v>
      </c>
      <c r="J242" t="s">
        <v>27</v>
      </c>
    </row>
    <row r="243" spans="1:10" x14ac:dyDescent="0.25">
      <c r="A243" s="1">
        <v>35</v>
      </c>
      <c r="B243" t="s">
        <v>19</v>
      </c>
      <c r="C243">
        <v>700</v>
      </c>
      <c r="D243">
        <v>0</v>
      </c>
      <c r="E243" t="s">
        <v>20</v>
      </c>
      <c r="F243" t="s">
        <v>20</v>
      </c>
      <c r="G243" t="str">
        <f>"2026-03-24 13:25:29.919"</f>
        <v>2026-03-24 13:25:29.919</v>
      </c>
      <c r="H243" t="s">
        <v>21</v>
      </c>
    </row>
    <row r="244" spans="1:10" s="3" customFormat="1" x14ac:dyDescent="0.25">
      <c r="A244" s="2">
        <v>36</v>
      </c>
      <c r="B244" s="3" t="s">
        <v>23</v>
      </c>
      <c r="C244" s="3">
        <v>647</v>
      </c>
      <c r="D244" s="3">
        <v>1</v>
      </c>
      <c r="E244" s="3" t="s">
        <v>28</v>
      </c>
      <c r="F244" s="3" t="s">
        <v>29</v>
      </c>
      <c r="G244" s="3" t="str">
        <f>"2026-03-24 08:42:44.608"</f>
        <v>2026-03-24 08:42:44.608</v>
      </c>
      <c r="H244" s="3" t="s">
        <v>21</v>
      </c>
    </row>
    <row r="245" spans="1:10" s="3" customFormat="1" x14ac:dyDescent="0.25">
      <c r="A245" s="2">
        <v>37</v>
      </c>
      <c r="B245" s="3" t="s">
        <v>26</v>
      </c>
      <c r="C245" s="3">
        <v>647</v>
      </c>
      <c r="D245" s="3">
        <v>1</v>
      </c>
      <c r="E245" s="3" t="s">
        <v>28</v>
      </c>
      <c r="F245" s="3" t="s">
        <v>29</v>
      </c>
      <c r="G245" s="3" t="str">
        <f>"2026-03-24 08:42:41.108"</f>
        <v>2026-03-24 08:42:41.108</v>
      </c>
      <c r="H245" s="3" t="s">
        <v>21</v>
      </c>
      <c r="I245" s="3">
        <v>17.97</v>
      </c>
      <c r="J245" s="3" t="s">
        <v>33</v>
      </c>
    </row>
    <row r="246" spans="1:10" x14ac:dyDescent="0.25">
      <c r="A246" s="1">
        <v>38</v>
      </c>
      <c r="B246" t="s">
        <v>23</v>
      </c>
      <c r="C246">
        <v>635</v>
      </c>
      <c r="D246">
        <v>1</v>
      </c>
      <c r="E246" t="s">
        <v>44</v>
      </c>
      <c r="F246" t="s">
        <v>45</v>
      </c>
      <c r="G246" t="str">
        <f>"2026-03-22 10:35:25.208"</f>
        <v>2026-03-22 10:35:25.208</v>
      </c>
      <c r="H246" t="s">
        <v>21</v>
      </c>
    </row>
    <row r="247" spans="1:10" x14ac:dyDescent="0.25">
      <c r="A247" s="1">
        <v>39</v>
      </c>
      <c r="B247" t="s">
        <v>26</v>
      </c>
      <c r="C247">
        <v>635</v>
      </c>
      <c r="D247">
        <v>1</v>
      </c>
      <c r="E247" t="s">
        <v>44</v>
      </c>
      <c r="F247" t="s">
        <v>45</v>
      </c>
      <c r="G247" t="str">
        <f>"2026-03-22 10:30:16.208"</f>
        <v>2026-03-22 10:30:16.208</v>
      </c>
      <c r="H247" t="s">
        <v>21</v>
      </c>
      <c r="I247">
        <v>1.91</v>
      </c>
      <c r="J247" t="s">
        <v>39</v>
      </c>
    </row>
    <row r="248" spans="1:10" x14ac:dyDescent="0.25">
      <c r="A248" s="1">
        <v>40</v>
      </c>
      <c r="B248" t="s">
        <v>23</v>
      </c>
      <c r="C248">
        <v>635</v>
      </c>
      <c r="D248">
        <v>1</v>
      </c>
      <c r="E248" t="s">
        <v>44</v>
      </c>
      <c r="F248" t="s">
        <v>45</v>
      </c>
      <c r="G248" t="str">
        <f>"2026-03-22 10:21:42.708"</f>
        <v>2026-03-22 10:21:42.708</v>
      </c>
      <c r="H248" t="s">
        <v>21</v>
      </c>
    </row>
    <row r="249" spans="1:10" x14ac:dyDescent="0.25">
      <c r="A249" s="1">
        <v>41</v>
      </c>
      <c r="B249" t="s">
        <v>26</v>
      </c>
      <c r="C249">
        <v>635</v>
      </c>
      <c r="D249">
        <v>1</v>
      </c>
      <c r="E249" t="s">
        <v>44</v>
      </c>
      <c r="F249" t="s">
        <v>45</v>
      </c>
      <c r="G249" t="str">
        <f>"2026-03-22 10:15:47.208"</f>
        <v>2026-03-22 10:15:47.208</v>
      </c>
      <c r="H249" t="s">
        <v>21</v>
      </c>
      <c r="I249">
        <v>2.61</v>
      </c>
      <c r="J249" t="s">
        <v>39</v>
      </c>
    </row>
    <row r="250" spans="1:10" x14ac:dyDescent="0.25">
      <c r="A250" s="1">
        <v>42</v>
      </c>
      <c r="B250" t="s">
        <v>23</v>
      </c>
      <c r="C250">
        <v>635</v>
      </c>
      <c r="D250">
        <v>1</v>
      </c>
      <c r="E250" t="s">
        <v>44</v>
      </c>
      <c r="F250" t="s">
        <v>45</v>
      </c>
      <c r="G250" t="str">
        <f>"2026-03-22 09:38:50.808"</f>
        <v>2026-03-22 09:38:50.808</v>
      </c>
      <c r="H250" t="s">
        <v>21</v>
      </c>
    </row>
    <row r="251" spans="1:10" x14ac:dyDescent="0.25">
      <c r="A251" s="1">
        <v>43</v>
      </c>
      <c r="B251" t="s">
        <v>26</v>
      </c>
      <c r="C251">
        <v>635</v>
      </c>
      <c r="D251">
        <v>1</v>
      </c>
      <c r="E251" t="s">
        <v>44</v>
      </c>
      <c r="F251" t="s">
        <v>45</v>
      </c>
      <c r="G251" t="str">
        <f>"2026-03-22 09:35:20.808"</f>
        <v>2026-03-22 09:35:20.808</v>
      </c>
      <c r="H251" t="s">
        <v>21</v>
      </c>
      <c r="I251">
        <v>1.73</v>
      </c>
      <c r="J251" t="s">
        <v>39</v>
      </c>
    </row>
    <row r="252" spans="1:10" x14ac:dyDescent="0.25">
      <c r="A252" s="1">
        <v>44</v>
      </c>
      <c r="B252" t="s">
        <v>23</v>
      </c>
      <c r="C252">
        <v>630</v>
      </c>
      <c r="D252">
        <v>5</v>
      </c>
      <c r="E252" t="s">
        <v>40</v>
      </c>
      <c r="F252" t="s">
        <v>41</v>
      </c>
      <c r="G252" t="str">
        <f>"2026-03-21 22:51:25.208"</f>
        <v>2026-03-21 22:51:25.208</v>
      </c>
      <c r="H252" t="s">
        <v>42</v>
      </c>
    </row>
    <row r="253" spans="1:10" x14ac:dyDescent="0.25">
      <c r="A253" s="1">
        <v>45</v>
      </c>
      <c r="B253" t="s">
        <v>19</v>
      </c>
      <c r="C253">
        <v>706</v>
      </c>
      <c r="D253">
        <v>4</v>
      </c>
      <c r="E253" t="s">
        <v>31</v>
      </c>
      <c r="F253" t="s">
        <v>32</v>
      </c>
      <c r="G253" t="str">
        <f>"2026-03-21 22:50:55.109"</f>
        <v>2026-03-21 22:50:55.109</v>
      </c>
      <c r="H253" t="s">
        <v>21</v>
      </c>
      <c r="I253">
        <v>0</v>
      </c>
      <c r="J253" t="s">
        <v>27</v>
      </c>
    </row>
    <row r="254" spans="1:10" x14ac:dyDescent="0.25">
      <c r="A254" s="1">
        <v>46</v>
      </c>
      <c r="B254" t="s">
        <v>38</v>
      </c>
      <c r="C254">
        <v>630</v>
      </c>
      <c r="D254">
        <v>5</v>
      </c>
      <c r="E254" t="s">
        <v>40</v>
      </c>
      <c r="F254" t="s">
        <v>41</v>
      </c>
      <c r="G254" t="str">
        <f>"2026-03-21 22:29:25.909"</f>
        <v>2026-03-21 22:29:25.909</v>
      </c>
      <c r="H254" t="s">
        <v>42</v>
      </c>
      <c r="I254">
        <v>0</v>
      </c>
      <c r="J254" t="s">
        <v>27</v>
      </c>
    </row>
    <row r="255" spans="1:10" x14ac:dyDescent="0.25">
      <c r="A255" s="1">
        <v>47</v>
      </c>
      <c r="B255" t="s">
        <v>19</v>
      </c>
      <c r="C255">
        <v>706</v>
      </c>
      <c r="D255">
        <v>4</v>
      </c>
      <c r="E255" t="s">
        <v>31</v>
      </c>
      <c r="F255" t="s">
        <v>32</v>
      </c>
      <c r="G255" t="str">
        <f>"2026-03-21 15:01:06.939"</f>
        <v>2026-03-21 15:01:06.939</v>
      </c>
      <c r="H255" t="s">
        <v>21</v>
      </c>
      <c r="I255">
        <v>0</v>
      </c>
      <c r="J255" t="s">
        <v>27</v>
      </c>
    </row>
    <row r="256" spans="1:10" x14ac:dyDescent="0.25">
      <c r="A256" s="1">
        <v>48</v>
      </c>
      <c r="B256" t="s">
        <v>19</v>
      </c>
      <c r="C256">
        <v>700</v>
      </c>
      <c r="D256">
        <v>0</v>
      </c>
      <c r="E256" t="s">
        <v>20</v>
      </c>
      <c r="F256" t="s">
        <v>20</v>
      </c>
      <c r="G256" t="str">
        <f>"2026-03-21 15:00:11.919"</f>
        <v>2026-03-21 15:00:11.919</v>
      </c>
      <c r="H256" t="s">
        <v>21</v>
      </c>
    </row>
    <row r="257" spans="1:10" x14ac:dyDescent="0.25">
      <c r="A257" s="1">
        <v>49</v>
      </c>
      <c r="B257" t="s">
        <v>19</v>
      </c>
      <c r="C257">
        <v>700</v>
      </c>
      <c r="D257">
        <v>0</v>
      </c>
      <c r="E257" t="s">
        <v>20</v>
      </c>
      <c r="F257" t="s">
        <v>20</v>
      </c>
      <c r="G257" t="str">
        <f>"2026-03-21 10:14:45.953"</f>
        <v>2026-03-21 10:14:45.953</v>
      </c>
      <c r="H257" t="s">
        <v>21</v>
      </c>
    </row>
    <row r="258" spans="1:10" x14ac:dyDescent="0.25">
      <c r="A258" s="1">
        <v>50</v>
      </c>
      <c r="B258" t="s">
        <v>19</v>
      </c>
      <c r="C258">
        <v>700</v>
      </c>
      <c r="D258">
        <v>0</v>
      </c>
      <c r="E258" t="s">
        <v>20</v>
      </c>
      <c r="F258" t="s">
        <v>20</v>
      </c>
      <c r="G258" t="str">
        <f>"2026-03-21 08:40:09.009"</f>
        <v>2026-03-21 08:40:09.009</v>
      </c>
      <c r="H258" t="s">
        <v>21</v>
      </c>
    </row>
    <row r="259" spans="1:10" x14ac:dyDescent="0.25">
      <c r="A259" s="1">
        <v>51</v>
      </c>
      <c r="B259" t="s">
        <v>19</v>
      </c>
      <c r="C259">
        <v>706</v>
      </c>
      <c r="D259">
        <v>4</v>
      </c>
      <c r="E259" t="s">
        <v>31</v>
      </c>
      <c r="F259" t="s">
        <v>32</v>
      </c>
      <c r="G259" t="str">
        <f>"2026-03-21 02:11:22.155"</f>
        <v>2026-03-21 02:11:22.155</v>
      </c>
      <c r="H259" t="s">
        <v>21</v>
      </c>
      <c r="I259">
        <v>0</v>
      </c>
      <c r="J259" t="s">
        <v>27</v>
      </c>
    </row>
    <row r="260" spans="1:10" x14ac:dyDescent="0.25">
      <c r="A260" s="1">
        <v>52</v>
      </c>
      <c r="B260" t="s">
        <v>19</v>
      </c>
      <c r="C260">
        <v>700</v>
      </c>
      <c r="D260">
        <v>0</v>
      </c>
      <c r="E260" t="s">
        <v>20</v>
      </c>
      <c r="F260" t="s">
        <v>20</v>
      </c>
      <c r="G260" t="str">
        <f>"2026-03-21 02:10:57.915"</f>
        <v>2026-03-21 02:10:57.915</v>
      </c>
      <c r="H260" t="s">
        <v>21</v>
      </c>
      <c r="I260">
        <v>0</v>
      </c>
      <c r="J260" t="s">
        <v>22</v>
      </c>
    </row>
    <row r="261" spans="1:10" x14ac:dyDescent="0.25">
      <c r="A261" s="1">
        <v>53</v>
      </c>
      <c r="B261" t="s">
        <v>19</v>
      </c>
      <c r="C261">
        <v>706</v>
      </c>
      <c r="D261">
        <v>3</v>
      </c>
      <c r="E261" t="s">
        <v>31</v>
      </c>
      <c r="F261" t="s">
        <v>48</v>
      </c>
      <c r="G261" t="str">
        <f>"2026-03-20 21:05:25.378"</f>
        <v>2026-03-20 21:05:25.378</v>
      </c>
      <c r="H261" t="s">
        <v>21</v>
      </c>
      <c r="I261">
        <v>0</v>
      </c>
      <c r="J261" t="s">
        <v>27</v>
      </c>
    </row>
    <row r="262" spans="1:10" s="3" customFormat="1" x14ac:dyDescent="0.25">
      <c r="A262" s="2">
        <v>54</v>
      </c>
      <c r="B262" s="3" t="s">
        <v>23</v>
      </c>
      <c r="C262" s="3">
        <v>647</v>
      </c>
      <c r="D262" s="3">
        <v>1</v>
      </c>
      <c r="E262" s="3" t="s">
        <v>28</v>
      </c>
      <c r="F262" s="3" t="s">
        <v>29</v>
      </c>
      <c r="G262" s="3" t="str">
        <f>"2026-03-20 10:34:21.520"</f>
        <v>2026-03-20 10:34:21.520</v>
      </c>
      <c r="H262" s="3" t="s">
        <v>21</v>
      </c>
    </row>
    <row r="263" spans="1:10" s="3" customFormat="1" x14ac:dyDescent="0.25">
      <c r="A263" s="2">
        <v>55</v>
      </c>
      <c r="B263" s="3" t="s">
        <v>26</v>
      </c>
      <c r="C263" s="3">
        <v>647</v>
      </c>
      <c r="D263" s="3">
        <v>1</v>
      </c>
      <c r="E263" s="3" t="s">
        <v>28</v>
      </c>
      <c r="F263" s="3" t="s">
        <v>29</v>
      </c>
      <c r="G263" s="3" t="str">
        <f>"2026-03-20 10:34:16.620"</f>
        <v>2026-03-20 10:34:16.620</v>
      </c>
      <c r="H263" s="3" t="s">
        <v>21</v>
      </c>
      <c r="I263" s="3">
        <v>17.73</v>
      </c>
      <c r="J263" s="3" t="s">
        <v>33</v>
      </c>
    </row>
    <row r="264" spans="1:10" x14ac:dyDescent="0.25">
      <c r="A264" s="1">
        <v>56</v>
      </c>
      <c r="B264" t="s">
        <v>19</v>
      </c>
      <c r="C264">
        <v>700</v>
      </c>
      <c r="D264">
        <v>0</v>
      </c>
      <c r="E264" t="s">
        <v>20</v>
      </c>
      <c r="F264" t="s">
        <v>20</v>
      </c>
      <c r="G264" t="str">
        <f>"2026-03-19 05:06:21.918"</f>
        <v>2026-03-19 05:06:21.918</v>
      </c>
      <c r="H264" t="s">
        <v>21</v>
      </c>
    </row>
    <row r="265" spans="1:10" x14ac:dyDescent="0.25">
      <c r="A265" s="1">
        <v>57</v>
      </c>
      <c r="B265" t="s">
        <v>23</v>
      </c>
      <c r="C265">
        <v>630</v>
      </c>
      <c r="D265">
        <v>5</v>
      </c>
      <c r="E265" t="s">
        <v>40</v>
      </c>
      <c r="F265" t="s">
        <v>41</v>
      </c>
      <c r="G265" t="str">
        <f>"2026-03-19 04:40:06.548"</f>
        <v>2026-03-19 04:40:06.548</v>
      </c>
      <c r="H265" t="s">
        <v>42</v>
      </c>
    </row>
    <row r="266" spans="1:10" x14ac:dyDescent="0.25">
      <c r="A266" s="1">
        <v>58</v>
      </c>
      <c r="B266" t="s">
        <v>19</v>
      </c>
      <c r="C266">
        <v>706</v>
      </c>
      <c r="D266">
        <v>4</v>
      </c>
      <c r="E266" t="s">
        <v>31</v>
      </c>
      <c r="F266" t="s">
        <v>32</v>
      </c>
      <c r="G266" t="str">
        <f>"2026-03-19 04:39:36.522"</f>
        <v>2026-03-19 04:39:36.522</v>
      </c>
      <c r="H266" t="s">
        <v>21</v>
      </c>
      <c r="I266">
        <v>0</v>
      </c>
      <c r="J266" t="s">
        <v>27</v>
      </c>
    </row>
    <row r="267" spans="1:10" x14ac:dyDescent="0.25">
      <c r="A267" s="1">
        <v>59</v>
      </c>
      <c r="B267" t="s">
        <v>38</v>
      </c>
      <c r="C267">
        <v>630</v>
      </c>
      <c r="D267">
        <v>5</v>
      </c>
      <c r="E267" t="s">
        <v>40</v>
      </c>
      <c r="F267" t="s">
        <v>41</v>
      </c>
      <c r="G267" t="str">
        <f>"2026-03-19 03:28:10.748"</f>
        <v>2026-03-19 03:28:10.748</v>
      </c>
      <c r="H267" t="s">
        <v>42</v>
      </c>
      <c r="I267">
        <v>0</v>
      </c>
      <c r="J267" t="s">
        <v>27</v>
      </c>
    </row>
    <row r="268" spans="1:10" x14ac:dyDescent="0.25">
      <c r="A268" s="1">
        <v>60</v>
      </c>
      <c r="B268" t="s">
        <v>19</v>
      </c>
      <c r="C268">
        <v>700</v>
      </c>
      <c r="D268">
        <v>0</v>
      </c>
      <c r="E268" t="s">
        <v>20</v>
      </c>
      <c r="F268" t="s">
        <v>20</v>
      </c>
      <c r="G268" t="str">
        <f>"2026-03-19 03:23:07.912"</f>
        <v>2026-03-19 03:23:07.912</v>
      </c>
      <c r="H268" t="s">
        <v>21</v>
      </c>
    </row>
    <row r="269" spans="1:10" x14ac:dyDescent="0.25">
      <c r="A269" s="1">
        <v>61</v>
      </c>
      <c r="B269" t="s">
        <v>38</v>
      </c>
      <c r="C269">
        <v>630</v>
      </c>
      <c r="D269">
        <v>5</v>
      </c>
      <c r="E269" t="s">
        <v>40</v>
      </c>
      <c r="F269" t="s">
        <v>41</v>
      </c>
      <c r="G269" t="str">
        <f>"2026-03-19 03:04:39.610"</f>
        <v>2026-03-19 03:04:39.610</v>
      </c>
      <c r="H269" t="s">
        <v>42</v>
      </c>
      <c r="I269">
        <v>0</v>
      </c>
      <c r="J269" t="s">
        <v>27</v>
      </c>
    </row>
    <row r="270" spans="1:10" s="3" customFormat="1" x14ac:dyDescent="0.25">
      <c r="A270" s="2">
        <v>62</v>
      </c>
      <c r="B270" s="3" t="s">
        <v>23</v>
      </c>
      <c r="C270" s="3">
        <v>647</v>
      </c>
      <c r="D270" s="3">
        <v>1</v>
      </c>
      <c r="E270" s="3" t="s">
        <v>28</v>
      </c>
      <c r="F270" s="3" t="s">
        <v>29</v>
      </c>
      <c r="G270" s="3" t="str">
        <f>"2026-03-17 18:55:43.010"</f>
        <v>2026-03-17 18:55:43.010</v>
      </c>
      <c r="H270" s="3" t="s">
        <v>21</v>
      </c>
    </row>
    <row r="271" spans="1:10" s="3" customFormat="1" x14ac:dyDescent="0.25">
      <c r="A271" s="2">
        <v>63</v>
      </c>
      <c r="B271" s="3" t="s">
        <v>26</v>
      </c>
      <c r="C271" s="3">
        <v>647</v>
      </c>
      <c r="D271" s="3">
        <v>1</v>
      </c>
      <c r="E271" s="3" t="s">
        <v>28</v>
      </c>
      <c r="F271" s="3" t="s">
        <v>29</v>
      </c>
      <c r="G271" s="3" t="str">
        <f>"2026-03-17 18:55:40.710"</f>
        <v>2026-03-17 18:55:40.710</v>
      </c>
      <c r="H271" s="3" t="s">
        <v>21</v>
      </c>
      <c r="I271" s="3">
        <v>22.77</v>
      </c>
      <c r="J271" s="3" t="s">
        <v>33</v>
      </c>
    </row>
    <row r="272" spans="1:10" s="3" customFormat="1" x14ac:dyDescent="0.25">
      <c r="A272" s="2">
        <v>64</v>
      </c>
      <c r="B272" s="3" t="s">
        <v>23</v>
      </c>
      <c r="C272" s="3">
        <v>647</v>
      </c>
      <c r="D272" s="3">
        <v>1</v>
      </c>
      <c r="E272" s="3" t="s">
        <v>28</v>
      </c>
      <c r="F272" s="3" t="s">
        <v>29</v>
      </c>
      <c r="G272" s="3" t="str">
        <f>"2026-03-17 18:55:34.210"</f>
        <v>2026-03-17 18:55:34.210</v>
      </c>
      <c r="H272" s="3" t="s">
        <v>21</v>
      </c>
    </row>
    <row r="273" spans="1:10" s="3" customFormat="1" x14ac:dyDescent="0.25">
      <c r="A273" s="2">
        <v>65</v>
      </c>
      <c r="B273" s="3" t="s">
        <v>26</v>
      </c>
      <c r="C273" s="3">
        <v>647</v>
      </c>
      <c r="D273" s="3">
        <v>1</v>
      </c>
      <c r="E273" s="3" t="s">
        <v>28</v>
      </c>
      <c r="F273" s="3" t="s">
        <v>29</v>
      </c>
      <c r="G273" s="3" t="str">
        <f>"2026-03-17 18:55:32.910"</f>
        <v>2026-03-17 18:55:32.910</v>
      </c>
      <c r="H273" s="3" t="s">
        <v>21</v>
      </c>
      <c r="I273" s="3">
        <v>28.9</v>
      </c>
      <c r="J273" s="3" t="s">
        <v>33</v>
      </c>
    </row>
    <row r="274" spans="1:10" s="3" customFormat="1" x14ac:dyDescent="0.25">
      <c r="A274" s="2">
        <v>66</v>
      </c>
      <c r="B274" s="3" t="s">
        <v>23</v>
      </c>
      <c r="C274" s="3">
        <v>647</v>
      </c>
      <c r="D274" s="3">
        <v>1</v>
      </c>
      <c r="E274" s="3" t="s">
        <v>28</v>
      </c>
      <c r="F274" s="3" t="s">
        <v>29</v>
      </c>
      <c r="G274" s="3" t="str">
        <f>"2026-03-17 17:48:38.310"</f>
        <v>2026-03-17 17:48:38.310</v>
      </c>
      <c r="H274" s="3" t="s">
        <v>21</v>
      </c>
    </row>
    <row r="275" spans="1:10" s="3" customFormat="1" x14ac:dyDescent="0.25">
      <c r="A275" s="2">
        <v>67</v>
      </c>
      <c r="B275" s="3" t="s">
        <v>26</v>
      </c>
      <c r="C275" s="3">
        <v>647</v>
      </c>
      <c r="D275" s="3">
        <v>1</v>
      </c>
      <c r="E275" s="3" t="s">
        <v>28</v>
      </c>
      <c r="F275" s="3" t="s">
        <v>29</v>
      </c>
      <c r="G275" s="3" t="str">
        <f>"2026-03-17 17:48:37.010"</f>
        <v>2026-03-17 17:48:37.010</v>
      </c>
      <c r="H275" s="3" t="s">
        <v>21</v>
      </c>
      <c r="I275" s="3">
        <v>29.03</v>
      </c>
      <c r="J275" s="3" t="s">
        <v>33</v>
      </c>
    </row>
    <row r="276" spans="1:10" s="3" customFormat="1" x14ac:dyDescent="0.25">
      <c r="A276" s="2">
        <v>68</v>
      </c>
      <c r="B276" s="3" t="s">
        <v>23</v>
      </c>
      <c r="C276" s="3">
        <v>647</v>
      </c>
      <c r="D276" s="3">
        <v>1</v>
      </c>
      <c r="E276" s="3" t="s">
        <v>28</v>
      </c>
      <c r="F276" s="3" t="s">
        <v>29</v>
      </c>
      <c r="G276" s="3" t="str">
        <f>"2026-03-17 14:10:34.810"</f>
        <v>2026-03-17 14:10:34.810</v>
      </c>
      <c r="H276" s="3" t="s">
        <v>21</v>
      </c>
    </row>
    <row r="277" spans="1:10" s="3" customFormat="1" x14ac:dyDescent="0.25">
      <c r="A277" s="2">
        <v>69</v>
      </c>
      <c r="B277" s="3" t="s">
        <v>26</v>
      </c>
      <c r="C277" s="3">
        <v>647</v>
      </c>
      <c r="D277" s="3">
        <v>1</v>
      </c>
      <c r="E277" s="3" t="s">
        <v>28</v>
      </c>
      <c r="F277" s="3" t="s">
        <v>29</v>
      </c>
      <c r="G277" s="3" t="str">
        <f>"2026-03-17 14:10:31.710"</f>
        <v>2026-03-17 14:10:31.710</v>
      </c>
      <c r="H277" s="3" t="s">
        <v>21</v>
      </c>
      <c r="I277" s="3">
        <v>25.77</v>
      </c>
      <c r="J277" s="3" t="s">
        <v>33</v>
      </c>
    </row>
    <row r="278" spans="1:10" s="3" customFormat="1" x14ac:dyDescent="0.25">
      <c r="A278" s="2">
        <v>70</v>
      </c>
      <c r="B278" s="3" t="s">
        <v>23</v>
      </c>
      <c r="C278" s="3">
        <v>647</v>
      </c>
      <c r="D278" s="3">
        <v>1</v>
      </c>
      <c r="E278" s="3" t="s">
        <v>28</v>
      </c>
      <c r="F278" s="3" t="s">
        <v>29</v>
      </c>
      <c r="G278" s="3" t="str">
        <f>"2026-03-17 12:55:50.710"</f>
        <v>2026-03-17 12:55:50.710</v>
      </c>
      <c r="H278" s="3" t="s">
        <v>21</v>
      </c>
    </row>
    <row r="279" spans="1:10" s="3" customFormat="1" x14ac:dyDescent="0.25">
      <c r="A279" s="2">
        <v>71</v>
      </c>
      <c r="B279" s="3" t="s">
        <v>26</v>
      </c>
      <c r="C279" s="3">
        <v>647</v>
      </c>
      <c r="D279" s="3">
        <v>1</v>
      </c>
      <c r="E279" s="3" t="s">
        <v>28</v>
      </c>
      <c r="F279" s="3" t="s">
        <v>29</v>
      </c>
      <c r="G279" s="3" t="str">
        <f>"2026-03-17 12:55:49.010"</f>
        <v>2026-03-17 12:55:49.010</v>
      </c>
      <c r="H279" s="3" t="s">
        <v>21</v>
      </c>
      <c r="I279" s="3">
        <v>16.649999999999999</v>
      </c>
      <c r="J279" s="3" t="s">
        <v>33</v>
      </c>
    </row>
    <row r="280" spans="1:10" x14ac:dyDescent="0.25">
      <c r="A280" s="1">
        <v>72</v>
      </c>
      <c r="B280" t="s">
        <v>23</v>
      </c>
      <c r="C280">
        <v>619</v>
      </c>
      <c r="D280">
        <v>1</v>
      </c>
      <c r="E280" t="s">
        <v>46</v>
      </c>
      <c r="F280" t="s">
        <v>45</v>
      </c>
      <c r="G280" t="str">
        <f>"2026-03-16 20:22:02.761"</f>
        <v>2026-03-16 20:22:02.761</v>
      </c>
      <c r="H280" t="s">
        <v>47</v>
      </c>
    </row>
    <row r="281" spans="1:10" x14ac:dyDescent="0.25">
      <c r="A281" s="1">
        <v>73</v>
      </c>
      <c r="B281" t="s">
        <v>26</v>
      </c>
      <c r="C281">
        <v>619</v>
      </c>
      <c r="D281">
        <v>1</v>
      </c>
      <c r="E281" t="s">
        <v>46</v>
      </c>
      <c r="F281" t="s">
        <v>45</v>
      </c>
      <c r="G281" t="str">
        <f>"2026-03-16 20:21:12.310"</f>
        <v>2026-03-16 20:21:12.310</v>
      </c>
      <c r="H281" t="s">
        <v>47</v>
      </c>
      <c r="I281">
        <v>0</v>
      </c>
      <c r="J281" t="s">
        <v>27</v>
      </c>
    </row>
    <row r="282" spans="1:10" x14ac:dyDescent="0.25">
      <c r="A282" s="1">
        <v>74</v>
      </c>
      <c r="B282" t="s">
        <v>19</v>
      </c>
      <c r="C282">
        <v>706</v>
      </c>
      <c r="D282">
        <v>2</v>
      </c>
      <c r="E282" t="s">
        <v>31</v>
      </c>
      <c r="F282" t="s">
        <v>43</v>
      </c>
      <c r="G282" t="str">
        <f>"2026-03-16 20:21:07.458"</f>
        <v>2026-03-16 20:21:07.458</v>
      </c>
      <c r="H282" t="s">
        <v>21</v>
      </c>
      <c r="I282">
        <v>0</v>
      </c>
      <c r="J282" t="s">
        <v>27</v>
      </c>
    </row>
    <row r="283" spans="1:10" x14ac:dyDescent="0.25">
      <c r="A283" s="1">
        <v>75</v>
      </c>
      <c r="B283" t="s">
        <v>19</v>
      </c>
      <c r="C283">
        <v>700</v>
      </c>
      <c r="D283">
        <v>0</v>
      </c>
      <c r="E283" t="s">
        <v>20</v>
      </c>
      <c r="F283" t="s">
        <v>20</v>
      </c>
      <c r="G283" t="str">
        <f>"2026-03-16 20:20:40.908"</f>
        <v>2026-03-16 20:20:40.908</v>
      </c>
      <c r="H283" t="s">
        <v>21</v>
      </c>
    </row>
    <row r="284" spans="1:10" x14ac:dyDescent="0.25">
      <c r="A284" s="1">
        <v>76</v>
      </c>
      <c r="B284" t="s">
        <v>19</v>
      </c>
      <c r="C284">
        <v>700</v>
      </c>
      <c r="D284">
        <v>0</v>
      </c>
      <c r="E284" t="s">
        <v>20</v>
      </c>
      <c r="F284" t="s">
        <v>20</v>
      </c>
      <c r="G284" t="str">
        <f>"2026-03-16 17:13:24.111"</f>
        <v>2026-03-16 17:13:24.111</v>
      </c>
      <c r="H284" t="s">
        <v>21</v>
      </c>
      <c r="I284">
        <v>0</v>
      </c>
      <c r="J284" t="s">
        <v>22</v>
      </c>
    </row>
    <row r="285" spans="1:10" x14ac:dyDescent="0.25">
      <c r="A285" s="1">
        <v>77</v>
      </c>
      <c r="B285" t="s">
        <v>19</v>
      </c>
      <c r="C285">
        <v>700</v>
      </c>
      <c r="D285">
        <v>0</v>
      </c>
      <c r="E285" t="s">
        <v>20</v>
      </c>
      <c r="F285" t="s">
        <v>20</v>
      </c>
      <c r="G285" t="str">
        <f>"2026-03-16 16:40:06.900"</f>
        <v>2026-03-16 16:40:06.900</v>
      </c>
      <c r="H285" t="s">
        <v>21</v>
      </c>
    </row>
    <row r="286" spans="1:10" x14ac:dyDescent="0.25">
      <c r="A286" s="1">
        <v>78</v>
      </c>
      <c r="B286" t="s">
        <v>19</v>
      </c>
      <c r="C286">
        <v>700</v>
      </c>
      <c r="D286">
        <v>0</v>
      </c>
      <c r="E286" t="s">
        <v>20</v>
      </c>
      <c r="F286" t="s">
        <v>20</v>
      </c>
      <c r="G286" t="str">
        <f>"2026-03-16 16:33:02.911"</f>
        <v>2026-03-16 16:33:02.911</v>
      </c>
      <c r="H286" t="s">
        <v>21</v>
      </c>
      <c r="I286">
        <v>0</v>
      </c>
      <c r="J286" t="s">
        <v>22</v>
      </c>
    </row>
    <row r="287" spans="1:10" x14ac:dyDescent="0.25">
      <c r="A287" s="1">
        <v>79</v>
      </c>
      <c r="B287" t="s">
        <v>19</v>
      </c>
      <c r="C287">
        <v>700</v>
      </c>
      <c r="D287">
        <v>0</v>
      </c>
      <c r="E287" t="s">
        <v>20</v>
      </c>
      <c r="F287" t="s">
        <v>20</v>
      </c>
      <c r="G287" t="str">
        <f>"2026-03-16 15:22:12.928"</f>
        <v>2026-03-16 15:22:12.928</v>
      </c>
      <c r="H287" t="s">
        <v>21</v>
      </c>
      <c r="I287">
        <v>0</v>
      </c>
      <c r="J287" t="s">
        <v>22</v>
      </c>
    </row>
    <row r="288" spans="1:10" x14ac:dyDescent="0.25">
      <c r="A288" s="1">
        <v>80</v>
      </c>
      <c r="B288" t="s">
        <v>19</v>
      </c>
      <c r="C288">
        <v>700</v>
      </c>
      <c r="D288">
        <v>0</v>
      </c>
      <c r="E288" t="s">
        <v>20</v>
      </c>
      <c r="F288" t="s">
        <v>20</v>
      </c>
      <c r="G288" t="str">
        <f>"2026-03-16 12:16:56.952"</f>
        <v>2026-03-16 12:16:56.952</v>
      </c>
      <c r="H288" t="s">
        <v>21</v>
      </c>
      <c r="I288">
        <v>0</v>
      </c>
      <c r="J288" t="s">
        <v>22</v>
      </c>
    </row>
    <row r="289" spans="1:10" s="3" customFormat="1" x14ac:dyDescent="0.25">
      <c r="A289" s="2">
        <v>81</v>
      </c>
      <c r="B289" s="3" t="s">
        <v>23</v>
      </c>
      <c r="C289" s="3">
        <v>647</v>
      </c>
      <c r="D289" s="3">
        <v>1</v>
      </c>
      <c r="E289" s="3" t="s">
        <v>28</v>
      </c>
      <c r="F289" s="3" t="s">
        <v>29</v>
      </c>
      <c r="G289" s="3" t="str">
        <f>"2026-03-16 10:36:48.505"</f>
        <v>2026-03-16 10:36:48.505</v>
      </c>
      <c r="H289" s="3" t="s">
        <v>21</v>
      </c>
    </row>
    <row r="290" spans="1:10" s="3" customFormat="1" x14ac:dyDescent="0.25">
      <c r="A290" s="2">
        <v>82</v>
      </c>
      <c r="B290" s="3" t="s">
        <v>26</v>
      </c>
      <c r="C290" s="3">
        <v>647</v>
      </c>
      <c r="D290" s="3">
        <v>1</v>
      </c>
      <c r="E290" s="3" t="s">
        <v>28</v>
      </c>
      <c r="F290" s="3" t="s">
        <v>29</v>
      </c>
      <c r="G290" s="3" t="str">
        <f>"2026-03-16 10:36:40.605"</f>
        <v>2026-03-16 10:36:40.605</v>
      </c>
      <c r="H290" s="3" t="s">
        <v>21</v>
      </c>
      <c r="I290" s="3">
        <v>17.3</v>
      </c>
      <c r="J290" s="3" t="s">
        <v>33</v>
      </c>
    </row>
    <row r="291" spans="1:10" x14ac:dyDescent="0.25">
      <c r="A291" s="1">
        <v>83</v>
      </c>
      <c r="B291" t="s">
        <v>19</v>
      </c>
      <c r="C291">
        <v>700</v>
      </c>
      <c r="D291">
        <v>0</v>
      </c>
      <c r="E291" t="s">
        <v>20</v>
      </c>
      <c r="F291" t="s">
        <v>20</v>
      </c>
      <c r="G291" t="str">
        <f>"2026-03-16 08:09:35.914"</f>
        <v>2026-03-16 08:09:35.914</v>
      </c>
      <c r="H291" t="s">
        <v>21</v>
      </c>
      <c r="I291">
        <v>0</v>
      </c>
      <c r="J291" t="s">
        <v>22</v>
      </c>
    </row>
    <row r="292" spans="1:10" x14ac:dyDescent="0.25">
      <c r="A292" s="1">
        <v>84</v>
      </c>
      <c r="B292" t="s">
        <v>19</v>
      </c>
      <c r="C292">
        <v>700</v>
      </c>
      <c r="D292">
        <v>0</v>
      </c>
      <c r="E292" t="s">
        <v>20</v>
      </c>
      <c r="F292" t="s">
        <v>20</v>
      </c>
      <c r="G292" t="str">
        <f>"2026-03-16 07:47:59.929"</f>
        <v>2026-03-16 07:47:59.929</v>
      </c>
      <c r="H292" t="s">
        <v>21</v>
      </c>
      <c r="I292">
        <v>0</v>
      </c>
      <c r="J292" t="s">
        <v>22</v>
      </c>
    </row>
    <row r="293" spans="1:10" x14ac:dyDescent="0.25">
      <c r="A293" s="1">
        <v>85</v>
      </c>
      <c r="B293" t="s">
        <v>23</v>
      </c>
      <c r="C293">
        <v>635</v>
      </c>
      <c r="D293">
        <v>1</v>
      </c>
      <c r="E293" t="s">
        <v>44</v>
      </c>
      <c r="F293" t="s">
        <v>45</v>
      </c>
      <c r="G293" t="str">
        <f>"2026-03-16 04:19:52.162"</f>
        <v>2026-03-16 04:19:52.162</v>
      </c>
      <c r="H293" t="s">
        <v>21</v>
      </c>
    </row>
    <row r="294" spans="1:10" x14ac:dyDescent="0.25">
      <c r="A294" s="1">
        <v>86</v>
      </c>
      <c r="B294" t="s">
        <v>26</v>
      </c>
      <c r="C294">
        <v>635</v>
      </c>
      <c r="D294">
        <v>1</v>
      </c>
      <c r="E294" t="s">
        <v>44</v>
      </c>
      <c r="F294" t="s">
        <v>45</v>
      </c>
      <c r="G294" t="str">
        <f>"2026-03-16 04:13:17.762"</f>
        <v>2026-03-16 04:13:17.762</v>
      </c>
      <c r="H294" t="s">
        <v>21</v>
      </c>
      <c r="I294">
        <v>0</v>
      </c>
      <c r="J294" t="s">
        <v>30</v>
      </c>
    </row>
    <row r="295" spans="1:10" x14ac:dyDescent="0.25">
      <c r="A295" s="1">
        <v>87</v>
      </c>
      <c r="B295" t="s">
        <v>19</v>
      </c>
      <c r="C295">
        <v>706</v>
      </c>
      <c r="D295">
        <v>2</v>
      </c>
      <c r="E295" t="s">
        <v>31</v>
      </c>
      <c r="F295" t="s">
        <v>43</v>
      </c>
      <c r="G295" t="str">
        <f>"2026-03-15 01:03:41.411"</f>
        <v>2026-03-15 01:03:41.411</v>
      </c>
      <c r="H295" t="s">
        <v>21</v>
      </c>
      <c r="I295">
        <v>0</v>
      </c>
      <c r="J295" t="s">
        <v>27</v>
      </c>
    </row>
    <row r="296" spans="1:10" x14ac:dyDescent="0.25">
      <c r="A296" s="1">
        <v>88</v>
      </c>
      <c r="B296" t="s">
        <v>19</v>
      </c>
      <c r="C296">
        <v>700</v>
      </c>
      <c r="D296">
        <v>0</v>
      </c>
      <c r="E296" t="s">
        <v>20</v>
      </c>
      <c r="F296" t="s">
        <v>20</v>
      </c>
      <c r="G296" t="str">
        <f>"2026-03-15 01:03:26.951"</f>
        <v>2026-03-15 01:03:26.951</v>
      </c>
      <c r="H296" t="s">
        <v>21</v>
      </c>
    </row>
    <row r="297" spans="1:10" x14ac:dyDescent="0.25">
      <c r="A297" s="1">
        <v>89</v>
      </c>
      <c r="B297" t="s">
        <v>19</v>
      </c>
      <c r="C297">
        <v>700</v>
      </c>
      <c r="D297">
        <v>0</v>
      </c>
      <c r="E297" t="s">
        <v>20</v>
      </c>
      <c r="F297" t="s">
        <v>20</v>
      </c>
      <c r="G297" t="str">
        <f>"2026-03-14 13:03:49.946"</f>
        <v>2026-03-14 13:03:49.946</v>
      </c>
      <c r="H297" t="s">
        <v>21</v>
      </c>
      <c r="I297">
        <v>0</v>
      </c>
      <c r="J297" t="s">
        <v>22</v>
      </c>
    </row>
    <row r="298" spans="1:10" x14ac:dyDescent="0.25">
      <c r="A298" s="1">
        <v>90</v>
      </c>
      <c r="B298" t="s">
        <v>23</v>
      </c>
      <c r="C298">
        <v>635</v>
      </c>
      <c r="D298">
        <v>1</v>
      </c>
      <c r="E298" t="s">
        <v>44</v>
      </c>
      <c r="F298" t="s">
        <v>45</v>
      </c>
      <c r="G298" t="str">
        <f>"2026-03-13 23:57:48.372"</f>
        <v>2026-03-13 23:57:48.372</v>
      </c>
      <c r="H298" t="s">
        <v>21</v>
      </c>
    </row>
    <row r="299" spans="1:10" x14ac:dyDescent="0.25">
      <c r="A299" s="1">
        <v>91</v>
      </c>
      <c r="B299" t="s">
        <v>26</v>
      </c>
      <c r="C299">
        <v>635</v>
      </c>
      <c r="D299">
        <v>1</v>
      </c>
      <c r="E299" t="s">
        <v>44</v>
      </c>
      <c r="F299" t="s">
        <v>45</v>
      </c>
      <c r="G299" t="str">
        <f>"2026-03-13 23:53:21.872"</f>
        <v>2026-03-13 23:53:21.872</v>
      </c>
      <c r="H299" t="s">
        <v>21</v>
      </c>
      <c r="I299">
        <v>1.61</v>
      </c>
      <c r="J299" t="s">
        <v>39</v>
      </c>
    </row>
    <row r="300" spans="1:10" x14ac:dyDescent="0.25">
      <c r="A300" s="1">
        <v>93</v>
      </c>
      <c r="B300" t="s">
        <v>19</v>
      </c>
      <c r="C300">
        <v>700</v>
      </c>
      <c r="D300">
        <v>0</v>
      </c>
      <c r="E300" t="s">
        <v>20</v>
      </c>
      <c r="F300" t="s">
        <v>20</v>
      </c>
      <c r="G300" t="str">
        <f>"2026-03-12 20:07:21.913"</f>
        <v>2026-03-12 20:07:21.913</v>
      </c>
      <c r="H300" t="s">
        <v>21</v>
      </c>
    </row>
    <row r="301" spans="1:10" x14ac:dyDescent="0.25">
      <c r="A301" s="1">
        <v>94</v>
      </c>
      <c r="B301" t="s">
        <v>19</v>
      </c>
      <c r="C301">
        <v>700</v>
      </c>
      <c r="D301">
        <v>0</v>
      </c>
      <c r="E301" t="s">
        <v>20</v>
      </c>
      <c r="F301" t="s">
        <v>20</v>
      </c>
      <c r="G301" t="str">
        <f>"2026-03-12 13:00:28.914"</f>
        <v>2026-03-12 13:00:28.914</v>
      </c>
      <c r="H301" t="s">
        <v>21</v>
      </c>
      <c r="I301">
        <v>0</v>
      </c>
      <c r="J301" t="s">
        <v>22</v>
      </c>
    </row>
    <row r="302" spans="1:10" s="3" customFormat="1" x14ac:dyDescent="0.25">
      <c r="A302" s="2">
        <v>95</v>
      </c>
      <c r="B302" s="3" t="s">
        <v>23</v>
      </c>
      <c r="C302" s="3">
        <v>647</v>
      </c>
      <c r="D302" s="3">
        <v>1</v>
      </c>
      <c r="E302" s="3" t="s">
        <v>28</v>
      </c>
      <c r="F302" s="3" t="s">
        <v>29</v>
      </c>
      <c r="G302" s="3" t="str">
        <f>"2026-03-12 04:53:58.898"</f>
        <v>2026-03-12 04:53:58.898</v>
      </c>
      <c r="H302" s="3" t="s">
        <v>21</v>
      </c>
    </row>
    <row r="303" spans="1:10" s="3" customFormat="1" x14ac:dyDescent="0.25">
      <c r="A303" s="2">
        <v>96</v>
      </c>
      <c r="B303" s="3" t="s">
        <v>26</v>
      </c>
      <c r="C303" s="3">
        <v>647</v>
      </c>
      <c r="D303" s="3">
        <v>1</v>
      </c>
      <c r="E303" s="3" t="s">
        <v>28</v>
      </c>
      <c r="F303" s="3" t="s">
        <v>29</v>
      </c>
      <c r="G303" s="3" t="str">
        <f>"2026-03-12 04:53:54.998"</f>
        <v>2026-03-12 04:53:54.998</v>
      </c>
      <c r="H303" s="3" t="s">
        <v>21</v>
      </c>
      <c r="I303" s="3">
        <v>12.32</v>
      </c>
      <c r="J303" s="3" t="s">
        <v>33</v>
      </c>
    </row>
    <row r="304" spans="1:10" s="3" customFormat="1" x14ac:dyDescent="0.25">
      <c r="A304" s="2">
        <v>97</v>
      </c>
      <c r="B304" s="3" t="s">
        <v>23</v>
      </c>
      <c r="C304" s="3">
        <v>647</v>
      </c>
      <c r="D304" s="3">
        <v>1</v>
      </c>
      <c r="E304" s="3" t="s">
        <v>28</v>
      </c>
      <c r="F304" s="3" t="s">
        <v>29</v>
      </c>
      <c r="G304" s="3" t="str">
        <f>"2026-03-11 16:06:30.998"</f>
        <v>2026-03-11 16:06:30.998</v>
      </c>
      <c r="H304" s="3" t="s">
        <v>21</v>
      </c>
    </row>
    <row r="305" spans="1:10" s="3" customFormat="1" x14ac:dyDescent="0.25">
      <c r="A305" s="2">
        <v>98</v>
      </c>
      <c r="B305" s="3" t="s">
        <v>26</v>
      </c>
      <c r="C305" s="3">
        <v>647</v>
      </c>
      <c r="D305" s="3">
        <v>1</v>
      </c>
      <c r="E305" s="3" t="s">
        <v>28</v>
      </c>
      <c r="F305" s="3" t="s">
        <v>29</v>
      </c>
      <c r="G305" s="3" t="str">
        <f>"2026-03-11 16:06:26.498"</f>
        <v>2026-03-11 16:06:26.498</v>
      </c>
      <c r="H305" s="3" t="s">
        <v>21</v>
      </c>
      <c r="I305" s="3">
        <v>9.52</v>
      </c>
      <c r="J305" s="3" t="s">
        <v>33</v>
      </c>
    </row>
    <row r="306" spans="1:10" s="3" customFormat="1" x14ac:dyDescent="0.25">
      <c r="A306" s="2">
        <v>99</v>
      </c>
      <c r="B306" s="3" t="s">
        <v>23</v>
      </c>
      <c r="C306" s="3">
        <v>647</v>
      </c>
      <c r="D306" s="3">
        <v>1</v>
      </c>
      <c r="E306" s="3" t="s">
        <v>28</v>
      </c>
      <c r="F306" s="3" t="s">
        <v>29</v>
      </c>
      <c r="G306" s="3" t="str">
        <f>"2026-03-10 15:12:25.298"</f>
        <v>2026-03-10 15:12:25.298</v>
      </c>
      <c r="H306" s="3" t="s">
        <v>21</v>
      </c>
    </row>
    <row r="307" spans="1:10" s="3" customFormat="1" x14ac:dyDescent="0.25">
      <c r="A307" s="2">
        <v>0</v>
      </c>
      <c r="B307" s="3" t="s">
        <v>26</v>
      </c>
      <c r="C307" s="3">
        <v>647</v>
      </c>
      <c r="D307" s="3">
        <v>1</v>
      </c>
      <c r="E307" s="3" t="s">
        <v>28</v>
      </c>
      <c r="F307" s="3" t="s">
        <v>29</v>
      </c>
      <c r="G307" s="3" t="str">
        <f>"2026-03-10 15:12:21.198"</f>
        <v>2026-03-10 15:12:21.198</v>
      </c>
      <c r="H307" s="3" t="s">
        <v>21</v>
      </c>
      <c r="I307" s="3">
        <v>11.92</v>
      </c>
      <c r="J307" s="3" t="s">
        <v>33</v>
      </c>
    </row>
    <row r="308" spans="1:10" x14ac:dyDescent="0.25">
      <c r="A308" s="1">
        <v>1</v>
      </c>
      <c r="B308" t="s">
        <v>19</v>
      </c>
      <c r="C308">
        <v>700</v>
      </c>
      <c r="D308">
        <v>0</v>
      </c>
      <c r="E308" t="s">
        <v>20</v>
      </c>
      <c r="F308" t="s">
        <v>20</v>
      </c>
      <c r="G308" t="str">
        <f>"2026-03-10 13:19:48.906"</f>
        <v>2026-03-10 13:19:48.906</v>
      </c>
      <c r="H308" t="s">
        <v>21</v>
      </c>
      <c r="I308">
        <v>0</v>
      </c>
      <c r="J308" t="s">
        <v>22</v>
      </c>
    </row>
    <row r="309" spans="1:10" x14ac:dyDescent="0.25">
      <c r="A309" s="1">
        <v>2</v>
      </c>
      <c r="B309" t="s">
        <v>23</v>
      </c>
      <c r="C309">
        <v>635</v>
      </c>
      <c r="D309">
        <v>1</v>
      </c>
      <c r="E309" t="s">
        <v>44</v>
      </c>
      <c r="F309" t="s">
        <v>45</v>
      </c>
      <c r="G309" t="str">
        <f>"2026-03-08 06:09:26.531"</f>
        <v>2026-03-08 06:09:26.531</v>
      </c>
      <c r="H309" t="s">
        <v>21</v>
      </c>
    </row>
    <row r="310" spans="1:10" x14ac:dyDescent="0.25">
      <c r="A310" s="1">
        <v>3</v>
      </c>
      <c r="B310" t="s">
        <v>26</v>
      </c>
      <c r="C310">
        <v>635</v>
      </c>
      <c r="D310">
        <v>1</v>
      </c>
      <c r="E310" t="s">
        <v>44</v>
      </c>
      <c r="F310" t="s">
        <v>45</v>
      </c>
      <c r="G310" t="str">
        <f>"2026-03-08 06:01:24.531"</f>
        <v>2026-03-08 06:01:24.531</v>
      </c>
      <c r="H310" t="s">
        <v>21</v>
      </c>
      <c r="I310">
        <v>0</v>
      </c>
      <c r="J310" t="s">
        <v>30</v>
      </c>
    </row>
    <row r="311" spans="1:10" x14ac:dyDescent="0.25">
      <c r="A311" s="1">
        <v>4</v>
      </c>
      <c r="B311" t="s">
        <v>19</v>
      </c>
      <c r="C311">
        <v>706</v>
      </c>
      <c r="D311">
        <v>4</v>
      </c>
      <c r="E311" t="s">
        <v>31</v>
      </c>
      <c r="F311" t="s">
        <v>32</v>
      </c>
      <c r="G311" t="str">
        <f>"2026-03-08 01:46:08.417"</f>
        <v>2026-03-08 01:46:08.417</v>
      </c>
      <c r="H311" t="s">
        <v>21</v>
      </c>
      <c r="I311">
        <v>0</v>
      </c>
      <c r="J311" t="s">
        <v>27</v>
      </c>
    </row>
    <row r="312" spans="1:10" x14ac:dyDescent="0.25">
      <c r="A312" s="1">
        <v>5</v>
      </c>
      <c r="B312" t="s">
        <v>19</v>
      </c>
      <c r="C312">
        <v>700</v>
      </c>
      <c r="D312">
        <v>0</v>
      </c>
      <c r="E312" t="s">
        <v>20</v>
      </c>
      <c r="F312" t="s">
        <v>20</v>
      </c>
      <c r="G312" t="str">
        <f>"2026-03-08 01:45:40.117"</f>
        <v>2026-03-08 01:45:40.117</v>
      </c>
      <c r="H312" t="s">
        <v>21</v>
      </c>
      <c r="I312">
        <v>0</v>
      </c>
      <c r="J312" t="s">
        <v>22</v>
      </c>
    </row>
    <row r="313" spans="1:10" x14ac:dyDescent="0.25">
      <c r="A313" s="1">
        <v>6</v>
      </c>
      <c r="B313" t="s">
        <v>19</v>
      </c>
      <c r="C313">
        <v>700</v>
      </c>
      <c r="D313">
        <v>0</v>
      </c>
      <c r="E313" t="s">
        <v>20</v>
      </c>
      <c r="F313" t="s">
        <v>20</v>
      </c>
      <c r="G313" t="str">
        <f>"2026-03-07 14:12:06.921"</f>
        <v>2026-03-07 14:12:06.921</v>
      </c>
      <c r="H313" t="s">
        <v>21</v>
      </c>
    </row>
    <row r="314" spans="1:10" x14ac:dyDescent="0.25">
      <c r="A314" s="1">
        <v>7</v>
      </c>
      <c r="B314" t="s">
        <v>19</v>
      </c>
      <c r="C314">
        <v>700</v>
      </c>
      <c r="D314">
        <v>0</v>
      </c>
      <c r="E314" t="s">
        <v>20</v>
      </c>
      <c r="F314" t="s">
        <v>20</v>
      </c>
      <c r="G314" t="str">
        <f>"2026-03-07 13:35:43.918"</f>
        <v>2026-03-07 13:35:43.918</v>
      </c>
      <c r="H314" t="s">
        <v>21</v>
      </c>
    </row>
    <row r="315" spans="1:10" x14ac:dyDescent="0.25">
      <c r="A315" s="1">
        <v>8</v>
      </c>
      <c r="B315" t="s">
        <v>19</v>
      </c>
      <c r="C315">
        <v>700</v>
      </c>
      <c r="D315">
        <v>0</v>
      </c>
      <c r="E315" t="s">
        <v>20</v>
      </c>
      <c r="F315" t="s">
        <v>20</v>
      </c>
      <c r="G315" t="str">
        <f>"2026-03-07 12:00:35.920"</f>
        <v>2026-03-07 12:00:35.920</v>
      </c>
      <c r="H315" t="s">
        <v>21</v>
      </c>
      <c r="I315">
        <v>0</v>
      </c>
      <c r="J315" t="s">
        <v>22</v>
      </c>
    </row>
    <row r="316" spans="1:10" x14ac:dyDescent="0.25">
      <c r="A316" s="1">
        <v>9</v>
      </c>
      <c r="B316" t="s">
        <v>19</v>
      </c>
      <c r="C316">
        <v>700</v>
      </c>
      <c r="D316">
        <v>0</v>
      </c>
      <c r="E316" t="s">
        <v>20</v>
      </c>
      <c r="F316" t="s">
        <v>20</v>
      </c>
      <c r="G316" t="str">
        <f>"2026-03-07 11:37:42.917"</f>
        <v>2026-03-07 11:37:42.917</v>
      </c>
      <c r="H316" t="s">
        <v>21</v>
      </c>
      <c r="I316">
        <v>0</v>
      </c>
      <c r="J316" t="s">
        <v>22</v>
      </c>
    </row>
    <row r="317" spans="1:10" x14ac:dyDescent="0.25">
      <c r="A317" s="1">
        <v>10</v>
      </c>
      <c r="B317" t="s">
        <v>19</v>
      </c>
      <c r="C317">
        <v>700</v>
      </c>
      <c r="D317">
        <v>0</v>
      </c>
      <c r="E317" t="s">
        <v>20</v>
      </c>
      <c r="F317" t="s">
        <v>20</v>
      </c>
      <c r="G317" t="str">
        <f>"2026-03-07 11:30:15.936"</f>
        <v>2026-03-07 11:30:15.936</v>
      </c>
      <c r="H317" t="s">
        <v>21</v>
      </c>
      <c r="I317">
        <v>0</v>
      </c>
      <c r="J317" t="s">
        <v>22</v>
      </c>
    </row>
    <row r="318" spans="1:10" x14ac:dyDescent="0.25">
      <c r="A318" s="1">
        <v>11</v>
      </c>
      <c r="B318" t="s">
        <v>19</v>
      </c>
      <c r="C318">
        <v>706</v>
      </c>
      <c r="D318">
        <v>2</v>
      </c>
      <c r="E318" t="s">
        <v>31</v>
      </c>
      <c r="F318" t="s">
        <v>43</v>
      </c>
      <c r="G318" t="str">
        <f>"2026-03-07 11:21:09.909"</f>
        <v>2026-03-07 11:21:09.909</v>
      </c>
      <c r="H318" t="s">
        <v>21</v>
      </c>
      <c r="I318">
        <v>0</v>
      </c>
      <c r="J318" t="s">
        <v>27</v>
      </c>
    </row>
    <row r="319" spans="1:10" x14ac:dyDescent="0.25">
      <c r="A319" s="1">
        <v>12</v>
      </c>
      <c r="B319" t="s">
        <v>19</v>
      </c>
      <c r="C319">
        <v>700</v>
      </c>
      <c r="D319">
        <v>0</v>
      </c>
      <c r="E319" t="s">
        <v>20</v>
      </c>
      <c r="F319" t="s">
        <v>20</v>
      </c>
      <c r="G319" t="str">
        <f>"2026-03-07 09:55:59.899"</f>
        <v>2026-03-07 09:55:59.899</v>
      </c>
      <c r="H319" t="s">
        <v>21</v>
      </c>
    </row>
    <row r="320" spans="1:10" x14ac:dyDescent="0.25">
      <c r="A320" s="1">
        <v>13</v>
      </c>
      <c r="B320" t="s">
        <v>23</v>
      </c>
      <c r="C320">
        <v>630</v>
      </c>
      <c r="D320">
        <v>5</v>
      </c>
      <c r="E320" t="s">
        <v>40</v>
      </c>
      <c r="F320" t="s">
        <v>41</v>
      </c>
      <c r="G320" t="str">
        <f>"2026-03-07 08:54:42.011"</f>
        <v>2026-03-07 08:54:42.011</v>
      </c>
      <c r="H320" t="s">
        <v>42</v>
      </c>
    </row>
    <row r="321" spans="1:10" x14ac:dyDescent="0.25">
      <c r="A321" s="1">
        <v>14</v>
      </c>
      <c r="B321" t="s">
        <v>38</v>
      </c>
      <c r="C321">
        <v>630</v>
      </c>
      <c r="D321">
        <v>5</v>
      </c>
      <c r="E321" t="s">
        <v>40</v>
      </c>
      <c r="F321" t="s">
        <v>41</v>
      </c>
      <c r="G321" t="str">
        <f>"2026-03-07 08:42:40.712"</f>
        <v>2026-03-07 08:42:40.712</v>
      </c>
      <c r="H321" t="s">
        <v>42</v>
      </c>
      <c r="I321">
        <v>0</v>
      </c>
      <c r="J321" t="s">
        <v>27</v>
      </c>
    </row>
    <row r="322" spans="1:10" x14ac:dyDescent="0.25">
      <c r="A322" s="1">
        <v>15</v>
      </c>
      <c r="B322" t="s">
        <v>19</v>
      </c>
      <c r="C322">
        <v>700</v>
      </c>
      <c r="D322">
        <v>0</v>
      </c>
      <c r="E322" t="s">
        <v>20</v>
      </c>
      <c r="F322" t="s">
        <v>20</v>
      </c>
      <c r="G322" t="str">
        <f>"2026-03-07 08:37:37.914"</f>
        <v>2026-03-07 08:37:37.914</v>
      </c>
      <c r="H322" t="s">
        <v>21</v>
      </c>
      <c r="I322">
        <v>0</v>
      </c>
      <c r="J322" t="s">
        <v>22</v>
      </c>
    </row>
    <row r="323" spans="1:10" x14ac:dyDescent="0.25">
      <c r="A323" s="1">
        <v>16</v>
      </c>
      <c r="B323" t="s">
        <v>23</v>
      </c>
      <c r="C323">
        <v>619</v>
      </c>
      <c r="D323">
        <v>1</v>
      </c>
      <c r="E323" t="s">
        <v>46</v>
      </c>
      <c r="F323" t="s">
        <v>45</v>
      </c>
      <c r="G323" t="str">
        <f>"2026-03-07 02:15:38.452"</f>
        <v>2026-03-07 02:15:38.452</v>
      </c>
      <c r="H323" t="s">
        <v>47</v>
      </c>
    </row>
    <row r="324" spans="1:10" x14ac:dyDescent="0.25">
      <c r="A324" s="1">
        <v>17</v>
      </c>
      <c r="B324" t="s">
        <v>26</v>
      </c>
      <c r="C324">
        <v>619</v>
      </c>
      <c r="D324">
        <v>1</v>
      </c>
      <c r="E324" t="s">
        <v>46</v>
      </c>
      <c r="F324" t="s">
        <v>45</v>
      </c>
      <c r="G324" t="str">
        <f>"2026-03-07 02:14:43.552"</f>
        <v>2026-03-07 02:14:43.552</v>
      </c>
      <c r="H324" t="s">
        <v>47</v>
      </c>
      <c r="I324">
        <v>0</v>
      </c>
      <c r="J324" t="s">
        <v>27</v>
      </c>
    </row>
    <row r="325" spans="1:10" x14ac:dyDescent="0.25">
      <c r="A325" s="1">
        <v>18</v>
      </c>
      <c r="B325" t="s">
        <v>19</v>
      </c>
      <c r="C325">
        <v>706</v>
      </c>
      <c r="D325">
        <v>4</v>
      </c>
      <c r="E325" t="s">
        <v>31</v>
      </c>
      <c r="F325" t="s">
        <v>32</v>
      </c>
      <c r="G325" t="str">
        <f>"2026-03-07 02:14:37.157"</f>
        <v>2026-03-07 02:14:37.157</v>
      </c>
      <c r="H325" t="s">
        <v>21</v>
      </c>
      <c r="I325">
        <v>0</v>
      </c>
      <c r="J325" t="s">
        <v>27</v>
      </c>
    </row>
    <row r="326" spans="1:10" x14ac:dyDescent="0.25">
      <c r="A326" s="1">
        <v>19</v>
      </c>
      <c r="B326" t="s">
        <v>19</v>
      </c>
      <c r="C326">
        <v>700</v>
      </c>
      <c r="D326">
        <v>0</v>
      </c>
      <c r="E326" t="s">
        <v>20</v>
      </c>
      <c r="F326" t="s">
        <v>20</v>
      </c>
      <c r="G326" t="str">
        <f>"2026-03-07 02:13:32.927"</f>
        <v>2026-03-07 02:13:32.927</v>
      </c>
      <c r="H326" t="s">
        <v>21</v>
      </c>
    </row>
    <row r="327" spans="1:10" x14ac:dyDescent="0.25">
      <c r="A327" s="1">
        <v>20</v>
      </c>
      <c r="B327" t="s">
        <v>19</v>
      </c>
      <c r="C327">
        <v>700</v>
      </c>
      <c r="D327">
        <v>0</v>
      </c>
      <c r="E327" t="s">
        <v>20</v>
      </c>
      <c r="F327" t="s">
        <v>20</v>
      </c>
      <c r="G327" t="str">
        <f>"2026-03-06 11:19:27.921"</f>
        <v>2026-03-06 11:19:27.921</v>
      </c>
      <c r="H327" t="s">
        <v>21</v>
      </c>
      <c r="I327">
        <v>0</v>
      </c>
      <c r="J327" t="s">
        <v>22</v>
      </c>
    </row>
    <row r="328" spans="1:10" x14ac:dyDescent="0.25">
      <c r="A328" s="1">
        <v>22</v>
      </c>
      <c r="B328" t="s">
        <v>23</v>
      </c>
      <c r="C328">
        <v>619</v>
      </c>
      <c r="D328">
        <v>1</v>
      </c>
      <c r="E328" t="s">
        <v>46</v>
      </c>
      <c r="F328" t="s">
        <v>45</v>
      </c>
      <c r="G328" t="str">
        <f>"2026-03-05 14:12:26.227"</f>
        <v>2026-03-05 14:12:26.227</v>
      </c>
      <c r="H328" t="s">
        <v>47</v>
      </c>
    </row>
    <row r="329" spans="1:10" x14ac:dyDescent="0.25">
      <c r="A329" s="1">
        <v>23</v>
      </c>
      <c r="B329" t="s">
        <v>26</v>
      </c>
      <c r="C329">
        <v>619</v>
      </c>
      <c r="D329">
        <v>1</v>
      </c>
      <c r="E329" t="s">
        <v>46</v>
      </c>
      <c r="F329" t="s">
        <v>45</v>
      </c>
      <c r="G329" t="str">
        <f>"2026-03-05 14:11:21.327"</f>
        <v>2026-03-05 14:11:21.327</v>
      </c>
      <c r="H329" t="s">
        <v>47</v>
      </c>
      <c r="I329">
        <v>0</v>
      </c>
      <c r="J329" t="s">
        <v>27</v>
      </c>
    </row>
    <row r="330" spans="1:10" x14ac:dyDescent="0.25">
      <c r="A330" s="1">
        <v>24</v>
      </c>
      <c r="B330" t="s">
        <v>19</v>
      </c>
      <c r="C330">
        <v>706</v>
      </c>
      <c r="D330">
        <v>4</v>
      </c>
      <c r="E330" t="s">
        <v>31</v>
      </c>
      <c r="F330" t="s">
        <v>32</v>
      </c>
      <c r="G330" t="str">
        <f>"2026-03-05 14:11:11.951"</f>
        <v>2026-03-05 14:11:11.951</v>
      </c>
      <c r="H330" t="s">
        <v>21</v>
      </c>
      <c r="I330">
        <v>0</v>
      </c>
      <c r="J330" t="s">
        <v>27</v>
      </c>
    </row>
    <row r="331" spans="1:10" x14ac:dyDescent="0.25">
      <c r="A331" s="1">
        <v>25</v>
      </c>
      <c r="B331" t="s">
        <v>19</v>
      </c>
      <c r="C331">
        <v>700</v>
      </c>
      <c r="D331">
        <v>0</v>
      </c>
      <c r="E331" t="s">
        <v>20</v>
      </c>
      <c r="F331" t="s">
        <v>20</v>
      </c>
      <c r="G331" t="str">
        <f>"2026-03-05 14:10:51.901"</f>
        <v>2026-03-05 14:10:51.901</v>
      </c>
      <c r="H331" t="s">
        <v>21</v>
      </c>
    </row>
    <row r="332" spans="1:10" x14ac:dyDescent="0.25">
      <c r="A332" s="1">
        <v>26</v>
      </c>
      <c r="B332" t="s">
        <v>23</v>
      </c>
      <c r="C332">
        <v>619</v>
      </c>
      <c r="D332">
        <v>1</v>
      </c>
      <c r="E332" t="s">
        <v>46</v>
      </c>
      <c r="F332" t="s">
        <v>45</v>
      </c>
      <c r="G332" t="str">
        <f>"2026-03-05 10:42:58.870"</f>
        <v>2026-03-05 10:42:58.870</v>
      </c>
      <c r="H332" t="s">
        <v>47</v>
      </c>
    </row>
    <row r="333" spans="1:10" x14ac:dyDescent="0.25">
      <c r="A333" s="1">
        <v>27</v>
      </c>
      <c r="B333" t="s">
        <v>26</v>
      </c>
      <c r="C333">
        <v>619</v>
      </c>
      <c r="D333">
        <v>1</v>
      </c>
      <c r="E333" t="s">
        <v>46</v>
      </c>
      <c r="F333" t="s">
        <v>45</v>
      </c>
      <c r="G333" t="str">
        <f>"2026-03-05 10:42:18.923"</f>
        <v>2026-03-05 10:42:18.923</v>
      </c>
      <c r="H333" t="s">
        <v>47</v>
      </c>
      <c r="I333">
        <v>0</v>
      </c>
      <c r="J333" t="s">
        <v>30</v>
      </c>
    </row>
    <row r="334" spans="1:10" x14ac:dyDescent="0.25">
      <c r="A334" s="1">
        <v>28</v>
      </c>
      <c r="B334" t="s">
        <v>19</v>
      </c>
      <c r="C334">
        <v>706</v>
      </c>
      <c r="D334">
        <v>4</v>
      </c>
      <c r="E334" t="s">
        <v>31</v>
      </c>
      <c r="F334" t="s">
        <v>32</v>
      </c>
      <c r="G334" t="str">
        <f>"2026-03-05 10:41:48.966"</f>
        <v>2026-03-05 10:41:48.966</v>
      </c>
      <c r="H334" t="s">
        <v>21</v>
      </c>
      <c r="I334">
        <v>0</v>
      </c>
      <c r="J334" t="s">
        <v>27</v>
      </c>
    </row>
    <row r="335" spans="1:10" x14ac:dyDescent="0.25">
      <c r="A335" s="1">
        <v>29</v>
      </c>
      <c r="B335" t="s">
        <v>19</v>
      </c>
      <c r="C335">
        <v>700</v>
      </c>
      <c r="D335">
        <v>0</v>
      </c>
      <c r="E335" t="s">
        <v>20</v>
      </c>
      <c r="F335" t="s">
        <v>20</v>
      </c>
      <c r="G335" t="str">
        <f>"2026-03-05 10:41:33.896"</f>
        <v>2026-03-05 10:41:33.896</v>
      </c>
      <c r="H335" t="s">
        <v>21</v>
      </c>
    </row>
    <row r="336" spans="1:10" x14ac:dyDescent="0.25">
      <c r="A336" s="1">
        <v>30</v>
      </c>
      <c r="B336" t="s">
        <v>19</v>
      </c>
      <c r="C336">
        <v>700</v>
      </c>
      <c r="D336">
        <v>0</v>
      </c>
      <c r="E336" t="s">
        <v>20</v>
      </c>
      <c r="F336" t="s">
        <v>20</v>
      </c>
      <c r="G336" t="str">
        <f>"2026-03-05 09:58:45.925"</f>
        <v>2026-03-05 09:58:45.925</v>
      </c>
      <c r="H336" t="s">
        <v>21</v>
      </c>
    </row>
    <row r="337" spans="1:10" x14ac:dyDescent="0.25">
      <c r="A337" s="1">
        <v>31</v>
      </c>
      <c r="B337" t="s">
        <v>19</v>
      </c>
      <c r="C337">
        <v>706</v>
      </c>
      <c r="D337">
        <v>4</v>
      </c>
      <c r="E337" t="s">
        <v>31</v>
      </c>
      <c r="F337" t="s">
        <v>32</v>
      </c>
      <c r="G337" t="str">
        <f>"2026-03-05 02:55:46.611"</f>
        <v>2026-03-05 02:55:46.611</v>
      </c>
      <c r="H337" t="s">
        <v>21</v>
      </c>
      <c r="I337">
        <v>0</v>
      </c>
      <c r="J337" t="s">
        <v>27</v>
      </c>
    </row>
    <row r="338" spans="1:10" x14ac:dyDescent="0.25">
      <c r="A338" s="1">
        <v>32</v>
      </c>
      <c r="B338" t="s">
        <v>19</v>
      </c>
      <c r="C338">
        <v>700</v>
      </c>
      <c r="D338">
        <v>0</v>
      </c>
      <c r="E338" t="s">
        <v>20</v>
      </c>
      <c r="F338" t="s">
        <v>20</v>
      </c>
      <c r="G338" t="str">
        <f>"2026-03-05 02:55:28.931"</f>
        <v>2026-03-05 02:55:28.931</v>
      </c>
      <c r="H338" t="s">
        <v>21</v>
      </c>
    </row>
    <row r="339" spans="1:10" x14ac:dyDescent="0.25">
      <c r="A339" s="1">
        <v>33</v>
      </c>
      <c r="B339" t="s">
        <v>23</v>
      </c>
      <c r="C339">
        <v>619</v>
      </c>
      <c r="D339">
        <v>1</v>
      </c>
      <c r="E339" t="s">
        <v>46</v>
      </c>
      <c r="F339" t="s">
        <v>45</v>
      </c>
      <c r="G339" t="str">
        <f>"2026-03-04 13:27:52.028"</f>
        <v>2026-03-04 13:27:52.028</v>
      </c>
      <c r="H339" t="s">
        <v>47</v>
      </c>
    </row>
    <row r="340" spans="1:10" x14ac:dyDescent="0.25">
      <c r="A340" s="1">
        <v>34</v>
      </c>
      <c r="B340" t="s">
        <v>26</v>
      </c>
      <c r="C340">
        <v>619</v>
      </c>
      <c r="D340">
        <v>1</v>
      </c>
      <c r="E340" t="s">
        <v>46</v>
      </c>
      <c r="F340" t="s">
        <v>45</v>
      </c>
      <c r="G340" t="str">
        <f>"2026-03-04 13:26:39.528"</f>
        <v>2026-03-04 13:26:39.528</v>
      </c>
      <c r="H340" t="s">
        <v>47</v>
      </c>
      <c r="I340">
        <v>0</v>
      </c>
      <c r="J340" t="s">
        <v>27</v>
      </c>
    </row>
    <row r="341" spans="1:10" x14ac:dyDescent="0.25">
      <c r="A341" s="1">
        <v>35</v>
      </c>
      <c r="B341" t="s">
        <v>19</v>
      </c>
      <c r="C341">
        <v>706</v>
      </c>
      <c r="D341">
        <v>2</v>
      </c>
      <c r="E341" t="s">
        <v>31</v>
      </c>
      <c r="F341" t="s">
        <v>43</v>
      </c>
      <c r="G341" t="str">
        <f>"2026-03-04 13:26:34.619"</f>
        <v>2026-03-04 13:26:34.619</v>
      </c>
      <c r="H341" t="s">
        <v>21</v>
      </c>
      <c r="I341">
        <v>0</v>
      </c>
      <c r="J341" t="s">
        <v>27</v>
      </c>
    </row>
    <row r="342" spans="1:10" x14ac:dyDescent="0.25">
      <c r="A342" s="1">
        <v>36</v>
      </c>
      <c r="B342" t="s">
        <v>19</v>
      </c>
      <c r="C342">
        <v>700</v>
      </c>
      <c r="D342">
        <v>0</v>
      </c>
      <c r="E342" t="s">
        <v>20</v>
      </c>
      <c r="F342" t="s">
        <v>20</v>
      </c>
      <c r="G342" t="str">
        <f>"2026-03-04 13:26:04.149"</f>
        <v>2026-03-04 13:26:04.149</v>
      </c>
      <c r="H342" t="s">
        <v>21</v>
      </c>
    </row>
    <row r="343" spans="1:10" x14ac:dyDescent="0.25">
      <c r="A343" s="1">
        <v>37</v>
      </c>
      <c r="B343" t="s">
        <v>23</v>
      </c>
      <c r="C343">
        <v>635</v>
      </c>
      <c r="D343">
        <v>1</v>
      </c>
      <c r="E343" t="s">
        <v>44</v>
      </c>
      <c r="F343" t="s">
        <v>45</v>
      </c>
      <c r="G343" t="str">
        <f>"2026-03-04 07:06:32.472"</f>
        <v>2026-03-04 07:06:32.472</v>
      </c>
      <c r="H343" t="s">
        <v>21</v>
      </c>
    </row>
    <row r="344" spans="1:10" x14ac:dyDescent="0.25">
      <c r="A344" s="1">
        <v>38</v>
      </c>
      <c r="B344" t="s">
        <v>26</v>
      </c>
      <c r="C344">
        <v>635</v>
      </c>
      <c r="D344">
        <v>1</v>
      </c>
      <c r="E344" t="s">
        <v>44</v>
      </c>
      <c r="F344" t="s">
        <v>45</v>
      </c>
      <c r="G344" t="str">
        <f>"2026-03-04 07:03:02.472"</f>
        <v>2026-03-04 07:03:02.472</v>
      </c>
      <c r="H344" t="s">
        <v>21</v>
      </c>
      <c r="I344">
        <v>8.2100000000000009</v>
      </c>
      <c r="J344" t="s">
        <v>39</v>
      </c>
    </row>
    <row r="345" spans="1:10" x14ac:dyDescent="0.25">
      <c r="A345" s="1">
        <v>39</v>
      </c>
      <c r="B345" t="s">
        <v>19</v>
      </c>
      <c r="C345">
        <v>706</v>
      </c>
      <c r="D345">
        <v>4</v>
      </c>
      <c r="E345" t="s">
        <v>31</v>
      </c>
      <c r="F345" t="s">
        <v>32</v>
      </c>
      <c r="G345" t="str">
        <f>"2026-03-04 02:32:45.817"</f>
        <v>2026-03-04 02:32:45.817</v>
      </c>
      <c r="H345" t="s">
        <v>21</v>
      </c>
      <c r="I345">
        <v>0</v>
      </c>
      <c r="J345" t="s">
        <v>27</v>
      </c>
    </row>
    <row r="346" spans="1:10" x14ac:dyDescent="0.25">
      <c r="A346" s="1">
        <v>40</v>
      </c>
      <c r="B346" t="s">
        <v>19</v>
      </c>
      <c r="C346">
        <v>700</v>
      </c>
      <c r="D346">
        <v>0</v>
      </c>
      <c r="E346" t="s">
        <v>20</v>
      </c>
      <c r="F346" t="s">
        <v>20</v>
      </c>
      <c r="G346" t="str">
        <f>"2026-03-04 02:31:52.907"</f>
        <v>2026-03-04 02:31:52.907</v>
      </c>
      <c r="H346" t="s">
        <v>21</v>
      </c>
      <c r="I346">
        <v>0</v>
      </c>
      <c r="J346" t="s">
        <v>22</v>
      </c>
    </row>
    <row r="347" spans="1:10" x14ac:dyDescent="0.25">
      <c r="A347" s="1">
        <v>41</v>
      </c>
      <c r="B347" t="s">
        <v>23</v>
      </c>
      <c r="C347">
        <v>619</v>
      </c>
      <c r="D347">
        <v>1</v>
      </c>
      <c r="E347" t="s">
        <v>46</v>
      </c>
      <c r="F347" t="s">
        <v>45</v>
      </c>
      <c r="G347" t="str">
        <f>"2026-03-03 18:57:21.167"</f>
        <v>2026-03-03 18:57:21.167</v>
      </c>
      <c r="H347" t="s">
        <v>47</v>
      </c>
    </row>
    <row r="348" spans="1:10" x14ac:dyDescent="0.25">
      <c r="A348" s="1">
        <v>42</v>
      </c>
      <c r="B348" t="s">
        <v>26</v>
      </c>
      <c r="C348">
        <v>619</v>
      </c>
      <c r="D348">
        <v>1</v>
      </c>
      <c r="E348" t="s">
        <v>46</v>
      </c>
      <c r="F348" t="s">
        <v>45</v>
      </c>
      <c r="G348" t="str">
        <f>"2026-03-03 18:56:44.315"</f>
        <v>2026-03-03 18:56:44.315</v>
      </c>
      <c r="H348" t="s">
        <v>47</v>
      </c>
      <c r="I348">
        <v>0</v>
      </c>
      <c r="J348" t="s">
        <v>30</v>
      </c>
    </row>
    <row r="349" spans="1:10" x14ac:dyDescent="0.25">
      <c r="A349" s="1">
        <v>43</v>
      </c>
      <c r="B349" t="s">
        <v>19</v>
      </c>
      <c r="C349">
        <v>700</v>
      </c>
      <c r="D349">
        <v>0</v>
      </c>
      <c r="E349" t="s">
        <v>20</v>
      </c>
      <c r="F349" t="s">
        <v>20</v>
      </c>
      <c r="G349" t="str">
        <f>"2026-03-03 18:56:14.903"</f>
        <v>2026-03-03 18:56:14.903</v>
      </c>
      <c r="H349" t="s">
        <v>21</v>
      </c>
      <c r="I349">
        <v>0</v>
      </c>
      <c r="J349" t="s">
        <v>22</v>
      </c>
    </row>
    <row r="350" spans="1:10" x14ac:dyDescent="0.25">
      <c r="A350" s="1">
        <v>44</v>
      </c>
      <c r="B350" t="s">
        <v>19</v>
      </c>
      <c r="C350">
        <v>700</v>
      </c>
      <c r="D350">
        <v>0</v>
      </c>
      <c r="E350" t="s">
        <v>20</v>
      </c>
      <c r="F350" t="s">
        <v>20</v>
      </c>
      <c r="G350" t="str">
        <f>"2026-03-03 15:46:36.927"</f>
        <v>2026-03-03 15:46:36.927</v>
      </c>
      <c r="H350" t="s">
        <v>21</v>
      </c>
    </row>
    <row r="351" spans="1:10" x14ac:dyDescent="0.25">
      <c r="A351" s="1">
        <v>45</v>
      </c>
      <c r="B351" t="s">
        <v>23</v>
      </c>
      <c r="C351">
        <v>619</v>
      </c>
      <c r="D351">
        <v>1</v>
      </c>
      <c r="E351" t="s">
        <v>46</v>
      </c>
      <c r="F351" t="s">
        <v>45</v>
      </c>
      <c r="G351" t="str">
        <f>"2026-03-03 11:45:09.107"</f>
        <v>2026-03-03 11:45:09.107</v>
      </c>
      <c r="H351" t="s">
        <v>47</v>
      </c>
    </row>
    <row r="352" spans="1:10" x14ac:dyDescent="0.25">
      <c r="A352" s="1">
        <v>46</v>
      </c>
      <c r="B352" t="s">
        <v>26</v>
      </c>
      <c r="C352">
        <v>619</v>
      </c>
      <c r="D352">
        <v>1</v>
      </c>
      <c r="E352" t="s">
        <v>46</v>
      </c>
      <c r="F352" t="s">
        <v>45</v>
      </c>
      <c r="G352" t="str">
        <f>"2026-03-03 11:44:07.354"</f>
        <v>2026-03-03 11:44:07.354</v>
      </c>
      <c r="H352" t="s">
        <v>47</v>
      </c>
      <c r="I352">
        <v>0</v>
      </c>
      <c r="J352" t="s">
        <v>27</v>
      </c>
    </row>
    <row r="353" spans="1:10" x14ac:dyDescent="0.25">
      <c r="A353" s="1">
        <v>47</v>
      </c>
      <c r="B353" t="s">
        <v>19</v>
      </c>
      <c r="C353">
        <v>700</v>
      </c>
      <c r="D353">
        <v>0</v>
      </c>
      <c r="E353" t="s">
        <v>20</v>
      </c>
      <c r="F353" t="s">
        <v>20</v>
      </c>
      <c r="G353" t="str">
        <f>"2026-03-03 11:43:37.882"</f>
        <v>2026-03-03 11:43:37.882</v>
      </c>
      <c r="H353" t="s">
        <v>21</v>
      </c>
      <c r="I353">
        <v>0</v>
      </c>
      <c r="J353" t="s">
        <v>22</v>
      </c>
    </row>
    <row r="354" spans="1:10" x14ac:dyDescent="0.25">
      <c r="A354" s="1">
        <v>48</v>
      </c>
      <c r="B354" t="s">
        <v>23</v>
      </c>
      <c r="C354">
        <v>619</v>
      </c>
      <c r="D354">
        <v>1</v>
      </c>
      <c r="E354" t="s">
        <v>46</v>
      </c>
      <c r="F354" t="s">
        <v>45</v>
      </c>
      <c r="G354" t="str">
        <f>"2026-03-03 09:57:28.563"</f>
        <v>2026-03-03 09:57:28.563</v>
      </c>
      <c r="H354" t="s">
        <v>47</v>
      </c>
    </row>
    <row r="355" spans="1:10" x14ac:dyDescent="0.25">
      <c r="A355" s="1">
        <v>49</v>
      </c>
      <c r="B355" t="s">
        <v>26</v>
      </c>
      <c r="C355">
        <v>619</v>
      </c>
      <c r="D355">
        <v>1</v>
      </c>
      <c r="E355" t="s">
        <v>46</v>
      </c>
      <c r="F355" t="s">
        <v>45</v>
      </c>
      <c r="G355" t="str">
        <f>"2026-03-03 09:56:13.816"</f>
        <v>2026-03-03 09:56:13.816</v>
      </c>
      <c r="H355" t="s">
        <v>47</v>
      </c>
      <c r="I355">
        <v>0</v>
      </c>
      <c r="J355" t="s">
        <v>27</v>
      </c>
    </row>
    <row r="356" spans="1:10" x14ac:dyDescent="0.25">
      <c r="A356" s="1">
        <v>50</v>
      </c>
      <c r="B356" t="s">
        <v>19</v>
      </c>
      <c r="C356">
        <v>706</v>
      </c>
      <c r="D356">
        <v>2</v>
      </c>
      <c r="E356" t="s">
        <v>31</v>
      </c>
      <c r="F356" t="s">
        <v>43</v>
      </c>
      <c r="G356" t="str">
        <f>"2026-03-03 09:56:07.210"</f>
        <v>2026-03-03 09:56:07.210</v>
      </c>
      <c r="H356" t="s">
        <v>21</v>
      </c>
      <c r="I356">
        <v>0</v>
      </c>
      <c r="J356" t="s">
        <v>27</v>
      </c>
    </row>
    <row r="357" spans="1:10" x14ac:dyDescent="0.25">
      <c r="A357" s="1">
        <v>51</v>
      </c>
      <c r="B357" t="s">
        <v>19</v>
      </c>
      <c r="C357">
        <v>700</v>
      </c>
      <c r="D357">
        <v>0</v>
      </c>
      <c r="E357" t="s">
        <v>20</v>
      </c>
      <c r="F357" t="s">
        <v>20</v>
      </c>
      <c r="G357" t="str">
        <f>"2026-03-03 09:55:46.900"</f>
        <v>2026-03-03 09:55:46.900</v>
      </c>
      <c r="H357" t="s">
        <v>21</v>
      </c>
      <c r="I357">
        <v>0</v>
      </c>
      <c r="J357" t="s">
        <v>22</v>
      </c>
    </row>
    <row r="358" spans="1:10" x14ac:dyDescent="0.25">
      <c r="A358" s="1">
        <v>52</v>
      </c>
      <c r="B358" t="s">
        <v>19</v>
      </c>
      <c r="C358">
        <v>700</v>
      </c>
      <c r="D358">
        <v>0</v>
      </c>
      <c r="E358" t="s">
        <v>20</v>
      </c>
      <c r="F358" t="s">
        <v>20</v>
      </c>
      <c r="G358" t="str">
        <f>"2026-03-03 08:52:11.972"</f>
        <v>2026-03-03 08:52:11.972</v>
      </c>
      <c r="H358" t="s">
        <v>21</v>
      </c>
    </row>
    <row r="359" spans="1:10" x14ac:dyDescent="0.25">
      <c r="A359" s="1">
        <v>53</v>
      </c>
      <c r="B359" t="s">
        <v>19</v>
      </c>
      <c r="C359">
        <v>706</v>
      </c>
      <c r="D359">
        <v>4</v>
      </c>
      <c r="E359" t="s">
        <v>31</v>
      </c>
      <c r="F359" t="s">
        <v>32</v>
      </c>
      <c r="G359" t="str">
        <f>"2026-03-03 04:03:23.546"</f>
        <v>2026-03-03 04:03:23.546</v>
      </c>
      <c r="H359" t="s">
        <v>21</v>
      </c>
      <c r="I359">
        <v>0</v>
      </c>
      <c r="J359" t="s">
        <v>27</v>
      </c>
    </row>
    <row r="360" spans="1:10" x14ac:dyDescent="0.25">
      <c r="A360" s="1">
        <v>54</v>
      </c>
      <c r="B360" t="s">
        <v>19</v>
      </c>
      <c r="C360">
        <v>700</v>
      </c>
      <c r="D360">
        <v>0</v>
      </c>
      <c r="E360" t="s">
        <v>20</v>
      </c>
      <c r="F360" t="s">
        <v>20</v>
      </c>
      <c r="G360" t="str">
        <f>"2026-03-03 04:03:06.076"</f>
        <v>2026-03-03 04:03:06.076</v>
      </c>
      <c r="H360" t="s">
        <v>21</v>
      </c>
    </row>
    <row r="361" spans="1:10" x14ac:dyDescent="0.25">
      <c r="A361" s="1">
        <v>55</v>
      </c>
      <c r="B361" t="s">
        <v>19</v>
      </c>
      <c r="C361">
        <v>706</v>
      </c>
      <c r="D361">
        <v>3</v>
      </c>
      <c r="E361" t="s">
        <v>31</v>
      </c>
      <c r="F361" t="s">
        <v>48</v>
      </c>
      <c r="G361" t="str">
        <f>"2026-03-03 03:56:57.845"</f>
        <v>2026-03-03 03:56:57.845</v>
      </c>
      <c r="H361" t="s">
        <v>21</v>
      </c>
      <c r="I361">
        <v>0</v>
      </c>
      <c r="J361" t="s">
        <v>27</v>
      </c>
    </row>
    <row r="362" spans="1:10" x14ac:dyDescent="0.25">
      <c r="A362" s="1">
        <v>56</v>
      </c>
      <c r="B362" t="s">
        <v>19</v>
      </c>
      <c r="C362">
        <v>700</v>
      </c>
      <c r="D362">
        <v>0</v>
      </c>
      <c r="E362" t="s">
        <v>20</v>
      </c>
      <c r="F362" t="s">
        <v>20</v>
      </c>
      <c r="G362" t="str">
        <f>"2026-03-03 03:56:17.885"</f>
        <v>2026-03-03 03:56:17.885</v>
      </c>
      <c r="H362" t="s">
        <v>21</v>
      </c>
      <c r="I362">
        <v>0</v>
      </c>
      <c r="J362" t="s">
        <v>22</v>
      </c>
    </row>
    <row r="363" spans="1:10" x14ac:dyDescent="0.25">
      <c r="A363" s="1">
        <v>57</v>
      </c>
      <c r="B363" t="s">
        <v>19</v>
      </c>
      <c r="C363">
        <v>700</v>
      </c>
      <c r="D363">
        <v>0</v>
      </c>
      <c r="E363" t="s">
        <v>20</v>
      </c>
      <c r="F363" t="s">
        <v>20</v>
      </c>
      <c r="G363" t="str">
        <f>"2026-03-03 03:42:44.890"</f>
        <v>2026-03-03 03:42:44.890</v>
      </c>
      <c r="H363" t="s">
        <v>21</v>
      </c>
    </row>
    <row r="364" spans="1:10" x14ac:dyDescent="0.25">
      <c r="A364" s="1">
        <v>58</v>
      </c>
      <c r="B364" t="s">
        <v>19</v>
      </c>
      <c r="C364">
        <v>700</v>
      </c>
      <c r="D364">
        <v>0</v>
      </c>
      <c r="E364" t="s">
        <v>20</v>
      </c>
      <c r="F364" t="s">
        <v>20</v>
      </c>
      <c r="G364" t="str">
        <f>"2026-03-03 03:33:29.026"</f>
        <v>2026-03-03 03:33:29.026</v>
      </c>
      <c r="H364" t="s">
        <v>21</v>
      </c>
    </row>
    <row r="365" spans="1:10" x14ac:dyDescent="0.25">
      <c r="A365" s="1">
        <v>59</v>
      </c>
      <c r="B365" t="s">
        <v>19</v>
      </c>
      <c r="C365">
        <v>700</v>
      </c>
      <c r="D365">
        <v>0</v>
      </c>
      <c r="E365" t="s">
        <v>20</v>
      </c>
      <c r="F365" t="s">
        <v>20</v>
      </c>
      <c r="G365" t="str">
        <f>"2026-03-03 03:31:06.918"</f>
        <v>2026-03-03 03:31:06.918</v>
      </c>
      <c r="H365" t="s">
        <v>21</v>
      </c>
      <c r="I365">
        <v>0</v>
      </c>
      <c r="J365" t="s">
        <v>22</v>
      </c>
    </row>
    <row r="366" spans="1:10" s="3" customFormat="1" x14ac:dyDescent="0.25">
      <c r="A366" s="2">
        <v>60</v>
      </c>
      <c r="B366" s="3" t="s">
        <v>23</v>
      </c>
      <c r="C366" s="3">
        <v>647</v>
      </c>
      <c r="D366" s="3">
        <v>1</v>
      </c>
      <c r="E366" s="3" t="s">
        <v>28</v>
      </c>
      <c r="F366" s="3" t="s">
        <v>29</v>
      </c>
      <c r="G366" s="3" t="str">
        <f>"2026-03-03 01:54:29.548"</f>
        <v>2026-03-03 01:54:29.548</v>
      </c>
      <c r="H366" s="3" t="s">
        <v>21</v>
      </c>
    </row>
    <row r="367" spans="1:10" s="3" customFormat="1" x14ac:dyDescent="0.25">
      <c r="A367" s="2">
        <v>61</v>
      </c>
      <c r="B367" s="3" t="s">
        <v>26</v>
      </c>
      <c r="C367" s="3">
        <v>647</v>
      </c>
      <c r="D367" s="3">
        <v>1</v>
      </c>
      <c r="E367" s="3" t="s">
        <v>28</v>
      </c>
      <c r="F367" s="3" t="s">
        <v>29</v>
      </c>
      <c r="G367" s="3" t="str">
        <f>"2026-03-03 01:54:28.448"</f>
        <v>2026-03-03 01:54:28.448</v>
      </c>
      <c r="H367" s="3" t="s">
        <v>21</v>
      </c>
      <c r="I367" s="3">
        <v>9.32</v>
      </c>
      <c r="J367" s="3" t="s">
        <v>33</v>
      </c>
    </row>
    <row r="368" spans="1:10" x14ac:dyDescent="0.25">
      <c r="A368" s="1">
        <v>62</v>
      </c>
      <c r="B368" t="s">
        <v>19</v>
      </c>
      <c r="C368">
        <v>700</v>
      </c>
      <c r="D368">
        <v>0</v>
      </c>
      <c r="E368" t="s">
        <v>20</v>
      </c>
      <c r="F368" t="s">
        <v>20</v>
      </c>
      <c r="G368" t="str">
        <f>"2026-03-02 23:53:58.919"</f>
        <v>2026-03-02 23:53:58.919</v>
      </c>
      <c r="H368" t="s">
        <v>21</v>
      </c>
      <c r="I368">
        <v>0</v>
      </c>
      <c r="J368" t="s">
        <v>22</v>
      </c>
    </row>
    <row r="369" spans="1:10" x14ac:dyDescent="0.25">
      <c r="A369" s="1">
        <v>63</v>
      </c>
      <c r="B369" t="s">
        <v>19</v>
      </c>
      <c r="C369">
        <v>700</v>
      </c>
      <c r="D369">
        <v>0</v>
      </c>
      <c r="E369" t="s">
        <v>20</v>
      </c>
      <c r="F369" t="s">
        <v>20</v>
      </c>
      <c r="G369" t="str">
        <f>"2026-03-02 10:47:37.886"</f>
        <v>2026-03-02 10:47:37.886</v>
      </c>
      <c r="H369" t="s">
        <v>21</v>
      </c>
    </row>
    <row r="370" spans="1:10" x14ac:dyDescent="0.25">
      <c r="A370" s="1">
        <v>64</v>
      </c>
      <c r="B370" t="s">
        <v>19</v>
      </c>
      <c r="C370">
        <v>700</v>
      </c>
      <c r="D370">
        <v>0</v>
      </c>
      <c r="E370" t="s">
        <v>20</v>
      </c>
      <c r="F370" t="s">
        <v>20</v>
      </c>
      <c r="G370" t="str">
        <f>"2026-03-02 10:10:09.062"</f>
        <v>2026-03-02 10:10:09.062</v>
      </c>
      <c r="H370" t="s">
        <v>21</v>
      </c>
    </row>
    <row r="371" spans="1:10" x14ac:dyDescent="0.25">
      <c r="A371" s="1">
        <v>65</v>
      </c>
      <c r="B371" t="s">
        <v>19</v>
      </c>
      <c r="C371">
        <v>700</v>
      </c>
      <c r="D371">
        <v>0</v>
      </c>
      <c r="E371" t="s">
        <v>20</v>
      </c>
      <c r="F371" t="s">
        <v>20</v>
      </c>
      <c r="G371" t="str">
        <f>"2026-03-02 09:19:28.894"</f>
        <v>2026-03-02 09:19:28.894</v>
      </c>
      <c r="H371" t="s">
        <v>21</v>
      </c>
    </row>
    <row r="372" spans="1:10" s="3" customFormat="1" x14ac:dyDescent="0.25">
      <c r="A372" s="2">
        <v>66</v>
      </c>
      <c r="B372" s="3" t="s">
        <v>23</v>
      </c>
      <c r="C372" s="3">
        <v>647</v>
      </c>
      <c r="D372" s="3">
        <v>1</v>
      </c>
      <c r="E372" s="3" t="s">
        <v>28</v>
      </c>
      <c r="F372" s="3" t="s">
        <v>29</v>
      </c>
      <c r="G372" s="3" t="str">
        <f>"2026-02-28 23:25:26.117"</f>
        <v>2026-02-28 23:25:26.117</v>
      </c>
      <c r="H372" s="3" t="s">
        <v>21</v>
      </c>
    </row>
    <row r="373" spans="1:10" s="3" customFormat="1" x14ac:dyDescent="0.25">
      <c r="A373" s="2">
        <v>67</v>
      </c>
      <c r="B373" s="3" t="s">
        <v>26</v>
      </c>
      <c r="C373" s="3">
        <v>647</v>
      </c>
      <c r="D373" s="3">
        <v>1</v>
      </c>
      <c r="E373" s="3" t="s">
        <v>28</v>
      </c>
      <c r="F373" s="3" t="s">
        <v>29</v>
      </c>
      <c r="G373" s="3" t="str">
        <f>"2026-02-28 23:25:16.717"</f>
        <v>2026-02-28 23:25:16.717</v>
      </c>
      <c r="H373" s="3" t="s">
        <v>21</v>
      </c>
      <c r="I373" s="3">
        <v>23.49</v>
      </c>
      <c r="J373" s="3" t="s">
        <v>33</v>
      </c>
    </row>
    <row r="374" spans="1:10" s="3" customFormat="1" x14ac:dyDescent="0.25">
      <c r="A374" s="2">
        <v>68</v>
      </c>
      <c r="B374" s="3" t="s">
        <v>23</v>
      </c>
      <c r="C374" s="3">
        <v>647</v>
      </c>
      <c r="D374" s="3">
        <v>1</v>
      </c>
      <c r="E374" s="3" t="s">
        <v>28</v>
      </c>
      <c r="F374" s="3" t="s">
        <v>29</v>
      </c>
      <c r="G374" s="3" t="str">
        <f>"2026-02-28 02:15:12.917"</f>
        <v>2026-02-28 02:15:12.917</v>
      </c>
      <c r="H374" s="3" t="s">
        <v>21</v>
      </c>
    </row>
    <row r="375" spans="1:10" s="3" customFormat="1" x14ac:dyDescent="0.25">
      <c r="A375" s="2">
        <v>69</v>
      </c>
      <c r="B375" s="3" t="s">
        <v>26</v>
      </c>
      <c r="C375" s="3">
        <v>647</v>
      </c>
      <c r="D375" s="3">
        <v>1</v>
      </c>
      <c r="E375" s="3" t="s">
        <v>28</v>
      </c>
      <c r="F375" s="3" t="s">
        <v>29</v>
      </c>
      <c r="G375" s="3" t="str">
        <f>"2026-02-28 02:15:08.217"</f>
        <v>2026-02-28 02:15:08.217</v>
      </c>
      <c r="H375" s="3" t="s">
        <v>21</v>
      </c>
      <c r="I375" s="3">
        <v>12.18</v>
      </c>
      <c r="J375" s="3" t="s">
        <v>33</v>
      </c>
    </row>
    <row r="376" spans="1:10" x14ac:dyDescent="0.25">
      <c r="A376" s="1">
        <v>70</v>
      </c>
      <c r="B376" t="s">
        <v>19</v>
      </c>
      <c r="C376">
        <v>706</v>
      </c>
      <c r="D376">
        <v>4</v>
      </c>
      <c r="E376" t="s">
        <v>31</v>
      </c>
      <c r="F376" t="s">
        <v>32</v>
      </c>
      <c r="G376" t="str">
        <f>"2026-02-28 01:32:58.972"</f>
        <v>2026-02-28 01:32:58.972</v>
      </c>
      <c r="H376" t="s">
        <v>21</v>
      </c>
      <c r="I376">
        <v>0</v>
      </c>
      <c r="J376" t="s">
        <v>27</v>
      </c>
    </row>
    <row r="377" spans="1:10" x14ac:dyDescent="0.25">
      <c r="A377" s="1">
        <v>71</v>
      </c>
      <c r="B377" t="s">
        <v>19</v>
      </c>
      <c r="C377">
        <v>700</v>
      </c>
      <c r="D377">
        <v>0</v>
      </c>
      <c r="E377" t="s">
        <v>20</v>
      </c>
      <c r="F377" t="s">
        <v>20</v>
      </c>
      <c r="G377" t="str">
        <f>"2026-02-28 01:32:16.892"</f>
        <v>2026-02-28 01:32:16.892</v>
      </c>
      <c r="H377" t="s">
        <v>21</v>
      </c>
      <c r="I377">
        <v>0</v>
      </c>
      <c r="J377" t="s">
        <v>22</v>
      </c>
    </row>
    <row r="378" spans="1:10" x14ac:dyDescent="0.25">
      <c r="A378" s="1">
        <v>72</v>
      </c>
      <c r="B378" t="s">
        <v>23</v>
      </c>
      <c r="C378">
        <v>635</v>
      </c>
      <c r="D378">
        <v>1</v>
      </c>
      <c r="E378" t="s">
        <v>44</v>
      </c>
      <c r="F378" t="s">
        <v>45</v>
      </c>
      <c r="G378" t="str">
        <f>"2026-02-27 17:00:56.357"</f>
        <v>2026-02-27 17:00:56.357</v>
      </c>
      <c r="H378" t="s">
        <v>21</v>
      </c>
    </row>
    <row r="379" spans="1:10" x14ac:dyDescent="0.25">
      <c r="A379" s="1">
        <v>73</v>
      </c>
      <c r="B379" t="s">
        <v>26</v>
      </c>
      <c r="C379">
        <v>635</v>
      </c>
      <c r="D379">
        <v>1</v>
      </c>
      <c r="E379" t="s">
        <v>44</v>
      </c>
      <c r="F379" t="s">
        <v>45</v>
      </c>
      <c r="G379" t="str">
        <f>"2026-02-27 16:57:11.357"</f>
        <v>2026-02-27 16:57:11.357</v>
      </c>
      <c r="H379" t="s">
        <v>21</v>
      </c>
      <c r="I379">
        <v>7.44</v>
      </c>
      <c r="J379" t="s">
        <v>39</v>
      </c>
    </row>
    <row r="380" spans="1:10" x14ac:dyDescent="0.25">
      <c r="A380" s="1">
        <v>74</v>
      </c>
      <c r="B380" t="s">
        <v>23</v>
      </c>
      <c r="C380">
        <v>635</v>
      </c>
      <c r="D380">
        <v>1</v>
      </c>
      <c r="E380" t="s">
        <v>44</v>
      </c>
      <c r="F380" t="s">
        <v>45</v>
      </c>
      <c r="G380" t="str">
        <f>"2026-02-27 15:36:40.957"</f>
        <v>2026-02-27 15:36:40.957</v>
      </c>
      <c r="H380" t="s">
        <v>21</v>
      </c>
    </row>
    <row r="381" spans="1:10" x14ac:dyDescent="0.25">
      <c r="A381" s="1">
        <v>75</v>
      </c>
      <c r="B381" t="s">
        <v>26</v>
      </c>
      <c r="C381">
        <v>635</v>
      </c>
      <c r="D381">
        <v>1</v>
      </c>
      <c r="E381" t="s">
        <v>44</v>
      </c>
      <c r="F381" t="s">
        <v>45</v>
      </c>
      <c r="G381" t="str">
        <f>"2026-02-27 15:32:10.957"</f>
        <v>2026-02-27 15:32:10.957</v>
      </c>
      <c r="H381" t="s">
        <v>21</v>
      </c>
      <c r="I381">
        <v>4.33</v>
      </c>
      <c r="J381" t="s">
        <v>30</v>
      </c>
    </row>
    <row r="382" spans="1:10" x14ac:dyDescent="0.25">
      <c r="A382" s="1">
        <v>76</v>
      </c>
      <c r="B382" t="s">
        <v>23</v>
      </c>
      <c r="C382">
        <v>630</v>
      </c>
      <c r="D382">
        <v>5</v>
      </c>
      <c r="E382" t="s">
        <v>40</v>
      </c>
      <c r="F382" t="s">
        <v>41</v>
      </c>
      <c r="G382" t="str">
        <f>"2026-02-26 13:03:36.511"</f>
        <v>2026-02-26 13:03:36.511</v>
      </c>
      <c r="H382" t="s">
        <v>42</v>
      </c>
    </row>
    <row r="383" spans="1:10" x14ac:dyDescent="0.25">
      <c r="A383" s="1">
        <v>77</v>
      </c>
      <c r="B383" t="s">
        <v>19</v>
      </c>
      <c r="C383">
        <v>706</v>
      </c>
      <c r="D383">
        <v>4</v>
      </c>
      <c r="E383" t="s">
        <v>31</v>
      </c>
      <c r="F383" t="s">
        <v>32</v>
      </c>
      <c r="G383" t="str">
        <f>"2026-02-26 13:03:06.545"</f>
        <v>2026-02-26 13:03:06.545</v>
      </c>
      <c r="H383" t="s">
        <v>21</v>
      </c>
      <c r="I383">
        <v>0</v>
      </c>
      <c r="J383" t="s">
        <v>27</v>
      </c>
    </row>
    <row r="384" spans="1:10" x14ac:dyDescent="0.25">
      <c r="A384" s="1">
        <v>78</v>
      </c>
      <c r="B384" t="s">
        <v>38</v>
      </c>
      <c r="C384">
        <v>630</v>
      </c>
      <c r="D384">
        <v>5</v>
      </c>
      <c r="E384" t="s">
        <v>40</v>
      </c>
      <c r="F384" t="s">
        <v>41</v>
      </c>
      <c r="G384" t="str">
        <f>"2026-02-26 13:01:31.211"</f>
        <v>2026-02-26 13:01:31.211</v>
      </c>
      <c r="H384" t="s">
        <v>42</v>
      </c>
      <c r="I384">
        <v>0</v>
      </c>
      <c r="J384" t="s">
        <v>27</v>
      </c>
    </row>
    <row r="385" spans="1:10" x14ac:dyDescent="0.25">
      <c r="A385" s="1">
        <v>79</v>
      </c>
      <c r="B385" t="s">
        <v>23</v>
      </c>
      <c r="C385">
        <v>635</v>
      </c>
      <c r="D385">
        <v>1</v>
      </c>
      <c r="E385" t="s">
        <v>44</v>
      </c>
      <c r="F385" t="s">
        <v>45</v>
      </c>
      <c r="G385" t="str">
        <f>"2026-02-25 06:40:43.857"</f>
        <v>2026-02-25 06:40:43.857</v>
      </c>
      <c r="H385" t="s">
        <v>21</v>
      </c>
    </row>
    <row r="386" spans="1:10" x14ac:dyDescent="0.25">
      <c r="A386" s="1">
        <v>80</v>
      </c>
      <c r="B386" t="s">
        <v>26</v>
      </c>
      <c r="C386">
        <v>635</v>
      </c>
      <c r="D386">
        <v>1</v>
      </c>
      <c r="E386" t="s">
        <v>44</v>
      </c>
      <c r="F386" t="s">
        <v>45</v>
      </c>
      <c r="G386" t="str">
        <f>"2026-02-25 06:20:19.957"</f>
        <v>2026-02-25 06:20:19.957</v>
      </c>
      <c r="H386" t="s">
        <v>21</v>
      </c>
      <c r="I386">
        <v>-0.34</v>
      </c>
      <c r="J386" t="s">
        <v>39</v>
      </c>
    </row>
    <row r="387" spans="1:10" x14ac:dyDescent="0.25">
      <c r="A387" s="1">
        <v>81</v>
      </c>
      <c r="B387" t="s">
        <v>23</v>
      </c>
      <c r="C387">
        <v>98</v>
      </c>
      <c r="D387">
        <v>1</v>
      </c>
      <c r="E387" t="s">
        <v>49</v>
      </c>
      <c r="F387" t="s">
        <v>50</v>
      </c>
      <c r="G387" t="str">
        <f>"2026-02-24 19:32:19.910"</f>
        <v>2026-02-24 19:32:19.910</v>
      </c>
      <c r="H387" t="s">
        <v>21</v>
      </c>
    </row>
    <row r="388" spans="1:10" x14ac:dyDescent="0.25">
      <c r="A388" s="1">
        <v>82</v>
      </c>
      <c r="B388" t="s">
        <v>26</v>
      </c>
      <c r="C388">
        <v>98</v>
      </c>
      <c r="D388">
        <v>1</v>
      </c>
      <c r="E388" t="s">
        <v>49</v>
      </c>
      <c r="F388" t="s">
        <v>50</v>
      </c>
      <c r="G388" t="str">
        <f>"2026-02-24 19:32:18.911"</f>
        <v>2026-02-24 19:32:18.911</v>
      </c>
      <c r="H388" t="s">
        <v>21</v>
      </c>
      <c r="I388">
        <v>0</v>
      </c>
      <c r="J388" t="s">
        <v>30</v>
      </c>
    </row>
    <row r="389" spans="1:10" x14ac:dyDescent="0.25">
      <c r="A389" s="1">
        <v>83</v>
      </c>
      <c r="B389" t="s">
        <v>19</v>
      </c>
      <c r="C389">
        <v>700</v>
      </c>
      <c r="D389">
        <v>0</v>
      </c>
      <c r="E389" t="s">
        <v>20</v>
      </c>
      <c r="F389" t="s">
        <v>20</v>
      </c>
      <c r="G389" t="str">
        <f>"2026-02-24 11:25:53.885"</f>
        <v>2026-02-24 11:25:53.885</v>
      </c>
      <c r="H389" t="s">
        <v>21</v>
      </c>
      <c r="I389">
        <v>0</v>
      </c>
      <c r="J389" t="s">
        <v>22</v>
      </c>
    </row>
    <row r="390" spans="1:10" x14ac:dyDescent="0.25">
      <c r="A390" s="1">
        <v>84</v>
      </c>
      <c r="B390" t="s">
        <v>23</v>
      </c>
      <c r="C390">
        <v>630</v>
      </c>
      <c r="D390">
        <v>5</v>
      </c>
      <c r="E390" t="s">
        <v>40</v>
      </c>
      <c r="F390" t="s">
        <v>41</v>
      </c>
      <c r="G390" t="str">
        <f>"2026-02-24 10:04:47.241"</f>
        <v>2026-02-24 10:04:47.241</v>
      </c>
      <c r="H390" t="s">
        <v>42</v>
      </c>
    </row>
    <row r="391" spans="1:10" x14ac:dyDescent="0.25">
      <c r="A391" s="1">
        <v>85</v>
      </c>
      <c r="B391" t="s">
        <v>19</v>
      </c>
      <c r="C391">
        <v>706</v>
      </c>
      <c r="D391">
        <v>4</v>
      </c>
      <c r="E391" t="s">
        <v>31</v>
      </c>
      <c r="F391" t="s">
        <v>32</v>
      </c>
      <c r="G391" t="str">
        <f>"2026-02-24 10:04:17.139"</f>
        <v>2026-02-24 10:04:17.139</v>
      </c>
      <c r="H391" t="s">
        <v>21</v>
      </c>
      <c r="I391">
        <v>0</v>
      </c>
      <c r="J391" t="s">
        <v>27</v>
      </c>
    </row>
    <row r="392" spans="1:10" x14ac:dyDescent="0.25">
      <c r="A392" s="1">
        <v>86</v>
      </c>
      <c r="B392" t="s">
        <v>38</v>
      </c>
      <c r="C392">
        <v>630</v>
      </c>
      <c r="D392">
        <v>5</v>
      </c>
      <c r="E392" t="s">
        <v>40</v>
      </c>
      <c r="F392" t="s">
        <v>41</v>
      </c>
      <c r="G392" t="str">
        <f>"2026-02-24 09:53:03.841"</f>
        <v>2026-02-24 09:53:03.841</v>
      </c>
      <c r="H392" t="s">
        <v>42</v>
      </c>
      <c r="I392">
        <v>0</v>
      </c>
      <c r="J392" t="s">
        <v>27</v>
      </c>
    </row>
    <row r="393" spans="1:10" x14ac:dyDescent="0.25">
      <c r="A393" s="1">
        <v>87</v>
      </c>
      <c r="B393" t="s">
        <v>19</v>
      </c>
      <c r="C393">
        <v>700</v>
      </c>
      <c r="D393">
        <v>0</v>
      </c>
      <c r="E393" t="s">
        <v>20</v>
      </c>
      <c r="F393" t="s">
        <v>20</v>
      </c>
      <c r="G393" t="str">
        <f>"2026-02-24 09:48:00.979"</f>
        <v>2026-02-24 09:48:00.979</v>
      </c>
      <c r="H393" t="s">
        <v>21</v>
      </c>
      <c r="I393">
        <v>0</v>
      </c>
      <c r="J393" t="s">
        <v>22</v>
      </c>
    </row>
    <row r="394" spans="1:10" x14ac:dyDescent="0.25">
      <c r="A394" s="1">
        <v>88</v>
      </c>
      <c r="B394" t="s">
        <v>19</v>
      </c>
      <c r="C394">
        <v>700</v>
      </c>
      <c r="D394">
        <v>0</v>
      </c>
      <c r="E394" t="s">
        <v>20</v>
      </c>
      <c r="F394" t="s">
        <v>20</v>
      </c>
      <c r="G394" t="str">
        <f>"2026-02-24 09:03:31.071"</f>
        <v>2026-02-24 09:03:31.071</v>
      </c>
      <c r="H394" t="s">
        <v>21</v>
      </c>
    </row>
    <row r="395" spans="1:10" x14ac:dyDescent="0.25">
      <c r="A395" s="1">
        <v>89</v>
      </c>
      <c r="B395" t="s">
        <v>19</v>
      </c>
      <c r="C395">
        <v>700</v>
      </c>
      <c r="D395">
        <v>0</v>
      </c>
      <c r="E395" t="s">
        <v>20</v>
      </c>
      <c r="F395" t="s">
        <v>20</v>
      </c>
      <c r="G395" t="str">
        <f>"2026-02-24 09:02:29.360"</f>
        <v>2026-02-24 09:02:29.360</v>
      </c>
      <c r="H395" t="s">
        <v>21</v>
      </c>
    </row>
    <row r="396" spans="1:10" x14ac:dyDescent="0.25">
      <c r="A396" s="1">
        <v>90</v>
      </c>
      <c r="B396" t="s">
        <v>38</v>
      </c>
      <c r="C396">
        <v>630</v>
      </c>
      <c r="D396">
        <v>5</v>
      </c>
      <c r="E396" t="s">
        <v>40</v>
      </c>
      <c r="F396" t="s">
        <v>41</v>
      </c>
      <c r="G396" t="str">
        <f>"2026-02-24 09:00:29.663"</f>
        <v>2026-02-24 09:00:29.663</v>
      </c>
      <c r="H396" t="s">
        <v>42</v>
      </c>
      <c r="I396">
        <v>0</v>
      </c>
      <c r="J396" t="s">
        <v>27</v>
      </c>
    </row>
    <row r="397" spans="1:10" x14ac:dyDescent="0.25">
      <c r="A397" s="1">
        <v>91</v>
      </c>
      <c r="B397" t="s">
        <v>19</v>
      </c>
      <c r="C397">
        <v>700</v>
      </c>
      <c r="D397">
        <v>0</v>
      </c>
      <c r="E397" t="s">
        <v>20</v>
      </c>
      <c r="F397" t="s">
        <v>20</v>
      </c>
      <c r="G397" t="str">
        <f>"2026-02-24 08:55:26.887"</f>
        <v>2026-02-24 08:55:26.887</v>
      </c>
      <c r="H397" t="s">
        <v>21</v>
      </c>
      <c r="I397">
        <v>0</v>
      </c>
      <c r="J397" t="s">
        <v>22</v>
      </c>
    </row>
    <row r="398" spans="1:10" s="3" customFormat="1" x14ac:dyDescent="0.25">
      <c r="A398" s="2">
        <v>92</v>
      </c>
      <c r="B398" s="3" t="s">
        <v>23</v>
      </c>
      <c r="C398" s="3">
        <v>647</v>
      </c>
      <c r="D398" s="3">
        <v>1</v>
      </c>
      <c r="E398" s="3" t="s">
        <v>28</v>
      </c>
      <c r="F398" s="3" t="s">
        <v>29</v>
      </c>
      <c r="G398" s="3" t="str">
        <f>"2026-02-24 05:24:16.316"</f>
        <v>2026-02-24 05:24:16.316</v>
      </c>
      <c r="H398" s="3" t="s">
        <v>21</v>
      </c>
    </row>
    <row r="399" spans="1:10" s="3" customFormat="1" x14ac:dyDescent="0.25">
      <c r="A399" s="2">
        <v>93</v>
      </c>
      <c r="B399" s="3" t="s">
        <v>26</v>
      </c>
      <c r="C399" s="3">
        <v>647</v>
      </c>
      <c r="D399" s="3">
        <v>1</v>
      </c>
      <c r="E399" s="3" t="s">
        <v>28</v>
      </c>
      <c r="F399" s="3" t="s">
        <v>29</v>
      </c>
      <c r="G399" s="3" t="str">
        <f>"2026-02-24 05:24:14.416"</f>
        <v>2026-02-24 05:24:14.416</v>
      </c>
      <c r="H399" s="3" t="s">
        <v>21</v>
      </c>
      <c r="I399" s="3">
        <v>8.19</v>
      </c>
      <c r="J399" s="3" t="s">
        <v>33</v>
      </c>
    </row>
    <row r="400" spans="1:10" x14ac:dyDescent="0.25">
      <c r="A400" s="1">
        <v>94</v>
      </c>
      <c r="B400" t="s">
        <v>19</v>
      </c>
      <c r="C400">
        <v>706</v>
      </c>
      <c r="D400">
        <v>4</v>
      </c>
      <c r="E400" t="s">
        <v>31</v>
      </c>
      <c r="F400" t="s">
        <v>32</v>
      </c>
      <c r="G400" t="str">
        <f>"2026-02-24 04:06:40.140"</f>
        <v>2026-02-24 04:06:40.140</v>
      </c>
      <c r="H400" t="s">
        <v>21</v>
      </c>
      <c r="I400">
        <v>0</v>
      </c>
      <c r="J400" t="s">
        <v>27</v>
      </c>
    </row>
    <row r="401" spans="1:10" x14ac:dyDescent="0.25">
      <c r="A401" s="1">
        <v>95</v>
      </c>
      <c r="B401" t="s">
        <v>19</v>
      </c>
      <c r="C401">
        <v>700</v>
      </c>
      <c r="D401">
        <v>0</v>
      </c>
      <c r="E401" t="s">
        <v>20</v>
      </c>
      <c r="F401" t="s">
        <v>20</v>
      </c>
      <c r="G401" t="str">
        <f>"2026-02-24 04:06:20.090"</f>
        <v>2026-02-24 04:06:20.090</v>
      </c>
      <c r="H401" t="s">
        <v>21</v>
      </c>
      <c r="I401">
        <v>0</v>
      </c>
      <c r="J401" t="s">
        <v>22</v>
      </c>
    </row>
    <row r="402" spans="1:10" x14ac:dyDescent="0.25">
      <c r="A402" s="1">
        <v>96</v>
      </c>
      <c r="B402" t="s">
        <v>19</v>
      </c>
      <c r="C402">
        <v>700</v>
      </c>
      <c r="D402">
        <v>0</v>
      </c>
      <c r="E402" t="s">
        <v>20</v>
      </c>
      <c r="F402" t="s">
        <v>20</v>
      </c>
      <c r="G402" t="str">
        <f>"2026-02-24 03:45:16.956"</f>
        <v>2026-02-24 03:45:16.956</v>
      </c>
      <c r="H402" t="s">
        <v>21</v>
      </c>
      <c r="I402">
        <v>0</v>
      </c>
      <c r="J402" t="s">
        <v>22</v>
      </c>
    </row>
    <row r="403" spans="1:10" s="3" customFormat="1" x14ac:dyDescent="0.25">
      <c r="A403" s="2">
        <v>97</v>
      </c>
      <c r="B403" s="3" t="s">
        <v>23</v>
      </c>
      <c r="C403" s="3">
        <v>647</v>
      </c>
      <c r="D403" s="3">
        <v>1</v>
      </c>
      <c r="E403" s="3" t="s">
        <v>28</v>
      </c>
      <c r="F403" s="3" t="s">
        <v>29</v>
      </c>
      <c r="G403" s="3" t="str">
        <f>"2026-02-23 23:44:11.343"</f>
        <v>2026-02-23 23:44:11.343</v>
      </c>
      <c r="H403" s="3" t="s">
        <v>21</v>
      </c>
    </row>
    <row r="404" spans="1:10" s="3" customFormat="1" x14ac:dyDescent="0.25">
      <c r="A404" s="2">
        <v>98</v>
      </c>
      <c r="B404" s="3" t="s">
        <v>26</v>
      </c>
      <c r="C404" s="3">
        <v>647</v>
      </c>
      <c r="D404" s="3">
        <v>1</v>
      </c>
      <c r="E404" s="3" t="s">
        <v>28</v>
      </c>
      <c r="F404" s="3" t="s">
        <v>29</v>
      </c>
      <c r="G404" s="3" t="str">
        <f>"2026-02-23 23:44:10.244"</f>
        <v>2026-02-23 23:44:10.244</v>
      </c>
      <c r="H404" s="3" t="s">
        <v>21</v>
      </c>
      <c r="I404" s="3">
        <v>14.1</v>
      </c>
      <c r="J404" s="3" t="s">
        <v>33</v>
      </c>
    </row>
    <row r="405" spans="1:10" x14ac:dyDescent="0.25">
      <c r="A405" s="1">
        <v>99</v>
      </c>
      <c r="B405" t="s">
        <v>19</v>
      </c>
      <c r="C405">
        <v>700</v>
      </c>
      <c r="D405">
        <v>0</v>
      </c>
      <c r="E405" t="s">
        <v>20</v>
      </c>
      <c r="F405" t="s">
        <v>20</v>
      </c>
      <c r="G405" t="str">
        <f>"2026-02-23 09:56:54.906"</f>
        <v>2026-02-23 09:56:54.906</v>
      </c>
      <c r="H405" t="s">
        <v>21</v>
      </c>
    </row>
    <row r="406" spans="1:10" s="3" customFormat="1" x14ac:dyDescent="0.25">
      <c r="A406" s="2">
        <v>0</v>
      </c>
      <c r="B406" s="3" t="s">
        <v>23</v>
      </c>
      <c r="C406" s="3">
        <v>647</v>
      </c>
      <c r="D406" s="3">
        <v>1</v>
      </c>
      <c r="E406" s="3" t="s">
        <v>28</v>
      </c>
      <c r="F406" s="3" t="s">
        <v>29</v>
      </c>
      <c r="G406" s="3" t="str">
        <f>"2026-02-22 21:37:16.636"</f>
        <v>2026-02-22 21:37:16.636</v>
      </c>
      <c r="H406" s="3" t="s">
        <v>21</v>
      </c>
    </row>
    <row r="407" spans="1:10" s="3" customFormat="1" x14ac:dyDescent="0.25">
      <c r="A407" s="2">
        <v>1</v>
      </c>
      <c r="B407" s="3" t="s">
        <v>26</v>
      </c>
      <c r="C407" s="3">
        <v>647</v>
      </c>
      <c r="D407" s="3">
        <v>1</v>
      </c>
      <c r="E407" s="3" t="s">
        <v>28</v>
      </c>
      <c r="F407" s="3" t="s">
        <v>29</v>
      </c>
      <c r="G407" s="3" t="str">
        <f>"2026-02-22 21:37:14.537"</f>
        <v>2026-02-22 21:37:14.537</v>
      </c>
      <c r="H407" s="3" t="s">
        <v>21</v>
      </c>
      <c r="I407" s="3">
        <v>26.17</v>
      </c>
      <c r="J407" s="3" t="s">
        <v>33</v>
      </c>
    </row>
    <row r="408" spans="1:10" x14ac:dyDescent="0.25">
      <c r="A408" s="1">
        <v>2</v>
      </c>
      <c r="B408" t="s">
        <v>19</v>
      </c>
      <c r="C408">
        <v>700</v>
      </c>
      <c r="D408">
        <v>0</v>
      </c>
      <c r="E408" t="s">
        <v>20</v>
      </c>
      <c r="F408" t="s">
        <v>20</v>
      </c>
      <c r="G408" t="str">
        <f>"2026-02-22 13:14:03.908"</f>
        <v>2026-02-22 13:14:03.908</v>
      </c>
      <c r="H408" t="s">
        <v>21</v>
      </c>
      <c r="I408">
        <v>0</v>
      </c>
      <c r="J408" t="s">
        <v>22</v>
      </c>
    </row>
    <row r="409" spans="1:10" x14ac:dyDescent="0.25">
      <c r="A409" s="1">
        <v>3</v>
      </c>
      <c r="B409" t="s">
        <v>19</v>
      </c>
      <c r="C409">
        <v>700</v>
      </c>
      <c r="D409">
        <v>0</v>
      </c>
      <c r="E409" t="s">
        <v>20</v>
      </c>
      <c r="F409" t="s">
        <v>20</v>
      </c>
      <c r="G409" t="str">
        <f>"2026-02-21 12:38:32.885"</f>
        <v>2026-02-21 12:38:32.885</v>
      </c>
      <c r="H409" t="s">
        <v>21</v>
      </c>
    </row>
    <row r="410" spans="1:10" x14ac:dyDescent="0.25">
      <c r="A410" s="1">
        <v>4</v>
      </c>
      <c r="B410" t="s">
        <v>19</v>
      </c>
      <c r="C410">
        <v>700</v>
      </c>
      <c r="D410">
        <v>0</v>
      </c>
      <c r="E410" t="s">
        <v>20</v>
      </c>
      <c r="F410" t="s">
        <v>20</v>
      </c>
      <c r="G410" t="str">
        <f>"2026-02-20 18:26:42.869"</f>
        <v>2026-02-20 18:26:42.869</v>
      </c>
      <c r="H410" t="s">
        <v>21</v>
      </c>
    </row>
    <row r="411" spans="1:10" x14ac:dyDescent="0.25">
      <c r="A411" s="1">
        <v>5</v>
      </c>
      <c r="B411" t="s">
        <v>19</v>
      </c>
      <c r="C411">
        <v>700</v>
      </c>
      <c r="D411">
        <v>0</v>
      </c>
      <c r="E411" t="s">
        <v>20</v>
      </c>
      <c r="F411" t="s">
        <v>20</v>
      </c>
      <c r="G411" t="str">
        <f>"2026-02-20 18:15:31.875"</f>
        <v>2026-02-20 18:15:31.875</v>
      </c>
      <c r="H411" t="s">
        <v>21</v>
      </c>
    </row>
    <row r="412" spans="1:10" x14ac:dyDescent="0.25">
      <c r="A412" s="1">
        <v>6</v>
      </c>
      <c r="B412" t="s">
        <v>23</v>
      </c>
      <c r="C412">
        <v>98</v>
      </c>
      <c r="D412">
        <v>1</v>
      </c>
      <c r="E412" t="s">
        <v>49</v>
      </c>
      <c r="F412" t="s">
        <v>50</v>
      </c>
      <c r="G412" t="str">
        <f>"2026-02-19 18:29:38.585"</f>
        <v>2026-02-19 18:29:38.585</v>
      </c>
      <c r="H412" t="s">
        <v>21</v>
      </c>
    </row>
    <row r="413" spans="1:10" x14ac:dyDescent="0.25">
      <c r="A413" s="1">
        <v>7</v>
      </c>
      <c r="B413" t="s">
        <v>26</v>
      </c>
      <c r="C413">
        <v>98</v>
      </c>
      <c r="D413">
        <v>1</v>
      </c>
      <c r="E413" t="s">
        <v>49</v>
      </c>
      <c r="F413" t="s">
        <v>50</v>
      </c>
      <c r="G413" t="str">
        <f>"2026-02-19 18:29:37.585"</f>
        <v>2026-02-19 18:29:37.585</v>
      </c>
      <c r="H413" t="s">
        <v>21</v>
      </c>
      <c r="I413">
        <v>9.93</v>
      </c>
      <c r="J413" t="s">
        <v>39</v>
      </c>
    </row>
    <row r="414" spans="1:10" x14ac:dyDescent="0.25">
      <c r="A414" s="1">
        <v>8</v>
      </c>
      <c r="B414" t="s">
        <v>23</v>
      </c>
      <c r="C414">
        <v>98</v>
      </c>
      <c r="D414">
        <v>1</v>
      </c>
      <c r="E414" t="s">
        <v>49</v>
      </c>
      <c r="F414" t="s">
        <v>50</v>
      </c>
      <c r="G414" t="str">
        <f>"2026-02-19 18:29:37.185"</f>
        <v>2026-02-19 18:29:37.185</v>
      </c>
      <c r="H414" t="s">
        <v>21</v>
      </c>
    </row>
    <row r="415" spans="1:10" x14ac:dyDescent="0.25">
      <c r="A415" s="1">
        <v>9</v>
      </c>
      <c r="B415" t="s">
        <v>26</v>
      </c>
      <c r="C415">
        <v>98</v>
      </c>
      <c r="D415">
        <v>1</v>
      </c>
      <c r="E415" t="s">
        <v>49</v>
      </c>
      <c r="F415" t="s">
        <v>50</v>
      </c>
      <c r="G415" t="str">
        <f>"2026-02-19 18:29:36.186"</f>
        <v>2026-02-19 18:29:36.186</v>
      </c>
      <c r="H415" t="s">
        <v>21</v>
      </c>
      <c r="I415">
        <v>10.29</v>
      </c>
      <c r="J415" t="s">
        <v>39</v>
      </c>
    </row>
    <row r="416" spans="1:10" s="3" customFormat="1" x14ac:dyDescent="0.25">
      <c r="A416" s="2">
        <v>10</v>
      </c>
      <c r="B416" s="3" t="s">
        <v>23</v>
      </c>
      <c r="C416" s="3">
        <v>647</v>
      </c>
      <c r="D416" s="3">
        <v>1</v>
      </c>
      <c r="E416" s="3" t="s">
        <v>28</v>
      </c>
      <c r="F416" s="3" t="s">
        <v>29</v>
      </c>
      <c r="G416" s="3" t="str">
        <f>"2026-02-19 17:27:36.193"</f>
        <v>2026-02-19 17:27:36.193</v>
      </c>
      <c r="H416" s="3" t="s">
        <v>21</v>
      </c>
    </row>
    <row r="417" spans="1:10" s="3" customFormat="1" x14ac:dyDescent="0.25">
      <c r="A417" s="2">
        <v>11</v>
      </c>
      <c r="B417" s="3" t="s">
        <v>26</v>
      </c>
      <c r="C417" s="3">
        <v>647</v>
      </c>
      <c r="D417" s="3">
        <v>1</v>
      </c>
      <c r="E417" s="3" t="s">
        <v>28</v>
      </c>
      <c r="F417" s="3" t="s">
        <v>29</v>
      </c>
      <c r="G417" s="3" t="str">
        <f>"2026-02-19 17:27:29.093"</f>
        <v>2026-02-19 17:27:29.093</v>
      </c>
      <c r="H417" s="3" t="s">
        <v>21</v>
      </c>
      <c r="I417" s="3">
        <v>15.96</v>
      </c>
      <c r="J417" s="3" t="s">
        <v>33</v>
      </c>
    </row>
    <row r="418" spans="1:10" s="3" customFormat="1" x14ac:dyDescent="0.25">
      <c r="A418" s="2">
        <v>12</v>
      </c>
      <c r="B418" s="3" t="s">
        <v>23</v>
      </c>
      <c r="C418" s="3">
        <v>647</v>
      </c>
      <c r="D418" s="3">
        <v>1</v>
      </c>
      <c r="E418" s="3" t="s">
        <v>28</v>
      </c>
      <c r="F418" s="3" t="s">
        <v>29</v>
      </c>
      <c r="G418" s="3" t="str">
        <f>"2026-02-19 10:44:53.393"</f>
        <v>2026-02-19 10:44:53.393</v>
      </c>
      <c r="H418" s="3" t="s">
        <v>21</v>
      </c>
    </row>
    <row r="419" spans="1:10" s="3" customFormat="1" x14ac:dyDescent="0.25">
      <c r="A419" s="2">
        <v>13</v>
      </c>
      <c r="B419" s="3" t="s">
        <v>26</v>
      </c>
      <c r="C419" s="3">
        <v>647</v>
      </c>
      <c r="D419" s="3">
        <v>1</v>
      </c>
      <c r="E419" s="3" t="s">
        <v>28</v>
      </c>
      <c r="F419" s="3" t="s">
        <v>29</v>
      </c>
      <c r="G419" s="3" t="str">
        <f>"2026-02-19 10:44:46.994"</f>
        <v>2026-02-19 10:44:46.994</v>
      </c>
      <c r="H419" s="3" t="s">
        <v>21</v>
      </c>
      <c r="I419" s="3">
        <v>18.37</v>
      </c>
      <c r="J419" s="3" t="s">
        <v>33</v>
      </c>
    </row>
    <row r="420" spans="1:10" x14ac:dyDescent="0.25">
      <c r="A420" s="1">
        <v>14</v>
      </c>
      <c r="B420" t="s">
        <v>19</v>
      </c>
      <c r="C420">
        <v>706</v>
      </c>
      <c r="D420">
        <v>2</v>
      </c>
      <c r="E420" t="s">
        <v>31</v>
      </c>
      <c r="F420" t="s">
        <v>43</v>
      </c>
      <c r="G420" t="str">
        <f>"2026-02-18 14:27:20.906"</f>
        <v>2026-02-18 14:27:20.906</v>
      </c>
      <c r="H420" t="s">
        <v>21</v>
      </c>
      <c r="I420">
        <v>0</v>
      </c>
      <c r="J420" t="s">
        <v>27</v>
      </c>
    </row>
    <row r="421" spans="1:10" x14ac:dyDescent="0.25">
      <c r="A421" s="1">
        <v>15</v>
      </c>
      <c r="B421" t="s">
        <v>19</v>
      </c>
      <c r="C421">
        <v>700</v>
      </c>
      <c r="D421">
        <v>0</v>
      </c>
      <c r="E421" t="s">
        <v>20</v>
      </c>
      <c r="F421" t="s">
        <v>20</v>
      </c>
      <c r="G421" t="str">
        <f>"2026-02-18 14:26:57.866"</f>
        <v>2026-02-18 14:26:57.866</v>
      </c>
      <c r="H421" t="s">
        <v>21</v>
      </c>
      <c r="I421">
        <v>0</v>
      </c>
      <c r="J421" t="s">
        <v>22</v>
      </c>
    </row>
    <row r="422" spans="1:10" x14ac:dyDescent="0.25">
      <c r="A422" s="1">
        <v>16</v>
      </c>
      <c r="B422" t="s">
        <v>19</v>
      </c>
      <c r="C422">
        <v>700</v>
      </c>
      <c r="D422">
        <v>0</v>
      </c>
      <c r="E422" t="s">
        <v>20</v>
      </c>
      <c r="F422" t="s">
        <v>20</v>
      </c>
      <c r="G422" t="str">
        <f>"2026-02-18 10:07:17.879"</f>
        <v>2026-02-18 10:07:17.879</v>
      </c>
      <c r="H422" t="s">
        <v>21</v>
      </c>
      <c r="I422">
        <v>0</v>
      </c>
      <c r="J422" t="s">
        <v>22</v>
      </c>
    </row>
    <row r="423" spans="1:10" x14ac:dyDescent="0.25">
      <c r="A423" s="1">
        <v>17</v>
      </c>
      <c r="B423" t="s">
        <v>19</v>
      </c>
      <c r="C423">
        <v>700</v>
      </c>
      <c r="D423">
        <v>0</v>
      </c>
      <c r="E423" t="s">
        <v>20</v>
      </c>
      <c r="F423" t="s">
        <v>20</v>
      </c>
      <c r="G423" t="str">
        <f>"2026-02-18 09:34:49.915"</f>
        <v>2026-02-18 09:34:49.915</v>
      </c>
      <c r="H423" t="s">
        <v>21</v>
      </c>
    </row>
    <row r="424" spans="1:10" x14ac:dyDescent="0.25">
      <c r="A424" s="1">
        <v>18</v>
      </c>
      <c r="B424" t="s">
        <v>19</v>
      </c>
      <c r="C424">
        <v>700</v>
      </c>
      <c r="D424">
        <v>0</v>
      </c>
      <c r="E424" t="s">
        <v>20</v>
      </c>
      <c r="F424" t="s">
        <v>20</v>
      </c>
      <c r="G424" t="str">
        <f>"2026-02-18 09:21:21.987"</f>
        <v>2026-02-18 09:21:21.987</v>
      </c>
      <c r="H424" t="s">
        <v>21</v>
      </c>
      <c r="I424">
        <v>0</v>
      </c>
      <c r="J424" t="s">
        <v>22</v>
      </c>
    </row>
    <row r="425" spans="1:10" x14ac:dyDescent="0.25">
      <c r="A425" s="1">
        <v>19</v>
      </c>
      <c r="B425" t="s">
        <v>23</v>
      </c>
      <c r="C425">
        <v>619</v>
      </c>
      <c r="D425">
        <v>1</v>
      </c>
      <c r="E425" t="s">
        <v>46</v>
      </c>
      <c r="F425" t="s">
        <v>45</v>
      </c>
      <c r="G425" t="str">
        <f>"2026-02-18 09:02:44.102"</f>
        <v>2026-02-18 09:02:44.102</v>
      </c>
      <c r="H425" t="s">
        <v>47</v>
      </c>
    </row>
    <row r="426" spans="1:10" x14ac:dyDescent="0.25">
      <c r="A426" s="1">
        <v>20</v>
      </c>
      <c r="B426" t="s">
        <v>26</v>
      </c>
      <c r="C426">
        <v>619</v>
      </c>
      <c r="D426">
        <v>1</v>
      </c>
      <c r="E426" t="s">
        <v>46</v>
      </c>
      <c r="F426" t="s">
        <v>45</v>
      </c>
      <c r="G426" t="str">
        <f>"2026-02-18 09:02:10.455"</f>
        <v>2026-02-18 09:02:10.455</v>
      </c>
      <c r="H426" t="s">
        <v>47</v>
      </c>
      <c r="I426">
        <v>0</v>
      </c>
      <c r="J426" t="s">
        <v>27</v>
      </c>
    </row>
    <row r="427" spans="1:10" x14ac:dyDescent="0.25">
      <c r="A427" s="1">
        <v>21</v>
      </c>
      <c r="B427" t="s">
        <v>19</v>
      </c>
      <c r="C427">
        <v>700</v>
      </c>
      <c r="D427">
        <v>0</v>
      </c>
      <c r="E427" t="s">
        <v>20</v>
      </c>
      <c r="F427" t="s">
        <v>20</v>
      </c>
      <c r="G427" t="str">
        <f>"2026-02-18 09:01:40.995"</f>
        <v>2026-02-18 09:01:40.995</v>
      </c>
      <c r="H427" t="s">
        <v>21</v>
      </c>
    </row>
    <row r="428" spans="1:10" x14ac:dyDescent="0.25">
      <c r="A428" s="1">
        <v>22</v>
      </c>
      <c r="B428" t="s">
        <v>23</v>
      </c>
      <c r="C428">
        <v>635</v>
      </c>
      <c r="D428">
        <v>1</v>
      </c>
      <c r="E428" t="s">
        <v>44</v>
      </c>
      <c r="F428" t="s">
        <v>45</v>
      </c>
      <c r="G428" t="str">
        <f>"2026-02-16 15:42:39.506"</f>
        <v>2026-02-16 15:42:39.506</v>
      </c>
      <c r="H428" t="s">
        <v>21</v>
      </c>
    </row>
    <row r="429" spans="1:10" x14ac:dyDescent="0.25">
      <c r="A429" s="1">
        <v>23</v>
      </c>
      <c r="B429" t="s">
        <v>26</v>
      </c>
      <c r="C429">
        <v>635</v>
      </c>
      <c r="D429">
        <v>1</v>
      </c>
      <c r="E429" t="s">
        <v>44</v>
      </c>
      <c r="F429" t="s">
        <v>45</v>
      </c>
      <c r="G429" t="str">
        <f>"2026-02-16 15:23:49.006"</f>
        <v>2026-02-16 15:23:49.006</v>
      </c>
      <c r="H429" t="s">
        <v>21</v>
      </c>
      <c r="I429">
        <v>5.22</v>
      </c>
      <c r="J429" t="s">
        <v>39</v>
      </c>
    </row>
    <row r="430" spans="1:10" x14ac:dyDescent="0.25">
      <c r="A430" s="1">
        <v>24</v>
      </c>
      <c r="B430" t="s">
        <v>23</v>
      </c>
      <c r="C430">
        <v>635</v>
      </c>
      <c r="D430">
        <v>1</v>
      </c>
      <c r="E430" t="s">
        <v>44</v>
      </c>
      <c r="F430" t="s">
        <v>45</v>
      </c>
      <c r="G430" t="str">
        <f>"2026-02-16 15:08:29.006"</f>
        <v>2026-02-16 15:08:29.006</v>
      </c>
      <c r="H430" t="s">
        <v>21</v>
      </c>
    </row>
    <row r="431" spans="1:10" x14ac:dyDescent="0.25">
      <c r="A431" s="1">
        <v>25</v>
      </c>
      <c r="B431" t="s">
        <v>26</v>
      </c>
      <c r="C431">
        <v>635</v>
      </c>
      <c r="D431">
        <v>1</v>
      </c>
      <c r="E431" t="s">
        <v>44</v>
      </c>
      <c r="F431" t="s">
        <v>45</v>
      </c>
      <c r="G431" t="str">
        <f>"2026-02-16 15:06:02.506"</f>
        <v>2026-02-16 15:06:02.506</v>
      </c>
      <c r="H431" t="s">
        <v>21</v>
      </c>
      <c r="I431">
        <v>3.48</v>
      </c>
      <c r="J431" t="s">
        <v>39</v>
      </c>
    </row>
    <row r="432" spans="1:10" x14ac:dyDescent="0.25">
      <c r="A432" s="1">
        <v>26</v>
      </c>
      <c r="B432" t="s">
        <v>19</v>
      </c>
      <c r="C432">
        <v>700</v>
      </c>
      <c r="D432">
        <v>0</v>
      </c>
      <c r="E432" t="s">
        <v>20</v>
      </c>
      <c r="F432" t="s">
        <v>20</v>
      </c>
      <c r="G432" t="str">
        <f>"2026-02-16 11:15:37.876"</f>
        <v>2026-02-16 11:15:37.876</v>
      </c>
      <c r="H432" t="s">
        <v>21</v>
      </c>
      <c r="I432">
        <v>0</v>
      </c>
      <c r="J432" t="s">
        <v>22</v>
      </c>
    </row>
    <row r="433" spans="1:10" s="3" customFormat="1" x14ac:dyDescent="0.25">
      <c r="A433" s="2">
        <v>27</v>
      </c>
      <c r="B433" s="3" t="s">
        <v>23</v>
      </c>
      <c r="C433" s="3">
        <v>647</v>
      </c>
      <c r="D433" s="3">
        <v>1</v>
      </c>
      <c r="E433" s="3" t="s">
        <v>28</v>
      </c>
      <c r="F433" s="3" t="s">
        <v>29</v>
      </c>
      <c r="G433" s="3" t="str">
        <f>"2026-02-15 11:15:05.741"</f>
        <v>2026-02-15 11:15:05.741</v>
      </c>
      <c r="H433" s="3" t="s">
        <v>21</v>
      </c>
    </row>
    <row r="434" spans="1:10" s="3" customFormat="1" x14ac:dyDescent="0.25">
      <c r="A434" s="2">
        <v>28</v>
      </c>
      <c r="B434" s="3" t="s">
        <v>26</v>
      </c>
      <c r="C434" s="3">
        <v>647</v>
      </c>
      <c r="D434" s="3">
        <v>1</v>
      </c>
      <c r="E434" s="3" t="s">
        <v>28</v>
      </c>
      <c r="F434" s="3" t="s">
        <v>29</v>
      </c>
      <c r="G434" s="3" t="str">
        <f>"2026-02-15 11:14:58.441"</f>
        <v>2026-02-15 11:14:58.441</v>
      </c>
      <c r="H434" s="3" t="s">
        <v>21</v>
      </c>
      <c r="I434" s="3">
        <v>15.67</v>
      </c>
      <c r="J434" s="3" t="s">
        <v>33</v>
      </c>
    </row>
    <row r="435" spans="1:10" s="3" customFormat="1" x14ac:dyDescent="0.25">
      <c r="A435" s="2">
        <v>29</v>
      </c>
      <c r="B435" s="3" t="s">
        <v>23</v>
      </c>
      <c r="C435" s="3">
        <v>647</v>
      </c>
      <c r="D435" s="3">
        <v>1</v>
      </c>
      <c r="E435" s="3" t="s">
        <v>28</v>
      </c>
      <c r="F435" s="3" t="s">
        <v>29</v>
      </c>
      <c r="G435" s="3" t="str">
        <f>"2026-02-15 08:32:27.141"</f>
        <v>2026-02-15 08:32:27.141</v>
      </c>
      <c r="H435" s="3" t="s">
        <v>21</v>
      </c>
    </row>
    <row r="436" spans="1:10" s="3" customFormat="1" x14ac:dyDescent="0.25">
      <c r="A436" s="2">
        <v>30</v>
      </c>
      <c r="B436" s="3" t="s">
        <v>26</v>
      </c>
      <c r="C436" s="3">
        <v>647</v>
      </c>
      <c r="D436" s="3">
        <v>1</v>
      </c>
      <c r="E436" s="3" t="s">
        <v>28</v>
      </c>
      <c r="F436" s="3" t="s">
        <v>29</v>
      </c>
      <c r="G436" s="3" t="str">
        <f>"2026-02-15 08:32:24.842"</f>
        <v>2026-02-15 08:32:24.842</v>
      </c>
      <c r="H436" s="3" t="s">
        <v>21</v>
      </c>
      <c r="I436" s="3">
        <v>8.23</v>
      </c>
      <c r="J436" s="3" t="s">
        <v>33</v>
      </c>
    </row>
    <row r="437" spans="1:10" x14ac:dyDescent="0.25">
      <c r="A437" s="1">
        <v>31</v>
      </c>
      <c r="B437" t="s">
        <v>19</v>
      </c>
      <c r="C437">
        <v>700</v>
      </c>
      <c r="D437">
        <v>0</v>
      </c>
      <c r="E437" t="s">
        <v>20</v>
      </c>
      <c r="F437" t="s">
        <v>20</v>
      </c>
      <c r="G437" t="str">
        <f>"2026-02-14 13:14:11.902"</f>
        <v>2026-02-14 13:14:11.902</v>
      </c>
      <c r="H437" t="s">
        <v>21</v>
      </c>
      <c r="I437">
        <v>0</v>
      </c>
      <c r="J437" t="s">
        <v>22</v>
      </c>
    </row>
    <row r="438" spans="1:10" x14ac:dyDescent="0.25">
      <c r="A438" s="1">
        <v>32</v>
      </c>
      <c r="B438" t="s">
        <v>19</v>
      </c>
      <c r="C438">
        <v>700</v>
      </c>
      <c r="D438">
        <v>0</v>
      </c>
      <c r="E438" t="s">
        <v>20</v>
      </c>
      <c r="F438" t="s">
        <v>20</v>
      </c>
      <c r="G438" t="str">
        <f>"2026-02-13 22:11:50.880"</f>
        <v>2026-02-13 22:11:50.880</v>
      </c>
      <c r="H438" t="s">
        <v>21</v>
      </c>
    </row>
    <row r="439" spans="1:10" x14ac:dyDescent="0.25">
      <c r="A439" s="1">
        <v>33</v>
      </c>
      <c r="B439" t="s">
        <v>23</v>
      </c>
      <c r="C439">
        <v>630</v>
      </c>
      <c r="D439">
        <v>5</v>
      </c>
      <c r="E439" t="s">
        <v>40</v>
      </c>
      <c r="F439" t="s">
        <v>41</v>
      </c>
      <c r="G439" t="str">
        <f>"2026-02-13 21:47:27.263"</f>
        <v>2026-02-13 21:47:27.263</v>
      </c>
      <c r="H439" t="s">
        <v>42</v>
      </c>
    </row>
    <row r="440" spans="1:10" x14ac:dyDescent="0.25">
      <c r="A440" s="1">
        <v>34</v>
      </c>
      <c r="B440" t="s">
        <v>19</v>
      </c>
      <c r="C440">
        <v>706</v>
      </c>
      <c r="D440">
        <v>2</v>
      </c>
      <c r="E440" t="s">
        <v>31</v>
      </c>
      <c r="F440" t="s">
        <v>43</v>
      </c>
      <c r="G440" t="str">
        <f>"2026-02-13 21:47:08.566"</f>
        <v>2026-02-13 21:47:08.566</v>
      </c>
      <c r="H440" t="s">
        <v>21</v>
      </c>
      <c r="I440">
        <v>0</v>
      </c>
      <c r="J440" t="s">
        <v>27</v>
      </c>
    </row>
    <row r="441" spans="1:10" x14ac:dyDescent="0.25">
      <c r="A441" s="1">
        <v>35</v>
      </c>
      <c r="B441" t="s">
        <v>38</v>
      </c>
      <c r="C441">
        <v>630</v>
      </c>
      <c r="D441">
        <v>5</v>
      </c>
      <c r="E441" t="s">
        <v>40</v>
      </c>
      <c r="F441" t="s">
        <v>41</v>
      </c>
      <c r="G441" t="str">
        <f>"2026-02-13 21:31:58.663"</f>
        <v>2026-02-13 21:31:58.663</v>
      </c>
      <c r="H441" t="s">
        <v>42</v>
      </c>
      <c r="I441">
        <v>0</v>
      </c>
      <c r="J441" t="s">
        <v>27</v>
      </c>
    </row>
    <row r="442" spans="1:10" x14ac:dyDescent="0.25">
      <c r="A442" s="1">
        <v>36</v>
      </c>
      <c r="B442" t="s">
        <v>19</v>
      </c>
      <c r="C442">
        <v>700</v>
      </c>
      <c r="D442">
        <v>0</v>
      </c>
      <c r="E442" t="s">
        <v>20</v>
      </c>
      <c r="F442" t="s">
        <v>20</v>
      </c>
      <c r="G442" t="str">
        <f>"2026-02-13 21:26:55.866"</f>
        <v>2026-02-13 21:26:55.866</v>
      </c>
      <c r="H442" t="s">
        <v>21</v>
      </c>
    </row>
    <row r="443" spans="1:10" x14ac:dyDescent="0.25">
      <c r="A443" s="1">
        <v>37</v>
      </c>
      <c r="B443" t="s">
        <v>38</v>
      </c>
      <c r="C443">
        <v>630</v>
      </c>
      <c r="D443">
        <v>5</v>
      </c>
      <c r="E443" t="s">
        <v>40</v>
      </c>
      <c r="F443" t="s">
        <v>41</v>
      </c>
      <c r="G443" t="str">
        <f>"2026-02-13 21:19:58.709"</f>
        <v>2026-02-13 21:19:58.709</v>
      </c>
      <c r="H443" t="s">
        <v>42</v>
      </c>
      <c r="I443">
        <v>0</v>
      </c>
      <c r="J443" t="s">
        <v>27</v>
      </c>
    </row>
    <row r="444" spans="1:10" x14ac:dyDescent="0.25">
      <c r="A444" s="1">
        <v>38</v>
      </c>
      <c r="B444" t="s">
        <v>19</v>
      </c>
      <c r="C444">
        <v>700</v>
      </c>
      <c r="D444">
        <v>0</v>
      </c>
      <c r="E444" t="s">
        <v>20</v>
      </c>
      <c r="F444" t="s">
        <v>20</v>
      </c>
      <c r="G444" t="str">
        <f>"2026-02-13 21:14:55.858"</f>
        <v>2026-02-13 21:14:55.858</v>
      </c>
      <c r="H444" t="s">
        <v>21</v>
      </c>
    </row>
    <row r="445" spans="1:10" x14ac:dyDescent="0.25">
      <c r="A445" s="1">
        <v>39</v>
      </c>
      <c r="B445" t="s">
        <v>19</v>
      </c>
      <c r="C445">
        <v>700</v>
      </c>
      <c r="D445">
        <v>0</v>
      </c>
      <c r="E445" t="s">
        <v>20</v>
      </c>
      <c r="F445" t="s">
        <v>20</v>
      </c>
      <c r="G445" t="str">
        <f>"2026-02-13 21:12:58.875"</f>
        <v>2026-02-13 21:12:58.875</v>
      </c>
      <c r="H445" t="s">
        <v>21</v>
      </c>
    </row>
    <row r="446" spans="1:10" x14ac:dyDescent="0.25">
      <c r="A446" s="1">
        <v>40</v>
      </c>
      <c r="B446" t="s">
        <v>38</v>
      </c>
      <c r="C446">
        <v>630</v>
      </c>
      <c r="D446">
        <v>5</v>
      </c>
      <c r="E446" t="s">
        <v>40</v>
      </c>
      <c r="F446" t="s">
        <v>41</v>
      </c>
      <c r="G446" t="str">
        <f>"2026-02-13 21:03:47.673"</f>
        <v>2026-02-13 21:03:47.673</v>
      </c>
      <c r="H446" t="s">
        <v>42</v>
      </c>
      <c r="I446">
        <v>0</v>
      </c>
      <c r="J446" t="s">
        <v>27</v>
      </c>
    </row>
    <row r="447" spans="1:10" x14ac:dyDescent="0.25">
      <c r="A447" s="1">
        <v>41</v>
      </c>
      <c r="B447" t="s">
        <v>19</v>
      </c>
      <c r="C447">
        <v>700</v>
      </c>
      <c r="D447">
        <v>0</v>
      </c>
      <c r="E447" t="s">
        <v>20</v>
      </c>
      <c r="F447" t="s">
        <v>20</v>
      </c>
      <c r="G447" t="str">
        <f>"2026-02-13 20:58:44.871"</f>
        <v>2026-02-13 20:58:44.871</v>
      </c>
      <c r="H447" t="s">
        <v>21</v>
      </c>
      <c r="I447">
        <v>0</v>
      </c>
      <c r="J447" t="s">
        <v>22</v>
      </c>
    </row>
    <row r="448" spans="1:10" x14ac:dyDescent="0.25">
      <c r="A448" s="1">
        <v>42</v>
      </c>
      <c r="B448" t="s">
        <v>19</v>
      </c>
      <c r="C448">
        <v>700</v>
      </c>
      <c r="D448">
        <v>0</v>
      </c>
      <c r="E448" t="s">
        <v>20</v>
      </c>
      <c r="F448" t="s">
        <v>20</v>
      </c>
      <c r="G448" t="str">
        <f>"2026-02-13 20:54:25.055"</f>
        <v>2026-02-13 20:54:25.055</v>
      </c>
      <c r="H448" t="s">
        <v>21</v>
      </c>
    </row>
    <row r="449" spans="1:10" x14ac:dyDescent="0.25">
      <c r="A449" s="1">
        <v>43</v>
      </c>
      <c r="B449" t="s">
        <v>23</v>
      </c>
      <c r="C449">
        <v>619</v>
      </c>
      <c r="D449">
        <v>1</v>
      </c>
      <c r="E449" t="s">
        <v>46</v>
      </c>
      <c r="F449" t="s">
        <v>45</v>
      </c>
      <c r="G449" t="str">
        <f>"2026-02-13 20:44:54.368"</f>
        <v>2026-02-13 20:44:54.368</v>
      </c>
      <c r="H449" t="s">
        <v>47</v>
      </c>
    </row>
    <row r="450" spans="1:10" x14ac:dyDescent="0.25">
      <c r="A450" s="1">
        <v>44</v>
      </c>
      <c r="B450" t="s">
        <v>26</v>
      </c>
      <c r="C450">
        <v>619</v>
      </c>
      <c r="D450">
        <v>1</v>
      </c>
      <c r="E450" t="s">
        <v>46</v>
      </c>
      <c r="F450" t="s">
        <v>45</v>
      </c>
      <c r="G450" t="str">
        <f>"2026-02-13 20:44:02.568"</f>
        <v>2026-02-13 20:44:02.568</v>
      </c>
      <c r="H450" t="s">
        <v>47</v>
      </c>
      <c r="I450">
        <v>6.27</v>
      </c>
      <c r="J450" t="s">
        <v>39</v>
      </c>
    </row>
    <row r="451" spans="1:10" x14ac:dyDescent="0.25">
      <c r="A451" s="1">
        <v>45</v>
      </c>
      <c r="B451" t="s">
        <v>19</v>
      </c>
      <c r="C451">
        <v>706</v>
      </c>
      <c r="D451">
        <v>2</v>
      </c>
      <c r="E451" t="s">
        <v>31</v>
      </c>
      <c r="F451" t="s">
        <v>43</v>
      </c>
      <c r="G451" t="str">
        <f>"2026-02-13 12:21:45.948"</f>
        <v>2026-02-13 12:21:45.948</v>
      </c>
      <c r="H451" t="s">
        <v>21</v>
      </c>
      <c r="I451">
        <v>0</v>
      </c>
      <c r="J451" t="s">
        <v>27</v>
      </c>
    </row>
    <row r="452" spans="1:10" x14ac:dyDescent="0.25">
      <c r="A452" s="1">
        <v>46</v>
      </c>
      <c r="B452" t="s">
        <v>19</v>
      </c>
      <c r="C452">
        <v>706</v>
      </c>
      <c r="D452">
        <v>3</v>
      </c>
      <c r="E452" t="s">
        <v>31</v>
      </c>
      <c r="F452" t="s">
        <v>48</v>
      </c>
      <c r="G452" t="str">
        <f>"2026-02-13 12:21:32.728"</f>
        <v>2026-02-13 12:21:32.728</v>
      </c>
      <c r="H452" t="s">
        <v>21</v>
      </c>
      <c r="I452">
        <v>0</v>
      </c>
      <c r="J452" t="s">
        <v>27</v>
      </c>
    </row>
    <row r="453" spans="1:10" x14ac:dyDescent="0.25">
      <c r="A453" s="1">
        <v>47</v>
      </c>
      <c r="B453" t="s">
        <v>19</v>
      </c>
      <c r="C453">
        <v>700</v>
      </c>
      <c r="D453">
        <v>0</v>
      </c>
      <c r="E453" t="s">
        <v>20</v>
      </c>
      <c r="F453" t="s">
        <v>20</v>
      </c>
      <c r="G453" t="str">
        <f>"2026-02-13 12:18:12.878"</f>
        <v>2026-02-13 12:18:12.878</v>
      </c>
      <c r="H453" t="s">
        <v>21</v>
      </c>
      <c r="I453">
        <v>0</v>
      </c>
      <c r="J453" t="s">
        <v>22</v>
      </c>
    </row>
    <row r="454" spans="1:10" x14ac:dyDescent="0.25">
      <c r="A454" s="1">
        <v>48</v>
      </c>
      <c r="B454" t="s">
        <v>19</v>
      </c>
      <c r="C454">
        <v>706</v>
      </c>
      <c r="D454">
        <v>4</v>
      </c>
      <c r="E454" t="s">
        <v>31</v>
      </c>
      <c r="F454" t="s">
        <v>32</v>
      </c>
      <c r="G454" t="str">
        <f>"2026-02-13 10:27:01.927"</f>
        <v>2026-02-13 10:27:01.927</v>
      </c>
      <c r="H454" t="s">
        <v>21</v>
      </c>
      <c r="I454">
        <v>0</v>
      </c>
      <c r="J454" t="s">
        <v>27</v>
      </c>
    </row>
    <row r="455" spans="1:10" x14ac:dyDescent="0.25">
      <c r="A455" s="1">
        <v>49</v>
      </c>
      <c r="B455" t="s">
        <v>19</v>
      </c>
      <c r="C455">
        <v>700</v>
      </c>
      <c r="D455">
        <v>0</v>
      </c>
      <c r="E455" t="s">
        <v>20</v>
      </c>
      <c r="F455" t="s">
        <v>20</v>
      </c>
      <c r="G455" t="str">
        <f>"2026-02-13 10:06:20.877"</f>
        <v>2026-02-13 10:06:20.877</v>
      </c>
      <c r="H455" t="s">
        <v>21</v>
      </c>
    </row>
    <row r="456" spans="1:10" x14ac:dyDescent="0.25">
      <c r="A456" s="1">
        <v>50</v>
      </c>
      <c r="B456" t="s">
        <v>38</v>
      </c>
      <c r="C456">
        <v>630</v>
      </c>
      <c r="D456">
        <v>5</v>
      </c>
      <c r="E456" t="s">
        <v>40</v>
      </c>
      <c r="F456" t="s">
        <v>41</v>
      </c>
      <c r="G456" t="str">
        <f>"2026-02-13 09:02:53.421"</f>
        <v>2026-02-13 09:02:53.421</v>
      </c>
      <c r="H456" t="s">
        <v>42</v>
      </c>
      <c r="I456">
        <v>0</v>
      </c>
      <c r="J456" t="s">
        <v>27</v>
      </c>
    </row>
    <row r="457" spans="1:10" x14ac:dyDescent="0.25">
      <c r="A457" s="1">
        <v>51</v>
      </c>
      <c r="B457" t="s">
        <v>23</v>
      </c>
      <c r="C457">
        <v>61</v>
      </c>
      <c r="D457">
        <v>2</v>
      </c>
      <c r="E457" t="s">
        <v>51</v>
      </c>
      <c r="F457" t="s">
        <v>52</v>
      </c>
      <c r="G457" t="str">
        <f>"2026-02-13 01:54:57.433"</f>
        <v>2026-02-13 01:54:57.433</v>
      </c>
      <c r="H457" t="s">
        <v>21</v>
      </c>
    </row>
    <row r="458" spans="1:10" x14ac:dyDescent="0.25">
      <c r="A458" s="1">
        <v>52</v>
      </c>
      <c r="B458" t="s">
        <v>38</v>
      </c>
      <c r="C458">
        <v>61</v>
      </c>
      <c r="D458">
        <v>2</v>
      </c>
      <c r="E458" t="s">
        <v>51</v>
      </c>
      <c r="F458" t="s">
        <v>52</v>
      </c>
      <c r="G458" t="str">
        <f>"2026-02-13 01:54:49.333"</f>
        <v>2026-02-13 01:54:49.333</v>
      </c>
      <c r="H458" t="s">
        <v>21</v>
      </c>
      <c r="I458">
        <v>35.19</v>
      </c>
      <c r="J458" t="s">
        <v>33</v>
      </c>
    </row>
    <row r="459" spans="1:10" x14ac:dyDescent="0.25">
      <c r="A459" s="1">
        <v>53</v>
      </c>
      <c r="B459" t="s">
        <v>19</v>
      </c>
      <c r="C459">
        <v>700</v>
      </c>
      <c r="D459">
        <v>0</v>
      </c>
      <c r="E459" t="s">
        <v>20</v>
      </c>
      <c r="F459" t="s">
        <v>20</v>
      </c>
      <c r="G459" t="str">
        <f>"2026-02-12 09:42:02.870"</f>
        <v>2026-02-12 09:42:02.870</v>
      </c>
      <c r="H459" t="s">
        <v>21</v>
      </c>
    </row>
    <row r="460" spans="1:10" s="3" customFormat="1" x14ac:dyDescent="0.25">
      <c r="A460" s="2">
        <v>54</v>
      </c>
      <c r="B460" s="3" t="s">
        <v>23</v>
      </c>
      <c r="C460" s="3">
        <v>647</v>
      </c>
      <c r="D460" s="3">
        <v>1</v>
      </c>
      <c r="E460" s="3" t="s">
        <v>28</v>
      </c>
      <c r="F460" s="3" t="s">
        <v>29</v>
      </c>
      <c r="G460" s="3" t="str">
        <f>"2026-02-12 02:46:54.820"</f>
        <v>2026-02-12 02:46:54.820</v>
      </c>
      <c r="H460" s="3" t="s">
        <v>21</v>
      </c>
    </row>
    <row r="461" spans="1:10" s="3" customFormat="1" x14ac:dyDescent="0.25">
      <c r="A461" s="2">
        <v>55</v>
      </c>
      <c r="B461" s="3" t="s">
        <v>26</v>
      </c>
      <c r="C461" s="3">
        <v>647</v>
      </c>
      <c r="D461" s="3">
        <v>1</v>
      </c>
      <c r="E461" s="3" t="s">
        <v>28</v>
      </c>
      <c r="F461" s="3" t="s">
        <v>29</v>
      </c>
      <c r="G461" s="3" t="str">
        <f>"2026-02-12 02:46:47.921"</f>
        <v>2026-02-12 02:46:47.921</v>
      </c>
      <c r="H461" s="3" t="s">
        <v>21</v>
      </c>
      <c r="I461" s="3">
        <v>17.100000000000001</v>
      </c>
      <c r="J461" s="3" t="s">
        <v>33</v>
      </c>
    </row>
    <row r="462" spans="1:10" x14ac:dyDescent="0.25">
      <c r="A462" s="1">
        <v>56</v>
      </c>
      <c r="B462" t="s">
        <v>19</v>
      </c>
      <c r="C462">
        <v>706</v>
      </c>
      <c r="D462">
        <v>4</v>
      </c>
      <c r="E462" t="s">
        <v>31</v>
      </c>
      <c r="F462" t="s">
        <v>32</v>
      </c>
      <c r="G462" t="str">
        <f>"2026-02-11 23:47:11.781"</f>
        <v>2026-02-11 23:47:11.781</v>
      </c>
      <c r="H462" t="s">
        <v>21</v>
      </c>
      <c r="I462">
        <v>0</v>
      </c>
      <c r="J462" t="s">
        <v>27</v>
      </c>
    </row>
    <row r="463" spans="1:10" x14ac:dyDescent="0.25">
      <c r="A463" s="1">
        <v>57</v>
      </c>
      <c r="B463" t="s">
        <v>19</v>
      </c>
      <c r="C463">
        <v>700</v>
      </c>
      <c r="D463">
        <v>0</v>
      </c>
      <c r="E463" t="s">
        <v>20</v>
      </c>
      <c r="F463" t="s">
        <v>20</v>
      </c>
      <c r="G463" t="str">
        <f>"2026-02-10 12:28:38.121"</f>
        <v>2026-02-10 12:28:38.121</v>
      </c>
      <c r="H463" t="s">
        <v>21</v>
      </c>
      <c r="I463">
        <v>0</v>
      </c>
      <c r="J463" t="s">
        <v>22</v>
      </c>
    </row>
    <row r="464" spans="1:10" x14ac:dyDescent="0.25">
      <c r="A464" s="1">
        <v>58</v>
      </c>
      <c r="B464" t="s">
        <v>19</v>
      </c>
      <c r="C464">
        <v>700</v>
      </c>
      <c r="D464">
        <v>0</v>
      </c>
      <c r="E464" t="s">
        <v>20</v>
      </c>
      <c r="F464" t="s">
        <v>20</v>
      </c>
      <c r="G464" t="str">
        <f>"2026-02-10 07:56:12.848"</f>
        <v>2026-02-10 07:56:12.848</v>
      </c>
      <c r="H464" t="s">
        <v>21</v>
      </c>
      <c r="I464">
        <v>0</v>
      </c>
      <c r="J464" t="s">
        <v>22</v>
      </c>
    </row>
    <row r="465" spans="1:10" x14ac:dyDescent="0.25">
      <c r="A465" s="1">
        <v>59</v>
      </c>
      <c r="B465" t="s">
        <v>19</v>
      </c>
      <c r="C465">
        <v>700</v>
      </c>
      <c r="D465">
        <v>0</v>
      </c>
      <c r="E465" t="s">
        <v>20</v>
      </c>
      <c r="F465" t="s">
        <v>20</v>
      </c>
      <c r="G465" t="str">
        <f>"2026-02-10 07:53:14.864"</f>
        <v>2026-02-10 07:53:14.864</v>
      </c>
      <c r="H465" t="s">
        <v>21</v>
      </c>
    </row>
    <row r="466" spans="1:10" x14ac:dyDescent="0.25">
      <c r="A466" s="1">
        <v>60</v>
      </c>
      <c r="B466" t="s">
        <v>19</v>
      </c>
      <c r="C466">
        <v>700</v>
      </c>
      <c r="D466">
        <v>0</v>
      </c>
      <c r="E466" t="s">
        <v>20</v>
      </c>
      <c r="F466" t="s">
        <v>20</v>
      </c>
      <c r="G466" t="str">
        <f>"2026-02-09 16:41:54.858"</f>
        <v>2026-02-09 16:41:54.858</v>
      </c>
      <c r="H466" t="s">
        <v>21</v>
      </c>
      <c r="I466">
        <v>0</v>
      </c>
      <c r="J466" t="s">
        <v>22</v>
      </c>
    </row>
    <row r="467" spans="1:10" x14ac:dyDescent="0.25">
      <c r="A467" s="1">
        <v>61</v>
      </c>
      <c r="B467" t="s">
        <v>19</v>
      </c>
      <c r="C467">
        <v>700</v>
      </c>
      <c r="D467">
        <v>0</v>
      </c>
      <c r="E467" t="s">
        <v>20</v>
      </c>
      <c r="F467" t="s">
        <v>20</v>
      </c>
      <c r="G467" t="str">
        <f>"2026-02-09 16:34:17.862"</f>
        <v>2026-02-09 16:34:17.862</v>
      </c>
      <c r="H467" t="s">
        <v>21</v>
      </c>
      <c r="I467">
        <v>0</v>
      </c>
      <c r="J467" t="s">
        <v>22</v>
      </c>
    </row>
    <row r="468" spans="1:10" x14ac:dyDescent="0.25">
      <c r="A468" s="1">
        <v>62</v>
      </c>
      <c r="B468" t="s">
        <v>19</v>
      </c>
      <c r="C468">
        <v>700</v>
      </c>
      <c r="D468">
        <v>0</v>
      </c>
      <c r="E468" t="s">
        <v>20</v>
      </c>
      <c r="F468" t="s">
        <v>20</v>
      </c>
      <c r="G468" t="str">
        <f>"2026-02-09 16:33:27.899"</f>
        <v>2026-02-09 16:33:27.899</v>
      </c>
      <c r="H468" t="s">
        <v>21</v>
      </c>
      <c r="I468">
        <v>0</v>
      </c>
      <c r="J468" t="s">
        <v>22</v>
      </c>
    </row>
    <row r="469" spans="1:10" x14ac:dyDescent="0.25">
      <c r="A469" s="1">
        <v>63</v>
      </c>
      <c r="B469" t="s">
        <v>19</v>
      </c>
      <c r="C469">
        <v>700</v>
      </c>
      <c r="D469">
        <v>0</v>
      </c>
      <c r="E469" t="s">
        <v>20</v>
      </c>
      <c r="F469" t="s">
        <v>20</v>
      </c>
      <c r="G469" t="str">
        <f>"2026-02-08 13:03:03.864"</f>
        <v>2026-02-08 13:03:03.864</v>
      </c>
      <c r="H469" t="s">
        <v>21</v>
      </c>
      <c r="I469">
        <v>0</v>
      </c>
      <c r="J469" t="s">
        <v>22</v>
      </c>
    </row>
    <row r="470" spans="1:10" x14ac:dyDescent="0.25">
      <c r="A470" s="1">
        <v>64</v>
      </c>
      <c r="B470" t="s">
        <v>23</v>
      </c>
      <c r="C470">
        <v>635</v>
      </c>
      <c r="D470">
        <v>1</v>
      </c>
      <c r="E470" t="s">
        <v>44</v>
      </c>
      <c r="F470" t="s">
        <v>45</v>
      </c>
      <c r="G470" t="str">
        <f>"2026-02-07 12:25:11.197"</f>
        <v>2026-02-07 12:25:11.197</v>
      </c>
      <c r="H470" t="s">
        <v>21</v>
      </c>
    </row>
    <row r="471" spans="1:10" x14ac:dyDescent="0.25">
      <c r="A471" s="1">
        <v>65</v>
      </c>
      <c r="B471" t="s">
        <v>26</v>
      </c>
      <c r="C471">
        <v>635</v>
      </c>
      <c r="D471">
        <v>1</v>
      </c>
      <c r="E471" t="s">
        <v>44</v>
      </c>
      <c r="F471" t="s">
        <v>45</v>
      </c>
      <c r="G471" t="str">
        <f>"2026-02-07 12:22:26.197"</f>
        <v>2026-02-07 12:22:26.197</v>
      </c>
      <c r="H471" t="s">
        <v>21</v>
      </c>
      <c r="I471">
        <v>5.34</v>
      </c>
      <c r="J471" t="s">
        <v>39</v>
      </c>
    </row>
    <row r="472" spans="1:10" x14ac:dyDescent="0.25">
      <c r="A472" s="1">
        <v>66</v>
      </c>
      <c r="B472" t="s">
        <v>23</v>
      </c>
      <c r="C472">
        <v>635</v>
      </c>
      <c r="D472">
        <v>1</v>
      </c>
      <c r="E472" t="s">
        <v>44</v>
      </c>
      <c r="F472" t="s">
        <v>45</v>
      </c>
      <c r="G472" t="str">
        <f>"2026-02-07 09:38:33.397"</f>
        <v>2026-02-07 09:38:33.397</v>
      </c>
      <c r="H472" t="s">
        <v>21</v>
      </c>
    </row>
    <row r="473" spans="1:10" x14ac:dyDescent="0.25">
      <c r="A473" s="1">
        <v>67</v>
      </c>
      <c r="B473" t="s">
        <v>26</v>
      </c>
      <c r="C473">
        <v>635</v>
      </c>
      <c r="D473">
        <v>1</v>
      </c>
      <c r="E473" t="s">
        <v>44</v>
      </c>
      <c r="F473" t="s">
        <v>45</v>
      </c>
      <c r="G473" t="str">
        <f>"2026-02-07 09:26:01.397"</f>
        <v>2026-02-07 09:26:01.397</v>
      </c>
      <c r="H473" t="s">
        <v>21</v>
      </c>
      <c r="I473">
        <v>0.56999999999999995</v>
      </c>
      <c r="J473" t="s">
        <v>39</v>
      </c>
    </row>
    <row r="474" spans="1:10" x14ac:dyDescent="0.25">
      <c r="A474" s="1">
        <v>68</v>
      </c>
      <c r="B474" t="s">
        <v>23</v>
      </c>
      <c r="C474">
        <v>635</v>
      </c>
      <c r="D474">
        <v>1</v>
      </c>
      <c r="E474" t="s">
        <v>44</v>
      </c>
      <c r="F474" t="s">
        <v>45</v>
      </c>
      <c r="G474" t="str">
        <f>"2026-02-06 02:37:11.997"</f>
        <v>2026-02-06 02:37:11.997</v>
      </c>
      <c r="H474" t="s">
        <v>21</v>
      </c>
    </row>
    <row r="475" spans="1:10" x14ac:dyDescent="0.25">
      <c r="A475" s="1">
        <v>69</v>
      </c>
      <c r="B475" t="s">
        <v>26</v>
      </c>
      <c r="C475">
        <v>635</v>
      </c>
      <c r="D475">
        <v>1</v>
      </c>
      <c r="E475" t="s">
        <v>44</v>
      </c>
      <c r="F475" t="s">
        <v>45</v>
      </c>
      <c r="G475" t="str">
        <f>"2026-02-06 02:34:37.597"</f>
        <v>2026-02-06 02:34:37.597</v>
      </c>
      <c r="H475" t="s">
        <v>21</v>
      </c>
      <c r="I475">
        <v>9.19</v>
      </c>
      <c r="J475" t="s">
        <v>33</v>
      </c>
    </row>
    <row r="476" spans="1:10" s="3" customFormat="1" x14ac:dyDescent="0.25">
      <c r="A476" s="2">
        <v>70</v>
      </c>
      <c r="B476" s="3" t="s">
        <v>23</v>
      </c>
      <c r="C476" s="3">
        <v>647</v>
      </c>
      <c r="D476" s="3">
        <v>1</v>
      </c>
      <c r="E476" s="3" t="s">
        <v>28</v>
      </c>
      <c r="F476" s="3" t="s">
        <v>29</v>
      </c>
      <c r="G476" s="3" t="str">
        <f>"2026-02-05 23:02:42.198"</f>
        <v>2026-02-05 23:02:42.198</v>
      </c>
      <c r="H476" s="3" t="s">
        <v>21</v>
      </c>
    </row>
    <row r="477" spans="1:10" s="3" customFormat="1" x14ac:dyDescent="0.25">
      <c r="A477" s="2">
        <v>71</v>
      </c>
      <c r="B477" s="3" t="s">
        <v>26</v>
      </c>
      <c r="C477" s="3">
        <v>647</v>
      </c>
      <c r="D477" s="3">
        <v>1</v>
      </c>
      <c r="E477" s="3" t="s">
        <v>28</v>
      </c>
      <c r="F477" s="3" t="s">
        <v>29</v>
      </c>
      <c r="G477" s="3" t="str">
        <f>"2026-02-05 23:02:35.898"</f>
        <v>2026-02-05 23:02:35.898</v>
      </c>
      <c r="H477" s="3" t="s">
        <v>21</v>
      </c>
      <c r="I477" s="3">
        <v>17.68</v>
      </c>
      <c r="J477" s="3" t="s">
        <v>33</v>
      </c>
    </row>
    <row r="478" spans="1:10" x14ac:dyDescent="0.25">
      <c r="A478" s="1">
        <v>73</v>
      </c>
      <c r="B478" t="s">
        <v>19</v>
      </c>
      <c r="C478">
        <v>700</v>
      </c>
      <c r="D478">
        <v>0</v>
      </c>
      <c r="E478" t="s">
        <v>20</v>
      </c>
      <c r="F478" t="s">
        <v>20</v>
      </c>
      <c r="G478" t="str">
        <f>"2026-02-05 09:51:48.846"</f>
        <v>2026-02-05 09:51:48.846</v>
      </c>
      <c r="H478" t="s">
        <v>21</v>
      </c>
      <c r="I478">
        <v>0</v>
      </c>
      <c r="J478" t="s">
        <v>22</v>
      </c>
    </row>
    <row r="479" spans="1:10" s="3" customFormat="1" x14ac:dyDescent="0.25">
      <c r="A479" s="2">
        <v>74</v>
      </c>
      <c r="B479" s="3" t="s">
        <v>23</v>
      </c>
      <c r="C479" s="3">
        <v>647</v>
      </c>
      <c r="D479" s="3">
        <v>1</v>
      </c>
      <c r="E479" s="3" t="s">
        <v>28</v>
      </c>
      <c r="F479" s="3" t="s">
        <v>29</v>
      </c>
      <c r="G479" s="3" t="str">
        <f>"2026-02-04 22:08:13.892"</f>
        <v>2026-02-04 22:08:13.892</v>
      </c>
      <c r="H479" s="3" t="s">
        <v>21</v>
      </c>
    </row>
    <row r="480" spans="1:10" s="3" customFormat="1" x14ac:dyDescent="0.25">
      <c r="A480" s="2">
        <v>75</v>
      </c>
      <c r="B480" s="3" t="s">
        <v>26</v>
      </c>
      <c r="C480" s="3">
        <v>647</v>
      </c>
      <c r="D480" s="3">
        <v>1</v>
      </c>
      <c r="E480" s="3" t="s">
        <v>28</v>
      </c>
      <c r="F480" s="3" t="s">
        <v>29</v>
      </c>
      <c r="G480" s="3" t="str">
        <f>"2026-02-04 22:08:11.192"</f>
        <v>2026-02-04 22:08:11.192</v>
      </c>
      <c r="H480" s="3" t="s">
        <v>21</v>
      </c>
      <c r="I480" s="3">
        <v>16.53</v>
      </c>
      <c r="J480" s="3" t="s">
        <v>33</v>
      </c>
    </row>
    <row r="481" spans="1:10" s="3" customFormat="1" x14ac:dyDescent="0.25">
      <c r="A481" s="2">
        <v>76</v>
      </c>
      <c r="B481" s="3" t="s">
        <v>23</v>
      </c>
      <c r="C481" s="3">
        <v>647</v>
      </c>
      <c r="D481" s="3">
        <v>1</v>
      </c>
      <c r="E481" s="3" t="s">
        <v>28</v>
      </c>
      <c r="F481" s="3" t="s">
        <v>29</v>
      </c>
      <c r="G481" s="3" t="str">
        <f>"2026-02-04 18:49:43.692"</f>
        <v>2026-02-04 18:49:43.692</v>
      </c>
      <c r="H481" s="3" t="s">
        <v>21</v>
      </c>
    </row>
    <row r="482" spans="1:10" s="3" customFormat="1" x14ac:dyDescent="0.25">
      <c r="A482" s="2">
        <v>77</v>
      </c>
      <c r="B482" s="3" t="s">
        <v>26</v>
      </c>
      <c r="C482" s="3">
        <v>647</v>
      </c>
      <c r="D482" s="3">
        <v>1</v>
      </c>
      <c r="E482" s="3" t="s">
        <v>28</v>
      </c>
      <c r="F482" s="3" t="s">
        <v>29</v>
      </c>
      <c r="G482" s="3" t="str">
        <f>"2026-02-04 18:49:40.992"</f>
        <v>2026-02-04 18:49:40.992</v>
      </c>
      <c r="H482" s="3" t="s">
        <v>21</v>
      </c>
      <c r="I482" s="3">
        <v>18.04</v>
      </c>
      <c r="J482" s="3" t="s">
        <v>33</v>
      </c>
    </row>
    <row r="483" spans="1:10" s="3" customFormat="1" x14ac:dyDescent="0.25">
      <c r="A483" s="2">
        <v>78</v>
      </c>
      <c r="B483" s="3" t="s">
        <v>23</v>
      </c>
      <c r="C483" s="3">
        <v>647</v>
      </c>
      <c r="D483" s="3">
        <v>1</v>
      </c>
      <c r="E483" s="3" t="s">
        <v>28</v>
      </c>
      <c r="F483" s="3" t="s">
        <v>29</v>
      </c>
      <c r="G483" s="3" t="str">
        <f>"2026-02-04 14:43:05.992"</f>
        <v>2026-02-04 14:43:05.992</v>
      </c>
      <c r="H483" s="3" t="s">
        <v>21</v>
      </c>
    </row>
    <row r="484" spans="1:10" s="3" customFormat="1" x14ac:dyDescent="0.25">
      <c r="A484" s="2">
        <v>79</v>
      </c>
      <c r="B484" s="3" t="s">
        <v>26</v>
      </c>
      <c r="C484" s="3">
        <v>647</v>
      </c>
      <c r="D484" s="3">
        <v>1</v>
      </c>
      <c r="E484" s="3" t="s">
        <v>28</v>
      </c>
      <c r="F484" s="3" t="s">
        <v>29</v>
      </c>
      <c r="G484" s="3" t="str">
        <f>"2026-02-04 14:42:55.692"</f>
        <v>2026-02-04 14:42:55.692</v>
      </c>
      <c r="H484" s="3" t="s">
        <v>21</v>
      </c>
      <c r="I484" s="3">
        <v>13.61</v>
      </c>
      <c r="J484" s="3" t="s">
        <v>33</v>
      </c>
    </row>
    <row r="485" spans="1:10" s="3" customFormat="1" x14ac:dyDescent="0.25">
      <c r="A485" s="2">
        <v>80</v>
      </c>
      <c r="B485" s="3" t="s">
        <v>23</v>
      </c>
      <c r="C485" s="3">
        <v>647</v>
      </c>
      <c r="D485" s="3">
        <v>1</v>
      </c>
      <c r="E485" s="3" t="s">
        <v>28</v>
      </c>
      <c r="F485" s="3" t="s">
        <v>29</v>
      </c>
      <c r="G485" s="3" t="str">
        <f>"2026-02-04 11:33:03.392"</f>
        <v>2026-02-04 11:33:03.392</v>
      </c>
      <c r="H485" s="3" t="s">
        <v>21</v>
      </c>
    </row>
    <row r="486" spans="1:10" s="3" customFormat="1" x14ac:dyDescent="0.25">
      <c r="A486" s="2">
        <v>81</v>
      </c>
      <c r="B486" s="3" t="s">
        <v>26</v>
      </c>
      <c r="C486" s="3">
        <v>647</v>
      </c>
      <c r="D486" s="3">
        <v>1</v>
      </c>
      <c r="E486" s="3" t="s">
        <v>28</v>
      </c>
      <c r="F486" s="3" t="s">
        <v>29</v>
      </c>
      <c r="G486" s="3" t="str">
        <f>"2026-02-04 11:32:58.292"</f>
        <v>2026-02-04 11:32:58.292</v>
      </c>
      <c r="H486" s="3" t="s">
        <v>21</v>
      </c>
      <c r="I486" s="3">
        <v>12.39</v>
      </c>
      <c r="J486" s="3" t="s">
        <v>33</v>
      </c>
    </row>
    <row r="487" spans="1:10" s="3" customFormat="1" x14ac:dyDescent="0.25">
      <c r="A487" s="2">
        <v>82</v>
      </c>
      <c r="B487" s="3" t="s">
        <v>23</v>
      </c>
      <c r="C487" s="3">
        <v>647</v>
      </c>
      <c r="D487" s="3">
        <v>1</v>
      </c>
      <c r="E487" s="3" t="s">
        <v>28</v>
      </c>
      <c r="F487" s="3" t="s">
        <v>29</v>
      </c>
      <c r="G487" s="3" t="str">
        <f>"2026-02-03 14:36:57.592"</f>
        <v>2026-02-03 14:36:57.592</v>
      </c>
      <c r="H487" s="3" t="s">
        <v>21</v>
      </c>
    </row>
    <row r="488" spans="1:10" s="3" customFormat="1" x14ac:dyDescent="0.25">
      <c r="A488" s="2">
        <v>83</v>
      </c>
      <c r="B488" s="3" t="s">
        <v>26</v>
      </c>
      <c r="C488" s="3">
        <v>647</v>
      </c>
      <c r="D488" s="3">
        <v>1</v>
      </c>
      <c r="E488" s="3" t="s">
        <v>28</v>
      </c>
      <c r="F488" s="3" t="s">
        <v>29</v>
      </c>
      <c r="G488" s="3" t="str">
        <f>"2026-02-03 14:36:55.492"</f>
        <v>2026-02-03 14:36:55.492</v>
      </c>
      <c r="H488" s="3" t="s">
        <v>21</v>
      </c>
      <c r="I488" s="3">
        <v>12.99</v>
      </c>
      <c r="J488" s="3" t="s">
        <v>33</v>
      </c>
    </row>
    <row r="489" spans="1:10" x14ac:dyDescent="0.25">
      <c r="A489" s="1">
        <v>84</v>
      </c>
      <c r="B489" t="s">
        <v>19</v>
      </c>
      <c r="C489">
        <v>700</v>
      </c>
      <c r="D489">
        <v>0</v>
      </c>
      <c r="E489" t="s">
        <v>20</v>
      </c>
      <c r="F489" t="s">
        <v>20</v>
      </c>
      <c r="G489" t="str">
        <f>"2026-02-02 19:57:02.852"</f>
        <v>2026-02-02 19:57:02.852</v>
      </c>
      <c r="H489" t="s">
        <v>21</v>
      </c>
      <c r="I489">
        <v>0</v>
      </c>
      <c r="J489" t="s">
        <v>22</v>
      </c>
    </row>
    <row r="490" spans="1:10" x14ac:dyDescent="0.25">
      <c r="A490" s="1">
        <v>85</v>
      </c>
      <c r="B490" t="s">
        <v>19</v>
      </c>
      <c r="C490">
        <v>700</v>
      </c>
      <c r="D490">
        <v>0</v>
      </c>
      <c r="E490" t="s">
        <v>20</v>
      </c>
      <c r="F490" t="s">
        <v>20</v>
      </c>
      <c r="G490" t="str">
        <f>"2026-02-02 19:10:39.069"</f>
        <v>2026-02-02 19:10:39.069</v>
      </c>
      <c r="H490" t="s">
        <v>21</v>
      </c>
      <c r="I490">
        <v>0</v>
      </c>
      <c r="J490" t="s">
        <v>22</v>
      </c>
    </row>
    <row r="491" spans="1:10" x14ac:dyDescent="0.25">
      <c r="A491" s="1">
        <v>86</v>
      </c>
      <c r="B491" t="s">
        <v>38</v>
      </c>
      <c r="C491">
        <v>630</v>
      </c>
      <c r="D491">
        <v>5</v>
      </c>
      <c r="E491" t="s">
        <v>40</v>
      </c>
      <c r="F491" t="s">
        <v>41</v>
      </c>
      <c r="G491" t="str">
        <f>"2026-02-02 18:55:05.562"</f>
        <v>2026-02-02 18:55:05.562</v>
      </c>
      <c r="H491" t="s">
        <v>42</v>
      </c>
      <c r="I491">
        <v>0</v>
      </c>
      <c r="J491" t="s">
        <v>27</v>
      </c>
    </row>
    <row r="492" spans="1:10" x14ac:dyDescent="0.25">
      <c r="A492" s="1">
        <v>87</v>
      </c>
      <c r="B492" t="s">
        <v>19</v>
      </c>
      <c r="C492">
        <v>700</v>
      </c>
      <c r="D492">
        <v>0</v>
      </c>
      <c r="E492" t="s">
        <v>20</v>
      </c>
      <c r="F492" t="s">
        <v>20</v>
      </c>
      <c r="G492" t="str">
        <f>"2026-02-02 18:50:02.851"</f>
        <v>2026-02-02 18:50:02.851</v>
      </c>
      <c r="H492" t="s">
        <v>21</v>
      </c>
      <c r="I492">
        <v>0</v>
      </c>
      <c r="J492" t="s">
        <v>22</v>
      </c>
    </row>
    <row r="493" spans="1:10" x14ac:dyDescent="0.25">
      <c r="A493" s="1">
        <v>88</v>
      </c>
      <c r="B493" t="s">
        <v>19</v>
      </c>
      <c r="C493">
        <v>706</v>
      </c>
      <c r="D493">
        <v>2</v>
      </c>
      <c r="E493" t="s">
        <v>31</v>
      </c>
      <c r="F493" t="s">
        <v>43</v>
      </c>
      <c r="G493" t="str">
        <f>"2026-02-02 18:32:13.654"</f>
        <v>2026-02-02 18:32:13.654</v>
      </c>
      <c r="H493" t="s">
        <v>21</v>
      </c>
      <c r="I493">
        <v>0</v>
      </c>
      <c r="J493" t="s">
        <v>27</v>
      </c>
    </row>
    <row r="494" spans="1:10" x14ac:dyDescent="0.25">
      <c r="A494" s="1">
        <v>89</v>
      </c>
      <c r="B494" t="s">
        <v>19</v>
      </c>
      <c r="C494">
        <v>700</v>
      </c>
      <c r="D494">
        <v>0</v>
      </c>
      <c r="E494" t="s">
        <v>20</v>
      </c>
      <c r="F494" t="s">
        <v>20</v>
      </c>
      <c r="G494" t="str">
        <f>"2026-02-02 18:27:23.844"</f>
        <v>2026-02-02 18:27:23.844</v>
      </c>
      <c r="H494" t="s">
        <v>21</v>
      </c>
      <c r="I494">
        <v>0</v>
      </c>
      <c r="J494" t="s">
        <v>22</v>
      </c>
    </row>
    <row r="495" spans="1:10" x14ac:dyDescent="0.25">
      <c r="A495" s="1">
        <v>90</v>
      </c>
      <c r="B495" t="s">
        <v>38</v>
      </c>
      <c r="C495">
        <v>630</v>
      </c>
      <c r="D495">
        <v>5</v>
      </c>
      <c r="E495" t="s">
        <v>40</v>
      </c>
      <c r="F495" t="s">
        <v>41</v>
      </c>
      <c r="G495" t="str">
        <f>"2026-02-02 18:11:35.606"</f>
        <v>2026-02-02 18:11:35.606</v>
      </c>
      <c r="H495" t="s">
        <v>42</v>
      </c>
      <c r="I495">
        <v>0</v>
      </c>
      <c r="J495" t="s">
        <v>27</v>
      </c>
    </row>
    <row r="496" spans="1:10" x14ac:dyDescent="0.25">
      <c r="A496" s="1">
        <v>91</v>
      </c>
      <c r="B496" t="s">
        <v>19</v>
      </c>
      <c r="C496">
        <v>700</v>
      </c>
      <c r="D496">
        <v>0</v>
      </c>
      <c r="E496" t="s">
        <v>20</v>
      </c>
      <c r="F496" t="s">
        <v>20</v>
      </c>
      <c r="G496" t="str">
        <f>"2026-02-02 18:06:32.851"</f>
        <v>2026-02-02 18:06:32.851</v>
      </c>
      <c r="H496" t="s">
        <v>21</v>
      </c>
      <c r="I496">
        <v>0</v>
      </c>
      <c r="J496" t="s">
        <v>22</v>
      </c>
    </row>
    <row r="497" spans="1:10" x14ac:dyDescent="0.25">
      <c r="A497" s="1">
        <v>92</v>
      </c>
      <c r="B497" t="s">
        <v>19</v>
      </c>
      <c r="C497">
        <v>706</v>
      </c>
      <c r="D497">
        <v>4</v>
      </c>
      <c r="E497" t="s">
        <v>31</v>
      </c>
      <c r="F497" t="s">
        <v>32</v>
      </c>
      <c r="G497" t="str">
        <f>"2026-02-02 17:56:10.351"</f>
        <v>2026-02-02 17:56:10.351</v>
      </c>
      <c r="H497" t="s">
        <v>21</v>
      </c>
      <c r="I497">
        <v>0</v>
      </c>
      <c r="J497" t="s">
        <v>27</v>
      </c>
    </row>
    <row r="498" spans="1:10" x14ac:dyDescent="0.25">
      <c r="A498" s="1">
        <v>93</v>
      </c>
      <c r="B498" t="s">
        <v>23</v>
      </c>
      <c r="C498">
        <v>98</v>
      </c>
      <c r="D498">
        <v>1</v>
      </c>
      <c r="E498" t="s">
        <v>49</v>
      </c>
      <c r="F498" t="s">
        <v>50</v>
      </c>
      <c r="G498" t="str">
        <f>"2026-02-02 17:47:43.732"</f>
        <v>2026-02-02 17:47:43.732</v>
      </c>
      <c r="H498" t="s">
        <v>21</v>
      </c>
    </row>
    <row r="499" spans="1:10" x14ac:dyDescent="0.25">
      <c r="A499" s="1">
        <v>94</v>
      </c>
      <c r="B499" t="s">
        <v>26</v>
      </c>
      <c r="C499">
        <v>98</v>
      </c>
      <c r="D499">
        <v>1</v>
      </c>
      <c r="E499" t="s">
        <v>49</v>
      </c>
      <c r="F499" t="s">
        <v>50</v>
      </c>
      <c r="G499" t="str">
        <f>"2026-02-02 17:47:42.732"</f>
        <v>2026-02-02 17:47:42.732</v>
      </c>
      <c r="H499" t="s">
        <v>21</v>
      </c>
      <c r="I499">
        <v>0</v>
      </c>
      <c r="J499" t="s">
        <v>27</v>
      </c>
    </row>
    <row r="500" spans="1:10" x14ac:dyDescent="0.25">
      <c r="A500" s="1">
        <v>95</v>
      </c>
      <c r="B500" t="s">
        <v>23</v>
      </c>
      <c r="C500">
        <v>98</v>
      </c>
      <c r="D500">
        <v>1</v>
      </c>
      <c r="E500" t="s">
        <v>49</v>
      </c>
      <c r="F500" t="s">
        <v>50</v>
      </c>
      <c r="G500" t="str">
        <f>"2026-02-02 17:47:34.132"</f>
        <v>2026-02-02 17:47:34.132</v>
      </c>
      <c r="H500" t="s">
        <v>21</v>
      </c>
    </row>
    <row r="501" spans="1:10" x14ac:dyDescent="0.25">
      <c r="A501" s="1">
        <v>96</v>
      </c>
      <c r="B501" t="s">
        <v>26</v>
      </c>
      <c r="C501">
        <v>98</v>
      </c>
      <c r="D501">
        <v>1</v>
      </c>
      <c r="E501" t="s">
        <v>49</v>
      </c>
      <c r="F501" t="s">
        <v>50</v>
      </c>
      <c r="G501" t="str">
        <f>"2026-02-02 17:47:33.133"</f>
        <v>2026-02-02 17:47:33.133</v>
      </c>
      <c r="H501" t="s">
        <v>21</v>
      </c>
      <c r="I501">
        <v>0</v>
      </c>
      <c r="J501" t="s">
        <v>27</v>
      </c>
    </row>
    <row r="502" spans="1:10" x14ac:dyDescent="0.25">
      <c r="A502" s="1">
        <v>97</v>
      </c>
      <c r="B502" t="s">
        <v>19</v>
      </c>
      <c r="C502">
        <v>700</v>
      </c>
      <c r="D502">
        <v>0</v>
      </c>
      <c r="E502" t="s">
        <v>20</v>
      </c>
      <c r="F502" t="s">
        <v>20</v>
      </c>
      <c r="G502" t="str">
        <f>"2026-02-02 17:46:10.831"</f>
        <v>2026-02-02 17:46:10.831</v>
      </c>
      <c r="H502" t="s">
        <v>21</v>
      </c>
      <c r="I502">
        <v>0</v>
      </c>
      <c r="J502" t="s">
        <v>22</v>
      </c>
    </row>
    <row r="503" spans="1:10" x14ac:dyDescent="0.25">
      <c r="A503" s="1">
        <v>98</v>
      </c>
      <c r="B503" t="s">
        <v>19</v>
      </c>
      <c r="C503">
        <v>700</v>
      </c>
      <c r="D503">
        <v>0</v>
      </c>
      <c r="E503" t="s">
        <v>20</v>
      </c>
      <c r="F503" t="s">
        <v>20</v>
      </c>
      <c r="G503" t="str">
        <f>"2026-02-02 16:46:47.079"</f>
        <v>2026-02-02 16:46:47.079</v>
      </c>
      <c r="H503" t="s">
        <v>21</v>
      </c>
      <c r="I503">
        <v>0</v>
      </c>
      <c r="J503" t="s">
        <v>22</v>
      </c>
    </row>
    <row r="504" spans="1:10" x14ac:dyDescent="0.25">
      <c r="A504" s="1">
        <v>99</v>
      </c>
      <c r="B504" t="s">
        <v>23</v>
      </c>
      <c r="C504">
        <v>630</v>
      </c>
      <c r="D504">
        <v>5</v>
      </c>
      <c r="E504" t="s">
        <v>40</v>
      </c>
      <c r="F504" t="s">
        <v>41</v>
      </c>
      <c r="G504" t="str">
        <f>"2026-02-02 16:38:24.274"</f>
        <v>2026-02-02 16:38:24.274</v>
      </c>
      <c r="H504" t="s">
        <v>42</v>
      </c>
    </row>
    <row r="505" spans="1:10" x14ac:dyDescent="0.25">
      <c r="A505" s="1">
        <v>0</v>
      </c>
      <c r="B505" t="s">
        <v>19</v>
      </c>
      <c r="C505">
        <v>706</v>
      </c>
      <c r="D505">
        <v>4</v>
      </c>
      <c r="E505" t="s">
        <v>31</v>
      </c>
      <c r="F505" t="s">
        <v>32</v>
      </c>
      <c r="G505" t="str">
        <f>"2026-02-02 16:37:54.216"</f>
        <v>2026-02-02 16:37:54.216</v>
      </c>
      <c r="H505" t="s">
        <v>21</v>
      </c>
      <c r="I505">
        <v>0</v>
      </c>
      <c r="J505" t="s">
        <v>27</v>
      </c>
    </row>
    <row r="506" spans="1:10" x14ac:dyDescent="0.25">
      <c r="A506" s="1">
        <v>1</v>
      </c>
      <c r="B506" t="s">
        <v>38</v>
      </c>
      <c r="C506">
        <v>630</v>
      </c>
      <c r="D506">
        <v>5</v>
      </c>
      <c r="E506" t="s">
        <v>40</v>
      </c>
      <c r="F506" t="s">
        <v>41</v>
      </c>
      <c r="G506" t="str">
        <f>"2026-02-02 16:35:42.774"</f>
        <v>2026-02-02 16:35:42.774</v>
      </c>
      <c r="H506" t="s">
        <v>42</v>
      </c>
      <c r="I506">
        <v>0</v>
      </c>
      <c r="J506" t="s">
        <v>27</v>
      </c>
    </row>
    <row r="507" spans="1:10" x14ac:dyDescent="0.25">
      <c r="A507" s="1">
        <v>2</v>
      </c>
      <c r="B507" t="s">
        <v>19</v>
      </c>
      <c r="C507">
        <v>700</v>
      </c>
      <c r="D507">
        <v>0</v>
      </c>
      <c r="E507" t="s">
        <v>20</v>
      </c>
      <c r="F507" t="s">
        <v>20</v>
      </c>
      <c r="G507" t="str">
        <f>"2026-02-02 16:30:40.076"</f>
        <v>2026-02-02 16:30:40.076</v>
      </c>
      <c r="H507" t="s">
        <v>21</v>
      </c>
    </row>
    <row r="508" spans="1:10" x14ac:dyDescent="0.25">
      <c r="A508" s="1">
        <v>3</v>
      </c>
      <c r="B508" t="s">
        <v>19</v>
      </c>
      <c r="C508">
        <v>700</v>
      </c>
      <c r="D508">
        <v>0</v>
      </c>
      <c r="E508" t="s">
        <v>20</v>
      </c>
      <c r="F508" t="s">
        <v>20</v>
      </c>
      <c r="G508" t="str">
        <f>"2026-02-02 16:27:36.074"</f>
        <v>2026-02-02 16:27:36.074</v>
      </c>
      <c r="H508" t="s">
        <v>21</v>
      </c>
    </row>
    <row r="509" spans="1:10" s="3" customFormat="1" x14ac:dyDescent="0.25">
      <c r="A509" s="2">
        <v>4</v>
      </c>
      <c r="B509" s="3" t="s">
        <v>23</v>
      </c>
      <c r="C509" s="3">
        <v>647</v>
      </c>
      <c r="D509" s="3">
        <v>1</v>
      </c>
      <c r="E509" s="3" t="s">
        <v>28</v>
      </c>
      <c r="F509" s="3" t="s">
        <v>29</v>
      </c>
      <c r="G509" s="3" t="str">
        <f>"2026-02-01 09:10:49.797"</f>
        <v>2026-02-01 09:10:49.797</v>
      </c>
      <c r="H509" s="3" t="s">
        <v>21</v>
      </c>
    </row>
    <row r="510" spans="1:10" s="3" customFormat="1" x14ac:dyDescent="0.25">
      <c r="A510" s="2">
        <v>5</v>
      </c>
      <c r="B510" s="3" t="s">
        <v>26</v>
      </c>
      <c r="C510" s="3">
        <v>647</v>
      </c>
      <c r="D510" s="3">
        <v>1</v>
      </c>
      <c r="E510" s="3" t="s">
        <v>28</v>
      </c>
      <c r="F510" s="3" t="s">
        <v>29</v>
      </c>
      <c r="G510" s="3" t="str">
        <f>"2026-02-01 09:10:40.297"</f>
        <v>2026-02-01 09:10:40.297</v>
      </c>
      <c r="H510" s="3" t="s">
        <v>21</v>
      </c>
      <c r="I510" s="3">
        <v>19.32</v>
      </c>
      <c r="J510" s="3" t="s">
        <v>33</v>
      </c>
    </row>
    <row r="511" spans="1:10" s="3" customFormat="1" x14ac:dyDescent="0.25">
      <c r="A511" s="2">
        <v>6</v>
      </c>
      <c r="B511" s="3" t="s">
        <v>23</v>
      </c>
      <c r="C511" s="3">
        <v>647</v>
      </c>
      <c r="D511" s="3">
        <v>1</v>
      </c>
      <c r="E511" s="3" t="s">
        <v>28</v>
      </c>
      <c r="F511" s="3" t="s">
        <v>29</v>
      </c>
      <c r="G511" s="3" t="str">
        <f>"2026-02-01 07:22:21.097"</f>
        <v>2026-02-01 07:22:21.097</v>
      </c>
      <c r="H511" s="3" t="s">
        <v>21</v>
      </c>
    </row>
    <row r="512" spans="1:10" s="3" customFormat="1" x14ac:dyDescent="0.25">
      <c r="A512" s="2">
        <v>7</v>
      </c>
      <c r="B512" s="3" t="s">
        <v>26</v>
      </c>
      <c r="C512" s="3">
        <v>647</v>
      </c>
      <c r="D512" s="3">
        <v>1</v>
      </c>
      <c r="E512" s="3" t="s">
        <v>28</v>
      </c>
      <c r="F512" s="3" t="s">
        <v>29</v>
      </c>
      <c r="G512" s="3" t="str">
        <f>"2026-02-01 07:22:19.997"</f>
        <v>2026-02-01 07:22:19.997</v>
      </c>
      <c r="H512" s="3" t="s">
        <v>21</v>
      </c>
      <c r="I512" s="3">
        <v>14.53</v>
      </c>
      <c r="J512" s="3" t="s">
        <v>33</v>
      </c>
    </row>
    <row r="513" spans="1:10" x14ac:dyDescent="0.25">
      <c r="A513" s="1">
        <v>8</v>
      </c>
      <c r="B513" t="s">
        <v>23</v>
      </c>
      <c r="C513">
        <v>635</v>
      </c>
      <c r="D513">
        <v>1</v>
      </c>
      <c r="E513" t="s">
        <v>44</v>
      </c>
      <c r="F513" t="s">
        <v>45</v>
      </c>
      <c r="G513" t="str">
        <f>"2026-01-31 19:14:33.496"</f>
        <v>2026-01-31 19:14:33.496</v>
      </c>
      <c r="H513" t="s">
        <v>21</v>
      </c>
    </row>
    <row r="514" spans="1:10" x14ac:dyDescent="0.25">
      <c r="A514" s="1">
        <v>9</v>
      </c>
      <c r="B514" t="s">
        <v>26</v>
      </c>
      <c r="C514">
        <v>635</v>
      </c>
      <c r="D514">
        <v>1</v>
      </c>
      <c r="E514" t="s">
        <v>44</v>
      </c>
      <c r="F514" t="s">
        <v>45</v>
      </c>
      <c r="G514" t="str">
        <f>"2026-01-31 19:11:24.496"</f>
        <v>2026-01-31 19:11:24.496</v>
      </c>
      <c r="H514" t="s">
        <v>21</v>
      </c>
      <c r="I514">
        <v>0.01</v>
      </c>
      <c r="J514" t="s">
        <v>30</v>
      </c>
    </row>
    <row r="515" spans="1:10" x14ac:dyDescent="0.25">
      <c r="A515" s="1">
        <v>10</v>
      </c>
      <c r="B515" t="s">
        <v>19</v>
      </c>
      <c r="C515">
        <v>700</v>
      </c>
      <c r="D515">
        <v>0</v>
      </c>
      <c r="E515" t="s">
        <v>20</v>
      </c>
      <c r="F515" t="s">
        <v>20</v>
      </c>
      <c r="G515" t="str">
        <f>"2026-01-31 15:22:27.834"</f>
        <v>2026-01-31 15:22:27.834</v>
      </c>
      <c r="H515" t="s">
        <v>21</v>
      </c>
      <c r="I515">
        <v>0</v>
      </c>
      <c r="J515" t="s">
        <v>22</v>
      </c>
    </row>
    <row r="516" spans="1:10" x14ac:dyDescent="0.25">
      <c r="A516" s="1">
        <v>11</v>
      </c>
      <c r="B516" t="s">
        <v>19</v>
      </c>
      <c r="C516">
        <v>700</v>
      </c>
      <c r="D516">
        <v>0</v>
      </c>
      <c r="E516" t="s">
        <v>20</v>
      </c>
      <c r="F516" t="s">
        <v>20</v>
      </c>
      <c r="G516" t="str">
        <f>"2026-01-31 15:12:56.918"</f>
        <v>2026-01-31 15:12:56.918</v>
      </c>
      <c r="H516" t="s">
        <v>21</v>
      </c>
      <c r="I516">
        <v>0</v>
      </c>
      <c r="J516" t="s">
        <v>22</v>
      </c>
    </row>
    <row r="517" spans="1:10" x14ac:dyDescent="0.25">
      <c r="A517" s="1">
        <v>12</v>
      </c>
      <c r="B517" t="s">
        <v>19</v>
      </c>
      <c r="C517">
        <v>700</v>
      </c>
      <c r="D517">
        <v>0</v>
      </c>
      <c r="E517" t="s">
        <v>20</v>
      </c>
      <c r="F517" t="s">
        <v>20</v>
      </c>
      <c r="G517" t="str">
        <f>"2026-01-31 14:03:15.986"</f>
        <v>2026-01-31 14:03:15.986</v>
      </c>
      <c r="H517" t="s">
        <v>21</v>
      </c>
    </row>
    <row r="518" spans="1:10" x14ac:dyDescent="0.25">
      <c r="A518" s="1">
        <v>13</v>
      </c>
      <c r="B518" t="s">
        <v>19</v>
      </c>
      <c r="C518">
        <v>700</v>
      </c>
      <c r="D518">
        <v>0</v>
      </c>
      <c r="E518" t="s">
        <v>20</v>
      </c>
      <c r="F518" t="s">
        <v>20</v>
      </c>
      <c r="G518" t="str">
        <f>"2026-01-30 11:35:35.860"</f>
        <v>2026-01-30 11:35:35.860</v>
      </c>
      <c r="H518" t="s">
        <v>21</v>
      </c>
    </row>
    <row r="519" spans="1:10" s="3" customFormat="1" x14ac:dyDescent="0.25">
      <c r="A519" s="2">
        <v>14</v>
      </c>
      <c r="B519" s="3" t="s">
        <v>23</v>
      </c>
      <c r="C519" s="3">
        <v>647</v>
      </c>
      <c r="D519" s="3">
        <v>1</v>
      </c>
      <c r="E519" s="3" t="s">
        <v>28</v>
      </c>
      <c r="F519" s="3" t="s">
        <v>29</v>
      </c>
      <c r="G519" s="3" t="str">
        <f>"2026-01-29 21:22:13.377"</f>
        <v>2026-01-29 21:22:13.377</v>
      </c>
      <c r="H519" s="3" t="s">
        <v>21</v>
      </c>
    </row>
    <row r="520" spans="1:10" s="3" customFormat="1" x14ac:dyDescent="0.25">
      <c r="A520" s="2">
        <v>15</v>
      </c>
      <c r="B520" s="3" t="s">
        <v>26</v>
      </c>
      <c r="C520" s="3">
        <v>647</v>
      </c>
      <c r="D520" s="3">
        <v>1</v>
      </c>
      <c r="E520" s="3" t="s">
        <v>28</v>
      </c>
      <c r="F520" s="3" t="s">
        <v>29</v>
      </c>
      <c r="G520" s="3" t="str">
        <f>"2026-01-29 21:22:12.277"</f>
        <v>2026-01-29 21:22:12.277</v>
      </c>
      <c r="H520" s="3" t="s">
        <v>21</v>
      </c>
      <c r="I520" s="3">
        <v>26.31</v>
      </c>
      <c r="J520" s="3" t="s">
        <v>33</v>
      </c>
    </row>
    <row r="521" spans="1:10" s="3" customFormat="1" x14ac:dyDescent="0.25">
      <c r="A521" s="2">
        <v>16</v>
      </c>
      <c r="B521" s="3" t="s">
        <v>23</v>
      </c>
      <c r="C521" s="3">
        <v>647</v>
      </c>
      <c r="D521" s="3">
        <v>1</v>
      </c>
      <c r="E521" s="3" t="s">
        <v>28</v>
      </c>
      <c r="F521" s="3" t="s">
        <v>29</v>
      </c>
      <c r="G521" s="3" t="str">
        <f>"2026-01-29 21:22:02.577"</f>
        <v>2026-01-29 21:22:02.577</v>
      </c>
      <c r="H521" s="3" t="s">
        <v>21</v>
      </c>
    </row>
    <row r="522" spans="1:10" s="3" customFormat="1" x14ac:dyDescent="0.25">
      <c r="A522" s="2">
        <v>17</v>
      </c>
      <c r="B522" s="3" t="s">
        <v>26</v>
      </c>
      <c r="C522" s="3">
        <v>647</v>
      </c>
      <c r="D522" s="3">
        <v>1</v>
      </c>
      <c r="E522" s="3" t="s">
        <v>28</v>
      </c>
      <c r="F522" s="3" t="s">
        <v>29</v>
      </c>
      <c r="G522" s="3" t="str">
        <f>"2026-01-29 21:22:00.877"</f>
        <v>2026-01-29 21:22:00.877</v>
      </c>
      <c r="H522" s="3" t="s">
        <v>21</v>
      </c>
      <c r="I522" s="3">
        <v>27.83</v>
      </c>
      <c r="J522" s="3" t="s">
        <v>33</v>
      </c>
    </row>
    <row r="523" spans="1:10" x14ac:dyDescent="0.25">
      <c r="A523" s="1">
        <v>18</v>
      </c>
      <c r="B523" t="s">
        <v>19</v>
      </c>
      <c r="C523">
        <v>700</v>
      </c>
      <c r="D523">
        <v>0</v>
      </c>
      <c r="E523" t="s">
        <v>20</v>
      </c>
      <c r="F523" t="s">
        <v>20</v>
      </c>
      <c r="G523" t="str">
        <f>"2026-01-29 11:45:10.016"</f>
        <v>2026-01-29 11:45:10.016</v>
      </c>
      <c r="H523" t="s">
        <v>21</v>
      </c>
    </row>
    <row r="524" spans="1:10" x14ac:dyDescent="0.25">
      <c r="A524" s="1">
        <v>19</v>
      </c>
      <c r="B524" t="s">
        <v>19</v>
      </c>
      <c r="C524">
        <v>700</v>
      </c>
      <c r="D524">
        <v>0</v>
      </c>
      <c r="E524" t="s">
        <v>20</v>
      </c>
      <c r="F524" t="s">
        <v>20</v>
      </c>
      <c r="G524" t="str">
        <f>"2026-01-28 08:18:01.843"</f>
        <v>2026-01-28 08:18:01.843</v>
      </c>
      <c r="H524" t="s">
        <v>21</v>
      </c>
      <c r="I524">
        <v>0</v>
      </c>
      <c r="J524" t="s">
        <v>22</v>
      </c>
    </row>
    <row r="525" spans="1:10" x14ac:dyDescent="0.25">
      <c r="A525" s="1">
        <v>20</v>
      </c>
      <c r="B525" t="s">
        <v>19</v>
      </c>
      <c r="C525">
        <v>700</v>
      </c>
      <c r="D525">
        <v>0</v>
      </c>
      <c r="E525" t="s">
        <v>20</v>
      </c>
      <c r="F525" t="s">
        <v>20</v>
      </c>
      <c r="G525" t="str">
        <f>"2026-01-27 18:36:59.836"</f>
        <v>2026-01-27 18:36:59.836</v>
      </c>
      <c r="H525" t="s">
        <v>21</v>
      </c>
      <c r="I525">
        <v>0</v>
      </c>
      <c r="J525" t="s">
        <v>22</v>
      </c>
    </row>
    <row r="526" spans="1:10" x14ac:dyDescent="0.25">
      <c r="A526" s="1">
        <v>21</v>
      </c>
      <c r="B526" t="s">
        <v>19</v>
      </c>
      <c r="C526">
        <v>700</v>
      </c>
      <c r="D526">
        <v>0</v>
      </c>
      <c r="E526" t="s">
        <v>20</v>
      </c>
      <c r="F526" t="s">
        <v>20</v>
      </c>
      <c r="G526" t="str">
        <f>"2026-01-27 17:30:34.838"</f>
        <v>2026-01-27 17:30:34.838</v>
      </c>
      <c r="H526" t="s">
        <v>21</v>
      </c>
      <c r="I526">
        <v>0</v>
      </c>
      <c r="J526" t="s">
        <v>22</v>
      </c>
    </row>
    <row r="527" spans="1:10" x14ac:dyDescent="0.25">
      <c r="A527" s="1">
        <v>22</v>
      </c>
      <c r="B527" t="s">
        <v>19</v>
      </c>
      <c r="C527">
        <v>700</v>
      </c>
      <c r="D527">
        <v>0</v>
      </c>
      <c r="E527" t="s">
        <v>20</v>
      </c>
      <c r="F527" t="s">
        <v>20</v>
      </c>
      <c r="G527" t="str">
        <f>"2026-01-27 16:45:04.987"</f>
        <v>2026-01-27 16:45:04.987</v>
      </c>
      <c r="H527" t="s">
        <v>21</v>
      </c>
      <c r="I527">
        <v>0</v>
      </c>
      <c r="J527" t="s">
        <v>22</v>
      </c>
    </row>
    <row r="528" spans="1:10" x14ac:dyDescent="0.25">
      <c r="A528" s="1">
        <v>23</v>
      </c>
      <c r="B528" t="s">
        <v>19</v>
      </c>
      <c r="C528">
        <v>700</v>
      </c>
      <c r="D528">
        <v>0</v>
      </c>
      <c r="E528" t="s">
        <v>20</v>
      </c>
      <c r="F528" t="s">
        <v>20</v>
      </c>
      <c r="G528" t="str">
        <f>"2026-01-27 16:39:20.023"</f>
        <v>2026-01-27 16:39:20.023</v>
      </c>
      <c r="H528" t="s">
        <v>21</v>
      </c>
    </row>
    <row r="529" spans="1:10" x14ac:dyDescent="0.25">
      <c r="A529" s="1">
        <v>24</v>
      </c>
      <c r="B529" t="s">
        <v>19</v>
      </c>
      <c r="C529">
        <v>706</v>
      </c>
      <c r="D529">
        <v>2</v>
      </c>
      <c r="E529" t="s">
        <v>31</v>
      </c>
      <c r="F529" t="s">
        <v>43</v>
      </c>
      <c r="G529" t="str">
        <f>"2026-01-27 15:43:17.763"</f>
        <v>2026-01-27 15:43:17.763</v>
      </c>
      <c r="H529" t="s">
        <v>21</v>
      </c>
      <c r="I529">
        <v>0</v>
      </c>
      <c r="J529" t="s">
        <v>27</v>
      </c>
    </row>
    <row r="530" spans="1:10" x14ac:dyDescent="0.25">
      <c r="A530" s="1">
        <v>25</v>
      </c>
      <c r="B530" t="s">
        <v>19</v>
      </c>
      <c r="C530">
        <v>700</v>
      </c>
      <c r="D530">
        <v>0</v>
      </c>
      <c r="E530" t="s">
        <v>20</v>
      </c>
      <c r="F530" t="s">
        <v>20</v>
      </c>
      <c r="G530" t="str">
        <f>"2026-01-27 15:42:57.843"</f>
        <v>2026-01-27 15:42:57.843</v>
      </c>
      <c r="H530" t="s">
        <v>21</v>
      </c>
      <c r="I530">
        <v>0</v>
      </c>
      <c r="J530" t="s">
        <v>22</v>
      </c>
    </row>
    <row r="531" spans="1:10" s="3" customFormat="1" x14ac:dyDescent="0.25">
      <c r="A531" s="2">
        <v>26</v>
      </c>
      <c r="B531" s="3" t="s">
        <v>23</v>
      </c>
      <c r="C531" s="3">
        <v>647</v>
      </c>
      <c r="D531" s="3">
        <v>1</v>
      </c>
      <c r="E531" s="3" t="s">
        <v>28</v>
      </c>
      <c r="F531" s="3" t="s">
        <v>29</v>
      </c>
      <c r="G531" s="3" t="str">
        <f>"2026-01-27 11:11:48.092"</f>
        <v>2026-01-27 11:11:48.092</v>
      </c>
      <c r="H531" s="3" t="s">
        <v>21</v>
      </c>
    </row>
    <row r="532" spans="1:10" s="3" customFormat="1" x14ac:dyDescent="0.25">
      <c r="A532" s="2">
        <v>27</v>
      </c>
      <c r="B532" s="3" t="s">
        <v>26</v>
      </c>
      <c r="C532" s="3">
        <v>647</v>
      </c>
      <c r="D532" s="3">
        <v>1</v>
      </c>
      <c r="E532" s="3" t="s">
        <v>28</v>
      </c>
      <c r="F532" s="3" t="s">
        <v>29</v>
      </c>
      <c r="G532" s="3" t="str">
        <f>"2026-01-27 11:11:44.392"</f>
        <v>2026-01-27 11:11:44.392</v>
      </c>
      <c r="H532" s="3" t="s">
        <v>21</v>
      </c>
      <c r="I532" s="3">
        <v>23.94</v>
      </c>
      <c r="J532" s="3" t="s">
        <v>33</v>
      </c>
    </row>
    <row r="533" spans="1:10" s="3" customFormat="1" x14ac:dyDescent="0.25">
      <c r="A533" s="2">
        <v>28</v>
      </c>
      <c r="B533" s="3" t="s">
        <v>23</v>
      </c>
      <c r="C533" s="3">
        <v>647</v>
      </c>
      <c r="D533" s="3">
        <v>1</v>
      </c>
      <c r="E533" s="3" t="s">
        <v>28</v>
      </c>
      <c r="F533" s="3" t="s">
        <v>29</v>
      </c>
      <c r="G533" s="3" t="str">
        <f>"2026-01-26 20:57:11.892"</f>
        <v>2026-01-26 20:57:11.892</v>
      </c>
      <c r="H533" s="3" t="s">
        <v>21</v>
      </c>
    </row>
    <row r="534" spans="1:10" s="3" customFormat="1" x14ac:dyDescent="0.25">
      <c r="A534" s="2">
        <v>29</v>
      </c>
      <c r="B534" s="3" t="s">
        <v>26</v>
      </c>
      <c r="C534" s="3">
        <v>647</v>
      </c>
      <c r="D534" s="3">
        <v>1</v>
      </c>
      <c r="E534" s="3" t="s">
        <v>28</v>
      </c>
      <c r="F534" s="3" t="s">
        <v>29</v>
      </c>
      <c r="G534" s="3" t="str">
        <f>"2026-01-26 20:57:07.792"</f>
        <v>2026-01-26 20:57:07.792</v>
      </c>
      <c r="H534" s="3" t="s">
        <v>21</v>
      </c>
      <c r="I534" s="3">
        <v>11.64</v>
      </c>
      <c r="J534" s="3" t="s">
        <v>33</v>
      </c>
    </row>
    <row r="535" spans="1:10" s="3" customFormat="1" x14ac:dyDescent="0.25">
      <c r="A535" s="2">
        <v>30</v>
      </c>
      <c r="B535" s="3" t="s">
        <v>23</v>
      </c>
      <c r="C535" s="3">
        <v>647</v>
      </c>
      <c r="D535" s="3">
        <v>1</v>
      </c>
      <c r="E535" s="3" t="s">
        <v>28</v>
      </c>
      <c r="F535" s="3" t="s">
        <v>29</v>
      </c>
      <c r="G535" s="3" t="str">
        <f>"2026-01-26 12:49:02.192"</f>
        <v>2026-01-26 12:49:02.192</v>
      </c>
      <c r="H535" s="3" t="s">
        <v>21</v>
      </c>
    </row>
    <row r="536" spans="1:10" s="3" customFormat="1" x14ac:dyDescent="0.25">
      <c r="A536" s="2">
        <v>31</v>
      </c>
      <c r="B536" s="3" t="s">
        <v>26</v>
      </c>
      <c r="C536" s="3">
        <v>647</v>
      </c>
      <c r="D536" s="3">
        <v>1</v>
      </c>
      <c r="E536" s="3" t="s">
        <v>28</v>
      </c>
      <c r="F536" s="3" t="s">
        <v>29</v>
      </c>
      <c r="G536" s="3" t="str">
        <f>"2026-01-26 12:48:55.693"</f>
        <v>2026-01-26 12:48:55.693</v>
      </c>
      <c r="H536" s="3" t="s">
        <v>21</v>
      </c>
      <c r="I536" s="3">
        <v>13.26</v>
      </c>
      <c r="J536" s="3" t="s">
        <v>33</v>
      </c>
    </row>
    <row r="537" spans="1:10" x14ac:dyDescent="0.25">
      <c r="A537" s="1">
        <v>32</v>
      </c>
      <c r="B537" t="s">
        <v>19</v>
      </c>
      <c r="C537">
        <v>700</v>
      </c>
      <c r="D537">
        <v>0</v>
      </c>
      <c r="E537" t="s">
        <v>20</v>
      </c>
      <c r="F537" t="s">
        <v>20</v>
      </c>
      <c r="G537" t="str">
        <f>"2026-01-26 10:13:23.834"</f>
        <v>2026-01-26 10:13:23.834</v>
      </c>
      <c r="H537" t="s">
        <v>21</v>
      </c>
      <c r="I537">
        <v>0</v>
      </c>
      <c r="J537" t="s">
        <v>22</v>
      </c>
    </row>
    <row r="538" spans="1:10" s="3" customFormat="1" x14ac:dyDescent="0.25">
      <c r="A538" s="2">
        <v>33</v>
      </c>
      <c r="B538" s="3" t="s">
        <v>23</v>
      </c>
      <c r="C538" s="3">
        <v>647</v>
      </c>
      <c r="D538" s="3">
        <v>1</v>
      </c>
      <c r="E538" s="3" t="s">
        <v>28</v>
      </c>
      <c r="F538" s="3" t="s">
        <v>29</v>
      </c>
      <c r="G538" s="3" t="str">
        <f>"2026-01-25 09:56:18.495"</f>
        <v>2026-01-25 09:56:18.495</v>
      </c>
      <c r="H538" s="3" t="s">
        <v>21</v>
      </c>
    </row>
    <row r="539" spans="1:10" s="3" customFormat="1" x14ac:dyDescent="0.25">
      <c r="A539" s="2">
        <v>34</v>
      </c>
      <c r="B539" s="3" t="s">
        <v>26</v>
      </c>
      <c r="C539" s="3">
        <v>647</v>
      </c>
      <c r="D539" s="3">
        <v>1</v>
      </c>
      <c r="E539" s="3" t="s">
        <v>28</v>
      </c>
      <c r="F539" s="3" t="s">
        <v>29</v>
      </c>
      <c r="G539" s="3" t="str">
        <f>"2026-01-25 09:56:14.995"</f>
        <v>2026-01-25 09:56:14.995</v>
      </c>
      <c r="H539" s="3" t="s">
        <v>21</v>
      </c>
      <c r="I539" s="3">
        <v>15.02</v>
      </c>
      <c r="J539" s="3" t="s">
        <v>33</v>
      </c>
    </row>
    <row r="540" spans="1:10" s="3" customFormat="1" x14ac:dyDescent="0.25">
      <c r="A540" s="2">
        <v>35</v>
      </c>
      <c r="B540" s="3" t="s">
        <v>23</v>
      </c>
      <c r="C540" s="3">
        <v>647</v>
      </c>
      <c r="D540" s="3">
        <v>1</v>
      </c>
      <c r="E540" s="3" t="s">
        <v>28</v>
      </c>
      <c r="F540" s="3" t="s">
        <v>29</v>
      </c>
      <c r="G540" s="3" t="str">
        <f>"2026-01-23 17:33:38.995"</f>
        <v>2026-01-23 17:33:38.995</v>
      </c>
      <c r="H540" s="3" t="s">
        <v>21</v>
      </c>
    </row>
    <row r="541" spans="1:10" s="3" customFormat="1" x14ac:dyDescent="0.25">
      <c r="A541" s="2">
        <v>36</v>
      </c>
      <c r="B541" s="3" t="s">
        <v>26</v>
      </c>
      <c r="C541" s="3">
        <v>647</v>
      </c>
      <c r="D541" s="3">
        <v>1</v>
      </c>
      <c r="E541" s="3" t="s">
        <v>28</v>
      </c>
      <c r="F541" s="3" t="s">
        <v>29</v>
      </c>
      <c r="G541" s="3" t="str">
        <f>"2026-01-23 17:33:37.396"</f>
        <v>2026-01-23 17:33:37.396</v>
      </c>
      <c r="H541" s="3" t="s">
        <v>21</v>
      </c>
      <c r="I541" s="3">
        <v>19.48</v>
      </c>
      <c r="J541" s="3" t="s">
        <v>33</v>
      </c>
    </row>
    <row r="542" spans="1:10" x14ac:dyDescent="0.25">
      <c r="A542" s="1">
        <v>37</v>
      </c>
      <c r="B542" t="s">
        <v>19</v>
      </c>
      <c r="C542">
        <v>706</v>
      </c>
      <c r="D542">
        <v>4</v>
      </c>
      <c r="E542" t="s">
        <v>31</v>
      </c>
      <c r="F542" t="s">
        <v>32</v>
      </c>
      <c r="G542" t="str">
        <f>"2026-01-23 01:54:19.398"</f>
        <v>2026-01-23 01:54:19.398</v>
      </c>
      <c r="H542" t="s">
        <v>21</v>
      </c>
      <c r="I542">
        <v>0</v>
      </c>
      <c r="J542" t="s">
        <v>27</v>
      </c>
    </row>
    <row r="543" spans="1:10" x14ac:dyDescent="0.25">
      <c r="A543" s="1">
        <v>38</v>
      </c>
      <c r="B543" t="s">
        <v>19</v>
      </c>
      <c r="C543">
        <v>700</v>
      </c>
      <c r="D543">
        <v>0</v>
      </c>
      <c r="E543" t="s">
        <v>20</v>
      </c>
      <c r="F543" t="s">
        <v>20</v>
      </c>
      <c r="G543" t="str">
        <f>"2026-01-23 01:46:02.828"</f>
        <v>2026-01-23 01:46:02.828</v>
      </c>
      <c r="H543" t="s">
        <v>21</v>
      </c>
      <c r="I543">
        <v>0</v>
      </c>
      <c r="J543" t="s">
        <v>22</v>
      </c>
    </row>
    <row r="544" spans="1:10" x14ac:dyDescent="0.25">
      <c r="A544" s="1">
        <v>39</v>
      </c>
      <c r="B544" t="s">
        <v>19</v>
      </c>
      <c r="C544">
        <v>706</v>
      </c>
      <c r="D544">
        <v>4</v>
      </c>
      <c r="E544" t="s">
        <v>31</v>
      </c>
      <c r="F544" t="s">
        <v>32</v>
      </c>
      <c r="G544" t="str">
        <f>"2026-01-23 01:20:15.126"</f>
        <v>2026-01-23 01:20:15.126</v>
      </c>
      <c r="H544" t="s">
        <v>21</v>
      </c>
      <c r="I544">
        <v>0</v>
      </c>
      <c r="J544" t="s">
        <v>27</v>
      </c>
    </row>
    <row r="545" spans="1:10" x14ac:dyDescent="0.25">
      <c r="A545" s="1">
        <v>40</v>
      </c>
      <c r="B545" t="s">
        <v>19</v>
      </c>
      <c r="C545">
        <v>700</v>
      </c>
      <c r="D545">
        <v>0</v>
      </c>
      <c r="E545" t="s">
        <v>20</v>
      </c>
      <c r="F545" t="s">
        <v>20</v>
      </c>
      <c r="G545" t="str">
        <f>"2026-01-23 00:09:13.826"</f>
        <v>2026-01-23 00:09:13.826</v>
      </c>
      <c r="H545" t="s">
        <v>21</v>
      </c>
      <c r="I545">
        <v>0</v>
      </c>
      <c r="J545" t="s">
        <v>22</v>
      </c>
    </row>
    <row r="546" spans="1:10" x14ac:dyDescent="0.25">
      <c r="A546" s="1">
        <v>41</v>
      </c>
      <c r="B546" t="s">
        <v>38</v>
      </c>
      <c r="C546">
        <v>630</v>
      </c>
      <c r="D546">
        <v>5</v>
      </c>
      <c r="E546" t="s">
        <v>40</v>
      </c>
      <c r="F546" t="s">
        <v>41</v>
      </c>
      <c r="G546" t="str">
        <f>"2026-01-22 23:19:13.799"</f>
        <v>2026-01-22 23:19:13.799</v>
      </c>
      <c r="H546" t="s">
        <v>42</v>
      </c>
      <c r="I546">
        <v>0</v>
      </c>
      <c r="J546" t="s">
        <v>27</v>
      </c>
    </row>
    <row r="547" spans="1:10" s="3" customFormat="1" x14ac:dyDescent="0.25">
      <c r="A547" s="2">
        <v>42</v>
      </c>
      <c r="B547" s="3" t="s">
        <v>23</v>
      </c>
      <c r="C547" s="3">
        <v>647</v>
      </c>
      <c r="D547" s="3">
        <v>1</v>
      </c>
      <c r="E547" s="3" t="s">
        <v>28</v>
      </c>
      <c r="F547" s="3" t="s">
        <v>29</v>
      </c>
      <c r="G547" s="3" t="str">
        <f>"2026-01-21 02:17:12.799"</f>
        <v>2026-01-21 02:17:12.799</v>
      </c>
      <c r="H547" s="3" t="s">
        <v>21</v>
      </c>
    </row>
    <row r="548" spans="1:10" s="3" customFormat="1" x14ac:dyDescent="0.25">
      <c r="A548" s="2">
        <v>43</v>
      </c>
      <c r="B548" s="3" t="s">
        <v>26</v>
      </c>
      <c r="C548" s="3">
        <v>647</v>
      </c>
      <c r="D548" s="3">
        <v>1</v>
      </c>
      <c r="E548" s="3" t="s">
        <v>28</v>
      </c>
      <c r="F548" s="3" t="s">
        <v>29</v>
      </c>
      <c r="G548" s="3" t="str">
        <f>"2026-01-21 02:17:07.299"</f>
        <v>2026-01-21 02:17:07.299</v>
      </c>
      <c r="H548" s="3" t="s">
        <v>21</v>
      </c>
      <c r="I548" s="3">
        <v>21.45</v>
      </c>
      <c r="J548" s="3" t="s">
        <v>33</v>
      </c>
    </row>
    <row r="549" spans="1:10" x14ac:dyDescent="0.25">
      <c r="A549" s="1">
        <v>44</v>
      </c>
      <c r="B549" t="s">
        <v>23</v>
      </c>
      <c r="C549">
        <v>635</v>
      </c>
      <c r="D549">
        <v>1</v>
      </c>
      <c r="E549" t="s">
        <v>44</v>
      </c>
      <c r="F549" t="s">
        <v>45</v>
      </c>
      <c r="G549" t="str">
        <f>"2026-01-20 17:03:51.498"</f>
        <v>2026-01-20 17:03:51.498</v>
      </c>
      <c r="H549" t="s">
        <v>21</v>
      </c>
    </row>
    <row r="550" spans="1:10" x14ac:dyDescent="0.25">
      <c r="A550" s="1">
        <v>45</v>
      </c>
      <c r="B550" t="s">
        <v>26</v>
      </c>
      <c r="C550">
        <v>635</v>
      </c>
      <c r="D550">
        <v>1</v>
      </c>
      <c r="E550" t="s">
        <v>44</v>
      </c>
      <c r="F550" t="s">
        <v>45</v>
      </c>
      <c r="G550" t="str">
        <f>"2026-01-20 17:00:38.998"</f>
        <v>2026-01-20 17:00:38.998</v>
      </c>
      <c r="H550" t="s">
        <v>21</v>
      </c>
      <c r="I550">
        <v>2.65</v>
      </c>
      <c r="J550" t="s">
        <v>39</v>
      </c>
    </row>
    <row r="551" spans="1:10" s="3" customFormat="1" x14ac:dyDescent="0.25">
      <c r="A551" s="2">
        <v>46</v>
      </c>
      <c r="B551" s="3" t="s">
        <v>23</v>
      </c>
      <c r="C551" s="3">
        <v>647</v>
      </c>
      <c r="D551" s="3">
        <v>1</v>
      </c>
      <c r="E551" s="3" t="s">
        <v>28</v>
      </c>
      <c r="F551" s="3" t="s">
        <v>29</v>
      </c>
      <c r="G551" s="3" t="str">
        <f>"2026-01-20 15:25:16.499"</f>
        <v>2026-01-20 15:25:16.499</v>
      </c>
      <c r="H551" s="3" t="s">
        <v>21</v>
      </c>
    </row>
    <row r="552" spans="1:10" s="3" customFormat="1" x14ac:dyDescent="0.25">
      <c r="A552" s="2">
        <v>47</v>
      </c>
      <c r="B552" s="3" t="s">
        <v>26</v>
      </c>
      <c r="C552" s="3">
        <v>647</v>
      </c>
      <c r="D552" s="3">
        <v>1</v>
      </c>
      <c r="E552" s="3" t="s">
        <v>28</v>
      </c>
      <c r="F552" s="3" t="s">
        <v>29</v>
      </c>
      <c r="G552" s="3" t="str">
        <f>"2026-01-20 15:25:14.599"</f>
        <v>2026-01-20 15:25:14.599</v>
      </c>
      <c r="H552" s="3" t="s">
        <v>21</v>
      </c>
      <c r="I552" s="3">
        <v>12.47</v>
      </c>
      <c r="J552" s="3" t="s">
        <v>33</v>
      </c>
    </row>
    <row r="553" spans="1:10" x14ac:dyDescent="0.25">
      <c r="A553" s="1">
        <v>48</v>
      </c>
      <c r="B553" t="s">
        <v>19</v>
      </c>
      <c r="C553">
        <v>706</v>
      </c>
      <c r="D553">
        <v>2</v>
      </c>
      <c r="E553" t="s">
        <v>31</v>
      </c>
      <c r="F553" t="s">
        <v>43</v>
      </c>
      <c r="G553" t="str">
        <f>"2026-01-19 15:28:33.596"</f>
        <v>2026-01-19 15:28:33.596</v>
      </c>
      <c r="H553" t="s">
        <v>21</v>
      </c>
      <c r="I553">
        <v>0</v>
      </c>
      <c r="J553" t="s">
        <v>27</v>
      </c>
    </row>
    <row r="554" spans="1:10" x14ac:dyDescent="0.25">
      <c r="A554" s="1">
        <v>49</v>
      </c>
      <c r="B554" t="s">
        <v>19</v>
      </c>
      <c r="C554">
        <v>700</v>
      </c>
      <c r="D554">
        <v>0</v>
      </c>
      <c r="E554" t="s">
        <v>20</v>
      </c>
      <c r="F554" t="s">
        <v>20</v>
      </c>
      <c r="G554" t="str">
        <f>"2026-01-19 15:28:06.826"</f>
        <v>2026-01-19 15:28:06.826</v>
      </c>
      <c r="H554" t="s">
        <v>21</v>
      </c>
      <c r="I554">
        <v>0</v>
      </c>
      <c r="J554" t="s">
        <v>22</v>
      </c>
    </row>
    <row r="555" spans="1:10" x14ac:dyDescent="0.25">
      <c r="A555" s="1">
        <v>50</v>
      </c>
      <c r="B555" t="s">
        <v>19</v>
      </c>
      <c r="C555">
        <v>700</v>
      </c>
      <c r="D555">
        <v>0</v>
      </c>
      <c r="E555" t="s">
        <v>20</v>
      </c>
      <c r="F555" t="s">
        <v>20</v>
      </c>
      <c r="G555" t="str">
        <f>"2026-01-19 15:19:37.822"</f>
        <v>2026-01-19 15:19:37.822</v>
      </c>
      <c r="H555" t="s">
        <v>21</v>
      </c>
      <c r="I555">
        <v>0</v>
      </c>
      <c r="J555" t="s">
        <v>22</v>
      </c>
    </row>
    <row r="556" spans="1:10" x14ac:dyDescent="0.25">
      <c r="A556" s="1">
        <v>51</v>
      </c>
      <c r="B556" t="s">
        <v>19</v>
      </c>
      <c r="C556">
        <v>700</v>
      </c>
      <c r="D556">
        <v>0</v>
      </c>
      <c r="E556" t="s">
        <v>20</v>
      </c>
      <c r="F556" t="s">
        <v>20</v>
      </c>
      <c r="G556" t="str">
        <f>"2026-01-19 08:36:38.817"</f>
        <v>2026-01-19 08:36:38.817</v>
      </c>
      <c r="H556" t="s">
        <v>21</v>
      </c>
    </row>
    <row r="557" spans="1:10" s="3" customFormat="1" x14ac:dyDescent="0.25">
      <c r="A557" s="2">
        <v>52</v>
      </c>
      <c r="B557" s="3" t="s">
        <v>23</v>
      </c>
      <c r="C557" s="3">
        <v>647</v>
      </c>
      <c r="D557" s="3">
        <v>1</v>
      </c>
      <c r="E557" s="3" t="s">
        <v>28</v>
      </c>
      <c r="F557" s="3" t="s">
        <v>29</v>
      </c>
      <c r="G557" s="3" t="str">
        <f>"2026-01-18 23:15:02.044"</f>
        <v>2026-01-18 23:15:02.044</v>
      </c>
      <c r="H557" s="3" t="s">
        <v>21</v>
      </c>
    </row>
    <row r="558" spans="1:10" s="3" customFormat="1" x14ac:dyDescent="0.25">
      <c r="A558" s="2">
        <v>53</v>
      </c>
      <c r="B558" s="3" t="s">
        <v>26</v>
      </c>
      <c r="C558" s="3">
        <v>647</v>
      </c>
      <c r="D558" s="3">
        <v>1</v>
      </c>
      <c r="E558" s="3" t="s">
        <v>28</v>
      </c>
      <c r="F558" s="3" t="s">
        <v>29</v>
      </c>
      <c r="G558" s="3" t="str">
        <f>"2026-01-18 23:14:53.545"</f>
        <v>2026-01-18 23:14:53.545</v>
      </c>
      <c r="H558" s="3" t="s">
        <v>21</v>
      </c>
      <c r="I558" s="3">
        <v>8.41</v>
      </c>
      <c r="J558" s="3" t="s">
        <v>33</v>
      </c>
    </row>
    <row r="559" spans="1:10" x14ac:dyDescent="0.25">
      <c r="A559" s="1">
        <v>54</v>
      </c>
      <c r="B559" t="s">
        <v>19</v>
      </c>
      <c r="C559">
        <v>700</v>
      </c>
      <c r="D559">
        <v>0</v>
      </c>
      <c r="E559" t="s">
        <v>20</v>
      </c>
      <c r="F559" t="s">
        <v>20</v>
      </c>
      <c r="G559" t="str">
        <f>"2026-01-18 14:34:49.837"</f>
        <v>2026-01-18 14:34:49.837</v>
      </c>
      <c r="H559" t="s">
        <v>21</v>
      </c>
      <c r="I559">
        <v>0</v>
      </c>
      <c r="J559" t="s">
        <v>22</v>
      </c>
    </row>
    <row r="560" spans="1:10" x14ac:dyDescent="0.25">
      <c r="A560" s="1">
        <v>55</v>
      </c>
      <c r="B560" t="s">
        <v>23</v>
      </c>
      <c r="C560">
        <v>630</v>
      </c>
      <c r="D560">
        <v>5</v>
      </c>
      <c r="E560" t="s">
        <v>40</v>
      </c>
      <c r="F560" t="s">
        <v>41</v>
      </c>
      <c r="G560" t="str">
        <f>"2026-01-18 13:28:53.303"</f>
        <v>2026-01-18 13:28:53.303</v>
      </c>
      <c r="H560" t="s">
        <v>42</v>
      </c>
    </row>
    <row r="561" spans="1:10" x14ac:dyDescent="0.25">
      <c r="A561" s="1">
        <v>56</v>
      </c>
      <c r="B561" t="s">
        <v>19</v>
      </c>
      <c r="C561">
        <v>706</v>
      </c>
      <c r="D561">
        <v>4</v>
      </c>
      <c r="E561" t="s">
        <v>31</v>
      </c>
      <c r="F561" t="s">
        <v>32</v>
      </c>
      <c r="G561" t="str">
        <f>"2026-01-18 13:28:23.198"</f>
        <v>2026-01-18 13:28:23.198</v>
      </c>
      <c r="H561" t="s">
        <v>21</v>
      </c>
      <c r="I561">
        <v>0</v>
      </c>
      <c r="J561" t="s">
        <v>27</v>
      </c>
    </row>
    <row r="562" spans="1:10" x14ac:dyDescent="0.25">
      <c r="A562" s="1">
        <v>57</v>
      </c>
      <c r="B562" t="s">
        <v>38</v>
      </c>
      <c r="C562">
        <v>630</v>
      </c>
      <c r="D562">
        <v>5</v>
      </c>
      <c r="E562" t="s">
        <v>40</v>
      </c>
      <c r="F562" t="s">
        <v>41</v>
      </c>
      <c r="G562" t="str">
        <f>"2026-01-18 13:25:10.203"</f>
        <v>2026-01-18 13:25:10.203</v>
      </c>
      <c r="H562" t="s">
        <v>42</v>
      </c>
      <c r="I562">
        <v>0</v>
      </c>
      <c r="J562" t="s">
        <v>27</v>
      </c>
    </row>
    <row r="563" spans="1:10" x14ac:dyDescent="0.25">
      <c r="A563" s="1">
        <v>58</v>
      </c>
      <c r="B563" t="s">
        <v>23</v>
      </c>
      <c r="C563">
        <v>630</v>
      </c>
      <c r="D563">
        <v>5</v>
      </c>
      <c r="E563" t="s">
        <v>40</v>
      </c>
      <c r="F563" t="s">
        <v>41</v>
      </c>
      <c r="G563" t="str">
        <f>"2026-01-18 13:08:23.003"</f>
        <v>2026-01-18 13:08:23.003</v>
      </c>
      <c r="H563" t="s">
        <v>42</v>
      </c>
    </row>
    <row r="564" spans="1:10" x14ac:dyDescent="0.25">
      <c r="A564" s="1">
        <v>59</v>
      </c>
      <c r="B564" t="s">
        <v>19</v>
      </c>
      <c r="C564">
        <v>706</v>
      </c>
      <c r="D564">
        <v>2</v>
      </c>
      <c r="E564" t="s">
        <v>31</v>
      </c>
      <c r="F564" t="s">
        <v>43</v>
      </c>
      <c r="G564" t="str">
        <f>"2026-01-18 13:07:52.898"</f>
        <v>2026-01-18 13:07:52.898</v>
      </c>
      <c r="H564" t="s">
        <v>21</v>
      </c>
      <c r="I564">
        <v>0</v>
      </c>
      <c r="J564" t="s">
        <v>27</v>
      </c>
    </row>
    <row r="565" spans="1:10" x14ac:dyDescent="0.25">
      <c r="A565" s="1">
        <v>60</v>
      </c>
      <c r="B565" t="s">
        <v>38</v>
      </c>
      <c r="C565">
        <v>630</v>
      </c>
      <c r="D565">
        <v>5</v>
      </c>
      <c r="E565" t="s">
        <v>40</v>
      </c>
      <c r="F565" t="s">
        <v>41</v>
      </c>
      <c r="G565" t="str">
        <f>"2026-01-18 13:01:57.303"</f>
        <v>2026-01-18 13:01:57.303</v>
      </c>
      <c r="H565" t="s">
        <v>42</v>
      </c>
      <c r="I565">
        <v>0</v>
      </c>
      <c r="J565" t="s">
        <v>27</v>
      </c>
    </row>
    <row r="566" spans="1:10" x14ac:dyDescent="0.25">
      <c r="A566" s="1">
        <v>61</v>
      </c>
      <c r="B566" t="s">
        <v>23</v>
      </c>
      <c r="C566">
        <v>630</v>
      </c>
      <c r="D566">
        <v>5</v>
      </c>
      <c r="E566" t="s">
        <v>40</v>
      </c>
      <c r="F566" t="s">
        <v>41</v>
      </c>
      <c r="G566" t="str">
        <f>"2026-01-17 12:36:36.603"</f>
        <v>2026-01-17 12:36:36.603</v>
      </c>
      <c r="H566" t="s">
        <v>42</v>
      </c>
    </row>
    <row r="567" spans="1:10" x14ac:dyDescent="0.25">
      <c r="A567" s="1">
        <v>62</v>
      </c>
      <c r="B567" t="s">
        <v>19</v>
      </c>
      <c r="C567">
        <v>706</v>
      </c>
      <c r="D567">
        <v>4</v>
      </c>
      <c r="E567" t="s">
        <v>31</v>
      </c>
      <c r="F567" t="s">
        <v>32</v>
      </c>
      <c r="G567" t="str">
        <f>"2026-01-17 12:36:06.478"</f>
        <v>2026-01-17 12:36:06.478</v>
      </c>
      <c r="H567" t="s">
        <v>21</v>
      </c>
      <c r="I567">
        <v>0</v>
      </c>
      <c r="J567" t="s">
        <v>27</v>
      </c>
    </row>
    <row r="568" spans="1:10" x14ac:dyDescent="0.25">
      <c r="A568" s="1">
        <v>63</v>
      </c>
      <c r="B568" t="s">
        <v>38</v>
      </c>
      <c r="C568">
        <v>630</v>
      </c>
      <c r="D568">
        <v>5</v>
      </c>
      <c r="E568" t="s">
        <v>40</v>
      </c>
      <c r="F568" t="s">
        <v>41</v>
      </c>
      <c r="G568" t="str">
        <f>"2026-01-17 12:30:12.903"</f>
        <v>2026-01-17 12:30:12.903</v>
      </c>
      <c r="H568" t="s">
        <v>42</v>
      </c>
      <c r="I568">
        <v>0</v>
      </c>
      <c r="J568" t="s">
        <v>27</v>
      </c>
    </row>
    <row r="569" spans="1:10" x14ac:dyDescent="0.25">
      <c r="A569" s="1">
        <v>64</v>
      </c>
      <c r="B569" t="s">
        <v>23</v>
      </c>
      <c r="C569">
        <v>635</v>
      </c>
      <c r="D569">
        <v>1</v>
      </c>
      <c r="E569" t="s">
        <v>44</v>
      </c>
      <c r="F569" t="s">
        <v>45</v>
      </c>
      <c r="G569" t="str">
        <f>"2026-01-16 23:40:21.102"</f>
        <v>2026-01-16 23:40:21.102</v>
      </c>
      <c r="H569" t="s">
        <v>21</v>
      </c>
    </row>
    <row r="570" spans="1:10" x14ac:dyDescent="0.25">
      <c r="A570" s="1">
        <v>65</v>
      </c>
      <c r="B570" t="s">
        <v>26</v>
      </c>
      <c r="C570">
        <v>635</v>
      </c>
      <c r="D570">
        <v>1</v>
      </c>
      <c r="E570" t="s">
        <v>44</v>
      </c>
      <c r="F570" t="s">
        <v>45</v>
      </c>
      <c r="G570" t="str">
        <f>"2026-01-16 23:36:39.102"</f>
        <v>2026-01-16 23:36:39.102</v>
      </c>
      <c r="H570" t="s">
        <v>21</v>
      </c>
      <c r="I570">
        <v>7.71</v>
      </c>
      <c r="J570" t="s">
        <v>39</v>
      </c>
    </row>
    <row r="571" spans="1:10" x14ac:dyDescent="0.25">
      <c r="A571" s="1">
        <v>66</v>
      </c>
      <c r="B571" t="s">
        <v>23</v>
      </c>
      <c r="C571">
        <v>61</v>
      </c>
      <c r="D571">
        <v>2</v>
      </c>
      <c r="E571" t="s">
        <v>51</v>
      </c>
      <c r="F571" t="s">
        <v>52</v>
      </c>
      <c r="G571" t="str">
        <f>"2026-01-16 05:43:03.202"</f>
        <v>2026-01-16 05:43:03.202</v>
      </c>
      <c r="H571" t="s">
        <v>21</v>
      </c>
    </row>
    <row r="572" spans="1:10" x14ac:dyDescent="0.25">
      <c r="A572" s="1">
        <v>67</v>
      </c>
      <c r="B572" t="s">
        <v>38</v>
      </c>
      <c r="C572">
        <v>61</v>
      </c>
      <c r="D572">
        <v>2</v>
      </c>
      <c r="E572" t="s">
        <v>51</v>
      </c>
      <c r="F572" t="s">
        <v>52</v>
      </c>
      <c r="G572" t="str">
        <f>"2026-01-16 05:42:53.503"</f>
        <v>2026-01-16 05:42:53.503</v>
      </c>
      <c r="H572" t="s">
        <v>21</v>
      </c>
      <c r="I572">
        <v>37.17</v>
      </c>
      <c r="J572" t="s">
        <v>33</v>
      </c>
    </row>
    <row r="573" spans="1:10" x14ac:dyDescent="0.25">
      <c r="A573" s="1">
        <v>69</v>
      </c>
      <c r="B573" t="s">
        <v>23</v>
      </c>
      <c r="C573">
        <v>630</v>
      </c>
      <c r="D573">
        <v>5</v>
      </c>
      <c r="E573" t="s">
        <v>40</v>
      </c>
      <c r="F573" t="s">
        <v>41</v>
      </c>
      <c r="G573" t="str">
        <f>"2026-01-15 11:47:16.903"</f>
        <v>2026-01-15 11:47:16.903</v>
      </c>
      <c r="H573" t="s">
        <v>42</v>
      </c>
    </row>
    <row r="574" spans="1:10" x14ac:dyDescent="0.25">
      <c r="A574" s="1">
        <v>70</v>
      </c>
      <c r="B574" t="s">
        <v>19</v>
      </c>
      <c r="C574">
        <v>706</v>
      </c>
      <c r="D574">
        <v>4</v>
      </c>
      <c r="E574" t="s">
        <v>31</v>
      </c>
      <c r="F574" t="s">
        <v>32</v>
      </c>
      <c r="G574" t="str">
        <f>"2026-01-15 11:46:46.827"</f>
        <v>2026-01-15 11:46:46.827</v>
      </c>
      <c r="H574" t="s">
        <v>21</v>
      </c>
      <c r="I574">
        <v>0</v>
      </c>
      <c r="J574" t="s">
        <v>27</v>
      </c>
    </row>
    <row r="575" spans="1:10" x14ac:dyDescent="0.25">
      <c r="A575" s="1">
        <v>71</v>
      </c>
      <c r="B575" t="s">
        <v>38</v>
      </c>
      <c r="C575">
        <v>630</v>
      </c>
      <c r="D575">
        <v>5</v>
      </c>
      <c r="E575" t="s">
        <v>40</v>
      </c>
      <c r="F575" t="s">
        <v>41</v>
      </c>
      <c r="G575" t="str">
        <f>"2026-01-15 11:43:30.303"</f>
        <v>2026-01-15 11:43:30.303</v>
      </c>
      <c r="H575" t="s">
        <v>42</v>
      </c>
      <c r="I575">
        <v>0</v>
      </c>
      <c r="J575" t="s">
        <v>27</v>
      </c>
    </row>
    <row r="576" spans="1:10" x14ac:dyDescent="0.25">
      <c r="A576" s="1">
        <v>72</v>
      </c>
      <c r="B576" t="s">
        <v>23</v>
      </c>
      <c r="C576">
        <v>635</v>
      </c>
      <c r="D576">
        <v>1</v>
      </c>
      <c r="E576" t="s">
        <v>44</v>
      </c>
      <c r="F576" t="s">
        <v>45</v>
      </c>
      <c r="G576" t="str">
        <f>"2026-01-13 02:42:05.102"</f>
        <v>2026-01-13 02:42:05.102</v>
      </c>
      <c r="H576" t="s">
        <v>21</v>
      </c>
    </row>
    <row r="577" spans="1:10" x14ac:dyDescent="0.25">
      <c r="A577" s="1">
        <v>73</v>
      </c>
      <c r="B577" t="s">
        <v>26</v>
      </c>
      <c r="C577">
        <v>635</v>
      </c>
      <c r="D577">
        <v>1</v>
      </c>
      <c r="E577" t="s">
        <v>44</v>
      </c>
      <c r="F577" t="s">
        <v>45</v>
      </c>
      <c r="G577" t="str">
        <f>"2026-01-13 02:37:52.602"</f>
        <v>2026-01-13 02:37:52.602</v>
      </c>
      <c r="H577" t="s">
        <v>21</v>
      </c>
      <c r="I577">
        <v>0.73</v>
      </c>
      <c r="J577" t="s">
        <v>39</v>
      </c>
    </row>
    <row r="578" spans="1:10" x14ac:dyDescent="0.25">
      <c r="A578" s="1">
        <v>74</v>
      </c>
      <c r="B578" t="s">
        <v>23</v>
      </c>
      <c r="C578">
        <v>635</v>
      </c>
      <c r="D578">
        <v>1</v>
      </c>
      <c r="E578" t="s">
        <v>44</v>
      </c>
      <c r="F578" t="s">
        <v>45</v>
      </c>
      <c r="G578" t="str">
        <f>"2026-01-12 18:57:02.102"</f>
        <v>2026-01-12 18:57:02.102</v>
      </c>
      <c r="H578" t="s">
        <v>21</v>
      </c>
    </row>
    <row r="579" spans="1:10" x14ac:dyDescent="0.25">
      <c r="A579" s="1">
        <v>75</v>
      </c>
      <c r="B579" t="s">
        <v>26</v>
      </c>
      <c r="C579">
        <v>635</v>
      </c>
      <c r="D579">
        <v>1</v>
      </c>
      <c r="E579" t="s">
        <v>44</v>
      </c>
      <c r="F579" t="s">
        <v>45</v>
      </c>
      <c r="G579" t="str">
        <f>"2026-01-12 18:48:54.602"</f>
        <v>2026-01-12 18:48:54.602</v>
      </c>
      <c r="H579" t="s">
        <v>21</v>
      </c>
      <c r="I579">
        <v>8.94</v>
      </c>
      <c r="J579" t="s">
        <v>33</v>
      </c>
    </row>
    <row r="580" spans="1:10" x14ac:dyDescent="0.25">
      <c r="A580" s="1">
        <v>76</v>
      </c>
      <c r="B580" t="s">
        <v>23</v>
      </c>
      <c r="C580">
        <v>630</v>
      </c>
      <c r="D580">
        <v>5</v>
      </c>
      <c r="E580" t="s">
        <v>40</v>
      </c>
      <c r="F580" t="s">
        <v>41</v>
      </c>
      <c r="G580" t="str">
        <f>"2026-01-12 11:48:49.003"</f>
        <v>2026-01-12 11:48:49.003</v>
      </c>
      <c r="H580" t="s">
        <v>42</v>
      </c>
    </row>
    <row r="581" spans="1:10" x14ac:dyDescent="0.25">
      <c r="A581" s="1">
        <v>77</v>
      </c>
      <c r="B581" t="s">
        <v>19</v>
      </c>
      <c r="C581">
        <v>706</v>
      </c>
      <c r="D581">
        <v>4</v>
      </c>
      <c r="E581" t="s">
        <v>31</v>
      </c>
      <c r="F581" t="s">
        <v>32</v>
      </c>
      <c r="G581" t="str">
        <f>"2026-01-12 11:48:18.898"</f>
        <v>2026-01-12 11:48:18.898</v>
      </c>
      <c r="H581" t="s">
        <v>21</v>
      </c>
      <c r="I581">
        <v>0</v>
      </c>
      <c r="J581" t="s">
        <v>27</v>
      </c>
    </row>
    <row r="582" spans="1:10" x14ac:dyDescent="0.25">
      <c r="A582" s="1">
        <v>78</v>
      </c>
      <c r="B582" t="s">
        <v>38</v>
      </c>
      <c r="C582">
        <v>630</v>
      </c>
      <c r="D582">
        <v>5</v>
      </c>
      <c r="E582" t="s">
        <v>40</v>
      </c>
      <c r="F582" t="s">
        <v>41</v>
      </c>
      <c r="G582" t="str">
        <f>"2026-01-12 11:35:51.003"</f>
        <v>2026-01-12 11:35:51.003</v>
      </c>
      <c r="H582" t="s">
        <v>42</v>
      </c>
      <c r="I582">
        <v>0</v>
      </c>
      <c r="J582" t="s">
        <v>27</v>
      </c>
    </row>
    <row r="583" spans="1:10" x14ac:dyDescent="0.25">
      <c r="A583" s="1">
        <v>79</v>
      </c>
      <c r="B583" t="s">
        <v>19</v>
      </c>
      <c r="C583">
        <v>706</v>
      </c>
      <c r="D583">
        <v>4</v>
      </c>
      <c r="E583" t="s">
        <v>31</v>
      </c>
      <c r="F583" t="s">
        <v>32</v>
      </c>
      <c r="G583" t="str">
        <f>"2026-01-12 11:28:40.728"</f>
        <v>2026-01-12 11:28:40.728</v>
      </c>
      <c r="H583" t="s">
        <v>21</v>
      </c>
      <c r="I583">
        <v>0</v>
      </c>
      <c r="J583" t="s">
        <v>27</v>
      </c>
    </row>
    <row r="584" spans="1:10" x14ac:dyDescent="0.25">
      <c r="A584" s="1">
        <v>80</v>
      </c>
      <c r="B584" t="s">
        <v>19</v>
      </c>
      <c r="C584">
        <v>706</v>
      </c>
      <c r="D584">
        <v>2</v>
      </c>
      <c r="E584" t="s">
        <v>31</v>
      </c>
      <c r="F584" t="s">
        <v>43</v>
      </c>
      <c r="G584" t="str">
        <f>"2026-01-12 11:28:23.798"</f>
        <v>2026-01-12 11:28:23.798</v>
      </c>
      <c r="H584" t="s">
        <v>21</v>
      </c>
      <c r="I584">
        <v>0</v>
      </c>
      <c r="J584" t="s">
        <v>27</v>
      </c>
    </row>
    <row r="585" spans="1:10" x14ac:dyDescent="0.25">
      <c r="A585" s="1">
        <v>81</v>
      </c>
      <c r="B585" t="s">
        <v>19</v>
      </c>
      <c r="C585">
        <v>700</v>
      </c>
      <c r="D585">
        <v>0</v>
      </c>
      <c r="E585" t="s">
        <v>20</v>
      </c>
      <c r="F585" t="s">
        <v>20</v>
      </c>
      <c r="G585" t="str">
        <f>"2026-01-12 11:00:15.048"</f>
        <v>2026-01-12 11:00:15.048</v>
      </c>
      <c r="H585" t="s">
        <v>21</v>
      </c>
    </row>
    <row r="586" spans="1:10" x14ac:dyDescent="0.25">
      <c r="A586" s="1">
        <v>82</v>
      </c>
      <c r="B586" t="s">
        <v>19</v>
      </c>
      <c r="C586">
        <v>700</v>
      </c>
      <c r="D586">
        <v>0</v>
      </c>
      <c r="E586" t="s">
        <v>20</v>
      </c>
      <c r="F586" t="s">
        <v>20</v>
      </c>
      <c r="G586" t="str">
        <f>"2026-01-12 09:55:15.817"</f>
        <v>2026-01-12 09:55:15.817</v>
      </c>
      <c r="H586" t="s">
        <v>21</v>
      </c>
      <c r="I586">
        <v>0</v>
      </c>
      <c r="J586" t="s">
        <v>22</v>
      </c>
    </row>
    <row r="587" spans="1:10" x14ac:dyDescent="0.25">
      <c r="A587" s="1">
        <v>83</v>
      </c>
      <c r="B587" t="s">
        <v>23</v>
      </c>
      <c r="C587">
        <v>61</v>
      </c>
      <c r="D587">
        <v>2</v>
      </c>
      <c r="E587" t="s">
        <v>51</v>
      </c>
      <c r="F587" t="s">
        <v>52</v>
      </c>
      <c r="G587" t="str">
        <f>"2026-01-12 07:34:34.193"</f>
        <v>2026-01-12 07:34:34.193</v>
      </c>
      <c r="H587" t="s">
        <v>21</v>
      </c>
    </row>
    <row r="588" spans="1:10" x14ac:dyDescent="0.25">
      <c r="A588" s="1">
        <v>84</v>
      </c>
      <c r="B588" t="s">
        <v>38</v>
      </c>
      <c r="C588">
        <v>61</v>
      </c>
      <c r="D588">
        <v>2</v>
      </c>
      <c r="E588" t="s">
        <v>51</v>
      </c>
      <c r="F588" t="s">
        <v>52</v>
      </c>
      <c r="G588" t="str">
        <f>"2026-01-12 07:34:23.693"</f>
        <v>2026-01-12 07:34:23.693</v>
      </c>
      <c r="H588" t="s">
        <v>21</v>
      </c>
      <c r="I588">
        <v>37.130000000000003</v>
      </c>
      <c r="J588" t="s">
        <v>33</v>
      </c>
    </row>
    <row r="589" spans="1:10" s="3" customFormat="1" x14ac:dyDescent="0.25">
      <c r="A589" s="2">
        <v>85</v>
      </c>
      <c r="B589" s="3" t="s">
        <v>23</v>
      </c>
      <c r="C589" s="3">
        <v>647</v>
      </c>
      <c r="D589" s="3">
        <v>1</v>
      </c>
      <c r="E589" s="3" t="s">
        <v>28</v>
      </c>
      <c r="F589" s="3" t="s">
        <v>29</v>
      </c>
      <c r="G589" s="3" t="str">
        <f>"2026-01-10 04:11:02.793"</f>
        <v>2026-01-10 04:11:02.793</v>
      </c>
      <c r="H589" s="3" t="s">
        <v>21</v>
      </c>
    </row>
    <row r="590" spans="1:10" s="3" customFormat="1" x14ac:dyDescent="0.25">
      <c r="A590" s="2">
        <v>86</v>
      </c>
      <c r="B590" s="3" t="s">
        <v>26</v>
      </c>
      <c r="C590" s="3">
        <v>647</v>
      </c>
      <c r="D590" s="3">
        <v>1</v>
      </c>
      <c r="E590" s="3" t="s">
        <v>28</v>
      </c>
      <c r="F590" s="3" t="s">
        <v>29</v>
      </c>
      <c r="G590" s="3" t="str">
        <f>"2026-01-10 04:11:00.493"</f>
        <v>2026-01-10 04:11:00.493</v>
      </c>
      <c r="H590" s="3" t="s">
        <v>21</v>
      </c>
      <c r="I590" s="3">
        <v>9.17</v>
      </c>
      <c r="J590" s="3" t="s">
        <v>33</v>
      </c>
    </row>
    <row r="591" spans="1:10" x14ac:dyDescent="0.25">
      <c r="A591" s="1">
        <v>87</v>
      </c>
      <c r="B591" t="s">
        <v>19</v>
      </c>
      <c r="C591">
        <v>700</v>
      </c>
      <c r="D591">
        <v>0</v>
      </c>
      <c r="E591" t="s">
        <v>20</v>
      </c>
      <c r="F591" t="s">
        <v>20</v>
      </c>
      <c r="G591" t="str">
        <f>"2026-01-09 22:56:12.812"</f>
        <v>2026-01-09 22:56:12.812</v>
      </c>
      <c r="H591" t="s">
        <v>21</v>
      </c>
      <c r="I591">
        <v>0</v>
      </c>
      <c r="J591" t="s">
        <v>22</v>
      </c>
    </row>
    <row r="592" spans="1:10" x14ac:dyDescent="0.25">
      <c r="A592" s="1">
        <v>88</v>
      </c>
      <c r="B592" t="s">
        <v>34</v>
      </c>
      <c r="C592">
        <v>2</v>
      </c>
      <c r="D592">
        <v>1</v>
      </c>
      <c r="E592" t="s">
        <v>53</v>
      </c>
      <c r="F592" t="s">
        <v>54</v>
      </c>
      <c r="G592" t="str">
        <f>"2026-01-09 22:19:28.183"</f>
        <v>2026-01-09 22:19:28.183</v>
      </c>
      <c r="H592" t="s">
        <v>55</v>
      </c>
    </row>
    <row r="593" spans="1:10" x14ac:dyDescent="0.25">
      <c r="A593" s="1">
        <v>89</v>
      </c>
      <c r="B593" t="s">
        <v>38</v>
      </c>
      <c r="C593">
        <v>2</v>
      </c>
      <c r="D593">
        <v>1</v>
      </c>
      <c r="E593" t="s">
        <v>53</v>
      </c>
      <c r="F593" t="s">
        <v>54</v>
      </c>
      <c r="G593" t="str">
        <f>"2026-01-09 22:19:18.682"</f>
        <v>2026-01-09 22:19:18.682</v>
      </c>
      <c r="H593" t="s">
        <v>55</v>
      </c>
      <c r="I593">
        <v>6.84</v>
      </c>
      <c r="J593" t="s">
        <v>39</v>
      </c>
    </row>
    <row r="594" spans="1:10" s="3" customFormat="1" x14ac:dyDescent="0.25">
      <c r="A594" s="2">
        <v>90</v>
      </c>
      <c r="B594" s="3" t="s">
        <v>23</v>
      </c>
      <c r="C594" s="3">
        <v>647</v>
      </c>
      <c r="D594" s="3">
        <v>1</v>
      </c>
      <c r="E594" s="3" t="s">
        <v>28</v>
      </c>
      <c r="F594" s="3" t="s">
        <v>29</v>
      </c>
      <c r="G594" s="3" t="str">
        <f>"2026-01-09 22:19:09.784"</f>
        <v>2026-01-09 22:19:09.784</v>
      </c>
      <c r="H594" s="3" t="s">
        <v>21</v>
      </c>
    </row>
    <row r="595" spans="1:10" s="3" customFormat="1" x14ac:dyDescent="0.25">
      <c r="A595" s="2">
        <v>91</v>
      </c>
      <c r="B595" s="3" t="s">
        <v>26</v>
      </c>
      <c r="C595" s="3">
        <v>647</v>
      </c>
      <c r="D595" s="3">
        <v>1</v>
      </c>
      <c r="E595" s="3" t="s">
        <v>28</v>
      </c>
      <c r="F595" s="3" t="s">
        <v>29</v>
      </c>
      <c r="G595" s="3" t="str">
        <f>"2026-01-09 22:19:04.484"</f>
        <v>2026-01-09 22:19:04.484</v>
      </c>
      <c r="H595" s="3" t="s">
        <v>21</v>
      </c>
      <c r="I595" s="3">
        <v>9.36</v>
      </c>
      <c r="J595" s="3" t="s">
        <v>33</v>
      </c>
    </row>
    <row r="596" spans="1:10" x14ac:dyDescent="0.25">
      <c r="A596" s="1">
        <v>94</v>
      </c>
      <c r="B596" t="s">
        <v>19</v>
      </c>
      <c r="C596">
        <v>782</v>
      </c>
      <c r="D596">
        <v>7</v>
      </c>
      <c r="E596" t="s">
        <v>56</v>
      </c>
      <c r="F596" t="s">
        <v>57</v>
      </c>
      <c r="G596" t="str">
        <f>"2026-01-09 22:18:34.792"</f>
        <v>2026-01-09 22:18:34.792</v>
      </c>
      <c r="H596" t="s">
        <v>21</v>
      </c>
      <c r="I596">
        <v>0</v>
      </c>
      <c r="J596" t="s">
        <v>27</v>
      </c>
    </row>
    <row r="597" spans="1:10" x14ac:dyDescent="0.25">
      <c r="A597" s="1">
        <v>97</v>
      </c>
      <c r="B597" t="s">
        <v>23</v>
      </c>
      <c r="C597">
        <v>2</v>
      </c>
      <c r="D597">
        <v>1</v>
      </c>
      <c r="E597" t="s">
        <v>53</v>
      </c>
      <c r="F597" t="s">
        <v>54</v>
      </c>
      <c r="G597" t="str">
        <f>"2026-01-09 22:18:34.784"</f>
        <v>2026-01-09 22:18:34.784</v>
      </c>
      <c r="H597" t="s">
        <v>55</v>
      </c>
    </row>
    <row r="598" spans="1:10" x14ac:dyDescent="0.25">
      <c r="A598" s="1">
        <v>98</v>
      </c>
      <c r="B598" t="s">
        <v>19</v>
      </c>
      <c r="C598">
        <v>782</v>
      </c>
      <c r="D598">
        <v>7</v>
      </c>
      <c r="E598" t="s">
        <v>56</v>
      </c>
      <c r="F598" t="s">
        <v>57</v>
      </c>
      <c r="G598" t="str">
        <f>"2026-01-09 22:18:34.783"</f>
        <v>2026-01-09 22:18:34.783</v>
      </c>
      <c r="H598" t="s">
        <v>21</v>
      </c>
      <c r="I598">
        <v>0</v>
      </c>
      <c r="J598" t="s">
        <v>27</v>
      </c>
    </row>
    <row r="599" spans="1:10" x14ac:dyDescent="0.25">
      <c r="A599" s="1">
        <v>99</v>
      </c>
      <c r="B599" t="s">
        <v>26</v>
      </c>
      <c r="C599">
        <v>2</v>
      </c>
      <c r="D599">
        <v>1</v>
      </c>
      <c r="E599" t="s">
        <v>53</v>
      </c>
      <c r="F599" t="s">
        <v>54</v>
      </c>
      <c r="G599" t="str">
        <f>"2026-01-09 22:18:08.482"</f>
        <v>2026-01-09 22:18:08.482</v>
      </c>
      <c r="H599" t="s">
        <v>55</v>
      </c>
      <c r="I599">
        <v>5.09</v>
      </c>
      <c r="J599" t="s">
        <v>39</v>
      </c>
    </row>
    <row r="600" spans="1:10" x14ac:dyDescent="0.25">
      <c r="A600" s="1">
        <v>0</v>
      </c>
      <c r="B600" t="s">
        <v>34</v>
      </c>
      <c r="C600">
        <v>2</v>
      </c>
      <c r="D600">
        <v>1</v>
      </c>
      <c r="E600" t="s">
        <v>53</v>
      </c>
      <c r="F600" t="s">
        <v>54</v>
      </c>
      <c r="G600" t="str">
        <f>"2026-01-09 22:17:34.530"</f>
        <v>2026-01-09 22:17:34.530</v>
      </c>
      <c r="H600" t="s">
        <v>55</v>
      </c>
    </row>
    <row r="601" spans="1:10" x14ac:dyDescent="0.25">
      <c r="A601" s="1">
        <v>1</v>
      </c>
      <c r="B601" t="s">
        <v>38</v>
      </c>
      <c r="C601">
        <v>2</v>
      </c>
      <c r="D601">
        <v>1</v>
      </c>
      <c r="E601" t="s">
        <v>53</v>
      </c>
      <c r="F601" t="s">
        <v>54</v>
      </c>
      <c r="G601" t="str">
        <f>"2026-01-09 22:17:28.583"</f>
        <v>2026-01-09 22:17:28.583</v>
      </c>
      <c r="H601" t="s">
        <v>55</v>
      </c>
      <c r="I601">
        <v>5.52</v>
      </c>
      <c r="J601" t="s">
        <v>39</v>
      </c>
    </row>
    <row r="602" spans="1:10" x14ac:dyDescent="0.25">
      <c r="A602" s="1">
        <v>4</v>
      </c>
      <c r="B602" t="s">
        <v>19</v>
      </c>
      <c r="C602">
        <v>782</v>
      </c>
      <c r="D602">
        <v>7</v>
      </c>
      <c r="E602" t="s">
        <v>56</v>
      </c>
      <c r="F602" t="s">
        <v>57</v>
      </c>
      <c r="G602" t="str">
        <f>"2026-01-09 22:17:10.592"</f>
        <v>2026-01-09 22:17:10.592</v>
      </c>
      <c r="H602" t="s">
        <v>21</v>
      </c>
      <c r="I602">
        <v>-0.06</v>
      </c>
      <c r="J602" t="s">
        <v>27</v>
      </c>
    </row>
    <row r="603" spans="1:10" x14ac:dyDescent="0.25">
      <c r="A603" s="1">
        <v>7</v>
      </c>
      <c r="B603" t="s">
        <v>23</v>
      </c>
      <c r="C603">
        <v>2</v>
      </c>
      <c r="D603">
        <v>1</v>
      </c>
      <c r="E603" t="s">
        <v>53</v>
      </c>
      <c r="F603" t="s">
        <v>54</v>
      </c>
      <c r="G603" t="str">
        <f>"2026-01-09 22:17:10.584"</f>
        <v>2026-01-09 22:17:10.584</v>
      </c>
      <c r="H603" t="s">
        <v>55</v>
      </c>
    </row>
    <row r="604" spans="1:10" x14ac:dyDescent="0.25">
      <c r="A604" s="1">
        <v>8</v>
      </c>
      <c r="B604" t="s">
        <v>19</v>
      </c>
      <c r="C604">
        <v>782</v>
      </c>
      <c r="D604">
        <v>7</v>
      </c>
      <c r="E604" t="s">
        <v>56</v>
      </c>
      <c r="F604" t="s">
        <v>57</v>
      </c>
      <c r="G604" t="str">
        <f>"2026-01-09 22:17:10.583"</f>
        <v>2026-01-09 22:17:10.583</v>
      </c>
      <c r="H604" t="s">
        <v>21</v>
      </c>
      <c r="I604">
        <v>-0.06</v>
      </c>
      <c r="J604" t="s">
        <v>27</v>
      </c>
    </row>
    <row r="605" spans="1:10" x14ac:dyDescent="0.25">
      <c r="A605" s="1">
        <v>9</v>
      </c>
      <c r="B605" t="s">
        <v>26</v>
      </c>
      <c r="C605">
        <v>2</v>
      </c>
      <c r="D605">
        <v>1</v>
      </c>
      <c r="E605" t="s">
        <v>53</v>
      </c>
      <c r="F605" t="s">
        <v>54</v>
      </c>
      <c r="G605" t="str">
        <f>"2026-01-09 22:16:52.983"</f>
        <v>2026-01-09 22:16:52.983</v>
      </c>
      <c r="H605" t="s">
        <v>55</v>
      </c>
      <c r="I605">
        <v>5.79</v>
      </c>
      <c r="J605" t="s">
        <v>39</v>
      </c>
    </row>
    <row r="606" spans="1:10" x14ac:dyDescent="0.25">
      <c r="A606" s="1">
        <v>10</v>
      </c>
      <c r="B606" t="s">
        <v>34</v>
      </c>
      <c r="C606">
        <v>2</v>
      </c>
      <c r="D606">
        <v>1</v>
      </c>
      <c r="E606" t="s">
        <v>53</v>
      </c>
      <c r="F606" t="s">
        <v>54</v>
      </c>
      <c r="G606" t="str">
        <f>"2026-01-09 22:16:34.830"</f>
        <v>2026-01-09 22:16:34.830</v>
      </c>
      <c r="H606" t="s">
        <v>55</v>
      </c>
    </row>
    <row r="607" spans="1:10" x14ac:dyDescent="0.25">
      <c r="A607" s="1">
        <v>11</v>
      </c>
      <c r="B607" t="s">
        <v>38</v>
      </c>
      <c r="C607">
        <v>2</v>
      </c>
      <c r="D607">
        <v>1</v>
      </c>
      <c r="E607" t="s">
        <v>53</v>
      </c>
      <c r="F607" t="s">
        <v>54</v>
      </c>
      <c r="G607" t="str">
        <f>"2026-01-09 22:16:27.630"</f>
        <v>2026-01-09 22:16:27.630</v>
      </c>
      <c r="H607" t="s">
        <v>55</v>
      </c>
      <c r="I607">
        <v>6.41</v>
      </c>
      <c r="J607" t="s">
        <v>39</v>
      </c>
    </row>
    <row r="608" spans="1:10" x14ac:dyDescent="0.25">
      <c r="A608" s="1">
        <v>14</v>
      </c>
      <c r="B608" t="s">
        <v>19</v>
      </c>
      <c r="C608">
        <v>782</v>
      </c>
      <c r="D608">
        <v>7</v>
      </c>
      <c r="E608" t="s">
        <v>56</v>
      </c>
      <c r="F608" t="s">
        <v>57</v>
      </c>
      <c r="G608" t="str">
        <f>"2026-01-09 22:16:11.592"</f>
        <v>2026-01-09 22:16:11.592</v>
      </c>
      <c r="H608" t="s">
        <v>21</v>
      </c>
      <c r="I608">
        <v>0.02</v>
      </c>
      <c r="J608" t="s">
        <v>27</v>
      </c>
    </row>
    <row r="609" spans="1:10" x14ac:dyDescent="0.25">
      <c r="A609" s="1">
        <v>17</v>
      </c>
      <c r="B609" t="s">
        <v>23</v>
      </c>
      <c r="C609">
        <v>2</v>
      </c>
      <c r="D609">
        <v>1</v>
      </c>
      <c r="E609" t="s">
        <v>53</v>
      </c>
      <c r="F609" t="s">
        <v>54</v>
      </c>
      <c r="G609" t="str">
        <f>"2026-01-09 22:16:11.584"</f>
        <v>2026-01-09 22:16:11.584</v>
      </c>
      <c r="H609" t="s">
        <v>55</v>
      </c>
    </row>
    <row r="610" spans="1:10" x14ac:dyDescent="0.25">
      <c r="A610" s="1">
        <v>18</v>
      </c>
      <c r="B610" t="s">
        <v>19</v>
      </c>
      <c r="C610">
        <v>782</v>
      </c>
      <c r="D610">
        <v>7</v>
      </c>
      <c r="E610" t="s">
        <v>56</v>
      </c>
      <c r="F610" t="s">
        <v>57</v>
      </c>
      <c r="G610" t="str">
        <f>"2026-01-09 22:16:11.583"</f>
        <v>2026-01-09 22:16:11.583</v>
      </c>
      <c r="H610" t="s">
        <v>21</v>
      </c>
      <c r="I610">
        <v>0.02</v>
      </c>
      <c r="J610" t="s">
        <v>27</v>
      </c>
    </row>
    <row r="611" spans="1:10" x14ac:dyDescent="0.25">
      <c r="A611" s="1">
        <v>19</v>
      </c>
      <c r="B611" t="s">
        <v>26</v>
      </c>
      <c r="C611">
        <v>2</v>
      </c>
      <c r="D611">
        <v>1</v>
      </c>
      <c r="E611" t="s">
        <v>53</v>
      </c>
      <c r="F611" t="s">
        <v>54</v>
      </c>
      <c r="G611" t="str">
        <f>"2026-01-09 22:16:05.930"</f>
        <v>2026-01-09 22:16:05.930</v>
      </c>
      <c r="H611" t="s">
        <v>55</v>
      </c>
      <c r="I611">
        <v>5.26</v>
      </c>
      <c r="J611" t="s">
        <v>39</v>
      </c>
    </row>
    <row r="612" spans="1:10" x14ac:dyDescent="0.25">
      <c r="A612" s="1">
        <v>20</v>
      </c>
      <c r="B612" t="s">
        <v>34</v>
      </c>
      <c r="C612">
        <v>2</v>
      </c>
      <c r="D612">
        <v>1</v>
      </c>
      <c r="E612" t="s">
        <v>53</v>
      </c>
      <c r="F612" t="s">
        <v>54</v>
      </c>
      <c r="G612" t="str">
        <f>"2026-01-09 22:15:30.430"</f>
        <v>2026-01-09 22:15:30.430</v>
      </c>
      <c r="H612" t="s">
        <v>55</v>
      </c>
    </row>
    <row r="613" spans="1:10" x14ac:dyDescent="0.25">
      <c r="A613" s="1">
        <v>21</v>
      </c>
      <c r="B613" t="s">
        <v>38</v>
      </c>
      <c r="C613">
        <v>2</v>
      </c>
      <c r="D613">
        <v>1</v>
      </c>
      <c r="E613" t="s">
        <v>53</v>
      </c>
      <c r="F613" t="s">
        <v>54</v>
      </c>
      <c r="G613" t="str">
        <f>"2026-01-09 22:15:27.583"</f>
        <v>2026-01-09 22:15:27.583</v>
      </c>
      <c r="H613" t="s">
        <v>55</v>
      </c>
      <c r="I613">
        <v>5.05</v>
      </c>
      <c r="J613" t="s">
        <v>39</v>
      </c>
    </row>
    <row r="614" spans="1:10" x14ac:dyDescent="0.25">
      <c r="A614" s="1">
        <v>24</v>
      </c>
      <c r="B614" t="s">
        <v>19</v>
      </c>
      <c r="C614">
        <v>782</v>
      </c>
      <c r="D614">
        <v>7</v>
      </c>
      <c r="E614" t="s">
        <v>56</v>
      </c>
      <c r="F614" t="s">
        <v>57</v>
      </c>
      <c r="G614" t="str">
        <f>"2026-01-09 22:15:11.192"</f>
        <v>2026-01-09 22:15:11.192</v>
      </c>
      <c r="H614" t="s">
        <v>21</v>
      </c>
      <c r="I614">
        <v>-0.01</v>
      </c>
      <c r="J614" t="s">
        <v>27</v>
      </c>
    </row>
    <row r="615" spans="1:10" x14ac:dyDescent="0.25">
      <c r="A615" s="1">
        <v>27</v>
      </c>
      <c r="B615" t="s">
        <v>23</v>
      </c>
      <c r="C615">
        <v>2</v>
      </c>
      <c r="D615">
        <v>1</v>
      </c>
      <c r="E615" t="s">
        <v>53</v>
      </c>
      <c r="F615" t="s">
        <v>54</v>
      </c>
      <c r="G615" t="str">
        <f>"2026-01-09 22:15:11.184"</f>
        <v>2026-01-09 22:15:11.184</v>
      </c>
      <c r="H615" t="s">
        <v>55</v>
      </c>
    </row>
    <row r="616" spans="1:10" x14ac:dyDescent="0.25">
      <c r="A616" s="1">
        <v>28</v>
      </c>
      <c r="B616" t="s">
        <v>19</v>
      </c>
      <c r="C616">
        <v>782</v>
      </c>
      <c r="D616">
        <v>7</v>
      </c>
      <c r="E616" t="s">
        <v>56</v>
      </c>
      <c r="F616" t="s">
        <v>57</v>
      </c>
      <c r="G616" t="str">
        <f>"2026-01-09 22:15:11.183"</f>
        <v>2026-01-09 22:15:11.183</v>
      </c>
      <c r="H616" t="s">
        <v>21</v>
      </c>
      <c r="I616">
        <v>-0.01</v>
      </c>
      <c r="J616" t="s">
        <v>27</v>
      </c>
    </row>
    <row r="617" spans="1:10" x14ac:dyDescent="0.25">
      <c r="A617" s="1">
        <v>29</v>
      </c>
      <c r="B617" t="s">
        <v>26</v>
      </c>
      <c r="C617">
        <v>2</v>
      </c>
      <c r="D617">
        <v>1</v>
      </c>
      <c r="E617" t="s">
        <v>53</v>
      </c>
      <c r="F617" t="s">
        <v>54</v>
      </c>
      <c r="G617" t="str">
        <f>"2026-01-09 22:15:05.330"</f>
        <v>2026-01-09 22:15:05.330</v>
      </c>
      <c r="H617" t="s">
        <v>55</v>
      </c>
      <c r="I617">
        <v>6.56</v>
      </c>
      <c r="J617" t="s">
        <v>39</v>
      </c>
    </row>
    <row r="618" spans="1:10" x14ac:dyDescent="0.25">
      <c r="A618" s="1">
        <v>30</v>
      </c>
      <c r="B618" t="s">
        <v>34</v>
      </c>
      <c r="C618">
        <v>2</v>
      </c>
      <c r="D618">
        <v>1</v>
      </c>
      <c r="E618" t="s">
        <v>53</v>
      </c>
      <c r="F618" t="s">
        <v>54</v>
      </c>
      <c r="G618" t="str">
        <f>"2026-01-09 22:14:51.583"</f>
        <v>2026-01-09 22:14:51.583</v>
      </c>
      <c r="H618" t="s">
        <v>55</v>
      </c>
    </row>
    <row r="619" spans="1:10" x14ac:dyDescent="0.25">
      <c r="A619" s="1">
        <v>31</v>
      </c>
      <c r="B619" t="s">
        <v>38</v>
      </c>
      <c r="C619">
        <v>2</v>
      </c>
      <c r="D619">
        <v>1</v>
      </c>
      <c r="E619" t="s">
        <v>53</v>
      </c>
      <c r="F619" t="s">
        <v>54</v>
      </c>
      <c r="G619" t="str">
        <f>"2026-01-09 22:14:48.683"</f>
        <v>2026-01-09 22:14:48.683</v>
      </c>
      <c r="H619" t="s">
        <v>55</v>
      </c>
      <c r="I619">
        <v>5.49</v>
      </c>
      <c r="J619" t="s">
        <v>39</v>
      </c>
    </row>
    <row r="620" spans="1:10" x14ac:dyDescent="0.25">
      <c r="A620" s="1">
        <v>34</v>
      </c>
      <c r="B620" t="s">
        <v>19</v>
      </c>
      <c r="C620">
        <v>782</v>
      </c>
      <c r="D620">
        <v>7</v>
      </c>
      <c r="E620" t="s">
        <v>56</v>
      </c>
      <c r="F620" t="s">
        <v>57</v>
      </c>
      <c r="G620" t="str">
        <f>"2026-01-09 22:13:19.792"</f>
        <v>2026-01-09 22:13:19.792</v>
      </c>
      <c r="H620" t="s">
        <v>21</v>
      </c>
      <c r="I620">
        <v>0</v>
      </c>
      <c r="J620" t="s">
        <v>27</v>
      </c>
    </row>
    <row r="621" spans="1:10" x14ac:dyDescent="0.25">
      <c r="A621" s="1">
        <v>37</v>
      </c>
      <c r="B621" t="s">
        <v>23</v>
      </c>
      <c r="C621">
        <v>2</v>
      </c>
      <c r="D621">
        <v>1</v>
      </c>
      <c r="E621" t="s">
        <v>53</v>
      </c>
      <c r="F621" t="s">
        <v>54</v>
      </c>
      <c r="G621" t="str">
        <f>"2026-01-09 22:13:19.784"</f>
        <v>2026-01-09 22:13:19.784</v>
      </c>
      <c r="H621" t="s">
        <v>55</v>
      </c>
    </row>
    <row r="622" spans="1:10" x14ac:dyDescent="0.25">
      <c r="A622" s="1">
        <v>38</v>
      </c>
      <c r="B622" t="s">
        <v>19</v>
      </c>
      <c r="C622">
        <v>782</v>
      </c>
      <c r="D622">
        <v>7</v>
      </c>
      <c r="E622" t="s">
        <v>56</v>
      </c>
      <c r="F622" t="s">
        <v>57</v>
      </c>
      <c r="G622" t="str">
        <f>"2026-01-09 22:13:19.783"</f>
        <v>2026-01-09 22:13:19.783</v>
      </c>
      <c r="H622" t="s">
        <v>21</v>
      </c>
      <c r="I622">
        <v>0</v>
      </c>
      <c r="J622" t="s">
        <v>27</v>
      </c>
    </row>
    <row r="623" spans="1:10" x14ac:dyDescent="0.25">
      <c r="A623" s="1">
        <v>39</v>
      </c>
      <c r="B623" t="s">
        <v>19</v>
      </c>
      <c r="C623">
        <v>700</v>
      </c>
      <c r="D623">
        <v>0</v>
      </c>
      <c r="E623" t="s">
        <v>20</v>
      </c>
      <c r="F623" t="s">
        <v>20</v>
      </c>
      <c r="G623" t="str">
        <f>"2026-01-09 21:50:20.830"</f>
        <v>2026-01-09 21:50:20.830</v>
      </c>
      <c r="H623" t="s">
        <v>21</v>
      </c>
      <c r="I623">
        <v>0</v>
      </c>
      <c r="J623" t="s">
        <v>22</v>
      </c>
    </row>
    <row r="624" spans="1:10" x14ac:dyDescent="0.25">
      <c r="A624" s="1">
        <v>40</v>
      </c>
      <c r="B624" t="s">
        <v>19</v>
      </c>
      <c r="C624">
        <v>706</v>
      </c>
      <c r="D624">
        <v>4</v>
      </c>
      <c r="E624" t="s">
        <v>31</v>
      </c>
      <c r="F624" t="s">
        <v>32</v>
      </c>
      <c r="G624" t="str">
        <f>"2026-01-09 21:36:42.721"</f>
        <v>2026-01-09 21:36:42.721</v>
      </c>
      <c r="H624" t="s">
        <v>21</v>
      </c>
      <c r="I624">
        <v>0</v>
      </c>
      <c r="J624" t="s">
        <v>27</v>
      </c>
    </row>
    <row r="625" spans="1:10" x14ac:dyDescent="0.25">
      <c r="A625" s="1">
        <v>41</v>
      </c>
      <c r="B625" t="s">
        <v>26</v>
      </c>
      <c r="C625">
        <v>2</v>
      </c>
      <c r="D625">
        <v>1</v>
      </c>
      <c r="E625" t="s">
        <v>53</v>
      </c>
      <c r="F625" t="s">
        <v>54</v>
      </c>
      <c r="G625" t="str">
        <f>"2026-01-09 21:33:20.545"</f>
        <v>2026-01-09 21:33:20.545</v>
      </c>
      <c r="H625" t="s">
        <v>55</v>
      </c>
      <c r="I625">
        <v>4.76</v>
      </c>
      <c r="J625" t="s">
        <v>39</v>
      </c>
    </row>
    <row r="626" spans="1:10" x14ac:dyDescent="0.25">
      <c r="A626" s="1">
        <v>42</v>
      </c>
      <c r="B626" t="s">
        <v>34</v>
      </c>
      <c r="C626">
        <v>2</v>
      </c>
      <c r="D626">
        <v>1</v>
      </c>
      <c r="E626" t="s">
        <v>53</v>
      </c>
      <c r="F626" t="s">
        <v>54</v>
      </c>
      <c r="G626" t="str">
        <f>"2026-01-09 21:33:02.193"</f>
        <v>2026-01-09 21:33:02.193</v>
      </c>
      <c r="H626" t="s">
        <v>55</v>
      </c>
    </row>
    <row r="627" spans="1:10" x14ac:dyDescent="0.25">
      <c r="A627" s="1">
        <v>43</v>
      </c>
      <c r="B627" t="s">
        <v>38</v>
      </c>
      <c r="C627">
        <v>2</v>
      </c>
      <c r="D627">
        <v>1</v>
      </c>
      <c r="E627" t="s">
        <v>53</v>
      </c>
      <c r="F627" t="s">
        <v>54</v>
      </c>
      <c r="G627" t="str">
        <f>"2026-01-09 21:32:58.893"</f>
        <v>2026-01-09 21:32:58.893</v>
      </c>
      <c r="H627" t="s">
        <v>55</v>
      </c>
      <c r="I627">
        <v>5.58</v>
      </c>
      <c r="J627" t="s">
        <v>39</v>
      </c>
    </row>
    <row r="628" spans="1:10" x14ac:dyDescent="0.25">
      <c r="A628" s="1">
        <v>44</v>
      </c>
      <c r="B628" t="s">
        <v>34</v>
      </c>
      <c r="C628">
        <v>2</v>
      </c>
      <c r="D628">
        <v>1</v>
      </c>
      <c r="E628" t="s">
        <v>53</v>
      </c>
      <c r="F628" t="s">
        <v>54</v>
      </c>
      <c r="G628" t="str">
        <f>"2026-01-09 18:31:08.193"</f>
        <v>2026-01-09 18:31:08.193</v>
      </c>
      <c r="H628" t="s">
        <v>55</v>
      </c>
    </row>
    <row r="629" spans="1:10" x14ac:dyDescent="0.25">
      <c r="A629" s="1">
        <v>45</v>
      </c>
      <c r="B629" t="s">
        <v>38</v>
      </c>
      <c r="C629">
        <v>2</v>
      </c>
      <c r="D629">
        <v>1</v>
      </c>
      <c r="E629" t="s">
        <v>53</v>
      </c>
      <c r="F629" t="s">
        <v>54</v>
      </c>
      <c r="G629" t="str">
        <f>"2026-01-09 18:30:41.993"</f>
        <v>2026-01-09 18:30:41.993</v>
      </c>
      <c r="H629" t="s">
        <v>55</v>
      </c>
      <c r="I629">
        <v>6.62</v>
      </c>
      <c r="J629" t="s">
        <v>39</v>
      </c>
    </row>
    <row r="630" spans="1:10" x14ac:dyDescent="0.25">
      <c r="A630" s="1">
        <v>46</v>
      </c>
      <c r="B630" t="s">
        <v>19</v>
      </c>
      <c r="C630">
        <v>700</v>
      </c>
      <c r="D630">
        <v>0</v>
      </c>
      <c r="E630" t="s">
        <v>20</v>
      </c>
      <c r="F630" t="s">
        <v>20</v>
      </c>
      <c r="G630" t="str">
        <f>"2026-01-09 18:28:36.821"</f>
        <v>2026-01-09 18:28:36.821</v>
      </c>
      <c r="H630" t="s">
        <v>21</v>
      </c>
    </row>
    <row r="631" spans="1:10" x14ac:dyDescent="0.25">
      <c r="A631" s="1">
        <v>47</v>
      </c>
      <c r="B631" t="s">
        <v>34</v>
      </c>
      <c r="C631">
        <v>2</v>
      </c>
      <c r="D631">
        <v>1</v>
      </c>
      <c r="E631" t="s">
        <v>53</v>
      </c>
      <c r="F631" t="s">
        <v>54</v>
      </c>
      <c r="G631" t="str">
        <f>"2026-01-09 18:17:29.316"</f>
        <v>2026-01-09 18:17:29.316</v>
      </c>
      <c r="H631" t="s">
        <v>55</v>
      </c>
    </row>
    <row r="632" spans="1:10" x14ac:dyDescent="0.25">
      <c r="A632" s="1">
        <v>48</v>
      </c>
      <c r="B632" t="s">
        <v>38</v>
      </c>
      <c r="C632">
        <v>2</v>
      </c>
      <c r="D632">
        <v>1</v>
      </c>
      <c r="E632" t="s">
        <v>53</v>
      </c>
      <c r="F632" t="s">
        <v>54</v>
      </c>
      <c r="G632" t="str">
        <f>"2026-01-09 18:15:26.015"</f>
        <v>2026-01-09 18:15:26.015</v>
      </c>
      <c r="H632" t="s">
        <v>55</v>
      </c>
      <c r="I632">
        <v>11.86</v>
      </c>
      <c r="J632" t="s">
        <v>33</v>
      </c>
    </row>
    <row r="633" spans="1:10" x14ac:dyDescent="0.25">
      <c r="A633" s="1">
        <v>49</v>
      </c>
      <c r="B633" t="s">
        <v>23</v>
      </c>
      <c r="C633">
        <v>630</v>
      </c>
      <c r="D633">
        <v>5</v>
      </c>
      <c r="E633" t="s">
        <v>40</v>
      </c>
      <c r="F633" t="s">
        <v>41</v>
      </c>
      <c r="G633" t="str">
        <f>"2026-01-09 10:04:31.317"</f>
        <v>2026-01-09 10:04:31.317</v>
      </c>
      <c r="H633" t="s">
        <v>42</v>
      </c>
    </row>
    <row r="634" spans="1:10" x14ac:dyDescent="0.25">
      <c r="A634" s="1">
        <v>50</v>
      </c>
      <c r="B634" t="s">
        <v>19</v>
      </c>
      <c r="C634">
        <v>706</v>
      </c>
      <c r="D634">
        <v>2</v>
      </c>
      <c r="E634" t="s">
        <v>31</v>
      </c>
      <c r="F634" t="s">
        <v>43</v>
      </c>
      <c r="G634" t="str">
        <f>"2026-01-09 10:04:01.232"</f>
        <v>2026-01-09 10:04:01.232</v>
      </c>
      <c r="H634" t="s">
        <v>21</v>
      </c>
      <c r="I634">
        <v>0</v>
      </c>
      <c r="J634" t="s">
        <v>27</v>
      </c>
    </row>
    <row r="635" spans="1:10" x14ac:dyDescent="0.25">
      <c r="A635" s="1">
        <v>51</v>
      </c>
      <c r="B635" t="s">
        <v>38</v>
      </c>
      <c r="C635">
        <v>630</v>
      </c>
      <c r="D635">
        <v>5</v>
      </c>
      <c r="E635" t="s">
        <v>40</v>
      </c>
      <c r="F635" t="s">
        <v>41</v>
      </c>
      <c r="G635" t="str">
        <f>"2026-01-09 10:01:29.217"</f>
        <v>2026-01-09 10:01:29.217</v>
      </c>
      <c r="H635" t="s">
        <v>42</v>
      </c>
      <c r="I635">
        <v>0</v>
      </c>
      <c r="J635" t="s">
        <v>27</v>
      </c>
    </row>
    <row r="636" spans="1:10" x14ac:dyDescent="0.25">
      <c r="A636" s="1">
        <v>52</v>
      </c>
      <c r="B636" t="s">
        <v>19</v>
      </c>
      <c r="C636">
        <v>706</v>
      </c>
      <c r="D636">
        <v>4</v>
      </c>
      <c r="E636" t="s">
        <v>31</v>
      </c>
      <c r="F636" t="s">
        <v>32</v>
      </c>
      <c r="G636" t="str">
        <f>"2026-01-08 13:08:53.812"</f>
        <v>2026-01-08 13:08:53.812</v>
      </c>
      <c r="H636" t="s">
        <v>21</v>
      </c>
      <c r="I636">
        <v>0</v>
      </c>
      <c r="J636" t="s">
        <v>27</v>
      </c>
    </row>
    <row r="637" spans="1:10" x14ac:dyDescent="0.25">
      <c r="A637" s="1">
        <v>53</v>
      </c>
      <c r="B637" t="s">
        <v>19</v>
      </c>
      <c r="C637">
        <v>700</v>
      </c>
      <c r="D637">
        <v>0</v>
      </c>
      <c r="E637" t="s">
        <v>20</v>
      </c>
      <c r="F637" t="s">
        <v>20</v>
      </c>
      <c r="G637" t="str">
        <f>"2026-01-08 13:05:37.812"</f>
        <v>2026-01-08 13:05:37.812</v>
      </c>
      <c r="H637" t="s">
        <v>21</v>
      </c>
      <c r="I637">
        <v>0</v>
      </c>
      <c r="J637" t="s">
        <v>22</v>
      </c>
    </row>
    <row r="638" spans="1:10" x14ac:dyDescent="0.25">
      <c r="A638" s="1">
        <v>54</v>
      </c>
      <c r="B638" t="s">
        <v>23</v>
      </c>
      <c r="C638">
        <v>619</v>
      </c>
      <c r="D638">
        <v>1</v>
      </c>
      <c r="E638" t="s">
        <v>46</v>
      </c>
      <c r="F638" t="s">
        <v>45</v>
      </c>
      <c r="G638" t="str">
        <f>"2026-01-07 21:55:13.037"</f>
        <v>2026-01-07 21:55:13.037</v>
      </c>
      <c r="H638" t="s">
        <v>47</v>
      </c>
    </row>
    <row r="639" spans="1:10" x14ac:dyDescent="0.25">
      <c r="A639" s="1">
        <v>55</v>
      </c>
      <c r="B639" t="s">
        <v>23</v>
      </c>
      <c r="C639">
        <v>630</v>
      </c>
      <c r="D639">
        <v>5</v>
      </c>
      <c r="E639" t="s">
        <v>40</v>
      </c>
      <c r="F639" t="s">
        <v>41</v>
      </c>
      <c r="G639" t="str">
        <f>"2026-01-07 21:54:21.491"</f>
        <v>2026-01-07 21:54:21.491</v>
      </c>
      <c r="H639" t="s">
        <v>42</v>
      </c>
    </row>
    <row r="640" spans="1:10" x14ac:dyDescent="0.25">
      <c r="A640" s="1">
        <v>56</v>
      </c>
      <c r="B640" t="s">
        <v>26</v>
      </c>
      <c r="C640">
        <v>619</v>
      </c>
      <c r="D640">
        <v>1</v>
      </c>
      <c r="E640" t="s">
        <v>46</v>
      </c>
      <c r="F640" t="s">
        <v>45</v>
      </c>
      <c r="G640" t="str">
        <f>"2026-01-07 21:53:56.037"</f>
        <v>2026-01-07 21:53:56.037</v>
      </c>
      <c r="H640" t="s">
        <v>47</v>
      </c>
      <c r="I640">
        <v>0</v>
      </c>
      <c r="J640" t="s">
        <v>27</v>
      </c>
    </row>
    <row r="641" spans="1:10" x14ac:dyDescent="0.25">
      <c r="A641" s="1">
        <v>57</v>
      </c>
      <c r="B641" t="s">
        <v>19</v>
      </c>
      <c r="C641">
        <v>706</v>
      </c>
      <c r="D641">
        <v>2</v>
      </c>
      <c r="E641" t="s">
        <v>31</v>
      </c>
      <c r="F641" t="s">
        <v>43</v>
      </c>
      <c r="G641" t="str">
        <f>"2026-01-07 21:53:51.276"</f>
        <v>2026-01-07 21:53:51.276</v>
      </c>
      <c r="H641" t="s">
        <v>21</v>
      </c>
      <c r="I641">
        <v>0</v>
      </c>
      <c r="J641" t="s">
        <v>27</v>
      </c>
    </row>
    <row r="642" spans="1:10" x14ac:dyDescent="0.25">
      <c r="A642" s="1">
        <v>58</v>
      </c>
      <c r="B642" t="s">
        <v>38</v>
      </c>
      <c r="C642">
        <v>630</v>
      </c>
      <c r="D642">
        <v>5</v>
      </c>
      <c r="E642" t="s">
        <v>40</v>
      </c>
      <c r="F642" t="s">
        <v>41</v>
      </c>
      <c r="G642" t="str">
        <f>"2026-01-07 20:54:09.591"</f>
        <v>2026-01-07 20:54:09.591</v>
      </c>
      <c r="H642" t="s">
        <v>42</v>
      </c>
      <c r="I642">
        <v>0</v>
      </c>
      <c r="J642" t="s">
        <v>27</v>
      </c>
    </row>
    <row r="643" spans="1:10" x14ac:dyDescent="0.25">
      <c r="A643" s="1">
        <v>59</v>
      </c>
      <c r="B643" t="s">
        <v>19</v>
      </c>
      <c r="C643">
        <v>700</v>
      </c>
      <c r="D643">
        <v>0</v>
      </c>
      <c r="E643" t="s">
        <v>20</v>
      </c>
      <c r="F643" t="s">
        <v>20</v>
      </c>
      <c r="G643" t="str">
        <f>"2026-01-07 20:49:06.786"</f>
        <v>2026-01-07 20:49:06.786</v>
      </c>
      <c r="H643" t="s">
        <v>21</v>
      </c>
      <c r="I643">
        <v>0</v>
      </c>
      <c r="J643" t="s">
        <v>22</v>
      </c>
    </row>
    <row r="644" spans="1:10" x14ac:dyDescent="0.25">
      <c r="A644" s="1">
        <v>60</v>
      </c>
      <c r="B644" t="s">
        <v>19</v>
      </c>
      <c r="C644">
        <v>700</v>
      </c>
      <c r="D644">
        <v>0</v>
      </c>
      <c r="E644" t="s">
        <v>20</v>
      </c>
      <c r="F644" t="s">
        <v>20</v>
      </c>
      <c r="G644" t="str">
        <f>"2026-01-07 14:32:19.788"</f>
        <v>2026-01-07 14:32:19.788</v>
      </c>
      <c r="H644" t="s">
        <v>21</v>
      </c>
      <c r="I644">
        <v>0</v>
      </c>
      <c r="J644" t="s">
        <v>22</v>
      </c>
    </row>
    <row r="645" spans="1:10" x14ac:dyDescent="0.25">
      <c r="A645" s="1">
        <v>61</v>
      </c>
      <c r="B645" t="s">
        <v>38</v>
      </c>
      <c r="C645">
        <v>630</v>
      </c>
      <c r="D645">
        <v>5</v>
      </c>
      <c r="E645" t="s">
        <v>40</v>
      </c>
      <c r="F645" t="s">
        <v>41</v>
      </c>
      <c r="G645" t="str">
        <f>"2026-01-07 14:14:41.390"</f>
        <v>2026-01-07 14:14:41.390</v>
      </c>
      <c r="H645" t="s">
        <v>42</v>
      </c>
      <c r="I645">
        <v>0</v>
      </c>
      <c r="J645" t="s">
        <v>27</v>
      </c>
    </row>
    <row r="646" spans="1:10" x14ac:dyDescent="0.25">
      <c r="A646" s="1">
        <v>62</v>
      </c>
      <c r="B646" t="s">
        <v>34</v>
      </c>
      <c r="C646">
        <v>9</v>
      </c>
      <c r="D646">
        <v>2</v>
      </c>
      <c r="E646" t="s">
        <v>58</v>
      </c>
      <c r="F646" t="s">
        <v>59</v>
      </c>
      <c r="G646" t="str">
        <f>"2026-01-07 09:11:05.589"</f>
        <v>2026-01-07 09:11:05.589</v>
      </c>
      <c r="H646" t="s">
        <v>55</v>
      </c>
    </row>
    <row r="647" spans="1:10" x14ac:dyDescent="0.25">
      <c r="A647" s="1">
        <v>63</v>
      </c>
      <c r="B647" t="s">
        <v>38</v>
      </c>
      <c r="C647">
        <v>9</v>
      </c>
      <c r="D647">
        <v>2</v>
      </c>
      <c r="E647" t="s">
        <v>58</v>
      </c>
      <c r="F647" t="s">
        <v>59</v>
      </c>
      <c r="G647" t="str">
        <f>"2026-01-07 09:09:30.385"</f>
        <v>2026-01-07 09:09:30.385</v>
      </c>
      <c r="H647" t="s">
        <v>55</v>
      </c>
      <c r="I647">
        <v>0.22</v>
      </c>
      <c r="J647" t="s">
        <v>39</v>
      </c>
    </row>
    <row r="648" spans="1:10" s="3" customFormat="1" x14ac:dyDescent="0.25">
      <c r="A648" s="2">
        <v>64</v>
      </c>
      <c r="B648" s="3" t="s">
        <v>23</v>
      </c>
      <c r="C648" s="3">
        <v>647</v>
      </c>
      <c r="D648" s="3">
        <v>1</v>
      </c>
      <c r="E648" s="3" t="s">
        <v>28</v>
      </c>
      <c r="F648" s="3" t="s">
        <v>29</v>
      </c>
      <c r="G648" s="3" t="str">
        <f>"2026-01-07 02:32:33.790"</f>
        <v>2026-01-07 02:32:33.790</v>
      </c>
      <c r="H648" s="3" t="s">
        <v>21</v>
      </c>
    </row>
    <row r="649" spans="1:10" s="3" customFormat="1" x14ac:dyDescent="0.25">
      <c r="A649" s="2">
        <v>65</v>
      </c>
      <c r="B649" s="3" t="s">
        <v>26</v>
      </c>
      <c r="C649" s="3">
        <v>647</v>
      </c>
      <c r="D649" s="3">
        <v>1</v>
      </c>
      <c r="E649" s="3" t="s">
        <v>28</v>
      </c>
      <c r="F649" s="3" t="s">
        <v>29</v>
      </c>
      <c r="G649" s="3" t="str">
        <f>"2026-01-07 02:32:28.490"</f>
        <v>2026-01-07 02:32:28.490</v>
      </c>
      <c r="H649" s="3" t="s">
        <v>21</v>
      </c>
      <c r="I649" s="3">
        <v>9.1999999999999993</v>
      </c>
      <c r="J649" s="3" t="s">
        <v>33</v>
      </c>
    </row>
    <row r="650" spans="1:10" x14ac:dyDescent="0.25">
      <c r="A650" s="1">
        <v>66</v>
      </c>
      <c r="B650" t="s">
        <v>34</v>
      </c>
      <c r="C650">
        <v>33</v>
      </c>
      <c r="D650">
        <v>1</v>
      </c>
      <c r="E650" t="s">
        <v>35</v>
      </c>
      <c r="F650" t="s">
        <v>36</v>
      </c>
      <c r="G650" t="str">
        <f>"2026-01-06 12:19:50.490"</f>
        <v>2026-01-06 12:19:50.490</v>
      </c>
      <c r="H650" t="s">
        <v>37</v>
      </c>
    </row>
    <row r="651" spans="1:10" x14ac:dyDescent="0.25">
      <c r="A651" s="1">
        <v>67</v>
      </c>
      <c r="B651" t="s">
        <v>38</v>
      </c>
      <c r="C651">
        <v>33</v>
      </c>
      <c r="D651">
        <v>1</v>
      </c>
      <c r="E651" t="s">
        <v>35</v>
      </c>
      <c r="F651" t="s">
        <v>36</v>
      </c>
      <c r="G651" t="str">
        <f>"2026-01-06 12:18:52.248"</f>
        <v>2026-01-06 12:18:52.248</v>
      </c>
      <c r="H651" t="s">
        <v>37</v>
      </c>
      <c r="I651">
        <v>8.5500000000000007</v>
      </c>
      <c r="J651" t="s">
        <v>39</v>
      </c>
    </row>
    <row r="652" spans="1:10" x14ac:dyDescent="0.25">
      <c r="A652" s="1">
        <v>69</v>
      </c>
      <c r="B652" t="s">
        <v>23</v>
      </c>
      <c r="C652">
        <v>619</v>
      </c>
      <c r="D652">
        <v>1</v>
      </c>
      <c r="E652" t="s">
        <v>46</v>
      </c>
      <c r="F652" t="s">
        <v>45</v>
      </c>
      <c r="G652" t="str">
        <f>"2026-01-06 11:46:15.336"</f>
        <v>2026-01-06 11:46:15.336</v>
      </c>
      <c r="H652" t="s">
        <v>47</v>
      </c>
    </row>
    <row r="653" spans="1:10" x14ac:dyDescent="0.25">
      <c r="A653" s="1">
        <v>70</v>
      </c>
      <c r="B653" t="s">
        <v>26</v>
      </c>
      <c r="C653">
        <v>619</v>
      </c>
      <c r="D653">
        <v>1</v>
      </c>
      <c r="E653" t="s">
        <v>46</v>
      </c>
      <c r="F653" t="s">
        <v>45</v>
      </c>
      <c r="G653" t="str">
        <f>"2026-01-06 11:45:05.289"</f>
        <v>2026-01-06 11:45:05.289</v>
      </c>
      <c r="H653" t="s">
        <v>47</v>
      </c>
      <c r="I653">
        <v>0</v>
      </c>
      <c r="J653" t="s">
        <v>30</v>
      </c>
    </row>
    <row r="654" spans="1:10" x14ac:dyDescent="0.25">
      <c r="A654" s="1">
        <v>71</v>
      </c>
      <c r="B654" t="s">
        <v>19</v>
      </c>
      <c r="C654">
        <v>700</v>
      </c>
      <c r="D654">
        <v>0</v>
      </c>
      <c r="E654" t="s">
        <v>20</v>
      </c>
      <c r="F654" t="s">
        <v>20</v>
      </c>
      <c r="G654" t="str">
        <f>"2026-01-06 11:44:35.778"</f>
        <v>2026-01-06 11:44:35.778</v>
      </c>
      <c r="H654" t="s">
        <v>21</v>
      </c>
      <c r="I654">
        <v>0</v>
      </c>
      <c r="J654" t="s">
        <v>22</v>
      </c>
    </row>
    <row r="655" spans="1:10" x14ac:dyDescent="0.25">
      <c r="A655" s="1">
        <v>72</v>
      </c>
      <c r="B655" t="s">
        <v>23</v>
      </c>
      <c r="C655">
        <v>619</v>
      </c>
      <c r="D655">
        <v>1</v>
      </c>
      <c r="E655" t="s">
        <v>46</v>
      </c>
      <c r="F655" t="s">
        <v>45</v>
      </c>
      <c r="G655" t="str">
        <f>"2026-01-06 11:41:11.433"</f>
        <v>2026-01-06 11:41:11.433</v>
      </c>
      <c r="H655" t="s">
        <v>47</v>
      </c>
    </row>
    <row r="656" spans="1:10" x14ac:dyDescent="0.25">
      <c r="A656" s="1">
        <v>73</v>
      </c>
      <c r="B656" t="s">
        <v>26</v>
      </c>
      <c r="C656">
        <v>619</v>
      </c>
      <c r="D656">
        <v>1</v>
      </c>
      <c r="E656" t="s">
        <v>46</v>
      </c>
      <c r="F656" t="s">
        <v>45</v>
      </c>
      <c r="G656" t="str">
        <f>"2026-01-06 11:39:24.733"</f>
        <v>2026-01-06 11:39:24.733</v>
      </c>
      <c r="H656" t="s">
        <v>47</v>
      </c>
      <c r="I656">
        <v>0</v>
      </c>
      <c r="J656" t="s">
        <v>27</v>
      </c>
    </row>
    <row r="657" spans="1:10" x14ac:dyDescent="0.25">
      <c r="A657" s="1">
        <v>74</v>
      </c>
      <c r="B657" t="s">
        <v>19</v>
      </c>
      <c r="C657">
        <v>706</v>
      </c>
      <c r="D657">
        <v>2</v>
      </c>
      <c r="E657" t="s">
        <v>31</v>
      </c>
      <c r="F657" t="s">
        <v>43</v>
      </c>
      <c r="G657" t="str">
        <f>"2026-01-06 11:39:19.376"</f>
        <v>2026-01-06 11:39:19.376</v>
      </c>
      <c r="H657" t="s">
        <v>21</v>
      </c>
      <c r="I657">
        <v>0</v>
      </c>
      <c r="J657" t="s">
        <v>27</v>
      </c>
    </row>
    <row r="658" spans="1:10" x14ac:dyDescent="0.25">
      <c r="A658" s="1">
        <v>75</v>
      </c>
      <c r="B658" t="s">
        <v>19</v>
      </c>
      <c r="C658">
        <v>700</v>
      </c>
      <c r="D658">
        <v>0</v>
      </c>
      <c r="E658" t="s">
        <v>20</v>
      </c>
      <c r="F658" t="s">
        <v>20</v>
      </c>
      <c r="G658" t="str">
        <f>"2026-01-06 11:39:01.776"</f>
        <v>2026-01-06 11:39:01.776</v>
      </c>
      <c r="H658" t="s">
        <v>21</v>
      </c>
      <c r="I658">
        <v>0</v>
      </c>
      <c r="J658" t="s">
        <v>22</v>
      </c>
    </row>
    <row r="659" spans="1:10" x14ac:dyDescent="0.25">
      <c r="A659" s="1">
        <v>76</v>
      </c>
      <c r="B659" t="s">
        <v>19</v>
      </c>
      <c r="C659">
        <v>700</v>
      </c>
      <c r="D659">
        <v>0</v>
      </c>
      <c r="E659" t="s">
        <v>20</v>
      </c>
      <c r="F659" t="s">
        <v>20</v>
      </c>
      <c r="G659" t="str">
        <f>"2026-01-05 18:47:26.768"</f>
        <v>2026-01-05 18:47:26.768</v>
      </c>
      <c r="H659" t="s">
        <v>21</v>
      </c>
    </row>
    <row r="660" spans="1:10" x14ac:dyDescent="0.25">
      <c r="A660" s="1">
        <v>77</v>
      </c>
      <c r="B660" t="s">
        <v>19</v>
      </c>
      <c r="C660">
        <v>700</v>
      </c>
      <c r="D660">
        <v>0</v>
      </c>
      <c r="E660" t="s">
        <v>20</v>
      </c>
      <c r="F660" t="s">
        <v>20</v>
      </c>
      <c r="G660" t="str">
        <f>"2026-01-05 17:06:35.803"</f>
        <v>2026-01-05 17:06:35.803</v>
      </c>
      <c r="H660" t="s">
        <v>21</v>
      </c>
      <c r="I660">
        <v>0</v>
      </c>
      <c r="J660" t="s">
        <v>22</v>
      </c>
    </row>
    <row r="661" spans="1:10" x14ac:dyDescent="0.25">
      <c r="A661" s="1">
        <v>78</v>
      </c>
      <c r="B661" t="s">
        <v>38</v>
      </c>
      <c r="C661">
        <v>630</v>
      </c>
      <c r="D661">
        <v>5</v>
      </c>
      <c r="E661" t="s">
        <v>40</v>
      </c>
      <c r="F661" t="s">
        <v>41</v>
      </c>
      <c r="G661" t="str">
        <f>"2026-01-05 16:56:04.093"</f>
        <v>2026-01-05 16:56:04.093</v>
      </c>
      <c r="H661" t="s">
        <v>42</v>
      </c>
      <c r="I661">
        <v>0</v>
      </c>
      <c r="J661" t="s">
        <v>27</v>
      </c>
    </row>
    <row r="662" spans="1:10" x14ac:dyDescent="0.25">
      <c r="A662" s="1">
        <v>79</v>
      </c>
      <c r="B662" t="s">
        <v>19</v>
      </c>
      <c r="C662">
        <v>700</v>
      </c>
      <c r="D662">
        <v>0</v>
      </c>
      <c r="E662" t="s">
        <v>20</v>
      </c>
      <c r="F662" t="s">
        <v>20</v>
      </c>
      <c r="G662" t="str">
        <f>"2026-01-05 05:15:04.778"</f>
        <v>2026-01-05 05:15:04.778</v>
      </c>
      <c r="H662" t="s">
        <v>21</v>
      </c>
      <c r="I662">
        <v>0</v>
      </c>
      <c r="J662" t="s">
        <v>22</v>
      </c>
    </row>
    <row r="663" spans="1:10" x14ac:dyDescent="0.25">
      <c r="A663" s="1">
        <v>80</v>
      </c>
      <c r="B663" t="s">
        <v>23</v>
      </c>
      <c r="C663">
        <v>635</v>
      </c>
      <c r="D663">
        <v>1</v>
      </c>
      <c r="E663" t="s">
        <v>44</v>
      </c>
      <c r="F663" t="s">
        <v>45</v>
      </c>
      <c r="G663" t="str">
        <f>"2026-01-04 07:12:28.094"</f>
        <v>2026-01-04 07:12:28.094</v>
      </c>
      <c r="H663" t="s">
        <v>21</v>
      </c>
    </row>
    <row r="664" spans="1:10" x14ac:dyDescent="0.25">
      <c r="A664" s="1">
        <v>81</v>
      </c>
      <c r="B664" t="s">
        <v>26</v>
      </c>
      <c r="C664">
        <v>635</v>
      </c>
      <c r="D664">
        <v>1</v>
      </c>
      <c r="E664" t="s">
        <v>44</v>
      </c>
      <c r="F664" t="s">
        <v>45</v>
      </c>
      <c r="G664" t="str">
        <f>"2026-01-04 07:03:59.695"</f>
        <v>2026-01-04 07:03:59.695</v>
      </c>
      <c r="H664" t="s">
        <v>21</v>
      </c>
      <c r="I664">
        <v>2.2000000000000002</v>
      </c>
      <c r="J664" t="s">
        <v>33</v>
      </c>
    </row>
    <row r="665" spans="1:10" x14ac:dyDescent="0.25">
      <c r="A665" s="1">
        <v>83</v>
      </c>
      <c r="B665" t="s">
        <v>19</v>
      </c>
      <c r="C665">
        <v>700</v>
      </c>
      <c r="D665">
        <v>0</v>
      </c>
      <c r="E665" t="s">
        <v>20</v>
      </c>
      <c r="F665" t="s">
        <v>20</v>
      </c>
      <c r="G665" t="str">
        <f>"2026-01-01 03:21:31.774"</f>
        <v>2026-01-01 03:21:31.774</v>
      </c>
      <c r="H665" t="s">
        <v>21</v>
      </c>
      <c r="I665">
        <v>0</v>
      </c>
      <c r="J665" t="s">
        <v>22</v>
      </c>
    </row>
    <row r="666" spans="1:10" x14ac:dyDescent="0.25">
      <c r="A666" s="1">
        <v>84</v>
      </c>
      <c r="B666" t="s">
        <v>23</v>
      </c>
      <c r="C666">
        <v>630</v>
      </c>
      <c r="D666">
        <v>5</v>
      </c>
      <c r="E666" t="s">
        <v>40</v>
      </c>
      <c r="F666" t="s">
        <v>41</v>
      </c>
      <c r="G666" t="str">
        <f>"2026-01-01 03:05:32.011"</f>
        <v>2026-01-01 03:05:32.011</v>
      </c>
      <c r="H666" t="s">
        <v>42</v>
      </c>
    </row>
    <row r="667" spans="1:10" x14ac:dyDescent="0.25">
      <c r="A667" s="1">
        <v>85</v>
      </c>
      <c r="B667" t="s">
        <v>19</v>
      </c>
      <c r="C667">
        <v>706</v>
      </c>
      <c r="D667">
        <v>4</v>
      </c>
      <c r="E667" t="s">
        <v>31</v>
      </c>
      <c r="F667" t="s">
        <v>32</v>
      </c>
      <c r="G667" t="str">
        <f>"2026-01-01 03:05:01.932"</f>
        <v>2026-01-01 03:05:01.932</v>
      </c>
      <c r="H667" t="s">
        <v>21</v>
      </c>
      <c r="I667">
        <v>0</v>
      </c>
      <c r="J667" t="s">
        <v>27</v>
      </c>
    </row>
    <row r="668" spans="1:10" x14ac:dyDescent="0.25">
      <c r="A668" s="1">
        <v>86</v>
      </c>
      <c r="B668" t="s">
        <v>38</v>
      </c>
      <c r="C668">
        <v>630</v>
      </c>
      <c r="D668">
        <v>5</v>
      </c>
      <c r="E668" t="s">
        <v>40</v>
      </c>
      <c r="F668" t="s">
        <v>41</v>
      </c>
      <c r="G668" t="str">
        <f>"2026-01-01 02:58:35.512"</f>
        <v>2026-01-01 02:58:35.512</v>
      </c>
      <c r="H668" t="s">
        <v>42</v>
      </c>
      <c r="I668">
        <v>0</v>
      </c>
      <c r="J668" t="s">
        <v>27</v>
      </c>
    </row>
    <row r="669" spans="1:10" x14ac:dyDescent="0.25">
      <c r="A669" s="1">
        <v>87</v>
      </c>
      <c r="B669" t="s">
        <v>19</v>
      </c>
      <c r="C669">
        <v>700</v>
      </c>
      <c r="D669">
        <v>0</v>
      </c>
      <c r="E669" t="s">
        <v>20</v>
      </c>
      <c r="F669" t="s">
        <v>20</v>
      </c>
      <c r="G669" t="str">
        <f>"2026-01-01 02:53:32.812"</f>
        <v>2026-01-01 02:53:32.812</v>
      </c>
      <c r="H669" t="s">
        <v>21</v>
      </c>
      <c r="I669">
        <v>0</v>
      </c>
      <c r="J669" t="s">
        <v>22</v>
      </c>
    </row>
    <row r="670" spans="1:10" x14ac:dyDescent="0.25">
      <c r="A670" s="1">
        <v>88</v>
      </c>
      <c r="B670" t="s">
        <v>38</v>
      </c>
      <c r="C670">
        <v>630</v>
      </c>
      <c r="D670">
        <v>5</v>
      </c>
      <c r="E670" t="s">
        <v>40</v>
      </c>
      <c r="F670" t="s">
        <v>41</v>
      </c>
      <c r="G670" t="str">
        <f>"2026-01-01 02:21:09.639"</f>
        <v>2026-01-01 02:21:09.639</v>
      </c>
      <c r="H670" t="s">
        <v>42</v>
      </c>
      <c r="I670">
        <v>0</v>
      </c>
      <c r="J670" t="s">
        <v>27</v>
      </c>
    </row>
    <row r="671" spans="1:10" x14ac:dyDescent="0.25">
      <c r="A671" s="1">
        <v>89</v>
      </c>
      <c r="B671" t="s">
        <v>19</v>
      </c>
      <c r="C671">
        <v>700</v>
      </c>
      <c r="D671">
        <v>0</v>
      </c>
      <c r="E671" t="s">
        <v>20</v>
      </c>
      <c r="F671" t="s">
        <v>20</v>
      </c>
      <c r="G671" t="str">
        <f>"2026-01-01 02:16:06.787"</f>
        <v>2026-01-01 02:16:06.787</v>
      </c>
      <c r="H671" t="s">
        <v>21</v>
      </c>
      <c r="I671">
        <v>0</v>
      </c>
      <c r="J671" t="s">
        <v>22</v>
      </c>
    </row>
    <row r="672" spans="1:10" x14ac:dyDescent="0.25">
      <c r="A672" s="1">
        <v>90</v>
      </c>
      <c r="B672" t="s">
        <v>19</v>
      </c>
      <c r="C672">
        <v>700</v>
      </c>
      <c r="D672">
        <v>0</v>
      </c>
      <c r="E672" t="s">
        <v>20</v>
      </c>
      <c r="F672" t="s">
        <v>20</v>
      </c>
      <c r="G672" t="str">
        <f>"2025-12-31 23:15:28.023"</f>
        <v>2025-12-31 23:15:28.023</v>
      </c>
      <c r="H672" t="s">
        <v>21</v>
      </c>
      <c r="I672">
        <v>0</v>
      </c>
      <c r="J672" t="s">
        <v>22</v>
      </c>
    </row>
    <row r="673" spans="1:10" x14ac:dyDescent="0.25">
      <c r="A673" s="1">
        <v>91</v>
      </c>
      <c r="B673" t="s">
        <v>19</v>
      </c>
      <c r="C673">
        <v>700</v>
      </c>
      <c r="D673">
        <v>0</v>
      </c>
      <c r="E673" t="s">
        <v>20</v>
      </c>
      <c r="F673" t="s">
        <v>20</v>
      </c>
      <c r="G673" t="str">
        <f>"2025-12-31 23:13:55.103"</f>
        <v>2025-12-31 23:13:55.103</v>
      </c>
      <c r="H673" t="s">
        <v>21</v>
      </c>
    </row>
    <row r="674" spans="1:10" x14ac:dyDescent="0.25">
      <c r="A674" s="1">
        <v>92</v>
      </c>
      <c r="B674" t="s">
        <v>19</v>
      </c>
      <c r="C674">
        <v>700</v>
      </c>
      <c r="D674">
        <v>0</v>
      </c>
      <c r="E674" t="s">
        <v>20</v>
      </c>
      <c r="F674" t="s">
        <v>20</v>
      </c>
      <c r="G674" t="str">
        <f>"2025-12-31 23:13:05.024"</f>
        <v>2025-12-31 23:13:05.024</v>
      </c>
      <c r="H674" t="s">
        <v>21</v>
      </c>
      <c r="I674">
        <v>0</v>
      </c>
      <c r="J674" t="s">
        <v>22</v>
      </c>
    </row>
    <row r="675" spans="1:10" x14ac:dyDescent="0.25">
      <c r="A675" s="1">
        <v>93</v>
      </c>
      <c r="B675" t="s">
        <v>19</v>
      </c>
      <c r="C675">
        <v>700</v>
      </c>
      <c r="D675">
        <v>0</v>
      </c>
      <c r="E675" t="s">
        <v>20</v>
      </c>
      <c r="F675" t="s">
        <v>20</v>
      </c>
      <c r="G675" t="str">
        <f>"2025-12-31 23:11:07.017"</f>
        <v>2025-12-31 23:11:07.017</v>
      </c>
      <c r="H675" t="s">
        <v>21</v>
      </c>
    </row>
    <row r="676" spans="1:10" x14ac:dyDescent="0.25">
      <c r="A676" s="1">
        <v>94</v>
      </c>
      <c r="B676" t="s">
        <v>19</v>
      </c>
      <c r="C676">
        <v>700</v>
      </c>
      <c r="D676">
        <v>0</v>
      </c>
      <c r="E676" t="s">
        <v>20</v>
      </c>
      <c r="F676" t="s">
        <v>20</v>
      </c>
      <c r="G676" t="str">
        <f>"2025-12-31 23:10:17.119"</f>
        <v>2025-12-31 23:10:17.119</v>
      </c>
      <c r="H676" t="s">
        <v>21</v>
      </c>
    </row>
    <row r="677" spans="1:10" x14ac:dyDescent="0.25">
      <c r="A677" s="1">
        <v>95</v>
      </c>
      <c r="B677" t="s">
        <v>19</v>
      </c>
      <c r="C677">
        <v>700</v>
      </c>
      <c r="D677">
        <v>0</v>
      </c>
      <c r="E677" t="s">
        <v>20</v>
      </c>
      <c r="F677" t="s">
        <v>20</v>
      </c>
      <c r="G677" t="str">
        <f>"2025-12-31 23:07:36.770"</f>
        <v>2025-12-31 23:07:36.770</v>
      </c>
      <c r="H677" t="s">
        <v>21</v>
      </c>
    </row>
    <row r="678" spans="1:10" x14ac:dyDescent="0.25">
      <c r="A678" s="1">
        <v>96</v>
      </c>
      <c r="B678" t="s">
        <v>23</v>
      </c>
      <c r="C678">
        <v>630</v>
      </c>
      <c r="D678">
        <v>5</v>
      </c>
      <c r="E678" t="s">
        <v>40</v>
      </c>
      <c r="F678" t="s">
        <v>41</v>
      </c>
      <c r="G678" t="str">
        <f>"2025-12-31 13:37:20.135"</f>
        <v>2025-12-31 13:37:20.135</v>
      </c>
      <c r="H678" t="s">
        <v>42</v>
      </c>
    </row>
    <row r="679" spans="1:10" x14ac:dyDescent="0.25">
      <c r="A679" s="1">
        <v>97</v>
      </c>
      <c r="B679" t="s">
        <v>19</v>
      </c>
      <c r="C679">
        <v>706</v>
      </c>
      <c r="D679">
        <v>2</v>
      </c>
      <c r="E679" t="s">
        <v>31</v>
      </c>
      <c r="F679" t="s">
        <v>43</v>
      </c>
      <c r="G679" t="str">
        <f>"2025-12-31 13:36:49.933"</f>
        <v>2025-12-31 13:36:49.933</v>
      </c>
      <c r="H679" t="s">
        <v>21</v>
      </c>
      <c r="I679">
        <v>0</v>
      </c>
      <c r="J679" t="s">
        <v>27</v>
      </c>
    </row>
    <row r="680" spans="1:10" x14ac:dyDescent="0.25">
      <c r="A680" s="1">
        <v>98</v>
      </c>
      <c r="B680" t="s">
        <v>38</v>
      </c>
      <c r="C680">
        <v>630</v>
      </c>
      <c r="D680">
        <v>5</v>
      </c>
      <c r="E680" t="s">
        <v>40</v>
      </c>
      <c r="F680" t="s">
        <v>41</v>
      </c>
      <c r="G680" t="str">
        <f>"2025-12-31 13:33:29.535"</f>
        <v>2025-12-31 13:33:29.535</v>
      </c>
      <c r="H680" t="s">
        <v>42</v>
      </c>
      <c r="I680">
        <v>0</v>
      </c>
      <c r="J680" t="s">
        <v>27</v>
      </c>
    </row>
    <row r="681" spans="1:10" x14ac:dyDescent="0.25">
      <c r="A681" s="1">
        <v>99</v>
      </c>
      <c r="B681" t="s">
        <v>23</v>
      </c>
      <c r="C681">
        <v>630</v>
      </c>
      <c r="D681">
        <v>5</v>
      </c>
      <c r="E681" t="s">
        <v>40</v>
      </c>
      <c r="F681" t="s">
        <v>41</v>
      </c>
      <c r="G681" t="str">
        <f>"2025-12-30 08:37:55.935"</f>
        <v>2025-12-30 08:37:55.935</v>
      </c>
      <c r="H681" t="s">
        <v>42</v>
      </c>
    </row>
    <row r="682" spans="1:10" x14ac:dyDescent="0.25">
      <c r="A682" s="1">
        <v>0</v>
      </c>
      <c r="B682" t="s">
        <v>19</v>
      </c>
      <c r="C682">
        <v>706</v>
      </c>
      <c r="D682">
        <v>4</v>
      </c>
      <c r="E682" t="s">
        <v>31</v>
      </c>
      <c r="F682" t="s">
        <v>32</v>
      </c>
      <c r="G682" t="str">
        <f>"2025-12-30 08:37:25.873"</f>
        <v>2025-12-30 08:37:25.873</v>
      </c>
      <c r="H682" t="s">
        <v>21</v>
      </c>
      <c r="I682">
        <v>0</v>
      </c>
      <c r="J682" t="s">
        <v>27</v>
      </c>
    </row>
    <row r="683" spans="1:10" x14ac:dyDescent="0.25">
      <c r="A683" s="1">
        <v>1</v>
      </c>
      <c r="B683" t="s">
        <v>38</v>
      </c>
      <c r="C683">
        <v>630</v>
      </c>
      <c r="D683">
        <v>5</v>
      </c>
      <c r="E683" t="s">
        <v>40</v>
      </c>
      <c r="F683" t="s">
        <v>41</v>
      </c>
      <c r="G683" t="str">
        <f>"2025-12-30 08:33:20.535"</f>
        <v>2025-12-30 08:33:20.535</v>
      </c>
      <c r="H683" t="s">
        <v>42</v>
      </c>
      <c r="I683">
        <v>0</v>
      </c>
      <c r="J683" t="s">
        <v>27</v>
      </c>
    </row>
    <row r="684" spans="1:10" s="3" customFormat="1" x14ac:dyDescent="0.25">
      <c r="A684" s="2">
        <v>2</v>
      </c>
      <c r="B684" s="3" t="s">
        <v>23</v>
      </c>
      <c r="C684" s="3">
        <v>647</v>
      </c>
      <c r="D684" s="3">
        <v>1</v>
      </c>
      <c r="E684" s="3" t="s">
        <v>28</v>
      </c>
      <c r="F684" s="3" t="s">
        <v>29</v>
      </c>
      <c r="G684" s="3" t="str">
        <f>"2025-12-29 20:24:14.135"</f>
        <v>2025-12-29 20:24:14.135</v>
      </c>
      <c r="H684" s="3" t="s">
        <v>21</v>
      </c>
    </row>
    <row r="685" spans="1:10" s="3" customFormat="1" x14ac:dyDescent="0.25">
      <c r="A685" s="2">
        <v>3</v>
      </c>
      <c r="B685" s="3" t="s">
        <v>26</v>
      </c>
      <c r="C685" s="3">
        <v>647</v>
      </c>
      <c r="D685" s="3">
        <v>1</v>
      </c>
      <c r="E685" s="3" t="s">
        <v>28</v>
      </c>
      <c r="F685" s="3" t="s">
        <v>29</v>
      </c>
      <c r="G685" s="3" t="str">
        <f>"2025-12-29 20:24:05.235"</f>
        <v>2025-12-29 20:24:05.235</v>
      </c>
      <c r="H685" s="3" t="s">
        <v>21</v>
      </c>
      <c r="I685" s="3">
        <v>8.2200000000000006</v>
      </c>
      <c r="J685" s="3" t="s">
        <v>33</v>
      </c>
    </row>
    <row r="686" spans="1:10" x14ac:dyDescent="0.25">
      <c r="A686" s="1">
        <v>4</v>
      </c>
      <c r="B686" t="s">
        <v>19</v>
      </c>
      <c r="C686">
        <v>700</v>
      </c>
      <c r="D686">
        <v>0</v>
      </c>
      <c r="E686" t="s">
        <v>20</v>
      </c>
      <c r="F686" t="s">
        <v>20</v>
      </c>
      <c r="G686" t="str">
        <f>"2025-12-28 13:52:19.923"</f>
        <v>2025-12-28 13:52:19.923</v>
      </c>
      <c r="H686" t="s">
        <v>21</v>
      </c>
      <c r="I686">
        <v>0</v>
      </c>
      <c r="J686" t="s">
        <v>22</v>
      </c>
    </row>
    <row r="687" spans="1:10" x14ac:dyDescent="0.25">
      <c r="A687" s="1">
        <v>5</v>
      </c>
      <c r="B687" t="s">
        <v>19</v>
      </c>
      <c r="C687">
        <v>700</v>
      </c>
      <c r="D687">
        <v>0</v>
      </c>
      <c r="E687" t="s">
        <v>20</v>
      </c>
      <c r="F687" t="s">
        <v>20</v>
      </c>
      <c r="G687" t="str">
        <f>"2025-12-26 13:16:38.785"</f>
        <v>2025-12-26 13:16:38.785</v>
      </c>
      <c r="H687" t="s">
        <v>21</v>
      </c>
      <c r="I687">
        <v>0</v>
      </c>
      <c r="J687" t="s">
        <v>22</v>
      </c>
    </row>
    <row r="688" spans="1:10" x14ac:dyDescent="0.25">
      <c r="A688" s="1">
        <v>6</v>
      </c>
      <c r="B688" t="s">
        <v>23</v>
      </c>
      <c r="C688">
        <v>635</v>
      </c>
      <c r="D688">
        <v>1</v>
      </c>
      <c r="E688" t="s">
        <v>44</v>
      </c>
      <c r="F688" t="s">
        <v>45</v>
      </c>
      <c r="G688" t="str">
        <f>"2025-12-25 21:28:27.845"</f>
        <v>2025-12-25 21:28:27.845</v>
      </c>
      <c r="H688" t="s">
        <v>21</v>
      </c>
    </row>
    <row r="689" spans="1:10" x14ac:dyDescent="0.25">
      <c r="A689" s="1">
        <v>7</v>
      </c>
      <c r="B689" t="s">
        <v>26</v>
      </c>
      <c r="C689">
        <v>635</v>
      </c>
      <c r="D689">
        <v>1</v>
      </c>
      <c r="E689" t="s">
        <v>44</v>
      </c>
      <c r="F689" t="s">
        <v>45</v>
      </c>
      <c r="G689" t="str">
        <f>"2025-12-25 21:24:25.345"</f>
        <v>2025-12-25 21:24:25.345</v>
      </c>
      <c r="H689" t="s">
        <v>21</v>
      </c>
      <c r="I689">
        <v>0</v>
      </c>
      <c r="J689" t="s">
        <v>30</v>
      </c>
    </row>
    <row r="690" spans="1:10" x14ac:dyDescent="0.25">
      <c r="A690" s="1">
        <v>8</v>
      </c>
      <c r="B690" t="s">
        <v>19</v>
      </c>
      <c r="C690">
        <v>700</v>
      </c>
      <c r="D690">
        <v>0</v>
      </c>
      <c r="E690" t="s">
        <v>20</v>
      </c>
      <c r="F690" t="s">
        <v>20</v>
      </c>
      <c r="G690" t="str">
        <f>"2025-12-25 15:11:55.926"</f>
        <v>2025-12-25 15:11:55.926</v>
      </c>
      <c r="H690" t="s">
        <v>21</v>
      </c>
      <c r="I690">
        <v>0</v>
      </c>
      <c r="J690" t="s">
        <v>22</v>
      </c>
    </row>
    <row r="691" spans="1:10" x14ac:dyDescent="0.25">
      <c r="A691" s="1">
        <v>10</v>
      </c>
      <c r="B691" t="s">
        <v>23</v>
      </c>
      <c r="C691">
        <v>635</v>
      </c>
      <c r="D691">
        <v>1</v>
      </c>
      <c r="E691" t="s">
        <v>44</v>
      </c>
      <c r="F691" t="s">
        <v>45</v>
      </c>
      <c r="G691" t="str">
        <f>"2025-12-23 11:10:46.121"</f>
        <v>2025-12-23 11:10:46.121</v>
      </c>
      <c r="H691" t="s">
        <v>21</v>
      </c>
    </row>
    <row r="692" spans="1:10" x14ac:dyDescent="0.25">
      <c r="A692" s="1">
        <v>11</v>
      </c>
      <c r="B692" t="s">
        <v>26</v>
      </c>
      <c r="C692">
        <v>635</v>
      </c>
      <c r="D692">
        <v>1</v>
      </c>
      <c r="E692" t="s">
        <v>44</v>
      </c>
      <c r="F692" t="s">
        <v>45</v>
      </c>
      <c r="G692" t="str">
        <f>"2025-12-23 11:07:45.621"</f>
        <v>2025-12-23 11:07:45.621</v>
      </c>
      <c r="H692" t="s">
        <v>21</v>
      </c>
      <c r="I692">
        <v>5.3</v>
      </c>
      <c r="J692" t="s">
        <v>39</v>
      </c>
    </row>
    <row r="693" spans="1:10" x14ac:dyDescent="0.25">
      <c r="A693" s="1">
        <v>12</v>
      </c>
      <c r="B693" t="s">
        <v>23</v>
      </c>
      <c r="C693">
        <v>635</v>
      </c>
      <c r="D693">
        <v>1</v>
      </c>
      <c r="E693" t="s">
        <v>44</v>
      </c>
      <c r="F693" t="s">
        <v>45</v>
      </c>
      <c r="G693" t="str">
        <f>"2025-12-22 16:29:18.921"</f>
        <v>2025-12-22 16:29:18.921</v>
      </c>
      <c r="H693" t="s">
        <v>21</v>
      </c>
    </row>
    <row r="694" spans="1:10" x14ac:dyDescent="0.25">
      <c r="A694" s="1">
        <v>13</v>
      </c>
      <c r="B694" t="s">
        <v>26</v>
      </c>
      <c r="C694">
        <v>635</v>
      </c>
      <c r="D694">
        <v>1</v>
      </c>
      <c r="E694" t="s">
        <v>44</v>
      </c>
      <c r="F694" t="s">
        <v>45</v>
      </c>
      <c r="G694" t="str">
        <f>"2025-12-22 16:26:17.921"</f>
        <v>2025-12-22 16:26:17.921</v>
      </c>
      <c r="H694" t="s">
        <v>21</v>
      </c>
      <c r="I694">
        <v>2.77</v>
      </c>
      <c r="J694" t="s">
        <v>39</v>
      </c>
    </row>
    <row r="695" spans="1:10" s="3" customFormat="1" x14ac:dyDescent="0.25">
      <c r="A695" s="2">
        <v>14</v>
      </c>
      <c r="B695" s="3" t="s">
        <v>23</v>
      </c>
      <c r="C695" s="3">
        <v>647</v>
      </c>
      <c r="D695" s="3">
        <v>1</v>
      </c>
      <c r="E695" s="3" t="s">
        <v>28</v>
      </c>
      <c r="F695" s="3" t="s">
        <v>29</v>
      </c>
      <c r="G695" s="3" t="str">
        <f>"2025-12-22 01:33:35.722"</f>
        <v>2025-12-22 01:33:35.722</v>
      </c>
      <c r="H695" s="3" t="s">
        <v>21</v>
      </c>
    </row>
    <row r="696" spans="1:10" s="3" customFormat="1" x14ac:dyDescent="0.25">
      <c r="A696" s="2">
        <v>15</v>
      </c>
      <c r="B696" s="3" t="s">
        <v>26</v>
      </c>
      <c r="C696" s="3">
        <v>647</v>
      </c>
      <c r="D696" s="3">
        <v>1</v>
      </c>
      <c r="E696" s="3" t="s">
        <v>28</v>
      </c>
      <c r="F696" s="3" t="s">
        <v>29</v>
      </c>
      <c r="G696" s="3" t="str">
        <f>"2025-12-22 01:33:33.422"</f>
        <v>2025-12-22 01:33:33.422</v>
      </c>
      <c r="H696" s="3" t="s">
        <v>21</v>
      </c>
      <c r="I696" s="3">
        <v>11</v>
      </c>
      <c r="J696" s="3" t="s">
        <v>33</v>
      </c>
    </row>
    <row r="697" spans="1:10" x14ac:dyDescent="0.25">
      <c r="A697" s="1">
        <v>16</v>
      </c>
      <c r="B697" t="s">
        <v>23</v>
      </c>
      <c r="C697">
        <v>619</v>
      </c>
      <c r="D697">
        <v>1</v>
      </c>
      <c r="E697" t="s">
        <v>46</v>
      </c>
      <c r="F697" t="s">
        <v>45</v>
      </c>
      <c r="G697" t="str">
        <f>"2025-12-21 13:36:00.573"</f>
        <v>2025-12-21 13:36:00.573</v>
      </c>
      <c r="H697" t="s">
        <v>47</v>
      </c>
    </row>
    <row r="698" spans="1:10" x14ac:dyDescent="0.25">
      <c r="A698" s="1">
        <v>17</v>
      </c>
      <c r="B698" t="s">
        <v>26</v>
      </c>
      <c r="C698">
        <v>619</v>
      </c>
      <c r="D698">
        <v>1</v>
      </c>
      <c r="E698" t="s">
        <v>46</v>
      </c>
      <c r="F698" t="s">
        <v>45</v>
      </c>
      <c r="G698" t="str">
        <f>"2025-12-21 13:34:57.474"</f>
        <v>2025-12-21 13:34:57.474</v>
      </c>
      <c r="H698" t="s">
        <v>47</v>
      </c>
      <c r="I698">
        <v>0</v>
      </c>
      <c r="J698" t="s">
        <v>27</v>
      </c>
    </row>
    <row r="699" spans="1:10" x14ac:dyDescent="0.25">
      <c r="A699" s="1">
        <v>18</v>
      </c>
      <c r="B699" t="s">
        <v>19</v>
      </c>
      <c r="C699">
        <v>700</v>
      </c>
      <c r="D699">
        <v>0</v>
      </c>
      <c r="E699" t="s">
        <v>20</v>
      </c>
      <c r="F699" t="s">
        <v>20</v>
      </c>
      <c r="G699" t="str">
        <f>"2025-12-21 13:34:43.960"</f>
        <v>2025-12-21 13:34:43.960</v>
      </c>
      <c r="H699" t="s">
        <v>21</v>
      </c>
    </row>
    <row r="700" spans="1:10" x14ac:dyDescent="0.25">
      <c r="A700" s="1">
        <v>19</v>
      </c>
      <c r="B700" t="s">
        <v>38</v>
      </c>
      <c r="C700">
        <v>630</v>
      </c>
      <c r="D700">
        <v>5</v>
      </c>
      <c r="E700" t="s">
        <v>40</v>
      </c>
      <c r="F700" t="s">
        <v>41</v>
      </c>
      <c r="G700" t="str">
        <f>"2025-12-21 12:18:04.648"</f>
        <v>2025-12-21 12:18:04.648</v>
      </c>
      <c r="H700" t="s">
        <v>42</v>
      </c>
      <c r="I700">
        <v>0</v>
      </c>
      <c r="J700" t="s">
        <v>27</v>
      </c>
    </row>
    <row r="701" spans="1:10" x14ac:dyDescent="0.25">
      <c r="A701" s="1">
        <v>20</v>
      </c>
      <c r="B701" t="s">
        <v>19</v>
      </c>
      <c r="C701">
        <v>700</v>
      </c>
      <c r="D701">
        <v>0</v>
      </c>
      <c r="E701" t="s">
        <v>20</v>
      </c>
      <c r="F701" t="s">
        <v>20</v>
      </c>
      <c r="G701" t="str">
        <f>"2025-12-21 12:13:01.786"</f>
        <v>2025-12-21 12:13:01.786</v>
      </c>
      <c r="H701" t="s">
        <v>21</v>
      </c>
      <c r="I701">
        <v>0</v>
      </c>
      <c r="J701" t="s">
        <v>22</v>
      </c>
    </row>
    <row r="702" spans="1:10" x14ac:dyDescent="0.25">
      <c r="A702" s="1">
        <v>21</v>
      </c>
      <c r="B702" t="s">
        <v>38</v>
      </c>
      <c r="C702">
        <v>630</v>
      </c>
      <c r="D702">
        <v>5</v>
      </c>
      <c r="E702" t="s">
        <v>40</v>
      </c>
      <c r="F702" t="s">
        <v>41</v>
      </c>
      <c r="G702" t="str">
        <f>"2025-12-21 11:29:46.794"</f>
        <v>2025-12-21 11:29:46.794</v>
      </c>
      <c r="H702" t="s">
        <v>42</v>
      </c>
      <c r="I702">
        <v>0</v>
      </c>
      <c r="J702" t="s">
        <v>27</v>
      </c>
    </row>
    <row r="703" spans="1:10" x14ac:dyDescent="0.25">
      <c r="A703" s="1">
        <v>22</v>
      </c>
      <c r="B703" t="s">
        <v>19</v>
      </c>
      <c r="C703">
        <v>700</v>
      </c>
      <c r="D703">
        <v>0</v>
      </c>
      <c r="E703" t="s">
        <v>20</v>
      </c>
      <c r="F703" t="s">
        <v>20</v>
      </c>
      <c r="G703" t="str">
        <f>"2025-12-21 11:24:43.972"</f>
        <v>2025-12-21 11:24:43.972</v>
      </c>
      <c r="H703" t="s">
        <v>21</v>
      </c>
      <c r="I703">
        <v>0</v>
      </c>
      <c r="J703" t="s">
        <v>22</v>
      </c>
    </row>
    <row r="704" spans="1:10" s="3" customFormat="1" x14ac:dyDescent="0.25">
      <c r="A704" s="2">
        <v>23</v>
      </c>
      <c r="B704" s="3" t="s">
        <v>23</v>
      </c>
      <c r="C704" s="3">
        <v>647</v>
      </c>
      <c r="D704" s="3">
        <v>1</v>
      </c>
      <c r="E704" s="3" t="s">
        <v>28</v>
      </c>
      <c r="F704" s="3" t="s">
        <v>29</v>
      </c>
      <c r="G704" s="3" t="str">
        <f>"2025-12-21 02:29:51.392"</f>
        <v>2025-12-21 02:29:51.392</v>
      </c>
      <c r="H704" s="3" t="s">
        <v>21</v>
      </c>
    </row>
    <row r="705" spans="1:10" s="3" customFormat="1" x14ac:dyDescent="0.25">
      <c r="A705" s="2">
        <v>24</v>
      </c>
      <c r="B705" s="3" t="s">
        <v>26</v>
      </c>
      <c r="C705" s="3">
        <v>647</v>
      </c>
      <c r="D705" s="3">
        <v>1</v>
      </c>
      <c r="E705" s="3" t="s">
        <v>28</v>
      </c>
      <c r="F705" s="3" t="s">
        <v>29</v>
      </c>
      <c r="G705" s="3" t="str">
        <f>"2025-12-21 02:29:48.092"</f>
        <v>2025-12-21 02:29:48.092</v>
      </c>
      <c r="H705" s="3" t="s">
        <v>21</v>
      </c>
      <c r="I705" s="3">
        <v>8.2100000000000009</v>
      </c>
      <c r="J705" s="3" t="s">
        <v>33</v>
      </c>
    </row>
    <row r="706" spans="1:10" x14ac:dyDescent="0.25">
      <c r="A706" s="1">
        <v>26</v>
      </c>
      <c r="B706" t="s">
        <v>23</v>
      </c>
      <c r="C706">
        <v>635</v>
      </c>
      <c r="D706">
        <v>1</v>
      </c>
      <c r="E706" t="s">
        <v>44</v>
      </c>
      <c r="F706" t="s">
        <v>45</v>
      </c>
      <c r="G706" t="str">
        <f>"2025-12-20 18:54:33.391"</f>
        <v>2025-12-20 18:54:33.391</v>
      </c>
      <c r="H706" t="s">
        <v>21</v>
      </c>
    </row>
    <row r="707" spans="1:10" x14ac:dyDescent="0.25">
      <c r="A707" s="1">
        <v>27</v>
      </c>
      <c r="B707" t="s">
        <v>26</v>
      </c>
      <c r="C707">
        <v>635</v>
      </c>
      <c r="D707">
        <v>1</v>
      </c>
      <c r="E707" t="s">
        <v>44</v>
      </c>
      <c r="F707" t="s">
        <v>45</v>
      </c>
      <c r="G707" t="str">
        <f>"2025-12-20 18:46:59.891"</f>
        <v>2025-12-20 18:46:59.891</v>
      </c>
      <c r="H707" t="s">
        <v>21</v>
      </c>
      <c r="I707">
        <v>4.38</v>
      </c>
      <c r="J707" t="s">
        <v>39</v>
      </c>
    </row>
    <row r="708" spans="1:10" x14ac:dyDescent="0.25">
      <c r="A708" s="1">
        <v>28</v>
      </c>
      <c r="B708" t="s">
        <v>23</v>
      </c>
      <c r="C708">
        <v>635</v>
      </c>
      <c r="D708">
        <v>1</v>
      </c>
      <c r="E708" t="s">
        <v>44</v>
      </c>
      <c r="F708" t="s">
        <v>45</v>
      </c>
      <c r="G708" t="str">
        <f>"2025-12-20 04:25:35.891"</f>
        <v>2025-12-20 04:25:35.891</v>
      </c>
      <c r="H708" t="s">
        <v>21</v>
      </c>
    </row>
    <row r="709" spans="1:10" x14ac:dyDescent="0.25">
      <c r="A709" s="1">
        <v>29</v>
      </c>
      <c r="B709" t="s">
        <v>26</v>
      </c>
      <c r="C709">
        <v>635</v>
      </c>
      <c r="D709">
        <v>1</v>
      </c>
      <c r="E709" t="s">
        <v>44</v>
      </c>
      <c r="F709" t="s">
        <v>45</v>
      </c>
      <c r="G709" t="str">
        <f>"2025-12-20 04:18:52.391"</f>
        <v>2025-12-20 04:18:52.391</v>
      </c>
      <c r="H709" t="s">
        <v>21</v>
      </c>
      <c r="I709">
        <v>0.15</v>
      </c>
      <c r="J709" t="s">
        <v>39</v>
      </c>
    </row>
    <row r="710" spans="1:10" x14ac:dyDescent="0.25">
      <c r="A710" s="1">
        <v>30</v>
      </c>
      <c r="B710" t="s">
        <v>19</v>
      </c>
      <c r="C710">
        <v>700</v>
      </c>
      <c r="D710">
        <v>0</v>
      </c>
      <c r="E710" t="s">
        <v>20</v>
      </c>
      <c r="F710" t="s">
        <v>20</v>
      </c>
      <c r="G710" t="str">
        <f>"2025-12-19 22:10:56.760"</f>
        <v>2025-12-19 22:10:56.760</v>
      </c>
      <c r="H710" t="s">
        <v>21</v>
      </c>
    </row>
    <row r="711" spans="1:10" x14ac:dyDescent="0.25">
      <c r="A711" s="1">
        <v>31</v>
      </c>
      <c r="B711" t="s">
        <v>19</v>
      </c>
      <c r="C711">
        <v>700</v>
      </c>
      <c r="D711">
        <v>0</v>
      </c>
      <c r="E711" t="s">
        <v>20</v>
      </c>
      <c r="F711" t="s">
        <v>20</v>
      </c>
      <c r="G711" t="str">
        <f>"2025-12-19 03:32:56.768"</f>
        <v>2025-12-19 03:32:56.768</v>
      </c>
      <c r="H711" t="s">
        <v>21</v>
      </c>
    </row>
    <row r="712" spans="1:10" s="3" customFormat="1" x14ac:dyDescent="0.25">
      <c r="A712" s="2">
        <v>32</v>
      </c>
      <c r="B712" s="3" t="s">
        <v>23</v>
      </c>
      <c r="C712" s="3">
        <v>647</v>
      </c>
      <c r="D712" s="3">
        <v>1</v>
      </c>
      <c r="E712" s="3" t="s">
        <v>28</v>
      </c>
      <c r="F712" s="3" t="s">
        <v>29</v>
      </c>
      <c r="G712" s="3" t="str">
        <f>"2025-12-19 00:19:43.898"</f>
        <v>2025-12-19 00:19:43.898</v>
      </c>
      <c r="H712" s="3" t="s">
        <v>21</v>
      </c>
    </row>
    <row r="713" spans="1:10" s="3" customFormat="1" x14ac:dyDescent="0.25">
      <c r="A713" s="2">
        <v>33</v>
      </c>
      <c r="B713" s="3" t="s">
        <v>26</v>
      </c>
      <c r="C713" s="3">
        <v>647</v>
      </c>
      <c r="D713" s="3">
        <v>1</v>
      </c>
      <c r="E713" s="3" t="s">
        <v>28</v>
      </c>
      <c r="F713" s="3" t="s">
        <v>29</v>
      </c>
      <c r="G713" s="3" t="str">
        <f>"2025-12-19 00:19:42.198"</f>
        <v>2025-12-19 00:19:42.198</v>
      </c>
      <c r="H713" s="3" t="s">
        <v>21</v>
      </c>
      <c r="I713" s="3">
        <v>16.260000000000002</v>
      </c>
      <c r="J713" s="3" t="s">
        <v>33</v>
      </c>
    </row>
    <row r="714" spans="1:10" x14ac:dyDescent="0.25">
      <c r="A714" s="1">
        <v>34</v>
      </c>
      <c r="B714" t="s">
        <v>19</v>
      </c>
      <c r="C714">
        <v>706</v>
      </c>
      <c r="D714">
        <v>2</v>
      </c>
      <c r="E714" t="s">
        <v>31</v>
      </c>
      <c r="F714" t="s">
        <v>43</v>
      </c>
      <c r="G714" t="str">
        <f>"2025-12-18 13:44:06.876"</f>
        <v>2025-12-18 13:44:06.876</v>
      </c>
      <c r="H714" t="s">
        <v>21</v>
      </c>
      <c r="I714">
        <v>0</v>
      </c>
      <c r="J714" t="s">
        <v>27</v>
      </c>
    </row>
    <row r="715" spans="1:10" x14ac:dyDescent="0.25">
      <c r="A715" s="1">
        <v>35</v>
      </c>
      <c r="B715" t="s">
        <v>19</v>
      </c>
      <c r="C715">
        <v>700</v>
      </c>
      <c r="D715">
        <v>0</v>
      </c>
      <c r="E715" t="s">
        <v>20</v>
      </c>
      <c r="F715" t="s">
        <v>20</v>
      </c>
      <c r="G715" t="str">
        <f>"2025-12-18 13:43:51.766"</f>
        <v>2025-12-18 13:43:51.766</v>
      </c>
      <c r="H715" t="s">
        <v>21</v>
      </c>
    </row>
    <row r="716" spans="1:10" x14ac:dyDescent="0.25">
      <c r="A716" s="1">
        <v>36</v>
      </c>
      <c r="B716" t="s">
        <v>23</v>
      </c>
      <c r="C716">
        <v>619</v>
      </c>
      <c r="D716">
        <v>1</v>
      </c>
      <c r="E716" t="s">
        <v>46</v>
      </c>
      <c r="F716" t="s">
        <v>45</v>
      </c>
      <c r="G716" t="str">
        <f>"2025-12-18 13:41:18.224"</f>
        <v>2025-12-18 13:41:18.224</v>
      </c>
      <c r="H716" t="s">
        <v>47</v>
      </c>
    </row>
    <row r="717" spans="1:10" x14ac:dyDescent="0.25">
      <c r="A717" s="1">
        <v>37</v>
      </c>
      <c r="B717" t="s">
        <v>26</v>
      </c>
      <c r="C717">
        <v>619</v>
      </c>
      <c r="D717">
        <v>1</v>
      </c>
      <c r="E717" t="s">
        <v>46</v>
      </c>
      <c r="F717" t="s">
        <v>45</v>
      </c>
      <c r="G717" t="str">
        <f>"2025-12-18 13:40:21.524"</f>
        <v>2025-12-18 13:40:21.524</v>
      </c>
      <c r="H717" t="s">
        <v>47</v>
      </c>
      <c r="I717">
        <v>0</v>
      </c>
      <c r="J717" t="s">
        <v>27</v>
      </c>
    </row>
    <row r="718" spans="1:10" x14ac:dyDescent="0.25">
      <c r="A718" s="1">
        <v>38</v>
      </c>
      <c r="B718" t="s">
        <v>19</v>
      </c>
      <c r="C718">
        <v>706</v>
      </c>
      <c r="D718">
        <v>2</v>
      </c>
      <c r="E718" t="s">
        <v>31</v>
      </c>
      <c r="F718" t="s">
        <v>43</v>
      </c>
      <c r="G718" t="str">
        <f>"2025-12-18 13:40:16.435"</f>
        <v>2025-12-18 13:40:16.435</v>
      </c>
      <c r="H718" t="s">
        <v>21</v>
      </c>
      <c r="I718">
        <v>0</v>
      </c>
      <c r="J718" t="s">
        <v>27</v>
      </c>
    </row>
    <row r="719" spans="1:10" x14ac:dyDescent="0.25">
      <c r="A719" s="1">
        <v>39</v>
      </c>
      <c r="B719" t="s">
        <v>19</v>
      </c>
      <c r="C719">
        <v>700</v>
      </c>
      <c r="D719">
        <v>0</v>
      </c>
      <c r="E719" t="s">
        <v>20</v>
      </c>
      <c r="F719" t="s">
        <v>20</v>
      </c>
      <c r="G719" t="str">
        <f>"2025-12-18 13:39:15.765"</f>
        <v>2025-12-18 13:39:15.765</v>
      </c>
      <c r="H719" t="s">
        <v>21</v>
      </c>
      <c r="I719">
        <v>0</v>
      </c>
      <c r="J719" t="s">
        <v>22</v>
      </c>
    </row>
    <row r="720" spans="1:10" x14ac:dyDescent="0.25">
      <c r="A720" s="1">
        <v>40</v>
      </c>
      <c r="B720" t="s">
        <v>19</v>
      </c>
      <c r="C720">
        <v>706</v>
      </c>
      <c r="D720">
        <v>2</v>
      </c>
      <c r="E720" t="s">
        <v>31</v>
      </c>
      <c r="F720" t="s">
        <v>43</v>
      </c>
      <c r="G720" t="str">
        <f>"2025-12-18 13:21:19.470"</f>
        <v>2025-12-18 13:21:19.470</v>
      </c>
      <c r="H720" t="s">
        <v>21</v>
      </c>
      <c r="I720">
        <v>0</v>
      </c>
      <c r="J720" t="s">
        <v>27</v>
      </c>
    </row>
    <row r="721" spans="1:10" x14ac:dyDescent="0.25">
      <c r="A721" s="1">
        <v>41</v>
      </c>
      <c r="B721" t="s">
        <v>19</v>
      </c>
      <c r="C721">
        <v>700</v>
      </c>
      <c r="D721">
        <v>0</v>
      </c>
      <c r="E721" t="s">
        <v>20</v>
      </c>
      <c r="F721" t="s">
        <v>20</v>
      </c>
      <c r="G721" t="str">
        <f>"2025-12-18 13:20:57.770"</f>
        <v>2025-12-18 13:20:57.770</v>
      </c>
      <c r="H721" t="s">
        <v>21</v>
      </c>
    </row>
    <row r="722" spans="1:10" x14ac:dyDescent="0.25">
      <c r="A722" s="1">
        <v>42</v>
      </c>
      <c r="B722" t="s">
        <v>23</v>
      </c>
      <c r="C722">
        <v>635</v>
      </c>
      <c r="D722">
        <v>1</v>
      </c>
      <c r="E722" t="s">
        <v>44</v>
      </c>
      <c r="F722" t="s">
        <v>45</v>
      </c>
      <c r="G722" t="str">
        <f>"2025-12-17 09:22:22.096"</f>
        <v>2025-12-17 09:22:22.096</v>
      </c>
      <c r="H722" t="s">
        <v>21</v>
      </c>
    </row>
    <row r="723" spans="1:10" x14ac:dyDescent="0.25">
      <c r="A723" s="1">
        <v>43</v>
      </c>
      <c r="B723" t="s">
        <v>26</v>
      </c>
      <c r="C723">
        <v>635</v>
      </c>
      <c r="D723">
        <v>1</v>
      </c>
      <c r="E723" t="s">
        <v>44</v>
      </c>
      <c r="F723" t="s">
        <v>45</v>
      </c>
      <c r="G723" t="str">
        <f>"2025-12-17 09:18:44.096"</f>
        <v>2025-12-17 09:18:44.096</v>
      </c>
      <c r="H723" t="s">
        <v>21</v>
      </c>
      <c r="I723">
        <v>4.45</v>
      </c>
      <c r="J723" t="s">
        <v>39</v>
      </c>
    </row>
    <row r="724" spans="1:10" x14ac:dyDescent="0.25">
      <c r="A724" s="1">
        <v>44</v>
      </c>
      <c r="B724" t="s">
        <v>23</v>
      </c>
      <c r="C724">
        <v>635</v>
      </c>
      <c r="D724">
        <v>1</v>
      </c>
      <c r="E724" t="s">
        <v>44</v>
      </c>
      <c r="F724" t="s">
        <v>45</v>
      </c>
      <c r="G724" t="str">
        <f>"2025-12-17 09:09:53.096"</f>
        <v>2025-12-17 09:09:53.096</v>
      </c>
      <c r="H724" t="s">
        <v>21</v>
      </c>
    </row>
    <row r="725" spans="1:10" x14ac:dyDescent="0.25">
      <c r="A725" s="1">
        <v>45</v>
      </c>
      <c r="B725" t="s">
        <v>26</v>
      </c>
      <c r="C725">
        <v>635</v>
      </c>
      <c r="D725">
        <v>1</v>
      </c>
      <c r="E725" t="s">
        <v>44</v>
      </c>
      <c r="F725" t="s">
        <v>45</v>
      </c>
      <c r="G725" t="str">
        <f>"2025-12-17 09:05:53.596"</f>
        <v>2025-12-17 09:05:53.596</v>
      </c>
      <c r="H725" t="s">
        <v>21</v>
      </c>
      <c r="I725">
        <v>4.6399999999999997</v>
      </c>
      <c r="J725" t="s">
        <v>39</v>
      </c>
    </row>
    <row r="726" spans="1:10" x14ac:dyDescent="0.25">
      <c r="A726" s="1">
        <v>46</v>
      </c>
      <c r="B726" t="s">
        <v>23</v>
      </c>
      <c r="C726">
        <v>630</v>
      </c>
      <c r="D726">
        <v>5</v>
      </c>
      <c r="E726" t="s">
        <v>40</v>
      </c>
      <c r="F726" t="s">
        <v>41</v>
      </c>
      <c r="G726" t="str">
        <f>"2025-12-16 20:29:03.596"</f>
        <v>2025-12-16 20:29:03.596</v>
      </c>
      <c r="H726" t="s">
        <v>42</v>
      </c>
    </row>
    <row r="727" spans="1:10" x14ac:dyDescent="0.25">
      <c r="A727" s="1">
        <v>47</v>
      </c>
      <c r="B727" t="s">
        <v>19</v>
      </c>
      <c r="C727">
        <v>706</v>
      </c>
      <c r="D727">
        <v>2</v>
      </c>
      <c r="E727" t="s">
        <v>31</v>
      </c>
      <c r="F727" t="s">
        <v>43</v>
      </c>
      <c r="G727" t="str">
        <f>"2025-12-16 20:28:33.469"</f>
        <v>2025-12-16 20:28:33.469</v>
      </c>
      <c r="H727" t="s">
        <v>21</v>
      </c>
      <c r="I727">
        <v>0</v>
      </c>
      <c r="J727" t="s">
        <v>27</v>
      </c>
    </row>
    <row r="728" spans="1:10" x14ac:dyDescent="0.25">
      <c r="A728" s="1">
        <v>48</v>
      </c>
      <c r="B728" t="s">
        <v>38</v>
      </c>
      <c r="C728">
        <v>630</v>
      </c>
      <c r="D728">
        <v>5</v>
      </c>
      <c r="E728" t="s">
        <v>40</v>
      </c>
      <c r="F728" t="s">
        <v>41</v>
      </c>
      <c r="G728" t="str">
        <f>"2025-12-16 20:24:24.196"</f>
        <v>2025-12-16 20:24:24.196</v>
      </c>
      <c r="H728" t="s">
        <v>42</v>
      </c>
      <c r="I728">
        <v>0</v>
      </c>
      <c r="J728" t="s">
        <v>27</v>
      </c>
    </row>
    <row r="729" spans="1:10" x14ac:dyDescent="0.25">
      <c r="A729" s="1">
        <v>49</v>
      </c>
      <c r="B729" t="s">
        <v>23</v>
      </c>
      <c r="C729">
        <v>635</v>
      </c>
      <c r="D729">
        <v>1</v>
      </c>
      <c r="E729" t="s">
        <v>44</v>
      </c>
      <c r="F729" t="s">
        <v>45</v>
      </c>
      <c r="G729" t="str">
        <f>"2025-12-16 08:42:53.296"</f>
        <v>2025-12-16 08:42:53.296</v>
      </c>
      <c r="H729" t="s">
        <v>21</v>
      </c>
    </row>
    <row r="730" spans="1:10" x14ac:dyDescent="0.25">
      <c r="A730" s="1">
        <v>50</v>
      </c>
      <c r="B730" t="s">
        <v>26</v>
      </c>
      <c r="C730">
        <v>635</v>
      </c>
      <c r="D730">
        <v>1</v>
      </c>
      <c r="E730" t="s">
        <v>44</v>
      </c>
      <c r="F730" t="s">
        <v>45</v>
      </c>
      <c r="G730" t="str">
        <f>"2025-12-16 08:39:10.297"</f>
        <v>2025-12-16 08:39:10.297</v>
      </c>
      <c r="H730" t="s">
        <v>21</v>
      </c>
      <c r="I730">
        <v>7.69</v>
      </c>
      <c r="J730" t="s">
        <v>39</v>
      </c>
    </row>
    <row r="731" spans="1:10" x14ac:dyDescent="0.25">
      <c r="A731" s="1">
        <v>51</v>
      </c>
      <c r="B731" t="s">
        <v>23</v>
      </c>
      <c r="C731">
        <v>98</v>
      </c>
      <c r="D731">
        <v>1</v>
      </c>
      <c r="E731" t="s">
        <v>49</v>
      </c>
      <c r="F731" t="s">
        <v>50</v>
      </c>
      <c r="G731" t="str">
        <f>"2025-12-11 01:37:29.288"</f>
        <v>2025-12-11 01:37:29.288</v>
      </c>
      <c r="H731" t="s">
        <v>21</v>
      </c>
    </row>
    <row r="732" spans="1:10" x14ac:dyDescent="0.25">
      <c r="A732" s="1">
        <v>52</v>
      </c>
      <c r="B732" t="s">
        <v>26</v>
      </c>
      <c r="C732">
        <v>98</v>
      </c>
      <c r="D732">
        <v>1</v>
      </c>
      <c r="E732" t="s">
        <v>49</v>
      </c>
      <c r="F732" t="s">
        <v>50</v>
      </c>
      <c r="G732" t="str">
        <f>"2025-12-11 01:37:28.189"</f>
        <v>2025-12-11 01:37:28.189</v>
      </c>
      <c r="H732" t="s">
        <v>21</v>
      </c>
      <c r="I732">
        <v>16.02</v>
      </c>
      <c r="J732" t="s">
        <v>39</v>
      </c>
    </row>
    <row r="733" spans="1:10" x14ac:dyDescent="0.25">
      <c r="A733" s="1">
        <v>53</v>
      </c>
      <c r="B733" t="s">
        <v>19</v>
      </c>
      <c r="C733">
        <v>700</v>
      </c>
      <c r="D733">
        <v>0</v>
      </c>
      <c r="E733" t="s">
        <v>20</v>
      </c>
      <c r="F733" t="s">
        <v>20</v>
      </c>
      <c r="G733" t="str">
        <f>"2025-12-11 01:16:49.759"</f>
        <v>2025-12-11 01:16:49.759</v>
      </c>
      <c r="H733" t="s">
        <v>21</v>
      </c>
      <c r="I733">
        <v>0</v>
      </c>
      <c r="J733" t="s">
        <v>22</v>
      </c>
    </row>
    <row r="734" spans="1:10" x14ac:dyDescent="0.25">
      <c r="A734" s="1">
        <v>54</v>
      </c>
      <c r="B734" t="s">
        <v>19</v>
      </c>
      <c r="C734">
        <v>700</v>
      </c>
      <c r="D734">
        <v>0</v>
      </c>
      <c r="E734" t="s">
        <v>20</v>
      </c>
      <c r="F734" t="s">
        <v>20</v>
      </c>
      <c r="G734" t="str">
        <f>"2025-12-11 00:06:02.764"</f>
        <v>2025-12-11 00:06:02.764</v>
      </c>
      <c r="H734" t="s">
        <v>21</v>
      </c>
      <c r="I734">
        <v>0</v>
      </c>
      <c r="J734" t="s">
        <v>22</v>
      </c>
    </row>
    <row r="735" spans="1:10" x14ac:dyDescent="0.25">
      <c r="A735" s="1">
        <v>55</v>
      </c>
      <c r="B735" t="s">
        <v>19</v>
      </c>
      <c r="C735">
        <v>706</v>
      </c>
      <c r="D735">
        <v>4</v>
      </c>
      <c r="E735" t="s">
        <v>31</v>
      </c>
      <c r="F735" t="s">
        <v>32</v>
      </c>
      <c r="G735" t="str">
        <f>"2025-12-10 23:49:24.294"</f>
        <v>2025-12-10 23:49:24.294</v>
      </c>
      <c r="H735" t="s">
        <v>21</v>
      </c>
      <c r="I735">
        <v>0</v>
      </c>
      <c r="J735" t="s">
        <v>27</v>
      </c>
    </row>
    <row r="736" spans="1:10" x14ac:dyDescent="0.25">
      <c r="A736" s="1">
        <v>56</v>
      </c>
      <c r="B736" t="s">
        <v>19</v>
      </c>
      <c r="C736">
        <v>700</v>
      </c>
      <c r="D736">
        <v>0</v>
      </c>
      <c r="E736" t="s">
        <v>20</v>
      </c>
      <c r="F736" t="s">
        <v>20</v>
      </c>
      <c r="G736" t="str">
        <f>"2025-12-10 23:15:33.764"</f>
        <v>2025-12-10 23:15:33.764</v>
      </c>
      <c r="H736" t="s">
        <v>21</v>
      </c>
      <c r="I736">
        <v>0</v>
      </c>
      <c r="J736" t="s">
        <v>22</v>
      </c>
    </row>
    <row r="737" spans="1:10" x14ac:dyDescent="0.25">
      <c r="A737" s="1">
        <v>57</v>
      </c>
      <c r="B737" t="s">
        <v>19</v>
      </c>
      <c r="C737">
        <v>700</v>
      </c>
      <c r="D737">
        <v>0</v>
      </c>
      <c r="E737" t="s">
        <v>20</v>
      </c>
      <c r="F737" t="s">
        <v>20</v>
      </c>
      <c r="G737" t="str">
        <f>"2025-12-10 21:10:10.024"</f>
        <v>2025-12-10 21:10:10.024</v>
      </c>
      <c r="H737" t="s">
        <v>21</v>
      </c>
    </row>
    <row r="738" spans="1:10" x14ac:dyDescent="0.25">
      <c r="A738" s="1">
        <v>58</v>
      </c>
      <c r="B738" t="s">
        <v>23</v>
      </c>
      <c r="C738">
        <v>635</v>
      </c>
      <c r="D738">
        <v>1</v>
      </c>
      <c r="E738" t="s">
        <v>44</v>
      </c>
      <c r="F738" t="s">
        <v>45</v>
      </c>
      <c r="G738" t="str">
        <f>"2025-12-08 18:57:29.433"</f>
        <v>2025-12-08 18:57:29.433</v>
      </c>
      <c r="H738" t="s">
        <v>21</v>
      </c>
    </row>
    <row r="739" spans="1:10" x14ac:dyDescent="0.25">
      <c r="A739" s="1">
        <v>59</v>
      </c>
      <c r="B739" t="s">
        <v>26</v>
      </c>
      <c r="C739">
        <v>635</v>
      </c>
      <c r="D739">
        <v>1</v>
      </c>
      <c r="E739" t="s">
        <v>44</v>
      </c>
      <c r="F739" t="s">
        <v>45</v>
      </c>
      <c r="G739" t="str">
        <f>"2025-12-08 18:50:36.432"</f>
        <v>2025-12-08 18:50:36.432</v>
      </c>
      <c r="H739" t="s">
        <v>21</v>
      </c>
      <c r="I739">
        <v>3.27</v>
      </c>
      <c r="J739" t="s">
        <v>30</v>
      </c>
    </row>
    <row r="740" spans="1:10" x14ac:dyDescent="0.25">
      <c r="A740" s="1">
        <v>60</v>
      </c>
      <c r="B740" t="s">
        <v>23</v>
      </c>
      <c r="C740">
        <v>630</v>
      </c>
      <c r="D740">
        <v>5</v>
      </c>
      <c r="E740" t="s">
        <v>40</v>
      </c>
      <c r="F740" t="s">
        <v>41</v>
      </c>
      <c r="G740" t="str">
        <f>"2025-12-08 13:57:17.132"</f>
        <v>2025-12-08 13:57:17.132</v>
      </c>
      <c r="H740" t="s">
        <v>42</v>
      </c>
    </row>
    <row r="741" spans="1:10" x14ac:dyDescent="0.25">
      <c r="A741" s="1">
        <v>61</v>
      </c>
      <c r="B741" t="s">
        <v>19</v>
      </c>
      <c r="C741">
        <v>706</v>
      </c>
      <c r="D741">
        <v>4</v>
      </c>
      <c r="E741" t="s">
        <v>31</v>
      </c>
      <c r="F741" t="s">
        <v>32</v>
      </c>
      <c r="G741" t="str">
        <f>"2025-12-08 13:56:46.993"</f>
        <v>2025-12-08 13:56:46.993</v>
      </c>
      <c r="H741" t="s">
        <v>21</v>
      </c>
      <c r="I741">
        <v>0</v>
      </c>
      <c r="J741" t="s">
        <v>27</v>
      </c>
    </row>
    <row r="742" spans="1:10" x14ac:dyDescent="0.25">
      <c r="A742" s="1">
        <v>62</v>
      </c>
      <c r="B742" t="s">
        <v>38</v>
      </c>
      <c r="C742">
        <v>630</v>
      </c>
      <c r="D742">
        <v>5</v>
      </c>
      <c r="E742" t="s">
        <v>40</v>
      </c>
      <c r="F742" t="s">
        <v>41</v>
      </c>
      <c r="G742" t="str">
        <f>"2025-12-08 13:49:34.633"</f>
        <v>2025-12-08 13:49:34.633</v>
      </c>
      <c r="H742" t="s">
        <v>42</v>
      </c>
      <c r="I742">
        <v>0</v>
      </c>
      <c r="J742" t="s">
        <v>27</v>
      </c>
    </row>
    <row r="743" spans="1:10" x14ac:dyDescent="0.25">
      <c r="A743" s="1">
        <v>63</v>
      </c>
      <c r="B743" t="s">
        <v>19</v>
      </c>
      <c r="C743">
        <v>700</v>
      </c>
      <c r="D743">
        <v>0</v>
      </c>
      <c r="E743" t="s">
        <v>20</v>
      </c>
      <c r="F743" t="s">
        <v>20</v>
      </c>
      <c r="G743" t="str">
        <f>"2025-12-08 13:44:31.783"</f>
        <v>2025-12-08 13:44:31.783</v>
      </c>
      <c r="H743" t="s">
        <v>21</v>
      </c>
    </row>
    <row r="744" spans="1:10" x14ac:dyDescent="0.25">
      <c r="A744" s="1">
        <v>64</v>
      </c>
      <c r="B744" t="s">
        <v>23</v>
      </c>
      <c r="C744">
        <v>630</v>
      </c>
      <c r="D744">
        <v>5</v>
      </c>
      <c r="E744" t="s">
        <v>40</v>
      </c>
      <c r="F744" t="s">
        <v>41</v>
      </c>
      <c r="G744" t="str">
        <f>"2025-12-07 19:59:03.113"</f>
        <v>2025-12-07 19:59:03.113</v>
      </c>
      <c r="H744" t="s">
        <v>42</v>
      </c>
    </row>
    <row r="745" spans="1:10" x14ac:dyDescent="0.25">
      <c r="A745" s="1">
        <v>65</v>
      </c>
      <c r="B745" t="s">
        <v>19</v>
      </c>
      <c r="C745">
        <v>706</v>
      </c>
      <c r="D745">
        <v>2</v>
      </c>
      <c r="E745" t="s">
        <v>31</v>
      </c>
      <c r="F745" t="s">
        <v>43</v>
      </c>
      <c r="G745" t="str">
        <f>"2025-12-07 19:58:33.066"</f>
        <v>2025-12-07 19:58:33.066</v>
      </c>
      <c r="H745" t="s">
        <v>21</v>
      </c>
      <c r="I745">
        <v>0</v>
      </c>
      <c r="J745" t="s">
        <v>27</v>
      </c>
    </row>
    <row r="746" spans="1:10" x14ac:dyDescent="0.25">
      <c r="A746" s="1">
        <v>66</v>
      </c>
      <c r="B746" t="s">
        <v>38</v>
      </c>
      <c r="C746">
        <v>630</v>
      </c>
      <c r="D746">
        <v>5</v>
      </c>
      <c r="E746" t="s">
        <v>40</v>
      </c>
      <c r="F746" t="s">
        <v>41</v>
      </c>
      <c r="G746" t="str">
        <f>"2025-12-07 19:56:15.913"</f>
        <v>2025-12-07 19:56:15.913</v>
      </c>
      <c r="H746" t="s">
        <v>42</v>
      </c>
      <c r="I746">
        <v>0</v>
      </c>
      <c r="J746" t="s">
        <v>27</v>
      </c>
    </row>
    <row r="747" spans="1:10" x14ac:dyDescent="0.25">
      <c r="A747" s="1">
        <v>67</v>
      </c>
      <c r="B747" t="s">
        <v>19</v>
      </c>
      <c r="C747">
        <v>706</v>
      </c>
      <c r="D747">
        <v>2</v>
      </c>
      <c r="E747" t="s">
        <v>31</v>
      </c>
      <c r="F747" t="s">
        <v>43</v>
      </c>
      <c r="G747" t="str">
        <f>"2025-12-07 13:45:12.066"</f>
        <v>2025-12-07 13:45:12.066</v>
      </c>
      <c r="H747" t="s">
        <v>21</v>
      </c>
      <c r="I747">
        <v>0</v>
      </c>
      <c r="J747" t="s">
        <v>27</v>
      </c>
    </row>
    <row r="748" spans="1:10" x14ac:dyDescent="0.25">
      <c r="A748" s="1">
        <v>68</v>
      </c>
      <c r="B748" t="s">
        <v>19</v>
      </c>
      <c r="C748">
        <v>700</v>
      </c>
      <c r="D748">
        <v>0</v>
      </c>
      <c r="E748" t="s">
        <v>20</v>
      </c>
      <c r="F748" t="s">
        <v>20</v>
      </c>
      <c r="G748" t="str">
        <f>"2025-12-07 13:44:46.766"</f>
        <v>2025-12-07 13:44:46.766</v>
      </c>
      <c r="H748" t="s">
        <v>21</v>
      </c>
      <c r="I748">
        <v>0</v>
      </c>
      <c r="J748" t="s">
        <v>22</v>
      </c>
    </row>
    <row r="749" spans="1:10" x14ac:dyDescent="0.25">
      <c r="A749" s="1">
        <v>69</v>
      </c>
      <c r="B749" t="s">
        <v>23</v>
      </c>
      <c r="C749">
        <v>630</v>
      </c>
      <c r="D749">
        <v>5</v>
      </c>
      <c r="E749" t="s">
        <v>40</v>
      </c>
      <c r="F749" t="s">
        <v>41</v>
      </c>
      <c r="G749" t="str">
        <f>"2025-12-06 22:32:15.230"</f>
        <v>2025-12-06 22:32:15.230</v>
      </c>
      <c r="H749" t="s">
        <v>42</v>
      </c>
    </row>
    <row r="750" spans="1:10" x14ac:dyDescent="0.25">
      <c r="A750" s="1">
        <v>70</v>
      </c>
      <c r="B750" t="s">
        <v>19</v>
      </c>
      <c r="C750">
        <v>706</v>
      </c>
      <c r="D750">
        <v>2</v>
      </c>
      <c r="E750" t="s">
        <v>31</v>
      </c>
      <c r="F750" t="s">
        <v>43</v>
      </c>
      <c r="G750" t="str">
        <f>"2025-12-06 22:31:45.099"</f>
        <v>2025-12-06 22:31:45.099</v>
      </c>
      <c r="H750" t="s">
        <v>21</v>
      </c>
      <c r="I750">
        <v>0</v>
      </c>
      <c r="J750" t="s">
        <v>27</v>
      </c>
    </row>
    <row r="751" spans="1:10" x14ac:dyDescent="0.25">
      <c r="A751" s="1">
        <v>71</v>
      </c>
      <c r="B751" t="s">
        <v>38</v>
      </c>
      <c r="C751">
        <v>630</v>
      </c>
      <c r="D751">
        <v>5</v>
      </c>
      <c r="E751" t="s">
        <v>40</v>
      </c>
      <c r="F751" t="s">
        <v>41</v>
      </c>
      <c r="G751" t="str">
        <f>"2025-12-06 22:24:33.930"</f>
        <v>2025-12-06 22:24:33.930</v>
      </c>
      <c r="H751" t="s">
        <v>42</v>
      </c>
      <c r="I751">
        <v>0</v>
      </c>
      <c r="J751" t="s">
        <v>27</v>
      </c>
    </row>
    <row r="752" spans="1:10" x14ac:dyDescent="0.25">
      <c r="A752" s="1">
        <v>73</v>
      </c>
      <c r="B752" t="s">
        <v>23</v>
      </c>
      <c r="C752">
        <v>619</v>
      </c>
      <c r="D752">
        <v>1</v>
      </c>
      <c r="E752" t="s">
        <v>46</v>
      </c>
      <c r="F752" t="s">
        <v>45</v>
      </c>
      <c r="G752" t="str">
        <f>"2025-12-05 20:30:20.876"</f>
        <v>2025-12-05 20:30:20.876</v>
      </c>
      <c r="H752" t="s">
        <v>47</v>
      </c>
    </row>
    <row r="753" spans="1:10" x14ac:dyDescent="0.25">
      <c r="A753" s="1">
        <v>74</v>
      </c>
      <c r="B753" t="s">
        <v>26</v>
      </c>
      <c r="C753">
        <v>619</v>
      </c>
      <c r="D753">
        <v>1</v>
      </c>
      <c r="E753" t="s">
        <v>46</v>
      </c>
      <c r="F753" t="s">
        <v>45</v>
      </c>
      <c r="G753" t="str">
        <f>"2025-12-05 20:29:28.429"</f>
        <v>2025-12-05 20:29:28.429</v>
      </c>
      <c r="H753" t="s">
        <v>47</v>
      </c>
      <c r="I753">
        <v>0</v>
      </c>
      <c r="J753" t="s">
        <v>30</v>
      </c>
    </row>
    <row r="754" spans="1:10" x14ac:dyDescent="0.25">
      <c r="A754" s="1">
        <v>75</v>
      </c>
      <c r="B754" t="s">
        <v>19</v>
      </c>
      <c r="C754">
        <v>700</v>
      </c>
      <c r="D754">
        <v>0</v>
      </c>
      <c r="E754" t="s">
        <v>20</v>
      </c>
      <c r="F754" t="s">
        <v>20</v>
      </c>
      <c r="G754" t="str">
        <f>"2025-12-05 20:28:58.989"</f>
        <v>2025-12-05 20:28:58.989</v>
      </c>
      <c r="H754" t="s">
        <v>21</v>
      </c>
      <c r="I754">
        <v>0</v>
      </c>
      <c r="J754" t="s">
        <v>22</v>
      </c>
    </row>
    <row r="755" spans="1:10" x14ac:dyDescent="0.25">
      <c r="A755" s="1">
        <v>76</v>
      </c>
      <c r="B755" t="s">
        <v>19</v>
      </c>
      <c r="C755">
        <v>706</v>
      </c>
      <c r="D755">
        <v>4</v>
      </c>
      <c r="E755" t="s">
        <v>31</v>
      </c>
      <c r="F755" t="s">
        <v>32</v>
      </c>
      <c r="G755" t="str">
        <f>"2025-12-05 08:36:54.209"</f>
        <v>2025-12-05 08:36:54.209</v>
      </c>
      <c r="H755" t="s">
        <v>21</v>
      </c>
      <c r="I755">
        <v>0</v>
      </c>
      <c r="J755" t="s">
        <v>27</v>
      </c>
    </row>
    <row r="756" spans="1:10" x14ac:dyDescent="0.25">
      <c r="A756" s="1">
        <v>77</v>
      </c>
      <c r="B756" t="s">
        <v>19</v>
      </c>
      <c r="C756">
        <v>700</v>
      </c>
      <c r="D756">
        <v>0</v>
      </c>
      <c r="E756" t="s">
        <v>20</v>
      </c>
      <c r="F756" t="s">
        <v>20</v>
      </c>
      <c r="G756" t="str">
        <f>"2025-12-05 08:36:29.799"</f>
        <v>2025-12-05 08:36:29.799</v>
      </c>
      <c r="H756" t="s">
        <v>21</v>
      </c>
      <c r="I756">
        <v>0</v>
      </c>
      <c r="J756" t="s">
        <v>22</v>
      </c>
    </row>
    <row r="757" spans="1:10" x14ac:dyDescent="0.25">
      <c r="A757" s="1">
        <v>78</v>
      </c>
      <c r="B757" t="s">
        <v>23</v>
      </c>
      <c r="C757">
        <v>635</v>
      </c>
      <c r="D757">
        <v>1</v>
      </c>
      <c r="E757" t="s">
        <v>44</v>
      </c>
      <c r="F757" t="s">
        <v>45</v>
      </c>
      <c r="G757" t="str">
        <f>"2025-12-05 04:33:31.390"</f>
        <v>2025-12-05 04:33:31.390</v>
      </c>
      <c r="H757" t="s">
        <v>21</v>
      </c>
    </row>
    <row r="758" spans="1:10" x14ac:dyDescent="0.25">
      <c r="A758" s="1">
        <v>79</v>
      </c>
      <c r="B758" t="s">
        <v>26</v>
      </c>
      <c r="C758">
        <v>635</v>
      </c>
      <c r="D758">
        <v>1</v>
      </c>
      <c r="E758" t="s">
        <v>44</v>
      </c>
      <c r="F758" t="s">
        <v>45</v>
      </c>
      <c r="G758" t="str">
        <f>"2025-12-05 04:30:31.891"</f>
        <v>2025-12-05 04:30:31.891</v>
      </c>
      <c r="H758" t="s">
        <v>21</v>
      </c>
      <c r="I758">
        <v>-2.11</v>
      </c>
      <c r="J758" t="s">
        <v>39</v>
      </c>
    </row>
    <row r="759" spans="1:10" x14ac:dyDescent="0.25">
      <c r="A759" s="1">
        <v>80</v>
      </c>
      <c r="B759" t="s">
        <v>19</v>
      </c>
      <c r="C759">
        <v>706</v>
      </c>
      <c r="D759">
        <v>2</v>
      </c>
      <c r="E759" t="s">
        <v>31</v>
      </c>
      <c r="F759" t="s">
        <v>43</v>
      </c>
      <c r="G759" t="str">
        <f>"2025-12-05 03:00:04.792"</f>
        <v>2025-12-05 03:00:04.792</v>
      </c>
      <c r="H759" t="s">
        <v>21</v>
      </c>
      <c r="I759">
        <v>0</v>
      </c>
      <c r="J759" t="s">
        <v>27</v>
      </c>
    </row>
    <row r="760" spans="1:10" x14ac:dyDescent="0.25">
      <c r="A760" s="1">
        <v>81</v>
      </c>
      <c r="B760" t="s">
        <v>19</v>
      </c>
      <c r="C760">
        <v>706</v>
      </c>
      <c r="D760">
        <v>3</v>
      </c>
      <c r="E760" t="s">
        <v>31</v>
      </c>
      <c r="F760" t="s">
        <v>48</v>
      </c>
      <c r="G760" t="str">
        <f>"2025-12-05 02:55:26.572"</f>
        <v>2025-12-05 02:55:26.572</v>
      </c>
      <c r="H760" t="s">
        <v>21</v>
      </c>
      <c r="I760">
        <v>0</v>
      </c>
      <c r="J760" t="s">
        <v>27</v>
      </c>
    </row>
    <row r="761" spans="1:10" x14ac:dyDescent="0.25">
      <c r="A761" s="1">
        <v>82</v>
      </c>
      <c r="B761" t="s">
        <v>34</v>
      </c>
      <c r="C761">
        <v>225</v>
      </c>
      <c r="D761">
        <v>5</v>
      </c>
      <c r="E761" t="s">
        <v>60</v>
      </c>
      <c r="F761" t="s">
        <v>61</v>
      </c>
      <c r="G761" t="str">
        <f>"2025-12-04 16:11:51.023"</f>
        <v>2025-12-04 16:11:51.023</v>
      </c>
      <c r="H761" t="s">
        <v>62</v>
      </c>
    </row>
    <row r="762" spans="1:10" x14ac:dyDescent="0.25">
      <c r="A762" s="1">
        <v>83</v>
      </c>
      <c r="B762" t="s">
        <v>38</v>
      </c>
      <c r="C762">
        <v>225</v>
      </c>
      <c r="D762">
        <v>5</v>
      </c>
      <c r="E762" t="s">
        <v>60</v>
      </c>
      <c r="F762" t="s">
        <v>61</v>
      </c>
      <c r="G762" t="str">
        <f>"2025-12-04 16:11:47.896"</f>
        <v>2025-12-04 16:11:47.896</v>
      </c>
      <c r="H762" t="s">
        <v>62</v>
      </c>
      <c r="I762">
        <v>0.59</v>
      </c>
      <c r="J762" t="s">
        <v>39</v>
      </c>
    </row>
    <row r="763" spans="1:10" x14ac:dyDescent="0.25">
      <c r="A763" s="1">
        <v>84</v>
      </c>
      <c r="B763" t="s">
        <v>19</v>
      </c>
      <c r="C763">
        <v>706</v>
      </c>
      <c r="D763">
        <v>2</v>
      </c>
      <c r="E763" t="s">
        <v>31</v>
      </c>
      <c r="F763" t="s">
        <v>43</v>
      </c>
      <c r="G763" t="str">
        <f>"2025-12-04 13:54:19.892"</f>
        <v>2025-12-04 13:54:19.892</v>
      </c>
      <c r="H763" t="s">
        <v>21</v>
      </c>
      <c r="I763">
        <v>0</v>
      </c>
      <c r="J763" t="s">
        <v>27</v>
      </c>
    </row>
    <row r="764" spans="1:10" x14ac:dyDescent="0.25">
      <c r="A764" s="1">
        <v>85</v>
      </c>
      <c r="B764" t="s">
        <v>19</v>
      </c>
      <c r="C764">
        <v>700</v>
      </c>
      <c r="D764">
        <v>0</v>
      </c>
      <c r="E764" t="s">
        <v>20</v>
      </c>
      <c r="F764" t="s">
        <v>20</v>
      </c>
      <c r="G764" t="str">
        <f>"2025-12-04 13:53:56.992"</f>
        <v>2025-12-04 13:53:56.992</v>
      </c>
      <c r="H764" t="s">
        <v>21</v>
      </c>
      <c r="I764">
        <v>0</v>
      </c>
      <c r="J764" t="s">
        <v>22</v>
      </c>
    </row>
    <row r="765" spans="1:10" s="3" customFormat="1" x14ac:dyDescent="0.25">
      <c r="A765" s="2">
        <v>87</v>
      </c>
      <c r="B765" s="3" t="s">
        <v>23</v>
      </c>
      <c r="C765" s="3">
        <v>647</v>
      </c>
      <c r="D765" s="3">
        <v>1</v>
      </c>
      <c r="E765" s="3" t="s">
        <v>28</v>
      </c>
      <c r="F765" s="3" t="s">
        <v>29</v>
      </c>
      <c r="G765" s="3" t="str">
        <f>"2025-12-01 14:35:12.815"</f>
        <v>2025-12-01 14:35:12.815</v>
      </c>
      <c r="H765" s="3" t="s">
        <v>21</v>
      </c>
    </row>
    <row r="766" spans="1:10" s="3" customFormat="1" x14ac:dyDescent="0.25">
      <c r="A766" s="2">
        <v>88</v>
      </c>
      <c r="B766" s="3" t="s">
        <v>26</v>
      </c>
      <c r="C766" s="3">
        <v>647</v>
      </c>
      <c r="D766" s="3">
        <v>1</v>
      </c>
      <c r="E766" s="3" t="s">
        <v>28</v>
      </c>
      <c r="F766" s="3" t="s">
        <v>29</v>
      </c>
      <c r="G766" s="3" t="str">
        <f>"2025-12-01 14:35:08.315"</f>
        <v>2025-12-01 14:35:08.315</v>
      </c>
      <c r="H766" s="3" t="s">
        <v>21</v>
      </c>
      <c r="I766" s="3">
        <v>12.27</v>
      </c>
      <c r="J766" s="3" t="s">
        <v>33</v>
      </c>
    </row>
    <row r="767" spans="1:10" s="3" customFormat="1" x14ac:dyDescent="0.25">
      <c r="A767" s="2">
        <v>89</v>
      </c>
      <c r="B767" s="3" t="s">
        <v>23</v>
      </c>
      <c r="C767" s="3">
        <v>647</v>
      </c>
      <c r="D767" s="3">
        <v>1</v>
      </c>
      <c r="E767" s="3" t="s">
        <v>28</v>
      </c>
      <c r="F767" s="3" t="s">
        <v>29</v>
      </c>
      <c r="G767" s="3" t="str">
        <f>"2025-11-30 19:11:13.115"</f>
        <v>2025-11-30 19:11:13.115</v>
      </c>
      <c r="H767" s="3" t="s">
        <v>21</v>
      </c>
    </row>
    <row r="768" spans="1:10" s="3" customFormat="1" x14ac:dyDescent="0.25">
      <c r="A768" s="2">
        <v>90</v>
      </c>
      <c r="B768" s="3" t="s">
        <v>26</v>
      </c>
      <c r="C768" s="3">
        <v>647</v>
      </c>
      <c r="D768" s="3">
        <v>1</v>
      </c>
      <c r="E768" s="3" t="s">
        <v>28</v>
      </c>
      <c r="F768" s="3" t="s">
        <v>29</v>
      </c>
      <c r="G768" s="3" t="str">
        <f>"2025-11-30 19:11:07.215"</f>
        <v>2025-11-30 19:11:07.215</v>
      </c>
      <c r="H768" s="3" t="s">
        <v>21</v>
      </c>
      <c r="I768" s="3">
        <v>19.489999999999998</v>
      </c>
      <c r="J768" s="3" t="s">
        <v>33</v>
      </c>
    </row>
    <row r="769" spans="1:10" s="3" customFormat="1" x14ac:dyDescent="0.25">
      <c r="A769" s="2">
        <v>91</v>
      </c>
      <c r="B769" s="3" t="s">
        <v>23</v>
      </c>
      <c r="C769" s="3">
        <v>647</v>
      </c>
      <c r="D769" s="3">
        <v>1</v>
      </c>
      <c r="E769" s="3" t="s">
        <v>28</v>
      </c>
      <c r="F769" s="3" t="s">
        <v>29</v>
      </c>
      <c r="G769" s="3" t="str">
        <f>"2025-11-30 10:20:51.715"</f>
        <v>2025-11-30 10:20:51.715</v>
      </c>
      <c r="H769" s="3" t="s">
        <v>21</v>
      </c>
    </row>
    <row r="770" spans="1:10" s="3" customFormat="1" x14ac:dyDescent="0.25">
      <c r="A770" s="2">
        <v>92</v>
      </c>
      <c r="B770" s="3" t="s">
        <v>26</v>
      </c>
      <c r="C770" s="3">
        <v>647</v>
      </c>
      <c r="D770" s="3">
        <v>1</v>
      </c>
      <c r="E770" s="3" t="s">
        <v>28</v>
      </c>
      <c r="F770" s="3" t="s">
        <v>29</v>
      </c>
      <c r="G770" s="3" t="str">
        <f>"2025-11-30 10:20:48.415"</f>
        <v>2025-11-30 10:20:48.415</v>
      </c>
      <c r="H770" s="3" t="s">
        <v>21</v>
      </c>
      <c r="I770" s="3">
        <v>9.84</v>
      </c>
      <c r="J770" s="3" t="s">
        <v>33</v>
      </c>
    </row>
    <row r="771" spans="1:10" x14ac:dyDescent="0.25">
      <c r="A771" s="1">
        <v>93</v>
      </c>
      <c r="B771" t="s">
        <v>23</v>
      </c>
      <c r="C771">
        <v>630</v>
      </c>
      <c r="D771">
        <v>5</v>
      </c>
      <c r="E771" t="s">
        <v>40</v>
      </c>
      <c r="F771" t="s">
        <v>41</v>
      </c>
      <c r="G771" t="str">
        <f>"2025-11-30 01:23:50.915"</f>
        <v>2025-11-30 01:23:50.915</v>
      </c>
      <c r="H771" t="s">
        <v>42</v>
      </c>
    </row>
    <row r="772" spans="1:10" x14ac:dyDescent="0.25">
      <c r="A772" s="1">
        <v>94</v>
      </c>
      <c r="B772" t="s">
        <v>19</v>
      </c>
      <c r="C772">
        <v>706</v>
      </c>
      <c r="D772">
        <v>2</v>
      </c>
      <c r="E772" t="s">
        <v>31</v>
      </c>
      <c r="F772" t="s">
        <v>43</v>
      </c>
      <c r="G772" t="str">
        <f>"2025-11-30 01:23:20.750"</f>
        <v>2025-11-30 01:23:20.750</v>
      </c>
      <c r="H772" t="s">
        <v>21</v>
      </c>
      <c r="I772">
        <v>0</v>
      </c>
      <c r="J772" t="s">
        <v>27</v>
      </c>
    </row>
    <row r="773" spans="1:10" x14ac:dyDescent="0.25">
      <c r="A773" s="1">
        <v>95</v>
      </c>
      <c r="B773" t="s">
        <v>38</v>
      </c>
      <c r="C773">
        <v>630</v>
      </c>
      <c r="D773">
        <v>5</v>
      </c>
      <c r="E773" t="s">
        <v>40</v>
      </c>
      <c r="F773" t="s">
        <v>41</v>
      </c>
      <c r="G773" t="str">
        <f>"2025-11-30 00:25:48.515"</f>
        <v>2025-11-30 00:25:48.515</v>
      </c>
      <c r="H773" t="s">
        <v>42</v>
      </c>
      <c r="I773">
        <v>0</v>
      </c>
      <c r="J773" t="s">
        <v>27</v>
      </c>
    </row>
    <row r="774" spans="1:10" x14ac:dyDescent="0.25">
      <c r="A774" s="1">
        <v>96</v>
      </c>
      <c r="B774" t="s">
        <v>19</v>
      </c>
      <c r="C774">
        <v>700</v>
      </c>
      <c r="D774">
        <v>0</v>
      </c>
      <c r="E774" t="s">
        <v>20</v>
      </c>
      <c r="F774" t="s">
        <v>20</v>
      </c>
      <c r="G774" t="str">
        <f>"2025-11-30 00:20:45.770"</f>
        <v>2025-11-30 00:20:45.770</v>
      </c>
      <c r="H774" t="s">
        <v>21</v>
      </c>
      <c r="I774">
        <v>0</v>
      </c>
      <c r="J774" t="s">
        <v>22</v>
      </c>
    </row>
    <row r="775" spans="1:10" x14ac:dyDescent="0.25">
      <c r="A775" s="1">
        <v>97</v>
      </c>
      <c r="B775" t="s">
        <v>23</v>
      </c>
      <c r="C775">
        <v>630</v>
      </c>
      <c r="D775">
        <v>5</v>
      </c>
      <c r="E775" t="s">
        <v>40</v>
      </c>
      <c r="F775" t="s">
        <v>41</v>
      </c>
      <c r="G775" t="str">
        <f>"2025-11-30 00:17:49.166"</f>
        <v>2025-11-30 00:17:49.166</v>
      </c>
      <c r="H775" t="s">
        <v>42</v>
      </c>
    </row>
    <row r="776" spans="1:10" x14ac:dyDescent="0.25">
      <c r="A776" s="1">
        <v>98</v>
      </c>
      <c r="B776" t="s">
        <v>19</v>
      </c>
      <c r="C776">
        <v>706</v>
      </c>
      <c r="D776">
        <v>2</v>
      </c>
      <c r="E776" t="s">
        <v>31</v>
      </c>
      <c r="F776" t="s">
        <v>43</v>
      </c>
      <c r="G776" t="str">
        <f>"2025-11-30 00:17:19.008"</f>
        <v>2025-11-30 00:17:19.008</v>
      </c>
      <c r="H776" t="s">
        <v>21</v>
      </c>
      <c r="I776">
        <v>0</v>
      </c>
      <c r="J776" t="s">
        <v>27</v>
      </c>
    </row>
    <row r="777" spans="1:10" x14ac:dyDescent="0.25">
      <c r="A777" s="1">
        <v>99</v>
      </c>
      <c r="B777" t="s">
        <v>19</v>
      </c>
      <c r="C777">
        <v>706</v>
      </c>
      <c r="D777">
        <v>4</v>
      </c>
      <c r="E777" t="s">
        <v>31</v>
      </c>
      <c r="F777" t="s">
        <v>32</v>
      </c>
      <c r="G777" t="str">
        <f>"2025-11-30 00:17:05.498"</f>
        <v>2025-11-30 00:17:05.498</v>
      </c>
      <c r="H777" t="s">
        <v>21</v>
      </c>
      <c r="I777">
        <v>0</v>
      </c>
      <c r="J777" t="s">
        <v>27</v>
      </c>
    </row>
    <row r="778" spans="1:10" x14ac:dyDescent="0.25">
      <c r="A778" s="1">
        <v>0</v>
      </c>
      <c r="B778" t="s">
        <v>38</v>
      </c>
      <c r="C778">
        <v>630</v>
      </c>
      <c r="D778">
        <v>5</v>
      </c>
      <c r="E778" t="s">
        <v>40</v>
      </c>
      <c r="F778" t="s">
        <v>41</v>
      </c>
      <c r="G778" t="str">
        <f>"2025-11-30 00:11:17.567"</f>
        <v>2025-11-30 00:11:17.567</v>
      </c>
      <c r="H778" t="s">
        <v>42</v>
      </c>
      <c r="I778">
        <v>0</v>
      </c>
      <c r="J778" t="s">
        <v>27</v>
      </c>
    </row>
    <row r="779" spans="1:10" x14ac:dyDescent="0.25">
      <c r="A779" s="1">
        <v>1</v>
      </c>
      <c r="B779" t="s">
        <v>19</v>
      </c>
      <c r="C779">
        <v>700</v>
      </c>
      <c r="D779">
        <v>0</v>
      </c>
      <c r="E779" t="s">
        <v>20</v>
      </c>
      <c r="F779" t="s">
        <v>20</v>
      </c>
      <c r="G779" t="str">
        <f>"2025-11-30 00:06:14.768"</f>
        <v>2025-11-30 00:06:14.768</v>
      </c>
      <c r="H779" t="s">
        <v>21</v>
      </c>
      <c r="I779">
        <v>0</v>
      </c>
      <c r="J779" t="s">
        <v>22</v>
      </c>
    </row>
    <row r="780" spans="1:10" x14ac:dyDescent="0.25">
      <c r="A780" s="1">
        <v>2</v>
      </c>
      <c r="B780" t="s">
        <v>19</v>
      </c>
      <c r="C780">
        <v>700</v>
      </c>
      <c r="D780">
        <v>0</v>
      </c>
      <c r="E780" t="s">
        <v>20</v>
      </c>
      <c r="F780" t="s">
        <v>20</v>
      </c>
      <c r="G780" t="str">
        <f>"2025-11-29 23:27:12.824"</f>
        <v>2025-11-29 23:27:12.824</v>
      </c>
      <c r="H780" t="s">
        <v>21</v>
      </c>
      <c r="I780">
        <v>0</v>
      </c>
      <c r="J780" t="s">
        <v>22</v>
      </c>
    </row>
    <row r="781" spans="1:10" x14ac:dyDescent="0.25">
      <c r="A781" s="1">
        <v>3</v>
      </c>
      <c r="B781" t="s">
        <v>38</v>
      </c>
      <c r="C781">
        <v>630</v>
      </c>
      <c r="D781">
        <v>5</v>
      </c>
      <c r="E781" t="s">
        <v>40</v>
      </c>
      <c r="F781" t="s">
        <v>41</v>
      </c>
      <c r="G781" t="str">
        <f>"2025-11-29 23:04:21.205"</f>
        <v>2025-11-29 23:04:21.205</v>
      </c>
      <c r="H781" t="s">
        <v>42</v>
      </c>
      <c r="I781">
        <v>0</v>
      </c>
      <c r="J781" t="s">
        <v>27</v>
      </c>
    </row>
    <row r="782" spans="1:10" x14ac:dyDescent="0.25">
      <c r="A782" s="1">
        <v>4</v>
      </c>
      <c r="B782" t="s">
        <v>23</v>
      </c>
      <c r="C782">
        <v>635</v>
      </c>
      <c r="D782">
        <v>1</v>
      </c>
      <c r="E782" t="s">
        <v>44</v>
      </c>
      <c r="F782" t="s">
        <v>45</v>
      </c>
      <c r="G782" t="str">
        <f>"2025-11-29 19:04:52.351"</f>
        <v>2025-11-29 19:04:52.351</v>
      </c>
      <c r="H782" t="s">
        <v>21</v>
      </c>
    </row>
    <row r="783" spans="1:10" x14ac:dyDescent="0.25">
      <c r="A783" s="1">
        <v>5</v>
      </c>
      <c r="B783" t="s">
        <v>26</v>
      </c>
      <c r="C783">
        <v>635</v>
      </c>
      <c r="D783">
        <v>1</v>
      </c>
      <c r="E783" t="s">
        <v>44</v>
      </c>
      <c r="F783" t="s">
        <v>45</v>
      </c>
      <c r="G783" t="str">
        <f>"2025-11-29 19:00:08.351"</f>
        <v>2025-11-29 19:00:08.351</v>
      </c>
      <c r="H783" t="s">
        <v>21</v>
      </c>
      <c r="I783">
        <v>3.21</v>
      </c>
      <c r="J783" t="s">
        <v>39</v>
      </c>
    </row>
    <row r="784" spans="1:10" x14ac:dyDescent="0.25">
      <c r="A784" s="1">
        <v>6</v>
      </c>
      <c r="B784" t="s">
        <v>23</v>
      </c>
      <c r="C784">
        <v>630</v>
      </c>
      <c r="D784">
        <v>5</v>
      </c>
      <c r="E784" t="s">
        <v>40</v>
      </c>
      <c r="F784" t="s">
        <v>41</v>
      </c>
      <c r="G784" t="str">
        <f>"2025-11-28 21:34:56.705"</f>
        <v>2025-11-28 21:34:56.705</v>
      </c>
      <c r="H784" t="s">
        <v>42</v>
      </c>
    </row>
    <row r="785" spans="1:10" x14ac:dyDescent="0.25">
      <c r="A785" s="1">
        <v>7</v>
      </c>
      <c r="B785" t="s">
        <v>19</v>
      </c>
      <c r="C785">
        <v>706</v>
      </c>
      <c r="D785">
        <v>4</v>
      </c>
      <c r="E785" t="s">
        <v>31</v>
      </c>
      <c r="F785" t="s">
        <v>32</v>
      </c>
      <c r="G785" t="str">
        <f>"2025-11-28 21:34:26.593"</f>
        <v>2025-11-28 21:34:26.593</v>
      </c>
      <c r="H785" t="s">
        <v>21</v>
      </c>
      <c r="I785">
        <v>0</v>
      </c>
      <c r="J785" t="s">
        <v>27</v>
      </c>
    </row>
    <row r="786" spans="1:10" x14ac:dyDescent="0.25">
      <c r="A786" s="1">
        <v>8</v>
      </c>
      <c r="B786" t="s">
        <v>38</v>
      </c>
      <c r="C786">
        <v>630</v>
      </c>
      <c r="D786">
        <v>5</v>
      </c>
      <c r="E786" t="s">
        <v>40</v>
      </c>
      <c r="F786" t="s">
        <v>41</v>
      </c>
      <c r="G786" t="str">
        <f>"2025-11-28 21:29:15.505"</f>
        <v>2025-11-28 21:29:15.505</v>
      </c>
      <c r="H786" t="s">
        <v>42</v>
      </c>
      <c r="I786">
        <v>0</v>
      </c>
      <c r="J786" t="s">
        <v>27</v>
      </c>
    </row>
    <row r="787" spans="1:10" x14ac:dyDescent="0.25">
      <c r="A787" s="1">
        <v>9</v>
      </c>
      <c r="B787" t="s">
        <v>19</v>
      </c>
      <c r="C787">
        <v>700</v>
      </c>
      <c r="D787">
        <v>0</v>
      </c>
      <c r="E787" t="s">
        <v>20</v>
      </c>
      <c r="F787" t="s">
        <v>20</v>
      </c>
      <c r="G787" t="str">
        <f>"2025-11-28 21:24:12.753"</f>
        <v>2025-11-28 21:24:12.753</v>
      </c>
      <c r="H787" t="s">
        <v>21</v>
      </c>
      <c r="I787">
        <v>0</v>
      </c>
      <c r="J787" t="s">
        <v>22</v>
      </c>
    </row>
    <row r="788" spans="1:10" x14ac:dyDescent="0.25">
      <c r="A788" s="1">
        <v>10</v>
      </c>
      <c r="B788" t="s">
        <v>23</v>
      </c>
      <c r="C788">
        <v>630</v>
      </c>
      <c r="D788">
        <v>5</v>
      </c>
      <c r="E788" t="s">
        <v>40</v>
      </c>
      <c r="F788" t="s">
        <v>41</v>
      </c>
      <c r="G788" t="str">
        <f>"2025-11-28 19:45:41.112"</f>
        <v>2025-11-28 19:45:41.112</v>
      </c>
      <c r="H788" t="s">
        <v>42</v>
      </c>
    </row>
    <row r="789" spans="1:10" x14ac:dyDescent="0.25">
      <c r="A789" s="1">
        <v>11</v>
      </c>
      <c r="B789" t="s">
        <v>19</v>
      </c>
      <c r="C789">
        <v>706</v>
      </c>
      <c r="D789">
        <v>4</v>
      </c>
      <c r="E789" t="s">
        <v>31</v>
      </c>
      <c r="F789" t="s">
        <v>32</v>
      </c>
      <c r="G789" t="str">
        <f>"2025-11-28 19:45:10.990"</f>
        <v>2025-11-28 19:45:10.990</v>
      </c>
      <c r="H789" t="s">
        <v>21</v>
      </c>
      <c r="I789">
        <v>0</v>
      </c>
      <c r="J789" t="s">
        <v>27</v>
      </c>
    </row>
    <row r="790" spans="1:10" x14ac:dyDescent="0.25">
      <c r="A790" s="1">
        <v>12</v>
      </c>
      <c r="B790" t="s">
        <v>38</v>
      </c>
      <c r="C790">
        <v>630</v>
      </c>
      <c r="D790">
        <v>5</v>
      </c>
      <c r="E790" t="s">
        <v>40</v>
      </c>
      <c r="F790" t="s">
        <v>41</v>
      </c>
      <c r="G790" t="str">
        <f>"2025-11-28 19:36:01.512"</f>
        <v>2025-11-28 19:36:01.512</v>
      </c>
      <c r="H790" t="s">
        <v>42</v>
      </c>
      <c r="I790">
        <v>0</v>
      </c>
      <c r="J790" t="s">
        <v>27</v>
      </c>
    </row>
    <row r="791" spans="1:10" x14ac:dyDescent="0.25">
      <c r="A791" s="1">
        <v>13</v>
      </c>
      <c r="B791" t="s">
        <v>19</v>
      </c>
      <c r="C791">
        <v>700</v>
      </c>
      <c r="D791">
        <v>0</v>
      </c>
      <c r="E791" t="s">
        <v>20</v>
      </c>
      <c r="F791" t="s">
        <v>20</v>
      </c>
      <c r="G791" t="str">
        <f>"2025-11-28 19:30:58.760"</f>
        <v>2025-11-28 19:30:58.760</v>
      </c>
      <c r="H791" t="s">
        <v>21</v>
      </c>
    </row>
    <row r="792" spans="1:10" x14ac:dyDescent="0.25">
      <c r="A792" s="1">
        <v>14</v>
      </c>
      <c r="B792" t="s">
        <v>19</v>
      </c>
      <c r="C792">
        <v>700</v>
      </c>
      <c r="D792">
        <v>0</v>
      </c>
      <c r="E792" t="s">
        <v>20</v>
      </c>
      <c r="F792" t="s">
        <v>20</v>
      </c>
      <c r="G792" t="str">
        <f>"2025-11-28 18:09:49.961"</f>
        <v>2025-11-28 18:09:49.961</v>
      </c>
      <c r="H792" t="s">
        <v>21</v>
      </c>
      <c r="I792">
        <v>0</v>
      </c>
      <c r="J792" t="s">
        <v>22</v>
      </c>
    </row>
    <row r="793" spans="1:10" x14ac:dyDescent="0.25">
      <c r="A793" s="1">
        <v>16</v>
      </c>
      <c r="B793" t="s">
        <v>23</v>
      </c>
      <c r="C793">
        <v>619</v>
      </c>
      <c r="D793">
        <v>1</v>
      </c>
      <c r="E793" t="s">
        <v>46</v>
      </c>
      <c r="F793" t="s">
        <v>45</v>
      </c>
      <c r="G793" t="str">
        <f>"2025-11-26 00:58:10.161"</f>
        <v>2025-11-26 00:58:10.161</v>
      </c>
      <c r="H793" t="s">
        <v>47</v>
      </c>
    </row>
    <row r="794" spans="1:10" x14ac:dyDescent="0.25">
      <c r="A794" s="1">
        <v>17</v>
      </c>
      <c r="B794" t="s">
        <v>26</v>
      </c>
      <c r="C794">
        <v>619</v>
      </c>
      <c r="D794">
        <v>1</v>
      </c>
      <c r="E794" t="s">
        <v>46</v>
      </c>
      <c r="F794" t="s">
        <v>45</v>
      </c>
      <c r="G794" t="str">
        <f>"2025-11-26 00:57:05.708"</f>
        <v>2025-11-26 00:57:05.708</v>
      </c>
      <c r="H794" t="s">
        <v>47</v>
      </c>
      <c r="I794">
        <v>0</v>
      </c>
      <c r="J794" t="s">
        <v>27</v>
      </c>
    </row>
    <row r="795" spans="1:10" x14ac:dyDescent="0.25">
      <c r="A795" s="1">
        <v>18</v>
      </c>
      <c r="B795" t="s">
        <v>19</v>
      </c>
      <c r="C795">
        <v>706</v>
      </c>
      <c r="D795">
        <v>2</v>
      </c>
      <c r="E795" t="s">
        <v>31</v>
      </c>
      <c r="F795" t="s">
        <v>43</v>
      </c>
      <c r="G795" t="str">
        <f>"2025-11-26 00:57:01.031"</f>
        <v>2025-11-26 00:57:01.031</v>
      </c>
      <c r="H795" t="s">
        <v>21</v>
      </c>
      <c r="I795">
        <v>0</v>
      </c>
      <c r="J795" t="s">
        <v>27</v>
      </c>
    </row>
    <row r="796" spans="1:10" x14ac:dyDescent="0.25">
      <c r="A796" s="1">
        <v>19</v>
      </c>
      <c r="B796" t="s">
        <v>19</v>
      </c>
      <c r="C796">
        <v>700</v>
      </c>
      <c r="D796">
        <v>0</v>
      </c>
      <c r="E796" t="s">
        <v>20</v>
      </c>
      <c r="F796" t="s">
        <v>20</v>
      </c>
      <c r="G796" t="str">
        <f>"2025-11-26 00:55:14.811"</f>
        <v>2025-11-26 00:55:14.811</v>
      </c>
      <c r="H796" t="s">
        <v>21</v>
      </c>
      <c r="I796">
        <v>0</v>
      </c>
      <c r="J796" t="s">
        <v>22</v>
      </c>
    </row>
    <row r="797" spans="1:10" x14ac:dyDescent="0.25">
      <c r="A797" s="1">
        <v>20</v>
      </c>
      <c r="B797" t="s">
        <v>19</v>
      </c>
      <c r="C797">
        <v>700</v>
      </c>
      <c r="D797">
        <v>0</v>
      </c>
      <c r="E797" t="s">
        <v>20</v>
      </c>
      <c r="F797" t="s">
        <v>20</v>
      </c>
      <c r="G797" t="str">
        <f>"2025-11-25 23:44:35.752"</f>
        <v>2025-11-25 23:44:35.752</v>
      </c>
      <c r="H797" t="s">
        <v>21</v>
      </c>
      <c r="I797">
        <v>0</v>
      </c>
      <c r="J797" t="s">
        <v>22</v>
      </c>
    </row>
    <row r="798" spans="1:10" x14ac:dyDescent="0.25">
      <c r="A798" s="1">
        <v>21</v>
      </c>
      <c r="B798" t="s">
        <v>19</v>
      </c>
      <c r="C798">
        <v>700</v>
      </c>
      <c r="D798">
        <v>0</v>
      </c>
      <c r="E798" t="s">
        <v>20</v>
      </c>
      <c r="F798" t="s">
        <v>20</v>
      </c>
      <c r="G798" t="str">
        <f>"2025-11-25 22:40:42.754"</f>
        <v>2025-11-25 22:40:42.754</v>
      </c>
      <c r="H798" t="s">
        <v>21</v>
      </c>
      <c r="I798">
        <v>0</v>
      </c>
      <c r="J798" t="s">
        <v>22</v>
      </c>
    </row>
    <row r="799" spans="1:10" x14ac:dyDescent="0.25">
      <c r="A799" s="1">
        <v>22</v>
      </c>
      <c r="B799" t="s">
        <v>19</v>
      </c>
      <c r="C799">
        <v>700</v>
      </c>
      <c r="D799">
        <v>0</v>
      </c>
      <c r="E799" t="s">
        <v>20</v>
      </c>
      <c r="F799" t="s">
        <v>20</v>
      </c>
      <c r="G799" t="str">
        <f>"2025-11-25 22:38:23.742"</f>
        <v>2025-11-25 22:38:23.742</v>
      </c>
      <c r="H799" t="s">
        <v>21</v>
      </c>
      <c r="I799">
        <v>0</v>
      </c>
      <c r="J799" t="s">
        <v>22</v>
      </c>
    </row>
    <row r="800" spans="1:10" x14ac:dyDescent="0.25">
      <c r="A800" s="1">
        <v>23</v>
      </c>
      <c r="B800" t="s">
        <v>19</v>
      </c>
      <c r="C800">
        <v>700</v>
      </c>
      <c r="D800">
        <v>0</v>
      </c>
      <c r="E800" t="s">
        <v>20</v>
      </c>
      <c r="F800" t="s">
        <v>20</v>
      </c>
      <c r="G800" t="str">
        <f>"2025-11-25 22:35:27.752"</f>
        <v>2025-11-25 22:35:27.752</v>
      </c>
      <c r="H800" t="s">
        <v>21</v>
      </c>
    </row>
    <row r="801" spans="1:10" x14ac:dyDescent="0.25">
      <c r="A801" s="1">
        <v>24</v>
      </c>
      <c r="B801" t="s">
        <v>19</v>
      </c>
      <c r="C801">
        <v>700</v>
      </c>
      <c r="D801">
        <v>0</v>
      </c>
      <c r="E801" t="s">
        <v>20</v>
      </c>
      <c r="F801" t="s">
        <v>20</v>
      </c>
      <c r="G801" t="str">
        <f>"2025-11-25 22:25:14.744"</f>
        <v>2025-11-25 22:25:14.744</v>
      </c>
      <c r="H801" t="s">
        <v>21</v>
      </c>
    </row>
    <row r="802" spans="1:10" x14ac:dyDescent="0.25">
      <c r="A802" s="1">
        <v>25</v>
      </c>
      <c r="B802" t="s">
        <v>19</v>
      </c>
      <c r="C802">
        <v>700</v>
      </c>
      <c r="D802">
        <v>0</v>
      </c>
      <c r="E802" t="s">
        <v>20</v>
      </c>
      <c r="F802" t="s">
        <v>20</v>
      </c>
      <c r="G802" t="str">
        <f>"2025-11-24 13:40:51.751"</f>
        <v>2025-11-24 13:40:51.751</v>
      </c>
      <c r="H802" t="s">
        <v>21</v>
      </c>
      <c r="I802">
        <v>0</v>
      </c>
      <c r="J802" t="s">
        <v>22</v>
      </c>
    </row>
    <row r="803" spans="1:10" x14ac:dyDescent="0.25">
      <c r="A803" s="1">
        <v>26</v>
      </c>
      <c r="B803" t="s">
        <v>19</v>
      </c>
      <c r="C803">
        <v>700</v>
      </c>
      <c r="D803">
        <v>0</v>
      </c>
      <c r="E803" t="s">
        <v>20</v>
      </c>
      <c r="F803" t="s">
        <v>20</v>
      </c>
      <c r="G803" t="str">
        <f>"2025-11-24 05:02:55.747"</f>
        <v>2025-11-24 05:02:55.747</v>
      </c>
      <c r="H803" t="s">
        <v>21</v>
      </c>
    </row>
    <row r="804" spans="1:10" x14ac:dyDescent="0.25">
      <c r="A804" s="1">
        <v>27</v>
      </c>
      <c r="B804" t="s">
        <v>19</v>
      </c>
      <c r="C804">
        <v>700</v>
      </c>
      <c r="D804">
        <v>0</v>
      </c>
      <c r="E804" t="s">
        <v>20</v>
      </c>
      <c r="F804" t="s">
        <v>20</v>
      </c>
      <c r="G804" t="str">
        <f>"2025-11-24 04:54:49.789"</f>
        <v>2025-11-24 04:54:49.789</v>
      </c>
      <c r="H804" t="s">
        <v>21</v>
      </c>
    </row>
    <row r="805" spans="1:10" x14ac:dyDescent="0.25">
      <c r="A805" s="1">
        <v>28</v>
      </c>
      <c r="B805" t="s">
        <v>19</v>
      </c>
      <c r="C805">
        <v>700</v>
      </c>
      <c r="D805">
        <v>0</v>
      </c>
      <c r="E805" t="s">
        <v>20</v>
      </c>
      <c r="F805" t="s">
        <v>20</v>
      </c>
      <c r="G805" t="str">
        <f>"2025-11-23 06:13:21.777"</f>
        <v>2025-11-23 06:13:21.777</v>
      </c>
      <c r="H805" t="s">
        <v>21</v>
      </c>
      <c r="I805">
        <v>0</v>
      </c>
      <c r="J805" t="s">
        <v>22</v>
      </c>
    </row>
    <row r="806" spans="1:10" x14ac:dyDescent="0.25">
      <c r="A806" s="1">
        <v>29</v>
      </c>
      <c r="B806" t="s">
        <v>19</v>
      </c>
      <c r="C806">
        <v>700</v>
      </c>
      <c r="D806">
        <v>0</v>
      </c>
      <c r="E806" t="s">
        <v>20</v>
      </c>
      <c r="F806" t="s">
        <v>20</v>
      </c>
      <c r="G806" t="str">
        <f>"2025-11-22 23:04:29.956"</f>
        <v>2025-11-22 23:04:29.956</v>
      </c>
      <c r="H806" t="s">
        <v>21</v>
      </c>
      <c r="I806">
        <v>0</v>
      </c>
      <c r="J806" t="s">
        <v>22</v>
      </c>
    </row>
    <row r="807" spans="1:10" x14ac:dyDescent="0.25">
      <c r="A807" s="1">
        <v>30</v>
      </c>
      <c r="B807" t="s">
        <v>23</v>
      </c>
      <c r="C807">
        <v>98</v>
      </c>
      <c r="D807">
        <v>1</v>
      </c>
      <c r="E807" t="s">
        <v>49</v>
      </c>
      <c r="F807" t="s">
        <v>50</v>
      </c>
      <c r="G807" t="str">
        <f>"2025-11-21 21:12:48.709"</f>
        <v>2025-11-21 21:12:48.709</v>
      </c>
      <c r="H807" t="s">
        <v>21</v>
      </c>
    </row>
    <row r="808" spans="1:10" x14ac:dyDescent="0.25">
      <c r="A808" s="1">
        <v>31</v>
      </c>
      <c r="B808" t="s">
        <v>26</v>
      </c>
      <c r="C808">
        <v>98</v>
      </c>
      <c r="D808">
        <v>1</v>
      </c>
      <c r="E808" t="s">
        <v>49</v>
      </c>
      <c r="F808" t="s">
        <v>50</v>
      </c>
      <c r="G808" t="str">
        <f>"2025-11-21 21:12:47.610"</f>
        <v>2025-11-21 21:12:47.610</v>
      </c>
      <c r="H808" t="s">
        <v>21</v>
      </c>
      <c r="I808">
        <v>0</v>
      </c>
      <c r="J808" t="s">
        <v>30</v>
      </c>
    </row>
    <row r="809" spans="1:10" x14ac:dyDescent="0.25">
      <c r="A809" s="1">
        <v>32</v>
      </c>
      <c r="B809" t="s">
        <v>23</v>
      </c>
      <c r="C809">
        <v>635</v>
      </c>
      <c r="D809">
        <v>1</v>
      </c>
      <c r="E809" t="s">
        <v>44</v>
      </c>
      <c r="F809" t="s">
        <v>45</v>
      </c>
      <c r="G809" t="str">
        <f>"2025-11-21 12:04:00.729"</f>
        <v>2025-11-21 12:04:00.729</v>
      </c>
      <c r="H809" t="s">
        <v>21</v>
      </c>
    </row>
    <row r="810" spans="1:10" x14ac:dyDescent="0.25">
      <c r="A810" s="1">
        <v>33</v>
      </c>
      <c r="B810" t="s">
        <v>26</v>
      </c>
      <c r="C810">
        <v>635</v>
      </c>
      <c r="D810">
        <v>1</v>
      </c>
      <c r="E810" t="s">
        <v>44</v>
      </c>
      <c r="F810" t="s">
        <v>45</v>
      </c>
      <c r="G810" t="str">
        <f>"2025-11-21 12:00:49.729"</f>
        <v>2025-11-21 12:00:49.729</v>
      </c>
      <c r="H810" t="s">
        <v>21</v>
      </c>
      <c r="I810">
        <v>3.74</v>
      </c>
      <c r="J810" t="s">
        <v>39</v>
      </c>
    </row>
    <row r="811" spans="1:10" x14ac:dyDescent="0.25">
      <c r="A811" s="1">
        <v>36</v>
      </c>
      <c r="B811" t="s">
        <v>19</v>
      </c>
      <c r="C811">
        <v>706</v>
      </c>
      <c r="D811">
        <v>4</v>
      </c>
      <c r="E811" t="s">
        <v>31</v>
      </c>
      <c r="F811" t="s">
        <v>32</v>
      </c>
      <c r="G811" t="str">
        <f>"2025-11-18 23:43:08.220"</f>
        <v>2025-11-18 23:43:08.220</v>
      </c>
      <c r="H811" t="s">
        <v>21</v>
      </c>
      <c r="I811">
        <v>0</v>
      </c>
      <c r="J811" t="s">
        <v>27</v>
      </c>
    </row>
    <row r="812" spans="1:10" x14ac:dyDescent="0.25">
      <c r="A812" s="1">
        <v>37</v>
      </c>
      <c r="B812" t="s">
        <v>19</v>
      </c>
      <c r="C812">
        <v>700</v>
      </c>
      <c r="D812">
        <v>0</v>
      </c>
      <c r="E812" t="s">
        <v>20</v>
      </c>
      <c r="F812" t="s">
        <v>20</v>
      </c>
      <c r="G812" t="str">
        <f>"2025-11-18 23:39:28.740"</f>
        <v>2025-11-18 23:39:28.740</v>
      </c>
      <c r="H812" t="s">
        <v>21</v>
      </c>
    </row>
    <row r="813" spans="1:10" x14ac:dyDescent="0.25">
      <c r="A813" s="1">
        <v>38</v>
      </c>
      <c r="B813" t="s">
        <v>19</v>
      </c>
      <c r="C813">
        <v>706</v>
      </c>
      <c r="D813">
        <v>4</v>
      </c>
      <c r="E813" t="s">
        <v>31</v>
      </c>
      <c r="F813" t="s">
        <v>32</v>
      </c>
      <c r="G813" t="str">
        <f>"2025-11-18 23:38:30.510"</f>
        <v>2025-11-18 23:38:30.510</v>
      </c>
      <c r="H813" t="s">
        <v>21</v>
      </c>
      <c r="I813">
        <v>0</v>
      </c>
      <c r="J813" t="s">
        <v>27</v>
      </c>
    </row>
    <row r="814" spans="1:10" x14ac:dyDescent="0.25">
      <c r="A814" s="1">
        <v>39</v>
      </c>
      <c r="B814" t="s">
        <v>19</v>
      </c>
      <c r="C814">
        <v>706</v>
      </c>
      <c r="D814">
        <v>4</v>
      </c>
      <c r="E814" t="s">
        <v>31</v>
      </c>
      <c r="F814" t="s">
        <v>32</v>
      </c>
      <c r="G814" t="str">
        <f>"2025-11-18 23:38:21.120"</f>
        <v>2025-11-18 23:38:21.120</v>
      </c>
      <c r="H814" t="s">
        <v>21</v>
      </c>
      <c r="I814">
        <v>0</v>
      </c>
      <c r="J814" t="s">
        <v>27</v>
      </c>
    </row>
    <row r="815" spans="1:10" x14ac:dyDescent="0.25">
      <c r="A815" s="1">
        <v>40</v>
      </c>
      <c r="B815" t="s">
        <v>19</v>
      </c>
      <c r="C815">
        <v>700</v>
      </c>
      <c r="D815">
        <v>0</v>
      </c>
      <c r="E815" t="s">
        <v>20</v>
      </c>
      <c r="F815" t="s">
        <v>20</v>
      </c>
      <c r="G815" t="str">
        <f>"2025-11-18 23:38:06.750"</f>
        <v>2025-11-18 23:38:06.750</v>
      </c>
      <c r="H815" t="s">
        <v>21</v>
      </c>
    </row>
    <row r="816" spans="1:10" x14ac:dyDescent="0.25">
      <c r="A816" s="1">
        <v>41</v>
      </c>
      <c r="B816" t="s">
        <v>19</v>
      </c>
      <c r="C816">
        <v>700</v>
      </c>
      <c r="D816">
        <v>0</v>
      </c>
      <c r="E816" t="s">
        <v>20</v>
      </c>
      <c r="F816" t="s">
        <v>20</v>
      </c>
      <c r="G816" t="str">
        <f>"2025-11-18 22:55:58.742"</f>
        <v>2025-11-18 22:55:58.742</v>
      </c>
      <c r="H816" t="s">
        <v>21</v>
      </c>
      <c r="I816">
        <v>0</v>
      </c>
      <c r="J816" t="s">
        <v>22</v>
      </c>
    </row>
    <row r="817" spans="1:10" x14ac:dyDescent="0.25">
      <c r="A817" s="1">
        <v>42</v>
      </c>
      <c r="B817" t="s">
        <v>19</v>
      </c>
      <c r="C817">
        <v>700</v>
      </c>
      <c r="D817">
        <v>0</v>
      </c>
      <c r="E817" t="s">
        <v>20</v>
      </c>
      <c r="F817" t="s">
        <v>20</v>
      </c>
      <c r="G817" t="str">
        <f>"2025-11-18 22:42:33.751"</f>
        <v>2025-11-18 22:42:33.751</v>
      </c>
      <c r="H817" t="s">
        <v>21</v>
      </c>
      <c r="I817">
        <v>0</v>
      </c>
      <c r="J817" t="s">
        <v>22</v>
      </c>
    </row>
    <row r="818" spans="1:10" x14ac:dyDescent="0.25">
      <c r="A818" s="1">
        <v>43</v>
      </c>
      <c r="B818" t="s">
        <v>38</v>
      </c>
      <c r="C818">
        <v>630</v>
      </c>
      <c r="D818">
        <v>5</v>
      </c>
      <c r="E818" t="s">
        <v>40</v>
      </c>
      <c r="F818" t="s">
        <v>41</v>
      </c>
      <c r="G818" t="str">
        <f>"2025-11-18 20:29:55.520"</f>
        <v>2025-11-18 20:29:55.520</v>
      </c>
      <c r="H818" t="s">
        <v>42</v>
      </c>
      <c r="I818">
        <v>0</v>
      </c>
      <c r="J818" t="s">
        <v>27</v>
      </c>
    </row>
    <row r="819" spans="1:10" x14ac:dyDescent="0.25">
      <c r="A819" s="1">
        <v>44</v>
      </c>
      <c r="B819" t="s">
        <v>19</v>
      </c>
      <c r="C819">
        <v>700</v>
      </c>
      <c r="D819">
        <v>0</v>
      </c>
      <c r="E819" t="s">
        <v>20</v>
      </c>
      <c r="F819" t="s">
        <v>20</v>
      </c>
      <c r="G819" t="str">
        <f>"2025-11-18 20:24:52.757"</f>
        <v>2025-11-18 20:24:52.757</v>
      </c>
      <c r="H819" t="s">
        <v>21</v>
      </c>
    </row>
    <row r="820" spans="1:10" s="3" customFormat="1" x14ac:dyDescent="0.25">
      <c r="A820" s="2">
        <v>45</v>
      </c>
      <c r="B820" s="3" t="s">
        <v>23</v>
      </c>
      <c r="C820" s="3">
        <v>647</v>
      </c>
      <c r="D820" s="3">
        <v>1</v>
      </c>
      <c r="E820" s="3" t="s">
        <v>28</v>
      </c>
      <c r="F820" s="3" t="s">
        <v>29</v>
      </c>
      <c r="G820" s="3" t="str">
        <f>"2025-11-18 19:13:38.631"</f>
        <v>2025-11-18 19:13:38.631</v>
      </c>
      <c r="H820" s="3" t="s">
        <v>21</v>
      </c>
    </row>
    <row r="821" spans="1:10" s="3" customFormat="1" x14ac:dyDescent="0.25">
      <c r="A821" s="2">
        <v>46</v>
      </c>
      <c r="B821" s="3" t="s">
        <v>26</v>
      </c>
      <c r="C821" s="3">
        <v>647</v>
      </c>
      <c r="D821" s="3">
        <v>1</v>
      </c>
      <c r="E821" s="3" t="s">
        <v>28</v>
      </c>
      <c r="F821" s="3" t="s">
        <v>29</v>
      </c>
      <c r="G821" s="3" t="str">
        <f>"2025-11-18 19:13:37.431"</f>
        <v>2025-11-18 19:13:37.431</v>
      </c>
      <c r="H821" s="3" t="s">
        <v>21</v>
      </c>
      <c r="I821" s="3">
        <v>21.96</v>
      </c>
      <c r="J821" s="3" t="s">
        <v>33</v>
      </c>
    </row>
    <row r="822" spans="1:10" s="3" customFormat="1" x14ac:dyDescent="0.25">
      <c r="A822" s="2">
        <v>47</v>
      </c>
      <c r="B822" s="3" t="s">
        <v>23</v>
      </c>
      <c r="C822" s="3">
        <v>647</v>
      </c>
      <c r="D822" s="3">
        <v>1</v>
      </c>
      <c r="E822" s="3" t="s">
        <v>28</v>
      </c>
      <c r="F822" s="3" t="s">
        <v>29</v>
      </c>
      <c r="G822" s="3" t="str">
        <f>"2025-11-18 08:40:35.131"</f>
        <v>2025-11-18 08:40:35.131</v>
      </c>
      <c r="H822" s="3" t="s">
        <v>21</v>
      </c>
    </row>
    <row r="823" spans="1:10" s="3" customFormat="1" x14ac:dyDescent="0.25">
      <c r="A823" s="2">
        <v>48</v>
      </c>
      <c r="B823" s="3" t="s">
        <v>26</v>
      </c>
      <c r="C823" s="3">
        <v>647</v>
      </c>
      <c r="D823" s="3">
        <v>1</v>
      </c>
      <c r="E823" s="3" t="s">
        <v>28</v>
      </c>
      <c r="F823" s="3" t="s">
        <v>29</v>
      </c>
      <c r="G823" s="3" t="str">
        <f>"2025-11-18 08:40:29.232"</f>
        <v>2025-11-18 08:40:29.232</v>
      </c>
      <c r="H823" s="3" t="s">
        <v>21</v>
      </c>
      <c r="I823" s="3">
        <v>15.71</v>
      </c>
      <c r="J823" s="3" t="s">
        <v>33</v>
      </c>
    </row>
    <row r="824" spans="1:10" x14ac:dyDescent="0.25">
      <c r="A824" s="1">
        <v>49</v>
      </c>
      <c r="B824" t="s">
        <v>19</v>
      </c>
      <c r="C824">
        <v>700</v>
      </c>
      <c r="D824">
        <v>0</v>
      </c>
      <c r="E824" t="s">
        <v>20</v>
      </c>
      <c r="F824" t="s">
        <v>20</v>
      </c>
      <c r="G824" t="str">
        <f>"2025-11-17 10:34:07.774"</f>
        <v>2025-11-17 10:34:07.774</v>
      </c>
      <c r="H824" t="s">
        <v>21</v>
      </c>
      <c r="I824">
        <v>0</v>
      </c>
      <c r="J824" t="s">
        <v>22</v>
      </c>
    </row>
    <row r="825" spans="1:10" s="3" customFormat="1" x14ac:dyDescent="0.25">
      <c r="A825" s="2">
        <v>50</v>
      </c>
      <c r="B825" s="3" t="s">
        <v>23</v>
      </c>
      <c r="C825" s="3">
        <v>647</v>
      </c>
      <c r="D825" s="3">
        <v>1</v>
      </c>
      <c r="E825" s="3" t="s">
        <v>28</v>
      </c>
      <c r="F825" s="3" t="s">
        <v>29</v>
      </c>
      <c r="G825" s="3" t="str">
        <f>"2025-11-17 10:02:00.020"</f>
        <v>2025-11-17 10:02:00.020</v>
      </c>
      <c r="H825" s="3" t="s">
        <v>21</v>
      </c>
    </row>
    <row r="826" spans="1:10" s="3" customFormat="1" x14ac:dyDescent="0.25">
      <c r="A826" s="2">
        <v>51</v>
      </c>
      <c r="B826" s="3" t="s">
        <v>26</v>
      </c>
      <c r="C826" s="3">
        <v>647</v>
      </c>
      <c r="D826" s="3">
        <v>1</v>
      </c>
      <c r="E826" s="3" t="s">
        <v>28</v>
      </c>
      <c r="F826" s="3" t="s">
        <v>29</v>
      </c>
      <c r="G826" s="3" t="str">
        <f>"2025-11-17 10:01:55.120"</f>
        <v>2025-11-17 10:01:55.120</v>
      </c>
      <c r="H826" s="3" t="s">
        <v>21</v>
      </c>
      <c r="I826" s="3">
        <v>13.4</v>
      </c>
      <c r="J826" s="3" t="s">
        <v>33</v>
      </c>
    </row>
    <row r="827" spans="1:10" x14ac:dyDescent="0.25">
      <c r="A827" s="1">
        <v>52</v>
      </c>
      <c r="B827" t="s">
        <v>23</v>
      </c>
      <c r="C827">
        <v>61</v>
      </c>
      <c r="D827">
        <v>2</v>
      </c>
      <c r="E827" t="s">
        <v>51</v>
      </c>
      <c r="F827" t="s">
        <v>52</v>
      </c>
      <c r="G827" t="str">
        <f>"2025-11-17 07:37:06.833"</f>
        <v>2025-11-17 07:37:06.833</v>
      </c>
      <c r="H827" t="s">
        <v>21</v>
      </c>
    </row>
    <row r="828" spans="1:10" x14ac:dyDescent="0.25">
      <c r="A828" s="1">
        <v>53</v>
      </c>
      <c r="B828" t="s">
        <v>38</v>
      </c>
      <c r="C828">
        <v>61</v>
      </c>
      <c r="D828">
        <v>2</v>
      </c>
      <c r="E828" t="s">
        <v>51</v>
      </c>
      <c r="F828" t="s">
        <v>52</v>
      </c>
      <c r="G828" t="str">
        <f>"2025-11-17 07:36:56.333"</f>
        <v>2025-11-17 07:36:56.333</v>
      </c>
      <c r="H828" t="s">
        <v>21</v>
      </c>
      <c r="I828">
        <v>37.19</v>
      </c>
      <c r="J828" t="s">
        <v>33</v>
      </c>
    </row>
    <row r="829" spans="1:10" x14ac:dyDescent="0.25">
      <c r="A829" s="1">
        <v>54</v>
      </c>
      <c r="B829" t="s">
        <v>23</v>
      </c>
      <c r="C829">
        <v>635</v>
      </c>
      <c r="D829">
        <v>1</v>
      </c>
      <c r="E829" t="s">
        <v>44</v>
      </c>
      <c r="F829" t="s">
        <v>45</v>
      </c>
      <c r="G829" t="str">
        <f>"2025-11-17 02:42:20.772"</f>
        <v>2025-11-17 02:42:20.772</v>
      </c>
      <c r="H829" t="s">
        <v>21</v>
      </c>
    </row>
    <row r="830" spans="1:10" x14ac:dyDescent="0.25">
      <c r="A830" s="1">
        <v>55</v>
      </c>
      <c r="B830" t="s">
        <v>26</v>
      </c>
      <c r="C830">
        <v>635</v>
      </c>
      <c r="D830">
        <v>1</v>
      </c>
      <c r="E830" t="s">
        <v>44</v>
      </c>
      <c r="F830" t="s">
        <v>45</v>
      </c>
      <c r="G830" t="str">
        <f>"2025-11-17 02:38:17.272"</f>
        <v>2025-11-17 02:38:17.272</v>
      </c>
      <c r="H830" t="s">
        <v>21</v>
      </c>
      <c r="I830">
        <v>1.1599999999999999</v>
      </c>
      <c r="J830" t="s">
        <v>33</v>
      </c>
    </row>
    <row r="831" spans="1:10" x14ac:dyDescent="0.25">
      <c r="A831" s="1">
        <v>56</v>
      </c>
      <c r="B831" t="s">
        <v>23</v>
      </c>
      <c r="C831">
        <v>61</v>
      </c>
      <c r="D831">
        <v>2</v>
      </c>
      <c r="E831" t="s">
        <v>51</v>
      </c>
      <c r="F831" t="s">
        <v>52</v>
      </c>
      <c r="G831" t="str">
        <f>"2025-11-16 12:26:24.733"</f>
        <v>2025-11-16 12:26:24.733</v>
      </c>
      <c r="H831" t="s">
        <v>21</v>
      </c>
    </row>
    <row r="832" spans="1:10" x14ac:dyDescent="0.25">
      <c r="A832" s="1">
        <v>57</v>
      </c>
      <c r="B832" t="s">
        <v>38</v>
      </c>
      <c r="C832">
        <v>61</v>
      </c>
      <c r="D832">
        <v>2</v>
      </c>
      <c r="E832" t="s">
        <v>51</v>
      </c>
      <c r="F832" t="s">
        <v>52</v>
      </c>
      <c r="G832" t="str">
        <f>"2025-11-16 12:26:15.233"</f>
        <v>2025-11-16 12:26:15.233</v>
      </c>
      <c r="H832" t="s">
        <v>21</v>
      </c>
      <c r="I832">
        <v>35.58</v>
      </c>
      <c r="J832" t="s">
        <v>33</v>
      </c>
    </row>
    <row r="833" spans="1:10" x14ac:dyDescent="0.25">
      <c r="A833" s="1">
        <v>58</v>
      </c>
      <c r="B833" t="s">
        <v>23</v>
      </c>
      <c r="C833">
        <v>630</v>
      </c>
      <c r="D833">
        <v>5</v>
      </c>
      <c r="E833" t="s">
        <v>40</v>
      </c>
      <c r="F833" t="s">
        <v>41</v>
      </c>
      <c r="G833" t="str">
        <f>"2025-11-15 11:07:26.020"</f>
        <v>2025-11-15 11:07:26.020</v>
      </c>
      <c r="H833" t="s">
        <v>42</v>
      </c>
    </row>
    <row r="834" spans="1:10" x14ac:dyDescent="0.25">
      <c r="A834" s="1">
        <v>59</v>
      </c>
      <c r="B834" t="s">
        <v>19</v>
      </c>
      <c r="C834">
        <v>706</v>
      </c>
      <c r="D834">
        <v>2</v>
      </c>
      <c r="E834" t="s">
        <v>31</v>
      </c>
      <c r="F834" t="s">
        <v>43</v>
      </c>
      <c r="G834" t="str">
        <f>"2025-11-15 11:06:55.843"</f>
        <v>2025-11-15 11:06:55.843</v>
      </c>
      <c r="H834" t="s">
        <v>21</v>
      </c>
      <c r="I834">
        <v>0</v>
      </c>
      <c r="J834" t="s">
        <v>27</v>
      </c>
    </row>
    <row r="835" spans="1:10" x14ac:dyDescent="0.25">
      <c r="A835" s="1">
        <v>60</v>
      </c>
      <c r="B835" t="s">
        <v>38</v>
      </c>
      <c r="C835">
        <v>630</v>
      </c>
      <c r="D835">
        <v>5</v>
      </c>
      <c r="E835" t="s">
        <v>40</v>
      </c>
      <c r="F835" t="s">
        <v>41</v>
      </c>
      <c r="G835" t="str">
        <f>"2025-11-15 11:06:26.621"</f>
        <v>2025-11-15 11:06:26.621</v>
      </c>
      <c r="H835" t="s">
        <v>42</v>
      </c>
      <c r="I835">
        <v>0</v>
      </c>
      <c r="J835" t="s">
        <v>27</v>
      </c>
    </row>
    <row r="836" spans="1:10" x14ac:dyDescent="0.25">
      <c r="A836" s="1">
        <v>61</v>
      </c>
      <c r="B836" t="s">
        <v>19</v>
      </c>
      <c r="C836">
        <v>700</v>
      </c>
      <c r="D836">
        <v>0</v>
      </c>
      <c r="E836" t="s">
        <v>20</v>
      </c>
      <c r="F836" t="s">
        <v>20</v>
      </c>
      <c r="G836" t="str">
        <f>"2025-11-15 11:01:23.913"</f>
        <v>2025-11-15 11:01:23.913</v>
      </c>
      <c r="H836" t="s">
        <v>21</v>
      </c>
      <c r="I836">
        <v>0</v>
      </c>
      <c r="J836" t="s">
        <v>22</v>
      </c>
    </row>
    <row r="837" spans="1:10" x14ac:dyDescent="0.25">
      <c r="A837" s="1">
        <v>62</v>
      </c>
      <c r="B837" t="s">
        <v>23</v>
      </c>
      <c r="C837">
        <v>61</v>
      </c>
      <c r="D837">
        <v>2</v>
      </c>
      <c r="E837" t="s">
        <v>51</v>
      </c>
      <c r="F837" t="s">
        <v>52</v>
      </c>
      <c r="G837" t="str">
        <f>"2025-11-15 09:59:39.866"</f>
        <v>2025-11-15 09:59:39.866</v>
      </c>
      <c r="H837" t="s">
        <v>21</v>
      </c>
    </row>
    <row r="838" spans="1:10" x14ac:dyDescent="0.25">
      <c r="A838" s="1">
        <v>63</v>
      </c>
      <c r="B838" t="s">
        <v>38</v>
      </c>
      <c r="C838">
        <v>61</v>
      </c>
      <c r="D838">
        <v>2</v>
      </c>
      <c r="E838" t="s">
        <v>51</v>
      </c>
      <c r="F838" t="s">
        <v>52</v>
      </c>
      <c r="G838" t="str">
        <f>"2025-11-15 09:59:29.866"</f>
        <v>2025-11-15 09:59:29.866</v>
      </c>
      <c r="H838" t="s">
        <v>21</v>
      </c>
      <c r="I838">
        <v>36.31</v>
      </c>
      <c r="J838" t="s">
        <v>33</v>
      </c>
    </row>
    <row r="839" spans="1:10" s="3" customFormat="1" x14ac:dyDescent="0.25">
      <c r="A839" s="2">
        <v>64</v>
      </c>
      <c r="B839" s="3" t="s">
        <v>23</v>
      </c>
      <c r="C839" s="3">
        <v>647</v>
      </c>
      <c r="D839" s="3">
        <v>1</v>
      </c>
      <c r="E839" s="3" t="s">
        <v>28</v>
      </c>
      <c r="F839" s="3" t="s">
        <v>29</v>
      </c>
      <c r="G839" s="3" t="str">
        <f>"2025-11-14 08:49:43.966"</f>
        <v>2025-11-14 08:49:43.966</v>
      </c>
      <c r="H839" s="3" t="s">
        <v>21</v>
      </c>
    </row>
    <row r="840" spans="1:10" s="3" customFormat="1" x14ac:dyDescent="0.25">
      <c r="A840" s="2">
        <v>65</v>
      </c>
      <c r="B840" s="3" t="s">
        <v>26</v>
      </c>
      <c r="C840" s="3">
        <v>647</v>
      </c>
      <c r="D840" s="3">
        <v>1</v>
      </c>
      <c r="E840" s="3" t="s">
        <v>28</v>
      </c>
      <c r="F840" s="3" t="s">
        <v>29</v>
      </c>
      <c r="G840" s="3" t="str">
        <f>"2025-11-14 08:49:36.766"</f>
        <v>2025-11-14 08:49:36.766</v>
      </c>
      <c r="H840" s="3" t="s">
        <v>21</v>
      </c>
      <c r="I840" s="3">
        <v>19.260000000000002</v>
      </c>
      <c r="J840" s="3" t="s">
        <v>33</v>
      </c>
    </row>
    <row r="841" spans="1:10" x14ac:dyDescent="0.25">
      <c r="A841" s="1">
        <v>66</v>
      </c>
      <c r="B841" t="s">
        <v>23</v>
      </c>
      <c r="C841">
        <v>61</v>
      </c>
      <c r="D841">
        <v>2</v>
      </c>
      <c r="E841" t="s">
        <v>51</v>
      </c>
      <c r="F841" t="s">
        <v>52</v>
      </c>
      <c r="G841" t="str">
        <f>"2025-11-13 11:15:51.966"</f>
        <v>2025-11-13 11:15:51.966</v>
      </c>
      <c r="H841" t="s">
        <v>21</v>
      </c>
    </row>
    <row r="842" spans="1:10" x14ac:dyDescent="0.25">
      <c r="A842" s="1">
        <v>67</v>
      </c>
      <c r="B842" t="s">
        <v>38</v>
      </c>
      <c r="C842">
        <v>61</v>
      </c>
      <c r="D842">
        <v>2</v>
      </c>
      <c r="E842" t="s">
        <v>51</v>
      </c>
      <c r="F842" t="s">
        <v>52</v>
      </c>
      <c r="G842" t="str">
        <f>"2025-11-13 11:15:31.466"</f>
        <v>2025-11-13 11:15:31.466</v>
      </c>
      <c r="H842" t="s">
        <v>21</v>
      </c>
      <c r="I842">
        <v>36.89</v>
      </c>
      <c r="J842" t="s">
        <v>33</v>
      </c>
    </row>
    <row r="843" spans="1:10" x14ac:dyDescent="0.25">
      <c r="A843" s="1">
        <v>68</v>
      </c>
      <c r="B843" t="s">
        <v>19</v>
      </c>
      <c r="C843">
        <v>706</v>
      </c>
      <c r="D843">
        <v>4</v>
      </c>
      <c r="E843" t="s">
        <v>31</v>
      </c>
      <c r="F843" t="s">
        <v>32</v>
      </c>
      <c r="G843" t="str">
        <f>"2025-11-13 09:29:56.105"</f>
        <v>2025-11-13 09:29:56.105</v>
      </c>
      <c r="H843" t="s">
        <v>21</v>
      </c>
      <c r="I843">
        <v>0</v>
      </c>
      <c r="J843" t="s">
        <v>27</v>
      </c>
    </row>
    <row r="844" spans="1:10" x14ac:dyDescent="0.25">
      <c r="A844" s="1">
        <v>69</v>
      </c>
      <c r="B844" t="s">
        <v>19</v>
      </c>
      <c r="C844">
        <v>700</v>
      </c>
      <c r="D844">
        <v>0</v>
      </c>
      <c r="E844" t="s">
        <v>20</v>
      </c>
      <c r="F844" t="s">
        <v>20</v>
      </c>
      <c r="G844" t="str">
        <f>"2025-11-13 09:27:18.735"</f>
        <v>2025-11-13 09:27:18.735</v>
      </c>
      <c r="H844" t="s">
        <v>21</v>
      </c>
    </row>
    <row r="845" spans="1:10" x14ac:dyDescent="0.25">
      <c r="A845" s="1">
        <v>70</v>
      </c>
      <c r="B845" t="s">
        <v>23</v>
      </c>
      <c r="C845">
        <v>635</v>
      </c>
      <c r="D845">
        <v>1</v>
      </c>
      <c r="E845" t="s">
        <v>44</v>
      </c>
      <c r="F845" t="s">
        <v>45</v>
      </c>
      <c r="G845" t="str">
        <f>"2025-11-12 23:22:01.954"</f>
        <v>2025-11-12 23:22:01.954</v>
      </c>
      <c r="H845" t="s">
        <v>21</v>
      </c>
    </row>
    <row r="846" spans="1:10" x14ac:dyDescent="0.25">
      <c r="A846" s="1">
        <v>71</v>
      </c>
      <c r="B846" t="s">
        <v>26</v>
      </c>
      <c r="C846">
        <v>635</v>
      </c>
      <c r="D846">
        <v>1</v>
      </c>
      <c r="E846" t="s">
        <v>44</v>
      </c>
      <c r="F846" t="s">
        <v>45</v>
      </c>
      <c r="G846" t="str">
        <f>"2025-11-12 23:17:13.954"</f>
        <v>2025-11-12 23:17:13.954</v>
      </c>
      <c r="H846" t="s">
        <v>21</v>
      </c>
      <c r="I846">
        <v>8.07</v>
      </c>
      <c r="J846" t="s">
        <v>33</v>
      </c>
    </row>
    <row r="847" spans="1:10" s="3" customFormat="1" x14ac:dyDescent="0.25">
      <c r="A847" s="2">
        <v>72</v>
      </c>
      <c r="B847" s="3" t="s">
        <v>23</v>
      </c>
      <c r="C847" s="3">
        <v>647</v>
      </c>
      <c r="D847" s="3">
        <v>1</v>
      </c>
      <c r="E847" s="3" t="s">
        <v>28</v>
      </c>
      <c r="F847" s="3" t="s">
        <v>29</v>
      </c>
      <c r="G847" s="3" t="str">
        <f>"2025-11-12 12:15:42.302"</f>
        <v>2025-11-12 12:15:42.302</v>
      </c>
      <c r="H847" s="3" t="s">
        <v>21</v>
      </c>
    </row>
    <row r="848" spans="1:10" s="3" customFormat="1" x14ac:dyDescent="0.25">
      <c r="A848" s="2">
        <v>73</v>
      </c>
      <c r="B848" s="3" t="s">
        <v>26</v>
      </c>
      <c r="C848" s="3">
        <v>647</v>
      </c>
      <c r="D848" s="3">
        <v>1</v>
      </c>
      <c r="E848" s="3" t="s">
        <v>28</v>
      </c>
      <c r="F848" s="3" t="s">
        <v>29</v>
      </c>
      <c r="G848" s="3" t="str">
        <f>"2025-11-12 12:15:39.403"</f>
        <v>2025-11-12 12:15:39.403</v>
      </c>
      <c r="H848" s="3" t="s">
        <v>21</v>
      </c>
      <c r="I848" s="3">
        <v>19.89</v>
      </c>
      <c r="J848" s="3" t="s">
        <v>33</v>
      </c>
    </row>
    <row r="849" spans="1:10" x14ac:dyDescent="0.25">
      <c r="A849" s="1">
        <v>74</v>
      </c>
      <c r="B849" t="s">
        <v>19</v>
      </c>
      <c r="C849">
        <v>700</v>
      </c>
      <c r="D849">
        <v>0</v>
      </c>
      <c r="E849" t="s">
        <v>20</v>
      </c>
      <c r="F849" t="s">
        <v>20</v>
      </c>
      <c r="G849" t="str">
        <f>"2025-11-12 10:09:23.734"</f>
        <v>2025-11-12 10:09:23.734</v>
      </c>
      <c r="H849" t="s">
        <v>21</v>
      </c>
    </row>
    <row r="850" spans="1:10" x14ac:dyDescent="0.25">
      <c r="A850" s="1">
        <v>75</v>
      </c>
      <c r="B850" t="s">
        <v>19</v>
      </c>
      <c r="C850">
        <v>700</v>
      </c>
      <c r="D850">
        <v>0</v>
      </c>
      <c r="E850" t="s">
        <v>20</v>
      </c>
      <c r="F850" t="s">
        <v>20</v>
      </c>
      <c r="G850" t="str">
        <f>"2025-11-12 05:26:54.757"</f>
        <v>2025-11-12 05:26:54.757</v>
      </c>
      <c r="H850" t="s">
        <v>21</v>
      </c>
    </row>
    <row r="851" spans="1:10" x14ac:dyDescent="0.25">
      <c r="A851" s="1">
        <v>78</v>
      </c>
      <c r="B851" t="s">
        <v>19</v>
      </c>
      <c r="C851">
        <v>782</v>
      </c>
      <c r="D851">
        <v>7</v>
      </c>
      <c r="E851" t="s">
        <v>56</v>
      </c>
      <c r="F851" t="s">
        <v>57</v>
      </c>
      <c r="G851" t="str">
        <f>"2025-11-12 05:07:48.887"</f>
        <v>2025-11-12 05:07:48.887</v>
      </c>
      <c r="H851" t="s">
        <v>21</v>
      </c>
      <c r="I851">
        <v>0</v>
      </c>
      <c r="J851" t="s">
        <v>27</v>
      </c>
    </row>
    <row r="852" spans="1:10" x14ac:dyDescent="0.25">
      <c r="A852" s="1">
        <v>81</v>
      </c>
      <c r="B852" t="s">
        <v>23</v>
      </c>
      <c r="C852">
        <v>2</v>
      </c>
      <c r="D852">
        <v>1</v>
      </c>
      <c r="E852" t="s">
        <v>53</v>
      </c>
      <c r="F852" t="s">
        <v>54</v>
      </c>
      <c r="G852" t="str">
        <f>"2025-11-12 05:07:48.880"</f>
        <v>2025-11-12 05:07:48.880</v>
      </c>
      <c r="H852" t="s">
        <v>55</v>
      </c>
    </row>
    <row r="853" spans="1:10" x14ac:dyDescent="0.25">
      <c r="A853" s="1">
        <v>82</v>
      </c>
      <c r="B853" t="s">
        <v>19</v>
      </c>
      <c r="C853">
        <v>782</v>
      </c>
      <c r="D853">
        <v>7</v>
      </c>
      <c r="E853" t="s">
        <v>56</v>
      </c>
      <c r="F853" t="s">
        <v>57</v>
      </c>
      <c r="G853" t="str">
        <f>"2025-11-12 05:07:48.879"</f>
        <v>2025-11-12 05:07:48.879</v>
      </c>
      <c r="H853" t="s">
        <v>21</v>
      </c>
      <c r="I853">
        <v>0</v>
      </c>
      <c r="J853" t="s">
        <v>27</v>
      </c>
    </row>
    <row r="854" spans="1:10" x14ac:dyDescent="0.25">
      <c r="A854" s="1">
        <v>83</v>
      </c>
      <c r="B854" t="s">
        <v>26</v>
      </c>
      <c r="C854">
        <v>2</v>
      </c>
      <c r="D854">
        <v>1</v>
      </c>
      <c r="E854" t="s">
        <v>53</v>
      </c>
      <c r="F854" t="s">
        <v>54</v>
      </c>
      <c r="G854" t="str">
        <f>"2025-11-12 04:35:51.667"</f>
        <v>2025-11-12 04:35:51.667</v>
      </c>
      <c r="H854" t="s">
        <v>55</v>
      </c>
      <c r="I854">
        <v>9.74</v>
      </c>
      <c r="J854" t="s">
        <v>39</v>
      </c>
    </row>
    <row r="855" spans="1:10" x14ac:dyDescent="0.25">
      <c r="A855" s="1">
        <v>84</v>
      </c>
      <c r="B855" t="s">
        <v>34</v>
      </c>
      <c r="C855">
        <v>2</v>
      </c>
      <c r="D855">
        <v>1</v>
      </c>
      <c r="E855" t="s">
        <v>53</v>
      </c>
      <c r="F855" t="s">
        <v>54</v>
      </c>
      <c r="G855" t="str">
        <f>"2025-11-12 04:35:36.379"</f>
        <v>2025-11-12 04:35:36.379</v>
      </c>
      <c r="H855" t="s">
        <v>55</v>
      </c>
    </row>
    <row r="856" spans="1:10" x14ac:dyDescent="0.25">
      <c r="A856" s="1">
        <v>85</v>
      </c>
      <c r="B856" t="s">
        <v>38</v>
      </c>
      <c r="C856">
        <v>2</v>
      </c>
      <c r="D856">
        <v>1</v>
      </c>
      <c r="E856" t="s">
        <v>53</v>
      </c>
      <c r="F856" t="s">
        <v>54</v>
      </c>
      <c r="G856" t="str">
        <f>"2025-11-12 04:35:22.419"</f>
        <v>2025-11-12 04:35:22.419</v>
      </c>
      <c r="H856" t="s">
        <v>55</v>
      </c>
      <c r="I856">
        <v>9.66</v>
      </c>
      <c r="J856" t="s">
        <v>39</v>
      </c>
    </row>
    <row r="857" spans="1:10" x14ac:dyDescent="0.25">
      <c r="A857" s="1">
        <v>86</v>
      </c>
      <c r="B857" t="s">
        <v>19</v>
      </c>
      <c r="C857">
        <v>700</v>
      </c>
      <c r="D857">
        <v>0</v>
      </c>
      <c r="E857" t="s">
        <v>20</v>
      </c>
      <c r="F857" t="s">
        <v>20</v>
      </c>
      <c r="G857" t="str">
        <f>"2025-11-10 15:18:13.759"</f>
        <v>2025-11-10 15:18:13.759</v>
      </c>
      <c r="H857" t="s">
        <v>21</v>
      </c>
      <c r="I857">
        <v>0</v>
      </c>
      <c r="J857" t="s">
        <v>22</v>
      </c>
    </row>
    <row r="858" spans="1:10" x14ac:dyDescent="0.25">
      <c r="A858" s="1">
        <v>87</v>
      </c>
      <c r="B858" t="s">
        <v>23</v>
      </c>
      <c r="C858">
        <v>635</v>
      </c>
      <c r="D858">
        <v>1</v>
      </c>
      <c r="E858" t="s">
        <v>44</v>
      </c>
      <c r="F858" t="s">
        <v>45</v>
      </c>
      <c r="G858" t="str">
        <f>"2025-11-10 10:36:00.523"</f>
        <v>2025-11-10 10:36:00.523</v>
      </c>
      <c r="H858" t="s">
        <v>21</v>
      </c>
    </row>
    <row r="859" spans="1:10" x14ac:dyDescent="0.25">
      <c r="A859" s="1">
        <v>88</v>
      </c>
      <c r="B859" t="s">
        <v>26</v>
      </c>
      <c r="C859">
        <v>635</v>
      </c>
      <c r="D859">
        <v>1</v>
      </c>
      <c r="E859" t="s">
        <v>44</v>
      </c>
      <c r="F859" t="s">
        <v>45</v>
      </c>
      <c r="G859" t="str">
        <f>"2025-11-10 10:16:17.523"</f>
        <v>2025-11-10 10:16:17.523</v>
      </c>
      <c r="H859" t="s">
        <v>21</v>
      </c>
      <c r="I859">
        <v>9.57</v>
      </c>
      <c r="J859" t="s">
        <v>33</v>
      </c>
    </row>
    <row r="860" spans="1:10" s="3" customFormat="1" x14ac:dyDescent="0.25">
      <c r="A860" s="2">
        <v>89</v>
      </c>
      <c r="B860" s="3" t="s">
        <v>23</v>
      </c>
      <c r="C860" s="3">
        <v>647</v>
      </c>
      <c r="D860" s="3">
        <v>1</v>
      </c>
      <c r="E860" s="3" t="s">
        <v>28</v>
      </c>
      <c r="F860" s="3" t="s">
        <v>29</v>
      </c>
      <c r="G860" s="3" t="str">
        <f>"2025-11-10 08:36:31.823"</f>
        <v>2025-11-10 08:36:31.823</v>
      </c>
      <c r="H860" s="3" t="s">
        <v>21</v>
      </c>
    </row>
    <row r="861" spans="1:10" s="3" customFormat="1" x14ac:dyDescent="0.25">
      <c r="A861" s="2">
        <v>90</v>
      </c>
      <c r="B861" s="3" t="s">
        <v>26</v>
      </c>
      <c r="C861" s="3">
        <v>647</v>
      </c>
      <c r="D861" s="3">
        <v>1</v>
      </c>
      <c r="E861" s="3" t="s">
        <v>28</v>
      </c>
      <c r="F861" s="3" t="s">
        <v>29</v>
      </c>
      <c r="G861" s="3" t="str">
        <f>"2025-11-10 08:36:30.523"</f>
        <v>2025-11-10 08:36:30.523</v>
      </c>
      <c r="H861" s="3" t="s">
        <v>21</v>
      </c>
      <c r="I861" s="3">
        <v>19.98</v>
      </c>
      <c r="J861" s="3" t="s">
        <v>33</v>
      </c>
    </row>
    <row r="862" spans="1:10" s="3" customFormat="1" x14ac:dyDescent="0.25">
      <c r="A862" s="2">
        <v>91</v>
      </c>
      <c r="B862" s="3" t="s">
        <v>23</v>
      </c>
      <c r="C862" s="3">
        <v>647</v>
      </c>
      <c r="D862" s="3">
        <v>1</v>
      </c>
      <c r="E862" s="3" t="s">
        <v>28</v>
      </c>
      <c r="F862" s="3" t="s">
        <v>29</v>
      </c>
      <c r="G862" s="3" t="str">
        <f>"2025-11-10 08:10:54.823"</f>
        <v>2025-11-10 08:10:54.823</v>
      </c>
      <c r="H862" s="3" t="s">
        <v>21</v>
      </c>
    </row>
    <row r="863" spans="1:10" s="3" customFormat="1" x14ac:dyDescent="0.25">
      <c r="A863" s="2">
        <v>92</v>
      </c>
      <c r="B863" s="3" t="s">
        <v>26</v>
      </c>
      <c r="C863" s="3">
        <v>647</v>
      </c>
      <c r="D863" s="3">
        <v>1</v>
      </c>
      <c r="E863" s="3" t="s">
        <v>28</v>
      </c>
      <c r="F863" s="3" t="s">
        <v>29</v>
      </c>
      <c r="G863" s="3" t="str">
        <f>"2025-11-10 08:10:50.923"</f>
        <v>2025-11-10 08:10:50.923</v>
      </c>
      <c r="H863" s="3" t="s">
        <v>21</v>
      </c>
      <c r="I863" s="3">
        <v>10.55</v>
      </c>
      <c r="J863" s="3" t="s">
        <v>33</v>
      </c>
    </row>
    <row r="864" spans="1:10" s="3" customFormat="1" x14ac:dyDescent="0.25">
      <c r="A864" s="2">
        <v>93</v>
      </c>
      <c r="B864" s="3" t="s">
        <v>23</v>
      </c>
      <c r="C864" s="3">
        <v>647</v>
      </c>
      <c r="D864" s="3">
        <v>1</v>
      </c>
      <c r="E864" s="3" t="s">
        <v>28</v>
      </c>
      <c r="F864" s="3" t="s">
        <v>29</v>
      </c>
      <c r="G864" s="3" t="str">
        <f>"2025-11-09 14:16:51.023"</f>
        <v>2025-11-09 14:16:51.023</v>
      </c>
      <c r="H864" s="3" t="s">
        <v>21</v>
      </c>
    </row>
    <row r="865" spans="1:10" s="3" customFormat="1" x14ac:dyDescent="0.25">
      <c r="A865" s="2">
        <v>94</v>
      </c>
      <c r="B865" s="3" t="s">
        <v>26</v>
      </c>
      <c r="C865" s="3">
        <v>647</v>
      </c>
      <c r="D865" s="3">
        <v>1</v>
      </c>
      <c r="E865" s="3" t="s">
        <v>28</v>
      </c>
      <c r="F865" s="3" t="s">
        <v>29</v>
      </c>
      <c r="G865" s="3" t="str">
        <f>"2025-11-09 14:16:45.923"</f>
        <v>2025-11-09 14:16:45.923</v>
      </c>
      <c r="H865" s="3" t="s">
        <v>21</v>
      </c>
      <c r="I865" s="3">
        <v>8.33</v>
      </c>
      <c r="J865" s="3" t="s">
        <v>33</v>
      </c>
    </row>
    <row r="866" spans="1:10" x14ac:dyDescent="0.25">
      <c r="A866" s="1">
        <v>95</v>
      </c>
      <c r="B866" t="s">
        <v>23</v>
      </c>
      <c r="C866">
        <v>630</v>
      </c>
      <c r="D866">
        <v>5</v>
      </c>
      <c r="E866" t="s">
        <v>40</v>
      </c>
      <c r="F866" t="s">
        <v>41</v>
      </c>
      <c r="G866" t="str">
        <f>"2025-11-08 12:30:11.323"</f>
        <v>2025-11-08 12:30:11.323</v>
      </c>
      <c r="H866" t="s">
        <v>42</v>
      </c>
    </row>
    <row r="867" spans="1:10" x14ac:dyDescent="0.25">
      <c r="A867" s="1">
        <v>96</v>
      </c>
      <c r="B867" t="s">
        <v>19</v>
      </c>
      <c r="C867">
        <v>706</v>
      </c>
      <c r="D867">
        <v>2</v>
      </c>
      <c r="E867" t="s">
        <v>31</v>
      </c>
      <c r="F867" t="s">
        <v>43</v>
      </c>
      <c r="G867" t="str">
        <f>"2025-11-08 12:29:41.126"</f>
        <v>2025-11-08 12:29:41.126</v>
      </c>
      <c r="H867" t="s">
        <v>21</v>
      </c>
      <c r="I867">
        <v>0</v>
      </c>
      <c r="J867" t="s">
        <v>27</v>
      </c>
    </row>
    <row r="868" spans="1:10" x14ac:dyDescent="0.25">
      <c r="A868" s="1">
        <v>97</v>
      </c>
      <c r="B868" t="s">
        <v>19</v>
      </c>
      <c r="C868">
        <v>706</v>
      </c>
      <c r="D868">
        <v>2</v>
      </c>
      <c r="E868" t="s">
        <v>31</v>
      </c>
      <c r="F868" t="s">
        <v>43</v>
      </c>
      <c r="G868" t="str">
        <f>"2025-11-08 12:24:21.926"</f>
        <v>2025-11-08 12:24:21.926</v>
      </c>
      <c r="H868" t="s">
        <v>21</v>
      </c>
      <c r="I868">
        <v>0</v>
      </c>
      <c r="J868" t="s">
        <v>27</v>
      </c>
    </row>
    <row r="869" spans="1:10" x14ac:dyDescent="0.25">
      <c r="A869" s="1">
        <v>98</v>
      </c>
      <c r="B869" t="s">
        <v>19</v>
      </c>
      <c r="C869">
        <v>706</v>
      </c>
      <c r="D869">
        <v>2</v>
      </c>
      <c r="E869" t="s">
        <v>31</v>
      </c>
      <c r="F869" t="s">
        <v>43</v>
      </c>
      <c r="G869" t="str">
        <f>"2025-11-08 12:24:06.926"</f>
        <v>2025-11-08 12:24:06.926</v>
      </c>
      <c r="H869" t="s">
        <v>21</v>
      </c>
      <c r="I869">
        <v>0</v>
      </c>
      <c r="J869" t="s">
        <v>27</v>
      </c>
    </row>
    <row r="870" spans="1:10" x14ac:dyDescent="0.25">
      <c r="A870" s="1">
        <v>99</v>
      </c>
      <c r="B870" t="s">
        <v>19</v>
      </c>
      <c r="C870">
        <v>706</v>
      </c>
      <c r="D870">
        <v>4</v>
      </c>
      <c r="E870" t="s">
        <v>31</v>
      </c>
      <c r="F870" t="s">
        <v>32</v>
      </c>
      <c r="G870" t="str">
        <f>"2025-11-08 12:23:57.496"</f>
        <v>2025-11-08 12:23:57.496</v>
      </c>
      <c r="H870" t="s">
        <v>21</v>
      </c>
      <c r="I870">
        <v>0</v>
      </c>
      <c r="J870" t="s">
        <v>27</v>
      </c>
    </row>
    <row r="871" spans="1:10" x14ac:dyDescent="0.25">
      <c r="A871" s="1">
        <v>0</v>
      </c>
      <c r="B871" t="s">
        <v>38</v>
      </c>
      <c r="C871">
        <v>630</v>
      </c>
      <c r="D871">
        <v>5</v>
      </c>
      <c r="E871" t="s">
        <v>40</v>
      </c>
      <c r="F871" t="s">
        <v>41</v>
      </c>
      <c r="G871" t="str">
        <f>"2025-11-08 11:38:12.424"</f>
        <v>2025-11-08 11:38:12.424</v>
      </c>
      <c r="H871" t="s">
        <v>42</v>
      </c>
      <c r="I871">
        <v>0</v>
      </c>
      <c r="J871" t="s">
        <v>27</v>
      </c>
    </row>
    <row r="872" spans="1:10" x14ac:dyDescent="0.25">
      <c r="A872" s="1">
        <v>1</v>
      </c>
      <c r="B872" t="s">
        <v>19</v>
      </c>
      <c r="C872">
        <v>700</v>
      </c>
      <c r="D872">
        <v>0</v>
      </c>
      <c r="E872" t="s">
        <v>20</v>
      </c>
      <c r="F872" t="s">
        <v>20</v>
      </c>
      <c r="G872" t="str">
        <f>"2025-11-08 11:33:09.726"</f>
        <v>2025-11-08 11:33:09.726</v>
      </c>
      <c r="H872" t="s">
        <v>21</v>
      </c>
    </row>
    <row r="873" spans="1:10" x14ac:dyDescent="0.25">
      <c r="A873" s="1">
        <v>2</v>
      </c>
      <c r="B873" t="s">
        <v>19</v>
      </c>
      <c r="C873">
        <v>700</v>
      </c>
      <c r="D873">
        <v>0</v>
      </c>
      <c r="E873" t="s">
        <v>20</v>
      </c>
      <c r="F873" t="s">
        <v>20</v>
      </c>
      <c r="G873" t="str">
        <f>"2025-11-08 09:42:34.959"</f>
        <v>2025-11-08 09:42:34.959</v>
      </c>
      <c r="H873" t="s">
        <v>21</v>
      </c>
      <c r="I873">
        <v>0</v>
      </c>
      <c r="J873" t="s">
        <v>22</v>
      </c>
    </row>
    <row r="874" spans="1:10" x14ac:dyDescent="0.25">
      <c r="A874" s="1">
        <v>3</v>
      </c>
      <c r="B874" t="s">
        <v>19</v>
      </c>
      <c r="C874">
        <v>700</v>
      </c>
      <c r="D874">
        <v>0</v>
      </c>
      <c r="E874" t="s">
        <v>20</v>
      </c>
      <c r="F874" t="s">
        <v>20</v>
      </c>
      <c r="G874" t="str">
        <f>"2025-11-08 09:15:14.747"</f>
        <v>2025-11-08 09:15:14.747</v>
      </c>
      <c r="H874" t="s">
        <v>21</v>
      </c>
      <c r="I874">
        <v>0</v>
      </c>
      <c r="J874" t="s">
        <v>22</v>
      </c>
    </row>
    <row r="875" spans="1:10" s="3" customFormat="1" x14ac:dyDescent="0.25">
      <c r="A875" s="2">
        <v>4</v>
      </c>
      <c r="B875" s="3" t="s">
        <v>23</v>
      </c>
      <c r="C875" s="3">
        <v>647</v>
      </c>
      <c r="D875" s="3">
        <v>1</v>
      </c>
      <c r="E875" s="3" t="s">
        <v>28</v>
      </c>
      <c r="F875" s="3" t="s">
        <v>29</v>
      </c>
      <c r="G875" s="3" t="str">
        <f>"2025-11-07 11:00:19.065"</f>
        <v>2025-11-07 11:00:19.065</v>
      </c>
      <c r="H875" s="3" t="s">
        <v>21</v>
      </c>
    </row>
    <row r="876" spans="1:10" s="3" customFormat="1" x14ac:dyDescent="0.25">
      <c r="A876" s="2">
        <v>5</v>
      </c>
      <c r="B876" s="3" t="s">
        <v>26</v>
      </c>
      <c r="C876" s="3">
        <v>647</v>
      </c>
      <c r="D876" s="3">
        <v>1</v>
      </c>
      <c r="E876" s="3" t="s">
        <v>28</v>
      </c>
      <c r="F876" s="3" t="s">
        <v>29</v>
      </c>
      <c r="G876" s="3" t="str">
        <f>"2025-11-07 11:00:09.766"</f>
        <v>2025-11-07 11:00:09.766</v>
      </c>
      <c r="H876" s="3" t="s">
        <v>21</v>
      </c>
      <c r="I876" s="3">
        <v>22.35</v>
      </c>
      <c r="J876" s="3" t="s">
        <v>33</v>
      </c>
    </row>
    <row r="877" spans="1:10" x14ac:dyDescent="0.25">
      <c r="A877" s="1">
        <v>6</v>
      </c>
      <c r="B877" t="s">
        <v>23</v>
      </c>
      <c r="C877">
        <v>61</v>
      </c>
      <c r="D877">
        <v>2</v>
      </c>
      <c r="E877" t="s">
        <v>51</v>
      </c>
      <c r="F877" t="s">
        <v>52</v>
      </c>
      <c r="G877" t="str">
        <f>"2025-11-07 09:33:26.258"</f>
        <v>2025-11-07 09:33:26.258</v>
      </c>
      <c r="H877" t="s">
        <v>21</v>
      </c>
    </row>
    <row r="878" spans="1:10" x14ac:dyDescent="0.25">
      <c r="A878" s="1">
        <v>7</v>
      </c>
      <c r="B878" t="s">
        <v>38</v>
      </c>
      <c r="C878">
        <v>61</v>
      </c>
      <c r="D878">
        <v>2</v>
      </c>
      <c r="E878" t="s">
        <v>51</v>
      </c>
      <c r="F878" t="s">
        <v>52</v>
      </c>
      <c r="G878" t="str">
        <f>"2025-11-07 09:33:17.658"</f>
        <v>2025-11-07 09:33:17.658</v>
      </c>
      <c r="H878" t="s">
        <v>21</v>
      </c>
      <c r="I878">
        <v>35.61</v>
      </c>
      <c r="J878" t="s">
        <v>33</v>
      </c>
    </row>
    <row r="879" spans="1:10" x14ac:dyDescent="0.25">
      <c r="A879" s="1">
        <v>8</v>
      </c>
      <c r="B879" t="s">
        <v>19</v>
      </c>
      <c r="C879">
        <v>700</v>
      </c>
      <c r="D879">
        <v>0</v>
      </c>
      <c r="E879" t="s">
        <v>20</v>
      </c>
      <c r="F879" t="s">
        <v>20</v>
      </c>
      <c r="G879" t="str">
        <f>"2025-11-07 07:54:38.887"</f>
        <v>2025-11-07 07:54:38.887</v>
      </c>
      <c r="H879" t="s">
        <v>21</v>
      </c>
    </row>
    <row r="880" spans="1:10" x14ac:dyDescent="0.25">
      <c r="A880" s="1">
        <v>9</v>
      </c>
      <c r="B880" t="s">
        <v>23</v>
      </c>
      <c r="C880">
        <v>61</v>
      </c>
      <c r="D880">
        <v>2</v>
      </c>
      <c r="E880" t="s">
        <v>51</v>
      </c>
      <c r="F880" t="s">
        <v>52</v>
      </c>
      <c r="G880" t="str">
        <f>"2025-11-06 16:40:37.897"</f>
        <v>2025-11-06 16:40:37.897</v>
      </c>
      <c r="H880" t="s">
        <v>21</v>
      </c>
    </row>
    <row r="881" spans="1:10" x14ac:dyDescent="0.25">
      <c r="A881" s="1">
        <v>10</v>
      </c>
      <c r="B881" t="s">
        <v>38</v>
      </c>
      <c r="C881">
        <v>61</v>
      </c>
      <c r="D881">
        <v>2</v>
      </c>
      <c r="E881" t="s">
        <v>51</v>
      </c>
      <c r="F881" t="s">
        <v>52</v>
      </c>
      <c r="G881" t="str">
        <f>"2025-11-06 16:40:27.497"</f>
        <v>2025-11-06 16:40:27.497</v>
      </c>
      <c r="H881" t="s">
        <v>21</v>
      </c>
      <c r="I881">
        <v>36.74</v>
      </c>
      <c r="J881" t="s">
        <v>33</v>
      </c>
    </row>
    <row r="882" spans="1:10" s="3" customFormat="1" x14ac:dyDescent="0.25">
      <c r="A882" s="2">
        <v>11</v>
      </c>
      <c r="B882" s="3" t="s">
        <v>23</v>
      </c>
      <c r="C882" s="3">
        <v>647</v>
      </c>
      <c r="D882" s="3">
        <v>1</v>
      </c>
      <c r="E882" s="3" t="s">
        <v>28</v>
      </c>
      <c r="F882" s="3" t="s">
        <v>29</v>
      </c>
      <c r="G882" s="3" t="str">
        <f>"2025-11-06 15:51:24.197"</f>
        <v>2025-11-06 15:51:24.197</v>
      </c>
      <c r="H882" s="3" t="s">
        <v>21</v>
      </c>
    </row>
    <row r="883" spans="1:10" s="3" customFormat="1" x14ac:dyDescent="0.25">
      <c r="A883" s="2">
        <v>12</v>
      </c>
      <c r="B883" s="3" t="s">
        <v>26</v>
      </c>
      <c r="C883" s="3">
        <v>647</v>
      </c>
      <c r="D883" s="3">
        <v>1</v>
      </c>
      <c r="E883" s="3" t="s">
        <v>28</v>
      </c>
      <c r="F883" s="3" t="s">
        <v>29</v>
      </c>
      <c r="G883" s="3" t="str">
        <f>"2025-11-06 15:51:21.497"</f>
        <v>2025-11-06 15:51:21.497</v>
      </c>
      <c r="H883" s="3" t="s">
        <v>21</v>
      </c>
      <c r="I883" s="3">
        <v>13.21</v>
      </c>
      <c r="J883" s="3" t="s">
        <v>33</v>
      </c>
    </row>
    <row r="884" spans="1:10" x14ac:dyDescent="0.25">
      <c r="A884" s="1">
        <v>13</v>
      </c>
      <c r="B884" t="s">
        <v>19</v>
      </c>
      <c r="C884">
        <v>706</v>
      </c>
      <c r="D884">
        <v>2</v>
      </c>
      <c r="E884" t="s">
        <v>31</v>
      </c>
      <c r="F884" t="s">
        <v>43</v>
      </c>
      <c r="G884" t="str">
        <f>"2025-11-06 15:08:54.046"</f>
        <v>2025-11-06 15:08:54.046</v>
      </c>
      <c r="H884" t="s">
        <v>21</v>
      </c>
      <c r="I884">
        <v>0</v>
      </c>
      <c r="J884" t="s">
        <v>27</v>
      </c>
    </row>
    <row r="885" spans="1:10" x14ac:dyDescent="0.25">
      <c r="A885" s="1">
        <v>14</v>
      </c>
      <c r="B885" t="s">
        <v>19</v>
      </c>
      <c r="C885">
        <v>700</v>
      </c>
      <c r="D885">
        <v>0</v>
      </c>
      <c r="E885" t="s">
        <v>20</v>
      </c>
      <c r="F885" t="s">
        <v>20</v>
      </c>
      <c r="G885" t="str">
        <f>"2025-11-06 15:04:54.716"</f>
        <v>2025-11-06 15:04:54.716</v>
      </c>
      <c r="H885" t="s">
        <v>21</v>
      </c>
      <c r="I885">
        <v>0</v>
      </c>
      <c r="J885" t="s">
        <v>22</v>
      </c>
    </row>
    <row r="886" spans="1:10" x14ac:dyDescent="0.25">
      <c r="A886" s="1">
        <v>15</v>
      </c>
      <c r="B886" t="s">
        <v>19</v>
      </c>
      <c r="C886">
        <v>700</v>
      </c>
      <c r="D886">
        <v>0</v>
      </c>
      <c r="E886" t="s">
        <v>20</v>
      </c>
      <c r="F886" t="s">
        <v>20</v>
      </c>
      <c r="G886" t="str">
        <f>"2025-11-06 13:07:55.756"</f>
        <v>2025-11-06 13:07:55.756</v>
      </c>
      <c r="H886" t="s">
        <v>21</v>
      </c>
      <c r="I886">
        <v>0</v>
      </c>
      <c r="J886" t="s">
        <v>22</v>
      </c>
    </row>
    <row r="887" spans="1:10" s="3" customFormat="1" x14ac:dyDescent="0.25">
      <c r="A887" s="2">
        <v>16</v>
      </c>
      <c r="B887" s="3" t="s">
        <v>23</v>
      </c>
      <c r="C887" s="3">
        <v>647</v>
      </c>
      <c r="D887" s="3">
        <v>1</v>
      </c>
      <c r="E887" s="3" t="s">
        <v>28</v>
      </c>
      <c r="F887" s="3" t="s">
        <v>29</v>
      </c>
      <c r="G887" s="3" t="str">
        <f>"2025-11-06 10:51:02.913"</f>
        <v>2025-11-06 10:51:02.913</v>
      </c>
      <c r="H887" s="3" t="s">
        <v>21</v>
      </c>
    </row>
    <row r="888" spans="1:10" s="3" customFormat="1" x14ac:dyDescent="0.25">
      <c r="A888" s="2">
        <v>17</v>
      </c>
      <c r="B888" s="3" t="s">
        <v>26</v>
      </c>
      <c r="C888" s="3">
        <v>647</v>
      </c>
      <c r="D888" s="3">
        <v>1</v>
      </c>
      <c r="E888" s="3" t="s">
        <v>28</v>
      </c>
      <c r="F888" s="3" t="s">
        <v>29</v>
      </c>
      <c r="G888" s="3" t="str">
        <f>"2025-11-06 10:51:01.713"</f>
        <v>2025-11-06 10:51:01.713</v>
      </c>
      <c r="H888" s="3" t="s">
        <v>21</v>
      </c>
      <c r="I888" s="3">
        <v>14.31</v>
      </c>
      <c r="J888" s="3" t="s">
        <v>33</v>
      </c>
    </row>
    <row r="889" spans="1:10" s="3" customFormat="1" x14ac:dyDescent="0.25">
      <c r="A889" s="2">
        <v>18</v>
      </c>
      <c r="B889" s="3" t="s">
        <v>23</v>
      </c>
      <c r="C889" s="3">
        <v>647</v>
      </c>
      <c r="D889" s="3">
        <v>1</v>
      </c>
      <c r="E889" s="3" t="s">
        <v>28</v>
      </c>
      <c r="F889" s="3" t="s">
        <v>29</v>
      </c>
      <c r="G889" s="3" t="str">
        <f>"2025-11-06 09:50:41.313"</f>
        <v>2025-11-06 09:50:41.313</v>
      </c>
      <c r="H889" s="3" t="s">
        <v>21</v>
      </c>
    </row>
    <row r="890" spans="1:10" s="3" customFormat="1" x14ac:dyDescent="0.25">
      <c r="A890" s="2">
        <v>19</v>
      </c>
      <c r="B890" s="3" t="s">
        <v>26</v>
      </c>
      <c r="C890" s="3">
        <v>647</v>
      </c>
      <c r="D890" s="3">
        <v>1</v>
      </c>
      <c r="E890" s="3" t="s">
        <v>28</v>
      </c>
      <c r="F890" s="3" t="s">
        <v>29</v>
      </c>
      <c r="G890" s="3" t="str">
        <f>"2025-11-06 09:50:40.213"</f>
        <v>2025-11-06 09:50:40.213</v>
      </c>
      <c r="H890" s="3" t="s">
        <v>21</v>
      </c>
      <c r="I890" s="3">
        <v>18.45</v>
      </c>
      <c r="J890" s="3" t="s">
        <v>33</v>
      </c>
    </row>
    <row r="891" spans="1:10" s="3" customFormat="1" x14ac:dyDescent="0.25">
      <c r="A891" s="2">
        <v>20</v>
      </c>
      <c r="B891" s="3" t="s">
        <v>23</v>
      </c>
      <c r="C891" s="3">
        <v>647</v>
      </c>
      <c r="D891" s="3">
        <v>1</v>
      </c>
      <c r="E891" s="3" t="s">
        <v>28</v>
      </c>
      <c r="F891" s="3" t="s">
        <v>29</v>
      </c>
      <c r="G891" s="3" t="str">
        <f>"2025-11-06 05:44:04.813"</f>
        <v>2025-11-06 05:44:04.813</v>
      </c>
      <c r="H891" s="3" t="s">
        <v>21</v>
      </c>
    </row>
    <row r="892" spans="1:10" s="3" customFormat="1" x14ac:dyDescent="0.25">
      <c r="A892" s="2">
        <v>21</v>
      </c>
      <c r="B892" s="3" t="s">
        <v>26</v>
      </c>
      <c r="C892" s="3">
        <v>647</v>
      </c>
      <c r="D892" s="3">
        <v>1</v>
      </c>
      <c r="E892" s="3" t="s">
        <v>28</v>
      </c>
      <c r="F892" s="3" t="s">
        <v>29</v>
      </c>
      <c r="G892" s="3" t="str">
        <f>"2025-11-06 05:44:03.113"</f>
        <v>2025-11-06 05:44:03.113</v>
      </c>
      <c r="H892" s="3" t="s">
        <v>21</v>
      </c>
      <c r="I892" s="3">
        <v>22.35</v>
      </c>
      <c r="J892" s="3" t="s">
        <v>33</v>
      </c>
    </row>
    <row r="893" spans="1:10" s="3" customFormat="1" x14ac:dyDescent="0.25">
      <c r="A893" s="2">
        <v>22</v>
      </c>
      <c r="B893" s="3" t="s">
        <v>23</v>
      </c>
      <c r="C893" s="3">
        <v>647</v>
      </c>
      <c r="D893" s="3">
        <v>1</v>
      </c>
      <c r="E893" s="3" t="s">
        <v>28</v>
      </c>
      <c r="F893" s="3" t="s">
        <v>29</v>
      </c>
      <c r="G893" s="3" t="str">
        <f>"2025-11-05 17:34:31.413"</f>
        <v>2025-11-05 17:34:31.413</v>
      </c>
      <c r="H893" s="3" t="s">
        <v>21</v>
      </c>
    </row>
    <row r="894" spans="1:10" s="3" customFormat="1" x14ac:dyDescent="0.25">
      <c r="A894" s="2">
        <v>23</v>
      </c>
      <c r="B894" s="3" t="s">
        <v>26</v>
      </c>
      <c r="C894" s="3">
        <v>647</v>
      </c>
      <c r="D894" s="3">
        <v>1</v>
      </c>
      <c r="E894" s="3" t="s">
        <v>28</v>
      </c>
      <c r="F894" s="3" t="s">
        <v>29</v>
      </c>
      <c r="G894" s="3" t="str">
        <f>"2025-11-05 17:34:29.113"</f>
        <v>2025-11-05 17:34:29.113</v>
      </c>
      <c r="H894" s="3" t="s">
        <v>21</v>
      </c>
      <c r="I894" s="3">
        <v>15.93</v>
      </c>
      <c r="J894" s="3" t="s">
        <v>33</v>
      </c>
    </row>
    <row r="895" spans="1:10" x14ac:dyDescent="0.25">
      <c r="A895" s="1">
        <v>24</v>
      </c>
      <c r="B895" t="s">
        <v>23</v>
      </c>
      <c r="C895">
        <v>635</v>
      </c>
      <c r="D895">
        <v>1</v>
      </c>
      <c r="E895" t="s">
        <v>44</v>
      </c>
      <c r="F895" t="s">
        <v>45</v>
      </c>
      <c r="G895" t="str">
        <f>"2025-11-05 16:01:38.213"</f>
        <v>2025-11-05 16:01:38.213</v>
      </c>
      <c r="H895" t="s">
        <v>21</v>
      </c>
    </row>
    <row r="896" spans="1:10" x14ac:dyDescent="0.25">
      <c r="A896" s="1">
        <v>25</v>
      </c>
      <c r="B896" t="s">
        <v>26</v>
      </c>
      <c r="C896">
        <v>635</v>
      </c>
      <c r="D896">
        <v>1</v>
      </c>
      <c r="E896" t="s">
        <v>44</v>
      </c>
      <c r="F896" t="s">
        <v>45</v>
      </c>
      <c r="G896" t="str">
        <f>"2025-11-05 15:35:42.713"</f>
        <v>2025-11-05 15:35:42.713</v>
      </c>
      <c r="H896" t="s">
        <v>21</v>
      </c>
      <c r="I896">
        <v>7.17</v>
      </c>
      <c r="J896" t="s">
        <v>39</v>
      </c>
    </row>
    <row r="897" spans="1:10" s="3" customFormat="1" x14ac:dyDescent="0.25">
      <c r="A897" s="2">
        <v>26</v>
      </c>
      <c r="B897" s="3" t="s">
        <v>23</v>
      </c>
      <c r="C897" s="3">
        <v>647</v>
      </c>
      <c r="D897" s="3">
        <v>1</v>
      </c>
      <c r="E897" s="3" t="s">
        <v>28</v>
      </c>
      <c r="F897" s="3" t="s">
        <v>29</v>
      </c>
      <c r="G897" s="3" t="str">
        <f>"2025-11-05 15:01:43.713"</f>
        <v>2025-11-05 15:01:43.713</v>
      </c>
      <c r="H897" s="3" t="s">
        <v>21</v>
      </c>
    </row>
    <row r="898" spans="1:10" s="3" customFormat="1" x14ac:dyDescent="0.25">
      <c r="A898" s="2">
        <v>27</v>
      </c>
      <c r="B898" s="3" t="s">
        <v>26</v>
      </c>
      <c r="C898" s="3">
        <v>647</v>
      </c>
      <c r="D898" s="3">
        <v>1</v>
      </c>
      <c r="E898" s="3" t="s">
        <v>28</v>
      </c>
      <c r="F898" s="3" t="s">
        <v>29</v>
      </c>
      <c r="G898" s="3" t="str">
        <f>"2025-11-05 15:01:38.813"</f>
        <v>2025-11-05 15:01:38.813</v>
      </c>
      <c r="H898" s="3" t="s">
        <v>21</v>
      </c>
      <c r="I898" s="3">
        <v>16.79</v>
      </c>
      <c r="J898" s="3" t="s">
        <v>33</v>
      </c>
    </row>
    <row r="899" spans="1:10" s="3" customFormat="1" x14ac:dyDescent="0.25">
      <c r="A899" s="2">
        <v>28</v>
      </c>
      <c r="B899" s="3" t="s">
        <v>23</v>
      </c>
      <c r="C899" s="3">
        <v>647</v>
      </c>
      <c r="D899" s="3">
        <v>1</v>
      </c>
      <c r="E899" s="3" t="s">
        <v>28</v>
      </c>
      <c r="F899" s="3" t="s">
        <v>29</v>
      </c>
      <c r="G899" s="3" t="str">
        <f>"2025-11-05 14:58:10.713"</f>
        <v>2025-11-05 14:58:10.713</v>
      </c>
      <c r="H899" s="3" t="s">
        <v>21</v>
      </c>
    </row>
    <row r="900" spans="1:10" s="3" customFormat="1" x14ac:dyDescent="0.25">
      <c r="A900" s="2">
        <v>29</v>
      </c>
      <c r="B900" s="3" t="s">
        <v>26</v>
      </c>
      <c r="C900" s="3">
        <v>647</v>
      </c>
      <c r="D900" s="3">
        <v>1</v>
      </c>
      <c r="E900" s="3" t="s">
        <v>28</v>
      </c>
      <c r="F900" s="3" t="s">
        <v>29</v>
      </c>
      <c r="G900" s="3" t="str">
        <f>"2025-11-05 14:58:05.014"</f>
        <v>2025-11-05 14:58:05.014</v>
      </c>
      <c r="H900" s="3" t="s">
        <v>21</v>
      </c>
      <c r="I900" s="3">
        <v>19.16</v>
      </c>
      <c r="J900" s="3" t="s">
        <v>33</v>
      </c>
    </row>
    <row r="901" spans="1:10" x14ac:dyDescent="0.25">
      <c r="A901" s="1">
        <v>30</v>
      </c>
      <c r="B901" t="s">
        <v>19</v>
      </c>
      <c r="C901">
        <v>700</v>
      </c>
      <c r="D901">
        <v>0</v>
      </c>
      <c r="E901" t="s">
        <v>20</v>
      </c>
      <c r="F901" t="s">
        <v>20</v>
      </c>
      <c r="G901" t="str">
        <f>"2025-11-05 13:44:55.729"</f>
        <v>2025-11-05 13:44:55.729</v>
      </c>
      <c r="H901" t="s">
        <v>21</v>
      </c>
      <c r="I901">
        <v>0</v>
      </c>
      <c r="J901" t="s">
        <v>22</v>
      </c>
    </row>
    <row r="902" spans="1:10" s="3" customFormat="1" x14ac:dyDescent="0.25">
      <c r="A902" s="2">
        <v>31</v>
      </c>
      <c r="B902" s="3" t="s">
        <v>23</v>
      </c>
      <c r="C902" s="3">
        <v>647</v>
      </c>
      <c r="D902" s="3">
        <v>1</v>
      </c>
      <c r="E902" s="3" t="s">
        <v>28</v>
      </c>
      <c r="F902" s="3" t="s">
        <v>29</v>
      </c>
      <c r="G902" s="3" t="str">
        <f>"2025-11-05 11:31:46.787"</f>
        <v>2025-11-05 11:31:46.787</v>
      </c>
      <c r="H902" s="3" t="s">
        <v>21</v>
      </c>
    </row>
    <row r="903" spans="1:10" s="3" customFormat="1" x14ac:dyDescent="0.25">
      <c r="A903" s="2">
        <v>32</v>
      </c>
      <c r="B903" s="3" t="s">
        <v>26</v>
      </c>
      <c r="C903" s="3">
        <v>647</v>
      </c>
      <c r="D903" s="3">
        <v>1</v>
      </c>
      <c r="E903" s="3" t="s">
        <v>28</v>
      </c>
      <c r="F903" s="3" t="s">
        <v>29</v>
      </c>
      <c r="G903" s="3" t="str">
        <f>"2025-11-05 11:31:45.687"</f>
        <v>2025-11-05 11:31:45.687</v>
      </c>
      <c r="H903" s="3" t="s">
        <v>21</v>
      </c>
      <c r="I903" s="3">
        <v>18.920000000000002</v>
      </c>
      <c r="J903" s="3" t="s">
        <v>33</v>
      </c>
    </row>
    <row r="904" spans="1:10" x14ac:dyDescent="0.25">
      <c r="A904" s="1">
        <v>33</v>
      </c>
      <c r="B904" t="s">
        <v>19</v>
      </c>
      <c r="C904">
        <v>700</v>
      </c>
      <c r="D904">
        <v>0</v>
      </c>
      <c r="E904" t="s">
        <v>20</v>
      </c>
      <c r="F904" t="s">
        <v>20</v>
      </c>
      <c r="G904" t="str">
        <f>"2025-11-04 13:10:07.905"</f>
        <v>2025-11-04 13:10:07.905</v>
      </c>
      <c r="H904" t="s">
        <v>21</v>
      </c>
      <c r="I904">
        <v>0</v>
      </c>
      <c r="J904" t="s">
        <v>22</v>
      </c>
    </row>
    <row r="905" spans="1:10" s="3" customFormat="1" x14ac:dyDescent="0.25">
      <c r="A905" s="2">
        <v>34</v>
      </c>
      <c r="B905" s="3" t="s">
        <v>23</v>
      </c>
      <c r="C905" s="3">
        <v>647</v>
      </c>
      <c r="D905" s="3">
        <v>1</v>
      </c>
      <c r="E905" s="3" t="s">
        <v>28</v>
      </c>
      <c r="F905" s="3" t="s">
        <v>29</v>
      </c>
      <c r="G905" s="3" t="str">
        <f>"2025-11-04 12:30:31.699"</f>
        <v>2025-11-04 12:30:31.699</v>
      </c>
      <c r="H905" s="3" t="s">
        <v>21</v>
      </c>
    </row>
    <row r="906" spans="1:10" s="3" customFormat="1" x14ac:dyDescent="0.25">
      <c r="A906" s="2">
        <v>35</v>
      </c>
      <c r="B906" s="3" t="s">
        <v>26</v>
      </c>
      <c r="C906" s="3">
        <v>647</v>
      </c>
      <c r="D906" s="3">
        <v>1</v>
      </c>
      <c r="E906" s="3" t="s">
        <v>28</v>
      </c>
      <c r="F906" s="3" t="s">
        <v>29</v>
      </c>
      <c r="G906" s="3" t="str">
        <f>"2025-11-04 12:30:26.700"</f>
        <v>2025-11-04 12:30:26.700</v>
      </c>
      <c r="H906" s="3" t="s">
        <v>21</v>
      </c>
      <c r="I906" s="3">
        <v>15.02</v>
      </c>
      <c r="J906" s="3" t="s">
        <v>33</v>
      </c>
    </row>
    <row r="907" spans="1:10" x14ac:dyDescent="0.25">
      <c r="A907" s="1">
        <v>36</v>
      </c>
      <c r="B907" t="s">
        <v>23</v>
      </c>
      <c r="C907">
        <v>61</v>
      </c>
      <c r="D907">
        <v>2</v>
      </c>
      <c r="E907" t="s">
        <v>51</v>
      </c>
      <c r="F907" t="s">
        <v>52</v>
      </c>
      <c r="G907" t="str">
        <f>"2025-11-03 15:51:48.012"</f>
        <v>2025-11-03 15:51:48.012</v>
      </c>
      <c r="H907" t="s">
        <v>21</v>
      </c>
    </row>
    <row r="908" spans="1:10" x14ac:dyDescent="0.25">
      <c r="A908" s="1">
        <v>37</v>
      </c>
      <c r="B908" t="s">
        <v>38</v>
      </c>
      <c r="C908">
        <v>61</v>
      </c>
      <c r="D908">
        <v>2</v>
      </c>
      <c r="E908" t="s">
        <v>51</v>
      </c>
      <c r="F908" t="s">
        <v>52</v>
      </c>
      <c r="G908" t="str">
        <f>"2025-11-03 15:51:26.112"</f>
        <v>2025-11-03 15:51:26.112</v>
      </c>
      <c r="H908" t="s">
        <v>21</v>
      </c>
      <c r="I908">
        <v>37.14</v>
      </c>
      <c r="J908" t="s">
        <v>33</v>
      </c>
    </row>
    <row r="909" spans="1:10" x14ac:dyDescent="0.25">
      <c r="A909" s="1">
        <v>38</v>
      </c>
      <c r="B909" t="s">
        <v>19</v>
      </c>
      <c r="C909">
        <v>700</v>
      </c>
      <c r="D909">
        <v>0</v>
      </c>
      <c r="E909" t="s">
        <v>20</v>
      </c>
      <c r="F909" t="s">
        <v>20</v>
      </c>
      <c r="G909" t="str">
        <f>"2025-11-03 11:28:25.712"</f>
        <v>2025-11-03 11:28:25.712</v>
      </c>
      <c r="H909" t="s">
        <v>21</v>
      </c>
    </row>
    <row r="910" spans="1:10" s="3" customFormat="1" x14ac:dyDescent="0.25">
      <c r="A910" s="2">
        <v>39</v>
      </c>
      <c r="B910" s="3" t="s">
        <v>23</v>
      </c>
      <c r="C910" s="3">
        <v>647</v>
      </c>
      <c r="D910" s="3">
        <v>1</v>
      </c>
      <c r="E910" s="3" t="s">
        <v>28</v>
      </c>
      <c r="F910" s="3" t="s">
        <v>29</v>
      </c>
      <c r="G910" s="3" t="str">
        <f>"2025-11-03 09:55:28.440"</f>
        <v>2025-11-03 09:55:28.440</v>
      </c>
      <c r="H910" s="3" t="s">
        <v>21</v>
      </c>
    </row>
    <row r="911" spans="1:10" s="3" customFormat="1" x14ac:dyDescent="0.25">
      <c r="A911" s="2">
        <v>40</v>
      </c>
      <c r="B911" s="3" t="s">
        <v>26</v>
      </c>
      <c r="C911" s="3">
        <v>647</v>
      </c>
      <c r="D911" s="3">
        <v>1</v>
      </c>
      <c r="E911" s="3" t="s">
        <v>28</v>
      </c>
      <c r="F911" s="3" t="s">
        <v>29</v>
      </c>
      <c r="G911" s="3" t="str">
        <f>"2025-11-03 09:55:24.140"</f>
        <v>2025-11-03 09:55:24.140</v>
      </c>
      <c r="H911" s="3" t="s">
        <v>21</v>
      </c>
      <c r="I911" s="3">
        <v>12.83</v>
      </c>
      <c r="J911" s="3" t="s">
        <v>33</v>
      </c>
    </row>
    <row r="912" spans="1:10" s="3" customFormat="1" x14ac:dyDescent="0.25">
      <c r="A912" s="2">
        <v>41</v>
      </c>
      <c r="B912" s="3" t="s">
        <v>23</v>
      </c>
      <c r="C912" s="3">
        <v>647</v>
      </c>
      <c r="D912" s="3">
        <v>1</v>
      </c>
      <c r="E912" s="3" t="s">
        <v>28</v>
      </c>
      <c r="F912" s="3" t="s">
        <v>29</v>
      </c>
      <c r="G912" s="3" t="str">
        <f>"2025-11-03 07:12:22.940"</f>
        <v>2025-11-03 07:12:22.940</v>
      </c>
      <c r="H912" s="3" t="s">
        <v>21</v>
      </c>
    </row>
    <row r="913" spans="1:10" s="3" customFormat="1" x14ac:dyDescent="0.25">
      <c r="A913" s="2">
        <v>42</v>
      </c>
      <c r="B913" s="3" t="s">
        <v>26</v>
      </c>
      <c r="C913" s="3">
        <v>647</v>
      </c>
      <c r="D913" s="3">
        <v>1</v>
      </c>
      <c r="E913" s="3" t="s">
        <v>28</v>
      </c>
      <c r="F913" s="3" t="s">
        <v>29</v>
      </c>
      <c r="G913" s="3" t="str">
        <f>"2025-11-03 07:12:20.240"</f>
        <v>2025-11-03 07:12:20.240</v>
      </c>
      <c r="H913" s="3" t="s">
        <v>21</v>
      </c>
      <c r="I913" s="3">
        <v>26.34</v>
      </c>
      <c r="J913" s="3" t="s">
        <v>33</v>
      </c>
    </row>
    <row r="914" spans="1:10" s="3" customFormat="1" x14ac:dyDescent="0.25">
      <c r="A914" s="2">
        <v>43</v>
      </c>
      <c r="B914" s="3" t="s">
        <v>23</v>
      </c>
      <c r="C914" s="3">
        <v>647</v>
      </c>
      <c r="D914" s="3">
        <v>1</v>
      </c>
      <c r="E914" s="3" t="s">
        <v>28</v>
      </c>
      <c r="F914" s="3" t="s">
        <v>29</v>
      </c>
      <c r="G914" s="3" t="str">
        <f>"2025-11-02 10:51:46.340"</f>
        <v>2025-11-02 10:51:46.340</v>
      </c>
      <c r="H914" s="3" t="s">
        <v>21</v>
      </c>
    </row>
    <row r="915" spans="1:10" s="3" customFormat="1" x14ac:dyDescent="0.25">
      <c r="A915" s="2">
        <v>44</v>
      </c>
      <c r="B915" s="3" t="s">
        <v>26</v>
      </c>
      <c r="C915" s="3">
        <v>647</v>
      </c>
      <c r="D915" s="3">
        <v>1</v>
      </c>
      <c r="E915" s="3" t="s">
        <v>28</v>
      </c>
      <c r="F915" s="3" t="s">
        <v>29</v>
      </c>
      <c r="G915" s="3" t="str">
        <f>"2025-11-02 10:51:39.440"</f>
        <v>2025-11-02 10:51:39.440</v>
      </c>
      <c r="H915" s="3" t="s">
        <v>21</v>
      </c>
      <c r="I915" s="3">
        <v>10.039999999999999</v>
      </c>
      <c r="J915" s="3" t="s">
        <v>33</v>
      </c>
    </row>
    <row r="916" spans="1:10" s="3" customFormat="1" x14ac:dyDescent="0.25">
      <c r="A916" s="2">
        <v>45</v>
      </c>
      <c r="B916" s="3" t="s">
        <v>23</v>
      </c>
      <c r="C916" s="3">
        <v>647</v>
      </c>
      <c r="D916" s="3">
        <v>1</v>
      </c>
      <c r="E916" s="3" t="s">
        <v>28</v>
      </c>
      <c r="F916" s="3" t="s">
        <v>29</v>
      </c>
      <c r="G916" s="3" t="str">
        <f>"2025-11-02 09:40:24.040"</f>
        <v>2025-11-02 09:40:24.040</v>
      </c>
      <c r="H916" s="3" t="s">
        <v>21</v>
      </c>
    </row>
    <row r="917" spans="1:10" s="3" customFormat="1" x14ac:dyDescent="0.25">
      <c r="A917" s="2">
        <v>46</v>
      </c>
      <c r="B917" s="3" t="s">
        <v>26</v>
      </c>
      <c r="C917" s="3">
        <v>647</v>
      </c>
      <c r="D917" s="3">
        <v>1</v>
      </c>
      <c r="E917" s="3" t="s">
        <v>28</v>
      </c>
      <c r="F917" s="3" t="s">
        <v>29</v>
      </c>
      <c r="G917" s="3" t="str">
        <f>"2025-11-02 09:40:22.440"</f>
        <v>2025-11-02 09:40:22.440</v>
      </c>
      <c r="H917" s="3" t="s">
        <v>21</v>
      </c>
      <c r="I917" s="3">
        <v>13.26</v>
      </c>
      <c r="J917" s="3" t="s">
        <v>33</v>
      </c>
    </row>
    <row r="918" spans="1:10" x14ac:dyDescent="0.25">
      <c r="A918" s="1">
        <v>47</v>
      </c>
      <c r="B918" t="s">
        <v>23</v>
      </c>
      <c r="C918">
        <v>635</v>
      </c>
      <c r="D918">
        <v>1</v>
      </c>
      <c r="E918" t="s">
        <v>44</v>
      </c>
      <c r="F918" t="s">
        <v>45</v>
      </c>
      <c r="G918" t="str">
        <f>"2025-11-02 03:39:27.291"</f>
        <v>2025-11-02 03:39:27.291</v>
      </c>
      <c r="H918" t="s">
        <v>21</v>
      </c>
    </row>
    <row r="919" spans="1:10" x14ac:dyDescent="0.25">
      <c r="A919" s="1">
        <v>48</v>
      </c>
      <c r="B919" t="s">
        <v>26</v>
      </c>
      <c r="C919">
        <v>635</v>
      </c>
      <c r="D919">
        <v>1</v>
      </c>
      <c r="E919" t="s">
        <v>44</v>
      </c>
      <c r="F919" t="s">
        <v>45</v>
      </c>
      <c r="G919" t="str">
        <f>"2025-11-02 03:36:19.291"</f>
        <v>2025-11-02 03:36:19.291</v>
      </c>
      <c r="H919" t="s">
        <v>21</v>
      </c>
      <c r="I919">
        <v>8.91</v>
      </c>
      <c r="J919" t="s">
        <v>39</v>
      </c>
    </row>
    <row r="920" spans="1:10" x14ac:dyDescent="0.25">
      <c r="A920" s="1">
        <v>49</v>
      </c>
      <c r="B920" t="s">
        <v>23</v>
      </c>
      <c r="C920">
        <v>635</v>
      </c>
      <c r="D920">
        <v>1</v>
      </c>
      <c r="E920" t="s">
        <v>44</v>
      </c>
      <c r="F920" t="s">
        <v>45</v>
      </c>
      <c r="G920" t="str">
        <f>"2025-11-01 22:39:28.091"</f>
        <v>2025-11-01 22:39:28.091</v>
      </c>
      <c r="H920" t="s">
        <v>21</v>
      </c>
    </row>
    <row r="921" spans="1:10" x14ac:dyDescent="0.25">
      <c r="A921" s="1">
        <v>50</v>
      </c>
      <c r="B921" t="s">
        <v>26</v>
      </c>
      <c r="C921">
        <v>635</v>
      </c>
      <c r="D921">
        <v>1</v>
      </c>
      <c r="E921" t="s">
        <v>44</v>
      </c>
      <c r="F921" t="s">
        <v>45</v>
      </c>
      <c r="G921" t="str">
        <f>"2025-11-01 22:35:33.591"</f>
        <v>2025-11-01 22:35:33.591</v>
      </c>
      <c r="H921" t="s">
        <v>21</v>
      </c>
      <c r="I921">
        <v>2.58</v>
      </c>
      <c r="J921" t="s">
        <v>33</v>
      </c>
    </row>
    <row r="922" spans="1:10" s="3" customFormat="1" x14ac:dyDescent="0.25">
      <c r="A922" s="2">
        <v>51</v>
      </c>
      <c r="B922" s="3" t="s">
        <v>23</v>
      </c>
      <c r="C922" s="3">
        <v>647</v>
      </c>
      <c r="D922" s="3">
        <v>1</v>
      </c>
      <c r="E922" s="3" t="s">
        <v>28</v>
      </c>
      <c r="F922" s="3" t="s">
        <v>29</v>
      </c>
      <c r="G922" s="3" t="str">
        <f>"2025-11-01 13:57:56.240"</f>
        <v>2025-11-01 13:57:56.240</v>
      </c>
      <c r="H922" s="3" t="s">
        <v>21</v>
      </c>
    </row>
    <row r="923" spans="1:10" s="3" customFormat="1" x14ac:dyDescent="0.25">
      <c r="A923" s="2">
        <v>52</v>
      </c>
      <c r="B923" s="3" t="s">
        <v>26</v>
      </c>
      <c r="C923" s="3">
        <v>647</v>
      </c>
      <c r="D923" s="3">
        <v>1</v>
      </c>
      <c r="E923" s="3" t="s">
        <v>28</v>
      </c>
      <c r="F923" s="3" t="s">
        <v>29</v>
      </c>
      <c r="G923" s="3" t="str">
        <f>"2025-11-01 13:57:48.340"</f>
        <v>2025-11-01 13:57:48.340</v>
      </c>
      <c r="H923" s="3" t="s">
        <v>21</v>
      </c>
      <c r="I923" s="3">
        <v>16.79</v>
      </c>
      <c r="J923" s="3" t="s">
        <v>33</v>
      </c>
    </row>
    <row r="924" spans="1:10" x14ac:dyDescent="0.25">
      <c r="A924" s="1">
        <v>53</v>
      </c>
      <c r="B924" t="s">
        <v>23</v>
      </c>
      <c r="C924">
        <v>61</v>
      </c>
      <c r="D924">
        <v>2</v>
      </c>
      <c r="E924" t="s">
        <v>51</v>
      </c>
      <c r="F924" t="s">
        <v>52</v>
      </c>
      <c r="G924" t="str">
        <f>"2025-11-01 09:18:55.132"</f>
        <v>2025-11-01 09:18:55.132</v>
      </c>
      <c r="H924" t="s">
        <v>21</v>
      </c>
    </row>
    <row r="925" spans="1:10" x14ac:dyDescent="0.25">
      <c r="A925" s="1">
        <v>54</v>
      </c>
      <c r="B925" t="s">
        <v>38</v>
      </c>
      <c r="C925">
        <v>61</v>
      </c>
      <c r="D925">
        <v>2</v>
      </c>
      <c r="E925" t="s">
        <v>51</v>
      </c>
      <c r="F925" t="s">
        <v>52</v>
      </c>
      <c r="G925" t="str">
        <f>"2025-11-01 09:18:43.932"</f>
        <v>2025-11-01 09:18:43.932</v>
      </c>
      <c r="H925" t="s">
        <v>21</v>
      </c>
      <c r="I925">
        <v>35</v>
      </c>
      <c r="J925" t="s">
        <v>33</v>
      </c>
    </row>
    <row r="926" spans="1:10" x14ac:dyDescent="0.25">
      <c r="A926" s="1">
        <v>55</v>
      </c>
      <c r="B926" t="s">
        <v>23</v>
      </c>
      <c r="C926">
        <v>98</v>
      </c>
      <c r="D926">
        <v>1</v>
      </c>
      <c r="E926" t="s">
        <v>49</v>
      </c>
      <c r="F926" t="s">
        <v>50</v>
      </c>
      <c r="G926" t="str">
        <f>"2025-10-31 19:29:51.331"</f>
        <v>2025-10-31 19:29:51.331</v>
      </c>
      <c r="H926" t="s">
        <v>21</v>
      </c>
    </row>
    <row r="927" spans="1:10" x14ac:dyDescent="0.25">
      <c r="A927" s="1">
        <v>56</v>
      </c>
      <c r="B927" t="s">
        <v>26</v>
      </c>
      <c r="C927">
        <v>98</v>
      </c>
      <c r="D927">
        <v>1</v>
      </c>
      <c r="E927" t="s">
        <v>49</v>
      </c>
      <c r="F927" t="s">
        <v>50</v>
      </c>
      <c r="G927" t="str">
        <f>"2025-10-31 19:29:50.332"</f>
        <v>2025-10-31 19:29:50.332</v>
      </c>
      <c r="H927" t="s">
        <v>21</v>
      </c>
      <c r="I927">
        <v>0</v>
      </c>
      <c r="J927" t="s">
        <v>30</v>
      </c>
    </row>
    <row r="928" spans="1:10" s="3" customFormat="1" x14ac:dyDescent="0.25">
      <c r="A928" s="2">
        <v>57</v>
      </c>
      <c r="B928" s="3" t="s">
        <v>23</v>
      </c>
      <c r="C928" s="3">
        <v>647</v>
      </c>
      <c r="D928" s="3">
        <v>1</v>
      </c>
      <c r="E928" s="3" t="s">
        <v>28</v>
      </c>
      <c r="F928" s="3" t="s">
        <v>29</v>
      </c>
      <c r="G928" s="3" t="str">
        <f>"2025-10-31 17:09:31.340"</f>
        <v>2025-10-31 17:09:31.340</v>
      </c>
      <c r="H928" s="3" t="s">
        <v>21</v>
      </c>
    </row>
    <row r="929" spans="1:10" s="3" customFormat="1" x14ac:dyDescent="0.25">
      <c r="A929" s="2">
        <v>58</v>
      </c>
      <c r="B929" s="3" t="s">
        <v>26</v>
      </c>
      <c r="C929" s="3">
        <v>647</v>
      </c>
      <c r="D929" s="3">
        <v>1</v>
      </c>
      <c r="E929" s="3" t="s">
        <v>28</v>
      </c>
      <c r="F929" s="3" t="s">
        <v>29</v>
      </c>
      <c r="G929" s="3" t="str">
        <f>"2025-10-31 17:09:27.640"</f>
        <v>2025-10-31 17:09:27.640</v>
      </c>
      <c r="H929" s="3" t="s">
        <v>21</v>
      </c>
      <c r="I929" s="3">
        <v>12.03</v>
      </c>
      <c r="J929" s="3" t="s">
        <v>33</v>
      </c>
    </row>
    <row r="930" spans="1:10" x14ac:dyDescent="0.25">
      <c r="A930" s="1">
        <v>59</v>
      </c>
      <c r="B930" t="s">
        <v>23</v>
      </c>
      <c r="C930">
        <v>635</v>
      </c>
      <c r="D930">
        <v>1</v>
      </c>
      <c r="E930" t="s">
        <v>44</v>
      </c>
      <c r="F930" t="s">
        <v>45</v>
      </c>
      <c r="G930" t="str">
        <f>"2025-10-31 16:00:08.091"</f>
        <v>2025-10-31 16:00:08.091</v>
      </c>
      <c r="H930" t="s">
        <v>21</v>
      </c>
    </row>
    <row r="931" spans="1:10" x14ac:dyDescent="0.25">
      <c r="A931" s="1">
        <v>60</v>
      </c>
      <c r="B931" t="s">
        <v>26</v>
      </c>
      <c r="C931">
        <v>635</v>
      </c>
      <c r="D931">
        <v>1</v>
      </c>
      <c r="E931" t="s">
        <v>44</v>
      </c>
      <c r="F931" t="s">
        <v>45</v>
      </c>
      <c r="G931" t="str">
        <f>"2025-10-31 15:40:48.092"</f>
        <v>2025-10-31 15:40:48.092</v>
      </c>
      <c r="H931" t="s">
        <v>21</v>
      </c>
      <c r="I931">
        <v>8.1199999999999992</v>
      </c>
      <c r="J931" t="s">
        <v>39</v>
      </c>
    </row>
    <row r="932" spans="1:10" x14ac:dyDescent="0.25">
      <c r="A932" s="1">
        <v>61</v>
      </c>
      <c r="B932" t="s">
        <v>19</v>
      </c>
      <c r="C932">
        <v>700</v>
      </c>
      <c r="D932">
        <v>0</v>
      </c>
      <c r="E932" t="s">
        <v>20</v>
      </c>
      <c r="F932" t="s">
        <v>20</v>
      </c>
      <c r="G932" t="str">
        <f>"2025-10-31 13:25:05.949"</f>
        <v>2025-10-31 13:25:05.949</v>
      </c>
      <c r="H932" t="s">
        <v>21</v>
      </c>
      <c r="I932">
        <v>0</v>
      </c>
      <c r="J932" t="s">
        <v>22</v>
      </c>
    </row>
    <row r="933" spans="1:10" x14ac:dyDescent="0.25">
      <c r="A933" s="1">
        <v>62</v>
      </c>
      <c r="B933" t="s">
        <v>23</v>
      </c>
      <c r="C933">
        <v>61</v>
      </c>
      <c r="D933">
        <v>2</v>
      </c>
      <c r="E933" t="s">
        <v>51</v>
      </c>
      <c r="F933" t="s">
        <v>52</v>
      </c>
      <c r="G933" t="str">
        <f>"2025-10-31 12:24:31.396"</f>
        <v>2025-10-31 12:24:31.396</v>
      </c>
      <c r="H933" t="s">
        <v>21</v>
      </c>
    </row>
    <row r="934" spans="1:10" x14ac:dyDescent="0.25">
      <c r="A934" s="1">
        <v>63</v>
      </c>
      <c r="B934" t="s">
        <v>38</v>
      </c>
      <c r="C934">
        <v>61</v>
      </c>
      <c r="D934">
        <v>2</v>
      </c>
      <c r="E934" t="s">
        <v>51</v>
      </c>
      <c r="F934" t="s">
        <v>52</v>
      </c>
      <c r="G934" t="str">
        <f>"2025-10-31 12:24:09.996"</f>
        <v>2025-10-31 12:24:09.996</v>
      </c>
      <c r="H934" t="s">
        <v>21</v>
      </c>
      <c r="I934">
        <v>37.32</v>
      </c>
      <c r="J934" t="s">
        <v>33</v>
      </c>
    </row>
    <row r="935" spans="1:10" x14ac:dyDescent="0.25">
      <c r="A935" s="1">
        <v>64</v>
      </c>
      <c r="B935" t="s">
        <v>23</v>
      </c>
      <c r="C935">
        <v>635</v>
      </c>
      <c r="D935">
        <v>1</v>
      </c>
      <c r="E935" t="s">
        <v>44</v>
      </c>
      <c r="F935" t="s">
        <v>45</v>
      </c>
      <c r="G935" t="str">
        <f>"2025-10-30 15:33:02.435"</f>
        <v>2025-10-30 15:33:02.435</v>
      </c>
      <c r="H935" t="s">
        <v>21</v>
      </c>
    </row>
    <row r="936" spans="1:10" x14ac:dyDescent="0.25">
      <c r="A936" s="1">
        <v>65</v>
      </c>
      <c r="B936" t="s">
        <v>26</v>
      </c>
      <c r="C936">
        <v>635</v>
      </c>
      <c r="D936">
        <v>1</v>
      </c>
      <c r="E936" t="s">
        <v>44</v>
      </c>
      <c r="F936" t="s">
        <v>45</v>
      </c>
      <c r="G936" t="str">
        <f>"2025-10-30 14:58:30.036"</f>
        <v>2025-10-30 14:58:30.036</v>
      </c>
      <c r="H936" t="s">
        <v>21</v>
      </c>
      <c r="I936">
        <v>9.49</v>
      </c>
      <c r="J936" t="s">
        <v>39</v>
      </c>
    </row>
    <row r="937" spans="1:10" x14ac:dyDescent="0.25">
      <c r="A937" s="1">
        <v>66</v>
      </c>
      <c r="B937" t="s">
        <v>19</v>
      </c>
      <c r="C937">
        <v>700</v>
      </c>
      <c r="D937">
        <v>0</v>
      </c>
      <c r="E937" t="s">
        <v>20</v>
      </c>
      <c r="F937" t="s">
        <v>20</v>
      </c>
      <c r="G937" t="str">
        <f>"2025-10-30 10:39:21.692"</f>
        <v>2025-10-30 10:39:21.692</v>
      </c>
      <c r="H937" t="s">
        <v>21</v>
      </c>
      <c r="I937">
        <v>0</v>
      </c>
      <c r="J937" t="s">
        <v>22</v>
      </c>
    </row>
    <row r="938" spans="1:10" x14ac:dyDescent="0.25">
      <c r="A938" s="1">
        <v>67</v>
      </c>
      <c r="B938" t="s">
        <v>19</v>
      </c>
      <c r="C938">
        <v>700</v>
      </c>
      <c r="D938">
        <v>0</v>
      </c>
      <c r="E938" t="s">
        <v>20</v>
      </c>
      <c r="F938" t="s">
        <v>20</v>
      </c>
      <c r="G938" t="str">
        <f>"2025-10-30 01:58:54.710"</f>
        <v>2025-10-30 01:58:54.710</v>
      </c>
      <c r="H938" t="s">
        <v>21</v>
      </c>
      <c r="I938">
        <v>0</v>
      </c>
      <c r="J938" t="s">
        <v>22</v>
      </c>
    </row>
    <row r="939" spans="1:10" x14ac:dyDescent="0.25">
      <c r="A939" s="1">
        <v>68</v>
      </c>
      <c r="B939" t="s">
        <v>19</v>
      </c>
      <c r="C939">
        <v>706</v>
      </c>
      <c r="D939">
        <v>4</v>
      </c>
      <c r="E939" t="s">
        <v>31</v>
      </c>
      <c r="F939" t="s">
        <v>32</v>
      </c>
      <c r="G939" t="str">
        <f>"2025-10-30 01:38:12.234"</f>
        <v>2025-10-30 01:38:12.234</v>
      </c>
      <c r="H939" t="s">
        <v>21</v>
      </c>
      <c r="I939">
        <v>0</v>
      </c>
      <c r="J939" t="s">
        <v>27</v>
      </c>
    </row>
    <row r="940" spans="1:10" x14ac:dyDescent="0.25">
      <c r="A940" s="1">
        <v>69</v>
      </c>
      <c r="B940" t="s">
        <v>23</v>
      </c>
      <c r="C940">
        <v>630</v>
      </c>
      <c r="D940">
        <v>5</v>
      </c>
      <c r="E940" t="s">
        <v>40</v>
      </c>
      <c r="F940" t="s">
        <v>41</v>
      </c>
      <c r="G940" t="str">
        <f>"2025-10-30 01:32:17.907"</f>
        <v>2025-10-30 01:32:17.907</v>
      </c>
      <c r="H940" t="s">
        <v>42</v>
      </c>
    </row>
    <row r="941" spans="1:10" x14ac:dyDescent="0.25">
      <c r="A941" s="1">
        <v>70</v>
      </c>
      <c r="B941" t="s">
        <v>19</v>
      </c>
      <c r="C941">
        <v>706</v>
      </c>
      <c r="D941">
        <v>4</v>
      </c>
      <c r="E941" t="s">
        <v>31</v>
      </c>
      <c r="F941" t="s">
        <v>32</v>
      </c>
      <c r="G941" t="str">
        <f>"2025-10-30 01:31:47.834"</f>
        <v>2025-10-30 01:31:47.834</v>
      </c>
      <c r="H941" t="s">
        <v>21</v>
      </c>
      <c r="I941">
        <v>0</v>
      </c>
      <c r="J941" t="s">
        <v>27</v>
      </c>
    </row>
    <row r="942" spans="1:10" x14ac:dyDescent="0.25">
      <c r="A942" s="1">
        <v>71</v>
      </c>
      <c r="B942" t="s">
        <v>19</v>
      </c>
      <c r="C942">
        <v>706</v>
      </c>
      <c r="D942">
        <v>3</v>
      </c>
      <c r="E942" t="s">
        <v>31</v>
      </c>
      <c r="F942" t="s">
        <v>48</v>
      </c>
      <c r="G942" t="str">
        <f>"2025-10-30 01:03:10.154"</f>
        <v>2025-10-30 01:03:10.154</v>
      </c>
      <c r="H942" t="s">
        <v>21</v>
      </c>
      <c r="I942">
        <v>0</v>
      </c>
      <c r="J942" t="s">
        <v>27</v>
      </c>
    </row>
    <row r="943" spans="1:10" x14ac:dyDescent="0.25">
      <c r="A943" s="1">
        <v>72</v>
      </c>
      <c r="B943" t="s">
        <v>38</v>
      </c>
      <c r="C943">
        <v>630</v>
      </c>
      <c r="D943">
        <v>5</v>
      </c>
      <c r="E943" t="s">
        <v>40</v>
      </c>
      <c r="F943" t="s">
        <v>41</v>
      </c>
      <c r="G943" t="str">
        <f>"2025-10-30 00:49:11.507"</f>
        <v>2025-10-30 00:49:11.507</v>
      </c>
      <c r="H943" t="s">
        <v>42</v>
      </c>
      <c r="I943">
        <v>0</v>
      </c>
      <c r="J943" t="s">
        <v>27</v>
      </c>
    </row>
    <row r="944" spans="1:10" x14ac:dyDescent="0.25">
      <c r="A944" s="1">
        <v>73</v>
      </c>
      <c r="B944" t="s">
        <v>19</v>
      </c>
      <c r="C944">
        <v>700</v>
      </c>
      <c r="D944">
        <v>0</v>
      </c>
      <c r="E944" t="s">
        <v>20</v>
      </c>
      <c r="F944" t="s">
        <v>20</v>
      </c>
      <c r="G944" t="str">
        <f>"2025-10-30 00:44:08.704"</f>
        <v>2025-10-30 00:44:08.704</v>
      </c>
      <c r="H944" t="s">
        <v>21</v>
      </c>
    </row>
    <row r="945" spans="1:10" x14ac:dyDescent="0.25">
      <c r="A945" s="1">
        <v>74</v>
      </c>
      <c r="B945" t="s">
        <v>19</v>
      </c>
      <c r="C945">
        <v>706</v>
      </c>
      <c r="D945">
        <v>4</v>
      </c>
      <c r="E945" t="s">
        <v>31</v>
      </c>
      <c r="F945" t="s">
        <v>32</v>
      </c>
      <c r="G945" t="str">
        <f>"2025-10-30 00:42:34.387"</f>
        <v>2025-10-30 00:42:34.387</v>
      </c>
      <c r="H945" t="s">
        <v>21</v>
      </c>
      <c r="I945">
        <v>0</v>
      </c>
      <c r="J945" t="s">
        <v>27</v>
      </c>
    </row>
    <row r="946" spans="1:10" x14ac:dyDescent="0.25">
      <c r="A946" s="1">
        <v>75</v>
      </c>
      <c r="B946" t="s">
        <v>38</v>
      </c>
      <c r="C946">
        <v>630</v>
      </c>
      <c r="D946">
        <v>5</v>
      </c>
      <c r="E946" t="s">
        <v>40</v>
      </c>
      <c r="F946" t="s">
        <v>41</v>
      </c>
      <c r="G946" t="str">
        <f>"2025-10-30 00:29:12.593"</f>
        <v>2025-10-30 00:29:12.593</v>
      </c>
      <c r="H946" t="s">
        <v>42</v>
      </c>
      <c r="I946">
        <v>0</v>
      </c>
      <c r="J946" t="s">
        <v>27</v>
      </c>
    </row>
    <row r="947" spans="1:10" x14ac:dyDescent="0.25">
      <c r="A947" s="1">
        <v>76</v>
      </c>
      <c r="B947" t="s">
        <v>19</v>
      </c>
      <c r="C947">
        <v>700</v>
      </c>
      <c r="D947">
        <v>0</v>
      </c>
      <c r="E947" t="s">
        <v>20</v>
      </c>
      <c r="F947" t="s">
        <v>20</v>
      </c>
      <c r="G947" t="str">
        <f>"2025-10-30 00:24:09.787"</f>
        <v>2025-10-30 00:24:09.787</v>
      </c>
      <c r="H947" t="s">
        <v>21</v>
      </c>
      <c r="I947">
        <v>0</v>
      </c>
      <c r="J947" t="s">
        <v>22</v>
      </c>
    </row>
    <row r="948" spans="1:10" x14ac:dyDescent="0.25">
      <c r="A948" s="1">
        <v>77</v>
      </c>
      <c r="B948" t="s">
        <v>19</v>
      </c>
      <c r="C948">
        <v>706</v>
      </c>
      <c r="D948">
        <v>2</v>
      </c>
      <c r="E948" t="s">
        <v>31</v>
      </c>
      <c r="F948" t="s">
        <v>43</v>
      </c>
      <c r="G948" t="str">
        <f>"2025-10-30 00:23:08.647"</f>
        <v>2025-10-30 00:23:08.647</v>
      </c>
      <c r="H948" t="s">
        <v>21</v>
      </c>
      <c r="I948">
        <v>0</v>
      </c>
      <c r="J948" t="s">
        <v>27</v>
      </c>
    </row>
    <row r="949" spans="1:10" x14ac:dyDescent="0.25">
      <c r="A949" s="1">
        <v>78</v>
      </c>
      <c r="B949" t="s">
        <v>19</v>
      </c>
      <c r="C949">
        <v>700</v>
      </c>
      <c r="D949">
        <v>0</v>
      </c>
      <c r="E949" t="s">
        <v>20</v>
      </c>
      <c r="F949" t="s">
        <v>20</v>
      </c>
      <c r="G949" t="str">
        <f>"2025-10-30 00:20:52.697"</f>
        <v>2025-10-30 00:20:52.697</v>
      </c>
      <c r="H949" t="s">
        <v>21</v>
      </c>
      <c r="I949">
        <v>0</v>
      </c>
      <c r="J949" t="s">
        <v>22</v>
      </c>
    </row>
    <row r="950" spans="1:10" x14ac:dyDescent="0.25">
      <c r="A950" s="1">
        <v>79</v>
      </c>
      <c r="B950" t="s">
        <v>19</v>
      </c>
      <c r="C950">
        <v>700</v>
      </c>
      <c r="D950">
        <v>0</v>
      </c>
      <c r="E950" t="s">
        <v>20</v>
      </c>
      <c r="F950" t="s">
        <v>20</v>
      </c>
      <c r="G950" t="str">
        <f>"2025-10-30 00:15:57.874"</f>
        <v>2025-10-30 00:15:57.874</v>
      </c>
      <c r="H950" t="s">
        <v>21</v>
      </c>
      <c r="I950">
        <v>0</v>
      </c>
      <c r="J950" t="s">
        <v>22</v>
      </c>
    </row>
    <row r="951" spans="1:10" x14ac:dyDescent="0.25">
      <c r="A951" s="1">
        <v>80</v>
      </c>
      <c r="B951" t="s">
        <v>19</v>
      </c>
      <c r="C951">
        <v>706</v>
      </c>
      <c r="D951">
        <v>4</v>
      </c>
      <c r="E951" t="s">
        <v>31</v>
      </c>
      <c r="F951" t="s">
        <v>32</v>
      </c>
      <c r="G951" t="str">
        <f>"2025-10-30 00:07:02.396"</f>
        <v>2025-10-30 00:07:02.396</v>
      </c>
      <c r="H951" t="s">
        <v>21</v>
      </c>
      <c r="I951">
        <v>0</v>
      </c>
      <c r="J951" t="s">
        <v>27</v>
      </c>
    </row>
    <row r="952" spans="1:10" x14ac:dyDescent="0.25">
      <c r="A952" s="1">
        <v>81</v>
      </c>
      <c r="B952" t="s">
        <v>19</v>
      </c>
      <c r="C952">
        <v>700</v>
      </c>
      <c r="D952">
        <v>0</v>
      </c>
      <c r="E952" t="s">
        <v>20</v>
      </c>
      <c r="F952" t="s">
        <v>20</v>
      </c>
      <c r="G952" t="str">
        <f>"2025-10-30 00:05:34.736"</f>
        <v>2025-10-30 00:05:34.736</v>
      </c>
      <c r="H952" t="s">
        <v>21</v>
      </c>
      <c r="I952">
        <v>0</v>
      </c>
      <c r="J952" t="s">
        <v>22</v>
      </c>
    </row>
    <row r="953" spans="1:10" x14ac:dyDescent="0.25">
      <c r="A953" s="1">
        <v>82</v>
      </c>
      <c r="B953" t="s">
        <v>19</v>
      </c>
      <c r="C953">
        <v>700</v>
      </c>
      <c r="D953">
        <v>0</v>
      </c>
      <c r="E953" t="s">
        <v>20</v>
      </c>
      <c r="F953" t="s">
        <v>20</v>
      </c>
      <c r="G953" t="str">
        <f>"2025-10-29 11:30:50.718"</f>
        <v>2025-10-29 11:30:50.718</v>
      </c>
      <c r="H953" t="s">
        <v>21</v>
      </c>
      <c r="I953">
        <v>0</v>
      </c>
      <c r="J953" t="s">
        <v>22</v>
      </c>
    </row>
    <row r="954" spans="1:10" x14ac:dyDescent="0.25">
      <c r="A954" s="1">
        <v>83</v>
      </c>
      <c r="B954" t="s">
        <v>23</v>
      </c>
      <c r="C954">
        <v>630</v>
      </c>
      <c r="D954">
        <v>5</v>
      </c>
      <c r="E954" t="s">
        <v>40</v>
      </c>
      <c r="F954" t="s">
        <v>41</v>
      </c>
      <c r="G954" t="str">
        <f>"2025-10-28 15:44:16.216"</f>
        <v>2025-10-28 15:44:16.216</v>
      </c>
      <c r="H954" t="s">
        <v>42</v>
      </c>
    </row>
    <row r="955" spans="1:10" x14ac:dyDescent="0.25">
      <c r="A955" s="1">
        <v>84</v>
      </c>
      <c r="B955" t="s">
        <v>19</v>
      </c>
      <c r="C955">
        <v>706</v>
      </c>
      <c r="D955">
        <v>4</v>
      </c>
      <c r="E955" t="s">
        <v>31</v>
      </c>
      <c r="F955" t="s">
        <v>32</v>
      </c>
      <c r="G955" t="str">
        <f>"2025-10-28 15:43:46.114"</f>
        <v>2025-10-28 15:43:46.114</v>
      </c>
      <c r="H955" t="s">
        <v>21</v>
      </c>
      <c r="I955">
        <v>0</v>
      </c>
      <c r="J955" t="s">
        <v>27</v>
      </c>
    </row>
    <row r="956" spans="1:10" x14ac:dyDescent="0.25">
      <c r="A956" s="1">
        <v>85</v>
      </c>
      <c r="B956" t="s">
        <v>38</v>
      </c>
      <c r="C956">
        <v>630</v>
      </c>
      <c r="D956">
        <v>5</v>
      </c>
      <c r="E956" t="s">
        <v>40</v>
      </c>
      <c r="F956" t="s">
        <v>41</v>
      </c>
      <c r="G956" t="str">
        <f>"2025-10-28 15:20:31.616"</f>
        <v>2025-10-28 15:20:31.616</v>
      </c>
      <c r="H956" t="s">
        <v>42</v>
      </c>
      <c r="I956">
        <v>0</v>
      </c>
      <c r="J956" t="s">
        <v>27</v>
      </c>
    </row>
    <row r="957" spans="1:10" x14ac:dyDescent="0.25">
      <c r="A957" s="1">
        <v>86</v>
      </c>
      <c r="B957" t="s">
        <v>19</v>
      </c>
      <c r="C957">
        <v>700</v>
      </c>
      <c r="D957">
        <v>0</v>
      </c>
      <c r="E957" t="s">
        <v>20</v>
      </c>
      <c r="F957" t="s">
        <v>20</v>
      </c>
      <c r="G957" t="str">
        <f>"2025-10-28 15:15:28.824"</f>
        <v>2025-10-28 15:15:28.824</v>
      </c>
      <c r="H957" t="s">
        <v>21</v>
      </c>
      <c r="I957">
        <v>0</v>
      </c>
      <c r="J957" t="s">
        <v>22</v>
      </c>
    </row>
    <row r="958" spans="1:10" x14ac:dyDescent="0.25">
      <c r="A958" s="1">
        <v>87</v>
      </c>
      <c r="B958" t="s">
        <v>38</v>
      </c>
      <c r="C958">
        <v>630</v>
      </c>
      <c r="D958">
        <v>5</v>
      </c>
      <c r="E958" t="s">
        <v>40</v>
      </c>
      <c r="F958" t="s">
        <v>41</v>
      </c>
      <c r="G958" t="str">
        <f>"2025-10-28 12:22:48.920"</f>
        <v>2025-10-28 12:22:48.920</v>
      </c>
      <c r="H958" t="s">
        <v>42</v>
      </c>
      <c r="I958">
        <v>0</v>
      </c>
      <c r="J958" t="s">
        <v>27</v>
      </c>
    </row>
    <row r="959" spans="1:10" x14ac:dyDescent="0.25">
      <c r="A959" s="1">
        <v>88</v>
      </c>
      <c r="B959" t="s">
        <v>23</v>
      </c>
      <c r="C959">
        <v>630</v>
      </c>
      <c r="D959">
        <v>5</v>
      </c>
      <c r="E959" t="s">
        <v>40</v>
      </c>
      <c r="F959" t="s">
        <v>41</v>
      </c>
      <c r="G959" t="str">
        <f>"2025-10-28 12:16:39.520"</f>
        <v>2025-10-28 12:16:39.520</v>
      </c>
      <c r="H959" t="s">
        <v>42</v>
      </c>
    </row>
    <row r="960" spans="1:10" x14ac:dyDescent="0.25">
      <c r="A960" s="1">
        <v>89</v>
      </c>
      <c r="B960" t="s">
        <v>19</v>
      </c>
      <c r="C960">
        <v>706</v>
      </c>
      <c r="D960">
        <v>4</v>
      </c>
      <c r="E960" t="s">
        <v>31</v>
      </c>
      <c r="F960" t="s">
        <v>32</v>
      </c>
      <c r="G960" t="str">
        <f>"2025-10-28 12:16:09.435"</f>
        <v>2025-10-28 12:16:09.435</v>
      </c>
      <c r="H960" t="s">
        <v>21</v>
      </c>
      <c r="I960">
        <v>0</v>
      </c>
      <c r="J960" t="s">
        <v>27</v>
      </c>
    </row>
    <row r="961" spans="1:10" x14ac:dyDescent="0.25">
      <c r="A961" s="1">
        <v>90</v>
      </c>
      <c r="B961" t="s">
        <v>38</v>
      </c>
      <c r="C961">
        <v>630</v>
      </c>
      <c r="D961">
        <v>5</v>
      </c>
      <c r="E961" t="s">
        <v>40</v>
      </c>
      <c r="F961" t="s">
        <v>41</v>
      </c>
      <c r="G961" t="str">
        <f>"2025-10-28 12:12:36.520"</f>
        <v>2025-10-28 12:12:36.520</v>
      </c>
      <c r="H961" t="s">
        <v>42</v>
      </c>
      <c r="I961">
        <v>0</v>
      </c>
      <c r="J961" t="s">
        <v>27</v>
      </c>
    </row>
    <row r="962" spans="1:10" x14ac:dyDescent="0.25">
      <c r="A962" s="1">
        <v>91</v>
      </c>
      <c r="B962" t="s">
        <v>23</v>
      </c>
      <c r="C962">
        <v>630</v>
      </c>
      <c r="D962">
        <v>5</v>
      </c>
      <c r="E962" t="s">
        <v>40</v>
      </c>
      <c r="F962" t="s">
        <v>41</v>
      </c>
      <c r="G962" t="str">
        <f>"2025-10-28 12:06:48.920"</f>
        <v>2025-10-28 12:06:48.920</v>
      </c>
      <c r="H962" t="s">
        <v>42</v>
      </c>
    </row>
    <row r="963" spans="1:10" x14ac:dyDescent="0.25">
      <c r="A963" s="1">
        <v>92</v>
      </c>
      <c r="B963" t="s">
        <v>19</v>
      </c>
      <c r="C963">
        <v>706</v>
      </c>
      <c r="D963">
        <v>4</v>
      </c>
      <c r="E963" t="s">
        <v>31</v>
      </c>
      <c r="F963" t="s">
        <v>32</v>
      </c>
      <c r="G963" t="str">
        <f>"2025-10-28 12:06:18.845"</f>
        <v>2025-10-28 12:06:18.845</v>
      </c>
      <c r="H963" t="s">
        <v>21</v>
      </c>
      <c r="I963">
        <v>0</v>
      </c>
      <c r="J963" t="s">
        <v>27</v>
      </c>
    </row>
    <row r="964" spans="1:10" x14ac:dyDescent="0.25">
      <c r="A964" s="1">
        <v>93</v>
      </c>
      <c r="B964" t="s">
        <v>38</v>
      </c>
      <c r="C964">
        <v>630</v>
      </c>
      <c r="D964">
        <v>5</v>
      </c>
      <c r="E964" t="s">
        <v>40</v>
      </c>
      <c r="F964" t="s">
        <v>41</v>
      </c>
      <c r="G964" t="str">
        <f>"2025-10-28 11:41:59.420"</f>
        <v>2025-10-28 11:41:59.420</v>
      </c>
      <c r="H964" t="s">
        <v>42</v>
      </c>
      <c r="I964">
        <v>0</v>
      </c>
      <c r="J964" t="s">
        <v>27</v>
      </c>
    </row>
    <row r="965" spans="1:10" x14ac:dyDescent="0.25">
      <c r="A965" s="1">
        <v>94</v>
      </c>
      <c r="B965" t="s">
        <v>23</v>
      </c>
      <c r="C965">
        <v>630</v>
      </c>
      <c r="D965">
        <v>5</v>
      </c>
      <c r="E965" t="s">
        <v>40</v>
      </c>
      <c r="F965" t="s">
        <v>41</v>
      </c>
      <c r="G965" t="str">
        <f>"2025-10-28 11:36:14.820"</f>
        <v>2025-10-28 11:36:14.820</v>
      </c>
      <c r="H965" t="s">
        <v>42</v>
      </c>
    </row>
    <row r="966" spans="1:10" x14ac:dyDescent="0.25">
      <c r="A966" s="1">
        <v>95</v>
      </c>
      <c r="B966" t="s">
        <v>19</v>
      </c>
      <c r="C966">
        <v>706</v>
      </c>
      <c r="D966">
        <v>4</v>
      </c>
      <c r="E966" t="s">
        <v>31</v>
      </c>
      <c r="F966" t="s">
        <v>32</v>
      </c>
      <c r="G966" t="str">
        <f>"2025-10-28 11:35:44.695"</f>
        <v>2025-10-28 11:35:44.695</v>
      </c>
      <c r="H966" t="s">
        <v>21</v>
      </c>
      <c r="I966">
        <v>0</v>
      </c>
      <c r="J966" t="s">
        <v>27</v>
      </c>
    </row>
    <row r="967" spans="1:10" x14ac:dyDescent="0.25">
      <c r="A967" s="1">
        <v>96</v>
      </c>
      <c r="B967" t="s">
        <v>38</v>
      </c>
      <c r="C967">
        <v>630</v>
      </c>
      <c r="D967">
        <v>5</v>
      </c>
      <c r="E967" t="s">
        <v>40</v>
      </c>
      <c r="F967" t="s">
        <v>41</v>
      </c>
      <c r="G967" t="str">
        <f>"2025-10-28 10:47:17.320"</f>
        <v>2025-10-28 10:47:17.320</v>
      </c>
      <c r="H967" t="s">
        <v>42</v>
      </c>
      <c r="I967">
        <v>0</v>
      </c>
      <c r="J967" t="s">
        <v>27</v>
      </c>
    </row>
    <row r="968" spans="1:10" x14ac:dyDescent="0.25">
      <c r="A968" s="1">
        <v>97</v>
      </c>
      <c r="B968" t="s">
        <v>23</v>
      </c>
      <c r="C968">
        <v>630</v>
      </c>
      <c r="D968">
        <v>5</v>
      </c>
      <c r="E968" t="s">
        <v>40</v>
      </c>
      <c r="F968" t="s">
        <v>41</v>
      </c>
      <c r="G968" t="str">
        <f>"2025-10-28 10:41:23.620"</f>
        <v>2025-10-28 10:41:23.620</v>
      </c>
      <c r="H968" t="s">
        <v>42</v>
      </c>
    </row>
    <row r="969" spans="1:10" x14ac:dyDescent="0.25">
      <c r="A969" s="1">
        <v>98</v>
      </c>
      <c r="B969" t="s">
        <v>19</v>
      </c>
      <c r="C969">
        <v>706</v>
      </c>
      <c r="D969">
        <v>4</v>
      </c>
      <c r="E969" t="s">
        <v>31</v>
      </c>
      <c r="F969" t="s">
        <v>32</v>
      </c>
      <c r="G969" t="str">
        <f>"2025-10-28 10:40:53.565"</f>
        <v>2025-10-28 10:40:53.565</v>
      </c>
      <c r="H969" t="s">
        <v>21</v>
      </c>
      <c r="I969">
        <v>0</v>
      </c>
      <c r="J969" t="s">
        <v>27</v>
      </c>
    </row>
    <row r="970" spans="1:10" x14ac:dyDescent="0.25">
      <c r="A970" s="1">
        <v>99</v>
      </c>
      <c r="B970" t="s">
        <v>38</v>
      </c>
      <c r="C970">
        <v>630</v>
      </c>
      <c r="D970">
        <v>5</v>
      </c>
      <c r="E970" t="s">
        <v>40</v>
      </c>
      <c r="F970" t="s">
        <v>41</v>
      </c>
      <c r="G970" t="str">
        <f>"2025-10-28 10:04:03.521"</f>
        <v>2025-10-28 10:04:03.521</v>
      </c>
      <c r="H970" t="s">
        <v>42</v>
      </c>
      <c r="I970">
        <v>0</v>
      </c>
      <c r="J970" t="s">
        <v>27</v>
      </c>
    </row>
    <row r="971" spans="1:10" x14ac:dyDescent="0.25">
      <c r="A971" s="1">
        <v>0</v>
      </c>
      <c r="B971" t="s">
        <v>19</v>
      </c>
      <c r="C971">
        <v>700</v>
      </c>
      <c r="D971">
        <v>0</v>
      </c>
      <c r="E971" t="s">
        <v>20</v>
      </c>
      <c r="F971" t="s">
        <v>20</v>
      </c>
      <c r="G971" t="str">
        <f>"2025-10-28 09:59:00.685"</f>
        <v>2025-10-28 09:59:00.685</v>
      </c>
      <c r="H971" t="s">
        <v>21</v>
      </c>
    </row>
    <row r="972" spans="1:10" x14ac:dyDescent="0.25">
      <c r="A972" s="1">
        <v>1</v>
      </c>
      <c r="B972" t="s">
        <v>19</v>
      </c>
      <c r="C972">
        <v>700</v>
      </c>
      <c r="D972">
        <v>0</v>
      </c>
      <c r="E972" t="s">
        <v>20</v>
      </c>
      <c r="F972" t="s">
        <v>20</v>
      </c>
      <c r="G972" t="str">
        <f>"2025-10-28 08:42:42.721"</f>
        <v>2025-10-28 08:42:42.721</v>
      </c>
      <c r="H972" t="s">
        <v>21</v>
      </c>
      <c r="I972">
        <v>0</v>
      </c>
      <c r="J972" t="s">
        <v>22</v>
      </c>
    </row>
    <row r="973" spans="1:10" x14ac:dyDescent="0.25">
      <c r="A973" s="1">
        <v>3</v>
      </c>
      <c r="B973" t="s">
        <v>19</v>
      </c>
      <c r="C973">
        <v>700</v>
      </c>
      <c r="D973">
        <v>0</v>
      </c>
      <c r="E973" t="s">
        <v>20</v>
      </c>
      <c r="F973" t="s">
        <v>20</v>
      </c>
      <c r="G973" t="str">
        <f>"2025-10-26 09:03:31.708"</f>
        <v>2025-10-26 09:03:31.708</v>
      </c>
      <c r="H973" t="s">
        <v>21</v>
      </c>
    </row>
    <row r="974" spans="1:10" x14ac:dyDescent="0.25">
      <c r="A974" s="1">
        <v>4</v>
      </c>
      <c r="B974" t="s">
        <v>34</v>
      </c>
      <c r="C974">
        <v>33</v>
      </c>
      <c r="D974">
        <v>1</v>
      </c>
      <c r="E974" t="s">
        <v>35</v>
      </c>
      <c r="F974" t="s">
        <v>36</v>
      </c>
      <c r="G974" t="str">
        <f>"2025-10-25 01:33:54.273"</f>
        <v>2025-10-25 01:33:54.273</v>
      </c>
      <c r="H974" t="s">
        <v>37</v>
      </c>
    </row>
    <row r="975" spans="1:10" x14ac:dyDescent="0.25">
      <c r="A975" s="1">
        <v>5</v>
      </c>
      <c r="B975" t="s">
        <v>38</v>
      </c>
      <c r="C975">
        <v>33</v>
      </c>
      <c r="D975">
        <v>1</v>
      </c>
      <c r="E975" t="s">
        <v>35</v>
      </c>
      <c r="F975" t="s">
        <v>36</v>
      </c>
      <c r="G975" t="str">
        <f>"2025-10-25 01:33:45.845"</f>
        <v>2025-10-25 01:33:45.845</v>
      </c>
      <c r="H975" t="s">
        <v>37</v>
      </c>
      <c r="I975">
        <v>12.07</v>
      </c>
      <c r="J975" t="s">
        <v>39</v>
      </c>
    </row>
    <row r="976" spans="1:10" x14ac:dyDescent="0.25">
      <c r="A976" s="1">
        <v>6</v>
      </c>
      <c r="B976" t="s">
        <v>19</v>
      </c>
      <c r="C976">
        <v>700</v>
      </c>
      <c r="D976">
        <v>0</v>
      </c>
      <c r="E976" t="s">
        <v>20</v>
      </c>
      <c r="F976" t="s">
        <v>20</v>
      </c>
      <c r="G976" t="str">
        <f>"2025-10-24 11:48:55.710"</f>
        <v>2025-10-24 11:48:55.710</v>
      </c>
      <c r="H976" t="s">
        <v>21</v>
      </c>
    </row>
    <row r="977" spans="1:10" s="3" customFormat="1" x14ac:dyDescent="0.25">
      <c r="A977" s="2">
        <v>7</v>
      </c>
      <c r="B977" s="3" t="s">
        <v>23</v>
      </c>
      <c r="C977" s="3">
        <v>647</v>
      </c>
      <c r="D977" s="3">
        <v>1</v>
      </c>
      <c r="E977" s="3" t="s">
        <v>28</v>
      </c>
      <c r="F977" s="3" t="s">
        <v>29</v>
      </c>
      <c r="G977" s="3" t="str">
        <f>"2025-10-23 14:51:41.514"</f>
        <v>2025-10-23 14:51:41.514</v>
      </c>
      <c r="H977" s="3" t="s">
        <v>21</v>
      </c>
    </row>
    <row r="978" spans="1:10" s="3" customFormat="1" x14ac:dyDescent="0.25">
      <c r="A978" s="2">
        <v>8</v>
      </c>
      <c r="B978" s="3" t="s">
        <v>26</v>
      </c>
      <c r="C978" s="3">
        <v>647</v>
      </c>
      <c r="D978" s="3">
        <v>1</v>
      </c>
      <c r="E978" s="3" t="s">
        <v>28</v>
      </c>
      <c r="F978" s="3" t="s">
        <v>29</v>
      </c>
      <c r="G978" s="3" t="str">
        <f>"2025-10-23 14:51:35.614"</f>
        <v>2025-10-23 14:51:35.614</v>
      </c>
      <c r="H978" s="3" t="s">
        <v>21</v>
      </c>
      <c r="I978" s="3">
        <v>25.05</v>
      </c>
      <c r="J978" s="3" t="s">
        <v>33</v>
      </c>
    </row>
    <row r="979" spans="1:10" x14ac:dyDescent="0.25">
      <c r="A979" s="1">
        <v>9</v>
      </c>
      <c r="B979" t="s">
        <v>19</v>
      </c>
      <c r="C979">
        <v>700</v>
      </c>
      <c r="D979">
        <v>0</v>
      </c>
      <c r="E979" t="s">
        <v>20</v>
      </c>
      <c r="F979" t="s">
        <v>20</v>
      </c>
      <c r="G979" t="str">
        <f>"2025-10-22 15:17:51.698"</f>
        <v>2025-10-22 15:17:51.698</v>
      </c>
      <c r="H979" t="s">
        <v>21</v>
      </c>
    </row>
    <row r="980" spans="1:10" x14ac:dyDescent="0.25">
      <c r="A980" s="1">
        <v>10</v>
      </c>
      <c r="B980" t="s">
        <v>19</v>
      </c>
      <c r="C980">
        <v>706</v>
      </c>
      <c r="D980">
        <v>4</v>
      </c>
      <c r="E980" t="s">
        <v>31</v>
      </c>
      <c r="F980" t="s">
        <v>32</v>
      </c>
      <c r="G980" t="str">
        <f>"2025-10-22 13:05:53.794"</f>
        <v>2025-10-22 13:05:53.794</v>
      </c>
      <c r="H980" t="s">
        <v>21</v>
      </c>
      <c r="I980">
        <v>0</v>
      </c>
      <c r="J980" t="s">
        <v>27</v>
      </c>
    </row>
    <row r="981" spans="1:10" x14ac:dyDescent="0.25">
      <c r="A981" s="1">
        <v>11</v>
      </c>
      <c r="B981" t="s">
        <v>23</v>
      </c>
      <c r="C981">
        <v>61</v>
      </c>
      <c r="D981">
        <v>2</v>
      </c>
      <c r="E981" t="s">
        <v>51</v>
      </c>
      <c r="F981" t="s">
        <v>52</v>
      </c>
      <c r="G981" t="str">
        <f>"2025-10-21 08:59:01.119"</f>
        <v>2025-10-21 08:59:01.119</v>
      </c>
      <c r="H981" t="s">
        <v>21</v>
      </c>
    </row>
    <row r="982" spans="1:10" x14ac:dyDescent="0.25">
      <c r="A982" s="1">
        <v>12</v>
      </c>
      <c r="B982" t="s">
        <v>38</v>
      </c>
      <c r="C982">
        <v>61</v>
      </c>
      <c r="D982">
        <v>2</v>
      </c>
      <c r="E982" t="s">
        <v>51</v>
      </c>
      <c r="F982" t="s">
        <v>52</v>
      </c>
      <c r="G982" t="str">
        <f>"2025-10-21 08:58:53.820"</f>
        <v>2025-10-21 08:58:53.820</v>
      </c>
      <c r="H982" t="s">
        <v>21</v>
      </c>
      <c r="I982">
        <v>35.729999999999997</v>
      </c>
      <c r="J982" t="s">
        <v>33</v>
      </c>
    </row>
    <row r="983" spans="1:10" x14ac:dyDescent="0.25">
      <c r="A983" s="1">
        <v>13</v>
      </c>
      <c r="B983" t="s">
        <v>19</v>
      </c>
      <c r="C983">
        <v>700</v>
      </c>
      <c r="D983">
        <v>0</v>
      </c>
      <c r="E983" t="s">
        <v>20</v>
      </c>
      <c r="F983" t="s">
        <v>20</v>
      </c>
      <c r="G983" t="str">
        <f>"2025-10-20 13:50:20.704"</f>
        <v>2025-10-20 13:50:20.704</v>
      </c>
      <c r="H983" t="s">
        <v>21</v>
      </c>
      <c r="I983">
        <v>0</v>
      </c>
      <c r="J983" t="s">
        <v>22</v>
      </c>
    </row>
    <row r="984" spans="1:10" x14ac:dyDescent="0.25">
      <c r="A984" s="1">
        <v>14</v>
      </c>
      <c r="B984" t="s">
        <v>19</v>
      </c>
      <c r="C984">
        <v>706</v>
      </c>
      <c r="D984">
        <v>2</v>
      </c>
      <c r="E984" t="s">
        <v>31</v>
      </c>
      <c r="F984" t="s">
        <v>43</v>
      </c>
      <c r="G984" t="str">
        <f>"2025-10-18 06:07:01.041"</f>
        <v>2025-10-18 06:07:01.041</v>
      </c>
      <c r="H984" t="s">
        <v>21</v>
      </c>
      <c r="I984">
        <v>0</v>
      </c>
      <c r="J984" t="s">
        <v>27</v>
      </c>
    </row>
    <row r="985" spans="1:10" x14ac:dyDescent="0.25">
      <c r="A985" s="1">
        <v>15</v>
      </c>
      <c r="B985" t="s">
        <v>19</v>
      </c>
      <c r="C985">
        <v>700</v>
      </c>
      <c r="D985">
        <v>0</v>
      </c>
      <c r="E985" t="s">
        <v>20</v>
      </c>
      <c r="F985" t="s">
        <v>20</v>
      </c>
      <c r="G985" t="str">
        <f>"2025-10-18 06:02:44.701"</f>
        <v>2025-10-18 06:02:44.701</v>
      </c>
      <c r="H985" t="s">
        <v>21</v>
      </c>
      <c r="I985">
        <v>0</v>
      </c>
      <c r="J985" t="s">
        <v>22</v>
      </c>
    </row>
    <row r="986" spans="1:10" x14ac:dyDescent="0.25">
      <c r="A986" s="1">
        <v>16</v>
      </c>
      <c r="B986" t="s">
        <v>38</v>
      </c>
      <c r="C986">
        <v>630</v>
      </c>
      <c r="D986">
        <v>5</v>
      </c>
      <c r="E986" t="s">
        <v>40</v>
      </c>
      <c r="F986" t="s">
        <v>41</v>
      </c>
      <c r="G986" t="str">
        <f>"2025-10-18 05:00:36.567"</f>
        <v>2025-10-18 05:00:36.567</v>
      </c>
      <c r="H986" t="s">
        <v>42</v>
      </c>
      <c r="I986">
        <v>0</v>
      </c>
      <c r="J986" t="s">
        <v>27</v>
      </c>
    </row>
    <row r="987" spans="1:10" x14ac:dyDescent="0.25">
      <c r="A987" s="1">
        <v>17</v>
      </c>
      <c r="B987" t="s">
        <v>19</v>
      </c>
      <c r="C987">
        <v>700</v>
      </c>
      <c r="D987">
        <v>0</v>
      </c>
      <c r="E987" t="s">
        <v>20</v>
      </c>
      <c r="F987" t="s">
        <v>20</v>
      </c>
      <c r="G987" t="str">
        <f>"2025-10-18 04:55:33.712"</f>
        <v>2025-10-18 04:55:33.712</v>
      </c>
      <c r="H987" t="s">
        <v>21</v>
      </c>
    </row>
    <row r="988" spans="1:10" x14ac:dyDescent="0.25">
      <c r="A988" s="1">
        <v>18</v>
      </c>
      <c r="B988" t="s">
        <v>19</v>
      </c>
      <c r="C988">
        <v>700</v>
      </c>
      <c r="D988">
        <v>0</v>
      </c>
      <c r="E988" t="s">
        <v>20</v>
      </c>
      <c r="F988" t="s">
        <v>20</v>
      </c>
      <c r="G988" t="str">
        <f>"2025-10-18 04:03:47.936"</f>
        <v>2025-10-18 04:03:47.936</v>
      </c>
      <c r="H988" t="s">
        <v>21</v>
      </c>
      <c r="I988">
        <v>0</v>
      </c>
      <c r="J988" t="s">
        <v>22</v>
      </c>
    </row>
    <row r="989" spans="1:10" x14ac:dyDescent="0.25">
      <c r="A989" s="1">
        <v>19</v>
      </c>
      <c r="B989" t="s">
        <v>19</v>
      </c>
      <c r="C989">
        <v>706</v>
      </c>
      <c r="D989">
        <v>4</v>
      </c>
      <c r="E989" t="s">
        <v>31</v>
      </c>
      <c r="F989" t="s">
        <v>32</v>
      </c>
      <c r="G989" t="str">
        <f>"2025-10-18 02:02:23.604"</f>
        <v>2025-10-18 02:02:23.604</v>
      </c>
      <c r="H989" t="s">
        <v>21</v>
      </c>
      <c r="I989">
        <v>0</v>
      </c>
      <c r="J989" t="s">
        <v>27</v>
      </c>
    </row>
    <row r="990" spans="1:10" x14ac:dyDescent="0.25">
      <c r="A990" s="1">
        <v>20</v>
      </c>
      <c r="B990" t="s">
        <v>19</v>
      </c>
      <c r="C990">
        <v>700</v>
      </c>
      <c r="D990">
        <v>0</v>
      </c>
      <c r="E990" t="s">
        <v>20</v>
      </c>
      <c r="F990" t="s">
        <v>20</v>
      </c>
      <c r="G990" t="str">
        <f>"2025-10-18 02:02:04.704"</f>
        <v>2025-10-18 02:02:04.704</v>
      </c>
      <c r="H990" t="s">
        <v>21</v>
      </c>
      <c r="I990">
        <v>0</v>
      </c>
      <c r="J990" t="s">
        <v>22</v>
      </c>
    </row>
    <row r="991" spans="1:10" x14ac:dyDescent="0.25">
      <c r="A991" s="1">
        <v>21</v>
      </c>
      <c r="B991" t="s">
        <v>23</v>
      </c>
      <c r="C991">
        <v>630</v>
      </c>
      <c r="D991">
        <v>5</v>
      </c>
      <c r="E991" t="s">
        <v>40</v>
      </c>
      <c r="F991" t="s">
        <v>41</v>
      </c>
      <c r="G991" t="str">
        <f>"2025-10-17 01:51:37.081"</f>
        <v>2025-10-17 01:51:37.081</v>
      </c>
      <c r="H991" t="s">
        <v>42</v>
      </c>
    </row>
    <row r="992" spans="1:10" x14ac:dyDescent="0.25">
      <c r="A992" s="1">
        <v>22</v>
      </c>
      <c r="B992" t="s">
        <v>19</v>
      </c>
      <c r="C992">
        <v>706</v>
      </c>
      <c r="D992">
        <v>4</v>
      </c>
      <c r="E992" t="s">
        <v>31</v>
      </c>
      <c r="F992" t="s">
        <v>32</v>
      </c>
      <c r="G992" t="str">
        <f>"2025-10-17 01:51:06.986"</f>
        <v>2025-10-17 01:51:06.986</v>
      </c>
      <c r="H992" t="s">
        <v>21</v>
      </c>
      <c r="I992">
        <v>0</v>
      </c>
      <c r="J992" t="s">
        <v>27</v>
      </c>
    </row>
    <row r="993" spans="1:10" x14ac:dyDescent="0.25">
      <c r="A993" s="1">
        <v>23</v>
      </c>
      <c r="B993" t="s">
        <v>38</v>
      </c>
      <c r="C993">
        <v>630</v>
      </c>
      <c r="D993">
        <v>5</v>
      </c>
      <c r="E993" t="s">
        <v>40</v>
      </c>
      <c r="F993" t="s">
        <v>41</v>
      </c>
      <c r="G993" t="str">
        <f>"2025-10-17 01:42:56.581"</f>
        <v>2025-10-17 01:42:56.581</v>
      </c>
      <c r="H993" t="s">
        <v>42</v>
      </c>
      <c r="I993">
        <v>0</v>
      </c>
      <c r="J993" t="s">
        <v>27</v>
      </c>
    </row>
    <row r="994" spans="1:10" x14ac:dyDescent="0.25">
      <c r="A994" s="1">
        <v>24</v>
      </c>
      <c r="B994" t="s">
        <v>19</v>
      </c>
      <c r="C994">
        <v>700</v>
      </c>
      <c r="D994">
        <v>0</v>
      </c>
      <c r="E994" t="s">
        <v>20</v>
      </c>
      <c r="F994" t="s">
        <v>20</v>
      </c>
      <c r="G994" t="str">
        <f>"2025-10-16 09:17:18.766"</f>
        <v>2025-10-16 09:17:18.766</v>
      </c>
      <c r="H994" t="s">
        <v>21</v>
      </c>
      <c r="I994">
        <v>0</v>
      </c>
      <c r="J994" t="s">
        <v>22</v>
      </c>
    </row>
    <row r="995" spans="1:10" x14ac:dyDescent="0.25">
      <c r="A995" s="1">
        <v>25</v>
      </c>
      <c r="B995" t="s">
        <v>23</v>
      </c>
      <c r="C995">
        <v>635</v>
      </c>
      <c r="D995">
        <v>1</v>
      </c>
      <c r="E995" t="s">
        <v>44</v>
      </c>
      <c r="F995" t="s">
        <v>45</v>
      </c>
      <c r="G995" t="str">
        <f>"2025-10-16 03:27:08.975"</f>
        <v>2025-10-16 03:27:08.975</v>
      </c>
      <c r="H995" t="s">
        <v>21</v>
      </c>
    </row>
    <row r="996" spans="1:10" x14ac:dyDescent="0.25">
      <c r="A996" s="1">
        <v>26</v>
      </c>
      <c r="B996" t="s">
        <v>26</v>
      </c>
      <c r="C996">
        <v>635</v>
      </c>
      <c r="D996">
        <v>1</v>
      </c>
      <c r="E996" t="s">
        <v>44</v>
      </c>
      <c r="F996" t="s">
        <v>45</v>
      </c>
      <c r="G996" t="str">
        <f>"2025-10-16 03:22:02.975"</f>
        <v>2025-10-16 03:22:02.975</v>
      </c>
      <c r="H996" t="s">
        <v>21</v>
      </c>
      <c r="I996">
        <v>6.56</v>
      </c>
      <c r="J996" t="s">
        <v>39</v>
      </c>
    </row>
    <row r="997" spans="1:10" s="3" customFormat="1" x14ac:dyDescent="0.25">
      <c r="A997" s="2">
        <v>27</v>
      </c>
      <c r="B997" s="3" t="s">
        <v>23</v>
      </c>
      <c r="C997" s="3">
        <v>647</v>
      </c>
      <c r="D997" s="3">
        <v>1</v>
      </c>
      <c r="E997" s="3" t="s">
        <v>28</v>
      </c>
      <c r="F997" s="3" t="s">
        <v>29</v>
      </c>
      <c r="G997" s="3" t="str">
        <f>"2025-10-15 04:21:07.729"</f>
        <v>2025-10-15 04:21:07.729</v>
      </c>
      <c r="H997" s="3" t="s">
        <v>21</v>
      </c>
    </row>
    <row r="998" spans="1:10" s="3" customFormat="1" x14ac:dyDescent="0.25">
      <c r="A998" s="2">
        <v>28</v>
      </c>
      <c r="B998" s="3" t="s">
        <v>26</v>
      </c>
      <c r="C998" s="3">
        <v>647</v>
      </c>
      <c r="D998" s="3">
        <v>1</v>
      </c>
      <c r="E998" s="3" t="s">
        <v>28</v>
      </c>
      <c r="F998" s="3" t="s">
        <v>29</v>
      </c>
      <c r="G998" s="3" t="str">
        <f>"2025-10-15 04:21:04.629"</f>
        <v>2025-10-15 04:21:04.629</v>
      </c>
      <c r="H998" s="3" t="s">
        <v>21</v>
      </c>
      <c r="I998" s="3">
        <v>30.98</v>
      </c>
      <c r="J998" s="3" t="s">
        <v>33</v>
      </c>
    </row>
    <row r="999" spans="1:10" x14ac:dyDescent="0.25">
      <c r="A999" s="1">
        <v>29</v>
      </c>
      <c r="B999" t="s">
        <v>23</v>
      </c>
      <c r="C999">
        <v>98</v>
      </c>
      <c r="D999">
        <v>1</v>
      </c>
      <c r="E999" t="s">
        <v>49</v>
      </c>
      <c r="F999" t="s">
        <v>50</v>
      </c>
      <c r="G999" t="str">
        <f>"2025-10-15 03:22:10.728"</f>
        <v>2025-10-15 03:22:10.728</v>
      </c>
      <c r="H999" t="s">
        <v>21</v>
      </c>
    </row>
    <row r="1000" spans="1:10" x14ac:dyDescent="0.25">
      <c r="A1000" s="1">
        <v>30</v>
      </c>
      <c r="B1000" t="s">
        <v>26</v>
      </c>
      <c r="C1000">
        <v>98</v>
      </c>
      <c r="D1000">
        <v>1</v>
      </c>
      <c r="E1000" t="s">
        <v>49</v>
      </c>
      <c r="F1000" t="s">
        <v>50</v>
      </c>
      <c r="G1000" t="str">
        <f>"2025-10-15 03:22:09.729"</f>
        <v>2025-10-15 03:22:09.729</v>
      </c>
      <c r="H1000" t="s">
        <v>21</v>
      </c>
      <c r="I1000">
        <v>0</v>
      </c>
      <c r="J1000" t="s">
        <v>30</v>
      </c>
    </row>
    <row r="1001" spans="1:10" x14ac:dyDescent="0.25">
      <c r="A1001" s="1">
        <v>31</v>
      </c>
      <c r="B1001" t="s">
        <v>19</v>
      </c>
      <c r="C1001">
        <v>700</v>
      </c>
      <c r="D1001">
        <v>0</v>
      </c>
      <c r="E1001" t="s">
        <v>20</v>
      </c>
      <c r="F1001" t="s">
        <v>20</v>
      </c>
      <c r="G1001" t="str">
        <f>"2025-10-13 10:52:06.712"</f>
        <v>2025-10-13 10:52:06.712</v>
      </c>
      <c r="H1001" t="s">
        <v>21</v>
      </c>
      <c r="I1001">
        <v>0</v>
      </c>
      <c r="J1001" t="s">
        <v>22</v>
      </c>
    </row>
    <row r="1002" spans="1:10" s="3" customFormat="1" x14ac:dyDescent="0.25">
      <c r="A1002" s="2">
        <v>32</v>
      </c>
      <c r="B1002" s="3" t="s">
        <v>23</v>
      </c>
      <c r="C1002" s="3">
        <v>647</v>
      </c>
      <c r="D1002" s="3">
        <v>1</v>
      </c>
      <c r="E1002" s="3" t="s">
        <v>28</v>
      </c>
      <c r="F1002" s="3" t="s">
        <v>29</v>
      </c>
      <c r="G1002" s="3" t="str">
        <f>"2025-10-11 00:39:23.890"</f>
        <v>2025-10-11 00:39:23.890</v>
      </c>
      <c r="H1002" s="3" t="s">
        <v>21</v>
      </c>
    </row>
    <row r="1003" spans="1:10" s="3" customFormat="1" x14ac:dyDescent="0.25">
      <c r="A1003" s="2">
        <v>33</v>
      </c>
      <c r="B1003" s="3" t="s">
        <v>26</v>
      </c>
      <c r="C1003" s="3">
        <v>647</v>
      </c>
      <c r="D1003" s="3">
        <v>1</v>
      </c>
      <c r="E1003" s="3" t="s">
        <v>28</v>
      </c>
      <c r="F1003" s="3" t="s">
        <v>29</v>
      </c>
      <c r="G1003" s="3" t="str">
        <f>"2025-10-11 00:39:21.590"</f>
        <v>2025-10-11 00:39:21.590</v>
      </c>
      <c r="H1003" s="3" t="s">
        <v>21</v>
      </c>
      <c r="I1003" s="3">
        <v>10.87</v>
      </c>
      <c r="J1003" s="3" t="s">
        <v>30</v>
      </c>
    </row>
    <row r="1004" spans="1:10" s="3" customFormat="1" x14ac:dyDescent="0.25">
      <c r="A1004" s="2">
        <v>34</v>
      </c>
      <c r="B1004" s="3" t="s">
        <v>23</v>
      </c>
      <c r="C1004" s="3">
        <v>647</v>
      </c>
      <c r="D1004" s="3">
        <v>1</v>
      </c>
      <c r="E1004" s="3" t="s">
        <v>28</v>
      </c>
      <c r="F1004" s="3" t="s">
        <v>29</v>
      </c>
      <c r="G1004" s="3" t="str">
        <f>"2025-10-10 18:57:35.690"</f>
        <v>2025-10-10 18:57:35.690</v>
      </c>
      <c r="H1004" s="3" t="s">
        <v>21</v>
      </c>
    </row>
    <row r="1005" spans="1:10" s="3" customFormat="1" x14ac:dyDescent="0.25">
      <c r="A1005" s="2">
        <v>35</v>
      </c>
      <c r="B1005" s="3" t="s">
        <v>26</v>
      </c>
      <c r="C1005" s="3">
        <v>647</v>
      </c>
      <c r="D1005" s="3">
        <v>1</v>
      </c>
      <c r="E1005" s="3" t="s">
        <v>28</v>
      </c>
      <c r="F1005" s="3" t="s">
        <v>29</v>
      </c>
      <c r="G1005" s="3" t="str">
        <f>"2025-10-10 18:57:32.390"</f>
        <v>2025-10-10 18:57:32.390</v>
      </c>
      <c r="H1005" s="3" t="s">
        <v>21</v>
      </c>
      <c r="I1005" s="3">
        <v>11.31</v>
      </c>
      <c r="J1005" s="3" t="s">
        <v>33</v>
      </c>
    </row>
    <row r="1006" spans="1:10" s="3" customFormat="1" x14ac:dyDescent="0.25">
      <c r="A1006" s="2">
        <v>36</v>
      </c>
      <c r="B1006" s="3" t="s">
        <v>23</v>
      </c>
      <c r="C1006" s="3">
        <v>647</v>
      </c>
      <c r="D1006" s="3">
        <v>1</v>
      </c>
      <c r="E1006" s="3" t="s">
        <v>28</v>
      </c>
      <c r="F1006" s="3" t="s">
        <v>29</v>
      </c>
      <c r="G1006" s="3" t="str">
        <f>"2025-10-10 18:53:12.890"</f>
        <v>2025-10-10 18:53:12.890</v>
      </c>
      <c r="H1006" s="3" t="s">
        <v>21</v>
      </c>
    </row>
    <row r="1007" spans="1:10" s="3" customFormat="1" x14ac:dyDescent="0.25">
      <c r="A1007" s="2">
        <v>37</v>
      </c>
      <c r="B1007" s="3" t="s">
        <v>26</v>
      </c>
      <c r="C1007" s="3">
        <v>647</v>
      </c>
      <c r="D1007" s="3">
        <v>1</v>
      </c>
      <c r="E1007" s="3" t="s">
        <v>28</v>
      </c>
      <c r="F1007" s="3" t="s">
        <v>29</v>
      </c>
      <c r="G1007" s="3" t="str">
        <f>"2025-10-10 18:53:11.790"</f>
        <v>2025-10-10 18:53:11.790</v>
      </c>
      <c r="H1007" s="3" t="s">
        <v>21</v>
      </c>
      <c r="I1007" s="3">
        <v>25.83</v>
      </c>
      <c r="J1007" s="3" t="s">
        <v>33</v>
      </c>
    </row>
    <row r="1008" spans="1:10" s="3" customFormat="1" x14ac:dyDescent="0.25">
      <c r="A1008" s="2">
        <v>38</v>
      </c>
      <c r="B1008" s="3" t="s">
        <v>23</v>
      </c>
      <c r="C1008" s="3">
        <v>647</v>
      </c>
      <c r="D1008" s="3">
        <v>1</v>
      </c>
      <c r="E1008" s="3" t="s">
        <v>28</v>
      </c>
      <c r="F1008" s="3" t="s">
        <v>29</v>
      </c>
      <c r="G1008" s="3" t="str">
        <f>"2025-10-10 15:15:12.590"</f>
        <v>2025-10-10 15:15:12.590</v>
      </c>
      <c r="H1008" s="3" t="s">
        <v>21</v>
      </c>
    </row>
    <row r="1009" spans="1:10" s="3" customFormat="1" x14ac:dyDescent="0.25">
      <c r="A1009" s="2">
        <v>39</v>
      </c>
      <c r="B1009" s="3" t="s">
        <v>26</v>
      </c>
      <c r="C1009" s="3">
        <v>647</v>
      </c>
      <c r="D1009" s="3">
        <v>1</v>
      </c>
      <c r="E1009" s="3" t="s">
        <v>28</v>
      </c>
      <c r="F1009" s="3" t="s">
        <v>29</v>
      </c>
      <c r="G1009" s="3" t="str">
        <f>"2025-10-10 15:15:11.090"</f>
        <v>2025-10-10 15:15:11.090</v>
      </c>
      <c r="H1009" s="3" t="s">
        <v>21</v>
      </c>
      <c r="I1009" s="3">
        <v>14.67</v>
      </c>
      <c r="J1009" s="3" t="s">
        <v>33</v>
      </c>
    </row>
    <row r="1010" spans="1:10" x14ac:dyDescent="0.25">
      <c r="A1010" s="1">
        <v>40</v>
      </c>
      <c r="B1010" t="s">
        <v>19</v>
      </c>
      <c r="C1010">
        <v>700</v>
      </c>
      <c r="D1010">
        <v>0</v>
      </c>
      <c r="E1010" t="s">
        <v>20</v>
      </c>
      <c r="F1010" t="s">
        <v>20</v>
      </c>
      <c r="G1010" t="str">
        <f>"2025-10-10 11:48:09.718"</f>
        <v>2025-10-10 11:48:09.718</v>
      </c>
      <c r="H1010" t="s">
        <v>21</v>
      </c>
      <c r="I1010">
        <v>0</v>
      </c>
      <c r="J1010" t="s">
        <v>22</v>
      </c>
    </row>
    <row r="1011" spans="1:10" s="3" customFormat="1" x14ac:dyDescent="0.25">
      <c r="A1011" s="2">
        <v>41</v>
      </c>
      <c r="B1011" s="3" t="s">
        <v>23</v>
      </c>
      <c r="C1011" s="3">
        <v>647</v>
      </c>
      <c r="D1011" s="3">
        <v>1</v>
      </c>
      <c r="E1011" s="3" t="s">
        <v>28</v>
      </c>
      <c r="F1011" s="3" t="s">
        <v>29</v>
      </c>
      <c r="G1011" s="3" t="str">
        <f>"2025-10-10 11:23:05.280"</f>
        <v>2025-10-10 11:23:05.280</v>
      </c>
      <c r="H1011" s="3" t="s">
        <v>21</v>
      </c>
    </row>
    <row r="1012" spans="1:10" s="3" customFormat="1" x14ac:dyDescent="0.25">
      <c r="A1012" s="2">
        <v>42</v>
      </c>
      <c r="B1012" s="3" t="s">
        <v>26</v>
      </c>
      <c r="C1012" s="3">
        <v>647</v>
      </c>
      <c r="D1012" s="3">
        <v>1</v>
      </c>
      <c r="E1012" s="3" t="s">
        <v>28</v>
      </c>
      <c r="F1012" s="3" t="s">
        <v>29</v>
      </c>
      <c r="G1012" s="3" t="str">
        <f>"2025-10-10 11:22:59.780"</f>
        <v>2025-10-10 11:22:59.780</v>
      </c>
      <c r="H1012" s="3" t="s">
        <v>21</v>
      </c>
      <c r="I1012" s="3">
        <v>15.37</v>
      </c>
      <c r="J1012" s="3" t="s">
        <v>33</v>
      </c>
    </row>
    <row r="1013" spans="1:10" s="3" customFormat="1" x14ac:dyDescent="0.25">
      <c r="A1013" s="2">
        <v>43</v>
      </c>
      <c r="B1013" s="3" t="s">
        <v>23</v>
      </c>
      <c r="C1013" s="3">
        <v>647</v>
      </c>
      <c r="D1013" s="3">
        <v>1</v>
      </c>
      <c r="E1013" s="3" t="s">
        <v>28</v>
      </c>
      <c r="F1013" s="3" t="s">
        <v>29</v>
      </c>
      <c r="G1013" s="3" t="str">
        <f>"2025-10-10 07:00:50.380"</f>
        <v>2025-10-10 07:00:50.380</v>
      </c>
      <c r="H1013" s="3" t="s">
        <v>21</v>
      </c>
    </row>
    <row r="1014" spans="1:10" s="3" customFormat="1" x14ac:dyDescent="0.25">
      <c r="A1014" s="2">
        <v>44</v>
      </c>
      <c r="B1014" s="3" t="s">
        <v>26</v>
      </c>
      <c r="C1014" s="3">
        <v>647</v>
      </c>
      <c r="D1014" s="3">
        <v>1</v>
      </c>
      <c r="E1014" s="3" t="s">
        <v>28</v>
      </c>
      <c r="F1014" s="3" t="s">
        <v>29</v>
      </c>
      <c r="G1014" s="3" t="str">
        <f>"2025-10-10 07:00:48.980"</f>
        <v>2025-10-10 07:00:48.980</v>
      </c>
      <c r="H1014" s="3" t="s">
        <v>21</v>
      </c>
      <c r="I1014" s="3">
        <v>9.8800000000000008</v>
      </c>
      <c r="J1014" s="3" t="s">
        <v>30</v>
      </c>
    </row>
    <row r="1015" spans="1:10" s="3" customFormat="1" x14ac:dyDescent="0.25">
      <c r="A1015" s="2">
        <v>45</v>
      </c>
      <c r="B1015" s="3" t="s">
        <v>23</v>
      </c>
      <c r="C1015" s="3">
        <v>647</v>
      </c>
      <c r="D1015" s="3">
        <v>1</v>
      </c>
      <c r="E1015" s="3" t="s">
        <v>28</v>
      </c>
      <c r="F1015" s="3" t="s">
        <v>29</v>
      </c>
      <c r="G1015" s="3" t="str">
        <f>"2025-10-10 03:40:18.480"</f>
        <v>2025-10-10 03:40:18.480</v>
      </c>
      <c r="H1015" s="3" t="s">
        <v>21</v>
      </c>
    </row>
    <row r="1016" spans="1:10" s="3" customFormat="1" x14ac:dyDescent="0.25">
      <c r="A1016" s="2">
        <v>46</v>
      </c>
      <c r="B1016" s="3" t="s">
        <v>26</v>
      </c>
      <c r="C1016" s="3">
        <v>647</v>
      </c>
      <c r="D1016" s="3">
        <v>1</v>
      </c>
      <c r="E1016" s="3" t="s">
        <v>28</v>
      </c>
      <c r="F1016" s="3" t="s">
        <v>29</v>
      </c>
      <c r="G1016" s="3" t="str">
        <f>"2025-10-10 03:40:16.180"</f>
        <v>2025-10-10 03:40:16.180</v>
      </c>
      <c r="H1016" s="3" t="s">
        <v>21</v>
      </c>
      <c r="I1016" s="3">
        <v>8.27</v>
      </c>
      <c r="J1016" s="3" t="s">
        <v>30</v>
      </c>
    </row>
    <row r="1017" spans="1:10" s="3" customFormat="1" x14ac:dyDescent="0.25">
      <c r="A1017" s="2">
        <v>47</v>
      </c>
      <c r="B1017" s="3" t="s">
        <v>23</v>
      </c>
      <c r="C1017" s="3">
        <v>647</v>
      </c>
      <c r="D1017" s="3">
        <v>1</v>
      </c>
      <c r="E1017" s="3" t="s">
        <v>28</v>
      </c>
      <c r="F1017" s="3" t="s">
        <v>29</v>
      </c>
      <c r="G1017" s="3" t="str">
        <f>"2025-10-09 18:38:06.080"</f>
        <v>2025-10-09 18:38:06.080</v>
      </c>
      <c r="H1017" s="3" t="s">
        <v>21</v>
      </c>
    </row>
    <row r="1018" spans="1:10" s="3" customFormat="1" x14ac:dyDescent="0.25">
      <c r="A1018" s="2">
        <v>48</v>
      </c>
      <c r="B1018" s="3" t="s">
        <v>26</v>
      </c>
      <c r="C1018" s="3">
        <v>647</v>
      </c>
      <c r="D1018" s="3">
        <v>1</v>
      </c>
      <c r="E1018" s="3" t="s">
        <v>28</v>
      </c>
      <c r="F1018" s="3" t="s">
        <v>29</v>
      </c>
      <c r="G1018" s="3" t="str">
        <f>"2025-10-09 18:38:03.980"</f>
        <v>2025-10-09 18:38:03.980</v>
      </c>
      <c r="H1018" s="3" t="s">
        <v>21</v>
      </c>
      <c r="I1018" s="3">
        <v>12.91</v>
      </c>
      <c r="J1018" s="3" t="s">
        <v>33</v>
      </c>
    </row>
    <row r="1019" spans="1:10" s="3" customFormat="1" x14ac:dyDescent="0.25">
      <c r="A1019" s="2">
        <v>49</v>
      </c>
      <c r="B1019" s="3" t="s">
        <v>23</v>
      </c>
      <c r="C1019" s="3">
        <v>647</v>
      </c>
      <c r="D1019" s="3">
        <v>1</v>
      </c>
      <c r="E1019" s="3" t="s">
        <v>28</v>
      </c>
      <c r="F1019" s="3" t="s">
        <v>29</v>
      </c>
      <c r="G1019" s="3" t="str">
        <f>"2025-10-09 17:50:58.180"</f>
        <v>2025-10-09 17:50:58.180</v>
      </c>
      <c r="H1019" s="3" t="s">
        <v>21</v>
      </c>
    </row>
    <row r="1020" spans="1:10" s="3" customFormat="1" x14ac:dyDescent="0.25">
      <c r="A1020" s="2">
        <v>50</v>
      </c>
      <c r="B1020" s="3" t="s">
        <v>26</v>
      </c>
      <c r="C1020" s="3">
        <v>647</v>
      </c>
      <c r="D1020" s="3">
        <v>1</v>
      </c>
      <c r="E1020" s="3" t="s">
        <v>28</v>
      </c>
      <c r="F1020" s="3" t="s">
        <v>29</v>
      </c>
      <c r="G1020" s="3" t="str">
        <f>"2025-10-09 17:50:53.880"</f>
        <v>2025-10-09 17:50:53.880</v>
      </c>
      <c r="H1020" s="3" t="s">
        <v>21</v>
      </c>
      <c r="I1020" s="3">
        <v>20.61</v>
      </c>
      <c r="J1020" s="3" t="s">
        <v>33</v>
      </c>
    </row>
    <row r="1021" spans="1:10" s="3" customFormat="1" x14ac:dyDescent="0.25">
      <c r="A1021" s="2">
        <v>51</v>
      </c>
      <c r="B1021" s="3" t="s">
        <v>23</v>
      </c>
      <c r="C1021" s="3">
        <v>647</v>
      </c>
      <c r="D1021" s="3">
        <v>1</v>
      </c>
      <c r="E1021" s="3" t="s">
        <v>28</v>
      </c>
      <c r="F1021" s="3" t="s">
        <v>29</v>
      </c>
      <c r="G1021" s="3" t="str">
        <f>"2025-10-09 17:50:51.580"</f>
        <v>2025-10-09 17:50:51.580</v>
      </c>
      <c r="H1021" s="3" t="s">
        <v>21</v>
      </c>
    </row>
    <row r="1022" spans="1:10" s="3" customFormat="1" x14ac:dyDescent="0.25">
      <c r="A1022" s="2">
        <v>52</v>
      </c>
      <c r="B1022" s="3" t="s">
        <v>26</v>
      </c>
      <c r="C1022" s="3">
        <v>647</v>
      </c>
      <c r="D1022" s="3">
        <v>1</v>
      </c>
      <c r="E1022" s="3" t="s">
        <v>28</v>
      </c>
      <c r="F1022" s="3" t="s">
        <v>29</v>
      </c>
      <c r="G1022" s="3" t="str">
        <f>"2025-10-09 17:50:44.280"</f>
        <v>2025-10-09 17:50:44.280</v>
      </c>
      <c r="H1022" s="3" t="s">
        <v>21</v>
      </c>
      <c r="I1022" s="3">
        <v>29.21</v>
      </c>
      <c r="J1022" s="3" t="s">
        <v>33</v>
      </c>
    </row>
    <row r="1023" spans="1:10" s="3" customFormat="1" x14ac:dyDescent="0.25">
      <c r="A1023" s="2">
        <v>53</v>
      </c>
      <c r="B1023" s="3" t="s">
        <v>23</v>
      </c>
      <c r="C1023" s="3">
        <v>647</v>
      </c>
      <c r="D1023" s="3">
        <v>1</v>
      </c>
      <c r="E1023" s="3" t="s">
        <v>28</v>
      </c>
      <c r="F1023" s="3" t="s">
        <v>29</v>
      </c>
      <c r="G1023" s="3" t="str">
        <f>"2025-10-09 17:38:53.780"</f>
        <v>2025-10-09 17:38:53.780</v>
      </c>
      <c r="H1023" s="3" t="s">
        <v>21</v>
      </c>
    </row>
    <row r="1024" spans="1:10" s="3" customFormat="1" x14ac:dyDescent="0.25">
      <c r="A1024" s="2">
        <v>54</v>
      </c>
      <c r="B1024" s="3" t="s">
        <v>26</v>
      </c>
      <c r="C1024" s="3">
        <v>647</v>
      </c>
      <c r="D1024" s="3">
        <v>1</v>
      </c>
      <c r="E1024" s="3" t="s">
        <v>28</v>
      </c>
      <c r="F1024" s="3" t="s">
        <v>29</v>
      </c>
      <c r="G1024" s="3" t="str">
        <f>"2025-10-09 17:38:49.880"</f>
        <v>2025-10-09 17:38:49.880</v>
      </c>
      <c r="H1024" s="3" t="s">
        <v>21</v>
      </c>
      <c r="I1024" s="3">
        <v>23.47</v>
      </c>
      <c r="J1024" s="3" t="s">
        <v>33</v>
      </c>
    </row>
    <row r="1025" spans="1:10" x14ac:dyDescent="0.25">
      <c r="A1025" s="1">
        <v>55</v>
      </c>
      <c r="B1025" t="s">
        <v>19</v>
      </c>
      <c r="C1025">
        <v>706</v>
      </c>
      <c r="D1025">
        <v>3</v>
      </c>
      <c r="E1025" t="s">
        <v>31</v>
      </c>
      <c r="F1025" t="s">
        <v>48</v>
      </c>
      <c r="G1025" t="str">
        <f>"2025-10-09 01:59:27.226"</f>
        <v>2025-10-09 01:59:27.226</v>
      </c>
      <c r="H1025" t="s">
        <v>21</v>
      </c>
      <c r="I1025">
        <v>0</v>
      </c>
      <c r="J1025" t="s">
        <v>27</v>
      </c>
    </row>
    <row r="1026" spans="1:10" x14ac:dyDescent="0.25">
      <c r="A1026" s="1">
        <v>56</v>
      </c>
      <c r="B1026" t="s">
        <v>19</v>
      </c>
      <c r="C1026">
        <v>700</v>
      </c>
      <c r="D1026">
        <v>0</v>
      </c>
      <c r="E1026" t="s">
        <v>20</v>
      </c>
      <c r="F1026" t="s">
        <v>20</v>
      </c>
      <c r="G1026" t="str">
        <f>"2025-10-08 23:10:52.686"</f>
        <v>2025-10-08 23:10:52.686</v>
      </c>
      <c r="H1026" t="s">
        <v>21</v>
      </c>
    </row>
    <row r="1027" spans="1:10" s="3" customFormat="1" x14ac:dyDescent="0.25">
      <c r="A1027" s="2">
        <v>57</v>
      </c>
      <c r="B1027" s="3" t="s">
        <v>23</v>
      </c>
      <c r="C1027" s="3">
        <v>647</v>
      </c>
      <c r="D1027" s="3">
        <v>1</v>
      </c>
      <c r="E1027" s="3" t="s">
        <v>28</v>
      </c>
      <c r="F1027" s="3" t="s">
        <v>29</v>
      </c>
      <c r="G1027" s="3" t="str">
        <f>"2025-10-08 10:43:13.712"</f>
        <v>2025-10-08 10:43:13.712</v>
      </c>
      <c r="H1027" s="3" t="s">
        <v>21</v>
      </c>
    </row>
    <row r="1028" spans="1:10" s="3" customFormat="1" x14ac:dyDescent="0.25">
      <c r="A1028" s="2">
        <v>58</v>
      </c>
      <c r="B1028" s="3" t="s">
        <v>26</v>
      </c>
      <c r="C1028" s="3">
        <v>647</v>
      </c>
      <c r="D1028" s="3">
        <v>1</v>
      </c>
      <c r="E1028" s="3" t="s">
        <v>28</v>
      </c>
      <c r="F1028" s="3" t="s">
        <v>29</v>
      </c>
      <c r="G1028" s="3" t="str">
        <f>"2025-10-08 10:43:09.812"</f>
        <v>2025-10-08 10:43:09.812</v>
      </c>
      <c r="H1028" s="3" t="s">
        <v>21</v>
      </c>
      <c r="I1028" s="3">
        <v>9.52</v>
      </c>
      <c r="J1028" s="3" t="s">
        <v>33</v>
      </c>
    </row>
    <row r="1029" spans="1:10" s="3" customFormat="1" x14ac:dyDescent="0.25">
      <c r="A1029" s="2">
        <v>59</v>
      </c>
      <c r="B1029" s="3" t="s">
        <v>23</v>
      </c>
      <c r="C1029" s="3">
        <v>647</v>
      </c>
      <c r="D1029" s="3">
        <v>1</v>
      </c>
      <c r="E1029" s="3" t="s">
        <v>28</v>
      </c>
      <c r="F1029" s="3" t="s">
        <v>29</v>
      </c>
      <c r="G1029" s="3" t="str">
        <f>"2025-10-08 09:41:36.012"</f>
        <v>2025-10-08 09:41:36.012</v>
      </c>
      <c r="H1029" s="3" t="s">
        <v>21</v>
      </c>
    </row>
    <row r="1030" spans="1:10" s="3" customFormat="1" x14ac:dyDescent="0.25">
      <c r="A1030" s="2">
        <v>60</v>
      </c>
      <c r="B1030" s="3" t="s">
        <v>26</v>
      </c>
      <c r="C1030" s="3">
        <v>647</v>
      </c>
      <c r="D1030" s="3">
        <v>1</v>
      </c>
      <c r="E1030" s="3" t="s">
        <v>28</v>
      </c>
      <c r="F1030" s="3" t="s">
        <v>29</v>
      </c>
      <c r="G1030" s="3" t="str">
        <f>"2025-10-08 09:41:34.712"</f>
        <v>2025-10-08 09:41:34.712</v>
      </c>
      <c r="H1030" s="3" t="s">
        <v>21</v>
      </c>
      <c r="I1030" s="3">
        <v>14.42</v>
      </c>
      <c r="J1030" s="3" t="s">
        <v>33</v>
      </c>
    </row>
    <row r="1031" spans="1:10" x14ac:dyDescent="0.25">
      <c r="A1031" s="1">
        <v>61</v>
      </c>
      <c r="B1031" t="s">
        <v>23</v>
      </c>
      <c r="C1031">
        <v>98</v>
      </c>
      <c r="D1031">
        <v>1</v>
      </c>
      <c r="E1031" t="s">
        <v>49</v>
      </c>
      <c r="F1031" t="s">
        <v>50</v>
      </c>
      <c r="G1031" t="str">
        <f>"2025-10-08 00:18:10.811"</f>
        <v>2025-10-08 00:18:10.811</v>
      </c>
      <c r="H1031" t="s">
        <v>21</v>
      </c>
    </row>
    <row r="1032" spans="1:10" x14ac:dyDescent="0.25">
      <c r="A1032" s="1">
        <v>62</v>
      </c>
      <c r="B1032" t="s">
        <v>26</v>
      </c>
      <c r="C1032">
        <v>98</v>
      </c>
      <c r="D1032">
        <v>1</v>
      </c>
      <c r="E1032" t="s">
        <v>49</v>
      </c>
      <c r="F1032" t="s">
        <v>50</v>
      </c>
      <c r="G1032" t="str">
        <f>"2025-10-08 00:18:09.712"</f>
        <v>2025-10-08 00:18:09.712</v>
      </c>
      <c r="H1032" t="s">
        <v>21</v>
      </c>
      <c r="I1032">
        <v>0</v>
      </c>
      <c r="J1032" t="s">
        <v>30</v>
      </c>
    </row>
    <row r="1033" spans="1:10" x14ac:dyDescent="0.25">
      <c r="A1033" s="1">
        <v>63</v>
      </c>
      <c r="B1033" t="s">
        <v>19</v>
      </c>
      <c r="C1033">
        <v>706</v>
      </c>
      <c r="D1033">
        <v>2</v>
      </c>
      <c r="E1033" t="s">
        <v>31</v>
      </c>
      <c r="F1033" t="s">
        <v>43</v>
      </c>
      <c r="G1033" t="str">
        <f>"2025-10-07 09:17:56.597"</f>
        <v>2025-10-07 09:17:56.597</v>
      </c>
      <c r="H1033" t="s">
        <v>21</v>
      </c>
      <c r="I1033">
        <v>0</v>
      </c>
      <c r="J1033" t="s">
        <v>27</v>
      </c>
    </row>
    <row r="1034" spans="1:10" x14ac:dyDescent="0.25">
      <c r="A1034" s="1">
        <v>64</v>
      </c>
      <c r="B1034" t="s">
        <v>19</v>
      </c>
      <c r="C1034">
        <v>700</v>
      </c>
      <c r="D1034">
        <v>0</v>
      </c>
      <c r="E1034" t="s">
        <v>20</v>
      </c>
      <c r="F1034" t="s">
        <v>20</v>
      </c>
      <c r="G1034" t="str">
        <f>"2025-10-07 09:11:55.677"</f>
        <v>2025-10-07 09:11:55.677</v>
      </c>
      <c r="H1034" t="s">
        <v>21</v>
      </c>
    </row>
    <row r="1035" spans="1:10" x14ac:dyDescent="0.25">
      <c r="A1035" s="1">
        <v>65</v>
      </c>
      <c r="B1035" t="s">
        <v>19</v>
      </c>
      <c r="C1035">
        <v>700</v>
      </c>
      <c r="D1035">
        <v>0</v>
      </c>
      <c r="E1035" t="s">
        <v>20</v>
      </c>
      <c r="F1035" t="s">
        <v>20</v>
      </c>
      <c r="G1035" t="str">
        <f>"2025-10-07 07:19:05.690"</f>
        <v>2025-10-07 07:19:05.690</v>
      </c>
      <c r="H1035" t="s">
        <v>21</v>
      </c>
      <c r="I1035">
        <v>0</v>
      </c>
      <c r="J1035" t="s">
        <v>22</v>
      </c>
    </row>
    <row r="1036" spans="1:10" x14ac:dyDescent="0.25">
      <c r="A1036" s="1">
        <v>66</v>
      </c>
      <c r="B1036" t="s">
        <v>19</v>
      </c>
      <c r="C1036">
        <v>706</v>
      </c>
      <c r="D1036">
        <v>4</v>
      </c>
      <c r="E1036" t="s">
        <v>31</v>
      </c>
      <c r="F1036" t="s">
        <v>32</v>
      </c>
      <c r="G1036" t="str">
        <f>"2025-10-07 06:31:05.321"</f>
        <v>2025-10-07 06:31:05.321</v>
      </c>
      <c r="H1036" t="s">
        <v>21</v>
      </c>
      <c r="I1036">
        <v>0</v>
      </c>
      <c r="J1036" t="s">
        <v>27</v>
      </c>
    </row>
    <row r="1037" spans="1:10" x14ac:dyDescent="0.25">
      <c r="A1037" s="1">
        <v>67</v>
      </c>
      <c r="B1037" t="s">
        <v>19</v>
      </c>
      <c r="C1037">
        <v>706</v>
      </c>
      <c r="D1037">
        <v>4</v>
      </c>
      <c r="E1037" t="s">
        <v>31</v>
      </c>
      <c r="F1037" t="s">
        <v>32</v>
      </c>
      <c r="G1037" t="str">
        <f>"2025-10-07 06:28:18.521"</f>
        <v>2025-10-07 06:28:18.521</v>
      </c>
      <c r="H1037" t="s">
        <v>21</v>
      </c>
      <c r="I1037">
        <v>0</v>
      </c>
      <c r="J1037" t="s">
        <v>27</v>
      </c>
    </row>
    <row r="1038" spans="1:10" x14ac:dyDescent="0.25">
      <c r="A1038" s="1">
        <v>68</v>
      </c>
      <c r="B1038" t="s">
        <v>19</v>
      </c>
      <c r="C1038">
        <v>706</v>
      </c>
      <c r="D1038">
        <v>4</v>
      </c>
      <c r="E1038" t="s">
        <v>31</v>
      </c>
      <c r="F1038" t="s">
        <v>32</v>
      </c>
      <c r="G1038" t="str">
        <f>"2025-10-07 06:25:41.331"</f>
        <v>2025-10-07 06:25:41.331</v>
      </c>
      <c r="H1038" t="s">
        <v>21</v>
      </c>
      <c r="I1038">
        <v>0</v>
      </c>
      <c r="J1038" t="s">
        <v>27</v>
      </c>
    </row>
    <row r="1039" spans="1:10" x14ac:dyDescent="0.25">
      <c r="A1039" s="1">
        <v>69</v>
      </c>
      <c r="B1039" t="s">
        <v>19</v>
      </c>
      <c r="C1039">
        <v>706</v>
      </c>
      <c r="D1039">
        <v>2</v>
      </c>
      <c r="E1039" t="s">
        <v>31</v>
      </c>
      <c r="F1039" t="s">
        <v>43</v>
      </c>
      <c r="G1039" t="str">
        <f>"2025-10-07 06:22:10.991"</f>
        <v>2025-10-07 06:22:10.991</v>
      </c>
      <c r="H1039" t="s">
        <v>21</v>
      </c>
      <c r="I1039">
        <v>0</v>
      </c>
      <c r="J1039" t="s">
        <v>27</v>
      </c>
    </row>
    <row r="1040" spans="1:10" x14ac:dyDescent="0.25">
      <c r="A1040" s="1">
        <v>70</v>
      </c>
      <c r="B1040" t="s">
        <v>19</v>
      </c>
      <c r="C1040">
        <v>700</v>
      </c>
      <c r="D1040">
        <v>0</v>
      </c>
      <c r="E1040" t="s">
        <v>20</v>
      </c>
      <c r="F1040" t="s">
        <v>20</v>
      </c>
      <c r="G1040" t="str">
        <f>"2025-10-07 06:03:50.681"</f>
        <v>2025-10-07 06:03:50.681</v>
      </c>
      <c r="H1040" t="s">
        <v>21</v>
      </c>
    </row>
    <row r="1041" spans="1:10" x14ac:dyDescent="0.25">
      <c r="A1041" s="1">
        <v>71</v>
      </c>
      <c r="B1041" t="s">
        <v>38</v>
      </c>
      <c r="C1041">
        <v>630</v>
      </c>
      <c r="D1041">
        <v>5</v>
      </c>
      <c r="E1041" t="s">
        <v>40</v>
      </c>
      <c r="F1041" t="s">
        <v>41</v>
      </c>
      <c r="G1041" t="str">
        <f>"2025-10-06 20:00:38.512"</f>
        <v>2025-10-06 20:00:38.512</v>
      </c>
      <c r="H1041" t="s">
        <v>42</v>
      </c>
      <c r="I1041">
        <v>0</v>
      </c>
      <c r="J1041" t="s">
        <v>27</v>
      </c>
    </row>
    <row r="1042" spans="1:10" x14ac:dyDescent="0.25">
      <c r="A1042" s="1">
        <v>72</v>
      </c>
      <c r="B1042" t="s">
        <v>19</v>
      </c>
      <c r="C1042">
        <v>700</v>
      </c>
      <c r="D1042">
        <v>0</v>
      </c>
      <c r="E1042" t="s">
        <v>20</v>
      </c>
      <c r="F1042" t="s">
        <v>20</v>
      </c>
      <c r="G1042" t="str">
        <f>"2025-10-06 19:55:35.682"</f>
        <v>2025-10-06 19:55:35.682</v>
      </c>
      <c r="H1042" t="s">
        <v>21</v>
      </c>
      <c r="I1042">
        <v>0</v>
      </c>
      <c r="J1042" t="s">
        <v>22</v>
      </c>
    </row>
    <row r="1043" spans="1:10" x14ac:dyDescent="0.25">
      <c r="A1043" s="1">
        <v>73</v>
      </c>
      <c r="B1043" t="s">
        <v>19</v>
      </c>
      <c r="C1043">
        <v>700</v>
      </c>
      <c r="D1043">
        <v>0</v>
      </c>
      <c r="E1043" t="s">
        <v>20</v>
      </c>
      <c r="F1043" t="s">
        <v>20</v>
      </c>
      <c r="G1043" t="str">
        <f>"2025-10-06 18:33:10.671"</f>
        <v>2025-10-06 18:33:10.671</v>
      </c>
      <c r="H1043" t="s">
        <v>21</v>
      </c>
    </row>
    <row r="1044" spans="1:10" x14ac:dyDescent="0.25">
      <c r="A1044" s="1">
        <v>74</v>
      </c>
      <c r="B1044" t="s">
        <v>19</v>
      </c>
      <c r="C1044">
        <v>700</v>
      </c>
      <c r="D1044">
        <v>0</v>
      </c>
      <c r="E1044" t="s">
        <v>20</v>
      </c>
      <c r="F1044" t="s">
        <v>20</v>
      </c>
      <c r="G1044" t="str">
        <f>"2025-10-06 18:02:54.689"</f>
        <v>2025-10-06 18:02:54.689</v>
      </c>
      <c r="H1044" t="s">
        <v>21</v>
      </c>
    </row>
    <row r="1045" spans="1:10" s="3" customFormat="1" x14ac:dyDescent="0.25">
      <c r="A1045" s="2">
        <v>75</v>
      </c>
      <c r="B1045" s="3" t="s">
        <v>23</v>
      </c>
      <c r="C1045" s="3">
        <v>647</v>
      </c>
      <c r="D1045" s="3">
        <v>1</v>
      </c>
      <c r="E1045" s="3" t="s">
        <v>28</v>
      </c>
      <c r="F1045" s="3" t="s">
        <v>29</v>
      </c>
      <c r="G1045" s="3" t="str">
        <f>"2025-10-06 16:49:16.832"</f>
        <v>2025-10-06 16:49:16.832</v>
      </c>
      <c r="H1045" s="3" t="s">
        <v>21</v>
      </c>
    </row>
    <row r="1046" spans="1:10" s="3" customFormat="1" x14ac:dyDescent="0.25">
      <c r="A1046" s="2">
        <v>76</v>
      </c>
      <c r="B1046" s="3" t="s">
        <v>26</v>
      </c>
      <c r="C1046" s="3">
        <v>647</v>
      </c>
      <c r="D1046" s="3">
        <v>1</v>
      </c>
      <c r="E1046" s="3" t="s">
        <v>28</v>
      </c>
      <c r="F1046" s="3" t="s">
        <v>29</v>
      </c>
      <c r="G1046" s="3" t="str">
        <f>"2025-10-06 16:49:13.332"</f>
        <v>2025-10-06 16:49:13.332</v>
      </c>
      <c r="H1046" s="3" t="s">
        <v>21</v>
      </c>
      <c r="I1046" s="3">
        <v>8.7200000000000006</v>
      </c>
      <c r="J1046" s="3" t="s">
        <v>33</v>
      </c>
    </row>
    <row r="1047" spans="1:10" s="3" customFormat="1" x14ac:dyDescent="0.25">
      <c r="A1047" s="2">
        <v>77</v>
      </c>
      <c r="B1047" s="3" t="s">
        <v>23</v>
      </c>
      <c r="C1047" s="3">
        <v>647</v>
      </c>
      <c r="D1047" s="3">
        <v>1</v>
      </c>
      <c r="E1047" s="3" t="s">
        <v>28</v>
      </c>
      <c r="F1047" s="3" t="s">
        <v>29</v>
      </c>
      <c r="G1047" s="3" t="str">
        <f>"2025-10-06 09:54:19.732"</f>
        <v>2025-10-06 09:54:19.732</v>
      </c>
      <c r="H1047" s="3" t="s">
        <v>21</v>
      </c>
    </row>
    <row r="1048" spans="1:10" s="3" customFormat="1" x14ac:dyDescent="0.25">
      <c r="A1048" s="2">
        <v>78</v>
      </c>
      <c r="B1048" s="3" t="s">
        <v>26</v>
      </c>
      <c r="C1048" s="3">
        <v>647</v>
      </c>
      <c r="D1048" s="3">
        <v>1</v>
      </c>
      <c r="E1048" s="3" t="s">
        <v>28</v>
      </c>
      <c r="F1048" s="3" t="s">
        <v>29</v>
      </c>
      <c r="G1048" s="3" t="str">
        <f>"2025-10-06 09:54:15.032"</f>
        <v>2025-10-06 09:54:15.032</v>
      </c>
      <c r="H1048" s="3" t="s">
        <v>21</v>
      </c>
      <c r="I1048" s="3">
        <v>13.72</v>
      </c>
      <c r="J1048" s="3" t="s">
        <v>33</v>
      </c>
    </row>
    <row r="1049" spans="1:10" x14ac:dyDescent="0.25">
      <c r="A1049" s="1">
        <v>79</v>
      </c>
      <c r="B1049" t="s">
        <v>19</v>
      </c>
      <c r="C1049">
        <v>700</v>
      </c>
      <c r="D1049">
        <v>0</v>
      </c>
      <c r="E1049" t="s">
        <v>20</v>
      </c>
      <c r="F1049" t="s">
        <v>20</v>
      </c>
      <c r="G1049" t="str">
        <f>"2025-10-05 13:34:55.701"</f>
        <v>2025-10-05 13:34:55.701</v>
      </c>
      <c r="H1049" t="s">
        <v>21</v>
      </c>
      <c r="I1049">
        <v>0</v>
      </c>
      <c r="J1049" t="s">
        <v>22</v>
      </c>
    </row>
    <row r="1050" spans="1:10" x14ac:dyDescent="0.25">
      <c r="A1050" s="1">
        <v>80</v>
      </c>
      <c r="B1050" t="s">
        <v>23</v>
      </c>
      <c r="C1050">
        <v>630</v>
      </c>
      <c r="D1050">
        <v>5</v>
      </c>
      <c r="E1050" t="s">
        <v>40</v>
      </c>
      <c r="F1050" t="s">
        <v>41</v>
      </c>
      <c r="G1050" t="str">
        <f>"2025-10-04 21:31:22.904"</f>
        <v>2025-10-04 21:31:22.904</v>
      </c>
      <c r="H1050" t="s">
        <v>42</v>
      </c>
    </row>
    <row r="1051" spans="1:10" x14ac:dyDescent="0.25">
      <c r="A1051" s="1">
        <v>81</v>
      </c>
      <c r="B1051" t="s">
        <v>19</v>
      </c>
      <c r="C1051">
        <v>706</v>
      </c>
      <c r="D1051">
        <v>2</v>
      </c>
      <c r="E1051" t="s">
        <v>31</v>
      </c>
      <c r="F1051" t="s">
        <v>43</v>
      </c>
      <c r="G1051" t="str">
        <f>"2025-10-04 21:30:52.736"</f>
        <v>2025-10-04 21:30:52.736</v>
      </c>
      <c r="H1051" t="s">
        <v>21</v>
      </c>
      <c r="I1051">
        <v>0</v>
      </c>
      <c r="J1051" t="s">
        <v>27</v>
      </c>
    </row>
    <row r="1052" spans="1:10" x14ac:dyDescent="0.25">
      <c r="A1052" s="1">
        <v>82</v>
      </c>
      <c r="B1052" t="s">
        <v>38</v>
      </c>
      <c r="C1052">
        <v>630</v>
      </c>
      <c r="D1052">
        <v>5</v>
      </c>
      <c r="E1052" t="s">
        <v>40</v>
      </c>
      <c r="F1052" t="s">
        <v>41</v>
      </c>
      <c r="G1052" t="str">
        <f>"2025-10-04 21:25:17.604"</f>
        <v>2025-10-04 21:25:17.604</v>
      </c>
      <c r="H1052" t="s">
        <v>42</v>
      </c>
      <c r="I1052">
        <v>0</v>
      </c>
      <c r="J1052" t="s">
        <v>27</v>
      </c>
    </row>
    <row r="1053" spans="1:10" s="3" customFormat="1" x14ac:dyDescent="0.25">
      <c r="A1053" s="2">
        <v>83</v>
      </c>
      <c r="B1053" s="3" t="s">
        <v>23</v>
      </c>
      <c r="C1053" s="3">
        <v>647</v>
      </c>
      <c r="D1053" s="3">
        <v>1</v>
      </c>
      <c r="E1053" s="3" t="s">
        <v>28</v>
      </c>
      <c r="F1053" s="3" t="s">
        <v>29</v>
      </c>
      <c r="G1053" s="3" t="str">
        <f>"2025-10-04 19:02:01.504"</f>
        <v>2025-10-04 19:02:01.504</v>
      </c>
      <c r="H1053" s="3" t="s">
        <v>21</v>
      </c>
    </row>
    <row r="1054" spans="1:10" s="3" customFormat="1" x14ac:dyDescent="0.25">
      <c r="A1054" s="2">
        <v>84</v>
      </c>
      <c r="B1054" s="3" t="s">
        <v>26</v>
      </c>
      <c r="C1054" s="3">
        <v>647</v>
      </c>
      <c r="D1054" s="3">
        <v>1</v>
      </c>
      <c r="E1054" s="3" t="s">
        <v>28</v>
      </c>
      <c r="F1054" s="3" t="s">
        <v>29</v>
      </c>
      <c r="G1054" s="3" t="str">
        <f>"2025-10-04 19:01:58.404"</f>
        <v>2025-10-04 19:01:58.404</v>
      </c>
      <c r="H1054" s="3" t="s">
        <v>21</v>
      </c>
      <c r="I1054" s="3">
        <v>26.78</v>
      </c>
      <c r="J1054" s="3" t="s">
        <v>33</v>
      </c>
    </row>
    <row r="1055" spans="1:10" x14ac:dyDescent="0.25">
      <c r="A1055" s="1">
        <v>85</v>
      </c>
      <c r="B1055" t="s">
        <v>23</v>
      </c>
      <c r="C1055">
        <v>98</v>
      </c>
      <c r="D1055">
        <v>1</v>
      </c>
      <c r="E1055" t="s">
        <v>49</v>
      </c>
      <c r="F1055" t="s">
        <v>50</v>
      </c>
      <c r="G1055" t="str">
        <f>"2025-10-04 18:20:05.316"</f>
        <v>2025-10-04 18:20:05.316</v>
      </c>
      <c r="H1055" t="s">
        <v>21</v>
      </c>
    </row>
    <row r="1056" spans="1:10" x14ac:dyDescent="0.25">
      <c r="A1056" s="1">
        <v>86</v>
      </c>
      <c r="B1056" t="s">
        <v>26</v>
      </c>
      <c r="C1056">
        <v>98</v>
      </c>
      <c r="D1056">
        <v>1</v>
      </c>
      <c r="E1056" t="s">
        <v>49</v>
      </c>
      <c r="F1056" t="s">
        <v>50</v>
      </c>
      <c r="G1056" t="str">
        <f>"2025-10-04 18:20:04.317"</f>
        <v>2025-10-04 18:20:04.317</v>
      </c>
      <c r="H1056" t="s">
        <v>21</v>
      </c>
      <c r="I1056">
        <v>6.27</v>
      </c>
      <c r="J1056" t="s">
        <v>39</v>
      </c>
    </row>
    <row r="1057" spans="1:10" s="3" customFormat="1" x14ac:dyDescent="0.25">
      <c r="A1057" s="2">
        <v>87</v>
      </c>
      <c r="B1057" s="3" t="s">
        <v>23</v>
      </c>
      <c r="C1057" s="3">
        <v>647</v>
      </c>
      <c r="D1057" s="3">
        <v>1</v>
      </c>
      <c r="E1057" s="3" t="s">
        <v>28</v>
      </c>
      <c r="F1057" s="3" t="s">
        <v>29</v>
      </c>
      <c r="G1057" s="3" t="str">
        <f>"2025-10-04 13:07:25.404"</f>
        <v>2025-10-04 13:07:25.404</v>
      </c>
      <c r="H1057" s="3" t="s">
        <v>21</v>
      </c>
    </row>
    <row r="1058" spans="1:10" s="3" customFormat="1" x14ac:dyDescent="0.25">
      <c r="A1058" s="2">
        <v>88</v>
      </c>
      <c r="B1058" s="3" t="s">
        <v>26</v>
      </c>
      <c r="C1058" s="3">
        <v>647</v>
      </c>
      <c r="D1058" s="3">
        <v>1</v>
      </c>
      <c r="E1058" s="3" t="s">
        <v>28</v>
      </c>
      <c r="F1058" s="3" t="s">
        <v>29</v>
      </c>
      <c r="G1058" s="3" t="str">
        <f>"2025-10-04 13:07:18.504"</f>
        <v>2025-10-04 13:07:18.504</v>
      </c>
      <c r="H1058" s="3" t="s">
        <v>21</v>
      </c>
      <c r="I1058" s="3">
        <v>23.09</v>
      </c>
      <c r="J1058" s="3" t="s">
        <v>33</v>
      </c>
    </row>
    <row r="1059" spans="1:10" s="3" customFormat="1" x14ac:dyDescent="0.25">
      <c r="A1059" s="2">
        <v>89</v>
      </c>
      <c r="B1059" s="3" t="s">
        <v>23</v>
      </c>
      <c r="C1059" s="3">
        <v>647</v>
      </c>
      <c r="D1059" s="3">
        <v>1</v>
      </c>
      <c r="E1059" s="3" t="s">
        <v>28</v>
      </c>
      <c r="F1059" s="3" t="s">
        <v>29</v>
      </c>
      <c r="G1059" s="3" t="str">
        <f>"2025-10-04 13:07:10.004"</f>
        <v>2025-10-04 13:07:10.004</v>
      </c>
      <c r="H1059" s="3" t="s">
        <v>21</v>
      </c>
    </row>
    <row r="1060" spans="1:10" s="3" customFormat="1" x14ac:dyDescent="0.25">
      <c r="A1060" s="2">
        <v>90</v>
      </c>
      <c r="B1060" s="3" t="s">
        <v>26</v>
      </c>
      <c r="C1060" s="3">
        <v>647</v>
      </c>
      <c r="D1060" s="3">
        <v>1</v>
      </c>
      <c r="E1060" s="3" t="s">
        <v>28</v>
      </c>
      <c r="F1060" s="3" t="s">
        <v>29</v>
      </c>
      <c r="G1060" s="3" t="str">
        <f>"2025-10-04 13:07:08.304"</f>
        <v>2025-10-04 13:07:08.304</v>
      </c>
      <c r="H1060" s="3" t="s">
        <v>21</v>
      </c>
      <c r="I1060" s="3">
        <v>28.58</v>
      </c>
      <c r="J1060" s="3" t="s">
        <v>33</v>
      </c>
    </row>
    <row r="1061" spans="1:10" s="3" customFormat="1" x14ac:dyDescent="0.25">
      <c r="A1061" s="2">
        <v>91</v>
      </c>
      <c r="B1061" s="3" t="s">
        <v>23</v>
      </c>
      <c r="C1061" s="3">
        <v>647</v>
      </c>
      <c r="D1061" s="3">
        <v>1</v>
      </c>
      <c r="E1061" s="3" t="s">
        <v>28</v>
      </c>
      <c r="F1061" s="3" t="s">
        <v>29</v>
      </c>
      <c r="G1061" s="3" t="str">
        <f>"2025-10-04 12:28:58.604"</f>
        <v>2025-10-04 12:28:58.604</v>
      </c>
      <c r="H1061" s="3" t="s">
        <v>21</v>
      </c>
    </row>
    <row r="1062" spans="1:10" s="3" customFormat="1" x14ac:dyDescent="0.25">
      <c r="A1062" s="2">
        <v>92</v>
      </c>
      <c r="B1062" s="3" t="s">
        <v>26</v>
      </c>
      <c r="C1062" s="3">
        <v>647</v>
      </c>
      <c r="D1062" s="3">
        <v>1</v>
      </c>
      <c r="E1062" s="3" t="s">
        <v>28</v>
      </c>
      <c r="F1062" s="3" t="s">
        <v>29</v>
      </c>
      <c r="G1062" s="3" t="str">
        <f>"2025-10-04 12:28:48.304"</f>
        <v>2025-10-04 12:28:48.304</v>
      </c>
      <c r="H1062" s="3" t="s">
        <v>21</v>
      </c>
      <c r="I1062" s="3">
        <v>26.89</v>
      </c>
      <c r="J1062" s="3" t="s">
        <v>30</v>
      </c>
    </row>
    <row r="1063" spans="1:10" s="3" customFormat="1" x14ac:dyDescent="0.25">
      <c r="A1063" s="2">
        <v>93</v>
      </c>
      <c r="B1063" s="3" t="s">
        <v>23</v>
      </c>
      <c r="C1063" s="3">
        <v>647</v>
      </c>
      <c r="D1063" s="3">
        <v>1</v>
      </c>
      <c r="E1063" s="3" t="s">
        <v>28</v>
      </c>
      <c r="F1063" s="3" t="s">
        <v>29</v>
      </c>
      <c r="G1063" s="3" t="str">
        <f>"2025-10-04 11:47:00.504"</f>
        <v>2025-10-04 11:47:00.504</v>
      </c>
      <c r="H1063" s="3" t="s">
        <v>21</v>
      </c>
    </row>
    <row r="1064" spans="1:10" s="3" customFormat="1" x14ac:dyDescent="0.25">
      <c r="A1064" s="2">
        <v>94</v>
      </c>
      <c r="B1064" s="3" t="s">
        <v>26</v>
      </c>
      <c r="C1064" s="3">
        <v>647</v>
      </c>
      <c r="D1064" s="3">
        <v>1</v>
      </c>
      <c r="E1064" s="3" t="s">
        <v>28</v>
      </c>
      <c r="F1064" s="3" t="s">
        <v>29</v>
      </c>
      <c r="G1064" s="3" t="str">
        <f>"2025-10-04 11:46:49.804"</f>
        <v>2025-10-04 11:46:49.804</v>
      </c>
      <c r="H1064" s="3" t="s">
        <v>21</v>
      </c>
      <c r="I1064" s="3">
        <v>11.8</v>
      </c>
      <c r="J1064" s="3" t="s">
        <v>33</v>
      </c>
    </row>
    <row r="1065" spans="1:10" x14ac:dyDescent="0.25">
      <c r="A1065" s="1">
        <v>95</v>
      </c>
      <c r="B1065" t="s">
        <v>23</v>
      </c>
      <c r="C1065">
        <v>635</v>
      </c>
      <c r="D1065">
        <v>1</v>
      </c>
      <c r="E1065" t="s">
        <v>44</v>
      </c>
      <c r="F1065" t="s">
        <v>45</v>
      </c>
      <c r="G1065" t="str">
        <f>"2025-10-04 09:02:29.256"</f>
        <v>2025-10-04 09:02:29.256</v>
      </c>
      <c r="H1065" t="s">
        <v>21</v>
      </c>
    </row>
    <row r="1066" spans="1:10" x14ac:dyDescent="0.25">
      <c r="A1066" s="1">
        <v>96</v>
      </c>
      <c r="B1066" t="s">
        <v>26</v>
      </c>
      <c r="C1066">
        <v>635</v>
      </c>
      <c r="D1066">
        <v>1</v>
      </c>
      <c r="E1066" t="s">
        <v>44</v>
      </c>
      <c r="F1066" t="s">
        <v>45</v>
      </c>
      <c r="G1066" t="str">
        <f>"2025-10-04 08:36:34.256"</f>
        <v>2025-10-04 08:36:34.256</v>
      </c>
      <c r="H1066" t="s">
        <v>21</v>
      </c>
      <c r="I1066">
        <v>4.3600000000000003</v>
      </c>
      <c r="J1066" t="s">
        <v>39</v>
      </c>
    </row>
    <row r="1067" spans="1:10" x14ac:dyDescent="0.25">
      <c r="A1067" s="1">
        <v>97</v>
      </c>
      <c r="B1067" t="s">
        <v>23</v>
      </c>
      <c r="C1067">
        <v>619</v>
      </c>
      <c r="D1067">
        <v>1</v>
      </c>
      <c r="E1067" t="s">
        <v>46</v>
      </c>
      <c r="F1067" t="s">
        <v>45</v>
      </c>
      <c r="G1067" t="str">
        <f>"2025-10-04 02:56:03.804"</f>
        <v>2025-10-04 02:56:03.804</v>
      </c>
      <c r="H1067" t="s">
        <v>47</v>
      </c>
    </row>
    <row r="1068" spans="1:10" x14ac:dyDescent="0.25">
      <c r="A1068" s="1">
        <v>98</v>
      </c>
      <c r="B1068" t="s">
        <v>26</v>
      </c>
      <c r="C1068">
        <v>619</v>
      </c>
      <c r="D1068">
        <v>1</v>
      </c>
      <c r="E1068" t="s">
        <v>46</v>
      </c>
      <c r="F1068" t="s">
        <v>45</v>
      </c>
      <c r="G1068" t="str">
        <f>"2025-10-04 02:55:32.204"</f>
        <v>2025-10-04 02:55:32.204</v>
      </c>
      <c r="H1068" t="s">
        <v>47</v>
      </c>
      <c r="I1068">
        <v>0</v>
      </c>
      <c r="J1068" t="s">
        <v>30</v>
      </c>
    </row>
    <row r="1069" spans="1:10" x14ac:dyDescent="0.25">
      <c r="A1069" s="1">
        <v>99</v>
      </c>
      <c r="B1069" t="s">
        <v>19</v>
      </c>
      <c r="C1069">
        <v>700</v>
      </c>
      <c r="D1069">
        <v>0</v>
      </c>
      <c r="E1069" t="s">
        <v>20</v>
      </c>
      <c r="F1069" t="s">
        <v>20</v>
      </c>
      <c r="G1069" t="str">
        <f>"2025-10-04 02:55:01.666"</f>
        <v>2025-10-04 02:55:01.666</v>
      </c>
      <c r="H1069" t="s">
        <v>21</v>
      </c>
      <c r="I1069">
        <v>0</v>
      </c>
      <c r="J1069" t="s">
        <v>22</v>
      </c>
    </row>
    <row r="1070" spans="1:10" x14ac:dyDescent="0.25">
      <c r="A1070" s="1">
        <v>100</v>
      </c>
      <c r="B1070" t="s">
        <v>19</v>
      </c>
      <c r="C1070">
        <v>706</v>
      </c>
      <c r="D1070">
        <v>4</v>
      </c>
      <c r="E1070" t="s">
        <v>31</v>
      </c>
      <c r="F1070" t="s">
        <v>32</v>
      </c>
      <c r="G1070" t="str">
        <f>"2025-10-04 01:29:36.613"</f>
        <v>2025-10-04 01:29:36.613</v>
      </c>
      <c r="H1070" t="s">
        <v>21</v>
      </c>
      <c r="I1070">
        <v>0</v>
      </c>
      <c r="J1070" t="s">
        <v>27</v>
      </c>
    </row>
    <row r="1071" spans="1:10" x14ac:dyDescent="0.25">
      <c r="A1071" s="1">
        <v>101</v>
      </c>
      <c r="B1071" t="s">
        <v>19</v>
      </c>
      <c r="C1071">
        <v>700</v>
      </c>
      <c r="D1071">
        <v>0</v>
      </c>
      <c r="E1071" t="s">
        <v>20</v>
      </c>
      <c r="F1071" t="s">
        <v>20</v>
      </c>
      <c r="G1071" t="str">
        <f>"2025-10-04 01:29:14.653"</f>
        <v>2025-10-04 01:29:14.653</v>
      </c>
      <c r="H1071" t="s">
        <v>21</v>
      </c>
    </row>
    <row r="1072" spans="1:10" x14ac:dyDescent="0.25">
      <c r="A1072" s="1">
        <v>102</v>
      </c>
      <c r="B1072" t="s">
        <v>23</v>
      </c>
      <c r="C1072">
        <v>619</v>
      </c>
      <c r="D1072">
        <v>1</v>
      </c>
      <c r="E1072" t="s">
        <v>46</v>
      </c>
      <c r="F1072" t="s">
        <v>45</v>
      </c>
      <c r="G1072" t="str">
        <f>"2025-10-04 01:28:26.860"</f>
        <v>2025-10-04 01:28:26.860</v>
      </c>
      <c r="H1072" t="s">
        <v>47</v>
      </c>
    </row>
    <row r="1073" spans="1:10" x14ac:dyDescent="0.25">
      <c r="A1073" s="1">
        <v>103</v>
      </c>
      <c r="B1073" t="s">
        <v>26</v>
      </c>
      <c r="C1073">
        <v>619</v>
      </c>
      <c r="D1073">
        <v>1</v>
      </c>
      <c r="E1073" t="s">
        <v>46</v>
      </c>
      <c r="F1073" t="s">
        <v>45</v>
      </c>
      <c r="G1073" t="str">
        <f>"2025-10-04 01:28:16.312"</f>
        <v>2025-10-04 01:28:16.312</v>
      </c>
      <c r="H1073" t="s">
        <v>47</v>
      </c>
      <c r="I1073">
        <v>0</v>
      </c>
      <c r="J1073" t="s">
        <v>30</v>
      </c>
    </row>
    <row r="1074" spans="1:10" x14ac:dyDescent="0.25">
      <c r="A1074" s="1">
        <v>104</v>
      </c>
      <c r="B1074" t="s">
        <v>23</v>
      </c>
      <c r="C1074">
        <v>619</v>
      </c>
      <c r="D1074">
        <v>1</v>
      </c>
      <c r="E1074" t="s">
        <v>46</v>
      </c>
      <c r="F1074" t="s">
        <v>45</v>
      </c>
      <c r="G1074" t="str">
        <f>"2025-10-04 01:28:16.308"</f>
        <v>2025-10-04 01:28:16.308</v>
      </c>
      <c r="H1074" t="s">
        <v>47</v>
      </c>
    </row>
    <row r="1075" spans="1:10" x14ac:dyDescent="0.25">
      <c r="A1075" s="1">
        <v>107</v>
      </c>
      <c r="B1075" t="s">
        <v>26</v>
      </c>
      <c r="C1075">
        <v>619</v>
      </c>
      <c r="D1075">
        <v>1</v>
      </c>
      <c r="E1075" t="s">
        <v>46</v>
      </c>
      <c r="F1075" t="s">
        <v>45</v>
      </c>
      <c r="G1075" t="str">
        <f>"2025-10-04 01:27:46.924"</f>
        <v>2025-10-04 01:27:46.924</v>
      </c>
      <c r="H1075" t="s">
        <v>47</v>
      </c>
      <c r="I1075">
        <v>0</v>
      </c>
      <c r="J1075" t="s">
        <v>30</v>
      </c>
    </row>
    <row r="1076" spans="1:10" x14ac:dyDescent="0.25">
      <c r="A1076" s="1">
        <v>108</v>
      </c>
      <c r="B1076" t="s">
        <v>19</v>
      </c>
      <c r="C1076">
        <v>782</v>
      </c>
      <c r="D1076">
        <v>7</v>
      </c>
      <c r="E1076" t="s">
        <v>56</v>
      </c>
      <c r="F1076" t="s">
        <v>57</v>
      </c>
      <c r="G1076" t="str">
        <f>"2025-10-04 01:27:46.923"</f>
        <v>2025-10-04 01:27:46.923</v>
      </c>
      <c r="H1076" t="s">
        <v>21</v>
      </c>
      <c r="I1076">
        <v>0</v>
      </c>
      <c r="J1076" t="s">
        <v>30</v>
      </c>
    </row>
    <row r="1077" spans="1:10" x14ac:dyDescent="0.25">
      <c r="A1077" s="1">
        <v>111</v>
      </c>
      <c r="B1077" t="s">
        <v>23</v>
      </c>
      <c r="C1077">
        <v>619</v>
      </c>
      <c r="D1077">
        <v>1</v>
      </c>
      <c r="E1077" t="s">
        <v>46</v>
      </c>
      <c r="F1077" t="s">
        <v>45</v>
      </c>
      <c r="G1077" t="str">
        <f>"2025-10-04 01:27:46.913"</f>
        <v>2025-10-04 01:27:46.913</v>
      </c>
      <c r="H1077" t="s">
        <v>47</v>
      </c>
    </row>
    <row r="1078" spans="1:10" x14ac:dyDescent="0.25">
      <c r="A1078" s="1">
        <v>112</v>
      </c>
      <c r="B1078" t="s">
        <v>19</v>
      </c>
      <c r="C1078">
        <v>782</v>
      </c>
      <c r="D1078">
        <v>7</v>
      </c>
      <c r="E1078" t="s">
        <v>56</v>
      </c>
      <c r="F1078" t="s">
        <v>57</v>
      </c>
      <c r="G1078" t="str">
        <f>"2025-10-04 01:27:46.908"</f>
        <v>2025-10-04 01:27:46.908</v>
      </c>
      <c r="H1078" t="s">
        <v>21</v>
      </c>
      <c r="I1078">
        <v>0</v>
      </c>
      <c r="J1078" t="s">
        <v>30</v>
      </c>
    </row>
    <row r="1079" spans="1:10" x14ac:dyDescent="0.25">
      <c r="A1079" s="1">
        <v>115</v>
      </c>
      <c r="B1079" t="s">
        <v>26</v>
      </c>
      <c r="C1079">
        <v>619</v>
      </c>
      <c r="D1079">
        <v>1</v>
      </c>
      <c r="E1079" t="s">
        <v>46</v>
      </c>
      <c r="F1079" t="s">
        <v>45</v>
      </c>
      <c r="G1079" t="str">
        <f>"2025-10-04 01:27:39.726"</f>
        <v>2025-10-04 01:27:39.726</v>
      </c>
      <c r="H1079" t="s">
        <v>47</v>
      </c>
      <c r="I1079">
        <v>0</v>
      </c>
      <c r="J1079" t="s">
        <v>30</v>
      </c>
    </row>
    <row r="1080" spans="1:10" x14ac:dyDescent="0.25">
      <c r="A1080" s="1">
        <v>116</v>
      </c>
      <c r="B1080" t="s">
        <v>19</v>
      </c>
      <c r="C1080">
        <v>782</v>
      </c>
      <c r="D1080">
        <v>7</v>
      </c>
      <c r="E1080" t="s">
        <v>56</v>
      </c>
      <c r="F1080" t="s">
        <v>57</v>
      </c>
      <c r="G1080" t="str">
        <f>"2025-10-04 01:27:39.724"</f>
        <v>2025-10-04 01:27:39.724</v>
      </c>
      <c r="H1080" t="s">
        <v>21</v>
      </c>
      <c r="I1080">
        <v>0</v>
      </c>
      <c r="J1080" t="s">
        <v>30</v>
      </c>
    </row>
    <row r="1081" spans="1:10" x14ac:dyDescent="0.25">
      <c r="A1081" s="1">
        <v>119</v>
      </c>
      <c r="B1081" t="s">
        <v>23</v>
      </c>
      <c r="C1081">
        <v>630</v>
      </c>
      <c r="D1081">
        <v>5</v>
      </c>
      <c r="E1081" t="s">
        <v>40</v>
      </c>
      <c r="F1081" t="s">
        <v>41</v>
      </c>
      <c r="G1081" t="str">
        <f>"2025-10-04 01:27:39.719"</f>
        <v>2025-10-04 01:27:39.719</v>
      </c>
      <c r="H1081" t="s">
        <v>42</v>
      </c>
    </row>
    <row r="1082" spans="1:10" x14ac:dyDescent="0.25">
      <c r="A1082" s="1">
        <v>120</v>
      </c>
      <c r="B1082" t="s">
        <v>23</v>
      </c>
      <c r="C1082">
        <v>619</v>
      </c>
      <c r="D1082">
        <v>1</v>
      </c>
      <c r="E1082" t="s">
        <v>46</v>
      </c>
      <c r="F1082" t="s">
        <v>45</v>
      </c>
      <c r="G1082" t="str">
        <f>"2025-10-04 01:27:39.713"</f>
        <v>2025-10-04 01:27:39.713</v>
      </c>
      <c r="H1082" t="s">
        <v>47</v>
      </c>
    </row>
    <row r="1083" spans="1:10" x14ac:dyDescent="0.25">
      <c r="A1083" s="1">
        <v>121</v>
      </c>
      <c r="B1083" t="s">
        <v>19</v>
      </c>
      <c r="C1083">
        <v>782</v>
      </c>
      <c r="D1083">
        <v>7</v>
      </c>
      <c r="E1083" t="s">
        <v>56</v>
      </c>
      <c r="F1083" t="s">
        <v>57</v>
      </c>
      <c r="G1083" t="str">
        <f>"2025-10-04 01:27:39.708"</f>
        <v>2025-10-04 01:27:39.708</v>
      </c>
      <c r="H1083" t="s">
        <v>21</v>
      </c>
      <c r="I1083">
        <v>0</v>
      </c>
      <c r="J1083" t="s">
        <v>30</v>
      </c>
    </row>
    <row r="1084" spans="1:10" x14ac:dyDescent="0.25">
      <c r="A1084" s="1">
        <v>122</v>
      </c>
      <c r="B1084" t="s">
        <v>26</v>
      </c>
      <c r="C1084">
        <v>619</v>
      </c>
      <c r="D1084">
        <v>1</v>
      </c>
      <c r="E1084" t="s">
        <v>46</v>
      </c>
      <c r="F1084" t="s">
        <v>45</v>
      </c>
      <c r="G1084" t="str">
        <f>"2025-10-04 01:27:23.260"</f>
        <v>2025-10-04 01:27:23.260</v>
      </c>
      <c r="H1084" t="s">
        <v>47</v>
      </c>
      <c r="I1084">
        <v>0</v>
      </c>
      <c r="J1084" t="s">
        <v>27</v>
      </c>
    </row>
    <row r="1085" spans="1:10" x14ac:dyDescent="0.25">
      <c r="A1085" s="1">
        <v>123</v>
      </c>
      <c r="B1085" t="s">
        <v>19</v>
      </c>
      <c r="C1085">
        <v>706</v>
      </c>
      <c r="D1085">
        <v>4</v>
      </c>
      <c r="E1085" t="s">
        <v>31</v>
      </c>
      <c r="F1085" t="s">
        <v>32</v>
      </c>
      <c r="G1085" t="str">
        <f>"2025-10-04 01:27:18.431"</f>
        <v>2025-10-04 01:27:18.431</v>
      </c>
      <c r="H1085" t="s">
        <v>21</v>
      </c>
      <c r="I1085">
        <v>0</v>
      </c>
      <c r="J1085" t="s">
        <v>27</v>
      </c>
    </row>
    <row r="1086" spans="1:10" x14ac:dyDescent="0.25">
      <c r="A1086" s="1">
        <v>124</v>
      </c>
      <c r="B1086" t="s">
        <v>38</v>
      </c>
      <c r="C1086">
        <v>630</v>
      </c>
      <c r="D1086">
        <v>5</v>
      </c>
      <c r="E1086" t="s">
        <v>40</v>
      </c>
      <c r="F1086" t="s">
        <v>41</v>
      </c>
      <c r="G1086" t="str">
        <f>"2025-10-04 01:26:32.908"</f>
        <v>2025-10-04 01:26:32.908</v>
      </c>
      <c r="H1086" t="s">
        <v>42</v>
      </c>
      <c r="I1086">
        <v>0</v>
      </c>
      <c r="J1086" t="s">
        <v>27</v>
      </c>
    </row>
    <row r="1087" spans="1:10" x14ac:dyDescent="0.25">
      <c r="A1087" s="1">
        <v>127</v>
      </c>
      <c r="B1087" t="s">
        <v>19</v>
      </c>
      <c r="C1087">
        <v>782</v>
      </c>
      <c r="D1087">
        <v>7</v>
      </c>
      <c r="E1087" t="s">
        <v>56</v>
      </c>
      <c r="F1087" t="s">
        <v>57</v>
      </c>
      <c r="G1087" t="str">
        <f>"2025-10-04 01:25:23.316"</f>
        <v>2025-10-04 01:25:23.316</v>
      </c>
      <c r="H1087" t="s">
        <v>21</v>
      </c>
      <c r="I1087">
        <v>0</v>
      </c>
      <c r="J1087" t="s">
        <v>27</v>
      </c>
    </row>
    <row r="1088" spans="1:10" x14ac:dyDescent="0.25">
      <c r="A1088" s="1">
        <v>130</v>
      </c>
      <c r="B1088" t="s">
        <v>23</v>
      </c>
      <c r="C1088">
        <v>630</v>
      </c>
      <c r="D1088">
        <v>5</v>
      </c>
      <c r="E1088" t="s">
        <v>40</v>
      </c>
      <c r="F1088" t="s">
        <v>41</v>
      </c>
      <c r="G1088" t="str">
        <f>"2025-10-04 01:25:23.309"</f>
        <v>2025-10-04 01:25:23.309</v>
      </c>
      <c r="H1088" t="s">
        <v>42</v>
      </c>
    </row>
    <row r="1089" spans="1:10" x14ac:dyDescent="0.25">
      <c r="A1089" s="1">
        <v>131</v>
      </c>
      <c r="B1089" t="s">
        <v>19</v>
      </c>
      <c r="C1089">
        <v>782</v>
      </c>
      <c r="D1089">
        <v>7</v>
      </c>
      <c r="E1089" t="s">
        <v>56</v>
      </c>
      <c r="F1089" t="s">
        <v>57</v>
      </c>
      <c r="G1089" t="str">
        <f>"2025-10-04 01:25:23.308"</f>
        <v>2025-10-04 01:25:23.308</v>
      </c>
      <c r="H1089" t="s">
        <v>21</v>
      </c>
      <c r="I1089">
        <v>0</v>
      </c>
      <c r="J1089" t="s">
        <v>27</v>
      </c>
    </row>
    <row r="1090" spans="1:10" x14ac:dyDescent="0.25">
      <c r="A1090" s="1">
        <v>132</v>
      </c>
      <c r="B1090" t="s">
        <v>19</v>
      </c>
      <c r="C1090">
        <v>706</v>
      </c>
      <c r="D1090">
        <v>3</v>
      </c>
      <c r="E1090" t="s">
        <v>31</v>
      </c>
      <c r="F1090" t="s">
        <v>48</v>
      </c>
      <c r="G1090" t="str">
        <f>"2025-10-04 01:21:30.811"</f>
        <v>2025-10-04 01:21:30.811</v>
      </c>
      <c r="H1090" t="s">
        <v>21</v>
      </c>
      <c r="I1090">
        <v>0</v>
      </c>
      <c r="J1090" t="s">
        <v>27</v>
      </c>
    </row>
    <row r="1091" spans="1:10" x14ac:dyDescent="0.25">
      <c r="A1091" s="1">
        <v>133</v>
      </c>
      <c r="B1091" t="s">
        <v>38</v>
      </c>
      <c r="C1091">
        <v>630</v>
      </c>
      <c r="D1091">
        <v>5</v>
      </c>
      <c r="E1091" t="s">
        <v>40</v>
      </c>
      <c r="F1091" t="s">
        <v>41</v>
      </c>
      <c r="G1091" t="str">
        <f>"2025-10-04 01:17:07.108"</f>
        <v>2025-10-04 01:17:07.108</v>
      </c>
      <c r="H1091" t="s">
        <v>42</v>
      </c>
      <c r="I1091">
        <v>0</v>
      </c>
      <c r="J1091" t="s">
        <v>27</v>
      </c>
    </row>
    <row r="1092" spans="1:10" x14ac:dyDescent="0.25">
      <c r="A1092" s="1">
        <v>134</v>
      </c>
      <c r="B1092" t="s">
        <v>23</v>
      </c>
      <c r="C1092">
        <v>619</v>
      </c>
      <c r="D1092">
        <v>1</v>
      </c>
      <c r="E1092" t="s">
        <v>46</v>
      </c>
      <c r="F1092" t="s">
        <v>45</v>
      </c>
      <c r="G1092" t="str">
        <f>"2025-10-04 01:12:07.008"</f>
        <v>2025-10-04 01:12:07.008</v>
      </c>
      <c r="H1092" t="s">
        <v>47</v>
      </c>
    </row>
    <row r="1093" spans="1:10" x14ac:dyDescent="0.25">
      <c r="A1093" s="1">
        <v>135</v>
      </c>
      <c r="B1093" t="s">
        <v>26</v>
      </c>
      <c r="C1093">
        <v>619</v>
      </c>
      <c r="D1093">
        <v>1</v>
      </c>
      <c r="E1093" t="s">
        <v>46</v>
      </c>
      <c r="F1093" t="s">
        <v>45</v>
      </c>
      <c r="G1093" t="str">
        <f>"2025-10-04 01:11:22.060"</f>
        <v>2025-10-04 01:11:22.060</v>
      </c>
      <c r="H1093" t="s">
        <v>47</v>
      </c>
      <c r="I1093">
        <v>0</v>
      </c>
      <c r="J1093" t="s">
        <v>27</v>
      </c>
    </row>
    <row r="1094" spans="1:10" x14ac:dyDescent="0.25">
      <c r="A1094" s="1">
        <v>136</v>
      </c>
      <c r="B1094" t="s">
        <v>19</v>
      </c>
      <c r="C1094">
        <v>706</v>
      </c>
      <c r="D1094">
        <v>4</v>
      </c>
      <c r="E1094" t="s">
        <v>31</v>
      </c>
      <c r="F1094" t="s">
        <v>32</v>
      </c>
      <c r="G1094" t="str">
        <f>"2025-10-04 01:11:15.541"</f>
        <v>2025-10-04 01:11:15.541</v>
      </c>
      <c r="H1094" t="s">
        <v>21</v>
      </c>
      <c r="I1094">
        <v>0</v>
      </c>
      <c r="J1094" t="s">
        <v>27</v>
      </c>
    </row>
    <row r="1095" spans="1:10" x14ac:dyDescent="0.25">
      <c r="A1095" s="1">
        <v>137</v>
      </c>
      <c r="B1095" t="s">
        <v>19</v>
      </c>
      <c r="C1095">
        <v>700</v>
      </c>
      <c r="D1095">
        <v>0</v>
      </c>
      <c r="E1095" t="s">
        <v>20</v>
      </c>
      <c r="F1095" t="s">
        <v>20</v>
      </c>
      <c r="G1095" t="str">
        <f>"2025-10-04 01:10:41.661"</f>
        <v>2025-10-04 01:10:41.661</v>
      </c>
      <c r="H1095" t="s">
        <v>21</v>
      </c>
    </row>
    <row r="1096" spans="1:10" x14ac:dyDescent="0.25">
      <c r="A1096" s="1">
        <v>138</v>
      </c>
      <c r="B1096" t="s">
        <v>23</v>
      </c>
      <c r="C1096">
        <v>635</v>
      </c>
      <c r="D1096">
        <v>1</v>
      </c>
      <c r="E1096" t="s">
        <v>44</v>
      </c>
      <c r="F1096" t="s">
        <v>45</v>
      </c>
      <c r="G1096" t="str">
        <f>"2025-10-03 05:11:52.108"</f>
        <v>2025-10-03 05:11:52.108</v>
      </c>
      <c r="H1096" t="s">
        <v>21</v>
      </c>
    </row>
    <row r="1097" spans="1:10" x14ac:dyDescent="0.25">
      <c r="A1097" s="1">
        <v>139</v>
      </c>
      <c r="B1097" t="s">
        <v>26</v>
      </c>
      <c r="C1097">
        <v>635</v>
      </c>
      <c r="D1097">
        <v>1</v>
      </c>
      <c r="E1097" t="s">
        <v>44</v>
      </c>
      <c r="F1097" t="s">
        <v>45</v>
      </c>
      <c r="G1097" t="str">
        <f>"2025-10-03 05:09:08.608"</f>
        <v>2025-10-03 05:09:08.608</v>
      </c>
      <c r="H1097" t="s">
        <v>21</v>
      </c>
      <c r="I1097">
        <v>3.24</v>
      </c>
      <c r="J1097" t="s">
        <v>39</v>
      </c>
    </row>
    <row r="1098" spans="1:10" s="3" customFormat="1" x14ac:dyDescent="0.25">
      <c r="A1098" s="2">
        <v>140</v>
      </c>
      <c r="B1098" s="3" t="s">
        <v>23</v>
      </c>
      <c r="C1098" s="3">
        <v>647</v>
      </c>
      <c r="D1098" s="3">
        <v>1</v>
      </c>
      <c r="E1098" s="3" t="s">
        <v>28</v>
      </c>
      <c r="F1098" s="3" t="s">
        <v>29</v>
      </c>
      <c r="G1098" s="3" t="str">
        <f>"2025-10-02 20:37:41.809"</f>
        <v>2025-10-02 20:37:41.809</v>
      </c>
      <c r="H1098" s="3" t="s">
        <v>21</v>
      </c>
    </row>
    <row r="1099" spans="1:10" s="3" customFormat="1" x14ac:dyDescent="0.25">
      <c r="A1099" s="2">
        <v>141</v>
      </c>
      <c r="B1099" s="3" t="s">
        <v>26</v>
      </c>
      <c r="C1099" s="3">
        <v>647</v>
      </c>
      <c r="D1099" s="3">
        <v>1</v>
      </c>
      <c r="E1099" s="3" t="s">
        <v>28</v>
      </c>
      <c r="F1099" s="3" t="s">
        <v>29</v>
      </c>
      <c r="G1099" s="3" t="str">
        <f>"2025-10-02 20:37:38.309"</f>
        <v>2025-10-02 20:37:38.309</v>
      </c>
      <c r="H1099" s="3" t="s">
        <v>21</v>
      </c>
      <c r="I1099" s="3">
        <v>9.4499999999999993</v>
      </c>
      <c r="J1099" s="3" t="s">
        <v>33</v>
      </c>
    </row>
    <row r="1100" spans="1:10" x14ac:dyDescent="0.25">
      <c r="A1100" s="1">
        <v>142</v>
      </c>
      <c r="B1100" t="s">
        <v>23</v>
      </c>
      <c r="C1100">
        <v>635</v>
      </c>
      <c r="D1100">
        <v>1</v>
      </c>
      <c r="E1100" t="s">
        <v>44</v>
      </c>
      <c r="F1100" t="s">
        <v>45</v>
      </c>
      <c r="G1100" t="str">
        <f>"2025-10-02 18:10:20.408"</f>
        <v>2025-10-02 18:10:20.408</v>
      </c>
      <c r="H1100" t="s">
        <v>21</v>
      </c>
    </row>
    <row r="1101" spans="1:10" x14ac:dyDescent="0.25">
      <c r="A1101" s="1">
        <v>143</v>
      </c>
      <c r="B1101" t="s">
        <v>26</v>
      </c>
      <c r="C1101">
        <v>635</v>
      </c>
      <c r="D1101">
        <v>1</v>
      </c>
      <c r="E1101" t="s">
        <v>44</v>
      </c>
      <c r="F1101" t="s">
        <v>45</v>
      </c>
      <c r="G1101" t="str">
        <f>"2025-10-02 17:51:11.408"</f>
        <v>2025-10-02 17:51:11.408</v>
      </c>
      <c r="H1101" t="s">
        <v>21</v>
      </c>
      <c r="I1101">
        <v>7.97</v>
      </c>
      <c r="J1101" t="s">
        <v>39</v>
      </c>
    </row>
    <row r="1102" spans="1:10" x14ac:dyDescent="0.25">
      <c r="A1102" s="1">
        <v>144</v>
      </c>
      <c r="B1102" t="s">
        <v>19</v>
      </c>
      <c r="C1102">
        <v>700</v>
      </c>
      <c r="D1102">
        <v>0</v>
      </c>
      <c r="E1102" t="s">
        <v>20</v>
      </c>
      <c r="F1102" t="s">
        <v>20</v>
      </c>
      <c r="G1102" t="str">
        <f>"2025-10-02 13:38:53.658"</f>
        <v>2025-10-02 13:38:53.658</v>
      </c>
      <c r="H1102" t="s">
        <v>21</v>
      </c>
      <c r="I1102">
        <v>0</v>
      </c>
      <c r="J1102" t="s">
        <v>22</v>
      </c>
    </row>
    <row r="1103" spans="1:10" x14ac:dyDescent="0.25">
      <c r="A1103" s="1">
        <v>145</v>
      </c>
      <c r="B1103" t="s">
        <v>19</v>
      </c>
      <c r="C1103">
        <v>700</v>
      </c>
      <c r="D1103">
        <v>0</v>
      </c>
      <c r="E1103" t="s">
        <v>20</v>
      </c>
      <c r="F1103" t="s">
        <v>20</v>
      </c>
      <c r="G1103" t="str">
        <f>"2025-10-02 13:03:39.666"</f>
        <v>2025-10-02 13:03:39.666</v>
      </c>
      <c r="H1103" t="s">
        <v>21</v>
      </c>
    </row>
    <row r="1104" spans="1:10" x14ac:dyDescent="0.25">
      <c r="A1104" s="1">
        <v>146</v>
      </c>
      <c r="B1104" t="s">
        <v>19</v>
      </c>
      <c r="C1104">
        <v>700</v>
      </c>
      <c r="D1104">
        <v>0</v>
      </c>
      <c r="E1104" t="s">
        <v>20</v>
      </c>
      <c r="F1104" t="s">
        <v>20</v>
      </c>
      <c r="G1104" t="str">
        <f>"2025-10-01 03:25:33.634"</f>
        <v>2025-10-01 03:25:33.634</v>
      </c>
      <c r="H1104" t="s">
        <v>21</v>
      </c>
    </row>
    <row r="1105" spans="1:10" x14ac:dyDescent="0.25">
      <c r="A1105" s="1">
        <v>147</v>
      </c>
      <c r="B1105" t="s">
        <v>19</v>
      </c>
      <c r="C1105">
        <v>700</v>
      </c>
      <c r="D1105">
        <v>0</v>
      </c>
      <c r="E1105" t="s">
        <v>20</v>
      </c>
      <c r="F1105" t="s">
        <v>20</v>
      </c>
      <c r="G1105" t="str">
        <f>"2025-09-30 13:25:21.658"</f>
        <v>2025-09-30 13:25:21.658</v>
      </c>
      <c r="H1105" t="s">
        <v>21</v>
      </c>
      <c r="I1105">
        <v>0</v>
      </c>
      <c r="J1105" t="s">
        <v>22</v>
      </c>
    </row>
    <row r="1106" spans="1:10" x14ac:dyDescent="0.25">
      <c r="A1106" s="1">
        <v>148</v>
      </c>
      <c r="B1106" t="s">
        <v>23</v>
      </c>
      <c r="C1106">
        <v>635</v>
      </c>
      <c r="D1106">
        <v>1</v>
      </c>
      <c r="E1106" t="s">
        <v>44</v>
      </c>
      <c r="F1106" t="s">
        <v>45</v>
      </c>
      <c r="G1106" t="str">
        <f>"2025-09-30 01:10:01.175"</f>
        <v>2025-09-30 01:10:01.175</v>
      </c>
      <c r="H1106" t="s">
        <v>21</v>
      </c>
    </row>
    <row r="1107" spans="1:10" x14ac:dyDescent="0.25">
      <c r="A1107" s="1">
        <v>149</v>
      </c>
      <c r="B1107" t="s">
        <v>26</v>
      </c>
      <c r="C1107">
        <v>635</v>
      </c>
      <c r="D1107">
        <v>1</v>
      </c>
      <c r="E1107" t="s">
        <v>44</v>
      </c>
      <c r="F1107" t="s">
        <v>45</v>
      </c>
      <c r="G1107" t="str">
        <f>"2025-09-30 01:06:05.675"</f>
        <v>2025-09-30 01:06:05.675</v>
      </c>
      <c r="H1107" t="s">
        <v>21</v>
      </c>
      <c r="I1107">
        <v>2.98</v>
      </c>
      <c r="J1107" t="s">
        <v>33</v>
      </c>
    </row>
    <row r="1108" spans="1:10" x14ac:dyDescent="0.25">
      <c r="A1108" s="1">
        <v>150</v>
      </c>
      <c r="B1108" t="s">
        <v>23</v>
      </c>
      <c r="C1108">
        <v>635</v>
      </c>
      <c r="D1108">
        <v>1</v>
      </c>
      <c r="E1108" t="s">
        <v>44</v>
      </c>
      <c r="F1108" t="s">
        <v>45</v>
      </c>
      <c r="G1108" t="str">
        <f>"2025-09-27 09:24:04.875"</f>
        <v>2025-09-27 09:24:04.875</v>
      </c>
      <c r="H1108" t="s">
        <v>21</v>
      </c>
    </row>
    <row r="1109" spans="1:10" x14ac:dyDescent="0.25">
      <c r="A1109" s="1">
        <v>151</v>
      </c>
      <c r="B1109" t="s">
        <v>26</v>
      </c>
      <c r="C1109">
        <v>635</v>
      </c>
      <c r="D1109">
        <v>1</v>
      </c>
      <c r="E1109" t="s">
        <v>44</v>
      </c>
      <c r="F1109" t="s">
        <v>45</v>
      </c>
      <c r="G1109" t="str">
        <f>"2025-09-27 09:18:55.376"</f>
        <v>2025-09-27 09:18:55.376</v>
      </c>
      <c r="H1109" t="s">
        <v>21</v>
      </c>
      <c r="I1109">
        <v>4.2699999999999996</v>
      </c>
      <c r="J1109" t="s">
        <v>39</v>
      </c>
    </row>
    <row r="1110" spans="1:10" x14ac:dyDescent="0.25">
      <c r="A1110" s="1">
        <v>153</v>
      </c>
      <c r="B1110" t="s">
        <v>23</v>
      </c>
      <c r="C1110">
        <v>61</v>
      </c>
      <c r="D1110">
        <v>2</v>
      </c>
      <c r="E1110" t="s">
        <v>51</v>
      </c>
      <c r="F1110" t="s">
        <v>52</v>
      </c>
      <c r="G1110" t="str">
        <f>"2025-09-26 10:34:11.108"</f>
        <v>2025-09-26 10:34:11.108</v>
      </c>
      <c r="H1110" t="s">
        <v>21</v>
      </c>
    </row>
    <row r="1111" spans="1:10" x14ac:dyDescent="0.25">
      <c r="A1111" s="1">
        <v>154</v>
      </c>
      <c r="B1111" t="s">
        <v>38</v>
      </c>
      <c r="C1111">
        <v>61</v>
      </c>
      <c r="D1111">
        <v>2</v>
      </c>
      <c r="E1111" t="s">
        <v>51</v>
      </c>
      <c r="F1111" t="s">
        <v>52</v>
      </c>
      <c r="G1111" t="str">
        <f>"2025-09-26 10:34:04.708"</f>
        <v>2025-09-26 10:34:04.708</v>
      </c>
      <c r="H1111" t="s">
        <v>21</v>
      </c>
      <c r="I1111">
        <v>35.06</v>
      </c>
      <c r="J1111" t="s">
        <v>33</v>
      </c>
    </row>
    <row r="1112" spans="1:10" x14ac:dyDescent="0.25">
      <c r="A1112" s="1">
        <v>155</v>
      </c>
      <c r="B1112" t="s">
        <v>19</v>
      </c>
      <c r="C1112">
        <v>700</v>
      </c>
      <c r="D1112">
        <v>0</v>
      </c>
      <c r="E1112" t="s">
        <v>20</v>
      </c>
      <c r="F1112" t="s">
        <v>20</v>
      </c>
      <c r="G1112" t="str">
        <f>"2025-09-25 22:38:11.648"</f>
        <v>2025-09-25 22:38:11.648</v>
      </c>
      <c r="H1112" t="s">
        <v>21</v>
      </c>
      <c r="I1112">
        <v>0</v>
      </c>
      <c r="J1112" t="s">
        <v>22</v>
      </c>
    </row>
    <row r="1113" spans="1:10" x14ac:dyDescent="0.25">
      <c r="A1113" s="1">
        <v>156</v>
      </c>
      <c r="B1113" t="s">
        <v>23</v>
      </c>
      <c r="C1113">
        <v>630</v>
      </c>
      <c r="D1113">
        <v>5</v>
      </c>
      <c r="E1113" t="s">
        <v>40</v>
      </c>
      <c r="F1113" t="s">
        <v>41</v>
      </c>
      <c r="G1113" t="str">
        <f>"2025-09-25 22:14:52.224"</f>
        <v>2025-09-25 22:14:52.224</v>
      </c>
      <c r="H1113" t="s">
        <v>42</v>
      </c>
    </row>
    <row r="1114" spans="1:10" x14ac:dyDescent="0.25">
      <c r="A1114" s="1">
        <v>157</v>
      </c>
      <c r="B1114" t="s">
        <v>19</v>
      </c>
      <c r="C1114">
        <v>706</v>
      </c>
      <c r="D1114">
        <v>4</v>
      </c>
      <c r="E1114" t="s">
        <v>31</v>
      </c>
      <c r="F1114" t="s">
        <v>32</v>
      </c>
      <c r="G1114" t="str">
        <f>"2025-09-25 22:14:22.086"</f>
        <v>2025-09-25 22:14:22.086</v>
      </c>
      <c r="H1114" t="s">
        <v>21</v>
      </c>
      <c r="I1114">
        <v>0</v>
      </c>
      <c r="J1114" t="s">
        <v>27</v>
      </c>
    </row>
    <row r="1115" spans="1:10" x14ac:dyDescent="0.25">
      <c r="A1115" s="1">
        <v>158</v>
      </c>
      <c r="B1115" t="s">
        <v>19</v>
      </c>
      <c r="C1115">
        <v>706</v>
      </c>
      <c r="D1115">
        <v>4</v>
      </c>
      <c r="E1115" t="s">
        <v>31</v>
      </c>
      <c r="F1115" t="s">
        <v>32</v>
      </c>
      <c r="G1115" t="str">
        <f>"2025-09-25 22:14:12.696"</f>
        <v>2025-09-25 22:14:12.696</v>
      </c>
      <c r="H1115" t="s">
        <v>21</v>
      </c>
      <c r="I1115">
        <v>0</v>
      </c>
      <c r="J1115" t="s">
        <v>27</v>
      </c>
    </row>
    <row r="1116" spans="1:10" x14ac:dyDescent="0.25">
      <c r="A1116" s="1">
        <v>159</v>
      </c>
      <c r="B1116" t="s">
        <v>38</v>
      </c>
      <c r="C1116">
        <v>630</v>
      </c>
      <c r="D1116">
        <v>5</v>
      </c>
      <c r="E1116" t="s">
        <v>40</v>
      </c>
      <c r="F1116" t="s">
        <v>41</v>
      </c>
      <c r="G1116" t="str">
        <f>"2025-09-25 22:08:18.425"</f>
        <v>2025-09-25 22:08:18.425</v>
      </c>
      <c r="H1116" t="s">
        <v>42</v>
      </c>
      <c r="I1116">
        <v>0</v>
      </c>
      <c r="J1116" t="s">
        <v>27</v>
      </c>
    </row>
    <row r="1117" spans="1:10" x14ac:dyDescent="0.25">
      <c r="A1117" s="1">
        <v>160</v>
      </c>
      <c r="B1117" t="s">
        <v>19</v>
      </c>
      <c r="C1117">
        <v>700</v>
      </c>
      <c r="D1117">
        <v>0</v>
      </c>
      <c r="E1117" t="s">
        <v>20</v>
      </c>
      <c r="F1117" t="s">
        <v>20</v>
      </c>
      <c r="G1117" t="str">
        <f>"2025-09-25 22:03:15.646"</f>
        <v>2025-09-25 22:03:15.646</v>
      </c>
      <c r="H1117" t="s">
        <v>21</v>
      </c>
      <c r="I1117">
        <v>0</v>
      </c>
      <c r="J1117" t="s">
        <v>22</v>
      </c>
    </row>
    <row r="1118" spans="1:10" x14ac:dyDescent="0.25">
      <c r="A1118" s="1">
        <v>161</v>
      </c>
      <c r="B1118" t="s">
        <v>38</v>
      </c>
      <c r="C1118">
        <v>630</v>
      </c>
      <c r="D1118">
        <v>5</v>
      </c>
      <c r="E1118" t="s">
        <v>40</v>
      </c>
      <c r="F1118" t="s">
        <v>41</v>
      </c>
      <c r="G1118" t="str">
        <f>"2025-09-25 20:51:42.430"</f>
        <v>2025-09-25 20:51:42.430</v>
      </c>
      <c r="H1118" t="s">
        <v>42</v>
      </c>
      <c r="I1118">
        <v>0</v>
      </c>
      <c r="J1118" t="s">
        <v>27</v>
      </c>
    </row>
    <row r="1119" spans="1:10" x14ac:dyDescent="0.25">
      <c r="A1119" s="1">
        <v>162</v>
      </c>
      <c r="B1119" t="s">
        <v>19</v>
      </c>
      <c r="C1119">
        <v>700</v>
      </c>
      <c r="D1119">
        <v>0</v>
      </c>
      <c r="E1119" t="s">
        <v>20</v>
      </c>
      <c r="F1119" t="s">
        <v>20</v>
      </c>
      <c r="G1119" t="str">
        <f>"2025-09-25 20:46:39.681"</f>
        <v>2025-09-25 20:46:39.681</v>
      </c>
      <c r="H1119" t="s">
        <v>21</v>
      </c>
      <c r="I1119">
        <v>0</v>
      </c>
      <c r="J1119" t="s">
        <v>22</v>
      </c>
    </row>
    <row r="1120" spans="1:10" x14ac:dyDescent="0.25">
      <c r="A1120" s="1">
        <v>163</v>
      </c>
      <c r="B1120" t="s">
        <v>19</v>
      </c>
      <c r="C1120">
        <v>700</v>
      </c>
      <c r="D1120">
        <v>0</v>
      </c>
      <c r="E1120" t="s">
        <v>20</v>
      </c>
      <c r="F1120" t="s">
        <v>20</v>
      </c>
      <c r="G1120" t="str">
        <f>"2025-09-25 12:51:04.647"</f>
        <v>2025-09-25 12:51:04.647</v>
      </c>
      <c r="H1120" t="s">
        <v>21</v>
      </c>
      <c r="I1120">
        <v>0</v>
      </c>
      <c r="J1120" t="s">
        <v>22</v>
      </c>
    </row>
    <row r="1121" spans="1:10" x14ac:dyDescent="0.25">
      <c r="A1121" s="1">
        <v>164</v>
      </c>
      <c r="B1121" t="s">
        <v>23</v>
      </c>
      <c r="C1121">
        <v>635</v>
      </c>
      <c r="D1121">
        <v>1</v>
      </c>
      <c r="E1121" t="s">
        <v>44</v>
      </c>
      <c r="F1121" t="s">
        <v>45</v>
      </c>
      <c r="G1121" t="str">
        <f>"2025-09-25 00:27:13.769"</f>
        <v>2025-09-25 00:27:13.769</v>
      </c>
      <c r="H1121" t="s">
        <v>21</v>
      </c>
    </row>
    <row r="1122" spans="1:10" x14ac:dyDescent="0.25">
      <c r="A1122" s="1">
        <v>165</v>
      </c>
      <c r="B1122" t="s">
        <v>26</v>
      </c>
      <c r="C1122">
        <v>635</v>
      </c>
      <c r="D1122">
        <v>1</v>
      </c>
      <c r="E1122" t="s">
        <v>44</v>
      </c>
      <c r="F1122" t="s">
        <v>45</v>
      </c>
      <c r="G1122" t="str">
        <f>"2025-09-25 00:25:21.269"</f>
        <v>2025-09-25 00:25:21.269</v>
      </c>
      <c r="H1122" t="s">
        <v>21</v>
      </c>
      <c r="I1122">
        <v>4.63</v>
      </c>
      <c r="J1122" t="s">
        <v>39</v>
      </c>
    </row>
    <row r="1123" spans="1:10" s="3" customFormat="1" x14ac:dyDescent="0.25">
      <c r="A1123" s="2">
        <v>166</v>
      </c>
      <c r="B1123" s="3" t="s">
        <v>23</v>
      </c>
      <c r="C1123" s="3">
        <v>647</v>
      </c>
      <c r="D1123" s="3">
        <v>1</v>
      </c>
      <c r="E1123" s="3" t="s">
        <v>28</v>
      </c>
      <c r="F1123" s="3" t="s">
        <v>29</v>
      </c>
      <c r="G1123" s="3" t="str">
        <f>"2025-09-22 12:50:09.023"</f>
        <v>2025-09-22 12:50:09.023</v>
      </c>
      <c r="H1123" s="3" t="s">
        <v>21</v>
      </c>
    </row>
    <row r="1124" spans="1:10" s="3" customFormat="1" x14ac:dyDescent="0.25">
      <c r="A1124" s="2">
        <v>167</v>
      </c>
      <c r="B1124" s="3" t="s">
        <v>26</v>
      </c>
      <c r="C1124" s="3">
        <v>647</v>
      </c>
      <c r="D1124" s="3">
        <v>1</v>
      </c>
      <c r="E1124" s="3" t="s">
        <v>28</v>
      </c>
      <c r="F1124" s="3" t="s">
        <v>29</v>
      </c>
      <c r="G1124" s="3" t="str">
        <f>"2025-09-22 12:50:07.723"</f>
        <v>2025-09-22 12:50:07.723</v>
      </c>
      <c r="H1124" s="3" t="s">
        <v>21</v>
      </c>
      <c r="I1124" s="3">
        <v>17.68</v>
      </c>
      <c r="J1124" s="3" t="s">
        <v>33</v>
      </c>
    </row>
    <row r="1125" spans="1:10" x14ac:dyDescent="0.25">
      <c r="A1125" s="1">
        <v>168</v>
      </c>
      <c r="B1125" t="s">
        <v>19</v>
      </c>
      <c r="C1125">
        <v>700</v>
      </c>
      <c r="D1125">
        <v>0</v>
      </c>
      <c r="E1125" t="s">
        <v>20</v>
      </c>
      <c r="F1125" t="s">
        <v>20</v>
      </c>
      <c r="G1125" t="str">
        <f>"2025-09-22 08:24:53.661"</f>
        <v>2025-09-22 08:24:53.661</v>
      </c>
      <c r="H1125" t="s">
        <v>21</v>
      </c>
      <c r="I1125">
        <v>0</v>
      </c>
      <c r="J1125" t="s">
        <v>22</v>
      </c>
    </row>
    <row r="1126" spans="1:10" x14ac:dyDescent="0.25">
      <c r="A1126" s="1">
        <v>169</v>
      </c>
      <c r="B1126" t="s">
        <v>23</v>
      </c>
      <c r="C1126">
        <v>630</v>
      </c>
      <c r="D1126">
        <v>5</v>
      </c>
      <c r="E1126" t="s">
        <v>40</v>
      </c>
      <c r="F1126" t="s">
        <v>41</v>
      </c>
      <c r="G1126" t="str">
        <f>"2025-09-19 13:08:39.499"</f>
        <v>2025-09-19 13:08:39.499</v>
      </c>
      <c r="H1126" t="s">
        <v>42</v>
      </c>
    </row>
    <row r="1127" spans="1:10" x14ac:dyDescent="0.25">
      <c r="A1127" s="1">
        <v>170</v>
      </c>
      <c r="B1127" t="s">
        <v>19</v>
      </c>
      <c r="C1127">
        <v>706</v>
      </c>
      <c r="D1127">
        <v>4</v>
      </c>
      <c r="E1127" t="s">
        <v>31</v>
      </c>
      <c r="F1127" t="s">
        <v>32</v>
      </c>
      <c r="G1127" t="str">
        <f>"2025-09-19 13:08:09.441"</f>
        <v>2025-09-19 13:08:09.441</v>
      </c>
      <c r="H1127" t="s">
        <v>21</v>
      </c>
      <c r="I1127">
        <v>0</v>
      </c>
      <c r="J1127" t="s">
        <v>27</v>
      </c>
    </row>
    <row r="1128" spans="1:10" x14ac:dyDescent="0.25">
      <c r="A1128" s="1">
        <v>171</v>
      </c>
      <c r="B1128" t="s">
        <v>38</v>
      </c>
      <c r="C1128">
        <v>630</v>
      </c>
      <c r="D1128">
        <v>5</v>
      </c>
      <c r="E1128" t="s">
        <v>40</v>
      </c>
      <c r="F1128" t="s">
        <v>41</v>
      </c>
      <c r="G1128" t="str">
        <f>"2025-09-19 13:00:04.599"</f>
        <v>2025-09-19 13:00:04.599</v>
      </c>
      <c r="H1128" t="s">
        <v>42</v>
      </c>
      <c r="I1128">
        <v>0</v>
      </c>
      <c r="J1128" t="s">
        <v>27</v>
      </c>
    </row>
    <row r="1129" spans="1:10" s="3" customFormat="1" x14ac:dyDescent="0.25">
      <c r="A1129" s="2">
        <v>172</v>
      </c>
      <c r="B1129" s="3" t="s">
        <v>23</v>
      </c>
      <c r="C1129" s="3">
        <v>647</v>
      </c>
      <c r="D1129" s="3">
        <v>1</v>
      </c>
      <c r="E1129" s="3" t="s">
        <v>28</v>
      </c>
      <c r="F1129" s="3" t="s">
        <v>29</v>
      </c>
      <c r="G1129" s="3" t="str">
        <f>"2025-09-19 05:34:13.699"</f>
        <v>2025-09-19 05:34:13.699</v>
      </c>
      <c r="H1129" s="3" t="s">
        <v>21</v>
      </c>
    </row>
    <row r="1130" spans="1:10" s="3" customFormat="1" x14ac:dyDescent="0.25">
      <c r="A1130" s="2">
        <v>173</v>
      </c>
      <c r="B1130" s="3" t="s">
        <v>26</v>
      </c>
      <c r="C1130" s="3">
        <v>647</v>
      </c>
      <c r="D1130" s="3">
        <v>1</v>
      </c>
      <c r="E1130" s="3" t="s">
        <v>28</v>
      </c>
      <c r="F1130" s="3" t="s">
        <v>29</v>
      </c>
      <c r="G1130" s="3" t="str">
        <f>"2025-09-19 05:34:11.000"</f>
        <v>2025-09-19 05:34:11.000</v>
      </c>
      <c r="H1130" s="3" t="s">
        <v>21</v>
      </c>
      <c r="I1130" s="3">
        <v>9.9600000000000009</v>
      </c>
      <c r="J1130" s="3" t="s">
        <v>33</v>
      </c>
    </row>
    <row r="1131" spans="1:10" x14ac:dyDescent="0.25">
      <c r="A1131" s="1">
        <v>174</v>
      </c>
      <c r="B1131" t="s">
        <v>19</v>
      </c>
      <c r="C1131">
        <v>700</v>
      </c>
      <c r="D1131">
        <v>0</v>
      </c>
      <c r="E1131" t="s">
        <v>20</v>
      </c>
      <c r="F1131" t="s">
        <v>20</v>
      </c>
      <c r="G1131" t="str">
        <f>"2025-09-16 23:22:40.641"</f>
        <v>2025-09-16 23:22:40.641</v>
      </c>
      <c r="H1131" t="s">
        <v>21</v>
      </c>
      <c r="I1131">
        <v>0</v>
      </c>
      <c r="J1131" t="s">
        <v>22</v>
      </c>
    </row>
    <row r="1132" spans="1:10" x14ac:dyDescent="0.25">
      <c r="A1132" s="1">
        <v>175</v>
      </c>
      <c r="B1132" t="s">
        <v>19</v>
      </c>
      <c r="C1132">
        <v>700</v>
      </c>
      <c r="D1132">
        <v>0</v>
      </c>
      <c r="E1132" t="s">
        <v>20</v>
      </c>
      <c r="F1132" t="s">
        <v>20</v>
      </c>
      <c r="G1132" t="str">
        <f>"2025-09-16 23:14:47.676"</f>
        <v>2025-09-16 23:14:47.676</v>
      </c>
      <c r="H1132" t="s">
        <v>21</v>
      </c>
      <c r="I1132">
        <v>0</v>
      </c>
      <c r="J1132" t="s">
        <v>22</v>
      </c>
    </row>
    <row r="1133" spans="1:10" x14ac:dyDescent="0.25">
      <c r="A1133" s="1">
        <v>176</v>
      </c>
      <c r="B1133" t="s">
        <v>23</v>
      </c>
      <c r="C1133">
        <v>98</v>
      </c>
      <c r="D1133">
        <v>1</v>
      </c>
      <c r="E1133" t="s">
        <v>49</v>
      </c>
      <c r="F1133" t="s">
        <v>50</v>
      </c>
      <c r="G1133" t="str">
        <f>"2025-09-16 23:03:36.605"</f>
        <v>2025-09-16 23:03:36.605</v>
      </c>
      <c r="H1133" t="s">
        <v>21</v>
      </c>
    </row>
    <row r="1134" spans="1:10" x14ac:dyDescent="0.25">
      <c r="A1134" s="1">
        <v>177</v>
      </c>
      <c r="B1134" t="s">
        <v>26</v>
      </c>
      <c r="C1134">
        <v>98</v>
      </c>
      <c r="D1134">
        <v>1</v>
      </c>
      <c r="E1134" t="s">
        <v>49</v>
      </c>
      <c r="F1134" t="s">
        <v>50</v>
      </c>
      <c r="G1134" t="str">
        <f>"2025-09-16 23:03:35.605"</f>
        <v>2025-09-16 23:03:35.605</v>
      </c>
      <c r="H1134" t="s">
        <v>21</v>
      </c>
      <c r="I1134">
        <v>7.68</v>
      </c>
      <c r="J1134" t="s">
        <v>33</v>
      </c>
    </row>
    <row r="1135" spans="1:10" s="3" customFormat="1" x14ac:dyDescent="0.25">
      <c r="A1135" s="2">
        <v>178</v>
      </c>
      <c r="B1135" s="3" t="s">
        <v>23</v>
      </c>
      <c r="C1135" s="3">
        <v>647</v>
      </c>
      <c r="D1135" s="3">
        <v>1</v>
      </c>
      <c r="E1135" s="3" t="s">
        <v>28</v>
      </c>
      <c r="F1135" s="3" t="s">
        <v>29</v>
      </c>
      <c r="G1135" s="3" t="str">
        <f>"2025-09-16 21:21:11.005"</f>
        <v>2025-09-16 21:21:11.005</v>
      </c>
      <c r="H1135" s="3" t="s">
        <v>21</v>
      </c>
    </row>
    <row r="1136" spans="1:10" s="3" customFormat="1" x14ac:dyDescent="0.25">
      <c r="A1136" s="2">
        <v>179</v>
      </c>
      <c r="B1136" s="3" t="s">
        <v>26</v>
      </c>
      <c r="C1136" s="3">
        <v>647</v>
      </c>
      <c r="D1136" s="3">
        <v>1</v>
      </c>
      <c r="E1136" s="3" t="s">
        <v>28</v>
      </c>
      <c r="F1136" s="3" t="s">
        <v>29</v>
      </c>
      <c r="G1136" s="3" t="str">
        <f>"2025-09-16 21:21:05.105"</f>
        <v>2025-09-16 21:21:05.105</v>
      </c>
      <c r="H1136" s="3" t="s">
        <v>21</v>
      </c>
      <c r="I1136" s="3">
        <v>13</v>
      </c>
      <c r="J1136" s="3" t="s">
        <v>33</v>
      </c>
    </row>
    <row r="1137" spans="1:10" x14ac:dyDescent="0.25">
      <c r="A1137" s="1">
        <v>180</v>
      </c>
      <c r="B1137" t="s">
        <v>34</v>
      </c>
      <c r="C1137">
        <v>33</v>
      </c>
      <c r="D1137">
        <v>1</v>
      </c>
      <c r="E1137" t="s">
        <v>35</v>
      </c>
      <c r="F1137" t="s">
        <v>36</v>
      </c>
      <c r="G1137" t="str">
        <f>"2025-09-16 09:12:50.305"</f>
        <v>2025-09-16 09:12:50.305</v>
      </c>
      <c r="H1137" t="s">
        <v>37</v>
      </c>
    </row>
    <row r="1138" spans="1:10" x14ac:dyDescent="0.25">
      <c r="A1138" s="1">
        <v>181</v>
      </c>
      <c r="B1138" t="s">
        <v>38</v>
      </c>
      <c r="C1138">
        <v>33</v>
      </c>
      <c r="D1138">
        <v>1</v>
      </c>
      <c r="E1138" t="s">
        <v>35</v>
      </c>
      <c r="F1138" t="s">
        <v>36</v>
      </c>
      <c r="G1138" t="str">
        <f>"2025-09-16 09:11:39.923"</f>
        <v>2025-09-16 09:11:39.923</v>
      </c>
      <c r="H1138" t="s">
        <v>37</v>
      </c>
      <c r="I1138">
        <v>11.62</v>
      </c>
      <c r="J1138" t="s">
        <v>39</v>
      </c>
    </row>
    <row r="1139" spans="1:10" x14ac:dyDescent="0.25">
      <c r="A1139" s="1">
        <v>182</v>
      </c>
      <c r="B1139" t="s">
        <v>19</v>
      </c>
      <c r="C1139">
        <v>700</v>
      </c>
      <c r="D1139">
        <v>0</v>
      </c>
      <c r="E1139" t="s">
        <v>20</v>
      </c>
      <c r="F1139" t="s">
        <v>20</v>
      </c>
      <c r="G1139" t="str">
        <f>"2025-09-15 21:50:32.641"</f>
        <v>2025-09-15 21:50:32.641</v>
      </c>
      <c r="H1139" t="s">
        <v>21</v>
      </c>
    </row>
    <row r="1140" spans="1:10" x14ac:dyDescent="0.25">
      <c r="A1140" s="1">
        <v>183</v>
      </c>
      <c r="B1140" t="s">
        <v>19</v>
      </c>
      <c r="C1140">
        <v>700</v>
      </c>
      <c r="D1140">
        <v>0</v>
      </c>
      <c r="E1140" t="s">
        <v>20</v>
      </c>
      <c r="F1140" t="s">
        <v>20</v>
      </c>
      <c r="G1140" t="str">
        <f>"2025-09-15 21:34:42.655"</f>
        <v>2025-09-15 21:34:42.655</v>
      </c>
      <c r="H1140" t="s">
        <v>21</v>
      </c>
      <c r="I1140">
        <v>0</v>
      </c>
      <c r="J1140" t="s">
        <v>22</v>
      </c>
    </row>
    <row r="1141" spans="1:10" x14ac:dyDescent="0.25">
      <c r="A1141" s="1">
        <v>184</v>
      </c>
      <c r="B1141" t="s">
        <v>38</v>
      </c>
      <c r="C1141">
        <v>630</v>
      </c>
      <c r="D1141">
        <v>5</v>
      </c>
      <c r="E1141" t="s">
        <v>40</v>
      </c>
      <c r="F1141" t="s">
        <v>41</v>
      </c>
      <c r="G1141" t="str">
        <f>"2025-09-15 21:19:59.401"</f>
        <v>2025-09-15 21:19:59.401</v>
      </c>
      <c r="H1141" t="s">
        <v>42</v>
      </c>
      <c r="I1141">
        <v>0</v>
      </c>
      <c r="J1141" t="s">
        <v>27</v>
      </c>
    </row>
    <row r="1142" spans="1:10" x14ac:dyDescent="0.25">
      <c r="A1142" s="1">
        <v>185</v>
      </c>
      <c r="B1142" t="s">
        <v>19</v>
      </c>
      <c r="C1142">
        <v>700</v>
      </c>
      <c r="D1142">
        <v>0</v>
      </c>
      <c r="E1142" t="s">
        <v>20</v>
      </c>
      <c r="F1142" t="s">
        <v>20</v>
      </c>
      <c r="G1142" t="str">
        <f>"2025-09-15 21:14:56.633"</f>
        <v>2025-09-15 21:14:56.633</v>
      </c>
      <c r="H1142" t="s">
        <v>21</v>
      </c>
      <c r="I1142">
        <v>0</v>
      </c>
      <c r="J1142" t="s">
        <v>22</v>
      </c>
    </row>
    <row r="1143" spans="1:10" x14ac:dyDescent="0.25">
      <c r="A1143" s="1">
        <v>186</v>
      </c>
      <c r="B1143" t="s">
        <v>19</v>
      </c>
      <c r="C1143">
        <v>700</v>
      </c>
      <c r="D1143">
        <v>0</v>
      </c>
      <c r="E1143" t="s">
        <v>20</v>
      </c>
      <c r="F1143" t="s">
        <v>20</v>
      </c>
      <c r="G1143" t="str">
        <f>"2025-09-15 21:02:15.631"</f>
        <v>2025-09-15 21:02:15.631</v>
      </c>
      <c r="H1143" t="s">
        <v>21</v>
      </c>
    </row>
    <row r="1144" spans="1:10" x14ac:dyDescent="0.25">
      <c r="A1144" s="1">
        <v>187</v>
      </c>
      <c r="B1144" t="s">
        <v>19</v>
      </c>
      <c r="C1144">
        <v>700</v>
      </c>
      <c r="D1144">
        <v>0</v>
      </c>
      <c r="E1144" t="s">
        <v>20</v>
      </c>
      <c r="F1144" t="s">
        <v>20</v>
      </c>
      <c r="G1144" t="str">
        <f>"2025-09-15 20:59:54.664"</f>
        <v>2025-09-15 20:59:54.664</v>
      </c>
      <c r="H1144" t="s">
        <v>21</v>
      </c>
      <c r="I1144">
        <v>0</v>
      </c>
      <c r="J1144" t="s">
        <v>22</v>
      </c>
    </row>
    <row r="1145" spans="1:10" x14ac:dyDescent="0.25">
      <c r="A1145" s="1">
        <v>188</v>
      </c>
      <c r="B1145" t="s">
        <v>23</v>
      </c>
      <c r="C1145">
        <v>98</v>
      </c>
      <c r="D1145">
        <v>1</v>
      </c>
      <c r="E1145" t="s">
        <v>49</v>
      </c>
      <c r="F1145" t="s">
        <v>50</v>
      </c>
      <c r="G1145" t="str">
        <f>"2025-09-15 20:10:36.606"</f>
        <v>2025-09-15 20:10:36.606</v>
      </c>
      <c r="H1145" t="s">
        <v>21</v>
      </c>
    </row>
    <row r="1146" spans="1:10" x14ac:dyDescent="0.25">
      <c r="A1146" s="1">
        <v>189</v>
      </c>
      <c r="B1146" t="s">
        <v>26</v>
      </c>
      <c r="C1146">
        <v>98</v>
      </c>
      <c r="D1146">
        <v>1</v>
      </c>
      <c r="E1146" t="s">
        <v>49</v>
      </c>
      <c r="F1146" t="s">
        <v>50</v>
      </c>
      <c r="G1146" t="str">
        <f>"2025-09-15 20:10:35.607"</f>
        <v>2025-09-15 20:10:35.607</v>
      </c>
      <c r="H1146" t="s">
        <v>21</v>
      </c>
      <c r="I1146">
        <v>0</v>
      </c>
      <c r="J1146" t="s">
        <v>30</v>
      </c>
    </row>
    <row r="1147" spans="1:10" x14ac:dyDescent="0.25">
      <c r="A1147" s="1">
        <v>190</v>
      </c>
      <c r="B1147" t="s">
        <v>19</v>
      </c>
      <c r="C1147">
        <v>700</v>
      </c>
      <c r="D1147">
        <v>0</v>
      </c>
      <c r="E1147" t="s">
        <v>20</v>
      </c>
      <c r="F1147" t="s">
        <v>20</v>
      </c>
      <c r="G1147" t="str">
        <f>"2025-09-15 05:14:26.636"</f>
        <v>2025-09-15 05:14:26.636</v>
      </c>
      <c r="H1147" t="s">
        <v>21</v>
      </c>
      <c r="I1147">
        <v>0</v>
      </c>
      <c r="J1147" t="s">
        <v>22</v>
      </c>
    </row>
    <row r="1148" spans="1:10" x14ac:dyDescent="0.25">
      <c r="A1148" s="1">
        <v>191</v>
      </c>
      <c r="B1148" t="s">
        <v>19</v>
      </c>
      <c r="C1148">
        <v>700</v>
      </c>
      <c r="D1148">
        <v>0</v>
      </c>
      <c r="E1148" t="s">
        <v>20</v>
      </c>
      <c r="F1148" t="s">
        <v>20</v>
      </c>
      <c r="G1148" t="str">
        <f>"2025-09-15 04:15:53.730"</f>
        <v>2025-09-15 04:15:53.730</v>
      </c>
      <c r="H1148" t="s">
        <v>21</v>
      </c>
      <c r="I1148">
        <v>0</v>
      </c>
      <c r="J1148" t="s">
        <v>22</v>
      </c>
    </row>
    <row r="1149" spans="1:10" x14ac:dyDescent="0.25">
      <c r="A1149" s="1">
        <v>192</v>
      </c>
      <c r="B1149" t="s">
        <v>19</v>
      </c>
      <c r="C1149">
        <v>706</v>
      </c>
      <c r="D1149">
        <v>2</v>
      </c>
      <c r="E1149" t="s">
        <v>31</v>
      </c>
      <c r="F1149" t="s">
        <v>43</v>
      </c>
      <c r="G1149" t="str">
        <f>"2025-09-14 22:30:54.437"</f>
        <v>2025-09-14 22:30:54.437</v>
      </c>
      <c r="H1149" t="s">
        <v>21</v>
      </c>
      <c r="I1149">
        <v>0</v>
      </c>
      <c r="J1149" t="s">
        <v>27</v>
      </c>
    </row>
    <row r="1150" spans="1:10" x14ac:dyDescent="0.25">
      <c r="A1150" s="1">
        <v>193</v>
      </c>
      <c r="B1150" t="s">
        <v>19</v>
      </c>
      <c r="C1150">
        <v>700</v>
      </c>
      <c r="D1150">
        <v>0</v>
      </c>
      <c r="E1150" t="s">
        <v>20</v>
      </c>
      <c r="F1150" t="s">
        <v>20</v>
      </c>
      <c r="G1150" t="str">
        <f>"2025-09-14 22:22:20.637"</f>
        <v>2025-09-14 22:22:20.637</v>
      </c>
      <c r="H1150" t="s">
        <v>21</v>
      </c>
      <c r="I1150">
        <v>0</v>
      </c>
      <c r="J1150" t="s">
        <v>22</v>
      </c>
    </row>
    <row r="1151" spans="1:10" x14ac:dyDescent="0.25">
      <c r="A1151" s="1">
        <v>194</v>
      </c>
      <c r="B1151" t="s">
        <v>19</v>
      </c>
      <c r="C1151">
        <v>700</v>
      </c>
      <c r="D1151">
        <v>0</v>
      </c>
      <c r="E1151" t="s">
        <v>20</v>
      </c>
      <c r="F1151" t="s">
        <v>20</v>
      </c>
      <c r="G1151" t="str">
        <f>"2025-09-14 21:49:14.772"</f>
        <v>2025-09-14 21:49:14.772</v>
      </c>
      <c r="H1151" t="s">
        <v>21</v>
      </c>
      <c r="I1151">
        <v>0</v>
      </c>
      <c r="J1151" t="s">
        <v>22</v>
      </c>
    </row>
    <row r="1152" spans="1:10" x14ac:dyDescent="0.25">
      <c r="A1152" s="1">
        <v>195</v>
      </c>
      <c r="B1152" t="s">
        <v>19</v>
      </c>
      <c r="C1152">
        <v>700</v>
      </c>
      <c r="D1152">
        <v>0</v>
      </c>
      <c r="E1152" t="s">
        <v>20</v>
      </c>
      <c r="F1152" t="s">
        <v>20</v>
      </c>
      <c r="G1152" t="str">
        <f>"2025-09-14 21:17:34.668"</f>
        <v>2025-09-14 21:17:34.668</v>
      </c>
      <c r="H1152" t="s">
        <v>21</v>
      </c>
      <c r="I1152">
        <v>0</v>
      </c>
      <c r="J1152" t="s">
        <v>22</v>
      </c>
    </row>
    <row r="1153" spans="1:10" x14ac:dyDescent="0.25">
      <c r="A1153" s="1">
        <v>196</v>
      </c>
      <c r="B1153" t="s">
        <v>23</v>
      </c>
      <c r="C1153">
        <v>98</v>
      </c>
      <c r="D1153">
        <v>1</v>
      </c>
      <c r="E1153" t="s">
        <v>49</v>
      </c>
      <c r="F1153" t="s">
        <v>50</v>
      </c>
      <c r="G1153" t="str">
        <f>"2025-09-14 19:51:15.730"</f>
        <v>2025-09-14 19:51:15.730</v>
      </c>
      <c r="H1153" t="s">
        <v>21</v>
      </c>
    </row>
    <row r="1154" spans="1:10" x14ac:dyDescent="0.25">
      <c r="A1154" s="1">
        <v>197</v>
      </c>
      <c r="B1154" t="s">
        <v>26</v>
      </c>
      <c r="C1154">
        <v>98</v>
      </c>
      <c r="D1154">
        <v>1</v>
      </c>
      <c r="E1154" t="s">
        <v>49</v>
      </c>
      <c r="F1154" t="s">
        <v>50</v>
      </c>
      <c r="G1154" t="str">
        <f>"2025-09-14 19:51:14.731"</f>
        <v>2025-09-14 19:51:14.731</v>
      </c>
      <c r="H1154" t="s">
        <v>21</v>
      </c>
      <c r="I1154">
        <v>0</v>
      </c>
      <c r="J1154" t="s">
        <v>30</v>
      </c>
    </row>
    <row r="1155" spans="1:10" x14ac:dyDescent="0.25">
      <c r="A1155" s="1">
        <v>198</v>
      </c>
      <c r="B1155" t="s">
        <v>19</v>
      </c>
      <c r="C1155">
        <v>700</v>
      </c>
      <c r="D1155">
        <v>0</v>
      </c>
      <c r="E1155" t="s">
        <v>20</v>
      </c>
      <c r="F1155" t="s">
        <v>20</v>
      </c>
      <c r="G1155" t="str">
        <f>"2025-09-14 08:44:58.669"</f>
        <v>2025-09-14 08:44:58.669</v>
      </c>
      <c r="H1155" t="s">
        <v>21</v>
      </c>
      <c r="I1155">
        <v>0</v>
      </c>
      <c r="J1155" t="s">
        <v>22</v>
      </c>
    </row>
    <row r="1156" spans="1:10" x14ac:dyDescent="0.25">
      <c r="A1156" s="1">
        <v>199</v>
      </c>
      <c r="B1156" t="s">
        <v>23</v>
      </c>
      <c r="C1156">
        <v>635</v>
      </c>
      <c r="D1156">
        <v>1</v>
      </c>
      <c r="E1156" t="s">
        <v>44</v>
      </c>
      <c r="F1156" t="s">
        <v>45</v>
      </c>
      <c r="G1156" t="str">
        <f>"2025-09-13 22:59:25.976"</f>
        <v>2025-09-13 22:59:25.976</v>
      </c>
      <c r="H1156" t="s">
        <v>21</v>
      </c>
    </row>
    <row r="1157" spans="1:10" x14ac:dyDescent="0.25">
      <c r="A1157" s="1">
        <v>200</v>
      </c>
      <c r="B1157" t="s">
        <v>26</v>
      </c>
      <c r="C1157">
        <v>635</v>
      </c>
      <c r="D1157">
        <v>1</v>
      </c>
      <c r="E1157" t="s">
        <v>44</v>
      </c>
      <c r="F1157" t="s">
        <v>45</v>
      </c>
      <c r="G1157" t="str">
        <f>"2025-09-13 22:45:58.976"</f>
        <v>2025-09-13 22:45:58.976</v>
      </c>
      <c r="H1157" t="s">
        <v>21</v>
      </c>
      <c r="I1157">
        <v>9.35</v>
      </c>
      <c r="J1157" t="s">
        <v>33</v>
      </c>
    </row>
    <row r="1158" spans="1:10" s="3" customFormat="1" x14ac:dyDescent="0.25">
      <c r="A1158" s="2">
        <v>201</v>
      </c>
      <c r="B1158" s="3" t="s">
        <v>23</v>
      </c>
      <c r="C1158" s="3">
        <v>647</v>
      </c>
      <c r="D1158" s="3">
        <v>1</v>
      </c>
      <c r="E1158" s="3" t="s">
        <v>28</v>
      </c>
      <c r="F1158" s="3" t="s">
        <v>29</v>
      </c>
      <c r="G1158" s="3" t="str">
        <f>"2025-09-13 06:43:47.576"</f>
        <v>2025-09-13 06:43:47.576</v>
      </c>
      <c r="H1158" s="3" t="s">
        <v>21</v>
      </c>
    </row>
    <row r="1159" spans="1:10" s="3" customFormat="1" x14ac:dyDescent="0.25">
      <c r="A1159" s="2">
        <v>202</v>
      </c>
      <c r="B1159" s="3" t="s">
        <v>26</v>
      </c>
      <c r="C1159" s="3">
        <v>647</v>
      </c>
      <c r="D1159" s="3">
        <v>1</v>
      </c>
      <c r="E1159" s="3" t="s">
        <v>28</v>
      </c>
      <c r="F1159" s="3" t="s">
        <v>29</v>
      </c>
      <c r="G1159" s="3" t="str">
        <f>"2025-09-13 06:43:44.277"</f>
        <v>2025-09-13 06:43:44.277</v>
      </c>
      <c r="H1159" s="3" t="s">
        <v>21</v>
      </c>
      <c r="I1159" s="3">
        <v>19.739999999999998</v>
      </c>
      <c r="J1159" s="3" t="s">
        <v>33</v>
      </c>
    </row>
    <row r="1160" spans="1:10" s="3" customFormat="1" x14ac:dyDescent="0.25">
      <c r="A1160" s="2">
        <v>203</v>
      </c>
      <c r="B1160" s="3" t="s">
        <v>23</v>
      </c>
      <c r="C1160" s="3">
        <v>647</v>
      </c>
      <c r="D1160" s="3">
        <v>1</v>
      </c>
      <c r="E1160" s="3" t="s">
        <v>28</v>
      </c>
      <c r="F1160" s="3" t="s">
        <v>29</v>
      </c>
      <c r="G1160" s="3" t="str">
        <f>"2025-09-13 03:20:07.076"</f>
        <v>2025-09-13 03:20:07.076</v>
      </c>
      <c r="H1160" s="3" t="s">
        <v>21</v>
      </c>
    </row>
    <row r="1161" spans="1:10" s="3" customFormat="1" x14ac:dyDescent="0.25">
      <c r="A1161" s="2">
        <v>204</v>
      </c>
      <c r="B1161" s="3" t="s">
        <v>26</v>
      </c>
      <c r="C1161" s="3">
        <v>647</v>
      </c>
      <c r="D1161" s="3">
        <v>1</v>
      </c>
      <c r="E1161" s="3" t="s">
        <v>28</v>
      </c>
      <c r="F1161" s="3" t="s">
        <v>29</v>
      </c>
      <c r="G1161" s="3" t="str">
        <f>"2025-09-13 03:20:03.977"</f>
        <v>2025-09-13 03:20:03.977</v>
      </c>
      <c r="H1161" s="3" t="s">
        <v>21</v>
      </c>
      <c r="I1161" s="3">
        <v>17.399999999999999</v>
      </c>
      <c r="J1161" s="3" t="s">
        <v>33</v>
      </c>
    </row>
    <row r="1162" spans="1:10" s="3" customFormat="1" x14ac:dyDescent="0.25">
      <c r="A1162" s="2">
        <v>205</v>
      </c>
      <c r="B1162" s="3" t="s">
        <v>23</v>
      </c>
      <c r="C1162" s="3">
        <v>647</v>
      </c>
      <c r="D1162" s="3">
        <v>1</v>
      </c>
      <c r="E1162" s="3" t="s">
        <v>28</v>
      </c>
      <c r="F1162" s="3" t="s">
        <v>29</v>
      </c>
      <c r="G1162" s="3" t="str">
        <f>"2025-09-12 20:47:40.277"</f>
        <v>2025-09-12 20:47:40.277</v>
      </c>
      <c r="H1162" s="3" t="s">
        <v>21</v>
      </c>
    </row>
    <row r="1163" spans="1:10" s="3" customFormat="1" x14ac:dyDescent="0.25">
      <c r="A1163" s="2">
        <v>206</v>
      </c>
      <c r="B1163" s="3" t="s">
        <v>26</v>
      </c>
      <c r="C1163" s="3">
        <v>647</v>
      </c>
      <c r="D1163" s="3">
        <v>1</v>
      </c>
      <c r="E1163" s="3" t="s">
        <v>28</v>
      </c>
      <c r="F1163" s="3" t="s">
        <v>29</v>
      </c>
      <c r="G1163" s="3" t="str">
        <f>"2025-09-12 20:47:38.076"</f>
        <v>2025-09-12 20:47:38.076</v>
      </c>
      <c r="H1163" s="3" t="s">
        <v>21</v>
      </c>
      <c r="I1163" s="3">
        <v>11.77</v>
      </c>
      <c r="J1163" s="3" t="s">
        <v>33</v>
      </c>
    </row>
    <row r="1164" spans="1:10" s="3" customFormat="1" x14ac:dyDescent="0.25">
      <c r="A1164" s="2">
        <v>207</v>
      </c>
      <c r="B1164" s="3" t="s">
        <v>23</v>
      </c>
      <c r="C1164" s="3">
        <v>647</v>
      </c>
      <c r="D1164" s="3">
        <v>1</v>
      </c>
      <c r="E1164" s="3" t="s">
        <v>28</v>
      </c>
      <c r="F1164" s="3" t="s">
        <v>29</v>
      </c>
      <c r="G1164" s="3" t="str">
        <f>"2025-09-12 20:46:56.976"</f>
        <v>2025-09-12 20:46:56.976</v>
      </c>
      <c r="H1164" s="3" t="s">
        <v>21</v>
      </c>
    </row>
    <row r="1165" spans="1:10" s="3" customFormat="1" x14ac:dyDescent="0.25">
      <c r="A1165" s="2">
        <v>208</v>
      </c>
      <c r="B1165" s="3" t="s">
        <v>26</v>
      </c>
      <c r="C1165" s="3">
        <v>647</v>
      </c>
      <c r="D1165" s="3">
        <v>1</v>
      </c>
      <c r="E1165" s="3" t="s">
        <v>28</v>
      </c>
      <c r="F1165" s="3" t="s">
        <v>29</v>
      </c>
      <c r="G1165" s="3" t="str">
        <f>"2025-09-12 20:46:46.677"</f>
        <v>2025-09-12 20:46:46.677</v>
      </c>
      <c r="H1165" s="3" t="s">
        <v>21</v>
      </c>
      <c r="I1165" s="3">
        <v>16.84</v>
      </c>
      <c r="J1165" s="3" t="s">
        <v>33</v>
      </c>
    </row>
    <row r="1166" spans="1:10" x14ac:dyDescent="0.25">
      <c r="A1166" s="1">
        <v>209</v>
      </c>
      <c r="B1166" t="s">
        <v>19</v>
      </c>
      <c r="C1166">
        <v>700</v>
      </c>
      <c r="D1166">
        <v>0</v>
      </c>
      <c r="E1166" t="s">
        <v>20</v>
      </c>
      <c r="F1166" t="s">
        <v>20</v>
      </c>
      <c r="G1166" t="str">
        <f>"2025-09-12 13:55:02.629"</f>
        <v>2025-09-12 13:55:02.629</v>
      </c>
      <c r="H1166" t="s">
        <v>21</v>
      </c>
    </row>
    <row r="1167" spans="1:10" x14ac:dyDescent="0.25">
      <c r="A1167" s="1">
        <v>210</v>
      </c>
      <c r="B1167" t="s">
        <v>19</v>
      </c>
      <c r="C1167">
        <v>700</v>
      </c>
      <c r="D1167">
        <v>0</v>
      </c>
      <c r="E1167" t="s">
        <v>20</v>
      </c>
      <c r="F1167" t="s">
        <v>20</v>
      </c>
      <c r="G1167" t="str">
        <f>"2025-09-12 13:20:53.712"</f>
        <v>2025-09-12 13:20:53.712</v>
      </c>
      <c r="H1167" t="s">
        <v>21</v>
      </c>
      <c r="I1167">
        <v>0</v>
      </c>
      <c r="J1167" t="s">
        <v>22</v>
      </c>
    </row>
    <row r="1168" spans="1:10" x14ac:dyDescent="0.25">
      <c r="A1168" s="1">
        <v>211</v>
      </c>
      <c r="B1168" t="s">
        <v>19</v>
      </c>
      <c r="C1168">
        <v>700</v>
      </c>
      <c r="D1168">
        <v>0</v>
      </c>
      <c r="E1168" t="s">
        <v>20</v>
      </c>
      <c r="F1168" t="s">
        <v>20</v>
      </c>
      <c r="G1168" t="str">
        <f>"2025-09-12 13:18:04.627"</f>
        <v>2025-09-12 13:18:04.627</v>
      </c>
      <c r="H1168" t="s">
        <v>21</v>
      </c>
    </row>
    <row r="1169" spans="1:10" x14ac:dyDescent="0.25">
      <c r="A1169" s="1">
        <v>212</v>
      </c>
      <c r="B1169" t="s">
        <v>19</v>
      </c>
      <c r="C1169">
        <v>700</v>
      </c>
      <c r="D1169">
        <v>0</v>
      </c>
      <c r="E1169" t="s">
        <v>20</v>
      </c>
      <c r="F1169" t="s">
        <v>20</v>
      </c>
      <c r="G1169" t="str">
        <f>"2025-09-12 10:09:26.637"</f>
        <v>2025-09-12 10:09:26.637</v>
      </c>
      <c r="H1169" t="s">
        <v>21</v>
      </c>
      <c r="I1169">
        <v>0</v>
      </c>
      <c r="J1169" t="s">
        <v>22</v>
      </c>
    </row>
    <row r="1170" spans="1:10" x14ac:dyDescent="0.25">
      <c r="A1170" s="1">
        <v>213</v>
      </c>
      <c r="B1170" t="s">
        <v>19</v>
      </c>
      <c r="C1170">
        <v>700</v>
      </c>
      <c r="D1170">
        <v>0</v>
      </c>
      <c r="E1170" t="s">
        <v>20</v>
      </c>
      <c r="F1170" t="s">
        <v>20</v>
      </c>
      <c r="G1170" t="str">
        <f>"2025-09-12 07:54:16.649"</f>
        <v>2025-09-12 07:54:16.649</v>
      </c>
      <c r="H1170" t="s">
        <v>21</v>
      </c>
    </row>
    <row r="1171" spans="1:10" s="3" customFormat="1" x14ac:dyDescent="0.25">
      <c r="A1171" s="2">
        <v>214</v>
      </c>
      <c r="B1171" s="3" t="s">
        <v>23</v>
      </c>
      <c r="C1171" s="3">
        <v>647</v>
      </c>
      <c r="D1171" s="3">
        <v>1</v>
      </c>
      <c r="E1171" s="3" t="s">
        <v>28</v>
      </c>
      <c r="F1171" s="3" t="s">
        <v>29</v>
      </c>
      <c r="G1171" s="3" t="str">
        <f>"2025-09-12 05:21:16.357"</f>
        <v>2025-09-12 05:21:16.357</v>
      </c>
      <c r="H1171" s="3" t="s">
        <v>21</v>
      </c>
    </row>
    <row r="1172" spans="1:10" s="3" customFormat="1" x14ac:dyDescent="0.25">
      <c r="A1172" s="2">
        <v>215</v>
      </c>
      <c r="B1172" s="3" t="s">
        <v>26</v>
      </c>
      <c r="C1172" s="3">
        <v>647</v>
      </c>
      <c r="D1172" s="3">
        <v>1</v>
      </c>
      <c r="E1172" s="3" t="s">
        <v>28</v>
      </c>
      <c r="F1172" s="3" t="s">
        <v>29</v>
      </c>
      <c r="G1172" s="3" t="str">
        <f>"2025-09-12 05:21:11.157"</f>
        <v>2025-09-12 05:21:11.157</v>
      </c>
      <c r="H1172" s="3" t="s">
        <v>21</v>
      </c>
      <c r="I1172" s="3">
        <v>9.0399999999999991</v>
      </c>
      <c r="J1172" s="3" t="s">
        <v>33</v>
      </c>
    </row>
    <row r="1173" spans="1:10" s="3" customFormat="1" x14ac:dyDescent="0.25">
      <c r="A1173" s="2">
        <v>216</v>
      </c>
      <c r="B1173" s="3" t="s">
        <v>23</v>
      </c>
      <c r="C1173" s="3">
        <v>647</v>
      </c>
      <c r="D1173" s="3">
        <v>1</v>
      </c>
      <c r="E1173" s="3" t="s">
        <v>28</v>
      </c>
      <c r="F1173" s="3" t="s">
        <v>29</v>
      </c>
      <c r="G1173" s="3" t="str">
        <f>"2025-09-12 04:55:24.157"</f>
        <v>2025-09-12 04:55:24.157</v>
      </c>
      <c r="H1173" s="3" t="s">
        <v>21</v>
      </c>
    </row>
    <row r="1174" spans="1:10" s="3" customFormat="1" x14ac:dyDescent="0.25">
      <c r="A1174" s="2">
        <v>217</v>
      </c>
      <c r="B1174" s="3" t="s">
        <v>26</v>
      </c>
      <c r="C1174" s="3">
        <v>647</v>
      </c>
      <c r="D1174" s="3">
        <v>1</v>
      </c>
      <c r="E1174" s="3" t="s">
        <v>28</v>
      </c>
      <c r="F1174" s="3" t="s">
        <v>29</v>
      </c>
      <c r="G1174" s="3" t="str">
        <f>"2025-09-12 04:55:19.857"</f>
        <v>2025-09-12 04:55:19.857</v>
      </c>
      <c r="H1174" s="3" t="s">
        <v>21</v>
      </c>
      <c r="I1174" s="3">
        <v>10.68</v>
      </c>
      <c r="J1174" s="3" t="s">
        <v>33</v>
      </c>
    </row>
    <row r="1175" spans="1:10" s="3" customFormat="1" x14ac:dyDescent="0.25">
      <c r="A1175" s="2">
        <v>218</v>
      </c>
      <c r="B1175" s="3" t="s">
        <v>23</v>
      </c>
      <c r="C1175" s="3">
        <v>647</v>
      </c>
      <c r="D1175" s="3">
        <v>1</v>
      </c>
      <c r="E1175" s="3" t="s">
        <v>28</v>
      </c>
      <c r="F1175" s="3" t="s">
        <v>29</v>
      </c>
      <c r="G1175" s="3" t="str">
        <f>"2025-09-12 03:49:57.857"</f>
        <v>2025-09-12 03:49:57.857</v>
      </c>
      <c r="H1175" s="3" t="s">
        <v>21</v>
      </c>
    </row>
    <row r="1176" spans="1:10" s="3" customFormat="1" x14ac:dyDescent="0.25">
      <c r="A1176" s="2">
        <v>219</v>
      </c>
      <c r="B1176" s="3" t="s">
        <v>26</v>
      </c>
      <c r="C1176" s="3">
        <v>647</v>
      </c>
      <c r="D1176" s="3">
        <v>1</v>
      </c>
      <c r="E1176" s="3" t="s">
        <v>28</v>
      </c>
      <c r="F1176" s="3" t="s">
        <v>29</v>
      </c>
      <c r="G1176" s="3" t="str">
        <f>"2025-09-12 03:49:52.757"</f>
        <v>2025-09-12 03:49:52.757</v>
      </c>
      <c r="H1176" s="3" t="s">
        <v>21</v>
      </c>
      <c r="I1176" s="3">
        <v>16.09</v>
      </c>
      <c r="J1176" s="3" t="s">
        <v>33</v>
      </c>
    </row>
    <row r="1177" spans="1:10" s="3" customFormat="1" x14ac:dyDescent="0.25">
      <c r="A1177" s="2">
        <v>220</v>
      </c>
      <c r="B1177" s="3" t="s">
        <v>23</v>
      </c>
      <c r="C1177" s="3">
        <v>647</v>
      </c>
      <c r="D1177" s="3">
        <v>1</v>
      </c>
      <c r="E1177" s="3" t="s">
        <v>28</v>
      </c>
      <c r="F1177" s="3" t="s">
        <v>29</v>
      </c>
      <c r="G1177" s="3" t="str">
        <f>"2025-09-11 23:53:56.157"</f>
        <v>2025-09-11 23:53:56.157</v>
      </c>
      <c r="H1177" s="3" t="s">
        <v>21</v>
      </c>
    </row>
    <row r="1178" spans="1:10" s="3" customFormat="1" x14ac:dyDescent="0.25">
      <c r="A1178" s="2">
        <v>221</v>
      </c>
      <c r="B1178" s="3" t="s">
        <v>26</v>
      </c>
      <c r="C1178" s="3">
        <v>647</v>
      </c>
      <c r="D1178" s="3">
        <v>1</v>
      </c>
      <c r="E1178" s="3" t="s">
        <v>28</v>
      </c>
      <c r="F1178" s="3" t="s">
        <v>29</v>
      </c>
      <c r="G1178" s="3" t="str">
        <f>"2025-09-11 23:53:50.858"</f>
        <v>2025-09-11 23:53:50.858</v>
      </c>
      <c r="H1178" s="3" t="s">
        <v>21</v>
      </c>
      <c r="I1178" s="3">
        <v>13.29</v>
      </c>
      <c r="J1178" s="3" t="s">
        <v>33</v>
      </c>
    </row>
    <row r="1179" spans="1:10" x14ac:dyDescent="0.25">
      <c r="A1179" s="1">
        <v>222</v>
      </c>
      <c r="B1179" t="s">
        <v>19</v>
      </c>
      <c r="C1179">
        <v>700</v>
      </c>
      <c r="D1179">
        <v>0</v>
      </c>
      <c r="E1179" t="s">
        <v>20</v>
      </c>
      <c r="F1179" t="s">
        <v>20</v>
      </c>
      <c r="G1179" t="str">
        <f>"2025-09-11 13:40:48.789"</f>
        <v>2025-09-11 13:40:48.789</v>
      </c>
      <c r="H1179" t="s">
        <v>21</v>
      </c>
      <c r="I1179">
        <v>0</v>
      </c>
      <c r="J1179" t="s">
        <v>22</v>
      </c>
    </row>
    <row r="1180" spans="1:10" s="3" customFormat="1" x14ac:dyDescent="0.25">
      <c r="A1180" s="2">
        <v>223</v>
      </c>
      <c r="B1180" s="3" t="s">
        <v>23</v>
      </c>
      <c r="C1180" s="3">
        <v>647</v>
      </c>
      <c r="D1180" s="3">
        <v>1</v>
      </c>
      <c r="E1180" s="3" t="s">
        <v>28</v>
      </c>
      <c r="F1180" s="3" t="s">
        <v>29</v>
      </c>
      <c r="G1180" s="3" t="str">
        <f>"2025-09-10 22:10:29.697"</f>
        <v>2025-09-10 22:10:29.697</v>
      </c>
      <c r="H1180" s="3" t="s">
        <v>21</v>
      </c>
    </row>
    <row r="1181" spans="1:10" s="3" customFormat="1" x14ac:dyDescent="0.25">
      <c r="A1181" s="2">
        <v>224</v>
      </c>
      <c r="B1181" s="3" t="s">
        <v>26</v>
      </c>
      <c r="C1181" s="3">
        <v>647</v>
      </c>
      <c r="D1181" s="3">
        <v>1</v>
      </c>
      <c r="E1181" s="3" t="s">
        <v>28</v>
      </c>
      <c r="F1181" s="3" t="s">
        <v>29</v>
      </c>
      <c r="G1181" s="3" t="str">
        <f>"2025-09-10 22:10:27.597"</f>
        <v>2025-09-10 22:10:27.597</v>
      </c>
      <c r="H1181" s="3" t="s">
        <v>21</v>
      </c>
      <c r="I1181" s="3">
        <v>15.03</v>
      </c>
      <c r="J1181" s="3" t="s">
        <v>33</v>
      </c>
    </row>
    <row r="1182" spans="1:10" s="3" customFormat="1" x14ac:dyDescent="0.25">
      <c r="A1182" s="2">
        <v>225</v>
      </c>
      <c r="B1182" s="3" t="s">
        <v>23</v>
      </c>
      <c r="C1182" s="3">
        <v>647</v>
      </c>
      <c r="D1182" s="3">
        <v>1</v>
      </c>
      <c r="E1182" s="3" t="s">
        <v>28</v>
      </c>
      <c r="F1182" s="3" t="s">
        <v>29</v>
      </c>
      <c r="G1182" s="3" t="str">
        <f>"2025-09-10 20:39:36.197"</f>
        <v>2025-09-10 20:39:36.197</v>
      </c>
      <c r="H1182" s="3" t="s">
        <v>21</v>
      </c>
    </row>
    <row r="1183" spans="1:10" s="3" customFormat="1" x14ac:dyDescent="0.25">
      <c r="A1183" s="2">
        <v>226</v>
      </c>
      <c r="B1183" s="3" t="s">
        <v>26</v>
      </c>
      <c r="C1183" s="3">
        <v>647</v>
      </c>
      <c r="D1183" s="3">
        <v>1</v>
      </c>
      <c r="E1183" s="3" t="s">
        <v>28</v>
      </c>
      <c r="F1183" s="3" t="s">
        <v>29</v>
      </c>
      <c r="G1183" s="3" t="str">
        <f>"2025-09-10 20:39:35.098"</f>
        <v>2025-09-10 20:39:35.098</v>
      </c>
      <c r="H1183" s="3" t="s">
        <v>21</v>
      </c>
      <c r="I1183" s="3">
        <v>13.14</v>
      </c>
      <c r="J1183" s="3" t="s">
        <v>33</v>
      </c>
    </row>
    <row r="1184" spans="1:10" x14ac:dyDescent="0.25">
      <c r="A1184" s="1">
        <v>227</v>
      </c>
      <c r="B1184" t="s">
        <v>19</v>
      </c>
      <c r="C1184">
        <v>700</v>
      </c>
      <c r="D1184">
        <v>0</v>
      </c>
      <c r="E1184" t="s">
        <v>20</v>
      </c>
      <c r="F1184" t="s">
        <v>20</v>
      </c>
      <c r="G1184" t="str">
        <f>"2025-09-10 11:09:05.629"</f>
        <v>2025-09-10 11:09:05.629</v>
      </c>
      <c r="H1184" t="s">
        <v>21</v>
      </c>
      <c r="I1184">
        <v>0</v>
      </c>
      <c r="J1184" t="s">
        <v>22</v>
      </c>
    </row>
    <row r="1185" spans="1:10" x14ac:dyDescent="0.25">
      <c r="A1185" s="1">
        <v>228</v>
      </c>
      <c r="B1185" t="s">
        <v>23</v>
      </c>
      <c r="C1185">
        <v>98</v>
      </c>
      <c r="D1185">
        <v>1</v>
      </c>
      <c r="E1185" t="s">
        <v>49</v>
      </c>
      <c r="F1185" t="s">
        <v>50</v>
      </c>
      <c r="G1185" t="str">
        <f>"2025-09-10 08:51:45.523"</f>
        <v>2025-09-10 08:51:45.523</v>
      </c>
      <c r="H1185" t="s">
        <v>21</v>
      </c>
    </row>
    <row r="1186" spans="1:10" x14ac:dyDescent="0.25">
      <c r="A1186" s="1">
        <v>229</v>
      </c>
      <c r="B1186" t="s">
        <v>26</v>
      </c>
      <c r="C1186">
        <v>98</v>
      </c>
      <c r="D1186">
        <v>1</v>
      </c>
      <c r="E1186" t="s">
        <v>49</v>
      </c>
      <c r="F1186" t="s">
        <v>50</v>
      </c>
      <c r="G1186" t="str">
        <f>"2025-09-10 08:51:43.924"</f>
        <v>2025-09-10 08:51:43.924</v>
      </c>
      <c r="H1186" t="s">
        <v>21</v>
      </c>
      <c r="I1186">
        <v>8.85</v>
      </c>
      <c r="J1186" t="s">
        <v>39</v>
      </c>
    </row>
    <row r="1187" spans="1:10" x14ac:dyDescent="0.25">
      <c r="A1187" s="1">
        <v>230</v>
      </c>
      <c r="B1187" t="s">
        <v>23</v>
      </c>
      <c r="C1187">
        <v>98</v>
      </c>
      <c r="D1187">
        <v>1</v>
      </c>
      <c r="E1187" t="s">
        <v>49</v>
      </c>
      <c r="F1187" t="s">
        <v>50</v>
      </c>
      <c r="G1187" t="str">
        <f>"2025-09-10 08:51:42.924"</f>
        <v>2025-09-10 08:51:42.924</v>
      </c>
      <c r="H1187" t="s">
        <v>21</v>
      </c>
    </row>
    <row r="1188" spans="1:10" x14ac:dyDescent="0.25">
      <c r="A1188" s="1">
        <v>231</v>
      </c>
      <c r="B1188" t="s">
        <v>26</v>
      </c>
      <c r="C1188">
        <v>98</v>
      </c>
      <c r="D1188">
        <v>1</v>
      </c>
      <c r="E1188" t="s">
        <v>49</v>
      </c>
      <c r="F1188" t="s">
        <v>50</v>
      </c>
      <c r="G1188" t="str">
        <f>"2025-09-10 08:51:41.724"</f>
        <v>2025-09-10 08:51:41.724</v>
      </c>
      <c r="H1188" t="s">
        <v>21</v>
      </c>
      <c r="I1188">
        <v>8.44</v>
      </c>
      <c r="J1188" t="s">
        <v>39</v>
      </c>
    </row>
    <row r="1189" spans="1:10" x14ac:dyDescent="0.25">
      <c r="A1189" s="1">
        <v>232</v>
      </c>
      <c r="B1189" t="s">
        <v>19</v>
      </c>
      <c r="C1189">
        <v>700</v>
      </c>
      <c r="D1189">
        <v>0</v>
      </c>
      <c r="E1189" t="s">
        <v>20</v>
      </c>
      <c r="F1189" t="s">
        <v>20</v>
      </c>
      <c r="G1189" t="str">
        <f>"2025-09-09 09:50:08.643"</f>
        <v>2025-09-09 09:50:08.643</v>
      </c>
      <c r="H1189" t="s">
        <v>21</v>
      </c>
    </row>
    <row r="1190" spans="1:10" x14ac:dyDescent="0.25">
      <c r="A1190" s="1">
        <v>233</v>
      </c>
      <c r="B1190" t="s">
        <v>19</v>
      </c>
      <c r="C1190">
        <v>700</v>
      </c>
      <c r="D1190">
        <v>0</v>
      </c>
      <c r="E1190" t="s">
        <v>20</v>
      </c>
      <c r="F1190" t="s">
        <v>20</v>
      </c>
      <c r="G1190" t="str">
        <f>"2025-09-08 12:29:39.601"</f>
        <v>2025-09-08 12:29:39.601</v>
      </c>
      <c r="H1190" t="s">
        <v>21</v>
      </c>
    </row>
    <row r="1191" spans="1:10" x14ac:dyDescent="0.25">
      <c r="A1191" s="1">
        <v>234</v>
      </c>
      <c r="B1191" t="s">
        <v>19</v>
      </c>
      <c r="C1191">
        <v>700</v>
      </c>
      <c r="D1191">
        <v>0</v>
      </c>
      <c r="E1191" t="s">
        <v>20</v>
      </c>
      <c r="F1191" t="s">
        <v>20</v>
      </c>
      <c r="G1191" t="str">
        <f>"2025-09-08 10:23:04.746"</f>
        <v>2025-09-08 10:23:04.746</v>
      </c>
      <c r="H1191" t="s">
        <v>21</v>
      </c>
    </row>
    <row r="1192" spans="1:10" s="3" customFormat="1" x14ac:dyDescent="0.25">
      <c r="A1192" s="2">
        <v>235</v>
      </c>
      <c r="B1192" s="3" t="s">
        <v>23</v>
      </c>
      <c r="C1192" s="3">
        <v>647</v>
      </c>
      <c r="D1192" s="3">
        <v>1</v>
      </c>
      <c r="E1192" s="3" t="s">
        <v>28</v>
      </c>
      <c r="F1192" s="3" t="s">
        <v>29</v>
      </c>
      <c r="G1192" s="3" t="str">
        <f>"2025-09-08 06:21:13.100"</f>
        <v>2025-09-08 06:21:13.100</v>
      </c>
      <c r="H1192" s="3" t="s">
        <v>21</v>
      </c>
    </row>
    <row r="1193" spans="1:10" s="3" customFormat="1" x14ac:dyDescent="0.25">
      <c r="A1193" s="2">
        <v>236</v>
      </c>
      <c r="B1193" s="3" t="s">
        <v>26</v>
      </c>
      <c r="C1193" s="3">
        <v>647</v>
      </c>
      <c r="D1193" s="3">
        <v>1</v>
      </c>
      <c r="E1193" s="3" t="s">
        <v>28</v>
      </c>
      <c r="F1193" s="3" t="s">
        <v>29</v>
      </c>
      <c r="G1193" s="3" t="str">
        <f>"2025-09-08 06:21:12.000"</f>
        <v>2025-09-08 06:21:12.000</v>
      </c>
      <c r="H1193" s="3" t="s">
        <v>21</v>
      </c>
      <c r="I1193" s="3">
        <v>14.09</v>
      </c>
      <c r="J1193" s="3" t="s">
        <v>33</v>
      </c>
    </row>
    <row r="1194" spans="1:10" s="3" customFormat="1" x14ac:dyDescent="0.25">
      <c r="A1194" s="2">
        <v>237</v>
      </c>
      <c r="B1194" s="3" t="s">
        <v>23</v>
      </c>
      <c r="C1194" s="3">
        <v>647</v>
      </c>
      <c r="D1194" s="3">
        <v>1</v>
      </c>
      <c r="E1194" s="3" t="s">
        <v>28</v>
      </c>
      <c r="F1194" s="3" t="s">
        <v>29</v>
      </c>
      <c r="G1194" s="3" t="str">
        <f>"2025-09-08 04:27:14.100"</f>
        <v>2025-09-08 04:27:14.100</v>
      </c>
      <c r="H1194" s="3" t="s">
        <v>21</v>
      </c>
    </row>
    <row r="1195" spans="1:10" s="3" customFormat="1" x14ac:dyDescent="0.25">
      <c r="A1195" s="2">
        <v>238</v>
      </c>
      <c r="B1195" s="3" t="s">
        <v>26</v>
      </c>
      <c r="C1195" s="3">
        <v>647</v>
      </c>
      <c r="D1195" s="3">
        <v>1</v>
      </c>
      <c r="E1195" s="3" t="s">
        <v>28</v>
      </c>
      <c r="F1195" s="3" t="s">
        <v>29</v>
      </c>
      <c r="G1195" s="3" t="str">
        <f>"2025-09-08 04:27:10.600"</f>
        <v>2025-09-08 04:27:10.600</v>
      </c>
      <c r="H1195" s="3" t="s">
        <v>21</v>
      </c>
      <c r="I1195" s="3">
        <v>21.81</v>
      </c>
      <c r="J1195" s="3" t="s">
        <v>33</v>
      </c>
    </row>
    <row r="1196" spans="1:10" x14ac:dyDescent="0.25">
      <c r="A1196" s="1">
        <v>239</v>
      </c>
      <c r="B1196" t="s">
        <v>23</v>
      </c>
      <c r="C1196">
        <v>61</v>
      </c>
      <c r="D1196">
        <v>2</v>
      </c>
      <c r="E1196" t="s">
        <v>51</v>
      </c>
      <c r="F1196" t="s">
        <v>52</v>
      </c>
      <c r="G1196" t="str">
        <f>"2025-09-08 03:10:05.800"</f>
        <v>2025-09-08 03:10:05.800</v>
      </c>
      <c r="H1196" t="s">
        <v>21</v>
      </c>
    </row>
    <row r="1197" spans="1:10" x14ac:dyDescent="0.25">
      <c r="A1197" s="1">
        <v>240</v>
      </c>
      <c r="B1197" t="s">
        <v>38</v>
      </c>
      <c r="C1197">
        <v>61</v>
      </c>
      <c r="D1197">
        <v>2</v>
      </c>
      <c r="E1197" t="s">
        <v>51</v>
      </c>
      <c r="F1197" t="s">
        <v>52</v>
      </c>
      <c r="G1197" t="str">
        <f>"2025-09-08 03:09:54.800"</f>
        <v>2025-09-08 03:09:54.800</v>
      </c>
      <c r="H1197" t="s">
        <v>21</v>
      </c>
      <c r="I1197">
        <v>37.32</v>
      </c>
      <c r="J1197" t="s">
        <v>33</v>
      </c>
    </row>
    <row r="1198" spans="1:10" s="3" customFormat="1" x14ac:dyDescent="0.25">
      <c r="A1198" s="2">
        <v>241</v>
      </c>
      <c r="B1198" s="3" t="s">
        <v>23</v>
      </c>
      <c r="C1198" s="3">
        <v>647</v>
      </c>
      <c r="D1198" s="3">
        <v>1</v>
      </c>
      <c r="E1198" s="3" t="s">
        <v>28</v>
      </c>
      <c r="F1198" s="3" t="s">
        <v>29</v>
      </c>
      <c r="G1198" s="3" t="str">
        <f>"2025-09-07 22:06:03.000"</f>
        <v>2025-09-07 22:06:03.000</v>
      </c>
      <c r="H1198" s="3" t="s">
        <v>21</v>
      </c>
    </row>
    <row r="1199" spans="1:10" s="3" customFormat="1" x14ac:dyDescent="0.25">
      <c r="A1199" s="2">
        <v>242</v>
      </c>
      <c r="B1199" s="3" t="s">
        <v>26</v>
      </c>
      <c r="C1199" s="3">
        <v>647</v>
      </c>
      <c r="D1199" s="3">
        <v>1</v>
      </c>
      <c r="E1199" s="3" t="s">
        <v>28</v>
      </c>
      <c r="F1199" s="3" t="s">
        <v>29</v>
      </c>
      <c r="G1199" s="3" t="str">
        <f>"2025-09-07 22:05:52.300"</f>
        <v>2025-09-07 22:05:52.300</v>
      </c>
      <c r="H1199" s="3" t="s">
        <v>21</v>
      </c>
      <c r="I1199" s="3">
        <v>9.14</v>
      </c>
      <c r="J1199" s="3" t="s">
        <v>33</v>
      </c>
    </row>
    <row r="1200" spans="1:10" s="3" customFormat="1" x14ac:dyDescent="0.25">
      <c r="A1200" s="2">
        <v>243</v>
      </c>
      <c r="B1200" s="3" t="s">
        <v>23</v>
      </c>
      <c r="C1200" s="3">
        <v>647</v>
      </c>
      <c r="D1200" s="3">
        <v>1</v>
      </c>
      <c r="E1200" s="3" t="s">
        <v>28</v>
      </c>
      <c r="F1200" s="3" t="s">
        <v>29</v>
      </c>
      <c r="G1200" s="3" t="str">
        <f>"2025-09-07 21:32:54.900"</f>
        <v>2025-09-07 21:32:54.900</v>
      </c>
      <c r="H1200" s="3" t="s">
        <v>21</v>
      </c>
    </row>
    <row r="1201" spans="1:10" s="3" customFormat="1" x14ac:dyDescent="0.25">
      <c r="A1201" s="2">
        <v>244</v>
      </c>
      <c r="B1201" s="3" t="s">
        <v>26</v>
      </c>
      <c r="C1201" s="3">
        <v>647</v>
      </c>
      <c r="D1201" s="3">
        <v>1</v>
      </c>
      <c r="E1201" s="3" t="s">
        <v>28</v>
      </c>
      <c r="F1201" s="3" t="s">
        <v>29</v>
      </c>
      <c r="G1201" s="3" t="str">
        <f>"2025-09-07 21:32:53.600"</f>
        <v>2025-09-07 21:32:53.600</v>
      </c>
      <c r="H1201" s="3" t="s">
        <v>21</v>
      </c>
      <c r="I1201" s="3">
        <v>17.05</v>
      </c>
      <c r="J1201" s="3" t="s">
        <v>33</v>
      </c>
    </row>
    <row r="1202" spans="1:10" x14ac:dyDescent="0.25">
      <c r="A1202" s="1">
        <v>245</v>
      </c>
      <c r="B1202" t="s">
        <v>19</v>
      </c>
      <c r="C1202">
        <v>700</v>
      </c>
      <c r="D1202">
        <v>0</v>
      </c>
      <c r="E1202" t="s">
        <v>20</v>
      </c>
      <c r="F1202" t="s">
        <v>20</v>
      </c>
      <c r="G1202" t="str">
        <f>"2025-09-07 19:58:53.619"</f>
        <v>2025-09-07 19:58:53.619</v>
      </c>
      <c r="H1202" t="s">
        <v>21</v>
      </c>
    </row>
    <row r="1203" spans="1:10" x14ac:dyDescent="0.25">
      <c r="A1203" s="1">
        <v>246</v>
      </c>
      <c r="B1203" t="s">
        <v>19</v>
      </c>
      <c r="C1203">
        <v>700</v>
      </c>
      <c r="D1203">
        <v>0</v>
      </c>
      <c r="E1203" t="s">
        <v>20</v>
      </c>
      <c r="F1203" t="s">
        <v>20</v>
      </c>
      <c r="G1203" t="str">
        <f>"2025-09-07 09:03:52.604"</f>
        <v>2025-09-07 09:03:52.604</v>
      </c>
      <c r="H1203" t="s">
        <v>21</v>
      </c>
      <c r="I1203">
        <v>0</v>
      </c>
      <c r="J1203" t="s">
        <v>22</v>
      </c>
    </row>
    <row r="1204" spans="1:10" x14ac:dyDescent="0.25">
      <c r="A1204" s="1">
        <v>247</v>
      </c>
      <c r="B1204" t="s">
        <v>19</v>
      </c>
      <c r="C1204">
        <v>700</v>
      </c>
      <c r="D1204">
        <v>0</v>
      </c>
      <c r="E1204" t="s">
        <v>20</v>
      </c>
      <c r="F1204" t="s">
        <v>20</v>
      </c>
      <c r="G1204" t="str">
        <f>"2025-09-07 07:21:51.629"</f>
        <v>2025-09-07 07:21:51.629</v>
      </c>
      <c r="H1204" t="s">
        <v>21</v>
      </c>
      <c r="I1204">
        <v>0</v>
      </c>
      <c r="J1204" t="s">
        <v>22</v>
      </c>
    </row>
    <row r="1205" spans="1:10" x14ac:dyDescent="0.25">
      <c r="A1205" s="1">
        <v>248</v>
      </c>
      <c r="B1205" t="s">
        <v>19</v>
      </c>
      <c r="C1205">
        <v>700</v>
      </c>
      <c r="D1205">
        <v>0</v>
      </c>
      <c r="E1205" t="s">
        <v>20</v>
      </c>
      <c r="F1205" t="s">
        <v>20</v>
      </c>
      <c r="G1205" t="str">
        <f>"2025-09-06 20:57:00.612"</f>
        <v>2025-09-06 20:57:00.612</v>
      </c>
      <c r="H1205" t="s">
        <v>21</v>
      </c>
      <c r="I1205">
        <v>0</v>
      </c>
      <c r="J1205" t="s">
        <v>22</v>
      </c>
    </row>
    <row r="1206" spans="1:10" x14ac:dyDescent="0.25">
      <c r="A1206" s="1">
        <v>249</v>
      </c>
      <c r="B1206" t="s">
        <v>19</v>
      </c>
      <c r="C1206">
        <v>700</v>
      </c>
      <c r="D1206">
        <v>0</v>
      </c>
      <c r="E1206" t="s">
        <v>20</v>
      </c>
      <c r="F1206" t="s">
        <v>20</v>
      </c>
      <c r="G1206" t="str">
        <f>"2025-09-06 11:48:51.622"</f>
        <v>2025-09-06 11:48:51.622</v>
      </c>
      <c r="H1206" t="s">
        <v>21</v>
      </c>
      <c r="I1206">
        <v>0</v>
      </c>
      <c r="J1206" t="s">
        <v>22</v>
      </c>
    </row>
    <row r="1207" spans="1:10" x14ac:dyDescent="0.25">
      <c r="A1207" s="1">
        <v>250</v>
      </c>
      <c r="B1207" t="s">
        <v>19</v>
      </c>
      <c r="C1207">
        <v>700</v>
      </c>
      <c r="D1207">
        <v>0</v>
      </c>
      <c r="E1207" t="s">
        <v>20</v>
      </c>
      <c r="F1207" t="s">
        <v>20</v>
      </c>
      <c r="G1207" t="str">
        <f>"2025-09-06 08:08:15.636"</f>
        <v>2025-09-06 08:08:15.636</v>
      </c>
      <c r="H1207" t="s">
        <v>21</v>
      </c>
      <c r="I1207">
        <v>0</v>
      </c>
      <c r="J1207" t="s">
        <v>22</v>
      </c>
    </row>
    <row r="1208" spans="1:10" x14ac:dyDescent="0.25">
      <c r="A1208" s="1">
        <v>251</v>
      </c>
      <c r="B1208" t="s">
        <v>23</v>
      </c>
      <c r="C1208">
        <v>98</v>
      </c>
      <c r="D1208">
        <v>1</v>
      </c>
      <c r="E1208" t="s">
        <v>49</v>
      </c>
      <c r="F1208" t="s">
        <v>50</v>
      </c>
      <c r="G1208" t="str">
        <f>"2025-09-06 00:41:59.211"</f>
        <v>2025-09-06 00:41:59.211</v>
      </c>
      <c r="H1208" t="s">
        <v>21</v>
      </c>
    </row>
    <row r="1209" spans="1:10" x14ac:dyDescent="0.25">
      <c r="A1209" s="1">
        <v>252</v>
      </c>
      <c r="B1209" t="s">
        <v>26</v>
      </c>
      <c r="C1209">
        <v>98</v>
      </c>
      <c r="D1209">
        <v>1</v>
      </c>
      <c r="E1209" t="s">
        <v>49</v>
      </c>
      <c r="F1209" t="s">
        <v>50</v>
      </c>
      <c r="G1209" t="str">
        <f>"2025-09-06 00:41:58.212"</f>
        <v>2025-09-06 00:41:58.212</v>
      </c>
      <c r="H1209" t="s">
        <v>21</v>
      </c>
      <c r="I1209">
        <v>0</v>
      </c>
      <c r="J1209" t="s">
        <v>30</v>
      </c>
    </row>
    <row r="1210" spans="1:10" x14ac:dyDescent="0.25">
      <c r="A1210" s="1">
        <v>253</v>
      </c>
      <c r="B1210" t="s">
        <v>19</v>
      </c>
      <c r="C1210">
        <v>700</v>
      </c>
      <c r="D1210">
        <v>0</v>
      </c>
      <c r="E1210" t="s">
        <v>20</v>
      </c>
      <c r="F1210" t="s">
        <v>20</v>
      </c>
      <c r="G1210" t="str">
        <f>"2025-09-06 00:03:57.621"</f>
        <v>2025-09-06 00:03:57.621</v>
      </c>
      <c r="H1210" t="s">
        <v>21</v>
      </c>
      <c r="I1210">
        <v>0</v>
      </c>
      <c r="J1210" t="s">
        <v>22</v>
      </c>
    </row>
    <row r="1211" spans="1:10" x14ac:dyDescent="0.25">
      <c r="A1211" s="1">
        <v>254</v>
      </c>
      <c r="B1211" t="s">
        <v>23</v>
      </c>
      <c r="C1211">
        <v>98</v>
      </c>
      <c r="D1211">
        <v>1</v>
      </c>
      <c r="E1211" t="s">
        <v>49</v>
      </c>
      <c r="F1211" t="s">
        <v>50</v>
      </c>
      <c r="G1211" t="str">
        <f>"2025-09-05 20:01:41.384"</f>
        <v>2025-09-05 20:01:41.384</v>
      </c>
      <c r="H1211" t="s">
        <v>21</v>
      </c>
    </row>
    <row r="1212" spans="1:10" x14ac:dyDescent="0.25">
      <c r="A1212" s="1">
        <v>255</v>
      </c>
      <c r="B1212" t="s">
        <v>26</v>
      </c>
      <c r="C1212">
        <v>98</v>
      </c>
      <c r="D1212">
        <v>1</v>
      </c>
      <c r="E1212" t="s">
        <v>49</v>
      </c>
      <c r="F1212" t="s">
        <v>50</v>
      </c>
      <c r="G1212" t="str">
        <f>"2025-09-05 20:01:40.384"</f>
        <v>2025-09-05 20:01:40.384</v>
      </c>
      <c r="H1212" t="s">
        <v>21</v>
      </c>
      <c r="I1212">
        <v>0</v>
      </c>
      <c r="J1212" t="s">
        <v>30</v>
      </c>
    </row>
    <row r="1213" spans="1:10" x14ac:dyDescent="0.25">
      <c r="A1213" s="1">
        <v>256</v>
      </c>
      <c r="B1213" t="s">
        <v>19</v>
      </c>
      <c r="C1213">
        <v>700</v>
      </c>
      <c r="D1213">
        <v>0</v>
      </c>
      <c r="E1213" t="s">
        <v>20</v>
      </c>
      <c r="F1213" t="s">
        <v>20</v>
      </c>
      <c r="G1213" t="str">
        <f>"2025-09-05 19:50:50.601"</f>
        <v>2025-09-05 19:50:50.601</v>
      </c>
      <c r="H1213" t="s">
        <v>21</v>
      </c>
    </row>
    <row r="1214" spans="1:10" x14ac:dyDescent="0.25">
      <c r="A1214" s="1">
        <v>257</v>
      </c>
      <c r="B1214" t="s">
        <v>19</v>
      </c>
      <c r="C1214">
        <v>700</v>
      </c>
      <c r="D1214">
        <v>0</v>
      </c>
      <c r="E1214" t="s">
        <v>20</v>
      </c>
      <c r="F1214" t="s">
        <v>20</v>
      </c>
      <c r="G1214" t="str">
        <f>"2025-09-05 19:35:29.653"</f>
        <v>2025-09-05 19:35:29.653</v>
      </c>
      <c r="H1214" t="s">
        <v>21</v>
      </c>
      <c r="I1214">
        <v>0</v>
      </c>
      <c r="J1214" t="s">
        <v>22</v>
      </c>
    </row>
    <row r="1215" spans="1:10" x14ac:dyDescent="0.25">
      <c r="A1215" s="1">
        <v>258</v>
      </c>
      <c r="B1215" t="s">
        <v>19</v>
      </c>
      <c r="C1215">
        <v>706</v>
      </c>
      <c r="D1215">
        <v>2</v>
      </c>
      <c r="E1215" t="s">
        <v>31</v>
      </c>
      <c r="F1215" t="s">
        <v>43</v>
      </c>
      <c r="G1215" t="str">
        <f>"2025-09-05 03:25:27.811"</f>
        <v>2025-09-05 03:25:27.811</v>
      </c>
      <c r="H1215" t="s">
        <v>21</v>
      </c>
      <c r="I1215">
        <v>0</v>
      </c>
      <c r="J1215" t="s">
        <v>27</v>
      </c>
    </row>
    <row r="1216" spans="1:10" x14ac:dyDescent="0.25">
      <c r="A1216" s="1">
        <v>259</v>
      </c>
      <c r="B1216" t="s">
        <v>19</v>
      </c>
      <c r="C1216">
        <v>700</v>
      </c>
      <c r="D1216">
        <v>0</v>
      </c>
      <c r="E1216" t="s">
        <v>20</v>
      </c>
      <c r="F1216" t="s">
        <v>20</v>
      </c>
      <c r="G1216" t="str">
        <f>"2025-09-05 03:22:10.601"</f>
        <v>2025-09-05 03:22:10.601</v>
      </c>
      <c r="H1216" t="s">
        <v>21</v>
      </c>
      <c r="I1216">
        <v>0</v>
      </c>
      <c r="J1216" t="s">
        <v>22</v>
      </c>
    </row>
    <row r="1217" spans="1:10" x14ac:dyDescent="0.25">
      <c r="A1217" s="1">
        <v>260</v>
      </c>
      <c r="B1217" t="s">
        <v>38</v>
      </c>
      <c r="C1217">
        <v>630</v>
      </c>
      <c r="D1217">
        <v>5</v>
      </c>
      <c r="E1217" t="s">
        <v>40</v>
      </c>
      <c r="F1217" t="s">
        <v>41</v>
      </c>
      <c r="G1217" t="str">
        <f>"2025-09-05 01:26:11.200"</f>
        <v>2025-09-05 01:26:11.200</v>
      </c>
      <c r="H1217" t="s">
        <v>42</v>
      </c>
      <c r="I1217">
        <v>0</v>
      </c>
      <c r="J1217" t="s">
        <v>27</v>
      </c>
    </row>
    <row r="1218" spans="1:10" x14ac:dyDescent="0.25">
      <c r="A1218" s="1">
        <v>261</v>
      </c>
      <c r="B1218" t="s">
        <v>19</v>
      </c>
      <c r="C1218">
        <v>700</v>
      </c>
      <c r="D1218">
        <v>0</v>
      </c>
      <c r="E1218" t="s">
        <v>20</v>
      </c>
      <c r="F1218" t="s">
        <v>20</v>
      </c>
      <c r="G1218" t="str">
        <f>"2025-09-03 10:23:09.610"</f>
        <v>2025-09-03 10:23:09.610</v>
      </c>
      <c r="H1218" t="s">
        <v>21</v>
      </c>
    </row>
    <row r="1219" spans="1:10" x14ac:dyDescent="0.25">
      <c r="A1219" s="1">
        <v>262</v>
      </c>
      <c r="B1219" t="s">
        <v>19</v>
      </c>
      <c r="C1219">
        <v>700</v>
      </c>
      <c r="D1219">
        <v>0</v>
      </c>
      <c r="E1219" t="s">
        <v>20</v>
      </c>
      <c r="F1219" t="s">
        <v>20</v>
      </c>
      <c r="G1219" t="str">
        <f>"2025-09-03 08:48:57.610"</f>
        <v>2025-09-03 08:48:57.610</v>
      </c>
      <c r="H1219" t="s">
        <v>21</v>
      </c>
      <c r="I1219">
        <v>0</v>
      </c>
      <c r="J1219" t="s">
        <v>22</v>
      </c>
    </row>
    <row r="1220" spans="1:10" x14ac:dyDescent="0.25">
      <c r="A1220" s="1">
        <v>263</v>
      </c>
      <c r="B1220" t="s">
        <v>19</v>
      </c>
      <c r="C1220">
        <v>700</v>
      </c>
      <c r="D1220">
        <v>0</v>
      </c>
      <c r="E1220" t="s">
        <v>20</v>
      </c>
      <c r="F1220" t="s">
        <v>20</v>
      </c>
      <c r="G1220" t="str">
        <f>"2025-09-03 04:30:15.617"</f>
        <v>2025-09-03 04:30:15.617</v>
      </c>
      <c r="H1220" t="s">
        <v>21</v>
      </c>
    </row>
    <row r="1221" spans="1:10" x14ac:dyDescent="0.25">
      <c r="A1221" s="1">
        <v>264</v>
      </c>
      <c r="B1221" t="s">
        <v>19</v>
      </c>
      <c r="C1221">
        <v>706</v>
      </c>
      <c r="D1221">
        <v>2</v>
      </c>
      <c r="E1221" t="s">
        <v>31</v>
      </c>
      <c r="F1221" t="s">
        <v>43</v>
      </c>
      <c r="G1221" t="str">
        <f>"2025-09-03 04:27:33.943"</f>
        <v>2025-09-03 04:27:33.943</v>
      </c>
      <c r="H1221" t="s">
        <v>21</v>
      </c>
      <c r="I1221">
        <v>0</v>
      </c>
      <c r="J1221" t="s">
        <v>27</v>
      </c>
    </row>
    <row r="1222" spans="1:10" x14ac:dyDescent="0.25">
      <c r="A1222" s="1">
        <v>265</v>
      </c>
      <c r="B1222" t="s">
        <v>19</v>
      </c>
      <c r="C1222">
        <v>706</v>
      </c>
      <c r="D1222">
        <v>2</v>
      </c>
      <c r="E1222" t="s">
        <v>31</v>
      </c>
      <c r="F1222" t="s">
        <v>43</v>
      </c>
      <c r="G1222" t="str">
        <f>"2025-09-03 04:06:42.443"</f>
        <v>2025-09-03 04:06:42.443</v>
      </c>
      <c r="H1222" t="s">
        <v>21</v>
      </c>
      <c r="I1222">
        <v>0</v>
      </c>
      <c r="J1222" t="s">
        <v>27</v>
      </c>
    </row>
    <row r="1223" spans="1:10" x14ac:dyDescent="0.25">
      <c r="A1223" s="1">
        <v>266</v>
      </c>
      <c r="B1223" t="s">
        <v>19</v>
      </c>
      <c r="C1223">
        <v>700</v>
      </c>
      <c r="D1223">
        <v>0</v>
      </c>
      <c r="E1223" t="s">
        <v>20</v>
      </c>
      <c r="F1223" t="s">
        <v>20</v>
      </c>
      <c r="G1223" t="str">
        <f>"2025-09-03 04:03:00.593"</f>
        <v>2025-09-03 04:03:00.593</v>
      </c>
      <c r="H1223" t="s">
        <v>21</v>
      </c>
    </row>
    <row r="1224" spans="1:10" x14ac:dyDescent="0.25">
      <c r="A1224" s="1">
        <v>267</v>
      </c>
      <c r="B1224" t="s">
        <v>19</v>
      </c>
      <c r="C1224">
        <v>700</v>
      </c>
      <c r="D1224">
        <v>0</v>
      </c>
      <c r="E1224" t="s">
        <v>20</v>
      </c>
      <c r="F1224" t="s">
        <v>20</v>
      </c>
      <c r="G1224" t="str">
        <f>"2025-09-03 03:17:11.604"</f>
        <v>2025-09-03 03:17:11.604</v>
      </c>
      <c r="H1224" t="s">
        <v>21</v>
      </c>
    </row>
    <row r="1225" spans="1:10" x14ac:dyDescent="0.25">
      <c r="A1225" s="1">
        <v>268</v>
      </c>
      <c r="B1225" t="s">
        <v>19</v>
      </c>
      <c r="C1225">
        <v>700</v>
      </c>
      <c r="D1225">
        <v>0</v>
      </c>
      <c r="E1225" t="s">
        <v>20</v>
      </c>
      <c r="F1225" t="s">
        <v>20</v>
      </c>
      <c r="G1225" t="str">
        <f>"2025-09-03 03:00:35.604"</f>
        <v>2025-09-03 03:00:35.604</v>
      </c>
      <c r="H1225" t="s">
        <v>21</v>
      </c>
      <c r="I1225">
        <v>0</v>
      </c>
      <c r="J1225" t="s">
        <v>22</v>
      </c>
    </row>
    <row r="1226" spans="1:10" x14ac:dyDescent="0.25">
      <c r="A1226" s="1">
        <v>269</v>
      </c>
      <c r="B1226" t="s">
        <v>38</v>
      </c>
      <c r="C1226">
        <v>630</v>
      </c>
      <c r="D1226">
        <v>5</v>
      </c>
      <c r="E1226" t="s">
        <v>40</v>
      </c>
      <c r="F1226" t="s">
        <v>41</v>
      </c>
      <c r="G1226" t="str">
        <f>"2025-09-03 02:55:29.693"</f>
        <v>2025-09-03 02:55:29.693</v>
      </c>
      <c r="H1226" t="s">
        <v>42</v>
      </c>
      <c r="I1226">
        <v>0</v>
      </c>
      <c r="J1226" t="s">
        <v>27</v>
      </c>
    </row>
    <row r="1227" spans="1:10" x14ac:dyDescent="0.25">
      <c r="A1227" s="1">
        <v>270</v>
      </c>
      <c r="B1227" t="s">
        <v>19</v>
      </c>
      <c r="C1227">
        <v>700</v>
      </c>
      <c r="D1227">
        <v>0</v>
      </c>
      <c r="E1227" t="s">
        <v>20</v>
      </c>
      <c r="F1227" t="s">
        <v>20</v>
      </c>
      <c r="G1227" t="str">
        <f>"2025-09-03 02:50:26.873"</f>
        <v>2025-09-03 02:50:26.873</v>
      </c>
      <c r="H1227" t="s">
        <v>21</v>
      </c>
    </row>
    <row r="1228" spans="1:10" x14ac:dyDescent="0.25">
      <c r="A1228" s="1">
        <v>271</v>
      </c>
      <c r="B1228" t="s">
        <v>19</v>
      </c>
      <c r="C1228">
        <v>700</v>
      </c>
      <c r="D1228">
        <v>0</v>
      </c>
      <c r="E1228" t="s">
        <v>20</v>
      </c>
      <c r="F1228" t="s">
        <v>20</v>
      </c>
      <c r="G1228" t="str">
        <f>"2025-09-02 17:57:50.678"</f>
        <v>2025-09-02 17:57:50.678</v>
      </c>
      <c r="H1228" t="s">
        <v>21</v>
      </c>
    </row>
    <row r="1229" spans="1:10" s="3" customFormat="1" x14ac:dyDescent="0.25">
      <c r="A1229" s="2">
        <v>272</v>
      </c>
      <c r="B1229" s="3" t="s">
        <v>23</v>
      </c>
      <c r="C1229" s="3">
        <v>647</v>
      </c>
      <c r="D1229" s="3">
        <v>1</v>
      </c>
      <c r="E1229" s="3" t="s">
        <v>28</v>
      </c>
      <c r="F1229" s="3" t="s">
        <v>29</v>
      </c>
      <c r="G1229" s="3" t="str">
        <f>"2025-09-02 17:31:46.043"</f>
        <v>2025-09-02 17:31:46.043</v>
      </c>
      <c r="H1229" s="3" t="s">
        <v>21</v>
      </c>
    </row>
    <row r="1230" spans="1:10" s="3" customFormat="1" x14ac:dyDescent="0.25">
      <c r="A1230" s="2">
        <v>273</v>
      </c>
      <c r="B1230" s="3" t="s">
        <v>26</v>
      </c>
      <c r="C1230" s="3">
        <v>647</v>
      </c>
      <c r="D1230" s="3">
        <v>1</v>
      </c>
      <c r="E1230" s="3" t="s">
        <v>28</v>
      </c>
      <c r="F1230" s="3" t="s">
        <v>29</v>
      </c>
      <c r="G1230" s="3" t="str">
        <f>"2025-09-02 17:31:44.143"</f>
        <v>2025-09-02 17:31:44.143</v>
      </c>
      <c r="H1230" s="3" t="s">
        <v>21</v>
      </c>
      <c r="I1230" s="3">
        <v>8.6300000000000008</v>
      </c>
      <c r="J1230" s="3" t="s">
        <v>30</v>
      </c>
    </row>
    <row r="1231" spans="1:10" x14ac:dyDescent="0.25">
      <c r="A1231" s="1">
        <v>274</v>
      </c>
      <c r="B1231" t="s">
        <v>19</v>
      </c>
      <c r="C1231">
        <v>700</v>
      </c>
      <c r="D1231">
        <v>0</v>
      </c>
      <c r="E1231" t="s">
        <v>20</v>
      </c>
      <c r="F1231" t="s">
        <v>20</v>
      </c>
      <c r="G1231" t="str">
        <f>"2025-09-01 08:56:51.737"</f>
        <v>2025-09-01 08:56:51.737</v>
      </c>
      <c r="H1231" t="s">
        <v>21</v>
      </c>
      <c r="I1231">
        <v>0</v>
      </c>
      <c r="J1231" t="s">
        <v>22</v>
      </c>
    </row>
    <row r="1232" spans="1:10" x14ac:dyDescent="0.25">
      <c r="A1232" s="1">
        <v>275</v>
      </c>
      <c r="B1232" t="s">
        <v>19</v>
      </c>
      <c r="C1232">
        <v>700</v>
      </c>
      <c r="D1232">
        <v>0</v>
      </c>
      <c r="E1232" t="s">
        <v>20</v>
      </c>
      <c r="F1232" t="s">
        <v>20</v>
      </c>
      <c r="G1232" t="str">
        <f>"2025-08-31 22:33:41.654"</f>
        <v>2025-08-31 22:33:41.654</v>
      </c>
      <c r="H1232" t="s">
        <v>21</v>
      </c>
      <c r="I1232">
        <v>0</v>
      </c>
      <c r="J1232" t="s">
        <v>22</v>
      </c>
    </row>
    <row r="1233" spans="1:10" s="3" customFormat="1" x14ac:dyDescent="0.25">
      <c r="A1233" s="2">
        <v>276</v>
      </c>
      <c r="B1233" s="3" t="s">
        <v>23</v>
      </c>
      <c r="C1233" s="3">
        <v>647</v>
      </c>
      <c r="D1233" s="3">
        <v>1</v>
      </c>
      <c r="E1233" s="3" t="s">
        <v>28</v>
      </c>
      <c r="F1233" s="3" t="s">
        <v>29</v>
      </c>
      <c r="G1233" s="3" t="str">
        <f>"2025-08-31 03:18:12.141"</f>
        <v>2025-08-31 03:18:12.141</v>
      </c>
      <c r="H1233" s="3" t="s">
        <v>21</v>
      </c>
    </row>
    <row r="1234" spans="1:10" s="3" customFormat="1" x14ac:dyDescent="0.25">
      <c r="A1234" s="2">
        <v>277</v>
      </c>
      <c r="B1234" s="3" t="s">
        <v>26</v>
      </c>
      <c r="C1234" s="3">
        <v>647</v>
      </c>
      <c r="D1234" s="3">
        <v>1</v>
      </c>
      <c r="E1234" s="3" t="s">
        <v>28</v>
      </c>
      <c r="F1234" s="3" t="s">
        <v>29</v>
      </c>
      <c r="G1234" s="3" t="str">
        <f>"2025-08-31 03:18:08.041"</f>
        <v>2025-08-31 03:18:08.041</v>
      </c>
      <c r="H1234" s="3" t="s">
        <v>21</v>
      </c>
      <c r="I1234" s="3">
        <v>24.97</v>
      </c>
      <c r="J1234" s="3" t="s">
        <v>33</v>
      </c>
    </row>
    <row r="1235" spans="1:10" s="3" customFormat="1" x14ac:dyDescent="0.25">
      <c r="A1235" s="2">
        <v>278</v>
      </c>
      <c r="B1235" s="3" t="s">
        <v>23</v>
      </c>
      <c r="C1235" s="3">
        <v>647</v>
      </c>
      <c r="D1235" s="3">
        <v>1</v>
      </c>
      <c r="E1235" s="3" t="s">
        <v>28</v>
      </c>
      <c r="F1235" s="3" t="s">
        <v>29</v>
      </c>
      <c r="G1235" s="3" t="str">
        <f>"2025-08-31 02:53:35.841"</f>
        <v>2025-08-31 02:53:35.841</v>
      </c>
      <c r="H1235" s="3" t="s">
        <v>21</v>
      </c>
    </row>
    <row r="1236" spans="1:10" s="3" customFormat="1" x14ac:dyDescent="0.25">
      <c r="A1236" s="2">
        <v>279</v>
      </c>
      <c r="B1236" s="3" t="s">
        <v>26</v>
      </c>
      <c r="C1236" s="3">
        <v>647</v>
      </c>
      <c r="D1236" s="3">
        <v>1</v>
      </c>
      <c r="E1236" s="3" t="s">
        <v>28</v>
      </c>
      <c r="F1236" s="3" t="s">
        <v>29</v>
      </c>
      <c r="G1236" s="3" t="str">
        <f>"2025-08-31 02:53:33.341"</f>
        <v>2025-08-31 02:53:33.341</v>
      </c>
      <c r="H1236" s="3" t="s">
        <v>21</v>
      </c>
      <c r="I1236" s="3">
        <v>10.76</v>
      </c>
      <c r="J1236" s="3" t="s">
        <v>30</v>
      </c>
    </row>
    <row r="1237" spans="1:10" s="3" customFormat="1" x14ac:dyDescent="0.25">
      <c r="A1237" s="2">
        <v>280</v>
      </c>
      <c r="B1237" s="3" t="s">
        <v>23</v>
      </c>
      <c r="C1237" s="3">
        <v>647</v>
      </c>
      <c r="D1237" s="3">
        <v>1</v>
      </c>
      <c r="E1237" s="3" t="s">
        <v>28</v>
      </c>
      <c r="F1237" s="3" t="s">
        <v>29</v>
      </c>
      <c r="G1237" s="3" t="str">
        <f>"2025-08-30 23:19:56.541"</f>
        <v>2025-08-30 23:19:56.541</v>
      </c>
      <c r="H1237" s="3" t="s">
        <v>21</v>
      </c>
    </row>
    <row r="1238" spans="1:10" s="3" customFormat="1" x14ac:dyDescent="0.25">
      <c r="A1238" s="2">
        <v>281</v>
      </c>
      <c r="B1238" s="3" t="s">
        <v>26</v>
      </c>
      <c r="C1238" s="3">
        <v>647</v>
      </c>
      <c r="D1238" s="3">
        <v>1</v>
      </c>
      <c r="E1238" s="3" t="s">
        <v>28</v>
      </c>
      <c r="F1238" s="3" t="s">
        <v>29</v>
      </c>
      <c r="G1238" s="3" t="str">
        <f>"2025-08-30 23:19:45.640"</f>
        <v>2025-08-30 23:19:45.640</v>
      </c>
      <c r="H1238" s="3" t="s">
        <v>21</v>
      </c>
      <c r="I1238" s="3">
        <v>11.78</v>
      </c>
      <c r="J1238" s="3" t="s">
        <v>33</v>
      </c>
    </row>
    <row r="1239" spans="1:10" s="3" customFormat="1" x14ac:dyDescent="0.25">
      <c r="A1239" s="2">
        <v>282</v>
      </c>
      <c r="B1239" s="3" t="s">
        <v>23</v>
      </c>
      <c r="C1239" s="3">
        <v>647</v>
      </c>
      <c r="D1239" s="3">
        <v>1</v>
      </c>
      <c r="E1239" s="3" t="s">
        <v>28</v>
      </c>
      <c r="F1239" s="3" t="s">
        <v>29</v>
      </c>
      <c r="G1239" s="3" t="str">
        <f>"2025-08-30 23:18:41.741"</f>
        <v>2025-08-30 23:18:41.741</v>
      </c>
      <c r="H1239" s="3" t="s">
        <v>21</v>
      </c>
    </row>
    <row r="1240" spans="1:10" s="3" customFormat="1" x14ac:dyDescent="0.25">
      <c r="A1240" s="2">
        <v>283</v>
      </c>
      <c r="B1240" s="3" t="s">
        <v>26</v>
      </c>
      <c r="C1240" s="3">
        <v>647</v>
      </c>
      <c r="D1240" s="3">
        <v>1</v>
      </c>
      <c r="E1240" s="3" t="s">
        <v>28</v>
      </c>
      <c r="F1240" s="3" t="s">
        <v>29</v>
      </c>
      <c r="G1240" s="3" t="str">
        <f>"2025-08-30 23:18:29.441"</f>
        <v>2025-08-30 23:18:29.441</v>
      </c>
      <c r="H1240" s="3" t="s">
        <v>21</v>
      </c>
      <c r="I1240" s="3">
        <v>11.39</v>
      </c>
      <c r="J1240" s="3" t="s">
        <v>33</v>
      </c>
    </row>
    <row r="1241" spans="1:10" x14ac:dyDescent="0.25">
      <c r="A1241" s="1">
        <v>284</v>
      </c>
      <c r="B1241" t="s">
        <v>23</v>
      </c>
      <c r="C1241">
        <v>635</v>
      </c>
      <c r="D1241">
        <v>1</v>
      </c>
      <c r="E1241" t="s">
        <v>44</v>
      </c>
      <c r="F1241" t="s">
        <v>45</v>
      </c>
      <c r="G1241" t="str">
        <f>"2025-08-30 16:23:12.339"</f>
        <v>2025-08-30 16:23:12.339</v>
      </c>
      <c r="H1241" t="s">
        <v>21</v>
      </c>
    </row>
    <row r="1242" spans="1:10" x14ac:dyDescent="0.25">
      <c r="A1242" s="1">
        <v>285</v>
      </c>
      <c r="B1242" t="s">
        <v>26</v>
      </c>
      <c r="C1242">
        <v>635</v>
      </c>
      <c r="D1242">
        <v>1</v>
      </c>
      <c r="E1242" t="s">
        <v>44</v>
      </c>
      <c r="F1242" t="s">
        <v>45</v>
      </c>
      <c r="G1242" t="str">
        <f>"2025-08-30 16:13:51.840"</f>
        <v>2025-08-30 16:13:51.840</v>
      </c>
      <c r="H1242" t="s">
        <v>21</v>
      </c>
      <c r="I1242">
        <v>4.41</v>
      </c>
      <c r="J1242" t="s">
        <v>39</v>
      </c>
    </row>
    <row r="1243" spans="1:10" x14ac:dyDescent="0.25">
      <c r="A1243" s="1">
        <v>286</v>
      </c>
      <c r="B1243" t="s">
        <v>23</v>
      </c>
      <c r="C1243">
        <v>630</v>
      </c>
      <c r="D1243">
        <v>5</v>
      </c>
      <c r="E1243" t="s">
        <v>40</v>
      </c>
      <c r="F1243" t="s">
        <v>41</v>
      </c>
      <c r="G1243" t="str">
        <f>"2025-08-30 14:14:32.741"</f>
        <v>2025-08-30 14:14:32.741</v>
      </c>
      <c r="H1243" t="s">
        <v>42</v>
      </c>
    </row>
    <row r="1244" spans="1:10" x14ac:dyDescent="0.25">
      <c r="A1244" s="1">
        <v>287</v>
      </c>
      <c r="B1244" t="s">
        <v>19</v>
      </c>
      <c r="C1244">
        <v>706</v>
      </c>
      <c r="D1244">
        <v>4</v>
      </c>
      <c r="E1244" t="s">
        <v>31</v>
      </c>
      <c r="F1244" t="s">
        <v>32</v>
      </c>
      <c r="G1244" t="str">
        <f>"2025-08-30 14:14:02.710"</f>
        <v>2025-08-30 14:14:02.710</v>
      </c>
      <c r="H1244" t="s">
        <v>21</v>
      </c>
      <c r="I1244">
        <v>0</v>
      </c>
      <c r="J1244" t="s">
        <v>27</v>
      </c>
    </row>
    <row r="1245" spans="1:10" x14ac:dyDescent="0.25">
      <c r="A1245" s="1">
        <v>288</v>
      </c>
      <c r="B1245" t="s">
        <v>38</v>
      </c>
      <c r="C1245">
        <v>630</v>
      </c>
      <c r="D1245">
        <v>5</v>
      </c>
      <c r="E1245" t="s">
        <v>40</v>
      </c>
      <c r="F1245" t="s">
        <v>41</v>
      </c>
      <c r="G1245" t="str">
        <f>"2025-08-30 13:57:38.341"</f>
        <v>2025-08-30 13:57:38.341</v>
      </c>
      <c r="H1245" t="s">
        <v>42</v>
      </c>
      <c r="I1245">
        <v>0</v>
      </c>
      <c r="J1245" t="s">
        <v>27</v>
      </c>
    </row>
    <row r="1246" spans="1:10" x14ac:dyDescent="0.25">
      <c r="A1246" s="1">
        <v>289</v>
      </c>
      <c r="B1246" t="s">
        <v>23</v>
      </c>
      <c r="C1246">
        <v>630</v>
      </c>
      <c r="D1246">
        <v>5</v>
      </c>
      <c r="E1246" t="s">
        <v>40</v>
      </c>
      <c r="F1246" t="s">
        <v>41</v>
      </c>
      <c r="G1246" t="str">
        <f>"2025-08-30 11:02:04.541"</f>
        <v>2025-08-30 11:02:04.541</v>
      </c>
      <c r="H1246" t="s">
        <v>42</v>
      </c>
    </row>
    <row r="1247" spans="1:10" x14ac:dyDescent="0.25">
      <c r="A1247" s="1">
        <v>290</v>
      </c>
      <c r="B1247" t="s">
        <v>19</v>
      </c>
      <c r="C1247">
        <v>706</v>
      </c>
      <c r="D1247">
        <v>4</v>
      </c>
      <c r="E1247" t="s">
        <v>31</v>
      </c>
      <c r="F1247" t="s">
        <v>32</v>
      </c>
      <c r="G1247" t="str">
        <f>"2025-08-30 11:01:34.590"</f>
        <v>2025-08-30 11:01:34.590</v>
      </c>
      <c r="H1247" t="s">
        <v>21</v>
      </c>
      <c r="I1247">
        <v>0</v>
      </c>
      <c r="J1247" t="s">
        <v>27</v>
      </c>
    </row>
    <row r="1248" spans="1:10" x14ac:dyDescent="0.25">
      <c r="A1248" s="1">
        <v>291</v>
      </c>
      <c r="B1248" t="s">
        <v>19</v>
      </c>
      <c r="C1248">
        <v>706</v>
      </c>
      <c r="D1248">
        <v>2</v>
      </c>
      <c r="E1248" t="s">
        <v>31</v>
      </c>
      <c r="F1248" t="s">
        <v>43</v>
      </c>
      <c r="G1248" t="str">
        <f>"2025-08-30 10:58:41.290"</f>
        <v>2025-08-30 10:58:41.290</v>
      </c>
      <c r="H1248" t="s">
        <v>21</v>
      </c>
      <c r="I1248">
        <v>0</v>
      </c>
      <c r="J1248" t="s">
        <v>27</v>
      </c>
    </row>
    <row r="1249" spans="1:10" x14ac:dyDescent="0.25">
      <c r="A1249" s="1">
        <v>292</v>
      </c>
      <c r="B1249" t="s">
        <v>38</v>
      </c>
      <c r="C1249">
        <v>630</v>
      </c>
      <c r="D1249">
        <v>5</v>
      </c>
      <c r="E1249" t="s">
        <v>40</v>
      </c>
      <c r="F1249" t="s">
        <v>41</v>
      </c>
      <c r="G1249" t="str">
        <f>"2025-08-30 10:54:55.341"</f>
        <v>2025-08-30 10:54:55.341</v>
      </c>
      <c r="H1249" t="s">
        <v>42</v>
      </c>
      <c r="I1249">
        <v>0</v>
      </c>
      <c r="J1249" t="s">
        <v>27</v>
      </c>
    </row>
    <row r="1250" spans="1:10" x14ac:dyDescent="0.25">
      <c r="A1250" s="1">
        <v>293</v>
      </c>
      <c r="B1250" t="s">
        <v>19</v>
      </c>
      <c r="C1250">
        <v>700</v>
      </c>
      <c r="D1250">
        <v>0</v>
      </c>
      <c r="E1250" t="s">
        <v>20</v>
      </c>
      <c r="F1250" t="s">
        <v>20</v>
      </c>
      <c r="G1250" t="str">
        <f>"2025-08-30 10:49:52.600"</f>
        <v>2025-08-30 10:49:52.600</v>
      </c>
      <c r="H1250" t="s">
        <v>21</v>
      </c>
      <c r="I1250">
        <v>0</v>
      </c>
      <c r="J1250" t="s">
        <v>22</v>
      </c>
    </row>
    <row r="1251" spans="1:10" x14ac:dyDescent="0.25">
      <c r="A1251" s="1">
        <v>294</v>
      </c>
      <c r="B1251" t="s">
        <v>19</v>
      </c>
      <c r="C1251">
        <v>700</v>
      </c>
      <c r="D1251">
        <v>0</v>
      </c>
      <c r="E1251" t="s">
        <v>20</v>
      </c>
      <c r="F1251" t="s">
        <v>20</v>
      </c>
      <c r="G1251" t="str">
        <f>"2025-08-30 10:45:09.594"</f>
        <v>2025-08-30 10:45:09.594</v>
      </c>
      <c r="H1251" t="s">
        <v>21</v>
      </c>
      <c r="I1251">
        <v>0</v>
      </c>
      <c r="J1251" t="s">
        <v>22</v>
      </c>
    </row>
    <row r="1252" spans="1:10" x14ac:dyDescent="0.25">
      <c r="A1252" s="1">
        <v>295</v>
      </c>
      <c r="B1252" t="s">
        <v>19</v>
      </c>
      <c r="C1252">
        <v>700</v>
      </c>
      <c r="D1252">
        <v>0</v>
      </c>
      <c r="E1252" t="s">
        <v>20</v>
      </c>
      <c r="F1252" t="s">
        <v>20</v>
      </c>
      <c r="G1252" t="str">
        <f>"2025-08-30 10:41:20.624"</f>
        <v>2025-08-30 10:41:20.624</v>
      </c>
      <c r="H1252" t="s">
        <v>21</v>
      </c>
      <c r="I1252">
        <v>0</v>
      </c>
      <c r="J1252" t="s">
        <v>22</v>
      </c>
    </row>
    <row r="1253" spans="1:10" x14ac:dyDescent="0.25">
      <c r="A1253" s="1">
        <v>296</v>
      </c>
      <c r="B1253" t="s">
        <v>19</v>
      </c>
      <c r="C1253">
        <v>706</v>
      </c>
      <c r="D1253">
        <v>4</v>
      </c>
      <c r="E1253" t="s">
        <v>31</v>
      </c>
      <c r="F1253" t="s">
        <v>32</v>
      </c>
      <c r="G1253" t="str">
        <f>"2025-08-30 10:39:22.583"</f>
        <v>2025-08-30 10:39:22.583</v>
      </c>
      <c r="H1253" t="s">
        <v>21</v>
      </c>
      <c r="I1253">
        <v>0</v>
      </c>
      <c r="J1253" t="s">
        <v>27</v>
      </c>
    </row>
    <row r="1254" spans="1:10" x14ac:dyDescent="0.25">
      <c r="A1254" s="1">
        <v>297</v>
      </c>
      <c r="B1254" t="s">
        <v>19</v>
      </c>
      <c r="C1254">
        <v>706</v>
      </c>
      <c r="D1254">
        <v>2</v>
      </c>
      <c r="E1254" t="s">
        <v>31</v>
      </c>
      <c r="F1254" t="s">
        <v>43</v>
      </c>
      <c r="G1254" t="str">
        <f>"2025-08-30 10:39:00.213"</f>
        <v>2025-08-30 10:39:00.213</v>
      </c>
      <c r="H1254" t="s">
        <v>21</v>
      </c>
      <c r="I1254">
        <v>0</v>
      </c>
      <c r="J1254" t="s">
        <v>27</v>
      </c>
    </row>
    <row r="1255" spans="1:10" x14ac:dyDescent="0.25">
      <c r="A1255" s="1">
        <v>298</v>
      </c>
      <c r="B1255" t="s">
        <v>38</v>
      </c>
      <c r="C1255">
        <v>630</v>
      </c>
      <c r="D1255">
        <v>5</v>
      </c>
      <c r="E1255" t="s">
        <v>40</v>
      </c>
      <c r="F1255" t="s">
        <v>41</v>
      </c>
      <c r="G1255" t="str">
        <f>"2025-08-30 10:35:13.439"</f>
        <v>2025-08-30 10:35:13.439</v>
      </c>
      <c r="H1255" t="s">
        <v>42</v>
      </c>
      <c r="I1255">
        <v>0</v>
      </c>
      <c r="J1255" t="s">
        <v>27</v>
      </c>
    </row>
    <row r="1256" spans="1:10" x14ac:dyDescent="0.25">
      <c r="A1256" s="1">
        <v>299</v>
      </c>
      <c r="B1256" t="s">
        <v>23</v>
      </c>
      <c r="C1256">
        <v>635</v>
      </c>
      <c r="D1256">
        <v>1</v>
      </c>
      <c r="E1256" t="s">
        <v>44</v>
      </c>
      <c r="F1256" t="s">
        <v>45</v>
      </c>
      <c r="G1256" t="str">
        <f>"2025-08-30 07:33:52.838"</f>
        <v>2025-08-30 07:33:52.838</v>
      </c>
      <c r="H1256" t="s">
        <v>21</v>
      </c>
    </row>
    <row r="1257" spans="1:10" x14ac:dyDescent="0.25">
      <c r="A1257" s="1">
        <v>300</v>
      </c>
      <c r="B1257" t="s">
        <v>26</v>
      </c>
      <c r="C1257">
        <v>635</v>
      </c>
      <c r="D1257">
        <v>1</v>
      </c>
      <c r="E1257" t="s">
        <v>44</v>
      </c>
      <c r="F1257" t="s">
        <v>45</v>
      </c>
      <c r="G1257" t="str">
        <f>"2025-08-30 07:29:07.338"</f>
        <v>2025-08-30 07:29:07.338</v>
      </c>
      <c r="H1257" t="s">
        <v>21</v>
      </c>
      <c r="I1257">
        <v>2.35</v>
      </c>
      <c r="J1257" t="s">
        <v>39</v>
      </c>
    </row>
    <row r="1258" spans="1:10" s="3" customFormat="1" x14ac:dyDescent="0.25">
      <c r="A1258" s="2">
        <v>301</v>
      </c>
      <c r="B1258" s="3" t="s">
        <v>23</v>
      </c>
      <c r="C1258" s="3">
        <v>647</v>
      </c>
      <c r="D1258" s="3">
        <v>1</v>
      </c>
      <c r="E1258" s="3" t="s">
        <v>28</v>
      </c>
      <c r="F1258" s="3" t="s">
        <v>29</v>
      </c>
      <c r="G1258" s="3" t="str">
        <f>"2025-08-30 07:23:21.039"</f>
        <v>2025-08-30 07:23:21.039</v>
      </c>
      <c r="H1258" s="3" t="s">
        <v>21</v>
      </c>
    </row>
    <row r="1259" spans="1:10" s="3" customFormat="1" x14ac:dyDescent="0.25">
      <c r="A1259" s="2">
        <v>302</v>
      </c>
      <c r="B1259" s="3" t="s">
        <v>26</v>
      </c>
      <c r="C1259" s="3">
        <v>647</v>
      </c>
      <c r="D1259" s="3">
        <v>1</v>
      </c>
      <c r="E1259" s="3" t="s">
        <v>28</v>
      </c>
      <c r="F1259" s="3" t="s">
        <v>29</v>
      </c>
      <c r="G1259" s="3" t="str">
        <f>"2025-08-30 07:23:16.739"</f>
        <v>2025-08-30 07:23:16.739</v>
      </c>
      <c r="H1259" s="3" t="s">
        <v>21</v>
      </c>
      <c r="I1259" s="3">
        <v>11.32</v>
      </c>
      <c r="J1259" s="3" t="s">
        <v>33</v>
      </c>
    </row>
    <row r="1260" spans="1:10" s="3" customFormat="1" x14ac:dyDescent="0.25">
      <c r="A1260" s="2">
        <v>303</v>
      </c>
      <c r="B1260" s="3" t="s">
        <v>23</v>
      </c>
      <c r="C1260" s="3">
        <v>647</v>
      </c>
      <c r="D1260" s="3">
        <v>1</v>
      </c>
      <c r="E1260" s="3" t="s">
        <v>28</v>
      </c>
      <c r="F1260" s="3" t="s">
        <v>29</v>
      </c>
      <c r="G1260" s="3" t="str">
        <f>"2025-08-30 06:39:04.339"</f>
        <v>2025-08-30 06:39:04.339</v>
      </c>
      <c r="H1260" s="3" t="s">
        <v>21</v>
      </c>
    </row>
    <row r="1261" spans="1:10" s="3" customFormat="1" x14ac:dyDescent="0.25">
      <c r="A1261" s="2">
        <v>304</v>
      </c>
      <c r="B1261" s="3" t="s">
        <v>26</v>
      </c>
      <c r="C1261" s="3">
        <v>647</v>
      </c>
      <c r="D1261" s="3">
        <v>1</v>
      </c>
      <c r="E1261" s="3" t="s">
        <v>28</v>
      </c>
      <c r="F1261" s="3" t="s">
        <v>29</v>
      </c>
      <c r="G1261" s="3" t="str">
        <f>"2025-08-30 06:38:58.639"</f>
        <v>2025-08-30 06:38:58.639</v>
      </c>
      <c r="H1261" s="3" t="s">
        <v>21</v>
      </c>
      <c r="I1261" s="3">
        <v>8.49</v>
      </c>
      <c r="J1261" s="3" t="s">
        <v>33</v>
      </c>
    </row>
    <row r="1262" spans="1:10" s="3" customFormat="1" x14ac:dyDescent="0.25">
      <c r="A1262" s="2">
        <v>305</v>
      </c>
      <c r="B1262" s="3" t="s">
        <v>23</v>
      </c>
      <c r="C1262" s="3">
        <v>647</v>
      </c>
      <c r="D1262" s="3">
        <v>1</v>
      </c>
      <c r="E1262" s="3" t="s">
        <v>28</v>
      </c>
      <c r="F1262" s="3" t="s">
        <v>29</v>
      </c>
      <c r="G1262" s="3" t="str">
        <f>"2025-08-30 05:16:12.439"</f>
        <v>2025-08-30 05:16:12.439</v>
      </c>
      <c r="H1262" s="3" t="s">
        <v>21</v>
      </c>
    </row>
    <row r="1263" spans="1:10" s="3" customFormat="1" x14ac:dyDescent="0.25">
      <c r="A1263" s="2">
        <v>306</v>
      </c>
      <c r="B1263" s="3" t="s">
        <v>26</v>
      </c>
      <c r="C1263" s="3">
        <v>647</v>
      </c>
      <c r="D1263" s="3">
        <v>1</v>
      </c>
      <c r="E1263" s="3" t="s">
        <v>28</v>
      </c>
      <c r="F1263" s="3" t="s">
        <v>29</v>
      </c>
      <c r="G1263" s="3" t="str">
        <f>"2025-08-30 05:16:08.739"</f>
        <v>2025-08-30 05:16:08.739</v>
      </c>
      <c r="H1263" s="3" t="s">
        <v>21</v>
      </c>
      <c r="I1263" s="3">
        <v>24.61</v>
      </c>
      <c r="J1263" s="3" t="s">
        <v>33</v>
      </c>
    </row>
    <row r="1264" spans="1:10" s="3" customFormat="1" x14ac:dyDescent="0.25">
      <c r="A1264" s="2">
        <v>307</v>
      </c>
      <c r="B1264" s="3" t="s">
        <v>23</v>
      </c>
      <c r="C1264" s="3">
        <v>647</v>
      </c>
      <c r="D1264" s="3">
        <v>1</v>
      </c>
      <c r="E1264" s="3" t="s">
        <v>28</v>
      </c>
      <c r="F1264" s="3" t="s">
        <v>29</v>
      </c>
      <c r="G1264" s="3" t="str">
        <f>"2025-08-30 03:21:25.639"</f>
        <v>2025-08-30 03:21:25.639</v>
      </c>
      <c r="H1264" s="3" t="s">
        <v>21</v>
      </c>
    </row>
    <row r="1265" spans="1:10" s="3" customFormat="1" x14ac:dyDescent="0.25">
      <c r="A1265" s="2">
        <v>308</v>
      </c>
      <c r="B1265" s="3" t="s">
        <v>26</v>
      </c>
      <c r="C1265" s="3">
        <v>647</v>
      </c>
      <c r="D1265" s="3">
        <v>1</v>
      </c>
      <c r="E1265" s="3" t="s">
        <v>28</v>
      </c>
      <c r="F1265" s="3" t="s">
        <v>29</v>
      </c>
      <c r="G1265" s="3" t="str">
        <f>"2025-08-30 03:21:23.739"</f>
        <v>2025-08-30 03:21:23.739</v>
      </c>
      <c r="H1265" s="3" t="s">
        <v>21</v>
      </c>
      <c r="I1265" s="3">
        <v>11.83</v>
      </c>
      <c r="J1265" s="3" t="s">
        <v>33</v>
      </c>
    </row>
    <row r="1266" spans="1:10" s="3" customFormat="1" x14ac:dyDescent="0.25">
      <c r="A1266" s="2">
        <v>309</v>
      </c>
      <c r="B1266" s="3" t="s">
        <v>23</v>
      </c>
      <c r="C1266" s="3">
        <v>647</v>
      </c>
      <c r="D1266" s="3">
        <v>1</v>
      </c>
      <c r="E1266" s="3" t="s">
        <v>28</v>
      </c>
      <c r="F1266" s="3" t="s">
        <v>29</v>
      </c>
      <c r="G1266" s="3" t="str">
        <f>"2025-08-30 02:24:30.639"</f>
        <v>2025-08-30 02:24:30.639</v>
      </c>
      <c r="H1266" s="3" t="s">
        <v>21</v>
      </c>
    </row>
    <row r="1267" spans="1:10" s="3" customFormat="1" x14ac:dyDescent="0.25">
      <c r="A1267" s="2">
        <v>310</v>
      </c>
      <c r="B1267" s="3" t="s">
        <v>26</v>
      </c>
      <c r="C1267" s="3">
        <v>647</v>
      </c>
      <c r="D1267" s="3">
        <v>1</v>
      </c>
      <c r="E1267" s="3" t="s">
        <v>28</v>
      </c>
      <c r="F1267" s="3" t="s">
        <v>29</v>
      </c>
      <c r="G1267" s="3" t="str">
        <f>"2025-08-30 02:24:26.739"</f>
        <v>2025-08-30 02:24:26.739</v>
      </c>
      <c r="H1267" s="3" t="s">
        <v>21</v>
      </c>
      <c r="I1267" s="3">
        <v>16.940000000000001</v>
      </c>
      <c r="J1267" s="3" t="s">
        <v>33</v>
      </c>
    </row>
    <row r="1268" spans="1:10" s="3" customFormat="1" x14ac:dyDescent="0.25">
      <c r="A1268" s="2">
        <v>311</v>
      </c>
      <c r="B1268" s="3" t="s">
        <v>23</v>
      </c>
      <c r="C1268" s="3">
        <v>647</v>
      </c>
      <c r="D1268" s="3">
        <v>1</v>
      </c>
      <c r="E1268" s="3" t="s">
        <v>28</v>
      </c>
      <c r="F1268" s="3" t="s">
        <v>29</v>
      </c>
      <c r="G1268" s="3" t="str">
        <f>"2025-08-30 01:55:14.539"</f>
        <v>2025-08-30 01:55:14.539</v>
      </c>
      <c r="H1268" s="3" t="s">
        <v>21</v>
      </c>
    </row>
    <row r="1269" spans="1:10" s="3" customFormat="1" x14ac:dyDescent="0.25">
      <c r="A1269" s="2">
        <v>312</v>
      </c>
      <c r="B1269" s="3" t="s">
        <v>26</v>
      </c>
      <c r="C1269" s="3">
        <v>647</v>
      </c>
      <c r="D1269" s="3">
        <v>1</v>
      </c>
      <c r="E1269" s="3" t="s">
        <v>28</v>
      </c>
      <c r="F1269" s="3" t="s">
        <v>29</v>
      </c>
      <c r="G1269" s="3" t="str">
        <f>"2025-08-30 01:55:12.039"</f>
        <v>2025-08-30 01:55:12.039</v>
      </c>
      <c r="H1269" s="3" t="s">
        <v>21</v>
      </c>
      <c r="I1269" s="3">
        <v>18.579999999999998</v>
      </c>
      <c r="J1269" s="3" t="s">
        <v>33</v>
      </c>
    </row>
    <row r="1270" spans="1:10" s="3" customFormat="1" x14ac:dyDescent="0.25">
      <c r="A1270" s="2">
        <v>313</v>
      </c>
      <c r="B1270" s="3" t="s">
        <v>23</v>
      </c>
      <c r="C1270" s="3">
        <v>647</v>
      </c>
      <c r="D1270" s="3">
        <v>1</v>
      </c>
      <c r="E1270" s="3" t="s">
        <v>28</v>
      </c>
      <c r="F1270" s="3" t="s">
        <v>29</v>
      </c>
      <c r="G1270" s="3" t="str">
        <f>"2025-08-30 01:51:22.539"</f>
        <v>2025-08-30 01:51:22.539</v>
      </c>
      <c r="H1270" s="3" t="s">
        <v>21</v>
      </c>
    </row>
    <row r="1271" spans="1:10" s="3" customFormat="1" x14ac:dyDescent="0.25">
      <c r="A1271" s="2">
        <v>314</v>
      </c>
      <c r="B1271" s="3" t="s">
        <v>26</v>
      </c>
      <c r="C1271" s="3">
        <v>647</v>
      </c>
      <c r="D1271" s="3">
        <v>1</v>
      </c>
      <c r="E1271" s="3" t="s">
        <v>28</v>
      </c>
      <c r="F1271" s="3" t="s">
        <v>29</v>
      </c>
      <c r="G1271" s="3" t="str">
        <f>"2025-08-30 01:51:19.839"</f>
        <v>2025-08-30 01:51:19.839</v>
      </c>
      <c r="H1271" s="3" t="s">
        <v>21</v>
      </c>
      <c r="I1271" s="3">
        <v>9.6999999999999993</v>
      </c>
      <c r="J1271" s="3" t="s">
        <v>33</v>
      </c>
    </row>
    <row r="1272" spans="1:10" s="3" customFormat="1" x14ac:dyDescent="0.25">
      <c r="A1272" s="2">
        <v>315</v>
      </c>
      <c r="B1272" s="3" t="s">
        <v>23</v>
      </c>
      <c r="C1272" s="3">
        <v>647</v>
      </c>
      <c r="D1272" s="3">
        <v>1</v>
      </c>
      <c r="E1272" s="3" t="s">
        <v>28</v>
      </c>
      <c r="F1272" s="3" t="s">
        <v>29</v>
      </c>
      <c r="G1272" s="3" t="str">
        <f>"2025-08-30 01:51:02.139"</f>
        <v>2025-08-30 01:51:02.139</v>
      </c>
      <c r="H1272" s="3" t="s">
        <v>21</v>
      </c>
    </row>
    <row r="1273" spans="1:10" s="3" customFormat="1" x14ac:dyDescent="0.25">
      <c r="A1273" s="2">
        <v>316</v>
      </c>
      <c r="B1273" s="3" t="s">
        <v>26</v>
      </c>
      <c r="C1273" s="3">
        <v>647</v>
      </c>
      <c r="D1273" s="3">
        <v>1</v>
      </c>
      <c r="E1273" s="3" t="s">
        <v>28</v>
      </c>
      <c r="F1273" s="3" t="s">
        <v>29</v>
      </c>
      <c r="G1273" s="3" t="str">
        <f>"2025-08-30 01:50:49.439"</f>
        <v>2025-08-30 01:50:49.439</v>
      </c>
      <c r="H1273" s="3" t="s">
        <v>21</v>
      </c>
      <c r="I1273" s="3">
        <v>28.36</v>
      </c>
      <c r="J1273" s="3" t="s">
        <v>33</v>
      </c>
    </row>
    <row r="1274" spans="1:10" s="3" customFormat="1" x14ac:dyDescent="0.25">
      <c r="A1274" s="2">
        <v>317</v>
      </c>
      <c r="B1274" s="3" t="s">
        <v>23</v>
      </c>
      <c r="C1274" s="3">
        <v>647</v>
      </c>
      <c r="D1274" s="3">
        <v>1</v>
      </c>
      <c r="E1274" s="3" t="s">
        <v>28</v>
      </c>
      <c r="F1274" s="3" t="s">
        <v>29</v>
      </c>
      <c r="G1274" s="3" t="str">
        <f>"2025-08-30 01:50:22.739"</f>
        <v>2025-08-30 01:50:22.739</v>
      </c>
      <c r="H1274" s="3" t="s">
        <v>21</v>
      </c>
    </row>
    <row r="1275" spans="1:10" s="3" customFormat="1" x14ac:dyDescent="0.25">
      <c r="A1275" s="2">
        <v>318</v>
      </c>
      <c r="B1275" s="3" t="s">
        <v>26</v>
      </c>
      <c r="C1275" s="3">
        <v>647</v>
      </c>
      <c r="D1275" s="3">
        <v>1</v>
      </c>
      <c r="E1275" s="3" t="s">
        <v>28</v>
      </c>
      <c r="F1275" s="3" t="s">
        <v>29</v>
      </c>
      <c r="G1275" s="3" t="str">
        <f>"2025-08-30 01:49:57.039"</f>
        <v>2025-08-30 01:49:57.039</v>
      </c>
      <c r="H1275" s="3" t="s">
        <v>21</v>
      </c>
      <c r="I1275" s="3">
        <v>32.65</v>
      </c>
      <c r="J1275" s="3" t="s">
        <v>33</v>
      </c>
    </row>
    <row r="1276" spans="1:10" s="3" customFormat="1" x14ac:dyDescent="0.25">
      <c r="A1276" s="2">
        <v>319</v>
      </c>
      <c r="B1276" s="3" t="s">
        <v>23</v>
      </c>
      <c r="C1276" s="3">
        <v>647</v>
      </c>
      <c r="D1276" s="3">
        <v>1</v>
      </c>
      <c r="E1276" s="3" t="s">
        <v>28</v>
      </c>
      <c r="F1276" s="3" t="s">
        <v>29</v>
      </c>
      <c r="G1276" s="3" t="str">
        <f>"2025-08-29 22:42:14.839"</f>
        <v>2025-08-29 22:42:14.839</v>
      </c>
      <c r="H1276" s="3" t="s">
        <v>21</v>
      </c>
    </row>
    <row r="1277" spans="1:10" s="3" customFormat="1" x14ac:dyDescent="0.25">
      <c r="A1277" s="2">
        <v>320</v>
      </c>
      <c r="B1277" s="3" t="s">
        <v>26</v>
      </c>
      <c r="C1277" s="3">
        <v>647</v>
      </c>
      <c r="D1277" s="3">
        <v>1</v>
      </c>
      <c r="E1277" s="3" t="s">
        <v>28</v>
      </c>
      <c r="F1277" s="3" t="s">
        <v>29</v>
      </c>
      <c r="G1277" s="3" t="str">
        <f>"2025-08-29 22:42:06.639"</f>
        <v>2025-08-29 22:42:06.639</v>
      </c>
      <c r="H1277" s="3" t="s">
        <v>21</v>
      </c>
      <c r="I1277" s="3">
        <v>9.83</v>
      </c>
      <c r="J1277" s="3" t="s">
        <v>33</v>
      </c>
    </row>
    <row r="1278" spans="1:10" s="3" customFormat="1" x14ac:dyDescent="0.25">
      <c r="A1278" s="2">
        <v>321</v>
      </c>
      <c r="B1278" s="3" t="s">
        <v>23</v>
      </c>
      <c r="C1278" s="3">
        <v>647</v>
      </c>
      <c r="D1278" s="3">
        <v>1</v>
      </c>
      <c r="E1278" s="3" t="s">
        <v>28</v>
      </c>
      <c r="F1278" s="3" t="s">
        <v>29</v>
      </c>
      <c r="G1278" s="3" t="str">
        <f>"2025-08-29 22:40:46.839"</f>
        <v>2025-08-29 22:40:46.839</v>
      </c>
      <c r="H1278" s="3" t="s">
        <v>21</v>
      </c>
    </row>
    <row r="1279" spans="1:10" s="3" customFormat="1" x14ac:dyDescent="0.25">
      <c r="A1279" s="2">
        <v>322</v>
      </c>
      <c r="B1279" s="3" t="s">
        <v>26</v>
      </c>
      <c r="C1279" s="3">
        <v>647</v>
      </c>
      <c r="D1279" s="3">
        <v>1</v>
      </c>
      <c r="E1279" s="3" t="s">
        <v>28</v>
      </c>
      <c r="F1279" s="3" t="s">
        <v>29</v>
      </c>
      <c r="G1279" s="3" t="str">
        <f>"2025-08-29 22:40:39.539"</f>
        <v>2025-08-29 22:40:39.539</v>
      </c>
      <c r="H1279" s="3" t="s">
        <v>21</v>
      </c>
      <c r="I1279" s="3">
        <v>18.760000000000002</v>
      </c>
      <c r="J1279" s="3" t="s">
        <v>33</v>
      </c>
    </row>
    <row r="1280" spans="1:10" x14ac:dyDescent="0.25">
      <c r="A1280" s="1">
        <v>323</v>
      </c>
      <c r="B1280" t="s">
        <v>19</v>
      </c>
      <c r="C1280">
        <v>700</v>
      </c>
      <c r="D1280">
        <v>0</v>
      </c>
      <c r="E1280" t="s">
        <v>20</v>
      </c>
      <c r="F1280" t="s">
        <v>20</v>
      </c>
      <c r="G1280" t="str">
        <f>"2025-08-29 20:38:21.623"</f>
        <v>2025-08-29 20:38:21.623</v>
      </c>
      <c r="H1280" t="s">
        <v>21</v>
      </c>
    </row>
    <row r="1281" spans="1:10" x14ac:dyDescent="0.25">
      <c r="A1281" s="1">
        <v>324</v>
      </c>
      <c r="B1281" t="s">
        <v>19</v>
      </c>
      <c r="C1281">
        <v>700</v>
      </c>
      <c r="D1281">
        <v>0</v>
      </c>
      <c r="E1281" t="s">
        <v>20</v>
      </c>
      <c r="F1281" t="s">
        <v>20</v>
      </c>
      <c r="G1281" t="str">
        <f>"2025-08-29 20:21:17.593"</f>
        <v>2025-08-29 20:21:17.593</v>
      </c>
      <c r="H1281" t="s">
        <v>21</v>
      </c>
    </row>
    <row r="1282" spans="1:10" x14ac:dyDescent="0.25">
      <c r="A1282" s="1">
        <v>325</v>
      </c>
      <c r="B1282" t="s">
        <v>23</v>
      </c>
      <c r="C1282">
        <v>98</v>
      </c>
      <c r="D1282">
        <v>1</v>
      </c>
      <c r="E1282" t="s">
        <v>49</v>
      </c>
      <c r="F1282" t="s">
        <v>50</v>
      </c>
      <c r="G1282" t="str">
        <f>"2025-08-28 22:19:37.520"</f>
        <v>2025-08-28 22:19:37.520</v>
      </c>
      <c r="H1282" t="s">
        <v>21</v>
      </c>
    </row>
    <row r="1283" spans="1:10" x14ac:dyDescent="0.25">
      <c r="A1283" s="1">
        <v>326</v>
      </c>
      <c r="B1283" t="s">
        <v>26</v>
      </c>
      <c r="C1283">
        <v>98</v>
      </c>
      <c r="D1283">
        <v>1</v>
      </c>
      <c r="E1283" t="s">
        <v>49</v>
      </c>
      <c r="F1283" t="s">
        <v>50</v>
      </c>
      <c r="G1283" t="str">
        <f>"2025-08-28 22:19:36.521"</f>
        <v>2025-08-28 22:19:36.521</v>
      </c>
      <c r="H1283" t="s">
        <v>21</v>
      </c>
      <c r="I1283">
        <v>0</v>
      </c>
      <c r="J1283" t="s">
        <v>30</v>
      </c>
    </row>
    <row r="1284" spans="1:10" x14ac:dyDescent="0.25">
      <c r="A1284" s="1">
        <v>327</v>
      </c>
      <c r="B1284" t="s">
        <v>19</v>
      </c>
      <c r="C1284">
        <v>700</v>
      </c>
      <c r="D1284">
        <v>0</v>
      </c>
      <c r="E1284" t="s">
        <v>20</v>
      </c>
      <c r="F1284" t="s">
        <v>20</v>
      </c>
      <c r="G1284" t="str">
        <f>"2025-08-28 22:10:49.805"</f>
        <v>2025-08-28 22:10:49.805</v>
      </c>
      <c r="H1284" t="s">
        <v>21</v>
      </c>
    </row>
    <row r="1285" spans="1:10" x14ac:dyDescent="0.25">
      <c r="A1285" s="1">
        <v>328</v>
      </c>
      <c r="B1285" t="s">
        <v>19</v>
      </c>
      <c r="C1285">
        <v>700</v>
      </c>
      <c r="D1285">
        <v>0</v>
      </c>
      <c r="E1285" t="s">
        <v>20</v>
      </c>
      <c r="F1285" t="s">
        <v>20</v>
      </c>
      <c r="G1285" t="str">
        <f>"2025-08-27 19:42:32.592"</f>
        <v>2025-08-27 19:42:32.592</v>
      </c>
      <c r="H1285" t="s">
        <v>21</v>
      </c>
      <c r="I1285">
        <v>0</v>
      </c>
      <c r="J1285" t="s">
        <v>22</v>
      </c>
    </row>
    <row r="1286" spans="1:10" x14ac:dyDescent="0.25">
      <c r="A1286" s="1">
        <v>329</v>
      </c>
      <c r="B1286" t="s">
        <v>19</v>
      </c>
      <c r="C1286">
        <v>700</v>
      </c>
      <c r="D1286">
        <v>0</v>
      </c>
      <c r="E1286" t="s">
        <v>20</v>
      </c>
      <c r="F1286" t="s">
        <v>20</v>
      </c>
      <c r="G1286" t="str">
        <f>"2025-08-27 10:03:31.582"</f>
        <v>2025-08-27 10:03:31.582</v>
      </c>
      <c r="H1286" t="s">
        <v>21</v>
      </c>
    </row>
    <row r="1287" spans="1:10" x14ac:dyDescent="0.25">
      <c r="A1287" s="1">
        <v>330</v>
      </c>
      <c r="B1287" t="s">
        <v>19</v>
      </c>
      <c r="C1287">
        <v>706</v>
      </c>
      <c r="D1287">
        <v>4</v>
      </c>
      <c r="E1287" t="s">
        <v>31</v>
      </c>
      <c r="F1287" t="s">
        <v>32</v>
      </c>
      <c r="G1287" t="str">
        <f>"2025-08-27 03:17:17.967"</f>
        <v>2025-08-27 03:17:17.967</v>
      </c>
      <c r="H1287" t="s">
        <v>21</v>
      </c>
      <c r="I1287">
        <v>0</v>
      </c>
      <c r="J1287" t="s">
        <v>27</v>
      </c>
    </row>
    <row r="1288" spans="1:10" x14ac:dyDescent="0.25">
      <c r="A1288" s="1">
        <v>331</v>
      </c>
      <c r="B1288" t="s">
        <v>34</v>
      </c>
      <c r="C1288">
        <v>33</v>
      </c>
      <c r="D1288">
        <v>1</v>
      </c>
      <c r="E1288" t="s">
        <v>35</v>
      </c>
      <c r="F1288" t="s">
        <v>36</v>
      </c>
      <c r="G1288" t="str">
        <f>"2025-08-27 03:16:40.401"</f>
        <v>2025-08-27 03:16:40.401</v>
      </c>
      <c r="H1288" t="s">
        <v>37</v>
      </c>
    </row>
    <row r="1289" spans="1:10" x14ac:dyDescent="0.25">
      <c r="A1289" s="1">
        <v>332</v>
      </c>
      <c r="B1289" t="s">
        <v>38</v>
      </c>
      <c r="C1289">
        <v>33</v>
      </c>
      <c r="D1289">
        <v>1</v>
      </c>
      <c r="E1289" t="s">
        <v>35</v>
      </c>
      <c r="F1289" t="s">
        <v>36</v>
      </c>
      <c r="G1289" t="str">
        <f>"2025-08-27 03:16:07.760"</f>
        <v>2025-08-27 03:16:07.760</v>
      </c>
      <c r="H1289" t="s">
        <v>37</v>
      </c>
      <c r="I1289">
        <v>8</v>
      </c>
      <c r="J1289" t="s">
        <v>39</v>
      </c>
    </row>
    <row r="1290" spans="1:10" x14ac:dyDescent="0.25">
      <c r="A1290" s="1">
        <v>333</v>
      </c>
      <c r="B1290" t="s">
        <v>19</v>
      </c>
      <c r="C1290">
        <v>706</v>
      </c>
      <c r="D1290">
        <v>4</v>
      </c>
      <c r="E1290" t="s">
        <v>31</v>
      </c>
      <c r="F1290" t="s">
        <v>32</v>
      </c>
      <c r="G1290" t="str">
        <f>"2025-08-26 20:45:49.417"</f>
        <v>2025-08-26 20:45:49.417</v>
      </c>
      <c r="H1290" t="s">
        <v>21</v>
      </c>
      <c r="I1290">
        <v>0</v>
      </c>
      <c r="J1290" t="s">
        <v>27</v>
      </c>
    </row>
    <row r="1291" spans="1:10" x14ac:dyDescent="0.25">
      <c r="A1291" s="1">
        <v>334</v>
      </c>
      <c r="B1291" t="s">
        <v>19</v>
      </c>
      <c r="C1291">
        <v>700</v>
      </c>
      <c r="D1291">
        <v>0</v>
      </c>
      <c r="E1291" t="s">
        <v>20</v>
      </c>
      <c r="F1291" t="s">
        <v>20</v>
      </c>
      <c r="G1291" t="str">
        <f>"2025-08-26 20:44:42.587"</f>
        <v>2025-08-26 20:44:42.587</v>
      </c>
      <c r="H1291" t="s">
        <v>21</v>
      </c>
      <c r="I1291">
        <v>0</v>
      </c>
      <c r="J1291" t="s">
        <v>22</v>
      </c>
    </row>
    <row r="1292" spans="1:10" x14ac:dyDescent="0.25">
      <c r="A1292" s="1">
        <v>335</v>
      </c>
      <c r="B1292" t="s">
        <v>19</v>
      </c>
      <c r="C1292">
        <v>700</v>
      </c>
      <c r="D1292">
        <v>0</v>
      </c>
      <c r="E1292" t="s">
        <v>20</v>
      </c>
      <c r="F1292" t="s">
        <v>20</v>
      </c>
      <c r="G1292" t="str">
        <f>"2025-08-26 13:39:41.596"</f>
        <v>2025-08-26 13:39:41.596</v>
      </c>
      <c r="H1292" t="s">
        <v>21</v>
      </c>
    </row>
    <row r="1293" spans="1:10" s="3" customFormat="1" x14ac:dyDescent="0.25">
      <c r="A1293" s="2">
        <v>336</v>
      </c>
      <c r="B1293" s="3" t="s">
        <v>23</v>
      </c>
      <c r="C1293" s="3">
        <v>647</v>
      </c>
      <c r="D1293" s="3">
        <v>1</v>
      </c>
      <c r="E1293" s="3" t="s">
        <v>28</v>
      </c>
      <c r="F1293" s="3" t="s">
        <v>29</v>
      </c>
      <c r="G1293" s="3" t="str">
        <f>"2025-08-25 07:16:15.484"</f>
        <v>2025-08-25 07:16:15.484</v>
      </c>
      <c r="H1293" s="3" t="s">
        <v>21</v>
      </c>
    </row>
    <row r="1294" spans="1:10" s="3" customFormat="1" x14ac:dyDescent="0.25">
      <c r="A1294" s="2">
        <v>337</v>
      </c>
      <c r="B1294" s="3" t="s">
        <v>26</v>
      </c>
      <c r="C1294" s="3">
        <v>647</v>
      </c>
      <c r="D1294" s="3">
        <v>1</v>
      </c>
      <c r="E1294" s="3" t="s">
        <v>28</v>
      </c>
      <c r="F1294" s="3" t="s">
        <v>29</v>
      </c>
      <c r="G1294" s="3" t="str">
        <f>"2025-08-25 07:16:12.584"</f>
        <v>2025-08-25 07:16:12.584</v>
      </c>
      <c r="H1294" s="3" t="s">
        <v>21</v>
      </c>
      <c r="I1294" s="3">
        <v>17.559999999999999</v>
      </c>
      <c r="J1294" s="3" t="s">
        <v>33</v>
      </c>
    </row>
    <row r="1295" spans="1:10" s="3" customFormat="1" x14ac:dyDescent="0.25">
      <c r="A1295" s="2">
        <v>338</v>
      </c>
      <c r="B1295" s="3" t="s">
        <v>23</v>
      </c>
      <c r="C1295" s="3">
        <v>647</v>
      </c>
      <c r="D1295" s="3">
        <v>1</v>
      </c>
      <c r="E1295" s="3" t="s">
        <v>28</v>
      </c>
      <c r="F1295" s="3" t="s">
        <v>29</v>
      </c>
      <c r="G1295" s="3" t="str">
        <f>"2025-08-25 05:27:34.384"</f>
        <v>2025-08-25 05:27:34.384</v>
      </c>
      <c r="H1295" s="3" t="s">
        <v>21</v>
      </c>
    </row>
    <row r="1296" spans="1:10" s="3" customFormat="1" x14ac:dyDescent="0.25">
      <c r="A1296" s="2">
        <v>339</v>
      </c>
      <c r="B1296" s="3" t="s">
        <v>26</v>
      </c>
      <c r="C1296" s="3">
        <v>647</v>
      </c>
      <c r="D1296" s="3">
        <v>1</v>
      </c>
      <c r="E1296" s="3" t="s">
        <v>28</v>
      </c>
      <c r="F1296" s="3" t="s">
        <v>29</v>
      </c>
      <c r="G1296" s="3" t="str">
        <f>"2025-08-25 05:27:33.084"</f>
        <v>2025-08-25 05:27:33.084</v>
      </c>
      <c r="H1296" s="3" t="s">
        <v>21</v>
      </c>
      <c r="I1296" s="3">
        <v>13.66</v>
      </c>
      <c r="J1296" s="3" t="s">
        <v>30</v>
      </c>
    </row>
    <row r="1297" spans="1:10" s="3" customFormat="1" x14ac:dyDescent="0.25">
      <c r="A1297" s="2">
        <v>340</v>
      </c>
      <c r="B1297" s="3" t="s">
        <v>23</v>
      </c>
      <c r="C1297" s="3">
        <v>647</v>
      </c>
      <c r="D1297" s="3">
        <v>1</v>
      </c>
      <c r="E1297" s="3" t="s">
        <v>28</v>
      </c>
      <c r="F1297" s="3" t="s">
        <v>29</v>
      </c>
      <c r="G1297" s="3" t="str">
        <f>"2025-08-24 22:45:59.584"</f>
        <v>2025-08-24 22:45:59.584</v>
      </c>
      <c r="H1297" s="3" t="s">
        <v>21</v>
      </c>
    </row>
    <row r="1298" spans="1:10" s="3" customFormat="1" x14ac:dyDescent="0.25">
      <c r="A1298" s="2">
        <v>341</v>
      </c>
      <c r="B1298" s="3" t="s">
        <v>26</v>
      </c>
      <c r="C1298" s="3">
        <v>647</v>
      </c>
      <c r="D1298" s="3">
        <v>1</v>
      </c>
      <c r="E1298" s="3" t="s">
        <v>28</v>
      </c>
      <c r="F1298" s="3" t="s">
        <v>29</v>
      </c>
      <c r="G1298" s="3" t="str">
        <f>"2025-08-24 22:45:54.284"</f>
        <v>2025-08-24 22:45:54.284</v>
      </c>
      <c r="H1298" s="3" t="s">
        <v>21</v>
      </c>
      <c r="I1298" s="3">
        <v>11.4</v>
      </c>
      <c r="J1298" s="3" t="s">
        <v>33</v>
      </c>
    </row>
    <row r="1299" spans="1:10" x14ac:dyDescent="0.25">
      <c r="A1299" s="1">
        <v>342</v>
      </c>
      <c r="B1299" t="s">
        <v>19</v>
      </c>
      <c r="C1299">
        <v>700</v>
      </c>
      <c r="D1299">
        <v>0</v>
      </c>
      <c r="E1299" t="s">
        <v>20</v>
      </c>
      <c r="F1299" t="s">
        <v>20</v>
      </c>
      <c r="G1299" t="str">
        <f>"2025-08-24 09:22:47.568"</f>
        <v>2025-08-24 09:22:47.568</v>
      </c>
      <c r="H1299" t="s">
        <v>21</v>
      </c>
    </row>
    <row r="1300" spans="1:10" x14ac:dyDescent="0.25">
      <c r="A1300" s="1">
        <v>343</v>
      </c>
      <c r="B1300" t="s">
        <v>19</v>
      </c>
      <c r="C1300">
        <v>700</v>
      </c>
      <c r="D1300">
        <v>0</v>
      </c>
      <c r="E1300" t="s">
        <v>20</v>
      </c>
      <c r="F1300" t="s">
        <v>20</v>
      </c>
      <c r="G1300" t="str">
        <f>"2025-08-24 09:00:16.575"</f>
        <v>2025-08-24 09:00:16.575</v>
      </c>
      <c r="H1300" t="s">
        <v>21</v>
      </c>
      <c r="I1300">
        <v>0</v>
      </c>
      <c r="J1300" t="s">
        <v>22</v>
      </c>
    </row>
    <row r="1301" spans="1:10" x14ac:dyDescent="0.25">
      <c r="A1301" s="1">
        <v>344</v>
      </c>
      <c r="B1301" t="s">
        <v>19</v>
      </c>
      <c r="C1301">
        <v>700</v>
      </c>
      <c r="D1301">
        <v>0</v>
      </c>
      <c r="E1301" t="s">
        <v>20</v>
      </c>
      <c r="F1301" t="s">
        <v>20</v>
      </c>
      <c r="G1301" t="str">
        <f>"2025-08-23 02:41:50.580"</f>
        <v>2025-08-23 02:41:50.580</v>
      </c>
      <c r="H1301" t="s">
        <v>21</v>
      </c>
    </row>
    <row r="1302" spans="1:10" x14ac:dyDescent="0.25">
      <c r="A1302" s="1">
        <v>345</v>
      </c>
      <c r="B1302" t="s">
        <v>19</v>
      </c>
      <c r="C1302">
        <v>700</v>
      </c>
      <c r="D1302">
        <v>0</v>
      </c>
      <c r="E1302" t="s">
        <v>20</v>
      </c>
      <c r="F1302" t="s">
        <v>20</v>
      </c>
      <c r="G1302" t="str">
        <f>"2025-08-22 12:27:55.577"</f>
        <v>2025-08-22 12:27:55.577</v>
      </c>
      <c r="H1302" t="s">
        <v>21</v>
      </c>
      <c r="I1302">
        <v>0</v>
      </c>
      <c r="J1302" t="s">
        <v>22</v>
      </c>
    </row>
    <row r="1303" spans="1:10" x14ac:dyDescent="0.25">
      <c r="A1303" s="1">
        <v>346</v>
      </c>
      <c r="B1303" t="s">
        <v>19</v>
      </c>
      <c r="C1303">
        <v>700</v>
      </c>
      <c r="D1303">
        <v>0</v>
      </c>
      <c r="E1303" t="s">
        <v>20</v>
      </c>
      <c r="F1303" t="s">
        <v>20</v>
      </c>
      <c r="G1303" t="str">
        <f>"2025-08-22 10:06:31.573"</f>
        <v>2025-08-22 10:06:31.573</v>
      </c>
      <c r="H1303" t="s">
        <v>21</v>
      </c>
    </row>
    <row r="1304" spans="1:10" x14ac:dyDescent="0.25">
      <c r="A1304" s="1">
        <v>347</v>
      </c>
      <c r="B1304" t="s">
        <v>19</v>
      </c>
      <c r="C1304">
        <v>700</v>
      </c>
      <c r="D1304">
        <v>0</v>
      </c>
      <c r="E1304" t="s">
        <v>20</v>
      </c>
      <c r="F1304" t="s">
        <v>20</v>
      </c>
      <c r="G1304" t="str">
        <f>"2025-08-22 09:57:20.769"</f>
        <v>2025-08-22 09:57:20.769</v>
      </c>
      <c r="H1304" t="s">
        <v>21</v>
      </c>
      <c r="I1304">
        <v>0</v>
      </c>
      <c r="J1304" t="s">
        <v>22</v>
      </c>
    </row>
    <row r="1305" spans="1:10" x14ac:dyDescent="0.25">
      <c r="A1305" s="1">
        <v>348</v>
      </c>
      <c r="B1305" t="s">
        <v>19</v>
      </c>
      <c r="C1305">
        <v>700</v>
      </c>
      <c r="D1305">
        <v>0</v>
      </c>
      <c r="E1305" t="s">
        <v>20</v>
      </c>
      <c r="F1305" t="s">
        <v>20</v>
      </c>
      <c r="G1305" t="str">
        <f>"2025-08-22 04:13:08.597"</f>
        <v>2025-08-22 04:13:08.597</v>
      </c>
      <c r="H1305" t="s">
        <v>21</v>
      </c>
    </row>
    <row r="1306" spans="1:10" x14ac:dyDescent="0.25">
      <c r="A1306" s="1">
        <v>349</v>
      </c>
      <c r="B1306" t="s">
        <v>23</v>
      </c>
      <c r="C1306">
        <v>98</v>
      </c>
      <c r="D1306">
        <v>1</v>
      </c>
      <c r="E1306" t="s">
        <v>49</v>
      </c>
      <c r="F1306" t="s">
        <v>50</v>
      </c>
      <c r="G1306" t="str">
        <f>"2025-08-21 22:50:39.503"</f>
        <v>2025-08-21 22:50:39.503</v>
      </c>
      <c r="H1306" t="s">
        <v>21</v>
      </c>
    </row>
    <row r="1307" spans="1:10" x14ac:dyDescent="0.25">
      <c r="A1307" s="1">
        <v>350</v>
      </c>
      <c r="B1307" t="s">
        <v>26</v>
      </c>
      <c r="C1307">
        <v>98</v>
      </c>
      <c r="D1307">
        <v>1</v>
      </c>
      <c r="E1307" t="s">
        <v>49</v>
      </c>
      <c r="F1307" t="s">
        <v>50</v>
      </c>
      <c r="G1307" t="str">
        <f>"2025-08-21 22:50:38.503"</f>
        <v>2025-08-21 22:50:38.503</v>
      </c>
      <c r="H1307" t="s">
        <v>21</v>
      </c>
      <c r="I1307">
        <v>0</v>
      </c>
      <c r="J1307" t="s">
        <v>30</v>
      </c>
    </row>
    <row r="1308" spans="1:10" x14ac:dyDescent="0.25">
      <c r="A1308" s="1">
        <v>351</v>
      </c>
      <c r="B1308" t="s">
        <v>23</v>
      </c>
      <c r="C1308">
        <v>98</v>
      </c>
      <c r="D1308">
        <v>1</v>
      </c>
      <c r="E1308" t="s">
        <v>49</v>
      </c>
      <c r="F1308" t="s">
        <v>50</v>
      </c>
      <c r="G1308" t="str">
        <f>"2025-08-21 22:49:07.903"</f>
        <v>2025-08-21 22:49:07.903</v>
      </c>
      <c r="H1308" t="s">
        <v>21</v>
      </c>
    </row>
    <row r="1309" spans="1:10" x14ac:dyDescent="0.25">
      <c r="A1309" s="1">
        <v>352</v>
      </c>
      <c r="B1309" t="s">
        <v>26</v>
      </c>
      <c r="C1309">
        <v>98</v>
      </c>
      <c r="D1309">
        <v>1</v>
      </c>
      <c r="E1309" t="s">
        <v>49</v>
      </c>
      <c r="F1309" t="s">
        <v>50</v>
      </c>
      <c r="G1309" t="str">
        <f>"2025-08-21 22:49:06.904"</f>
        <v>2025-08-21 22:49:06.904</v>
      </c>
      <c r="H1309" t="s">
        <v>21</v>
      </c>
      <c r="I1309">
        <v>0</v>
      </c>
      <c r="J1309" t="s">
        <v>30</v>
      </c>
    </row>
    <row r="1310" spans="1:10" x14ac:dyDescent="0.25">
      <c r="A1310" s="1">
        <v>353</v>
      </c>
      <c r="B1310" t="s">
        <v>23</v>
      </c>
      <c r="C1310">
        <v>98</v>
      </c>
      <c r="D1310">
        <v>1</v>
      </c>
      <c r="E1310" t="s">
        <v>49</v>
      </c>
      <c r="F1310" t="s">
        <v>50</v>
      </c>
      <c r="G1310" t="str">
        <f>"2025-08-21 22:49:05.503"</f>
        <v>2025-08-21 22:49:05.503</v>
      </c>
      <c r="H1310" t="s">
        <v>21</v>
      </c>
    </row>
    <row r="1311" spans="1:10" x14ac:dyDescent="0.25">
      <c r="A1311" s="1">
        <v>354</v>
      </c>
      <c r="B1311" t="s">
        <v>26</v>
      </c>
      <c r="C1311">
        <v>98</v>
      </c>
      <c r="D1311">
        <v>1</v>
      </c>
      <c r="E1311" t="s">
        <v>49</v>
      </c>
      <c r="F1311" t="s">
        <v>50</v>
      </c>
      <c r="G1311" t="str">
        <f>"2025-08-21 22:49:04.504"</f>
        <v>2025-08-21 22:49:04.504</v>
      </c>
      <c r="H1311" t="s">
        <v>21</v>
      </c>
      <c r="I1311">
        <v>0</v>
      </c>
      <c r="J1311" t="s">
        <v>30</v>
      </c>
    </row>
    <row r="1312" spans="1:10" x14ac:dyDescent="0.25">
      <c r="A1312" s="1">
        <v>355</v>
      </c>
      <c r="B1312" t="s">
        <v>19</v>
      </c>
      <c r="C1312">
        <v>706</v>
      </c>
      <c r="D1312">
        <v>4</v>
      </c>
      <c r="E1312" t="s">
        <v>31</v>
      </c>
      <c r="F1312" t="s">
        <v>32</v>
      </c>
      <c r="G1312" t="str">
        <f>"2025-08-21 22:46:25.949"</f>
        <v>2025-08-21 22:46:25.949</v>
      </c>
      <c r="H1312" t="s">
        <v>21</v>
      </c>
      <c r="I1312">
        <v>0</v>
      </c>
      <c r="J1312" t="s">
        <v>27</v>
      </c>
    </row>
    <row r="1313" spans="1:10" x14ac:dyDescent="0.25">
      <c r="A1313" s="1">
        <v>356</v>
      </c>
      <c r="B1313" t="s">
        <v>19</v>
      </c>
      <c r="C1313">
        <v>700</v>
      </c>
      <c r="D1313">
        <v>0</v>
      </c>
      <c r="E1313" t="s">
        <v>20</v>
      </c>
      <c r="F1313" t="s">
        <v>20</v>
      </c>
      <c r="G1313" t="str">
        <f>"2025-08-21 22:45:14.589"</f>
        <v>2025-08-21 22:45:14.589</v>
      </c>
      <c r="H1313" t="s">
        <v>21</v>
      </c>
      <c r="I1313">
        <v>0</v>
      </c>
      <c r="J1313" t="s">
        <v>22</v>
      </c>
    </row>
    <row r="1314" spans="1:10" x14ac:dyDescent="0.25">
      <c r="A1314" s="1">
        <v>357</v>
      </c>
      <c r="B1314" t="s">
        <v>23</v>
      </c>
      <c r="C1314">
        <v>635</v>
      </c>
      <c r="D1314">
        <v>1</v>
      </c>
      <c r="E1314" t="s">
        <v>44</v>
      </c>
      <c r="F1314" t="s">
        <v>45</v>
      </c>
      <c r="G1314" t="str">
        <f>"2025-08-21 14:34:50.837"</f>
        <v>2025-08-21 14:34:50.837</v>
      </c>
      <c r="H1314" t="s">
        <v>21</v>
      </c>
    </row>
    <row r="1315" spans="1:10" x14ac:dyDescent="0.25">
      <c r="A1315" s="1">
        <v>358</v>
      </c>
      <c r="B1315" t="s">
        <v>26</v>
      </c>
      <c r="C1315">
        <v>635</v>
      </c>
      <c r="D1315">
        <v>1</v>
      </c>
      <c r="E1315" t="s">
        <v>44</v>
      </c>
      <c r="F1315" t="s">
        <v>45</v>
      </c>
      <c r="G1315" t="str">
        <f>"2025-08-21 14:27:45.837"</f>
        <v>2025-08-21 14:27:45.837</v>
      </c>
      <c r="H1315" t="s">
        <v>21</v>
      </c>
      <c r="I1315">
        <v>5.01</v>
      </c>
      <c r="J1315" t="s">
        <v>30</v>
      </c>
    </row>
    <row r="1316" spans="1:10" x14ac:dyDescent="0.25">
      <c r="A1316" s="1">
        <v>359</v>
      </c>
      <c r="B1316" t="s">
        <v>19</v>
      </c>
      <c r="C1316">
        <v>700</v>
      </c>
      <c r="D1316">
        <v>0</v>
      </c>
      <c r="E1316" t="s">
        <v>20</v>
      </c>
      <c r="F1316" t="s">
        <v>20</v>
      </c>
      <c r="G1316" t="str">
        <f>"2025-08-21 10:32:08.565"</f>
        <v>2025-08-21 10:32:08.565</v>
      </c>
      <c r="H1316" t="s">
        <v>21</v>
      </c>
    </row>
    <row r="1317" spans="1:10" x14ac:dyDescent="0.25">
      <c r="A1317" s="1">
        <v>360</v>
      </c>
      <c r="B1317" t="s">
        <v>19</v>
      </c>
      <c r="C1317">
        <v>700</v>
      </c>
      <c r="D1317">
        <v>0</v>
      </c>
      <c r="E1317" t="s">
        <v>20</v>
      </c>
      <c r="F1317" t="s">
        <v>20</v>
      </c>
      <c r="G1317" t="str">
        <f>"2025-08-21 09:45:02.633"</f>
        <v>2025-08-21 09:45:02.633</v>
      </c>
      <c r="H1317" t="s">
        <v>21</v>
      </c>
      <c r="I1317">
        <v>0</v>
      </c>
      <c r="J1317" t="s">
        <v>22</v>
      </c>
    </row>
    <row r="1318" spans="1:10" x14ac:dyDescent="0.25">
      <c r="A1318" s="1">
        <v>361</v>
      </c>
      <c r="B1318" t="s">
        <v>19</v>
      </c>
      <c r="C1318">
        <v>700</v>
      </c>
      <c r="D1318">
        <v>0</v>
      </c>
      <c r="E1318" t="s">
        <v>20</v>
      </c>
      <c r="F1318" t="s">
        <v>20</v>
      </c>
      <c r="G1318" t="str">
        <f>"2025-08-21 08:54:21.562"</f>
        <v>2025-08-21 08:54:21.562</v>
      </c>
      <c r="H1318" t="s">
        <v>21</v>
      </c>
    </row>
    <row r="1319" spans="1:10" x14ac:dyDescent="0.25">
      <c r="A1319" s="1">
        <v>362</v>
      </c>
      <c r="B1319" t="s">
        <v>19</v>
      </c>
      <c r="C1319">
        <v>706</v>
      </c>
      <c r="D1319">
        <v>4</v>
      </c>
      <c r="E1319" t="s">
        <v>31</v>
      </c>
      <c r="F1319" t="s">
        <v>32</v>
      </c>
      <c r="G1319" t="str">
        <f>"2025-08-21 05:11:23.818"</f>
        <v>2025-08-21 05:11:23.818</v>
      </c>
      <c r="H1319" t="s">
        <v>21</v>
      </c>
      <c r="I1319">
        <v>0</v>
      </c>
      <c r="J1319" t="s">
        <v>27</v>
      </c>
    </row>
    <row r="1320" spans="1:10" x14ac:dyDescent="0.25">
      <c r="A1320" s="1">
        <v>363</v>
      </c>
      <c r="B1320" t="s">
        <v>19</v>
      </c>
      <c r="C1320">
        <v>700</v>
      </c>
      <c r="D1320">
        <v>0</v>
      </c>
      <c r="E1320" t="s">
        <v>20</v>
      </c>
      <c r="F1320" t="s">
        <v>20</v>
      </c>
      <c r="G1320" t="str">
        <f>"2025-08-21 05:01:54.568"</f>
        <v>2025-08-21 05:01:54.568</v>
      </c>
      <c r="H1320" t="s">
        <v>21</v>
      </c>
    </row>
    <row r="1321" spans="1:10" x14ac:dyDescent="0.25">
      <c r="A1321" s="1">
        <v>364</v>
      </c>
      <c r="B1321" t="s">
        <v>19</v>
      </c>
      <c r="C1321">
        <v>700</v>
      </c>
      <c r="D1321">
        <v>0</v>
      </c>
      <c r="E1321" t="s">
        <v>20</v>
      </c>
      <c r="F1321" t="s">
        <v>20</v>
      </c>
      <c r="G1321" t="str">
        <f>"2025-08-21 03:45:32.768"</f>
        <v>2025-08-21 03:45:32.768</v>
      </c>
      <c r="H1321" t="s">
        <v>21</v>
      </c>
      <c r="I1321">
        <v>0</v>
      </c>
      <c r="J1321" t="s">
        <v>22</v>
      </c>
    </row>
    <row r="1322" spans="1:10" x14ac:dyDescent="0.25">
      <c r="A1322" s="1">
        <v>365</v>
      </c>
      <c r="B1322" t="s">
        <v>23</v>
      </c>
      <c r="C1322">
        <v>98</v>
      </c>
      <c r="D1322">
        <v>1</v>
      </c>
      <c r="E1322" t="s">
        <v>49</v>
      </c>
      <c r="F1322" t="s">
        <v>50</v>
      </c>
      <c r="G1322" t="str">
        <f>"2025-08-20 23:11:04.681"</f>
        <v>2025-08-20 23:11:04.681</v>
      </c>
      <c r="H1322" t="s">
        <v>21</v>
      </c>
    </row>
    <row r="1323" spans="1:10" x14ac:dyDescent="0.25">
      <c r="A1323" s="1">
        <v>366</v>
      </c>
      <c r="B1323" t="s">
        <v>26</v>
      </c>
      <c r="C1323">
        <v>98</v>
      </c>
      <c r="D1323">
        <v>1</v>
      </c>
      <c r="E1323" t="s">
        <v>49</v>
      </c>
      <c r="F1323" t="s">
        <v>50</v>
      </c>
      <c r="G1323" t="str">
        <f>"2025-08-20 23:11:03.581"</f>
        <v>2025-08-20 23:11:03.581</v>
      </c>
      <c r="H1323" t="s">
        <v>21</v>
      </c>
      <c r="I1323">
        <v>0</v>
      </c>
      <c r="J1323" t="s">
        <v>30</v>
      </c>
    </row>
    <row r="1324" spans="1:10" x14ac:dyDescent="0.25">
      <c r="A1324" s="1">
        <v>367</v>
      </c>
      <c r="B1324" t="s">
        <v>23</v>
      </c>
      <c r="C1324">
        <v>98</v>
      </c>
      <c r="D1324">
        <v>1</v>
      </c>
      <c r="E1324" t="s">
        <v>49</v>
      </c>
      <c r="F1324" t="s">
        <v>50</v>
      </c>
      <c r="G1324" t="str">
        <f>"2025-08-20 23:11:02.881"</f>
        <v>2025-08-20 23:11:02.881</v>
      </c>
      <c r="H1324" t="s">
        <v>21</v>
      </c>
    </row>
    <row r="1325" spans="1:10" x14ac:dyDescent="0.25">
      <c r="A1325" s="1">
        <v>368</v>
      </c>
      <c r="B1325" t="s">
        <v>26</v>
      </c>
      <c r="C1325">
        <v>98</v>
      </c>
      <c r="D1325">
        <v>1</v>
      </c>
      <c r="E1325" t="s">
        <v>49</v>
      </c>
      <c r="F1325" t="s">
        <v>50</v>
      </c>
      <c r="G1325" t="str">
        <f>"2025-08-20 23:11:01.782"</f>
        <v>2025-08-20 23:11:01.782</v>
      </c>
      <c r="H1325" t="s">
        <v>21</v>
      </c>
      <c r="I1325">
        <v>0</v>
      </c>
      <c r="J1325" t="s">
        <v>30</v>
      </c>
    </row>
    <row r="1326" spans="1:10" x14ac:dyDescent="0.25">
      <c r="A1326" s="1">
        <v>369</v>
      </c>
      <c r="B1326" t="s">
        <v>19</v>
      </c>
      <c r="C1326">
        <v>700</v>
      </c>
      <c r="D1326">
        <v>0</v>
      </c>
      <c r="E1326" t="s">
        <v>20</v>
      </c>
      <c r="F1326" t="s">
        <v>20</v>
      </c>
      <c r="G1326" t="str">
        <f>"2025-08-20 23:05:24.566"</f>
        <v>2025-08-20 23:05:24.566</v>
      </c>
      <c r="H1326" t="s">
        <v>21</v>
      </c>
      <c r="I1326">
        <v>0</v>
      </c>
      <c r="J1326" t="s">
        <v>22</v>
      </c>
    </row>
    <row r="1327" spans="1:10" x14ac:dyDescent="0.25">
      <c r="A1327" s="1">
        <v>370</v>
      </c>
      <c r="B1327" t="s">
        <v>23</v>
      </c>
      <c r="C1327">
        <v>635</v>
      </c>
      <c r="D1327">
        <v>1</v>
      </c>
      <c r="E1327" t="s">
        <v>44</v>
      </c>
      <c r="F1327" t="s">
        <v>45</v>
      </c>
      <c r="G1327" t="str">
        <f>"2025-08-20 18:10:58.060"</f>
        <v>2025-08-20 18:10:58.060</v>
      </c>
      <c r="H1327" t="s">
        <v>21</v>
      </c>
    </row>
    <row r="1328" spans="1:10" x14ac:dyDescent="0.25">
      <c r="A1328" s="1">
        <v>371</v>
      </c>
      <c r="B1328" t="s">
        <v>26</v>
      </c>
      <c r="C1328">
        <v>635</v>
      </c>
      <c r="D1328">
        <v>1</v>
      </c>
      <c r="E1328" t="s">
        <v>44</v>
      </c>
      <c r="F1328" t="s">
        <v>45</v>
      </c>
      <c r="G1328" t="str">
        <f>"2025-08-20 18:06:42.560"</f>
        <v>2025-08-20 18:06:42.560</v>
      </c>
      <c r="H1328" t="s">
        <v>21</v>
      </c>
      <c r="I1328">
        <v>4.1399999999999997</v>
      </c>
      <c r="J1328" t="s">
        <v>30</v>
      </c>
    </row>
    <row r="1329" spans="1:10" x14ac:dyDescent="0.25">
      <c r="A1329" s="1">
        <v>372</v>
      </c>
      <c r="B1329" t="s">
        <v>19</v>
      </c>
      <c r="C1329">
        <v>706</v>
      </c>
      <c r="D1329">
        <v>2</v>
      </c>
      <c r="E1329" t="s">
        <v>31</v>
      </c>
      <c r="F1329" t="s">
        <v>43</v>
      </c>
      <c r="G1329" t="str">
        <f>"2025-08-20 09:08:39.615"</f>
        <v>2025-08-20 09:08:39.615</v>
      </c>
      <c r="H1329" t="s">
        <v>21</v>
      </c>
      <c r="I1329">
        <v>0</v>
      </c>
      <c r="J1329" t="s">
        <v>27</v>
      </c>
    </row>
    <row r="1330" spans="1:10" x14ac:dyDescent="0.25">
      <c r="A1330" s="1">
        <v>373</v>
      </c>
      <c r="B1330" t="s">
        <v>19</v>
      </c>
      <c r="C1330">
        <v>700</v>
      </c>
      <c r="D1330">
        <v>0</v>
      </c>
      <c r="E1330" t="s">
        <v>20</v>
      </c>
      <c r="F1330" t="s">
        <v>20</v>
      </c>
      <c r="G1330" t="str">
        <f>"2025-08-20 09:08:04.605"</f>
        <v>2025-08-20 09:08:04.605</v>
      </c>
      <c r="H1330" t="s">
        <v>21</v>
      </c>
      <c r="I1330">
        <v>0</v>
      </c>
      <c r="J1330" t="s">
        <v>22</v>
      </c>
    </row>
    <row r="1331" spans="1:10" x14ac:dyDescent="0.25">
      <c r="A1331" s="1">
        <v>374</v>
      </c>
      <c r="B1331" t="s">
        <v>23</v>
      </c>
      <c r="C1331">
        <v>98</v>
      </c>
      <c r="D1331">
        <v>1</v>
      </c>
      <c r="E1331" t="s">
        <v>49</v>
      </c>
      <c r="F1331" t="s">
        <v>50</v>
      </c>
      <c r="G1331" t="str">
        <f>"2025-08-20 02:35:10.472"</f>
        <v>2025-08-20 02:35:10.472</v>
      </c>
      <c r="H1331" t="s">
        <v>21</v>
      </c>
    </row>
    <row r="1332" spans="1:10" x14ac:dyDescent="0.25">
      <c r="A1332" s="1">
        <v>375</v>
      </c>
      <c r="B1332" t="s">
        <v>26</v>
      </c>
      <c r="C1332">
        <v>98</v>
      </c>
      <c r="D1332">
        <v>1</v>
      </c>
      <c r="E1332" t="s">
        <v>49</v>
      </c>
      <c r="F1332" t="s">
        <v>50</v>
      </c>
      <c r="G1332" t="str">
        <f>"2025-08-20 02:35:09.473"</f>
        <v>2025-08-20 02:35:09.473</v>
      </c>
      <c r="H1332" t="s">
        <v>21</v>
      </c>
      <c r="I1332">
        <v>0</v>
      </c>
      <c r="J1332" t="s">
        <v>30</v>
      </c>
    </row>
    <row r="1333" spans="1:10" x14ac:dyDescent="0.25">
      <c r="A1333" s="1">
        <v>376</v>
      </c>
      <c r="B1333" t="s">
        <v>19</v>
      </c>
      <c r="C1333">
        <v>700</v>
      </c>
      <c r="D1333">
        <v>0</v>
      </c>
      <c r="E1333" t="s">
        <v>20</v>
      </c>
      <c r="F1333" t="s">
        <v>20</v>
      </c>
      <c r="G1333" t="str">
        <f>"2025-08-20 02:33:04.560"</f>
        <v>2025-08-20 02:33:04.560</v>
      </c>
      <c r="H1333" t="s">
        <v>21</v>
      </c>
    </row>
    <row r="1334" spans="1:10" x14ac:dyDescent="0.25">
      <c r="A1334" s="1">
        <v>377</v>
      </c>
      <c r="B1334" t="s">
        <v>19</v>
      </c>
      <c r="C1334">
        <v>700</v>
      </c>
      <c r="D1334">
        <v>0</v>
      </c>
      <c r="E1334" t="s">
        <v>20</v>
      </c>
      <c r="F1334" t="s">
        <v>20</v>
      </c>
      <c r="G1334" t="str">
        <f>"2025-08-19 19:30:41.582"</f>
        <v>2025-08-19 19:30:41.582</v>
      </c>
      <c r="H1334" t="s">
        <v>21</v>
      </c>
    </row>
    <row r="1335" spans="1:10" x14ac:dyDescent="0.25">
      <c r="A1335" s="1">
        <v>378</v>
      </c>
      <c r="B1335" t="s">
        <v>19</v>
      </c>
      <c r="C1335">
        <v>706</v>
      </c>
      <c r="D1335">
        <v>2</v>
      </c>
      <c r="E1335" t="s">
        <v>31</v>
      </c>
      <c r="F1335" t="s">
        <v>43</v>
      </c>
      <c r="G1335" t="str">
        <f>"2025-08-19 08:48:28.372"</f>
        <v>2025-08-19 08:48:28.372</v>
      </c>
      <c r="H1335" t="s">
        <v>21</v>
      </c>
      <c r="I1335">
        <v>0</v>
      </c>
      <c r="J1335" t="s">
        <v>27</v>
      </c>
    </row>
    <row r="1336" spans="1:10" x14ac:dyDescent="0.25">
      <c r="A1336" s="1">
        <v>379</v>
      </c>
      <c r="B1336" t="s">
        <v>19</v>
      </c>
      <c r="C1336">
        <v>700</v>
      </c>
      <c r="D1336">
        <v>0</v>
      </c>
      <c r="E1336" t="s">
        <v>20</v>
      </c>
      <c r="F1336" t="s">
        <v>20</v>
      </c>
      <c r="G1336" t="str">
        <f>"2025-08-19 08:43:22.562"</f>
        <v>2025-08-19 08:43:22.562</v>
      </c>
      <c r="H1336" t="s">
        <v>21</v>
      </c>
      <c r="I1336">
        <v>0</v>
      </c>
      <c r="J1336" t="s">
        <v>22</v>
      </c>
    </row>
    <row r="1337" spans="1:10" x14ac:dyDescent="0.25">
      <c r="A1337" s="1">
        <v>380</v>
      </c>
      <c r="B1337" t="s">
        <v>19</v>
      </c>
      <c r="C1337">
        <v>700</v>
      </c>
      <c r="D1337">
        <v>0</v>
      </c>
      <c r="E1337" t="s">
        <v>20</v>
      </c>
      <c r="F1337" t="s">
        <v>20</v>
      </c>
      <c r="G1337" t="str">
        <f>"2025-08-19 08:25:48.761"</f>
        <v>2025-08-19 08:25:48.761</v>
      </c>
      <c r="H1337" t="s">
        <v>21</v>
      </c>
      <c r="I1337">
        <v>0</v>
      </c>
      <c r="J1337" t="s">
        <v>22</v>
      </c>
    </row>
    <row r="1338" spans="1:10" x14ac:dyDescent="0.25">
      <c r="A1338" s="1">
        <v>381</v>
      </c>
      <c r="B1338" t="s">
        <v>23</v>
      </c>
      <c r="C1338">
        <v>635</v>
      </c>
      <c r="D1338">
        <v>1</v>
      </c>
      <c r="E1338" t="s">
        <v>44</v>
      </c>
      <c r="F1338" t="s">
        <v>45</v>
      </c>
      <c r="G1338" t="str">
        <f>"2025-08-18 08:11:36.680"</f>
        <v>2025-08-18 08:11:36.680</v>
      </c>
      <c r="H1338" t="s">
        <v>21</v>
      </c>
    </row>
    <row r="1339" spans="1:10" x14ac:dyDescent="0.25">
      <c r="A1339" s="1">
        <v>382</v>
      </c>
      <c r="B1339" t="s">
        <v>26</v>
      </c>
      <c r="C1339">
        <v>635</v>
      </c>
      <c r="D1339">
        <v>1</v>
      </c>
      <c r="E1339" t="s">
        <v>44</v>
      </c>
      <c r="F1339" t="s">
        <v>45</v>
      </c>
      <c r="G1339" t="str">
        <f>"2025-08-18 08:06:48.180"</f>
        <v>2025-08-18 08:06:48.180</v>
      </c>
      <c r="H1339" t="s">
        <v>21</v>
      </c>
      <c r="I1339">
        <v>0</v>
      </c>
      <c r="J1339" t="s">
        <v>30</v>
      </c>
    </row>
    <row r="1340" spans="1:10" x14ac:dyDescent="0.25">
      <c r="A1340" s="1">
        <v>383</v>
      </c>
      <c r="B1340" t="s">
        <v>19</v>
      </c>
      <c r="C1340">
        <v>700</v>
      </c>
      <c r="D1340">
        <v>0</v>
      </c>
      <c r="E1340" t="s">
        <v>20</v>
      </c>
      <c r="F1340" t="s">
        <v>20</v>
      </c>
      <c r="G1340" t="str">
        <f>"2025-08-13 14:20:17.558"</f>
        <v>2025-08-13 14:20:17.558</v>
      </c>
      <c r="H1340" t="s">
        <v>21</v>
      </c>
      <c r="I1340">
        <v>0</v>
      </c>
      <c r="J1340" t="s">
        <v>22</v>
      </c>
    </row>
    <row r="1341" spans="1:10" x14ac:dyDescent="0.25">
      <c r="A1341" s="1">
        <v>384</v>
      </c>
      <c r="B1341" t="s">
        <v>38</v>
      </c>
      <c r="C1341">
        <v>630</v>
      </c>
      <c r="D1341">
        <v>5</v>
      </c>
      <c r="E1341" t="s">
        <v>40</v>
      </c>
      <c r="F1341" t="s">
        <v>41</v>
      </c>
      <c r="G1341" t="str">
        <f>"2025-08-13 13:39:48.486"</f>
        <v>2025-08-13 13:39:48.486</v>
      </c>
      <c r="H1341" t="s">
        <v>42</v>
      </c>
      <c r="I1341">
        <v>0</v>
      </c>
      <c r="J1341" t="s">
        <v>27</v>
      </c>
    </row>
    <row r="1342" spans="1:10" x14ac:dyDescent="0.25">
      <c r="A1342" s="1">
        <v>385</v>
      </c>
      <c r="B1342" t="s">
        <v>19</v>
      </c>
      <c r="C1342">
        <v>700</v>
      </c>
      <c r="D1342">
        <v>0</v>
      </c>
      <c r="E1342" t="s">
        <v>20</v>
      </c>
      <c r="F1342" t="s">
        <v>20</v>
      </c>
      <c r="G1342" t="str">
        <f>"2025-08-13 13:34:45.664"</f>
        <v>2025-08-13 13:34:45.664</v>
      </c>
      <c r="H1342" t="s">
        <v>21</v>
      </c>
    </row>
    <row r="1343" spans="1:10" x14ac:dyDescent="0.25">
      <c r="A1343" s="1">
        <v>386</v>
      </c>
      <c r="B1343" t="s">
        <v>19</v>
      </c>
      <c r="C1343">
        <v>700</v>
      </c>
      <c r="D1343">
        <v>0</v>
      </c>
      <c r="E1343" t="s">
        <v>20</v>
      </c>
      <c r="F1343" t="s">
        <v>20</v>
      </c>
      <c r="G1343" t="str">
        <f>"2025-08-13 13:25:29.557"</f>
        <v>2025-08-13 13:25:29.557</v>
      </c>
      <c r="H1343" t="s">
        <v>21</v>
      </c>
      <c r="I1343">
        <v>0</v>
      </c>
      <c r="J1343" t="s">
        <v>22</v>
      </c>
    </row>
    <row r="1344" spans="1:10" x14ac:dyDescent="0.25">
      <c r="A1344" s="1">
        <v>387</v>
      </c>
      <c r="B1344" t="s">
        <v>38</v>
      </c>
      <c r="C1344">
        <v>630</v>
      </c>
      <c r="D1344">
        <v>5</v>
      </c>
      <c r="E1344" t="s">
        <v>40</v>
      </c>
      <c r="F1344" t="s">
        <v>41</v>
      </c>
      <c r="G1344" t="str">
        <f>"2025-08-13 13:20:24.340"</f>
        <v>2025-08-13 13:20:24.340</v>
      </c>
      <c r="H1344" t="s">
        <v>42</v>
      </c>
      <c r="I1344">
        <v>0</v>
      </c>
      <c r="J1344" t="s">
        <v>27</v>
      </c>
    </row>
    <row r="1345" spans="1:10" x14ac:dyDescent="0.25">
      <c r="A1345" s="1">
        <v>388</v>
      </c>
      <c r="B1345" t="s">
        <v>19</v>
      </c>
      <c r="C1345">
        <v>700</v>
      </c>
      <c r="D1345">
        <v>0</v>
      </c>
      <c r="E1345" t="s">
        <v>20</v>
      </c>
      <c r="F1345" t="s">
        <v>20</v>
      </c>
      <c r="G1345" t="str">
        <f>"2025-08-13 13:15:21.561"</f>
        <v>2025-08-13 13:15:21.561</v>
      </c>
      <c r="H1345" t="s">
        <v>21</v>
      </c>
      <c r="I1345">
        <v>0</v>
      </c>
      <c r="J1345" t="s">
        <v>22</v>
      </c>
    </row>
    <row r="1346" spans="1:10" x14ac:dyDescent="0.25">
      <c r="A1346" s="1">
        <v>389</v>
      </c>
      <c r="B1346" t="s">
        <v>23</v>
      </c>
      <c r="C1346">
        <v>635</v>
      </c>
      <c r="D1346">
        <v>1</v>
      </c>
      <c r="E1346" t="s">
        <v>44</v>
      </c>
      <c r="F1346" t="s">
        <v>45</v>
      </c>
      <c r="G1346" t="str">
        <f>"2025-08-11 01:50:19.130"</f>
        <v>2025-08-11 01:50:19.130</v>
      </c>
      <c r="H1346" t="s">
        <v>21</v>
      </c>
    </row>
    <row r="1347" spans="1:10" x14ac:dyDescent="0.25">
      <c r="A1347" s="1">
        <v>390</v>
      </c>
      <c r="B1347" t="s">
        <v>26</v>
      </c>
      <c r="C1347">
        <v>635</v>
      </c>
      <c r="D1347">
        <v>1</v>
      </c>
      <c r="E1347" t="s">
        <v>44</v>
      </c>
      <c r="F1347" t="s">
        <v>45</v>
      </c>
      <c r="G1347" t="str">
        <f>"2025-08-11 01:43:41.130"</f>
        <v>2025-08-11 01:43:41.130</v>
      </c>
      <c r="H1347" t="s">
        <v>21</v>
      </c>
      <c r="I1347">
        <v>1.98</v>
      </c>
      <c r="J1347" t="s">
        <v>39</v>
      </c>
    </row>
    <row r="1348" spans="1:10" x14ac:dyDescent="0.25">
      <c r="A1348" s="1">
        <v>391</v>
      </c>
      <c r="B1348" t="s">
        <v>34</v>
      </c>
      <c r="C1348">
        <v>33</v>
      </c>
      <c r="D1348">
        <v>1</v>
      </c>
      <c r="E1348" t="s">
        <v>35</v>
      </c>
      <c r="F1348" t="s">
        <v>36</v>
      </c>
      <c r="G1348" t="str">
        <f>"2025-08-10 19:09:10.530"</f>
        <v>2025-08-10 19:09:10.530</v>
      </c>
      <c r="H1348" t="s">
        <v>37</v>
      </c>
    </row>
    <row r="1349" spans="1:10" x14ac:dyDescent="0.25">
      <c r="A1349" s="1">
        <v>392</v>
      </c>
      <c r="B1349" t="s">
        <v>38</v>
      </c>
      <c r="C1349">
        <v>33</v>
      </c>
      <c r="D1349">
        <v>1</v>
      </c>
      <c r="E1349" t="s">
        <v>35</v>
      </c>
      <c r="F1349" t="s">
        <v>36</v>
      </c>
      <c r="G1349" t="str">
        <f>"2025-08-10 19:08:55.682"</f>
        <v>2025-08-10 19:08:55.682</v>
      </c>
      <c r="H1349" t="s">
        <v>37</v>
      </c>
      <c r="I1349">
        <v>5.19</v>
      </c>
      <c r="J1349" t="s">
        <v>39</v>
      </c>
    </row>
    <row r="1350" spans="1:10" x14ac:dyDescent="0.25">
      <c r="A1350" s="1">
        <v>393</v>
      </c>
      <c r="B1350" t="s">
        <v>34</v>
      </c>
      <c r="C1350">
        <v>33</v>
      </c>
      <c r="D1350">
        <v>1</v>
      </c>
      <c r="E1350" t="s">
        <v>35</v>
      </c>
      <c r="F1350" t="s">
        <v>36</v>
      </c>
      <c r="G1350" t="str">
        <f>"2025-08-10 16:54:04.083"</f>
        <v>2025-08-10 16:54:04.083</v>
      </c>
      <c r="H1350" t="s">
        <v>37</v>
      </c>
    </row>
    <row r="1351" spans="1:10" x14ac:dyDescent="0.25">
      <c r="A1351" s="1">
        <v>394</v>
      </c>
      <c r="B1351" t="s">
        <v>38</v>
      </c>
      <c r="C1351">
        <v>33</v>
      </c>
      <c r="D1351">
        <v>1</v>
      </c>
      <c r="E1351" t="s">
        <v>35</v>
      </c>
      <c r="F1351" t="s">
        <v>36</v>
      </c>
      <c r="G1351" t="str">
        <f>"2025-08-10 16:53:47.142"</f>
        <v>2025-08-10 16:53:47.142</v>
      </c>
      <c r="H1351" t="s">
        <v>37</v>
      </c>
      <c r="I1351">
        <v>10.23</v>
      </c>
      <c r="J1351" t="s">
        <v>39</v>
      </c>
    </row>
    <row r="1352" spans="1:10" x14ac:dyDescent="0.25">
      <c r="A1352" s="1">
        <v>395</v>
      </c>
      <c r="B1352" t="s">
        <v>23</v>
      </c>
      <c r="C1352">
        <v>635</v>
      </c>
      <c r="D1352">
        <v>1</v>
      </c>
      <c r="E1352" t="s">
        <v>44</v>
      </c>
      <c r="F1352" t="s">
        <v>45</v>
      </c>
      <c r="G1352" t="str">
        <f>"2025-08-09 23:14:09.930"</f>
        <v>2025-08-09 23:14:09.930</v>
      </c>
      <c r="H1352" t="s">
        <v>21</v>
      </c>
    </row>
    <row r="1353" spans="1:10" x14ac:dyDescent="0.25">
      <c r="A1353" s="1">
        <v>396</v>
      </c>
      <c r="B1353" t="s">
        <v>26</v>
      </c>
      <c r="C1353">
        <v>635</v>
      </c>
      <c r="D1353">
        <v>1</v>
      </c>
      <c r="E1353" t="s">
        <v>44</v>
      </c>
      <c r="F1353" t="s">
        <v>45</v>
      </c>
      <c r="G1353" t="str">
        <f>"2025-08-09 23:10:16.930"</f>
        <v>2025-08-09 23:10:16.930</v>
      </c>
      <c r="H1353" t="s">
        <v>21</v>
      </c>
      <c r="I1353">
        <v>1.46</v>
      </c>
      <c r="J1353" t="s">
        <v>33</v>
      </c>
    </row>
    <row r="1354" spans="1:10" x14ac:dyDescent="0.25">
      <c r="A1354" s="1">
        <v>397</v>
      </c>
      <c r="B1354" t="s">
        <v>19</v>
      </c>
      <c r="C1354">
        <v>706</v>
      </c>
      <c r="D1354">
        <v>4</v>
      </c>
      <c r="E1354" t="s">
        <v>31</v>
      </c>
      <c r="F1354" t="s">
        <v>32</v>
      </c>
      <c r="G1354" t="str">
        <f>"2025-08-09 14:32:42.924"</f>
        <v>2025-08-09 14:32:42.924</v>
      </c>
      <c r="H1354" t="s">
        <v>21</v>
      </c>
      <c r="I1354">
        <v>0</v>
      </c>
      <c r="J1354" t="s">
        <v>27</v>
      </c>
    </row>
    <row r="1355" spans="1:10" x14ac:dyDescent="0.25">
      <c r="A1355" s="1">
        <v>398</v>
      </c>
      <c r="B1355" t="s">
        <v>19</v>
      </c>
      <c r="C1355">
        <v>706</v>
      </c>
      <c r="D1355">
        <v>4</v>
      </c>
      <c r="E1355" t="s">
        <v>31</v>
      </c>
      <c r="F1355" t="s">
        <v>32</v>
      </c>
      <c r="G1355" t="str">
        <f>"2025-08-09 14:32:15.124"</f>
        <v>2025-08-09 14:32:15.124</v>
      </c>
      <c r="H1355" t="s">
        <v>21</v>
      </c>
      <c r="I1355">
        <v>0</v>
      </c>
      <c r="J1355" t="s">
        <v>27</v>
      </c>
    </row>
    <row r="1356" spans="1:10" x14ac:dyDescent="0.25">
      <c r="A1356" s="1">
        <v>399</v>
      </c>
      <c r="B1356" t="s">
        <v>19</v>
      </c>
      <c r="C1356">
        <v>700</v>
      </c>
      <c r="D1356">
        <v>0</v>
      </c>
      <c r="E1356" t="s">
        <v>20</v>
      </c>
      <c r="F1356" t="s">
        <v>20</v>
      </c>
      <c r="G1356" t="str">
        <f>"2025-08-09 13:51:35.804"</f>
        <v>2025-08-09 13:51:35.804</v>
      </c>
      <c r="H1356" t="s">
        <v>21</v>
      </c>
      <c r="I1356">
        <v>0</v>
      </c>
      <c r="J1356" t="s">
        <v>22</v>
      </c>
    </row>
    <row r="1357" spans="1:10" x14ac:dyDescent="0.25">
      <c r="A1357" s="1">
        <v>400</v>
      </c>
      <c r="B1357" t="s">
        <v>19</v>
      </c>
      <c r="C1357">
        <v>700</v>
      </c>
      <c r="D1357">
        <v>0</v>
      </c>
      <c r="E1357" t="s">
        <v>20</v>
      </c>
      <c r="F1357" t="s">
        <v>20</v>
      </c>
      <c r="G1357" t="str">
        <f>"2025-08-09 13:43:42.568"</f>
        <v>2025-08-09 13:43:42.568</v>
      </c>
      <c r="H1357" t="s">
        <v>21</v>
      </c>
      <c r="I1357">
        <v>0</v>
      </c>
      <c r="J1357" t="s">
        <v>22</v>
      </c>
    </row>
    <row r="1358" spans="1:10" x14ac:dyDescent="0.25">
      <c r="A1358" s="1">
        <v>401</v>
      </c>
      <c r="B1358" t="s">
        <v>19</v>
      </c>
      <c r="C1358">
        <v>700</v>
      </c>
      <c r="D1358">
        <v>0</v>
      </c>
      <c r="E1358" t="s">
        <v>20</v>
      </c>
      <c r="F1358" t="s">
        <v>20</v>
      </c>
      <c r="G1358" t="str">
        <f>"2025-08-09 13:37:33.556"</f>
        <v>2025-08-09 13:37:33.556</v>
      </c>
      <c r="H1358" t="s">
        <v>21</v>
      </c>
      <c r="I1358">
        <v>0</v>
      </c>
      <c r="J1358" t="s">
        <v>22</v>
      </c>
    </row>
    <row r="1359" spans="1:10" x14ac:dyDescent="0.25">
      <c r="A1359" s="1">
        <v>402</v>
      </c>
      <c r="B1359" t="s">
        <v>19</v>
      </c>
      <c r="C1359">
        <v>706</v>
      </c>
      <c r="D1359">
        <v>3</v>
      </c>
      <c r="E1359" t="s">
        <v>31</v>
      </c>
      <c r="F1359" t="s">
        <v>48</v>
      </c>
      <c r="G1359" t="str">
        <f>"2025-08-09 12:25:10.336"</f>
        <v>2025-08-09 12:25:10.336</v>
      </c>
      <c r="H1359" t="s">
        <v>21</v>
      </c>
      <c r="I1359">
        <v>0</v>
      </c>
      <c r="J1359" t="s">
        <v>27</v>
      </c>
    </row>
    <row r="1360" spans="1:10" x14ac:dyDescent="0.25">
      <c r="A1360" s="1">
        <v>403</v>
      </c>
      <c r="B1360" t="s">
        <v>19</v>
      </c>
      <c r="C1360">
        <v>700</v>
      </c>
      <c r="D1360">
        <v>0</v>
      </c>
      <c r="E1360" t="s">
        <v>20</v>
      </c>
      <c r="F1360" t="s">
        <v>20</v>
      </c>
      <c r="G1360" t="str">
        <f>"2025-08-09 12:19:00.586"</f>
        <v>2025-08-09 12:19:00.586</v>
      </c>
      <c r="H1360" t="s">
        <v>21</v>
      </c>
    </row>
    <row r="1361" spans="1:10" x14ac:dyDescent="0.25">
      <c r="A1361" s="1">
        <v>404</v>
      </c>
      <c r="B1361" t="s">
        <v>38</v>
      </c>
      <c r="C1361">
        <v>630</v>
      </c>
      <c r="D1361">
        <v>5</v>
      </c>
      <c r="E1361" t="s">
        <v>40</v>
      </c>
      <c r="F1361" t="s">
        <v>41</v>
      </c>
      <c r="G1361" t="str">
        <f>"2025-08-09 11:44:54.899"</f>
        <v>2025-08-09 11:44:54.899</v>
      </c>
      <c r="H1361" t="s">
        <v>42</v>
      </c>
      <c r="I1361">
        <v>0</v>
      </c>
      <c r="J1361" t="s">
        <v>27</v>
      </c>
    </row>
    <row r="1362" spans="1:10" x14ac:dyDescent="0.25">
      <c r="A1362" s="1">
        <v>405</v>
      </c>
      <c r="B1362" t="s">
        <v>23</v>
      </c>
      <c r="C1362">
        <v>635</v>
      </c>
      <c r="D1362">
        <v>1</v>
      </c>
      <c r="E1362" t="s">
        <v>44</v>
      </c>
      <c r="F1362" t="s">
        <v>45</v>
      </c>
      <c r="G1362" t="str">
        <f>"2025-08-08 14:10:55.698"</f>
        <v>2025-08-08 14:10:55.698</v>
      </c>
      <c r="H1362" t="s">
        <v>21</v>
      </c>
    </row>
    <row r="1363" spans="1:10" x14ac:dyDescent="0.25">
      <c r="A1363" s="1">
        <v>406</v>
      </c>
      <c r="B1363" t="s">
        <v>26</v>
      </c>
      <c r="C1363">
        <v>635</v>
      </c>
      <c r="D1363">
        <v>1</v>
      </c>
      <c r="E1363" t="s">
        <v>44</v>
      </c>
      <c r="F1363" t="s">
        <v>45</v>
      </c>
      <c r="G1363" t="str">
        <f>"2025-08-08 14:07:50.198"</f>
        <v>2025-08-08 14:07:50.198</v>
      </c>
      <c r="H1363" t="s">
        <v>21</v>
      </c>
      <c r="I1363">
        <v>1.17</v>
      </c>
      <c r="J1363" t="s">
        <v>39</v>
      </c>
    </row>
    <row r="1364" spans="1:10" x14ac:dyDescent="0.25">
      <c r="A1364" s="1">
        <v>407</v>
      </c>
      <c r="B1364" t="s">
        <v>19</v>
      </c>
      <c r="C1364">
        <v>706</v>
      </c>
      <c r="D1364">
        <v>2</v>
      </c>
      <c r="E1364" t="s">
        <v>31</v>
      </c>
      <c r="F1364" t="s">
        <v>43</v>
      </c>
      <c r="G1364" t="str">
        <f>"2025-08-08 13:11:55.086"</f>
        <v>2025-08-08 13:11:55.086</v>
      </c>
      <c r="H1364" t="s">
        <v>21</v>
      </c>
      <c r="I1364">
        <v>0</v>
      </c>
      <c r="J1364" t="s">
        <v>27</v>
      </c>
    </row>
    <row r="1365" spans="1:10" x14ac:dyDescent="0.25">
      <c r="A1365" s="1">
        <v>408</v>
      </c>
      <c r="B1365" t="s">
        <v>19</v>
      </c>
      <c r="C1365">
        <v>700</v>
      </c>
      <c r="D1365">
        <v>0</v>
      </c>
      <c r="E1365" t="s">
        <v>20</v>
      </c>
      <c r="F1365" t="s">
        <v>20</v>
      </c>
      <c r="G1365" t="str">
        <f>"2025-08-08 13:11:26.766"</f>
        <v>2025-08-08 13:11:26.766</v>
      </c>
      <c r="H1365" t="s">
        <v>21</v>
      </c>
      <c r="I1365">
        <v>0</v>
      </c>
      <c r="J1365" t="s">
        <v>22</v>
      </c>
    </row>
    <row r="1366" spans="1:10" x14ac:dyDescent="0.25">
      <c r="A1366" s="1">
        <v>410</v>
      </c>
      <c r="B1366" t="s">
        <v>23</v>
      </c>
      <c r="C1366">
        <v>635</v>
      </c>
      <c r="D1366">
        <v>1</v>
      </c>
      <c r="E1366" t="s">
        <v>44</v>
      </c>
      <c r="F1366" t="s">
        <v>45</v>
      </c>
      <c r="G1366" t="str">
        <f>"2025-08-07 15:30:39.314"</f>
        <v>2025-08-07 15:30:39.314</v>
      </c>
      <c r="H1366" t="s">
        <v>21</v>
      </c>
    </row>
    <row r="1367" spans="1:10" x14ac:dyDescent="0.25">
      <c r="A1367" s="1">
        <v>411</v>
      </c>
      <c r="B1367" t="s">
        <v>26</v>
      </c>
      <c r="C1367">
        <v>635</v>
      </c>
      <c r="D1367">
        <v>1</v>
      </c>
      <c r="E1367" t="s">
        <v>44</v>
      </c>
      <c r="F1367" t="s">
        <v>45</v>
      </c>
      <c r="G1367" t="str">
        <f>"2025-08-07 15:26:10.814"</f>
        <v>2025-08-07 15:26:10.814</v>
      </c>
      <c r="H1367" t="s">
        <v>21</v>
      </c>
      <c r="I1367">
        <v>0.96</v>
      </c>
      <c r="J1367" t="s">
        <v>39</v>
      </c>
    </row>
    <row r="1368" spans="1:10" x14ac:dyDescent="0.25">
      <c r="A1368" s="1">
        <v>412</v>
      </c>
      <c r="B1368" t="s">
        <v>23</v>
      </c>
      <c r="C1368">
        <v>635</v>
      </c>
      <c r="D1368">
        <v>1</v>
      </c>
      <c r="E1368" t="s">
        <v>44</v>
      </c>
      <c r="F1368" t="s">
        <v>45</v>
      </c>
      <c r="G1368" t="str">
        <f>"2025-08-07 11:00:17.214"</f>
        <v>2025-08-07 11:00:17.214</v>
      </c>
      <c r="H1368" t="s">
        <v>21</v>
      </c>
    </row>
    <row r="1369" spans="1:10" x14ac:dyDescent="0.25">
      <c r="A1369" s="1">
        <v>413</v>
      </c>
      <c r="B1369" t="s">
        <v>26</v>
      </c>
      <c r="C1369">
        <v>635</v>
      </c>
      <c r="D1369">
        <v>1</v>
      </c>
      <c r="E1369" t="s">
        <v>44</v>
      </c>
      <c r="F1369" t="s">
        <v>45</v>
      </c>
      <c r="G1369" t="str">
        <f>"2025-08-07 10:55:36.214"</f>
        <v>2025-08-07 10:55:36.214</v>
      </c>
      <c r="H1369" t="s">
        <v>21</v>
      </c>
      <c r="I1369">
        <v>0.12</v>
      </c>
      <c r="J1369" t="s">
        <v>30</v>
      </c>
    </row>
    <row r="1370" spans="1:10" s="3" customFormat="1" x14ac:dyDescent="0.25">
      <c r="A1370" s="2">
        <v>414</v>
      </c>
      <c r="B1370" s="3" t="s">
        <v>23</v>
      </c>
      <c r="C1370" s="3">
        <v>647</v>
      </c>
      <c r="D1370" s="3">
        <v>1</v>
      </c>
      <c r="E1370" s="3" t="s">
        <v>28</v>
      </c>
      <c r="F1370" s="3" t="s">
        <v>29</v>
      </c>
      <c r="G1370" s="3" t="str">
        <f>"2025-08-07 09:04:15.414"</f>
        <v>2025-08-07 09:04:15.414</v>
      </c>
      <c r="H1370" s="3" t="s">
        <v>21</v>
      </c>
    </row>
    <row r="1371" spans="1:10" s="3" customFormat="1" x14ac:dyDescent="0.25">
      <c r="A1371" s="2">
        <v>415</v>
      </c>
      <c r="B1371" s="3" t="s">
        <v>26</v>
      </c>
      <c r="C1371" s="3">
        <v>647</v>
      </c>
      <c r="D1371" s="3">
        <v>1</v>
      </c>
      <c r="E1371" s="3" t="s">
        <v>28</v>
      </c>
      <c r="F1371" s="3" t="s">
        <v>29</v>
      </c>
      <c r="G1371" s="3" t="str">
        <f>"2025-08-07 09:04:11.714"</f>
        <v>2025-08-07 09:04:11.714</v>
      </c>
      <c r="H1371" s="3" t="s">
        <v>21</v>
      </c>
      <c r="I1371" s="3">
        <v>11.19</v>
      </c>
      <c r="J1371" s="3" t="s">
        <v>33</v>
      </c>
    </row>
    <row r="1372" spans="1:10" x14ac:dyDescent="0.25">
      <c r="A1372" s="1">
        <v>416</v>
      </c>
      <c r="B1372" t="s">
        <v>23</v>
      </c>
      <c r="C1372">
        <v>635</v>
      </c>
      <c r="D1372">
        <v>1</v>
      </c>
      <c r="E1372" t="s">
        <v>44</v>
      </c>
      <c r="F1372" t="s">
        <v>45</v>
      </c>
      <c r="G1372" t="str">
        <f>"2025-08-03 10:50:02.614"</f>
        <v>2025-08-03 10:50:02.614</v>
      </c>
      <c r="H1372" t="s">
        <v>21</v>
      </c>
    </row>
    <row r="1373" spans="1:10" x14ac:dyDescent="0.25">
      <c r="A1373" s="1">
        <v>417</v>
      </c>
      <c r="B1373" t="s">
        <v>26</v>
      </c>
      <c r="C1373">
        <v>635</v>
      </c>
      <c r="D1373">
        <v>1</v>
      </c>
      <c r="E1373" t="s">
        <v>44</v>
      </c>
      <c r="F1373" t="s">
        <v>45</v>
      </c>
      <c r="G1373" t="str">
        <f>"2025-08-03 10:45:57.114"</f>
        <v>2025-08-03 10:45:57.114</v>
      </c>
      <c r="H1373" t="s">
        <v>21</v>
      </c>
      <c r="I1373">
        <v>3.3</v>
      </c>
      <c r="J1373" t="s">
        <v>39</v>
      </c>
    </row>
    <row r="1374" spans="1:10" s="3" customFormat="1" x14ac:dyDescent="0.25">
      <c r="A1374" s="2">
        <v>418</v>
      </c>
      <c r="B1374" s="3" t="s">
        <v>23</v>
      </c>
      <c r="C1374" s="3">
        <v>647</v>
      </c>
      <c r="D1374" s="3">
        <v>1</v>
      </c>
      <c r="E1374" s="3" t="s">
        <v>28</v>
      </c>
      <c r="F1374" s="3" t="s">
        <v>29</v>
      </c>
      <c r="G1374" s="3" t="str">
        <f>"2025-08-01 13:28:12.114"</f>
        <v>2025-08-01 13:28:12.114</v>
      </c>
      <c r="H1374" s="3" t="s">
        <v>21</v>
      </c>
    </row>
    <row r="1375" spans="1:10" s="3" customFormat="1" x14ac:dyDescent="0.25">
      <c r="A1375" s="2">
        <v>419</v>
      </c>
      <c r="B1375" s="3" t="s">
        <v>26</v>
      </c>
      <c r="C1375" s="3">
        <v>647</v>
      </c>
      <c r="D1375" s="3">
        <v>1</v>
      </c>
      <c r="E1375" s="3" t="s">
        <v>28</v>
      </c>
      <c r="F1375" s="3" t="s">
        <v>29</v>
      </c>
      <c r="G1375" s="3" t="str">
        <f>"2025-08-01 13:28:10.814"</f>
        <v>2025-08-01 13:28:10.814</v>
      </c>
      <c r="H1375" s="3" t="s">
        <v>21</v>
      </c>
      <c r="I1375" s="3">
        <v>22.17</v>
      </c>
      <c r="J1375" s="3" t="s">
        <v>33</v>
      </c>
    </row>
    <row r="1376" spans="1:10" x14ac:dyDescent="0.25">
      <c r="A1376" s="1">
        <v>420</v>
      </c>
      <c r="B1376" t="s">
        <v>23</v>
      </c>
      <c r="C1376">
        <v>635</v>
      </c>
      <c r="D1376">
        <v>1</v>
      </c>
      <c r="E1376" t="s">
        <v>44</v>
      </c>
      <c r="F1376" t="s">
        <v>45</v>
      </c>
      <c r="G1376" t="str">
        <f>"2025-07-31 23:45:07.214"</f>
        <v>2025-07-31 23:45:07.214</v>
      </c>
      <c r="H1376" t="s">
        <v>21</v>
      </c>
    </row>
    <row r="1377" spans="1:10" x14ac:dyDescent="0.25">
      <c r="A1377" s="1">
        <v>421</v>
      </c>
      <c r="B1377" t="s">
        <v>26</v>
      </c>
      <c r="C1377">
        <v>635</v>
      </c>
      <c r="D1377">
        <v>1</v>
      </c>
      <c r="E1377" t="s">
        <v>44</v>
      </c>
      <c r="F1377" t="s">
        <v>45</v>
      </c>
      <c r="G1377" t="str">
        <f>"2025-07-31 23:42:26.714"</f>
        <v>2025-07-31 23:42:26.714</v>
      </c>
      <c r="H1377" t="s">
        <v>21</v>
      </c>
      <c r="I1377">
        <v>4.43</v>
      </c>
      <c r="J1377" t="s">
        <v>39</v>
      </c>
    </row>
    <row r="1378" spans="1:10" x14ac:dyDescent="0.25">
      <c r="A1378" s="1">
        <v>422</v>
      </c>
      <c r="B1378" t="s">
        <v>19</v>
      </c>
      <c r="C1378">
        <v>700</v>
      </c>
      <c r="D1378">
        <v>0</v>
      </c>
      <c r="E1378" t="s">
        <v>20</v>
      </c>
      <c r="F1378" t="s">
        <v>20</v>
      </c>
      <c r="G1378" t="str">
        <f>"2025-07-30 00:57:04.537"</f>
        <v>2025-07-30 00:57:04.537</v>
      </c>
      <c r="H1378" t="s">
        <v>21</v>
      </c>
    </row>
    <row r="1379" spans="1:10" x14ac:dyDescent="0.25">
      <c r="A1379" s="1">
        <v>423</v>
      </c>
      <c r="B1379" t="s">
        <v>19</v>
      </c>
      <c r="C1379">
        <v>706</v>
      </c>
      <c r="D1379">
        <v>2</v>
      </c>
      <c r="E1379" t="s">
        <v>31</v>
      </c>
      <c r="F1379" t="s">
        <v>43</v>
      </c>
      <c r="G1379" t="str">
        <f>"2025-07-30 00:45:54.114"</f>
        <v>2025-07-30 00:45:54.114</v>
      </c>
      <c r="H1379" t="s">
        <v>21</v>
      </c>
      <c r="I1379">
        <v>0</v>
      </c>
      <c r="J1379" t="s">
        <v>27</v>
      </c>
    </row>
    <row r="1380" spans="1:10" x14ac:dyDescent="0.25">
      <c r="A1380" s="1">
        <v>424</v>
      </c>
      <c r="B1380" t="s">
        <v>19</v>
      </c>
      <c r="C1380">
        <v>706</v>
      </c>
      <c r="D1380">
        <v>4</v>
      </c>
      <c r="E1380" t="s">
        <v>31</v>
      </c>
      <c r="F1380" t="s">
        <v>32</v>
      </c>
      <c r="G1380" t="str">
        <f>"2025-07-30 00:45:18.484"</f>
        <v>2025-07-30 00:45:18.484</v>
      </c>
      <c r="H1380" t="s">
        <v>21</v>
      </c>
      <c r="I1380">
        <v>0</v>
      </c>
      <c r="J1380" t="s">
        <v>27</v>
      </c>
    </row>
    <row r="1381" spans="1:10" x14ac:dyDescent="0.25">
      <c r="A1381" s="1">
        <v>425</v>
      </c>
      <c r="B1381" t="s">
        <v>19</v>
      </c>
      <c r="C1381">
        <v>700</v>
      </c>
      <c r="D1381">
        <v>0</v>
      </c>
      <c r="E1381" t="s">
        <v>20</v>
      </c>
      <c r="F1381" t="s">
        <v>20</v>
      </c>
      <c r="G1381" t="str">
        <f>"2025-07-29 23:58:08.904"</f>
        <v>2025-07-29 23:58:08.904</v>
      </c>
      <c r="H1381" t="s">
        <v>21</v>
      </c>
      <c r="I1381">
        <v>0</v>
      </c>
      <c r="J1381" t="s">
        <v>22</v>
      </c>
    </row>
    <row r="1382" spans="1:10" x14ac:dyDescent="0.25">
      <c r="A1382" s="1">
        <v>426</v>
      </c>
      <c r="B1382" t="s">
        <v>19</v>
      </c>
      <c r="C1382">
        <v>700</v>
      </c>
      <c r="D1382">
        <v>0</v>
      </c>
      <c r="E1382" t="s">
        <v>20</v>
      </c>
      <c r="F1382" t="s">
        <v>20</v>
      </c>
      <c r="G1382" t="str">
        <f>"2025-07-29 21:12:08.542"</f>
        <v>2025-07-29 21:12:08.542</v>
      </c>
      <c r="H1382" t="s">
        <v>21</v>
      </c>
    </row>
    <row r="1383" spans="1:10" s="3" customFormat="1" x14ac:dyDescent="0.25">
      <c r="A1383" s="2">
        <v>427</v>
      </c>
      <c r="B1383" s="3" t="s">
        <v>23</v>
      </c>
      <c r="C1383" s="3">
        <v>647</v>
      </c>
      <c r="D1383" s="3">
        <v>1</v>
      </c>
      <c r="E1383" s="3" t="s">
        <v>28</v>
      </c>
      <c r="F1383" s="3" t="s">
        <v>29</v>
      </c>
      <c r="G1383" s="3" t="str">
        <f>"2025-07-27 15:35:43.988"</f>
        <v>2025-07-27 15:35:43.988</v>
      </c>
      <c r="H1383" s="3" t="s">
        <v>21</v>
      </c>
    </row>
    <row r="1384" spans="1:10" s="3" customFormat="1" x14ac:dyDescent="0.25">
      <c r="A1384" s="2">
        <v>428</v>
      </c>
      <c r="B1384" s="3" t="s">
        <v>26</v>
      </c>
      <c r="C1384" s="3">
        <v>647</v>
      </c>
      <c r="D1384" s="3">
        <v>1</v>
      </c>
      <c r="E1384" s="3" t="s">
        <v>28</v>
      </c>
      <c r="F1384" s="3" t="s">
        <v>29</v>
      </c>
      <c r="G1384" s="3" t="str">
        <f>"2025-07-27 15:35:42.088"</f>
        <v>2025-07-27 15:35:42.088</v>
      </c>
      <c r="H1384" s="3" t="s">
        <v>21</v>
      </c>
      <c r="I1384" s="3">
        <v>12.72</v>
      </c>
      <c r="J1384" s="3" t="s">
        <v>33</v>
      </c>
    </row>
    <row r="1385" spans="1:10" s="3" customFormat="1" x14ac:dyDescent="0.25">
      <c r="A1385" s="2">
        <v>429</v>
      </c>
      <c r="B1385" s="3" t="s">
        <v>23</v>
      </c>
      <c r="C1385" s="3">
        <v>647</v>
      </c>
      <c r="D1385" s="3">
        <v>1</v>
      </c>
      <c r="E1385" s="3" t="s">
        <v>28</v>
      </c>
      <c r="F1385" s="3" t="s">
        <v>29</v>
      </c>
      <c r="G1385" s="3" t="str">
        <f>"2025-07-27 15:35:34.788"</f>
        <v>2025-07-27 15:35:34.788</v>
      </c>
      <c r="H1385" s="3" t="s">
        <v>21</v>
      </c>
    </row>
    <row r="1386" spans="1:10" s="3" customFormat="1" x14ac:dyDescent="0.25">
      <c r="A1386" s="2">
        <v>430</v>
      </c>
      <c r="B1386" s="3" t="s">
        <v>26</v>
      </c>
      <c r="C1386" s="3">
        <v>647</v>
      </c>
      <c r="D1386" s="3">
        <v>1</v>
      </c>
      <c r="E1386" s="3" t="s">
        <v>28</v>
      </c>
      <c r="F1386" s="3" t="s">
        <v>29</v>
      </c>
      <c r="G1386" s="3" t="str">
        <f>"2025-07-27 15:35:30.989"</f>
        <v>2025-07-27 15:35:30.989</v>
      </c>
      <c r="H1386" s="3" t="s">
        <v>21</v>
      </c>
      <c r="I1386" s="3">
        <v>9.01</v>
      </c>
      <c r="J1386" s="3" t="s">
        <v>33</v>
      </c>
    </row>
    <row r="1387" spans="1:10" x14ac:dyDescent="0.25">
      <c r="A1387" s="1">
        <v>431</v>
      </c>
      <c r="B1387" t="s">
        <v>19</v>
      </c>
      <c r="C1387">
        <v>706</v>
      </c>
      <c r="D1387">
        <v>4</v>
      </c>
      <c r="E1387" t="s">
        <v>31</v>
      </c>
      <c r="F1387" t="s">
        <v>32</v>
      </c>
      <c r="G1387" t="str">
        <f>"2025-07-27 09:00:17.610"</f>
        <v>2025-07-27 09:00:17.610</v>
      </c>
      <c r="H1387" t="s">
        <v>21</v>
      </c>
      <c r="I1387">
        <v>0</v>
      </c>
      <c r="J1387" t="s">
        <v>27</v>
      </c>
    </row>
    <row r="1388" spans="1:10" x14ac:dyDescent="0.25">
      <c r="A1388" s="1">
        <v>432</v>
      </c>
      <c r="B1388" t="s">
        <v>19</v>
      </c>
      <c r="C1388">
        <v>700</v>
      </c>
      <c r="D1388">
        <v>0</v>
      </c>
      <c r="E1388" t="s">
        <v>20</v>
      </c>
      <c r="F1388" t="s">
        <v>20</v>
      </c>
      <c r="G1388" t="str">
        <f>"2025-07-27 08:59:27.760"</f>
        <v>2025-07-27 08:59:27.760</v>
      </c>
      <c r="H1388" t="s">
        <v>21</v>
      </c>
      <c r="I1388">
        <v>0</v>
      </c>
      <c r="J1388" t="s">
        <v>22</v>
      </c>
    </row>
    <row r="1389" spans="1:10" x14ac:dyDescent="0.25">
      <c r="A1389" s="1">
        <v>433</v>
      </c>
      <c r="B1389" t="s">
        <v>23</v>
      </c>
      <c r="C1389">
        <v>635</v>
      </c>
      <c r="D1389">
        <v>1</v>
      </c>
      <c r="E1389" t="s">
        <v>44</v>
      </c>
      <c r="F1389" t="s">
        <v>45</v>
      </c>
      <c r="G1389" t="str">
        <f>"2025-07-26 22:26:21.957"</f>
        <v>2025-07-26 22:26:21.957</v>
      </c>
      <c r="H1389" t="s">
        <v>21</v>
      </c>
    </row>
    <row r="1390" spans="1:10" x14ac:dyDescent="0.25">
      <c r="A1390" s="1">
        <v>434</v>
      </c>
      <c r="B1390" t="s">
        <v>26</v>
      </c>
      <c r="C1390">
        <v>635</v>
      </c>
      <c r="D1390">
        <v>1</v>
      </c>
      <c r="E1390" t="s">
        <v>44</v>
      </c>
      <c r="F1390" t="s">
        <v>45</v>
      </c>
      <c r="G1390" t="str">
        <f>"2025-07-26 22:24:13.957"</f>
        <v>2025-07-26 22:24:13.957</v>
      </c>
      <c r="H1390" t="s">
        <v>21</v>
      </c>
      <c r="I1390">
        <v>0.05</v>
      </c>
      <c r="J1390" t="s">
        <v>39</v>
      </c>
    </row>
    <row r="1391" spans="1:10" x14ac:dyDescent="0.25">
      <c r="A1391" s="1">
        <v>435</v>
      </c>
      <c r="B1391" t="s">
        <v>34</v>
      </c>
      <c r="C1391">
        <v>33</v>
      </c>
      <c r="D1391">
        <v>1</v>
      </c>
      <c r="E1391" t="s">
        <v>35</v>
      </c>
      <c r="F1391" t="s">
        <v>36</v>
      </c>
      <c r="G1391" t="str">
        <f>"2025-07-26 19:28:26.110"</f>
        <v>2025-07-26 19:28:26.110</v>
      </c>
      <c r="H1391" t="s">
        <v>37</v>
      </c>
    </row>
    <row r="1392" spans="1:10" x14ac:dyDescent="0.25">
      <c r="A1392" s="1">
        <v>436</v>
      </c>
      <c r="B1392" t="s">
        <v>38</v>
      </c>
      <c r="C1392">
        <v>33</v>
      </c>
      <c r="D1392">
        <v>1</v>
      </c>
      <c r="E1392" t="s">
        <v>35</v>
      </c>
      <c r="F1392" t="s">
        <v>36</v>
      </c>
      <c r="G1392" t="str">
        <f>"2025-07-26 19:28:15.248"</f>
        <v>2025-07-26 19:28:15.248</v>
      </c>
      <c r="H1392" t="s">
        <v>37</v>
      </c>
      <c r="I1392">
        <v>9.19</v>
      </c>
      <c r="J1392" t="s">
        <v>39</v>
      </c>
    </row>
    <row r="1393" spans="1:10" x14ac:dyDescent="0.25">
      <c r="A1393" s="1">
        <v>437</v>
      </c>
      <c r="B1393" t="s">
        <v>23</v>
      </c>
      <c r="C1393">
        <v>635</v>
      </c>
      <c r="D1393">
        <v>1</v>
      </c>
      <c r="E1393" t="s">
        <v>44</v>
      </c>
      <c r="F1393" t="s">
        <v>45</v>
      </c>
      <c r="G1393" t="str">
        <f>"2025-07-23 19:23:13.957"</f>
        <v>2025-07-23 19:23:13.957</v>
      </c>
      <c r="H1393" t="s">
        <v>21</v>
      </c>
    </row>
    <row r="1394" spans="1:10" x14ac:dyDescent="0.25">
      <c r="A1394" s="1">
        <v>438</v>
      </c>
      <c r="B1394" t="s">
        <v>26</v>
      </c>
      <c r="C1394">
        <v>635</v>
      </c>
      <c r="D1394">
        <v>1</v>
      </c>
      <c r="E1394" t="s">
        <v>44</v>
      </c>
      <c r="F1394" t="s">
        <v>45</v>
      </c>
      <c r="G1394" t="str">
        <f>"2025-07-23 19:15:27.457"</f>
        <v>2025-07-23 19:15:27.457</v>
      </c>
      <c r="H1394" t="s">
        <v>21</v>
      </c>
      <c r="I1394">
        <v>2.3199999999999998</v>
      </c>
      <c r="J1394" t="s">
        <v>39</v>
      </c>
    </row>
    <row r="1395" spans="1:10" x14ac:dyDescent="0.25">
      <c r="A1395" s="1">
        <v>439</v>
      </c>
      <c r="B1395" t="s">
        <v>19</v>
      </c>
      <c r="C1395">
        <v>706</v>
      </c>
      <c r="D1395">
        <v>2</v>
      </c>
      <c r="E1395" t="s">
        <v>31</v>
      </c>
      <c r="F1395" t="s">
        <v>43</v>
      </c>
      <c r="G1395" t="str">
        <f>"2025-07-23 09:32:16.030"</f>
        <v>2025-07-23 09:32:16.030</v>
      </c>
      <c r="H1395" t="s">
        <v>21</v>
      </c>
      <c r="I1395">
        <v>0</v>
      </c>
      <c r="J1395" t="s">
        <v>27</v>
      </c>
    </row>
    <row r="1396" spans="1:10" x14ac:dyDescent="0.25">
      <c r="A1396" s="1">
        <v>440</v>
      </c>
      <c r="B1396" t="s">
        <v>19</v>
      </c>
      <c r="C1396">
        <v>700</v>
      </c>
      <c r="D1396">
        <v>0</v>
      </c>
      <c r="E1396" t="s">
        <v>20</v>
      </c>
      <c r="F1396" t="s">
        <v>20</v>
      </c>
      <c r="G1396" t="str">
        <f>"2025-07-23 09:31:45.530"</f>
        <v>2025-07-23 09:31:45.530</v>
      </c>
      <c r="H1396" t="s">
        <v>21</v>
      </c>
    </row>
    <row r="1397" spans="1:10" s="3" customFormat="1" x14ac:dyDescent="0.25">
      <c r="A1397" s="2">
        <v>441</v>
      </c>
      <c r="B1397" s="3" t="s">
        <v>23</v>
      </c>
      <c r="C1397" s="3">
        <v>647</v>
      </c>
      <c r="D1397" s="3">
        <v>1</v>
      </c>
      <c r="E1397" s="3" t="s">
        <v>28</v>
      </c>
      <c r="F1397" s="3" t="s">
        <v>29</v>
      </c>
      <c r="G1397" s="3" t="str">
        <f>"2025-07-22 18:10:18.140"</f>
        <v>2025-07-22 18:10:18.140</v>
      </c>
      <c r="H1397" s="3" t="s">
        <v>21</v>
      </c>
    </row>
    <row r="1398" spans="1:10" s="3" customFormat="1" x14ac:dyDescent="0.25">
      <c r="A1398" s="2">
        <v>442</v>
      </c>
      <c r="B1398" s="3" t="s">
        <v>26</v>
      </c>
      <c r="C1398" s="3">
        <v>647</v>
      </c>
      <c r="D1398" s="3">
        <v>1</v>
      </c>
      <c r="E1398" s="3" t="s">
        <v>28</v>
      </c>
      <c r="F1398" s="3" t="s">
        <v>29</v>
      </c>
      <c r="G1398" s="3" t="str">
        <f>"2025-07-22 18:10:11.240"</f>
        <v>2025-07-22 18:10:11.240</v>
      </c>
      <c r="H1398" s="3" t="s">
        <v>21</v>
      </c>
      <c r="I1398" s="3">
        <v>10.9</v>
      </c>
      <c r="J1398" s="3" t="s">
        <v>30</v>
      </c>
    </row>
    <row r="1399" spans="1:10" x14ac:dyDescent="0.25">
      <c r="A1399" s="1">
        <v>443</v>
      </c>
      <c r="B1399" t="s">
        <v>23</v>
      </c>
      <c r="C1399">
        <v>635</v>
      </c>
      <c r="D1399">
        <v>1</v>
      </c>
      <c r="E1399" t="s">
        <v>44</v>
      </c>
      <c r="F1399" t="s">
        <v>45</v>
      </c>
      <c r="G1399" t="str">
        <f>"2025-07-21 23:00:55.040"</f>
        <v>2025-07-21 23:00:55.040</v>
      </c>
      <c r="H1399" t="s">
        <v>21</v>
      </c>
    </row>
    <row r="1400" spans="1:10" x14ac:dyDescent="0.25">
      <c r="A1400" s="1">
        <v>444</v>
      </c>
      <c r="B1400" t="s">
        <v>26</v>
      </c>
      <c r="C1400">
        <v>635</v>
      </c>
      <c r="D1400">
        <v>1</v>
      </c>
      <c r="E1400" t="s">
        <v>44</v>
      </c>
      <c r="F1400" t="s">
        <v>45</v>
      </c>
      <c r="G1400" t="str">
        <f>"2025-07-21 22:55:58.539"</f>
        <v>2025-07-21 22:55:58.539</v>
      </c>
      <c r="H1400" t="s">
        <v>21</v>
      </c>
      <c r="I1400">
        <v>1.91</v>
      </c>
      <c r="J1400" t="s">
        <v>39</v>
      </c>
    </row>
    <row r="1401" spans="1:10" s="3" customFormat="1" x14ac:dyDescent="0.25">
      <c r="A1401" s="2">
        <v>445</v>
      </c>
      <c r="B1401" s="3" t="s">
        <v>23</v>
      </c>
      <c r="C1401" s="3">
        <v>647</v>
      </c>
      <c r="D1401" s="3">
        <v>1</v>
      </c>
      <c r="E1401" s="3" t="s">
        <v>28</v>
      </c>
      <c r="F1401" s="3" t="s">
        <v>29</v>
      </c>
      <c r="G1401" s="3" t="str">
        <f>"2025-07-21 18:55:25.040"</f>
        <v>2025-07-21 18:55:25.040</v>
      </c>
      <c r="H1401" s="3" t="s">
        <v>21</v>
      </c>
    </row>
    <row r="1402" spans="1:10" s="3" customFormat="1" x14ac:dyDescent="0.25">
      <c r="A1402" s="2">
        <v>446</v>
      </c>
      <c r="B1402" s="3" t="s">
        <v>26</v>
      </c>
      <c r="C1402" s="3">
        <v>647</v>
      </c>
      <c r="D1402" s="3">
        <v>1</v>
      </c>
      <c r="E1402" s="3" t="s">
        <v>28</v>
      </c>
      <c r="F1402" s="3" t="s">
        <v>29</v>
      </c>
      <c r="G1402" s="3" t="str">
        <f>"2025-07-21 18:55:23.240"</f>
        <v>2025-07-21 18:55:23.240</v>
      </c>
      <c r="H1402" s="3" t="s">
        <v>21</v>
      </c>
      <c r="I1402" s="3">
        <v>8.6300000000000008</v>
      </c>
      <c r="J1402" s="3" t="s">
        <v>33</v>
      </c>
    </row>
    <row r="1403" spans="1:10" s="3" customFormat="1" x14ac:dyDescent="0.25">
      <c r="A1403" s="2">
        <v>447</v>
      </c>
      <c r="B1403" s="3" t="s">
        <v>23</v>
      </c>
      <c r="C1403" s="3">
        <v>647</v>
      </c>
      <c r="D1403" s="3">
        <v>1</v>
      </c>
      <c r="E1403" s="3" t="s">
        <v>28</v>
      </c>
      <c r="F1403" s="3" t="s">
        <v>29</v>
      </c>
      <c r="G1403" s="3" t="str">
        <f>"2025-07-19 19:51:07.440"</f>
        <v>2025-07-19 19:51:07.440</v>
      </c>
      <c r="H1403" s="3" t="s">
        <v>21</v>
      </c>
    </row>
    <row r="1404" spans="1:10" s="3" customFormat="1" x14ac:dyDescent="0.25">
      <c r="A1404" s="2">
        <v>448</v>
      </c>
      <c r="B1404" s="3" t="s">
        <v>26</v>
      </c>
      <c r="C1404" s="3">
        <v>647</v>
      </c>
      <c r="D1404" s="3">
        <v>1</v>
      </c>
      <c r="E1404" s="3" t="s">
        <v>28</v>
      </c>
      <c r="F1404" s="3" t="s">
        <v>29</v>
      </c>
      <c r="G1404" s="3" t="str">
        <f>"2025-07-19 19:51:05.140"</f>
        <v>2025-07-19 19:51:05.140</v>
      </c>
      <c r="H1404" s="3" t="s">
        <v>21</v>
      </c>
      <c r="I1404" s="3">
        <v>8.69</v>
      </c>
      <c r="J1404" s="3" t="s">
        <v>30</v>
      </c>
    </row>
    <row r="1405" spans="1:10" s="3" customFormat="1" x14ac:dyDescent="0.25">
      <c r="A1405" s="2">
        <v>449</v>
      </c>
      <c r="B1405" s="3" t="s">
        <v>23</v>
      </c>
      <c r="C1405" s="3">
        <v>647</v>
      </c>
      <c r="D1405" s="3">
        <v>1</v>
      </c>
      <c r="E1405" s="3" t="s">
        <v>28</v>
      </c>
      <c r="F1405" s="3" t="s">
        <v>29</v>
      </c>
      <c r="G1405" s="3" t="str">
        <f>"2025-07-19 19:31:57.340"</f>
        <v>2025-07-19 19:31:57.340</v>
      </c>
      <c r="H1405" s="3" t="s">
        <v>21</v>
      </c>
    </row>
    <row r="1406" spans="1:10" s="3" customFormat="1" x14ac:dyDescent="0.25">
      <c r="A1406" s="2">
        <v>450</v>
      </c>
      <c r="B1406" s="3" t="s">
        <v>26</v>
      </c>
      <c r="C1406" s="3">
        <v>647</v>
      </c>
      <c r="D1406" s="3">
        <v>1</v>
      </c>
      <c r="E1406" s="3" t="s">
        <v>28</v>
      </c>
      <c r="F1406" s="3" t="s">
        <v>29</v>
      </c>
      <c r="G1406" s="3" t="str">
        <f>"2025-07-19 19:31:54.040"</f>
        <v>2025-07-19 19:31:54.040</v>
      </c>
      <c r="H1406" s="3" t="s">
        <v>21</v>
      </c>
      <c r="I1406" s="3">
        <v>12.3</v>
      </c>
      <c r="J1406" s="3" t="s">
        <v>33</v>
      </c>
    </row>
    <row r="1407" spans="1:10" s="3" customFormat="1" x14ac:dyDescent="0.25">
      <c r="A1407" s="2">
        <v>451</v>
      </c>
      <c r="B1407" s="3" t="s">
        <v>23</v>
      </c>
      <c r="C1407" s="3">
        <v>647</v>
      </c>
      <c r="D1407" s="3">
        <v>1</v>
      </c>
      <c r="E1407" s="3" t="s">
        <v>28</v>
      </c>
      <c r="F1407" s="3" t="s">
        <v>29</v>
      </c>
      <c r="G1407" s="3" t="str">
        <f>"2025-07-19 15:55:02.840"</f>
        <v>2025-07-19 15:55:02.840</v>
      </c>
      <c r="H1407" s="3" t="s">
        <v>21</v>
      </c>
    </row>
    <row r="1408" spans="1:10" s="3" customFormat="1" x14ac:dyDescent="0.25">
      <c r="A1408" s="2">
        <v>452</v>
      </c>
      <c r="B1408" s="3" t="s">
        <v>26</v>
      </c>
      <c r="C1408" s="3">
        <v>647</v>
      </c>
      <c r="D1408" s="3">
        <v>1</v>
      </c>
      <c r="E1408" s="3" t="s">
        <v>28</v>
      </c>
      <c r="F1408" s="3" t="s">
        <v>29</v>
      </c>
      <c r="G1408" s="3" t="str">
        <f>"2025-07-19 15:54:59.441"</f>
        <v>2025-07-19 15:54:59.441</v>
      </c>
      <c r="H1408" s="3" t="s">
        <v>21</v>
      </c>
      <c r="I1408" s="3">
        <v>10.33</v>
      </c>
      <c r="J1408" s="3" t="s">
        <v>33</v>
      </c>
    </row>
    <row r="1409" spans="1:10" x14ac:dyDescent="0.25">
      <c r="A1409" s="1">
        <v>453</v>
      </c>
      <c r="B1409" t="s">
        <v>19</v>
      </c>
      <c r="C1409">
        <v>700</v>
      </c>
      <c r="D1409">
        <v>0</v>
      </c>
      <c r="E1409" t="s">
        <v>20</v>
      </c>
      <c r="F1409" t="s">
        <v>20</v>
      </c>
      <c r="G1409" t="str">
        <f>"2025-07-19 15:39:30.532"</f>
        <v>2025-07-19 15:39:30.532</v>
      </c>
      <c r="H1409" t="s">
        <v>21</v>
      </c>
    </row>
    <row r="1410" spans="1:10" x14ac:dyDescent="0.25">
      <c r="A1410" s="1">
        <v>454</v>
      </c>
      <c r="B1410" t="s">
        <v>19</v>
      </c>
      <c r="C1410">
        <v>700</v>
      </c>
      <c r="D1410">
        <v>0</v>
      </c>
      <c r="E1410" t="s">
        <v>20</v>
      </c>
      <c r="F1410" t="s">
        <v>20</v>
      </c>
      <c r="G1410" t="str">
        <f>"2025-07-19 15:25:01.547"</f>
        <v>2025-07-19 15:25:01.547</v>
      </c>
      <c r="H1410" t="s">
        <v>21</v>
      </c>
    </row>
    <row r="1411" spans="1:10" x14ac:dyDescent="0.25">
      <c r="A1411" s="1">
        <v>455</v>
      </c>
      <c r="B1411" t="s">
        <v>19</v>
      </c>
      <c r="C1411">
        <v>706</v>
      </c>
      <c r="D1411">
        <v>4</v>
      </c>
      <c r="E1411" t="s">
        <v>31</v>
      </c>
      <c r="F1411" t="s">
        <v>32</v>
      </c>
      <c r="G1411" t="str">
        <f>"2025-07-19 14:46:00.354"</f>
        <v>2025-07-19 14:46:00.354</v>
      </c>
      <c r="H1411" t="s">
        <v>21</v>
      </c>
      <c r="I1411">
        <v>0</v>
      </c>
      <c r="J1411" t="s">
        <v>27</v>
      </c>
    </row>
    <row r="1412" spans="1:10" x14ac:dyDescent="0.25">
      <c r="A1412" s="1">
        <v>456</v>
      </c>
      <c r="B1412" t="s">
        <v>19</v>
      </c>
      <c r="C1412">
        <v>700</v>
      </c>
      <c r="D1412">
        <v>0</v>
      </c>
      <c r="E1412" t="s">
        <v>20</v>
      </c>
      <c r="F1412" t="s">
        <v>20</v>
      </c>
      <c r="G1412" t="str">
        <f>"2025-07-19 14:45:39.564"</f>
        <v>2025-07-19 14:45:39.564</v>
      </c>
      <c r="H1412" t="s">
        <v>21</v>
      </c>
      <c r="I1412">
        <v>0</v>
      </c>
      <c r="J1412" t="s">
        <v>22</v>
      </c>
    </row>
    <row r="1413" spans="1:10" x14ac:dyDescent="0.25">
      <c r="A1413" s="1">
        <v>457</v>
      </c>
      <c r="B1413" t="s">
        <v>34</v>
      </c>
      <c r="C1413">
        <v>33</v>
      </c>
      <c r="D1413">
        <v>1</v>
      </c>
      <c r="E1413" t="s">
        <v>35</v>
      </c>
      <c r="F1413" t="s">
        <v>36</v>
      </c>
      <c r="G1413" t="str">
        <f>"2025-07-19 08:56:13.109"</f>
        <v>2025-07-19 08:56:13.109</v>
      </c>
      <c r="H1413" t="s">
        <v>37</v>
      </c>
    </row>
    <row r="1414" spans="1:10" x14ac:dyDescent="0.25">
      <c r="A1414" s="1">
        <v>458</v>
      </c>
      <c r="B1414" t="s">
        <v>38</v>
      </c>
      <c r="C1414">
        <v>33</v>
      </c>
      <c r="D1414">
        <v>1</v>
      </c>
      <c r="E1414" t="s">
        <v>35</v>
      </c>
      <c r="F1414" t="s">
        <v>36</v>
      </c>
      <c r="G1414" t="str">
        <f>"2025-07-19 08:55:46.167"</f>
        <v>2025-07-19 08:55:46.167</v>
      </c>
      <c r="H1414" t="s">
        <v>37</v>
      </c>
      <c r="I1414">
        <v>6.69</v>
      </c>
      <c r="J1414" t="s">
        <v>39</v>
      </c>
    </row>
    <row r="1415" spans="1:10" x14ac:dyDescent="0.25">
      <c r="A1415" s="1">
        <v>459</v>
      </c>
      <c r="B1415" t="s">
        <v>23</v>
      </c>
      <c r="C1415">
        <v>630</v>
      </c>
      <c r="D1415">
        <v>5</v>
      </c>
      <c r="E1415" t="s">
        <v>40</v>
      </c>
      <c r="F1415" t="s">
        <v>41</v>
      </c>
      <c r="G1415" t="str">
        <f>"2025-07-19 06:14:42.409"</f>
        <v>2025-07-19 06:14:42.409</v>
      </c>
      <c r="H1415" t="s">
        <v>42</v>
      </c>
    </row>
    <row r="1416" spans="1:10" x14ac:dyDescent="0.25">
      <c r="A1416" s="1">
        <v>460</v>
      </c>
      <c r="B1416" t="s">
        <v>19</v>
      </c>
      <c r="C1416">
        <v>706</v>
      </c>
      <c r="D1416">
        <v>4</v>
      </c>
      <c r="E1416" t="s">
        <v>31</v>
      </c>
      <c r="F1416" t="s">
        <v>32</v>
      </c>
      <c r="G1416" t="str">
        <f>"2025-07-19 06:14:12.398"</f>
        <v>2025-07-19 06:14:12.398</v>
      </c>
      <c r="H1416" t="s">
        <v>21</v>
      </c>
      <c r="I1416">
        <v>0</v>
      </c>
      <c r="J1416" t="s">
        <v>27</v>
      </c>
    </row>
    <row r="1417" spans="1:10" x14ac:dyDescent="0.25">
      <c r="A1417" s="1">
        <v>461</v>
      </c>
      <c r="B1417" t="s">
        <v>19</v>
      </c>
      <c r="C1417">
        <v>706</v>
      </c>
      <c r="D1417">
        <v>4</v>
      </c>
      <c r="E1417" t="s">
        <v>31</v>
      </c>
      <c r="F1417" t="s">
        <v>32</v>
      </c>
      <c r="G1417" t="str">
        <f>"2025-07-19 06:14:02.388"</f>
        <v>2025-07-19 06:14:02.388</v>
      </c>
      <c r="H1417" t="s">
        <v>21</v>
      </c>
      <c r="I1417">
        <v>0</v>
      </c>
      <c r="J1417" t="s">
        <v>27</v>
      </c>
    </row>
    <row r="1418" spans="1:10" x14ac:dyDescent="0.25">
      <c r="A1418" s="1">
        <v>462</v>
      </c>
      <c r="B1418" t="s">
        <v>38</v>
      </c>
      <c r="C1418">
        <v>630</v>
      </c>
      <c r="D1418">
        <v>5</v>
      </c>
      <c r="E1418" t="s">
        <v>40</v>
      </c>
      <c r="F1418" t="s">
        <v>41</v>
      </c>
      <c r="G1418" t="str">
        <f>"2025-07-19 06:03:24.309"</f>
        <v>2025-07-19 06:03:24.309</v>
      </c>
      <c r="H1418" t="s">
        <v>42</v>
      </c>
      <c r="I1418">
        <v>0</v>
      </c>
      <c r="J1418" t="s">
        <v>27</v>
      </c>
    </row>
    <row r="1419" spans="1:10" x14ac:dyDescent="0.25">
      <c r="A1419" s="1">
        <v>463</v>
      </c>
      <c r="B1419" t="s">
        <v>19</v>
      </c>
      <c r="C1419">
        <v>700</v>
      </c>
      <c r="D1419">
        <v>0</v>
      </c>
      <c r="E1419" t="s">
        <v>20</v>
      </c>
      <c r="F1419" t="s">
        <v>20</v>
      </c>
      <c r="G1419" t="str">
        <f>"2025-07-19 05:58:21.528"</f>
        <v>2025-07-19 05:58:21.528</v>
      </c>
      <c r="H1419" t="s">
        <v>21</v>
      </c>
    </row>
    <row r="1420" spans="1:10" x14ac:dyDescent="0.25">
      <c r="A1420" s="1">
        <v>464</v>
      </c>
      <c r="B1420" t="s">
        <v>19</v>
      </c>
      <c r="C1420">
        <v>719</v>
      </c>
      <c r="D1420">
        <v>5</v>
      </c>
      <c r="E1420" t="s">
        <v>63</v>
      </c>
      <c r="F1420" t="s">
        <v>64</v>
      </c>
      <c r="G1420" t="str">
        <f>"2025-07-19 05:56:00.252"</f>
        <v>2025-07-19 05:56:00.252</v>
      </c>
      <c r="H1420" t="s">
        <v>21</v>
      </c>
      <c r="I1420">
        <v>0</v>
      </c>
      <c r="J1420" t="s">
        <v>27</v>
      </c>
    </row>
    <row r="1421" spans="1:10" x14ac:dyDescent="0.25">
      <c r="A1421" s="1">
        <v>465</v>
      </c>
      <c r="B1421" t="s">
        <v>38</v>
      </c>
      <c r="C1421">
        <v>630</v>
      </c>
      <c r="D1421">
        <v>5</v>
      </c>
      <c r="E1421" t="s">
        <v>40</v>
      </c>
      <c r="F1421" t="s">
        <v>41</v>
      </c>
      <c r="G1421" t="str">
        <f>"2025-07-19 05:49:20.273"</f>
        <v>2025-07-19 05:49:20.273</v>
      </c>
      <c r="H1421" t="s">
        <v>42</v>
      </c>
      <c r="I1421">
        <v>0</v>
      </c>
      <c r="J1421" t="s">
        <v>27</v>
      </c>
    </row>
    <row r="1422" spans="1:10" x14ac:dyDescent="0.25">
      <c r="A1422" s="1">
        <v>466</v>
      </c>
      <c r="B1422" t="s">
        <v>19</v>
      </c>
      <c r="C1422">
        <v>700</v>
      </c>
      <c r="D1422">
        <v>0</v>
      </c>
      <c r="E1422" t="s">
        <v>20</v>
      </c>
      <c r="F1422" t="s">
        <v>20</v>
      </c>
      <c r="G1422" t="str">
        <f>"2025-07-19 05:44:17.531"</f>
        <v>2025-07-19 05:44:17.531</v>
      </c>
      <c r="H1422" t="s">
        <v>21</v>
      </c>
      <c r="I1422">
        <v>0</v>
      </c>
      <c r="J1422" t="s">
        <v>22</v>
      </c>
    </row>
    <row r="1423" spans="1:10" x14ac:dyDescent="0.25">
      <c r="A1423" s="1">
        <v>467</v>
      </c>
      <c r="B1423" t="s">
        <v>19</v>
      </c>
      <c r="C1423">
        <v>700</v>
      </c>
      <c r="D1423">
        <v>0</v>
      </c>
      <c r="E1423" t="s">
        <v>20</v>
      </c>
      <c r="F1423" t="s">
        <v>20</v>
      </c>
      <c r="G1423" t="str">
        <f>"2025-07-19 04:18:50.524"</f>
        <v>2025-07-19 04:18:50.524</v>
      </c>
      <c r="H1423" t="s">
        <v>21</v>
      </c>
      <c r="I1423">
        <v>0</v>
      </c>
      <c r="J1423" t="s">
        <v>22</v>
      </c>
    </row>
    <row r="1424" spans="1:10" x14ac:dyDescent="0.25">
      <c r="A1424" s="1">
        <v>468</v>
      </c>
      <c r="B1424" t="s">
        <v>19</v>
      </c>
      <c r="C1424">
        <v>700</v>
      </c>
      <c r="D1424">
        <v>0</v>
      </c>
      <c r="E1424" t="s">
        <v>20</v>
      </c>
      <c r="F1424" t="s">
        <v>20</v>
      </c>
      <c r="G1424" t="str">
        <f>"2025-07-19 03:51:51.794"</f>
        <v>2025-07-19 03:51:51.794</v>
      </c>
      <c r="H1424" t="s">
        <v>21</v>
      </c>
      <c r="I1424">
        <v>0</v>
      </c>
      <c r="J1424" t="s">
        <v>22</v>
      </c>
    </row>
    <row r="1425" spans="1:10" x14ac:dyDescent="0.25">
      <c r="A1425" s="1">
        <v>469</v>
      </c>
      <c r="B1425" t="s">
        <v>19</v>
      </c>
      <c r="C1425">
        <v>706</v>
      </c>
      <c r="D1425">
        <v>4</v>
      </c>
      <c r="E1425" t="s">
        <v>31</v>
      </c>
      <c r="F1425" t="s">
        <v>32</v>
      </c>
      <c r="G1425" t="str">
        <f>"2025-07-17 09:14:06.980"</f>
        <v>2025-07-17 09:14:06.980</v>
      </c>
      <c r="H1425" t="s">
        <v>21</v>
      </c>
      <c r="I1425">
        <v>0</v>
      </c>
      <c r="J1425" t="s">
        <v>27</v>
      </c>
    </row>
    <row r="1426" spans="1:10" x14ac:dyDescent="0.25">
      <c r="A1426" s="1">
        <v>470</v>
      </c>
      <c r="B1426" t="s">
        <v>23</v>
      </c>
      <c r="C1426">
        <v>630</v>
      </c>
      <c r="D1426">
        <v>5</v>
      </c>
      <c r="E1426" t="s">
        <v>40</v>
      </c>
      <c r="F1426" t="s">
        <v>41</v>
      </c>
      <c r="G1426" t="str">
        <f>"2025-07-17 09:09:48.347"</f>
        <v>2025-07-17 09:09:48.347</v>
      </c>
      <c r="H1426" t="s">
        <v>42</v>
      </c>
    </row>
    <row r="1427" spans="1:10" x14ac:dyDescent="0.25">
      <c r="A1427" s="1">
        <v>471</v>
      </c>
      <c r="B1427" t="s">
        <v>38</v>
      </c>
      <c r="C1427">
        <v>630</v>
      </c>
      <c r="D1427">
        <v>5</v>
      </c>
      <c r="E1427" t="s">
        <v>40</v>
      </c>
      <c r="F1427" t="s">
        <v>41</v>
      </c>
      <c r="G1427" t="str">
        <f>"2025-07-17 09:06:33.547"</f>
        <v>2025-07-17 09:06:33.547</v>
      </c>
      <c r="H1427" t="s">
        <v>42</v>
      </c>
      <c r="I1427">
        <v>0</v>
      </c>
      <c r="J1427" t="s">
        <v>27</v>
      </c>
    </row>
    <row r="1428" spans="1:10" s="3" customFormat="1" x14ac:dyDescent="0.25">
      <c r="A1428" s="2">
        <v>472</v>
      </c>
      <c r="B1428" s="3" t="s">
        <v>23</v>
      </c>
      <c r="C1428" s="3">
        <v>647</v>
      </c>
      <c r="D1428" s="3">
        <v>1</v>
      </c>
      <c r="E1428" s="3" t="s">
        <v>28</v>
      </c>
      <c r="F1428" s="3" t="s">
        <v>29</v>
      </c>
      <c r="G1428" s="3" t="str">
        <f>"2025-07-17 05:22:21.747"</f>
        <v>2025-07-17 05:22:21.747</v>
      </c>
      <c r="H1428" s="3" t="s">
        <v>21</v>
      </c>
    </row>
    <row r="1429" spans="1:10" s="3" customFormat="1" x14ac:dyDescent="0.25">
      <c r="A1429" s="2">
        <v>473</v>
      </c>
      <c r="B1429" s="3" t="s">
        <v>26</v>
      </c>
      <c r="C1429" s="3">
        <v>647</v>
      </c>
      <c r="D1429" s="3">
        <v>1</v>
      </c>
      <c r="E1429" s="3" t="s">
        <v>28</v>
      </c>
      <c r="F1429" s="3" t="s">
        <v>29</v>
      </c>
      <c r="G1429" s="3" t="str">
        <f>"2025-07-17 05:22:16.647"</f>
        <v>2025-07-17 05:22:16.647</v>
      </c>
      <c r="H1429" s="3" t="s">
        <v>21</v>
      </c>
      <c r="I1429" s="3">
        <v>10.19</v>
      </c>
      <c r="J1429" s="3" t="s">
        <v>33</v>
      </c>
    </row>
    <row r="1430" spans="1:10" s="3" customFormat="1" x14ac:dyDescent="0.25">
      <c r="A1430" s="2">
        <v>474</v>
      </c>
      <c r="B1430" s="3" t="s">
        <v>23</v>
      </c>
      <c r="C1430" s="3">
        <v>647</v>
      </c>
      <c r="D1430" s="3">
        <v>1</v>
      </c>
      <c r="E1430" s="3" t="s">
        <v>28</v>
      </c>
      <c r="F1430" s="3" t="s">
        <v>29</v>
      </c>
      <c r="G1430" s="3" t="str">
        <f>"2025-07-17 03:31:16.947"</f>
        <v>2025-07-17 03:31:16.947</v>
      </c>
      <c r="H1430" s="3" t="s">
        <v>21</v>
      </c>
    </row>
    <row r="1431" spans="1:10" s="3" customFormat="1" x14ac:dyDescent="0.25">
      <c r="A1431" s="2">
        <v>475</v>
      </c>
      <c r="B1431" s="3" t="s">
        <v>26</v>
      </c>
      <c r="C1431" s="3">
        <v>647</v>
      </c>
      <c r="D1431" s="3">
        <v>1</v>
      </c>
      <c r="E1431" s="3" t="s">
        <v>28</v>
      </c>
      <c r="F1431" s="3" t="s">
        <v>29</v>
      </c>
      <c r="G1431" s="3" t="str">
        <f>"2025-07-17 03:31:02.447"</f>
        <v>2025-07-17 03:31:02.447</v>
      </c>
      <c r="H1431" s="3" t="s">
        <v>21</v>
      </c>
      <c r="I1431" s="3">
        <v>9.82</v>
      </c>
      <c r="J1431" s="3" t="s">
        <v>33</v>
      </c>
    </row>
    <row r="1432" spans="1:10" s="3" customFormat="1" x14ac:dyDescent="0.25">
      <c r="A1432" s="2">
        <v>476</v>
      </c>
      <c r="B1432" s="3" t="s">
        <v>23</v>
      </c>
      <c r="C1432" s="3">
        <v>647</v>
      </c>
      <c r="D1432" s="3">
        <v>1</v>
      </c>
      <c r="E1432" s="3" t="s">
        <v>28</v>
      </c>
      <c r="F1432" s="3" t="s">
        <v>29</v>
      </c>
      <c r="G1432" s="3" t="str">
        <f>"2025-07-15 19:49:27.547"</f>
        <v>2025-07-15 19:49:27.547</v>
      </c>
      <c r="H1432" s="3" t="s">
        <v>21</v>
      </c>
    </row>
    <row r="1433" spans="1:10" s="3" customFormat="1" x14ac:dyDescent="0.25">
      <c r="A1433" s="2">
        <v>477</v>
      </c>
      <c r="B1433" s="3" t="s">
        <v>26</v>
      </c>
      <c r="C1433" s="3">
        <v>647</v>
      </c>
      <c r="D1433" s="3">
        <v>1</v>
      </c>
      <c r="E1433" s="3" t="s">
        <v>28</v>
      </c>
      <c r="F1433" s="3" t="s">
        <v>29</v>
      </c>
      <c r="G1433" s="3" t="str">
        <f>"2025-07-15 19:49:24.248"</f>
        <v>2025-07-15 19:49:24.248</v>
      </c>
      <c r="H1433" s="3" t="s">
        <v>21</v>
      </c>
      <c r="I1433" s="3">
        <v>8.75</v>
      </c>
      <c r="J1433" s="3" t="s">
        <v>33</v>
      </c>
    </row>
    <row r="1434" spans="1:10" x14ac:dyDescent="0.25">
      <c r="A1434" s="1">
        <v>478</v>
      </c>
      <c r="B1434" t="s">
        <v>19</v>
      </c>
      <c r="C1434">
        <v>700</v>
      </c>
      <c r="D1434">
        <v>0</v>
      </c>
      <c r="E1434" t="s">
        <v>20</v>
      </c>
      <c r="F1434" t="s">
        <v>20</v>
      </c>
      <c r="G1434" t="str">
        <f>"2025-07-15 18:54:33.510"</f>
        <v>2025-07-15 18:54:33.510</v>
      </c>
      <c r="H1434" t="s">
        <v>21</v>
      </c>
    </row>
    <row r="1435" spans="1:10" x14ac:dyDescent="0.25">
      <c r="A1435" s="1">
        <v>479</v>
      </c>
      <c r="B1435" t="s">
        <v>19</v>
      </c>
      <c r="C1435">
        <v>700</v>
      </c>
      <c r="D1435">
        <v>0</v>
      </c>
      <c r="E1435" t="s">
        <v>20</v>
      </c>
      <c r="F1435" t="s">
        <v>20</v>
      </c>
      <c r="G1435" t="str">
        <f>"2025-07-15 18:53:11.515"</f>
        <v>2025-07-15 18:53:11.515</v>
      </c>
      <c r="H1435" t="s">
        <v>21</v>
      </c>
      <c r="I1435">
        <v>0</v>
      </c>
      <c r="J1435" t="s">
        <v>22</v>
      </c>
    </row>
    <row r="1436" spans="1:10" x14ac:dyDescent="0.25">
      <c r="A1436" s="1">
        <v>480</v>
      </c>
      <c r="B1436" t="s">
        <v>19</v>
      </c>
      <c r="C1436">
        <v>700</v>
      </c>
      <c r="D1436">
        <v>0</v>
      </c>
      <c r="E1436" t="s">
        <v>20</v>
      </c>
      <c r="F1436" t="s">
        <v>20</v>
      </c>
      <c r="G1436" t="str">
        <f>"2025-07-15 18:33:18.530"</f>
        <v>2025-07-15 18:33:18.530</v>
      </c>
      <c r="H1436" t="s">
        <v>21</v>
      </c>
      <c r="I1436">
        <v>0</v>
      </c>
      <c r="J1436" t="s">
        <v>22</v>
      </c>
    </row>
    <row r="1437" spans="1:10" x14ac:dyDescent="0.25">
      <c r="A1437" s="1">
        <v>481</v>
      </c>
      <c r="B1437" t="s">
        <v>19</v>
      </c>
      <c r="C1437">
        <v>706</v>
      </c>
      <c r="D1437">
        <v>4</v>
      </c>
      <c r="E1437" t="s">
        <v>31</v>
      </c>
      <c r="F1437" t="s">
        <v>32</v>
      </c>
      <c r="G1437" t="str">
        <f>"2025-07-15 18:03:26.000"</f>
        <v>2025-07-15 18:03:26.000</v>
      </c>
      <c r="H1437" t="s">
        <v>21</v>
      </c>
      <c r="I1437">
        <v>0</v>
      </c>
      <c r="J1437" t="s">
        <v>27</v>
      </c>
    </row>
    <row r="1438" spans="1:10" x14ac:dyDescent="0.25">
      <c r="A1438" s="1">
        <v>482</v>
      </c>
      <c r="B1438" t="s">
        <v>19</v>
      </c>
      <c r="C1438">
        <v>700</v>
      </c>
      <c r="D1438">
        <v>0</v>
      </c>
      <c r="E1438" t="s">
        <v>20</v>
      </c>
      <c r="F1438" t="s">
        <v>20</v>
      </c>
      <c r="G1438" t="str">
        <f>"2025-07-15 17:54:07.530"</f>
        <v>2025-07-15 17:54:07.530</v>
      </c>
      <c r="H1438" t="s">
        <v>21</v>
      </c>
    </row>
    <row r="1439" spans="1:10" x14ac:dyDescent="0.25">
      <c r="A1439" s="1">
        <v>483</v>
      </c>
      <c r="B1439" t="s">
        <v>19</v>
      </c>
      <c r="C1439">
        <v>706</v>
      </c>
      <c r="D1439">
        <v>2</v>
      </c>
      <c r="E1439" t="s">
        <v>31</v>
      </c>
      <c r="F1439" t="s">
        <v>43</v>
      </c>
      <c r="G1439" t="str">
        <f>"2025-07-15 04:25:38.222"</f>
        <v>2025-07-15 04:25:38.222</v>
      </c>
      <c r="H1439" t="s">
        <v>21</v>
      </c>
      <c r="I1439">
        <v>0</v>
      </c>
      <c r="J1439" t="s">
        <v>27</v>
      </c>
    </row>
    <row r="1440" spans="1:10" x14ac:dyDescent="0.25">
      <c r="A1440" s="1">
        <v>484</v>
      </c>
      <c r="B1440" t="s">
        <v>19</v>
      </c>
      <c r="C1440">
        <v>700</v>
      </c>
      <c r="D1440">
        <v>0</v>
      </c>
      <c r="E1440" t="s">
        <v>20</v>
      </c>
      <c r="F1440" t="s">
        <v>20</v>
      </c>
      <c r="G1440" t="str">
        <f>"2025-07-15 04:20:54.782"</f>
        <v>2025-07-15 04:20:54.782</v>
      </c>
      <c r="H1440" t="s">
        <v>21</v>
      </c>
      <c r="I1440">
        <v>0</v>
      </c>
      <c r="J1440" t="s">
        <v>22</v>
      </c>
    </row>
    <row r="1441" spans="1:10" s="3" customFormat="1" x14ac:dyDescent="0.25">
      <c r="A1441" s="2">
        <v>485</v>
      </c>
      <c r="B1441" s="3" t="s">
        <v>23</v>
      </c>
      <c r="C1441" s="3">
        <v>647</v>
      </c>
      <c r="D1441" s="3">
        <v>1</v>
      </c>
      <c r="E1441" s="3" t="s">
        <v>28</v>
      </c>
      <c r="F1441" s="3" t="s">
        <v>29</v>
      </c>
      <c r="G1441" s="3" t="str">
        <f>"2025-07-15 00:36:58.067"</f>
        <v>2025-07-15 00:36:58.067</v>
      </c>
      <c r="H1441" s="3" t="s">
        <v>21</v>
      </c>
    </row>
    <row r="1442" spans="1:10" s="3" customFormat="1" x14ac:dyDescent="0.25">
      <c r="A1442" s="2">
        <v>486</v>
      </c>
      <c r="B1442" s="3" t="s">
        <v>26</v>
      </c>
      <c r="C1442" s="3">
        <v>647</v>
      </c>
      <c r="D1442" s="3">
        <v>1</v>
      </c>
      <c r="E1442" s="3" t="s">
        <v>28</v>
      </c>
      <c r="F1442" s="3" t="s">
        <v>29</v>
      </c>
      <c r="G1442" s="3" t="str">
        <f>"2025-07-15 00:36:54.368"</f>
        <v>2025-07-15 00:36:54.368</v>
      </c>
      <c r="H1442" s="3" t="s">
        <v>21</v>
      </c>
      <c r="I1442" s="3">
        <v>12.06</v>
      </c>
      <c r="J1442" s="3" t="s">
        <v>33</v>
      </c>
    </row>
    <row r="1443" spans="1:10" s="3" customFormat="1" x14ac:dyDescent="0.25">
      <c r="A1443" s="2">
        <v>487</v>
      </c>
      <c r="B1443" s="3" t="s">
        <v>23</v>
      </c>
      <c r="C1443" s="3">
        <v>647</v>
      </c>
      <c r="D1443" s="3">
        <v>1</v>
      </c>
      <c r="E1443" s="3" t="s">
        <v>28</v>
      </c>
      <c r="F1443" s="3" t="s">
        <v>29</v>
      </c>
      <c r="G1443" s="3" t="str">
        <f>"2025-07-15 00:35:46.468"</f>
        <v>2025-07-15 00:35:46.468</v>
      </c>
      <c r="H1443" s="3" t="s">
        <v>21</v>
      </c>
    </row>
    <row r="1444" spans="1:10" s="3" customFormat="1" x14ac:dyDescent="0.25">
      <c r="A1444" s="2">
        <v>488</v>
      </c>
      <c r="B1444" s="3" t="s">
        <v>26</v>
      </c>
      <c r="C1444" s="3">
        <v>647</v>
      </c>
      <c r="D1444" s="3">
        <v>1</v>
      </c>
      <c r="E1444" s="3" t="s">
        <v>28</v>
      </c>
      <c r="F1444" s="3" t="s">
        <v>29</v>
      </c>
      <c r="G1444" s="3" t="str">
        <f>"2025-07-15 00:35:42.768"</f>
        <v>2025-07-15 00:35:42.768</v>
      </c>
      <c r="H1444" s="3" t="s">
        <v>21</v>
      </c>
      <c r="I1444" s="3">
        <v>10.74</v>
      </c>
      <c r="J1444" s="3" t="s">
        <v>33</v>
      </c>
    </row>
    <row r="1445" spans="1:10" x14ac:dyDescent="0.25">
      <c r="A1445" s="1">
        <v>489</v>
      </c>
      <c r="B1445" t="s">
        <v>19</v>
      </c>
      <c r="C1445">
        <v>700</v>
      </c>
      <c r="D1445">
        <v>0</v>
      </c>
      <c r="E1445" t="s">
        <v>20</v>
      </c>
      <c r="F1445" t="s">
        <v>20</v>
      </c>
      <c r="G1445" t="str">
        <f>"2025-07-14 13:42:37.519"</f>
        <v>2025-07-14 13:42:37.519</v>
      </c>
      <c r="H1445" t="s">
        <v>21</v>
      </c>
      <c r="I1445">
        <v>0</v>
      </c>
      <c r="J1445" t="s">
        <v>22</v>
      </c>
    </row>
    <row r="1446" spans="1:10" s="3" customFormat="1" x14ac:dyDescent="0.25">
      <c r="A1446" s="2">
        <v>490</v>
      </c>
      <c r="B1446" s="3" t="s">
        <v>23</v>
      </c>
      <c r="C1446" s="3">
        <v>647</v>
      </c>
      <c r="D1446" s="3">
        <v>1</v>
      </c>
      <c r="E1446" s="3" t="s">
        <v>28</v>
      </c>
      <c r="F1446" s="3" t="s">
        <v>29</v>
      </c>
      <c r="G1446" s="3" t="str">
        <f>"2025-07-13 19:47:14.057"</f>
        <v>2025-07-13 19:47:14.057</v>
      </c>
      <c r="H1446" s="3" t="s">
        <v>21</v>
      </c>
    </row>
    <row r="1447" spans="1:10" s="3" customFormat="1" x14ac:dyDescent="0.25">
      <c r="A1447" s="2">
        <v>491</v>
      </c>
      <c r="B1447" s="3" t="s">
        <v>26</v>
      </c>
      <c r="C1447" s="3">
        <v>647</v>
      </c>
      <c r="D1447" s="3">
        <v>1</v>
      </c>
      <c r="E1447" s="3" t="s">
        <v>28</v>
      </c>
      <c r="F1447" s="3" t="s">
        <v>29</v>
      </c>
      <c r="G1447" s="3" t="str">
        <f>"2025-07-13 19:47:12.358"</f>
        <v>2025-07-13 19:47:12.358</v>
      </c>
      <c r="H1447" s="3" t="s">
        <v>21</v>
      </c>
      <c r="I1447" s="3">
        <v>8.9499999999999993</v>
      </c>
      <c r="J1447" s="3" t="s">
        <v>33</v>
      </c>
    </row>
    <row r="1448" spans="1:10" x14ac:dyDescent="0.25">
      <c r="A1448" s="1">
        <v>493</v>
      </c>
      <c r="B1448" t="s">
        <v>19</v>
      </c>
      <c r="C1448">
        <v>700</v>
      </c>
      <c r="D1448">
        <v>0</v>
      </c>
      <c r="E1448" t="s">
        <v>20</v>
      </c>
      <c r="F1448" t="s">
        <v>20</v>
      </c>
      <c r="G1448" t="str">
        <f>"2025-07-12 12:57:40.510"</f>
        <v>2025-07-12 12:57:40.510</v>
      </c>
      <c r="H1448" t="s">
        <v>21</v>
      </c>
      <c r="I1448">
        <v>0</v>
      </c>
      <c r="J1448" t="s">
        <v>22</v>
      </c>
    </row>
    <row r="1449" spans="1:10" x14ac:dyDescent="0.25">
      <c r="A1449" s="1">
        <v>494</v>
      </c>
      <c r="B1449" t="s">
        <v>23</v>
      </c>
      <c r="C1449">
        <v>98</v>
      </c>
      <c r="D1449">
        <v>1</v>
      </c>
      <c r="E1449" t="s">
        <v>49</v>
      </c>
      <c r="F1449" t="s">
        <v>50</v>
      </c>
      <c r="G1449" t="str">
        <f>"2025-07-11 12:00:41.656"</f>
        <v>2025-07-11 12:00:41.656</v>
      </c>
      <c r="H1449" t="s">
        <v>21</v>
      </c>
    </row>
    <row r="1450" spans="1:10" x14ac:dyDescent="0.25">
      <c r="A1450" s="1">
        <v>495</v>
      </c>
      <c r="B1450" t="s">
        <v>26</v>
      </c>
      <c r="C1450">
        <v>98</v>
      </c>
      <c r="D1450">
        <v>1</v>
      </c>
      <c r="E1450" t="s">
        <v>49</v>
      </c>
      <c r="F1450" t="s">
        <v>50</v>
      </c>
      <c r="G1450" t="str">
        <f>"2025-07-11 12:00:40.656"</f>
        <v>2025-07-11 12:00:40.656</v>
      </c>
      <c r="H1450" t="s">
        <v>21</v>
      </c>
      <c r="I1450">
        <v>19.03</v>
      </c>
      <c r="J1450" t="s">
        <v>33</v>
      </c>
    </row>
    <row r="1451" spans="1:10" x14ac:dyDescent="0.25">
      <c r="A1451" s="1">
        <v>496</v>
      </c>
      <c r="B1451" t="s">
        <v>23</v>
      </c>
      <c r="C1451">
        <v>635</v>
      </c>
      <c r="D1451">
        <v>1</v>
      </c>
      <c r="E1451" t="s">
        <v>44</v>
      </c>
      <c r="F1451" t="s">
        <v>45</v>
      </c>
      <c r="G1451" t="str">
        <f>"2025-07-11 09:21:05.795"</f>
        <v>2025-07-11 09:21:05.795</v>
      </c>
      <c r="H1451" t="s">
        <v>21</v>
      </c>
    </row>
    <row r="1452" spans="1:10" x14ac:dyDescent="0.25">
      <c r="A1452" s="1">
        <v>497</v>
      </c>
      <c r="B1452" t="s">
        <v>26</v>
      </c>
      <c r="C1452">
        <v>635</v>
      </c>
      <c r="D1452">
        <v>1</v>
      </c>
      <c r="E1452" t="s">
        <v>44</v>
      </c>
      <c r="F1452" t="s">
        <v>45</v>
      </c>
      <c r="G1452" t="str">
        <f>"2025-07-11 09:17:41.295"</f>
        <v>2025-07-11 09:17:41.295</v>
      </c>
      <c r="H1452" t="s">
        <v>21</v>
      </c>
      <c r="I1452">
        <v>3.97</v>
      </c>
      <c r="J1452" t="s">
        <v>39</v>
      </c>
    </row>
    <row r="1453" spans="1:10" x14ac:dyDescent="0.25">
      <c r="A1453" s="1">
        <v>498</v>
      </c>
      <c r="B1453" t="s">
        <v>19</v>
      </c>
      <c r="C1453">
        <v>700</v>
      </c>
      <c r="D1453">
        <v>0</v>
      </c>
      <c r="E1453" t="s">
        <v>20</v>
      </c>
      <c r="F1453" t="s">
        <v>20</v>
      </c>
      <c r="G1453" t="str">
        <f>"2025-07-10 16:06:05.695"</f>
        <v>2025-07-10 16:06:05.695</v>
      </c>
      <c r="H1453" t="s">
        <v>21</v>
      </c>
      <c r="I1453">
        <v>0</v>
      </c>
      <c r="J1453" t="s">
        <v>22</v>
      </c>
    </row>
    <row r="1454" spans="1:10" s="3" customFormat="1" x14ac:dyDescent="0.25">
      <c r="A1454" s="2">
        <v>499</v>
      </c>
      <c r="B1454" s="3" t="s">
        <v>23</v>
      </c>
      <c r="C1454" s="3">
        <v>647</v>
      </c>
      <c r="D1454" s="3">
        <v>1</v>
      </c>
      <c r="E1454" s="3" t="s">
        <v>28</v>
      </c>
      <c r="F1454" s="3" t="s">
        <v>29</v>
      </c>
      <c r="G1454" s="3" t="str">
        <f>"2025-07-10 11:03:40.253"</f>
        <v>2025-07-10 11:03:40.253</v>
      </c>
      <c r="H1454" s="3" t="s">
        <v>21</v>
      </c>
    </row>
    <row r="1455" spans="1:10" s="3" customFormat="1" x14ac:dyDescent="0.25">
      <c r="A1455" s="2">
        <v>500</v>
      </c>
      <c r="B1455" s="3" t="s">
        <v>26</v>
      </c>
      <c r="C1455" s="3">
        <v>647</v>
      </c>
      <c r="D1455" s="3">
        <v>1</v>
      </c>
      <c r="E1455" s="3" t="s">
        <v>28</v>
      </c>
      <c r="F1455" s="3" t="s">
        <v>29</v>
      </c>
      <c r="G1455" s="3" t="str">
        <f>"2025-07-10 11:03:39.053"</f>
        <v>2025-07-10 11:03:39.053</v>
      </c>
      <c r="H1455" s="3" t="s">
        <v>21</v>
      </c>
      <c r="I1455" s="3">
        <v>9.25</v>
      </c>
      <c r="J1455" s="3" t="s">
        <v>30</v>
      </c>
    </row>
    <row r="1456" spans="1:10" s="3" customFormat="1" x14ac:dyDescent="0.25">
      <c r="A1456" s="2">
        <v>501</v>
      </c>
      <c r="B1456" s="3" t="s">
        <v>23</v>
      </c>
      <c r="C1456" s="3">
        <v>647</v>
      </c>
      <c r="D1456" s="3">
        <v>1</v>
      </c>
      <c r="E1456" s="3" t="s">
        <v>28</v>
      </c>
      <c r="F1456" s="3" t="s">
        <v>29</v>
      </c>
      <c r="G1456" s="3" t="str">
        <f>"2025-07-10 01:43:23.653"</f>
        <v>2025-07-10 01:43:23.653</v>
      </c>
      <c r="H1456" s="3" t="s">
        <v>21</v>
      </c>
    </row>
    <row r="1457" spans="1:10" s="3" customFormat="1" x14ac:dyDescent="0.25">
      <c r="A1457" s="2">
        <v>502</v>
      </c>
      <c r="B1457" s="3" t="s">
        <v>26</v>
      </c>
      <c r="C1457" s="3">
        <v>647</v>
      </c>
      <c r="D1457" s="3">
        <v>1</v>
      </c>
      <c r="E1457" s="3" t="s">
        <v>28</v>
      </c>
      <c r="F1457" s="3" t="s">
        <v>29</v>
      </c>
      <c r="G1457" s="3" t="str">
        <f>"2025-07-10 01:43:20.153"</f>
        <v>2025-07-10 01:43:20.153</v>
      </c>
      <c r="H1457" s="3" t="s">
        <v>21</v>
      </c>
      <c r="I1457" s="3">
        <v>25.29</v>
      </c>
      <c r="J1457" s="3" t="s">
        <v>33</v>
      </c>
    </row>
    <row r="1458" spans="1:10" x14ac:dyDescent="0.25">
      <c r="A1458" s="1">
        <v>504</v>
      </c>
      <c r="B1458" t="s">
        <v>23</v>
      </c>
      <c r="C1458">
        <v>635</v>
      </c>
      <c r="D1458">
        <v>1</v>
      </c>
      <c r="E1458" t="s">
        <v>44</v>
      </c>
      <c r="F1458" t="s">
        <v>45</v>
      </c>
      <c r="G1458" t="str">
        <f>"2025-07-09 17:44:34.899"</f>
        <v>2025-07-09 17:44:34.899</v>
      </c>
      <c r="H1458" t="s">
        <v>21</v>
      </c>
    </row>
    <row r="1459" spans="1:10" x14ac:dyDescent="0.25">
      <c r="A1459" s="1">
        <v>505</v>
      </c>
      <c r="B1459" t="s">
        <v>26</v>
      </c>
      <c r="C1459">
        <v>635</v>
      </c>
      <c r="D1459">
        <v>1</v>
      </c>
      <c r="E1459" t="s">
        <v>44</v>
      </c>
      <c r="F1459" t="s">
        <v>45</v>
      </c>
      <c r="G1459" t="str">
        <f>"2025-07-09 17:38:17.399"</f>
        <v>2025-07-09 17:38:17.399</v>
      </c>
      <c r="H1459" t="s">
        <v>21</v>
      </c>
      <c r="I1459">
        <v>2.56</v>
      </c>
      <c r="J1459" t="s">
        <v>39</v>
      </c>
    </row>
    <row r="1460" spans="1:10" s="3" customFormat="1" x14ac:dyDescent="0.25">
      <c r="A1460" s="2">
        <v>506</v>
      </c>
      <c r="B1460" s="3" t="s">
        <v>23</v>
      </c>
      <c r="C1460" s="3">
        <v>647</v>
      </c>
      <c r="D1460" s="3">
        <v>1</v>
      </c>
      <c r="E1460" s="3" t="s">
        <v>28</v>
      </c>
      <c r="F1460" s="3" t="s">
        <v>29</v>
      </c>
      <c r="G1460" s="3" t="str">
        <f>"2025-07-09 08:28:46.453"</f>
        <v>2025-07-09 08:28:46.453</v>
      </c>
      <c r="H1460" s="3" t="s">
        <v>21</v>
      </c>
    </row>
    <row r="1461" spans="1:10" s="3" customFormat="1" x14ac:dyDescent="0.25">
      <c r="A1461" s="2">
        <v>507</v>
      </c>
      <c r="B1461" s="3" t="s">
        <v>26</v>
      </c>
      <c r="C1461" s="3">
        <v>647</v>
      </c>
      <c r="D1461" s="3">
        <v>1</v>
      </c>
      <c r="E1461" s="3" t="s">
        <v>28</v>
      </c>
      <c r="F1461" s="3" t="s">
        <v>29</v>
      </c>
      <c r="G1461" s="3" t="str">
        <f>"2025-07-09 08:28:40.353"</f>
        <v>2025-07-09 08:28:40.353</v>
      </c>
      <c r="H1461" s="3" t="s">
        <v>21</v>
      </c>
      <c r="I1461" s="3">
        <v>8.84</v>
      </c>
      <c r="J1461" s="3" t="s">
        <v>33</v>
      </c>
    </row>
    <row r="1462" spans="1:10" x14ac:dyDescent="0.25">
      <c r="A1462" s="1">
        <v>508</v>
      </c>
      <c r="B1462" t="s">
        <v>23</v>
      </c>
      <c r="C1462">
        <v>61</v>
      </c>
      <c r="D1462">
        <v>2</v>
      </c>
      <c r="E1462" t="s">
        <v>51</v>
      </c>
      <c r="F1462" t="s">
        <v>52</v>
      </c>
      <c r="G1462" t="str">
        <f>"2025-07-09 07:24:46.553"</f>
        <v>2025-07-09 07:24:46.553</v>
      </c>
      <c r="H1462" t="s">
        <v>21</v>
      </c>
    </row>
    <row r="1463" spans="1:10" x14ac:dyDescent="0.25">
      <c r="A1463" s="1">
        <v>509</v>
      </c>
      <c r="B1463" t="s">
        <v>38</v>
      </c>
      <c r="C1463">
        <v>61</v>
      </c>
      <c r="D1463">
        <v>2</v>
      </c>
      <c r="E1463" t="s">
        <v>51</v>
      </c>
      <c r="F1463" t="s">
        <v>52</v>
      </c>
      <c r="G1463" t="str">
        <f>"2025-07-09 07:24:25.653"</f>
        <v>2025-07-09 07:24:25.653</v>
      </c>
      <c r="H1463" t="s">
        <v>21</v>
      </c>
      <c r="I1463">
        <v>36.369999999999997</v>
      </c>
      <c r="J1463" t="s">
        <v>33</v>
      </c>
    </row>
    <row r="1464" spans="1:10" s="3" customFormat="1" x14ac:dyDescent="0.25">
      <c r="A1464" s="2">
        <v>510</v>
      </c>
      <c r="B1464" s="3" t="s">
        <v>23</v>
      </c>
      <c r="C1464" s="3">
        <v>647</v>
      </c>
      <c r="D1464" s="3">
        <v>1</v>
      </c>
      <c r="E1464" s="3" t="s">
        <v>28</v>
      </c>
      <c r="F1464" s="3" t="s">
        <v>29</v>
      </c>
      <c r="G1464" s="3" t="str">
        <f>"2025-07-09 03:18:51.053"</f>
        <v>2025-07-09 03:18:51.053</v>
      </c>
      <c r="H1464" s="3" t="s">
        <v>21</v>
      </c>
    </row>
    <row r="1465" spans="1:10" s="3" customFormat="1" x14ac:dyDescent="0.25">
      <c r="A1465" s="2">
        <v>511</v>
      </c>
      <c r="B1465" s="3" t="s">
        <v>26</v>
      </c>
      <c r="C1465" s="3">
        <v>647</v>
      </c>
      <c r="D1465" s="3">
        <v>1</v>
      </c>
      <c r="E1465" s="3" t="s">
        <v>28</v>
      </c>
      <c r="F1465" s="3" t="s">
        <v>29</v>
      </c>
      <c r="G1465" s="3" t="str">
        <f>"2025-07-09 03:18:46.753"</f>
        <v>2025-07-09 03:18:46.753</v>
      </c>
      <c r="H1465" s="3" t="s">
        <v>21</v>
      </c>
      <c r="I1465" s="3">
        <v>26.47</v>
      </c>
      <c r="J1465" s="3" t="s">
        <v>33</v>
      </c>
    </row>
    <row r="1466" spans="1:10" s="3" customFormat="1" x14ac:dyDescent="0.25">
      <c r="A1466" s="2">
        <v>512</v>
      </c>
      <c r="B1466" s="3" t="s">
        <v>23</v>
      </c>
      <c r="C1466" s="3">
        <v>647</v>
      </c>
      <c r="D1466" s="3">
        <v>1</v>
      </c>
      <c r="E1466" s="3" t="s">
        <v>28</v>
      </c>
      <c r="F1466" s="3" t="s">
        <v>29</v>
      </c>
      <c r="G1466" s="3" t="str">
        <f>"2025-07-08 22:00:02.653"</f>
        <v>2025-07-08 22:00:02.653</v>
      </c>
      <c r="H1466" s="3" t="s">
        <v>21</v>
      </c>
    </row>
    <row r="1467" spans="1:10" s="3" customFormat="1" x14ac:dyDescent="0.25">
      <c r="A1467" s="2">
        <v>513</v>
      </c>
      <c r="B1467" s="3" t="s">
        <v>26</v>
      </c>
      <c r="C1467" s="3">
        <v>647</v>
      </c>
      <c r="D1467" s="3">
        <v>1</v>
      </c>
      <c r="E1467" s="3" t="s">
        <v>28</v>
      </c>
      <c r="F1467" s="3" t="s">
        <v>29</v>
      </c>
      <c r="G1467" s="3" t="str">
        <f>"2025-07-08 21:59:55.653"</f>
        <v>2025-07-08 21:59:55.653</v>
      </c>
      <c r="H1467" s="3" t="s">
        <v>21</v>
      </c>
      <c r="I1467" s="3">
        <v>24.26</v>
      </c>
      <c r="J1467" s="3" t="s">
        <v>33</v>
      </c>
    </row>
    <row r="1468" spans="1:10" x14ac:dyDescent="0.25">
      <c r="A1468" s="1">
        <v>514</v>
      </c>
      <c r="B1468" t="s">
        <v>23</v>
      </c>
      <c r="C1468">
        <v>630</v>
      </c>
      <c r="D1468">
        <v>5</v>
      </c>
      <c r="E1468" t="s">
        <v>40</v>
      </c>
      <c r="F1468" t="s">
        <v>41</v>
      </c>
      <c r="G1468" t="str">
        <f>"2025-07-08 14:17:16.353"</f>
        <v>2025-07-08 14:17:16.353</v>
      </c>
      <c r="H1468" t="s">
        <v>42</v>
      </c>
    </row>
    <row r="1469" spans="1:10" x14ac:dyDescent="0.25">
      <c r="A1469" s="1">
        <v>515</v>
      </c>
      <c r="B1469" t="s">
        <v>19</v>
      </c>
      <c r="C1469">
        <v>706</v>
      </c>
      <c r="D1469">
        <v>4</v>
      </c>
      <c r="E1469" t="s">
        <v>31</v>
      </c>
      <c r="F1469" t="s">
        <v>32</v>
      </c>
      <c r="G1469" t="str">
        <f>"2025-07-08 14:16:46.272"</f>
        <v>2025-07-08 14:16:46.272</v>
      </c>
      <c r="H1469" t="s">
        <v>21</v>
      </c>
      <c r="I1469">
        <v>0</v>
      </c>
      <c r="J1469" t="s">
        <v>27</v>
      </c>
    </row>
    <row r="1470" spans="1:10" x14ac:dyDescent="0.25">
      <c r="A1470" s="1">
        <v>516</v>
      </c>
      <c r="B1470" t="s">
        <v>38</v>
      </c>
      <c r="C1470">
        <v>630</v>
      </c>
      <c r="D1470">
        <v>5</v>
      </c>
      <c r="E1470" t="s">
        <v>40</v>
      </c>
      <c r="F1470" t="s">
        <v>41</v>
      </c>
      <c r="G1470" t="str">
        <f>"2025-07-08 14:00:38.353"</f>
        <v>2025-07-08 14:00:38.353</v>
      </c>
      <c r="H1470" t="s">
        <v>42</v>
      </c>
      <c r="I1470">
        <v>0</v>
      </c>
      <c r="J1470" t="s">
        <v>27</v>
      </c>
    </row>
    <row r="1471" spans="1:10" x14ac:dyDescent="0.25">
      <c r="A1471" s="1">
        <v>517</v>
      </c>
      <c r="B1471" t="s">
        <v>19</v>
      </c>
      <c r="C1471">
        <v>700</v>
      </c>
      <c r="D1471">
        <v>0</v>
      </c>
      <c r="E1471" t="s">
        <v>20</v>
      </c>
      <c r="F1471" t="s">
        <v>20</v>
      </c>
      <c r="G1471" t="str">
        <f>"2025-07-08 13:55:35.592"</f>
        <v>2025-07-08 13:55:35.592</v>
      </c>
      <c r="H1471" t="s">
        <v>21</v>
      </c>
    </row>
    <row r="1472" spans="1:10" x14ac:dyDescent="0.25">
      <c r="A1472" s="1">
        <v>518</v>
      </c>
      <c r="B1472" t="s">
        <v>19</v>
      </c>
      <c r="C1472">
        <v>700</v>
      </c>
      <c r="D1472">
        <v>0</v>
      </c>
      <c r="E1472" t="s">
        <v>20</v>
      </c>
      <c r="F1472" t="s">
        <v>20</v>
      </c>
      <c r="G1472" t="str">
        <f>"2025-07-08 13:42:09.531"</f>
        <v>2025-07-08 13:42:09.531</v>
      </c>
      <c r="H1472" t="s">
        <v>21</v>
      </c>
    </row>
    <row r="1473" spans="1:10" x14ac:dyDescent="0.25">
      <c r="A1473" s="1">
        <v>519</v>
      </c>
      <c r="B1473" t="s">
        <v>19</v>
      </c>
      <c r="C1473">
        <v>706</v>
      </c>
      <c r="D1473">
        <v>3</v>
      </c>
      <c r="E1473" t="s">
        <v>31</v>
      </c>
      <c r="F1473" t="s">
        <v>48</v>
      </c>
      <c r="G1473" t="str">
        <f>"2025-07-08 11:36:41.375"</f>
        <v>2025-07-08 11:36:41.375</v>
      </c>
      <c r="H1473" t="s">
        <v>21</v>
      </c>
      <c r="I1473">
        <v>0</v>
      </c>
      <c r="J1473" t="s">
        <v>27</v>
      </c>
    </row>
    <row r="1474" spans="1:10" x14ac:dyDescent="0.25">
      <c r="A1474" s="1">
        <v>520</v>
      </c>
      <c r="B1474" t="s">
        <v>19</v>
      </c>
      <c r="C1474">
        <v>706</v>
      </c>
      <c r="D1474">
        <v>2</v>
      </c>
      <c r="E1474" t="s">
        <v>31</v>
      </c>
      <c r="F1474" t="s">
        <v>43</v>
      </c>
      <c r="G1474" t="str">
        <f>"2025-07-08 05:10:23.645"</f>
        <v>2025-07-08 05:10:23.645</v>
      </c>
      <c r="H1474" t="s">
        <v>21</v>
      </c>
      <c r="I1474">
        <v>0</v>
      </c>
      <c r="J1474" t="s">
        <v>27</v>
      </c>
    </row>
    <row r="1475" spans="1:10" x14ac:dyDescent="0.25">
      <c r="A1475" s="1">
        <v>521</v>
      </c>
      <c r="B1475" t="s">
        <v>19</v>
      </c>
      <c r="C1475">
        <v>700</v>
      </c>
      <c r="D1475">
        <v>0</v>
      </c>
      <c r="E1475" t="s">
        <v>20</v>
      </c>
      <c r="F1475" t="s">
        <v>20</v>
      </c>
      <c r="G1475" t="str">
        <f>"2025-07-08 05:01:14.515"</f>
        <v>2025-07-08 05:01:14.515</v>
      </c>
      <c r="H1475" t="s">
        <v>21</v>
      </c>
    </row>
    <row r="1476" spans="1:10" x14ac:dyDescent="0.25">
      <c r="A1476" s="1">
        <v>522</v>
      </c>
      <c r="B1476" t="s">
        <v>19</v>
      </c>
      <c r="C1476">
        <v>700</v>
      </c>
      <c r="D1476">
        <v>0</v>
      </c>
      <c r="E1476" t="s">
        <v>20</v>
      </c>
      <c r="F1476" t="s">
        <v>20</v>
      </c>
      <c r="G1476" t="str">
        <f>"2025-07-08 03:01:33.498"</f>
        <v>2025-07-08 03:01:33.498</v>
      </c>
      <c r="H1476" t="s">
        <v>21</v>
      </c>
      <c r="I1476">
        <v>0</v>
      </c>
      <c r="J1476" t="s">
        <v>22</v>
      </c>
    </row>
    <row r="1477" spans="1:10" x14ac:dyDescent="0.25">
      <c r="A1477" s="1">
        <v>523</v>
      </c>
      <c r="B1477" t="s">
        <v>38</v>
      </c>
      <c r="C1477">
        <v>630</v>
      </c>
      <c r="D1477">
        <v>5</v>
      </c>
      <c r="E1477" t="s">
        <v>40</v>
      </c>
      <c r="F1477" t="s">
        <v>41</v>
      </c>
      <c r="G1477" t="str">
        <f>"2025-07-08 01:34:51.523"</f>
        <v>2025-07-08 01:34:51.523</v>
      </c>
      <c r="H1477" t="s">
        <v>42</v>
      </c>
      <c r="I1477">
        <v>0</v>
      </c>
      <c r="J1477" t="s">
        <v>27</v>
      </c>
    </row>
    <row r="1478" spans="1:10" x14ac:dyDescent="0.25">
      <c r="A1478" s="1">
        <v>524</v>
      </c>
      <c r="B1478" t="s">
        <v>19</v>
      </c>
      <c r="C1478">
        <v>700</v>
      </c>
      <c r="D1478">
        <v>0</v>
      </c>
      <c r="E1478" t="s">
        <v>20</v>
      </c>
      <c r="F1478" t="s">
        <v>20</v>
      </c>
      <c r="G1478" t="str">
        <f>"2025-07-08 01:29:48.767"</f>
        <v>2025-07-08 01:29:48.767</v>
      </c>
      <c r="H1478" t="s">
        <v>21</v>
      </c>
    </row>
    <row r="1479" spans="1:10" x14ac:dyDescent="0.25">
      <c r="A1479" s="1">
        <v>525</v>
      </c>
      <c r="B1479" t="s">
        <v>19</v>
      </c>
      <c r="C1479">
        <v>706</v>
      </c>
      <c r="D1479">
        <v>4</v>
      </c>
      <c r="E1479" t="s">
        <v>31</v>
      </c>
      <c r="F1479" t="s">
        <v>32</v>
      </c>
      <c r="G1479" t="str">
        <f>"2025-07-07 11:31:39.744"</f>
        <v>2025-07-07 11:31:39.744</v>
      </c>
      <c r="H1479" t="s">
        <v>21</v>
      </c>
      <c r="I1479">
        <v>0</v>
      </c>
      <c r="J1479" t="s">
        <v>27</v>
      </c>
    </row>
    <row r="1480" spans="1:10" x14ac:dyDescent="0.25">
      <c r="A1480" s="1">
        <v>526</v>
      </c>
      <c r="B1480" t="s">
        <v>19</v>
      </c>
      <c r="C1480">
        <v>700</v>
      </c>
      <c r="D1480">
        <v>0</v>
      </c>
      <c r="E1480" t="s">
        <v>20</v>
      </c>
      <c r="F1480" t="s">
        <v>20</v>
      </c>
      <c r="G1480" t="str">
        <f>"2025-07-07 11:26:30.504"</f>
        <v>2025-07-07 11:26:30.504</v>
      </c>
      <c r="H1480" t="s">
        <v>21</v>
      </c>
      <c r="I1480">
        <v>0</v>
      </c>
      <c r="J1480" t="s">
        <v>22</v>
      </c>
    </row>
    <row r="1481" spans="1:10" x14ac:dyDescent="0.25">
      <c r="A1481" s="1">
        <v>527</v>
      </c>
      <c r="B1481" t="s">
        <v>19</v>
      </c>
      <c r="C1481">
        <v>700</v>
      </c>
      <c r="D1481">
        <v>0</v>
      </c>
      <c r="E1481" t="s">
        <v>20</v>
      </c>
      <c r="F1481" t="s">
        <v>20</v>
      </c>
      <c r="G1481" t="str">
        <f>"2025-07-07 11:16:41.501"</f>
        <v>2025-07-07 11:16:41.501</v>
      </c>
      <c r="H1481" t="s">
        <v>21</v>
      </c>
    </row>
    <row r="1482" spans="1:10" x14ac:dyDescent="0.25">
      <c r="A1482" s="1">
        <v>528</v>
      </c>
      <c r="B1482" t="s">
        <v>19</v>
      </c>
      <c r="C1482">
        <v>700</v>
      </c>
      <c r="D1482">
        <v>0</v>
      </c>
      <c r="E1482" t="s">
        <v>20</v>
      </c>
      <c r="F1482" t="s">
        <v>20</v>
      </c>
      <c r="G1482" t="str">
        <f>"2025-07-07 10:02:41.506"</f>
        <v>2025-07-07 10:02:41.506</v>
      </c>
      <c r="H1482" t="s">
        <v>21</v>
      </c>
    </row>
    <row r="1483" spans="1:10" x14ac:dyDescent="0.25">
      <c r="A1483" s="1">
        <v>529</v>
      </c>
      <c r="B1483" t="s">
        <v>19</v>
      </c>
      <c r="C1483">
        <v>700</v>
      </c>
      <c r="D1483">
        <v>0</v>
      </c>
      <c r="E1483" t="s">
        <v>20</v>
      </c>
      <c r="F1483" t="s">
        <v>20</v>
      </c>
      <c r="G1483" t="str">
        <f>"2025-07-07 09:35:32.488"</f>
        <v>2025-07-07 09:35:32.488</v>
      </c>
      <c r="H1483" t="s">
        <v>21</v>
      </c>
      <c r="I1483">
        <v>0</v>
      </c>
      <c r="J1483" t="s">
        <v>22</v>
      </c>
    </row>
    <row r="1484" spans="1:10" x14ac:dyDescent="0.25">
      <c r="A1484" s="1">
        <v>530</v>
      </c>
      <c r="B1484" t="s">
        <v>19</v>
      </c>
      <c r="C1484">
        <v>700</v>
      </c>
      <c r="D1484">
        <v>0</v>
      </c>
      <c r="E1484" t="s">
        <v>20</v>
      </c>
      <c r="F1484" t="s">
        <v>20</v>
      </c>
      <c r="G1484" t="str">
        <f>"2025-07-07 09:13:08.495"</f>
        <v>2025-07-07 09:13:08.495</v>
      </c>
      <c r="H1484" t="s">
        <v>21</v>
      </c>
      <c r="I1484">
        <v>0</v>
      </c>
      <c r="J1484" t="s">
        <v>22</v>
      </c>
    </row>
    <row r="1485" spans="1:10" s="3" customFormat="1" x14ac:dyDescent="0.25">
      <c r="A1485" s="2">
        <v>531</v>
      </c>
      <c r="B1485" s="3" t="s">
        <v>23</v>
      </c>
      <c r="C1485" s="3">
        <v>647</v>
      </c>
      <c r="D1485" s="3">
        <v>1</v>
      </c>
      <c r="E1485" s="3" t="s">
        <v>28</v>
      </c>
      <c r="F1485" s="3" t="s">
        <v>29</v>
      </c>
      <c r="G1485" s="3" t="str">
        <f>"2025-07-06 08:41:54.961"</f>
        <v>2025-07-06 08:41:54.961</v>
      </c>
      <c r="H1485" s="3" t="s">
        <v>21</v>
      </c>
    </row>
    <row r="1486" spans="1:10" s="3" customFormat="1" x14ac:dyDescent="0.25">
      <c r="A1486" s="2">
        <v>532</v>
      </c>
      <c r="B1486" s="3" t="s">
        <v>26</v>
      </c>
      <c r="C1486" s="3">
        <v>647</v>
      </c>
      <c r="D1486" s="3">
        <v>1</v>
      </c>
      <c r="E1486" s="3" t="s">
        <v>28</v>
      </c>
      <c r="F1486" s="3" t="s">
        <v>29</v>
      </c>
      <c r="G1486" s="3" t="str">
        <f>"2025-07-06 08:41:45.961"</f>
        <v>2025-07-06 08:41:45.961</v>
      </c>
      <c r="H1486" s="3" t="s">
        <v>21</v>
      </c>
      <c r="I1486" s="3">
        <v>8.4499999999999993</v>
      </c>
      <c r="J1486" s="3" t="s">
        <v>30</v>
      </c>
    </row>
    <row r="1487" spans="1:10" x14ac:dyDescent="0.25">
      <c r="A1487" s="1">
        <v>533</v>
      </c>
      <c r="B1487" t="s">
        <v>19</v>
      </c>
      <c r="C1487">
        <v>700</v>
      </c>
      <c r="D1487">
        <v>0</v>
      </c>
      <c r="E1487" t="s">
        <v>20</v>
      </c>
      <c r="F1487" t="s">
        <v>20</v>
      </c>
      <c r="G1487" t="str">
        <f>"2025-07-06 08:32:50.479"</f>
        <v>2025-07-06 08:32:50.479</v>
      </c>
      <c r="H1487" t="s">
        <v>21</v>
      </c>
    </row>
    <row r="1488" spans="1:10" s="3" customFormat="1" x14ac:dyDescent="0.25">
      <c r="A1488" s="2">
        <v>534</v>
      </c>
      <c r="B1488" s="3" t="s">
        <v>23</v>
      </c>
      <c r="C1488" s="3">
        <v>647</v>
      </c>
      <c r="D1488" s="3">
        <v>1</v>
      </c>
      <c r="E1488" s="3" t="s">
        <v>28</v>
      </c>
      <c r="F1488" s="3" t="s">
        <v>29</v>
      </c>
      <c r="G1488" s="3" t="str">
        <f>"2025-07-06 07:49:26.268"</f>
        <v>2025-07-06 07:49:26.268</v>
      </c>
      <c r="H1488" s="3" t="s">
        <v>21</v>
      </c>
    </row>
    <row r="1489" spans="1:10" s="3" customFormat="1" x14ac:dyDescent="0.25">
      <c r="A1489" s="2">
        <v>535</v>
      </c>
      <c r="B1489" s="3" t="s">
        <v>26</v>
      </c>
      <c r="C1489" s="3">
        <v>647</v>
      </c>
      <c r="D1489" s="3">
        <v>1</v>
      </c>
      <c r="E1489" s="3" t="s">
        <v>28</v>
      </c>
      <c r="F1489" s="3" t="s">
        <v>29</v>
      </c>
      <c r="G1489" s="3" t="str">
        <f>"2025-07-06 07:49:24.769"</f>
        <v>2025-07-06 07:49:24.769</v>
      </c>
      <c r="H1489" s="3" t="s">
        <v>21</v>
      </c>
      <c r="I1489" s="3">
        <v>10.46</v>
      </c>
      <c r="J1489" s="3" t="s">
        <v>33</v>
      </c>
    </row>
    <row r="1490" spans="1:10" x14ac:dyDescent="0.25">
      <c r="A1490" s="1">
        <v>536</v>
      </c>
      <c r="B1490" t="s">
        <v>23</v>
      </c>
      <c r="C1490">
        <v>61</v>
      </c>
      <c r="D1490">
        <v>2</v>
      </c>
      <c r="E1490" t="s">
        <v>51</v>
      </c>
      <c r="F1490" t="s">
        <v>52</v>
      </c>
      <c r="G1490" t="str">
        <f>"2025-07-06 03:56:41.781"</f>
        <v>2025-07-06 03:56:41.781</v>
      </c>
      <c r="H1490" t="s">
        <v>21</v>
      </c>
    </row>
    <row r="1491" spans="1:10" x14ac:dyDescent="0.25">
      <c r="A1491" s="1">
        <v>537</v>
      </c>
      <c r="B1491" t="s">
        <v>38</v>
      </c>
      <c r="C1491">
        <v>61</v>
      </c>
      <c r="D1491">
        <v>2</v>
      </c>
      <c r="E1491" t="s">
        <v>51</v>
      </c>
      <c r="F1491" t="s">
        <v>52</v>
      </c>
      <c r="G1491" t="str">
        <f>"2025-07-06 03:56:21.881"</f>
        <v>2025-07-06 03:56:21.881</v>
      </c>
      <c r="H1491" t="s">
        <v>21</v>
      </c>
      <c r="I1491">
        <v>36.44</v>
      </c>
      <c r="J1491" t="s">
        <v>33</v>
      </c>
    </row>
    <row r="1492" spans="1:10" x14ac:dyDescent="0.25">
      <c r="A1492" s="1">
        <v>538</v>
      </c>
      <c r="B1492" t="s">
        <v>19</v>
      </c>
      <c r="C1492">
        <v>700</v>
      </c>
      <c r="D1492">
        <v>0</v>
      </c>
      <c r="E1492" t="s">
        <v>20</v>
      </c>
      <c r="F1492" t="s">
        <v>20</v>
      </c>
      <c r="G1492" t="str">
        <f>"2025-07-06 01:08:12.710"</f>
        <v>2025-07-06 01:08:12.710</v>
      </c>
      <c r="H1492" t="s">
        <v>21</v>
      </c>
      <c r="I1492">
        <v>0</v>
      </c>
      <c r="J1492" t="s">
        <v>22</v>
      </c>
    </row>
    <row r="1493" spans="1:10" x14ac:dyDescent="0.25">
      <c r="A1493" s="1">
        <v>539</v>
      </c>
      <c r="B1493" t="s">
        <v>34</v>
      </c>
      <c r="C1493">
        <v>33</v>
      </c>
      <c r="D1493">
        <v>1</v>
      </c>
      <c r="E1493" t="s">
        <v>35</v>
      </c>
      <c r="F1493" t="s">
        <v>36</v>
      </c>
      <c r="G1493" t="str">
        <f>"2025-07-05 19:22:49.887"</f>
        <v>2025-07-05 19:22:49.887</v>
      </c>
      <c r="H1493" t="s">
        <v>37</v>
      </c>
    </row>
    <row r="1494" spans="1:10" x14ac:dyDescent="0.25">
      <c r="A1494" s="1">
        <v>540</v>
      </c>
      <c r="B1494" t="s">
        <v>38</v>
      </c>
      <c r="C1494">
        <v>33</v>
      </c>
      <c r="D1494">
        <v>1</v>
      </c>
      <c r="E1494" t="s">
        <v>35</v>
      </c>
      <c r="F1494" t="s">
        <v>36</v>
      </c>
      <c r="G1494" t="str">
        <f>"2025-07-05 19:22:30.565"</f>
        <v>2025-07-05 19:22:30.565</v>
      </c>
      <c r="H1494" t="s">
        <v>37</v>
      </c>
      <c r="I1494">
        <v>7.83</v>
      </c>
      <c r="J1494" t="s">
        <v>39</v>
      </c>
    </row>
    <row r="1495" spans="1:10" s="3" customFormat="1" x14ac:dyDescent="0.25">
      <c r="A1495" s="2">
        <v>541</v>
      </c>
      <c r="B1495" s="3" t="s">
        <v>23</v>
      </c>
      <c r="C1495" s="3">
        <v>647</v>
      </c>
      <c r="D1495" s="3">
        <v>1</v>
      </c>
      <c r="E1495" s="3" t="s">
        <v>28</v>
      </c>
      <c r="F1495" s="3" t="s">
        <v>29</v>
      </c>
      <c r="G1495" s="3" t="str">
        <f>"2025-07-05 15:59:53.288"</f>
        <v>2025-07-05 15:59:53.288</v>
      </c>
      <c r="H1495" s="3" t="s">
        <v>21</v>
      </c>
    </row>
    <row r="1496" spans="1:10" s="3" customFormat="1" x14ac:dyDescent="0.25">
      <c r="A1496" s="2">
        <v>542</v>
      </c>
      <c r="B1496" s="3" t="s">
        <v>26</v>
      </c>
      <c r="C1496" s="3">
        <v>647</v>
      </c>
      <c r="D1496" s="3">
        <v>1</v>
      </c>
      <c r="E1496" s="3" t="s">
        <v>28</v>
      </c>
      <c r="F1496" s="3" t="s">
        <v>29</v>
      </c>
      <c r="G1496" s="3" t="str">
        <f>"2025-07-05 15:59:50.288"</f>
        <v>2025-07-05 15:59:50.288</v>
      </c>
      <c r="H1496" s="3" t="s">
        <v>21</v>
      </c>
      <c r="I1496" s="3">
        <v>8.2200000000000006</v>
      </c>
      <c r="J1496" s="3" t="s">
        <v>30</v>
      </c>
    </row>
    <row r="1497" spans="1:10" s="3" customFormat="1" x14ac:dyDescent="0.25">
      <c r="A1497" s="2">
        <v>543</v>
      </c>
      <c r="B1497" s="3" t="s">
        <v>23</v>
      </c>
      <c r="C1497" s="3">
        <v>647</v>
      </c>
      <c r="D1497" s="3">
        <v>1</v>
      </c>
      <c r="E1497" s="3" t="s">
        <v>28</v>
      </c>
      <c r="F1497" s="3" t="s">
        <v>29</v>
      </c>
      <c r="G1497" s="3" t="str">
        <f>"2025-07-05 06:56:28.488"</f>
        <v>2025-07-05 06:56:28.488</v>
      </c>
      <c r="H1497" s="3" t="s">
        <v>21</v>
      </c>
    </row>
    <row r="1498" spans="1:10" s="3" customFormat="1" x14ac:dyDescent="0.25">
      <c r="A1498" s="2">
        <v>544</v>
      </c>
      <c r="B1498" s="3" t="s">
        <v>26</v>
      </c>
      <c r="C1498" s="3">
        <v>647</v>
      </c>
      <c r="D1498" s="3">
        <v>1</v>
      </c>
      <c r="E1498" s="3" t="s">
        <v>28</v>
      </c>
      <c r="F1498" s="3" t="s">
        <v>29</v>
      </c>
      <c r="G1498" s="3" t="str">
        <f>"2025-07-05 06:56:24.388"</f>
        <v>2025-07-05 06:56:24.388</v>
      </c>
      <c r="H1498" s="3" t="s">
        <v>21</v>
      </c>
      <c r="I1498" s="3">
        <v>23.41</v>
      </c>
      <c r="J1498" s="3" t="s">
        <v>33</v>
      </c>
    </row>
    <row r="1499" spans="1:10" x14ac:dyDescent="0.25">
      <c r="A1499" s="1">
        <v>545</v>
      </c>
      <c r="B1499" t="s">
        <v>34</v>
      </c>
      <c r="C1499">
        <v>33</v>
      </c>
      <c r="D1499">
        <v>1</v>
      </c>
      <c r="E1499" t="s">
        <v>35</v>
      </c>
      <c r="F1499" t="s">
        <v>36</v>
      </c>
      <c r="G1499" t="str">
        <f>"2025-07-04 17:05:00.034"</f>
        <v>2025-07-04 17:05:00.034</v>
      </c>
      <c r="H1499" t="s">
        <v>37</v>
      </c>
    </row>
    <row r="1500" spans="1:10" x14ac:dyDescent="0.25">
      <c r="A1500" s="1">
        <v>546</v>
      </c>
      <c r="B1500" t="s">
        <v>38</v>
      </c>
      <c r="C1500">
        <v>33</v>
      </c>
      <c r="D1500">
        <v>1</v>
      </c>
      <c r="E1500" t="s">
        <v>35</v>
      </c>
      <c r="F1500" t="s">
        <v>36</v>
      </c>
      <c r="G1500" t="str">
        <f>"2025-07-04 17:04:35.246"</f>
        <v>2025-07-04 17:04:35.246</v>
      </c>
      <c r="H1500" t="s">
        <v>37</v>
      </c>
      <c r="I1500">
        <v>8.58</v>
      </c>
      <c r="J1500" t="s">
        <v>39</v>
      </c>
    </row>
    <row r="1501" spans="1:10" s="3" customFormat="1" x14ac:dyDescent="0.25">
      <c r="A1501" s="2">
        <v>547</v>
      </c>
      <c r="B1501" s="3" t="s">
        <v>23</v>
      </c>
      <c r="C1501" s="3">
        <v>647</v>
      </c>
      <c r="D1501" s="3">
        <v>1</v>
      </c>
      <c r="E1501" s="3" t="s">
        <v>28</v>
      </c>
      <c r="F1501" s="3" t="s">
        <v>29</v>
      </c>
      <c r="G1501" s="3" t="str">
        <f>"2025-07-04 15:09:50.988"</f>
        <v>2025-07-04 15:09:50.988</v>
      </c>
      <c r="H1501" s="3" t="s">
        <v>21</v>
      </c>
    </row>
    <row r="1502" spans="1:10" s="3" customFormat="1" x14ac:dyDescent="0.25">
      <c r="A1502" s="2">
        <v>548</v>
      </c>
      <c r="B1502" s="3" t="s">
        <v>26</v>
      </c>
      <c r="C1502" s="3">
        <v>647</v>
      </c>
      <c r="D1502" s="3">
        <v>1</v>
      </c>
      <c r="E1502" s="3" t="s">
        <v>28</v>
      </c>
      <c r="F1502" s="3" t="s">
        <v>29</v>
      </c>
      <c r="G1502" s="3" t="str">
        <f>"2025-07-04 15:09:48.988"</f>
        <v>2025-07-04 15:09:48.988</v>
      </c>
      <c r="H1502" s="3" t="s">
        <v>21</v>
      </c>
      <c r="I1502" s="3">
        <v>8.66</v>
      </c>
      <c r="J1502" s="3" t="s">
        <v>33</v>
      </c>
    </row>
    <row r="1503" spans="1:10" x14ac:dyDescent="0.25">
      <c r="A1503" s="1">
        <v>549</v>
      </c>
      <c r="B1503" t="s">
        <v>34</v>
      </c>
      <c r="C1503">
        <v>598</v>
      </c>
      <c r="D1503">
        <v>1</v>
      </c>
      <c r="E1503" t="s">
        <v>65</v>
      </c>
      <c r="F1503" t="s">
        <v>66</v>
      </c>
      <c r="G1503" t="str">
        <f>"2025-07-04 15:02:20.488"</f>
        <v>2025-07-04 15:02:20.488</v>
      </c>
      <c r="H1503" t="s">
        <v>42</v>
      </c>
    </row>
    <row r="1504" spans="1:10" x14ac:dyDescent="0.25">
      <c r="A1504" s="1">
        <v>550</v>
      </c>
      <c r="B1504" t="s">
        <v>38</v>
      </c>
      <c r="C1504">
        <v>598</v>
      </c>
      <c r="D1504">
        <v>1</v>
      </c>
      <c r="E1504" t="s">
        <v>65</v>
      </c>
      <c r="F1504" t="s">
        <v>66</v>
      </c>
      <c r="G1504" t="str">
        <f>"2025-07-04 14:59:09.674"</f>
        <v>2025-07-04 14:59:09.674</v>
      </c>
      <c r="H1504" t="s">
        <v>42</v>
      </c>
      <c r="I1504">
        <v>0</v>
      </c>
      <c r="J1504" t="s">
        <v>30</v>
      </c>
    </row>
    <row r="1505" spans="1:10" x14ac:dyDescent="0.25">
      <c r="A1505" s="1">
        <v>551</v>
      </c>
      <c r="B1505" t="s">
        <v>19</v>
      </c>
      <c r="C1505">
        <v>700</v>
      </c>
      <c r="D1505">
        <v>0</v>
      </c>
      <c r="E1505" t="s">
        <v>20</v>
      </c>
      <c r="F1505" t="s">
        <v>20</v>
      </c>
      <c r="G1505" t="str">
        <f>"2025-07-04 13:03:06.516"</f>
        <v>2025-07-04 13:03:06.516</v>
      </c>
      <c r="H1505" t="s">
        <v>21</v>
      </c>
      <c r="I1505">
        <v>0</v>
      </c>
      <c r="J1505" t="s">
        <v>22</v>
      </c>
    </row>
    <row r="1506" spans="1:10" x14ac:dyDescent="0.25">
      <c r="A1506" s="1">
        <v>552</v>
      </c>
      <c r="B1506" t="s">
        <v>19</v>
      </c>
      <c r="C1506">
        <v>700</v>
      </c>
      <c r="D1506">
        <v>0</v>
      </c>
      <c r="E1506" t="s">
        <v>20</v>
      </c>
      <c r="F1506" t="s">
        <v>20</v>
      </c>
      <c r="G1506" t="str">
        <f>"2025-07-04 00:46:45.516"</f>
        <v>2025-07-04 00:46:45.516</v>
      </c>
      <c r="H1506" t="s">
        <v>21</v>
      </c>
      <c r="I1506">
        <v>0</v>
      </c>
      <c r="J1506" t="s">
        <v>22</v>
      </c>
    </row>
    <row r="1507" spans="1:10" s="3" customFormat="1" x14ac:dyDescent="0.25">
      <c r="A1507" s="2">
        <v>553</v>
      </c>
      <c r="B1507" s="3" t="s">
        <v>23</v>
      </c>
      <c r="C1507" s="3">
        <v>647</v>
      </c>
      <c r="D1507" s="3">
        <v>1</v>
      </c>
      <c r="E1507" s="3" t="s">
        <v>28</v>
      </c>
      <c r="F1507" s="3" t="s">
        <v>29</v>
      </c>
      <c r="G1507" s="3" t="str">
        <f>"2025-07-03 19:01:07.500"</f>
        <v>2025-07-03 19:01:07.500</v>
      </c>
      <c r="H1507" s="3" t="s">
        <v>21</v>
      </c>
    </row>
    <row r="1508" spans="1:10" s="3" customFormat="1" x14ac:dyDescent="0.25">
      <c r="A1508" s="2">
        <v>554</v>
      </c>
      <c r="B1508" s="3" t="s">
        <v>26</v>
      </c>
      <c r="C1508" s="3">
        <v>647</v>
      </c>
      <c r="D1508" s="3">
        <v>1</v>
      </c>
      <c r="E1508" s="3" t="s">
        <v>28</v>
      </c>
      <c r="F1508" s="3" t="s">
        <v>29</v>
      </c>
      <c r="G1508" s="3" t="str">
        <f>"2025-07-03 19:01:05.200"</f>
        <v>2025-07-03 19:01:05.200</v>
      </c>
      <c r="H1508" s="3" t="s">
        <v>21</v>
      </c>
      <c r="I1508" s="3">
        <v>8.81</v>
      </c>
      <c r="J1508" s="3" t="s">
        <v>33</v>
      </c>
    </row>
    <row r="1509" spans="1:10" s="3" customFormat="1" x14ac:dyDescent="0.25">
      <c r="A1509" s="2">
        <v>555</v>
      </c>
      <c r="B1509" s="3" t="s">
        <v>23</v>
      </c>
      <c r="C1509" s="3">
        <v>647</v>
      </c>
      <c r="D1509" s="3">
        <v>1</v>
      </c>
      <c r="E1509" s="3" t="s">
        <v>28</v>
      </c>
      <c r="F1509" s="3" t="s">
        <v>29</v>
      </c>
      <c r="G1509" s="3" t="str">
        <f>"2025-07-03 12:52:42.200"</f>
        <v>2025-07-03 12:52:42.200</v>
      </c>
      <c r="H1509" s="3" t="s">
        <v>21</v>
      </c>
    </row>
    <row r="1510" spans="1:10" s="3" customFormat="1" x14ac:dyDescent="0.25">
      <c r="A1510" s="2">
        <v>556</v>
      </c>
      <c r="B1510" s="3" t="s">
        <v>26</v>
      </c>
      <c r="C1510" s="3">
        <v>647</v>
      </c>
      <c r="D1510" s="3">
        <v>1</v>
      </c>
      <c r="E1510" s="3" t="s">
        <v>28</v>
      </c>
      <c r="F1510" s="3" t="s">
        <v>29</v>
      </c>
      <c r="G1510" s="3" t="str">
        <f>"2025-07-03 12:52:38.100"</f>
        <v>2025-07-03 12:52:38.100</v>
      </c>
      <c r="H1510" s="3" t="s">
        <v>21</v>
      </c>
      <c r="I1510" s="3">
        <v>10.23</v>
      </c>
      <c r="J1510" s="3" t="s">
        <v>30</v>
      </c>
    </row>
    <row r="1511" spans="1:10" x14ac:dyDescent="0.25">
      <c r="A1511" s="1">
        <v>557</v>
      </c>
      <c r="B1511" t="s">
        <v>19</v>
      </c>
      <c r="C1511">
        <v>700</v>
      </c>
      <c r="D1511">
        <v>0</v>
      </c>
      <c r="E1511" t="s">
        <v>20</v>
      </c>
      <c r="F1511" t="s">
        <v>20</v>
      </c>
      <c r="G1511" t="str">
        <f>"2025-07-03 08:05:50.629"</f>
        <v>2025-07-03 08:05:50.629</v>
      </c>
      <c r="H1511" t="s">
        <v>21</v>
      </c>
      <c r="I1511">
        <v>0</v>
      </c>
      <c r="J1511" t="s">
        <v>22</v>
      </c>
    </row>
    <row r="1512" spans="1:10" s="3" customFormat="1" x14ac:dyDescent="0.25">
      <c r="A1512" s="2">
        <v>558</v>
      </c>
      <c r="B1512" s="3" t="s">
        <v>23</v>
      </c>
      <c r="C1512" s="3">
        <v>647</v>
      </c>
      <c r="D1512" s="3">
        <v>1</v>
      </c>
      <c r="E1512" s="3" t="s">
        <v>28</v>
      </c>
      <c r="F1512" s="3" t="s">
        <v>29</v>
      </c>
      <c r="G1512" s="3" t="str">
        <f>"2025-07-03 02:32:53.173"</f>
        <v>2025-07-03 02:32:53.173</v>
      </c>
      <c r="H1512" s="3" t="s">
        <v>21</v>
      </c>
    </row>
    <row r="1513" spans="1:10" s="3" customFormat="1" x14ac:dyDescent="0.25">
      <c r="A1513" s="2">
        <v>559</v>
      </c>
      <c r="B1513" s="3" t="s">
        <v>26</v>
      </c>
      <c r="C1513" s="3">
        <v>647</v>
      </c>
      <c r="D1513" s="3">
        <v>1</v>
      </c>
      <c r="E1513" s="3" t="s">
        <v>28</v>
      </c>
      <c r="F1513" s="3" t="s">
        <v>29</v>
      </c>
      <c r="G1513" s="3" t="str">
        <f>"2025-07-03 02:32:48.373"</f>
        <v>2025-07-03 02:32:48.373</v>
      </c>
      <c r="H1513" s="3" t="s">
        <v>21</v>
      </c>
      <c r="I1513" s="3">
        <v>11.44</v>
      </c>
      <c r="J1513" s="3" t="s">
        <v>33</v>
      </c>
    </row>
    <row r="1514" spans="1:10" s="3" customFormat="1" x14ac:dyDescent="0.25">
      <c r="A1514" s="2">
        <v>560</v>
      </c>
      <c r="B1514" s="3" t="s">
        <v>23</v>
      </c>
      <c r="C1514" s="3">
        <v>647</v>
      </c>
      <c r="D1514" s="3">
        <v>1</v>
      </c>
      <c r="E1514" s="3" t="s">
        <v>28</v>
      </c>
      <c r="F1514" s="3" t="s">
        <v>29</v>
      </c>
      <c r="G1514" s="3" t="str">
        <f>"2025-07-02 17:10:02.673"</f>
        <v>2025-07-02 17:10:02.673</v>
      </c>
      <c r="H1514" s="3" t="s">
        <v>21</v>
      </c>
    </row>
    <row r="1515" spans="1:10" s="3" customFormat="1" x14ac:dyDescent="0.25">
      <c r="A1515" s="2">
        <v>561</v>
      </c>
      <c r="B1515" s="3" t="s">
        <v>26</v>
      </c>
      <c r="C1515" s="3">
        <v>647</v>
      </c>
      <c r="D1515" s="3">
        <v>1</v>
      </c>
      <c r="E1515" s="3" t="s">
        <v>28</v>
      </c>
      <c r="F1515" s="3" t="s">
        <v>29</v>
      </c>
      <c r="G1515" s="3" t="str">
        <f>"2025-07-02 17:09:58.773"</f>
        <v>2025-07-02 17:09:58.773</v>
      </c>
      <c r="H1515" s="3" t="s">
        <v>21</v>
      </c>
      <c r="I1515" s="3">
        <v>8.2100000000000009</v>
      </c>
      <c r="J1515" s="3" t="s">
        <v>30</v>
      </c>
    </row>
    <row r="1516" spans="1:10" s="3" customFormat="1" x14ac:dyDescent="0.25">
      <c r="A1516" s="2">
        <v>562</v>
      </c>
      <c r="B1516" s="3" t="s">
        <v>23</v>
      </c>
      <c r="C1516" s="3">
        <v>647</v>
      </c>
      <c r="D1516" s="3">
        <v>1</v>
      </c>
      <c r="E1516" s="3" t="s">
        <v>28</v>
      </c>
      <c r="F1516" s="3" t="s">
        <v>29</v>
      </c>
      <c r="G1516" s="3" t="str">
        <f>"2025-07-01 14:35:28.473"</f>
        <v>2025-07-01 14:35:28.473</v>
      </c>
      <c r="H1516" s="3" t="s">
        <v>21</v>
      </c>
    </row>
    <row r="1517" spans="1:10" s="3" customFormat="1" x14ac:dyDescent="0.25">
      <c r="A1517" s="2">
        <v>563</v>
      </c>
      <c r="B1517" s="3" t="s">
        <v>26</v>
      </c>
      <c r="C1517" s="3">
        <v>647</v>
      </c>
      <c r="D1517" s="3">
        <v>1</v>
      </c>
      <c r="E1517" s="3" t="s">
        <v>28</v>
      </c>
      <c r="F1517" s="3" t="s">
        <v>29</v>
      </c>
      <c r="G1517" s="3" t="str">
        <f>"2025-07-01 14:35:26.574"</f>
        <v>2025-07-01 14:35:26.574</v>
      </c>
      <c r="H1517" s="3" t="s">
        <v>21</v>
      </c>
      <c r="I1517" s="3">
        <v>9.93</v>
      </c>
      <c r="J1517" s="3" t="s">
        <v>30</v>
      </c>
    </row>
    <row r="1518" spans="1:10" x14ac:dyDescent="0.25">
      <c r="A1518" s="1">
        <v>564</v>
      </c>
      <c r="B1518" t="s">
        <v>19</v>
      </c>
      <c r="C1518">
        <v>700</v>
      </c>
      <c r="D1518">
        <v>0</v>
      </c>
      <c r="E1518" t="s">
        <v>20</v>
      </c>
      <c r="F1518" t="s">
        <v>20</v>
      </c>
      <c r="G1518" t="str">
        <f>"2025-07-01 12:47:35.506"</f>
        <v>2025-07-01 12:47:35.506</v>
      </c>
      <c r="H1518" t="s">
        <v>21</v>
      </c>
      <c r="I1518">
        <v>0</v>
      </c>
      <c r="J1518" t="s">
        <v>22</v>
      </c>
    </row>
    <row r="1519" spans="1:10" x14ac:dyDescent="0.25">
      <c r="A1519" s="1">
        <v>565</v>
      </c>
      <c r="B1519" t="s">
        <v>19</v>
      </c>
      <c r="C1519">
        <v>700</v>
      </c>
      <c r="D1519">
        <v>0</v>
      </c>
      <c r="E1519" t="s">
        <v>20</v>
      </c>
      <c r="F1519" t="s">
        <v>20</v>
      </c>
      <c r="G1519" t="str">
        <f>"2025-07-01 05:27:31.468"</f>
        <v>2025-07-01 05:27:31.468</v>
      </c>
      <c r="H1519" t="s">
        <v>21</v>
      </c>
    </row>
    <row r="1520" spans="1:10" x14ac:dyDescent="0.25">
      <c r="A1520" s="1">
        <v>566</v>
      </c>
      <c r="B1520" t="s">
        <v>19</v>
      </c>
      <c r="C1520">
        <v>706</v>
      </c>
      <c r="D1520">
        <v>2</v>
      </c>
      <c r="E1520" t="s">
        <v>31</v>
      </c>
      <c r="F1520" t="s">
        <v>43</v>
      </c>
      <c r="G1520" t="str">
        <f>"2025-07-01 05:03:51.777"</f>
        <v>2025-07-01 05:03:51.777</v>
      </c>
      <c r="H1520" t="s">
        <v>21</v>
      </c>
      <c r="I1520">
        <v>0</v>
      </c>
      <c r="J1520" t="s">
        <v>27</v>
      </c>
    </row>
    <row r="1521" spans="1:10" s="3" customFormat="1" x14ac:dyDescent="0.25">
      <c r="A1521" s="2">
        <v>567</v>
      </c>
      <c r="B1521" s="3" t="s">
        <v>23</v>
      </c>
      <c r="C1521" s="3">
        <v>647</v>
      </c>
      <c r="D1521" s="3">
        <v>1</v>
      </c>
      <c r="E1521" s="3" t="s">
        <v>28</v>
      </c>
      <c r="F1521" s="3" t="s">
        <v>29</v>
      </c>
      <c r="G1521" s="3" t="str">
        <f>"2025-06-30 19:46:00.105"</f>
        <v>2025-06-30 19:46:00.105</v>
      </c>
      <c r="H1521" s="3" t="s">
        <v>21</v>
      </c>
    </row>
    <row r="1522" spans="1:10" s="3" customFormat="1" x14ac:dyDescent="0.25">
      <c r="A1522" s="2">
        <v>568</v>
      </c>
      <c r="B1522" s="3" t="s">
        <v>26</v>
      </c>
      <c r="C1522" s="3">
        <v>647</v>
      </c>
      <c r="D1522" s="3">
        <v>1</v>
      </c>
      <c r="E1522" s="3" t="s">
        <v>28</v>
      </c>
      <c r="F1522" s="3" t="s">
        <v>29</v>
      </c>
      <c r="G1522" s="3" t="str">
        <f>"2025-06-30 19:45:59.006"</f>
        <v>2025-06-30 19:45:59.006</v>
      </c>
      <c r="H1522" s="3" t="s">
        <v>21</v>
      </c>
      <c r="I1522" s="3">
        <v>10.29</v>
      </c>
      <c r="J1522" s="3" t="s">
        <v>33</v>
      </c>
    </row>
    <row r="1523" spans="1:10" x14ac:dyDescent="0.25">
      <c r="A1523" s="1">
        <v>569</v>
      </c>
      <c r="B1523" t="s">
        <v>19</v>
      </c>
      <c r="C1523">
        <v>700</v>
      </c>
      <c r="D1523">
        <v>0</v>
      </c>
      <c r="E1523" t="s">
        <v>20</v>
      </c>
      <c r="F1523" t="s">
        <v>20</v>
      </c>
      <c r="G1523" t="str">
        <f>"2025-06-29 10:32:31.477"</f>
        <v>2025-06-29 10:32:31.477</v>
      </c>
      <c r="H1523" t="s">
        <v>21</v>
      </c>
      <c r="I1523">
        <v>0</v>
      </c>
      <c r="J1523" t="s">
        <v>22</v>
      </c>
    </row>
    <row r="1524" spans="1:10" x14ac:dyDescent="0.25">
      <c r="A1524" s="1">
        <v>570</v>
      </c>
      <c r="B1524" t="s">
        <v>23</v>
      </c>
      <c r="C1524">
        <v>635</v>
      </c>
      <c r="D1524">
        <v>1</v>
      </c>
      <c r="E1524" t="s">
        <v>44</v>
      </c>
      <c r="F1524" t="s">
        <v>45</v>
      </c>
      <c r="G1524" t="str">
        <f>"2025-06-28 20:17:35.209"</f>
        <v>2025-06-28 20:17:35.209</v>
      </c>
      <c r="H1524" t="s">
        <v>21</v>
      </c>
    </row>
    <row r="1525" spans="1:10" x14ac:dyDescent="0.25">
      <c r="A1525" s="1">
        <v>571</v>
      </c>
      <c r="B1525" t="s">
        <v>26</v>
      </c>
      <c r="C1525">
        <v>635</v>
      </c>
      <c r="D1525">
        <v>1</v>
      </c>
      <c r="E1525" t="s">
        <v>44</v>
      </c>
      <c r="F1525" t="s">
        <v>45</v>
      </c>
      <c r="G1525" t="str">
        <f>"2025-06-28 20:12:18.709"</f>
        <v>2025-06-28 20:12:18.709</v>
      </c>
      <c r="H1525" t="s">
        <v>21</v>
      </c>
      <c r="I1525">
        <v>4.7</v>
      </c>
      <c r="J1525" t="s">
        <v>30</v>
      </c>
    </row>
    <row r="1526" spans="1:10" s="3" customFormat="1" x14ac:dyDescent="0.25">
      <c r="A1526" s="2">
        <v>572</v>
      </c>
      <c r="B1526" s="3" t="s">
        <v>23</v>
      </c>
      <c r="C1526" s="3">
        <v>647</v>
      </c>
      <c r="D1526" s="3">
        <v>1</v>
      </c>
      <c r="E1526" s="3" t="s">
        <v>28</v>
      </c>
      <c r="F1526" s="3" t="s">
        <v>29</v>
      </c>
      <c r="G1526" s="3" t="str">
        <f>"2025-06-28 07:30:50.009"</f>
        <v>2025-06-28 07:30:50.009</v>
      </c>
      <c r="H1526" s="3" t="s">
        <v>21</v>
      </c>
    </row>
    <row r="1527" spans="1:10" s="3" customFormat="1" x14ac:dyDescent="0.25">
      <c r="A1527" s="2">
        <v>573</v>
      </c>
      <c r="B1527" s="3" t="s">
        <v>26</v>
      </c>
      <c r="C1527" s="3">
        <v>647</v>
      </c>
      <c r="D1527" s="3">
        <v>1</v>
      </c>
      <c r="E1527" s="3" t="s">
        <v>28</v>
      </c>
      <c r="F1527" s="3" t="s">
        <v>29</v>
      </c>
      <c r="G1527" s="3" t="str">
        <f>"2025-06-28 07:30:44.209"</f>
        <v>2025-06-28 07:30:44.209</v>
      </c>
      <c r="H1527" s="3" t="s">
        <v>21</v>
      </c>
      <c r="I1527" s="3">
        <v>8.81</v>
      </c>
      <c r="J1527" s="3" t="s">
        <v>33</v>
      </c>
    </row>
    <row r="1528" spans="1:10" s="3" customFormat="1" x14ac:dyDescent="0.25">
      <c r="A1528" s="2">
        <v>574</v>
      </c>
      <c r="B1528" s="3" t="s">
        <v>23</v>
      </c>
      <c r="C1528" s="3">
        <v>647</v>
      </c>
      <c r="D1528" s="3">
        <v>1</v>
      </c>
      <c r="E1528" s="3" t="s">
        <v>28</v>
      </c>
      <c r="F1528" s="3" t="s">
        <v>29</v>
      </c>
      <c r="G1528" s="3" t="str">
        <f>"2025-06-28 05:56:15.809"</f>
        <v>2025-06-28 05:56:15.809</v>
      </c>
      <c r="H1528" s="3" t="s">
        <v>21</v>
      </c>
    </row>
    <row r="1529" spans="1:10" s="3" customFormat="1" x14ac:dyDescent="0.25">
      <c r="A1529" s="2">
        <v>575</v>
      </c>
      <c r="B1529" s="3" t="s">
        <v>26</v>
      </c>
      <c r="C1529" s="3">
        <v>647</v>
      </c>
      <c r="D1529" s="3">
        <v>1</v>
      </c>
      <c r="E1529" s="3" t="s">
        <v>28</v>
      </c>
      <c r="F1529" s="3" t="s">
        <v>29</v>
      </c>
      <c r="G1529" s="3" t="str">
        <f>"2025-06-28 05:56:08.709"</f>
        <v>2025-06-28 05:56:08.709</v>
      </c>
      <c r="H1529" s="3" t="s">
        <v>21</v>
      </c>
      <c r="I1529" s="3">
        <v>8.64</v>
      </c>
      <c r="J1529" s="3" t="s">
        <v>33</v>
      </c>
    </row>
    <row r="1530" spans="1:10" s="3" customFormat="1" x14ac:dyDescent="0.25">
      <c r="A1530" s="2">
        <v>576</v>
      </c>
      <c r="B1530" s="3" t="s">
        <v>23</v>
      </c>
      <c r="C1530" s="3">
        <v>647</v>
      </c>
      <c r="D1530" s="3">
        <v>1</v>
      </c>
      <c r="E1530" s="3" t="s">
        <v>28</v>
      </c>
      <c r="F1530" s="3" t="s">
        <v>29</v>
      </c>
      <c r="G1530" s="3" t="str">
        <f>"2025-06-28 05:54:35.609"</f>
        <v>2025-06-28 05:54:35.609</v>
      </c>
      <c r="H1530" s="3" t="s">
        <v>21</v>
      </c>
    </row>
    <row r="1531" spans="1:10" s="3" customFormat="1" x14ac:dyDescent="0.25">
      <c r="A1531" s="2">
        <v>577</v>
      </c>
      <c r="B1531" s="3" t="s">
        <v>26</v>
      </c>
      <c r="C1531" s="3">
        <v>647</v>
      </c>
      <c r="D1531" s="3">
        <v>1</v>
      </c>
      <c r="E1531" s="3" t="s">
        <v>28</v>
      </c>
      <c r="F1531" s="3" t="s">
        <v>29</v>
      </c>
      <c r="G1531" s="3" t="str">
        <f>"2025-06-28 05:54:32.909"</f>
        <v>2025-06-28 05:54:32.909</v>
      </c>
      <c r="H1531" s="3" t="s">
        <v>21</v>
      </c>
      <c r="I1531" s="3">
        <v>22.65</v>
      </c>
      <c r="J1531" s="3" t="s">
        <v>33</v>
      </c>
    </row>
    <row r="1532" spans="1:10" x14ac:dyDescent="0.25">
      <c r="A1532" s="1">
        <v>578</v>
      </c>
      <c r="B1532" t="s">
        <v>23</v>
      </c>
      <c r="C1532">
        <v>630</v>
      </c>
      <c r="D1532">
        <v>5</v>
      </c>
      <c r="E1532" t="s">
        <v>40</v>
      </c>
      <c r="F1532" t="s">
        <v>41</v>
      </c>
      <c r="G1532" t="str">
        <f>"2025-06-27 21:32:50.409"</f>
        <v>2025-06-27 21:32:50.409</v>
      </c>
      <c r="H1532" t="s">
        <v>42</v>
      </c>
    </row>
    <row r="1533" spans="1:10" x14ac:dyDescent="0.25">
      <c r="A1533" s="1">
        <v>579</v>
      </c>
      <c r="B1533" t="s">
        <v>19</v>
      </c>
      <c r="C1533">
        <v>706</v>
      </c>
      <c r="D1533">
        <v>4</v>
      </c>
      <c r="E1533" t="s">
        <v>31</v>
      </c>
      <c r="F1533" t="s">
        <v>32</v>
      </c>
      <c r="G1533" t="str">
        <f>"2025-06-27 21:32:20.341"</f>
        <v>2025-06-27 21:32:20.341</v>
      </c>
      <c r="H1533" t="s">
        <v>21</v>
      </c>
      <c r="I1533">
        <v>0</v>
      </c>
      <c r="J1533" t="s">
        <v>27</v>
      </c>
    </row>
    <row r="1534" spans="1:10" x14ac:dyDescent="0.25">
      <c r="A1534" s="1">
        <v>580</v>
      </c>
      <c r="B1534" t="s">
        <v>38</v>
      </c>
      <c r="C1534">
        <v>630</v>
      </c>
      <c r="D1534">
        <v>5</v>
      </c>
      <c r="E1534" t="s">
        <v>40</v>
      </c>
      <c r="F1534" t="s">
        <v>41</v>
      </c>
      <c r="G1534" t="str">
        <f>"2025-06-27 21:28:49.210"</f>
        <v>2025-06-27 21:28:49.210</v>
      </c>
      <c r="H1534" t="s">
        <v>42</v>
      </c>
      <c r="I1534">
        <v>0</v>
      </c>
      <c r="J1534" t="s">
        <v>27</v>
      </c>
    </row>
    <row r="1535" spans="1:10" x14ac:dyDescent="0.25">
      <c r="A1535" s="1">
        <v>581</v>
      </c>
      <c r="B1535" t="s">
        <v>19</v>
      </c>
      <c r="C1535">
        <v>700</v>
      </c>
      <c r="D1535">
        <v>0</v>
      </c>
      <c r="E1535" t="s">
        <v>20</v>
      </c>
      <c r="F1535" t="s">
        <v>20</v>
      </c>
      <c r="G1535" t="str">
        <f>"2025-06-27 21:23:46.471"</f>
        <v>2025-06-27 21:23:46.471</v>
      </c>
      <c r="H1535" t="s">
        <v>21</v>
      </c>
    </row>
    <row r="1536" spans="1:10" x14ac:dyDescent="0.25">
      <c r="A1536" s="1">
        <v>582</v>
      </c>
      <c r="B1536" t="s">
        <v>19</v>
      </c>
      <c r="C1536">
        <v>700</v>
      </c>
      <c r="D1536">
        <v>0</v>
      </c>
      <c r="E1536" t="s">
        <v>20</v>
      </c>
      <c r="F1536" t="s">
        <v>20</v>
      </c>
      <c r="G1536" t="str">
        <f>"2025-06-27 20:44:31.465"</f>
        <v>2025-06-27 20:44:31.465</v>
      </c>
      <c r="H1536" t="s">
        <v>21</v>
      </c>
      <c r="I1536">
        <v>0</v>
      </c>
      <c r="J1536" t="s">
        <v>22</v>
      </c>
    </row>
    <row r="1537" spans="1:10" x14ac:dyDescent="0.25">
      <c r="A1537" s="1">
        <v>583</v>
      </c>
      <c r="B1537" t="s">
        <v>38</v>
      </c>
      <c r="C1537">
        <v>630</v>
      </c>
      <c r="D1537">
        <v>5</v>
      </c>
      <c r="E1537" t="s">
        <v>40</v>
      </c>
      <c r="F1537" t="s">
        <v>41</v>
      </c>
      <c r="G1537" t="str">
        <f>"2025-06-27 20:30:51.246"</f>
        <v>2025-06-27 20:30:51.246</v>
      </c>
      <c r="H1537" t="s">
        <v>42</v>
      </c>
      <c r="I1537">
        <v>0</v>
      </c>
      <c r="J1537" t="s">
        <v>27</v>
      </c>
    </row>
    <row r="1538" spans="1:10" x14ac:dyDescent="0.25">
      <c r="A1538" s="1">
        <v>584</v>
      </c>
      <c r="B1538" t="s">
        <v>19</v>
      </c>
      <c r="C1538">
        <v>700</v>
      </c>
      <c r="D1538">
        <v>0</v>
      </c>
      <c r="E1538" t="s">
        <v>20</v>
      </c>
      <c r="F1538" t="s">
        <v>20</v>
      </c>
      <c r="G1538" t="str">
        <f>"2025-06-27 20:25:48.467"</f>
        <v>2025-06-27 20:25:48.467</v>
      </c>
      <c r="H1538" t="s">
        <v>21</v>
      </c>
    </row>
    <row r="1539" spans="1:10" x14ac:dyDescent="0.25">
      <c r="A1539" s="1">
        <v>585</v>
      </c>
      <c r="B1539" t="s">
        <v>19</v>
      </c>
      <c r="C1539">
        <v>700</v>
      </c>
      <c r="D1539">
        <v>0</v>
      </c>
      <c r="E1539" t="s">
        <v>20</v>
      </c>
      <c r="F1539" t="s">
        <v>20</v>
      </c>
      <c r="G1539" t="str">
        <f>"2025-06-27 14:03:20.481"</f>
        <v>2025-06-27 14:03:20.481</v>
      </c>
      <c r="H1539" t="s">
        <v>21</v>
      </c>
      <c r="I1539">
        <v>0</v>
      </c>
      <c r="J1539" t="s">
        <v>22</v>
      </c>
    </row>
    <row r="1540" spans="1:10" x14ac:dyDescent="0.25">
      <c r="A1540" s="1">
        <v>586</v>
      </c>
      <c r="B1540" t="s">
        <v>23</v>
      </c>
      <c r="C1540">
        <v>635</v>
      </c>
      <c r="D1540">
        <v>1</v>
      </c>
      <c r="E1540" t="s">
        <v>44</v>
      </c>
      <c r="F1540" t="s">
        <v>45</v>
      </c>
      <c r="G1540" t="str">
        <f>"2025-06-26 15:31:48.746"</f>
        <v>2025-06-26 15:31:48.746</v>
      </c>
      <c r="H1540" t="s">
        <v>21</v>
      </c>
    </row>
    <row r="1541" spans="1:10" x14ac:dyDescent="0.25">
      <c r="A1541" s="1">
        <v>587</v>
      </c>
      <c r="B1541" t="s">
        <v>26</v>
      </c>
      <c r="C1541">
        <v>635</v>
      </c>
      <c r="D1541">
        <v>1</v>
      </c>
      <c r="E1541" t="s">
        <v>44</v>
      </c>
      <c r="F1541" t="s">
        <v>45</v>
      </c>
      <c r="G1541" t="str">
        <f>"2025-06-26 15:28:20.246"</f>
        <v>2025-06-26 15:28:20.246</v>
      </c>
      <c r="H1541" t="s">
        <v>21</v>
      </c>
      <c r="I1541">
        <v>-0.13</v>
      </c>
      <c r="J1541" t="s">
        <v>39</v>
      </c>
    </row>
    <row r="1542" spans="1:10" x14ac:dyDescent="0.25">
      <c r="A1542" s="1">
        <v>588</v>
      </c>
      <c r="B1542" t="s">
        <v>19</v>
      </c>
      <c r="C1542">
        <v>700</v>
      </c>
      <c r="D1542">
        <v>0</v>
      </c>
      <c r="E1542" t="s">
        <v>20</v>
      </c>
      <c r="F1542" t="s">
        <v>20</v>
      </c>
      <c r="G1542" t="str">
        <f>"2025-06-26 09:16:45.469"</f>
        <v>2025-06-26 09:16:45.469</v>
      </c>
      <c r="H1542" t="s">
        <v>21</v>
      </c>
    </row>
    <row r="1543" spans="1:10" s="3" customFormat="1" x14ac:dyDescent="0.25">
      <c r="A1543" s="2">
        <v>589</v>
      </c>
      <c r="B1543" s="3" t="s">
        <v>23</v>
      </c>
      <c r="C1543" s="3">
        <v>647</v>
      </c>
      <c r="D1543" s="3">
        <v>1</v>
      </c>
      <c r="E1543" s="3" t="s">
        <v>28</v>
      </c>
      <c r="F1543" s="3" t="s">
        <v>29</v>
      </c>
      <c r="G1543" s="3" t="str">
        <f>"2025-06-26 05:50:13.839"</f>
        <v>2025-06-26 05:50:13.839</v>
      </c>
      <c r="H1543" s="3" t="s">
        <v>21</v>
      </c>
    </row>
    <row r="1544" spans="1:10" s="3" customFormat="1" x14ac:dyDescent="0.25">
      <c r="A1544" s="2">
        <v>590</v>
      </c>
      <c r="B1544" s="3" t="s">
        <v>26</v>
      </c>
      <c r="C1544" s="3">
        <v>647</v>
      </c>
      <c r="D1544" s="3">
        <v>1</v>
      </c>
      <c r="E1544" s="3" t="s">
        <v>28</v>
      </c>
      <c r="F1544" s="3" t="s">
        <v>29</v>
      </c>
      <c r="G1544" s="3" t="str">
        <f>"2025-06-26 05:50:10.739"</f>
        <v>2025-06-26 05:50:10.739</v>
      </c>
      <c r="H1544" s="3" t="s">
        <v>21</v>
      </c>
      <c r="I1544" s="3">
        <v>8.25</v>
      </c>
      <c r="J1544" s="3" t="s">
        <v>33</v>
      </c>
    </row>
    <row r="1545" spans="1:10" x14ac:dyDescent="0.25">
      <c r="A1545" s="1">
        <v>591</v>
      </c>
      <c r="B1545" t="s">
        <v>19</v>
      </c>
      <c r="C1545">
        <v>700</v>
      </c>
      <c r="D1545">
        <v>0</v>
      </c>
      <c r="E1545" t="s">
        <v>20</v>
      </c>
      <c r="F1545" t="s">
        <v>20</v>
      </c>
      <c r="G1545" t="str">
        <f>"2025-06-26 02:27:05.460"</f>
        <v>2025-06-26 02:27:05.460</v>
      </c>
      <c r="H1545" t="s">
        <v>21</v>
      </c>
    </row>
    <row r="1546" spans="1:10" x14ac:dyDescent="0.25">
      <c r="A1546" s="1">
        <v>592</v>
      </c>
      <c r="B1546" t="s">
        <v>19</v>
      </c>
      <c r="C1546">
        <v>700</v>
      </c>
      <c r="D1546">
        <v>0</v>
      </c>
      <c r="E1546" t="s">
        <v>20</v>
      </c>
      <c r="F1546" t="s">
        <v>20</v>
      </c>
      <c r="G1546" t="str">
        <f>"2025-06-26 02:19:48.485"</f>
        <v>2025-06-26 02:19:48.485</v>
      </c>
      <c r="H1546" t="s">
        <v>21</v>
      </c>
      <c r="I1546">
        <v>0</v>
      </c>
      <c r="J1546" t="s">
        <v>22</v>
      </c>
    </row>
    <row r="1547" spans="1:10" s="3" customFormat="1" x14ac:dyDescent="0.25">
      <c r="A1547" s="2">
        <v>594</v>
      </c>
      <c r="B1547" s="3" t="s">
        <v>23</v>
      </c>
      <c r="C1547" s="3">
        <v>647</v>
      </c>
      <c r="D1547" s="3">
        <v>1</v>
      </c>
      <c r="E1547" s="3" t="s">
        <v>28</v>
      </c>
      <c r="F1547" s="3" t="s">
        <v>29</v>
      </c>
      <c r="G1547" s="3" t="str">
        <f>"2025-06-25 20:17:41.758"</f>
        <v>2025-06-25 20:17:41.758</v>
      </c>
      <c r="H1547" s="3" t="s">
        <v>21</v>
      </c>
    </row>
    <row r="1548" spans="1:10" s="3" customFormat="1" x14ac:dyDescent="0.25">
      <c r="A1548" s="2">
        <v>595</v>
      </c>
      <c r="B1548" s="3" t="s">
        <v>26</v>
      </c>
      <c r="C1548" s="3">
        <v>647</v>
      </c>
      <c r="D1548" s="3">
        <v>1</v>
      </c>
      <c r="E1548" s="3" t="s">
        <v>28</v>
      </c>
      <c r="F1548" s="3" t="s">
        <v>29</v>
      </c>
      <c r="G1548" s="3" t="str">
        <f>"2025-06-25 20:17:40.258"</f>
        <v>2025-06-25 20:17:40.258</v>
      </c>
      <c r="H1548" s="3" t="s">
        <v>21</v>
      </c>
      <c r="I1548" s="3">
        <v>18.32</v>
      </c>
      <c r="J1548" s="3" t="s">
        <v>33</v>
      </c>
    </row>
    <row r="1549" spans="1:10" s="3" customFormat="1" x14ac:dyDescent="0.25">
      <c r="A1549" s="2">
        <v>596</v>
      </c>
      <c r="B1549" s="3" t="s">
        <v>23</v>
      </c>
      <c r="C1549" s="3">
        <v>647</v>
      </c>
      <c r="D1549" s="3">
        <v>1</v>
      </c>
      <c r="E1549" s="3" t="s">
        <v>28</v>
      </c>
      <c r="F1549" s="3" t="s">
        <v>29</v>
      </c>
      <c r="G1549" s="3" t="str">
        <f>"2025-06-24 22:03:14.458"</f>
        <v>2025-06-24 22:03:14.458</v>
      </c>
      <c r="H1549" s="3" t="s">
        <v>21</v>
      </c>
    </row>
    <row r="1550" spans="1:10" s="3" customFormat="1" x14ac:dyDescent="0.25">
      <c r="A1550" s="2">
        <v>597</v>
      </c>
      <c r="B1550" s="3" t="s">
        <v>26</v>
      </c>
      <c r="C1550" s="3">
        <v>647</v>
      </c>
      <c r="D1550" s="3">
        <v>1</v>
      </c>
      <c r="E1550" s="3" t="s">
        <v>28</v>
      </c>
      <c r="F1550" s="3" t="s">
        <v>29</v>
      </c>
      <c r="G1550" s="3" t="str">
        <f>"2025-06-24 22:03:10.358"</f>
        <v>2025-06-24 22:03:10.358</v>
      </c>
      <c r="H1550" s="3" t="s">
        <v>21</v>
      </c>
      <c r="I1550" s="3">
        <v>10.09</v>
      </c>
      <c r="J1550" s="3" t="s">
        <v>33</v>
      </c>
    </row>
    <row r="1551" spans="1:10" x14ac:dyDescent="0.25">
      <c r="A1551" s="1">
        <v>599</v>
      </c>
      <c r="B1551" t="s">
        <v>23</v>
      </c>
      <c r="C1551">
        <v>635</v>
      </c>
      <c r="D1551">
        <v>1</v>
      </c>
      <c r="E1551" t="s">
        <v>44</v>
      </c>
      <c r="F1551" t="s">
        <v>45</v>
      </c>
      <c r="G1551" t="str">
        <f>"2025-06-23 16:39:53.758"</f>
        <v>2025-06-23 16:39:53.758</v>
      </c>
      <c r="H1551" t="s">
        <v>21</v>
      </c>
    </row>
    <row r="1552" spans="1:10" x14ac:dyDescent="0.25">
      <c r="A1552" s="1">
        <v>600</v>
      </c>
      <c r="B1552" t="s">
        <v>26</v>
      </c>
      <c r="C1552">
        <v>635</v>
      </c>
      <c r="D1552">
        <v>1</v>
      </c>
      <c r="E1552" t="s">
        <v>44</v>
      </c>
      <c r="F1552" t="s">
        <v>45</v>
      </c>
      <c r="G1552" t="str">
        <f>"2025-06-23 16:30:36.759"</f>
        <v>2025-06-23 16:30:36.759</v>
      </c>
      <c r="H1552" t="s">
        <v>21</v>
      </c>
      <c r="I1552">
        <v>3.75</v>
      </c>
      <c r="J1552" t="s">
        <v>39</v>
      </c>
    </row>
    <row r="1553" spans="1:10" x14ac:dyDescent="0.25">
      <c r="A1553" s="1">
        <v>601</v>
      </c>
      <c r="B1553" t="s">
        <v>19</v>
      </c>
      <c r="C1553">
        <v>700</v>
      </c>
      <c r="D1553">
        <v>0</v>
      </c>
      <c r="E1553" t="s">
        <v>20</v>
      </c>
      <c r="F1553" t="s">
        <v>20</v>
      </c>
      <c r="G1553" t="str">
        <f>"2025-06-23 10:02:07.680"</f>
        <v>2025-06-23 10:02:07.680</v>
      </c>
      <c r="H1553" t="s">
        <v>21</v>
      </c>
      <c r="I1553">
        <v>0</v>
      </c>
      <c r="J1553" t="s">
        <v>22</v>
      </c>
    </row>
    <row r="1554" spans="1:10" s="3" customFormat="1" x14ac:dyDescent="0.25">
      <c r="A1554" s="2">
        <v>602</v>
      </c>
      <c r="B1554" s="3" t="s">
        <v>23</v>
      </c>
      <c r="C1554" s="3">
        <v>647</v>
      </c>
      <c r="D1554" s="3">
        <v>1</v>
      </c>
      <c r="E1554" s="3" t="s">
        <v>28</v>
      </c>
      <c r="F1554" s="3" t="s">
        <v>29</v>
      </c>
      <c r="G1554" s="3" t="str">
        <f>"2025-06-21 06:35:56.458"</f>
        <v>2025-06-21 06:35:56.458</v>
      </c>
      <c r="H1554" s="3" t="s">
        <v>21</v>
      </c>
    </row>
    <row r="1555" spans="1:10" s="3" customFormat="1" x14ac:dyDescent="0.25">
      <c r="A1555" s="2">
        <v>603</v>
      </c>
      <c r="B1555" s="3" t="s">
        <v>26</v>
      </c>
      <c r="C1555" s="3">
        <v>647</v>
      </c>
      <c r="D1555" s="3">
        <v>1</v>
      </c>
      <c r="E1555" s="3" t="s">
        <v>28</v>
      </c>
      <c r="F1555" s="3" t="s">
        <v>29</v>
      </c>
      <c r="G1555" s="3" t="str">
        <f>"2025-06-21 06:35:52.758"</f>
        <v>2025-06-21 06:35:52.758</v>
      </c>
      <c r="H1555" s="3" t="s">
        <v>21</v>
      </c>
      <c r="I1555" s="3">
        <v>18.3</v>
      </c>
      <c r="J1555" s="3" t="s">
        <v>33</v>
      </c>
    </row>
    <row r="1556" spans="1:10" x14ac:dyDescent="0.25">
      <c r="A1556" s="1">
        <v>604</v>
      </c>
      <c r="B1556" t="s">
        <v>19</v>
      </c>
      <c r="C1556">
        <v>700</v>
      </c>
      <c r="D1556">
        <v>0</v>
      </c>
      <c r="E1556" t="s">
        <v>20</v>
      </c>
      <c r="F1556" t="s">
        <v>20</v>
      </c>
      <c r="G1556" t="str">
        <f>"2025-06-20 10:24:36.473"</f>
        <v>2025-06-20 10:24:36.473</v>
      </c>
      <c r="H1556" t="s">
        <v>21</v>
      </c>
      <c r="I1556">
        <v>0</v>
      </c>
      <c r="J1556" t="s">
        <v>22</v>
      </c>
    </row>
    <row r="1557" spans="1:10" x14ac:dyDescent="0.25">
      <c r="A1557" s="1">
        <v>605</v>
      </c>
      <c r="B1557" t="s">
        <v>19</v>
      </c>
      <c r="C1557">
        <v>700</v>
      </c>
      <c r="D1557">
        <v>0</v>
      </c>
      <c r="E1557" t="s">
        <v>20</v>
      </c>
      <c r="F1557" t="s">
        <v>20</v>
      </c>
      <c r="G1557" t="str">
        <f>"2025-06-19 07:41:00.647"</f>
        <v>2025-06-19 07:41:00.647</v>
      </c>
      <c r="H1557" t="s">
        <v>21</v>
      </c>
    </row>
    <row r="1558" spans="1:10" x14ac:dyDescent="0.25">
      <c r="A1558" s="1">
        <v>606</v>
      </c>
      <c r="B1558" t="s">
        <v>23</v>
      </c>
      <c r="C1558">
        <v>635</v>
      </c>
      <c r="D1558">
        <v>1</v>
      </c>
      <c r="E1558" t="s">
        <v>44</v>
      </c>
      <c r="F1558" t="s">
        <v>45</v>
      </c>
      <c r="G1558" t="str">
        <f>"2025-06-18 23:56:14.044"</f>
        <v>2025-06-18 23:56:14.044</v>
      </c>
      <c r="H1558" t="s">
        <v>21</v>
      </c>
    </row>
    <row r="1559" spans="1:10" x14ac:dyDescent="0.25">
      <c r="A1559" s="1">
        <v>607</v>
      </c>
      <c r="B1559" t="s">
        <v>26</v>
      </c>
      <c r="C1559">
        <v>635</v>
      </c>
      <c r="D1559">
        <v>1</v>
      </c>
      <c r="E1559" t="s">
        <v>44</v>
      </c>
      <c r="F1559" t="s">
        <v>45</v>
      </c>
      <c r="G1559" t="str">
        <f>"2025-06-18 23:52:44.545"</f>
        <v>2025-06-18 23:52:44.545</v>
      </c>
      <c r="H1559" t="s">
        <v>21</v>
      </c>
      <c r="I1559">
        <v>-0.11</v>
      </c>
      <c r="J1559" t="s">
        <v>39</v>
      </c>
    </row>
    <row r="1560" spans="1:10" x14ac:dyDescent="0.25">
      <c r="A1560" s="1">
        <v>608</v>
      </c>
      <c r="B1560" t="s">
        <v>19</v>
      </c>
      <c r="C1560">
        <v>706</v>
      </c>
      <c r="D1560">
        <v>2</v>
      </c>
      <c r="E1560" t="s">
        <v>31</v>
      </c>
      <c r="F1560" t="s">
        <v>43</v>
      </c>
      <c r="G1560" t="str">
        <f>"2025-06-17 07:40:07.906"</f>
        <v>2025-06-17 07:40:07.906</v>
      </c>
      <c r="H1560" t="s">
        <v>21</v>
      </c>
      <c r="I1560">
        <v>0</v>
      </c>
      <c r="J1560" t="s">
        <v>27</v>
      </c>
    </row>
    <row r="1561" spans="1:10" x14ac:dyDescent="0.25">
      <c r="A1561" s="1">
        <v>609</v>
      </c>
      <c r="B1561" t="s">
        <v>19</v>
      </c>
      <c r="C1561">
        <v>706</v>
      </c>
      <c r="D1561">
        <v>2</v>
      </c>
      <c r="E1561" t="s">
        <v>31</v>
      </c>
      <c r="F1561" t="s">
        <v>43</v>
      </c>
      <c r="G1561" t="str">
        <f>"2025-06-17 05:52:42.506"</f>
        <v>2025-06-17 05:52:42.506</v>
      </c>
      <c r="H1561" t="s">
        <v>21</v>
      </c>
      <c r="I1561">
        <v>0</v>
      </c>
      <c r="J1561" t="s">
        <v>27</v>
      </c>
    </row>
    <row r="1562" spans="1:10" x14ac:dyDescent="0.25">
      <c r="A1562" s="1">
        <v>611</v>
      </c>
      <c r="B1562" t="s">
        <v>19</v>
      </c>
      <c r="C1562">
        <v>706</v>
      </c>
      <c r="D1562">
        <v>4</v>
      </c>
      <c r="E1562" t="s">
        <v>31</v>
      </c>
      <c r="F1562" t="s">
        <v>32</v>
      </c>
      <c r="G1562" t="str">
        <f>"2025-06-17 04:19:29.136"</f>
        <v>2025-06-17 04:19:29.136</v>
      </c>
      <c r="H1562" t="s">
        <v>21</v>
      </c>
      <c r="I1562">
        <v>0</v>
      </c>
      <c r="J1562" t="s">
        <v>27</v>
      </c>
    </row>
    <row r="1563" spans="1:10" x14ac:dyDescent="0.25">
      <c r="A1563" s="1">
        <v>612</v>
      </c>
      <c r="B1563" t="s">
        <v>19</v>
      </c>
      <c r="C1563">
        <v>700</v>
      </c>
      <c r="D1563">
        <v>0</v>
      </c>
      <c r="E1563" t="s">
        <v>20</v>
      </c>
      <c r="F1563" t="s">
        <v>20</v>
      </c>
      <c r="G1563" t="str">
        <f>"2025-06-17 04:19:00.456"</f>
        <v>2025-06-17 04:19:00.456</v>
      </c>
      <c r="H1563" t="s">
        <v>21</v>
      </c>
    </row>
    <row r="1564" spans="1:10" x14ac:dyDescent="0.25">
      <c r="A1564" s="1">
        <v>613</v>
      </c>
      <c r="B1564" t="s">
        <v>19</v>
      </c>
      <c r="C1564">
        <v>706</v>
      </c>
      <c r="D1564">
        <v>4</v>
      </c>
      <c r="E1564" t="s">
        <v>31</v>
      </c>
      <c r="F1564" t="s">
        <v>32</v>
      </c>
      <c r="G1564" t="str">
        <f>"2025-06-17 04:00:29.367"</f>
        <v>2025-06-17 04:00:29.367</v>
      </c>
      <c r="H1564" t="s">
        <v>21</v>
      </c>
      <c r="I1564">
        <v>0</v>
      </c>
      <c r="J1564" t="s">
        <v>27</v>
      </c>
    </row>
    <row r="1565" spans="1:10" x14ac:dyDescent="0.25">
      <c r="A1565" s="1">
        <v>614</v>
      </c>
      <c r="B1565" t="s">
        <v>19</v>
      </c>
      <c r="C1565">
        <v>700</v>
      </c>
      <c r="D1565">
        <v>0</v>
      </c>
      <c r="E1565" t="s">
        <v>20</v>
      </c>
      <c r="F1565" t="s">
        <v>20</v>
      </c>
      <c r="G1565" t="str">
        <f>"2025-06-17 03:26:57.497"</f>
        <v>2025-06-17 03:26:57.497</v>
      </c>
      <c r="H1565" t="s">
        <v>21</v>
      </c>
    </row>
    <row r="1566" spans="1:10" x14ac:dyDescent="0.25">
      <c r="A1566" s="1">
        <v>615</v>
      </c>
      <c r="B1566" t="s">
        <v>23</v>
      </c>
      <c r="C1566">
        <v>619</v>
      </c>
      <c r="D1566">
        <v>1</v>
      </c>
      <c r="E1566" t="s">
        <v>46</v>
      </c>
      <c r="F1566" t="s">
        <v>45</v>
      </c>
      <c r="G1566" t="str">
        <f>"2025-06-17 03:25:38.939"</f>
        <v>2025-06-17 03:25:38.939</v>
      </c>
      <c r="H1566" t="s">
        <v>47</v>
      </c>
    </row>
    <row r="1567" spans="1:10" x14ac:dyDescent="0.25">
      <c r="A1567" s="1">
        <v>616</v>
      </c>
      <c r="B1567" t="s">
        <v>26</v>
      </c>
      <c r="C1567">
        <v>619</v>
      </c>
      <c r="D1567">
        <v>1</v>
      </c>
      <c r="E1567" t="s">
        <v>46</v>
      </c>
      <c r="F1567" t="s">
        <v>45</v>
      </c>
      <c r="G1567" t="str">
        <f>"2025-06-17 03:22:32.991"</f>
        <v>2025-06-17 03:22:32.991</v>
      </c>
      <c r="H1567" t="s">
        <v>47</v>
      </c>
      <c r="I1567">
        <v>6.01</v>
      </c>
      <c r="J1567" t="s">
        <v>39</v>
      </c>
    </row>
    <row r="1568" spans="1:10" x14ac:dyDescent="0.25">
      <c r="A1568" s="1">
        <v>617</v>
      </c>
      <c r="B1568" t="s">
        <v>19</v>
      </c>
      <c r="C1568">
        <v>700</v>
      </c>
      <c r="D1568">
        <v>0</v>
      </c>
      <c r="E1568" t="s">
        <v>20</v>
      </c>
      <c r="F1568" t="s">
        <v>20</v>
      </c>
      <c r="G1568" t="str">
        <f>"2025-06-16 20:57:38.451"</f>
        <v>2025-06-16 20:57:38.451</v>
      </c>
      <c r="H1568" t="s">
        <v>21</v>
      </c>
      <c r="I1568">
        <v>0</v>
      </c>
      <c r="J1568" t="s">
        <v>22</v>
      </c>
    </row>
    <row r="1569" spans="1:10" x14ac:dyDescent="0.25">
      <c r="A1569" s="1">
        <v>618</v>
      </c>
      <c r="B1569" t="s">
        <v>19</v>
      </c>
      <c r="C1569">
        <v>700</v>
      </c>
      <c r="D1569">
        <v>0</v>
      </c>
      <c r="E1569" t="s">
        <v>20</v>
      </c>
      <c r="F1569" t="s">
        <v>20</v>
      </c>
      <c r="G1569" t="str">
        <f>"2025-06-16 15:35:27.455"</f>
        <v>2025-06-16 15:35:27.455</v>
      </c>
      <c r="H1569" t="s">
        <v>21</v>
      </c>
    </row>
    <row r="1570" spans="1:10" x14ac:dyDescent="0.25">
      <c r="A1570" s="1">
        <v>619</v>
      </c>
      <c r="B1570" t="s">
        <v>19</v>
      </c>
      <c r="C1570">
        <v>706</v>
      </c>
      <c r="D1570">
        <v>2</v>
      </c>
      <c r="E1570" t="s">
        <v>31</v>
      </c>
      <c r="F1570" t="s">
        <v>43</v>
      </c>
      <c r="G1570" t="str">
        <f>"2025-06-16 15:26:16.051"</f>
        <v>2025-06-16 15:26:16.051</v>
      </c>
      <c r="H1570" t="s">
        <v>21</v>
      </c>
      <c r="I1570">
        <v>0</v>
      </c>
      <c r="J1570" t="s">
        <v>27</v>
      </c>
    </row>
    <row r="1571" spans="1:10" x14ac:dyDescent="0.25">
      <c r="A1571" s="1">
        <v>620</v>
      </c>
      <c r="B1571" t="s">
        <v>19</v>
      </c>
      <c r="C1571">
        <v>700</v>
      </c>
      <c r="D1571">
        <v>0</v>
      </c>
      <c r="E1571" t="s">
        <v>20</v>
      </c>
      <c r="F1571" t="s">
        <v>20</v>
      </c>
      <c r="G1571" t="str">
        <f>"2025-06-16 15:22:05.461"</f>
        <v>2025-06-16 15:22:05.461</v>
      </c>
      <c r="H1571" t="s">
        <v>21</v>
      </c>
    </row>
    <row r="1572" spans="1:10" x14ac:dyDescent="0.25">
      <c r="A1572" s="1">
        <v>621</v>
      </c>
      <c r="B1572" t="s">
        <v>19</v>
      </c>
      <c r="C1572">
        <v>700</v>
      </c>
      <c r="D1572">
        <v>0</v>
      </c>
      <c r="E1572" t="s">
        <v>20</v>
      </c>
      <c r="F1572" t="s">
        <v>20</v>
      </c>
      <c r="G1572" t="str">
        <f>"2025-06-16 13:49:43.690"</f>
        <v>2025-06-16 13:49:43.690</v>
      </c>
      <c r="H1572" t="s">
        <v>21</v>
      </c>
      <c r="I1572">
        <v>0</v>
      </c>
      <c r="J1572" t="s">
        <v>22</v>
      </c>
    </row>
    <row r="1573" spans="1:10" x14ac:dyDescent="0.25">
      <c r="A1573" s="1">
        <v>622</v>
      </c>
      <c r="B1573" t="s">
        <v>19</v>
      </c>
      <c r="C1573">
        <v>700</v>
      </c>
      <c r="D1573">
        <v>0</v>
      </c>
      <c r="E1573" t="s">
        <v>20</v>
      </c>
      <c r="F1573" t="s">
        <v>20</v>
      </c>
      <c r="G1573" t="str">
        <f>"2025-06-16 13:47:53.457"</f>
        <v>2025-06-16 13:47:53.457</v>
      </c>
      <c r="H1573" t="s">
        <v>21</v>
      </c>
      <c r="I1573">
        <v>0</v>
      </c>
      <c r="J1573" t="s">
        <v>22</v>
      </c>
    </row>
    <row r="1574" spans="1:10" x14ac:dyDescent="0.25">
      <c r="A1574" s="1">
        <v>623</v>
      </c>
      <c r="B1574" t="s">
        <v>19</v>
      </c>
      <c r="C1574">
        <v>700</v>
      </c>
      <c r="D1574">
        <v>0</v>
      </c>
      <c r="E1574" t="s">
        <v>20</v>
      </c>
      <c r="F1574" t="s">
        <v>20</v>
      </c>
      <c r="G1574" t="str">
        <f>"2025-06-16 12:03:32.602"</f>
        <v>2025-06-16 12:03:32.602</v>
      </c>
      <c r="H1574" t="s">
        <v>21</v>
      </c>
    </row>
    <row r="1575" spans="1:10" x14ac:dyDescent="0.25">
      <c r="A1575" s="1">
        <v>624</v>
      </c>
      <c r="B1575" t="s">
        <v>19</v>
      </c>
      <c r="C1575">
        <v>700</v>
      </c>
      <c r="D1575">
        <v>0</v>
      </c>
      <c r="E1575" t="s">
        <v>20</v>
      </c>
      <c r="F1575" t="s">
        <v>20</v>
      </c>
      <c r="G1575" t="str">
        <f>"2025-06-16 12:00:55.474"</f>
        <v>2025-06-16 12:00:55.474</v>
      </c>
      <c r="H1575" t="s">
        <v>21</v>
      </c>
      <c r="I1575">
        <v>0</v>
      </c>
      <c r="J1575" t="s">
        <v>22</v>
      </c>
    </row>
    <row r="1576" spans="1:10" x14ac:dyDescent="0.25">
      <c r="A1576" s="1">
        <v>625</v>
      </c>
      <c r="B1576" t="s">
        <v>19</v>
      </c>
      <c r="C1576">
        <v>700</v>
      </c>
      <c r="D1576">
        <v>0</v>
      </c>
      <c r="E1576" t="s">
        <v>20</v>
      </c>
      <c r="F1576" t="s">
        <v>20</v>
      </c>
      <c r="G1576" t="str">
        <f>"2025-06-15 10:50:19.459"</f>
        <v>2025-06-15 10:50:19.459</v>
      </c>
      <c r="H1576" t="s">
        <v>21</v>
      </c>
    </row>
    <row r="1577" spans="1:10" x14ac:dyDescent="0.25">
      <c r="A1577" s="1">
        <v>626</v>
      </c>
      <c r="B1577" t="s">
        <v>19</v>
      </c>
      <c r="C1577">
        <v>706</v>
      </c>
      <c r="D1577">
        <v>4</v>
      </c>
      <c r="E1577" t="s">
        <v>31</v>
      </c>
      <c r="F1577" t="s">
        <v>32</v>
      </c>
      <c r="G1577" t="str">
        <f>"2025-06-15 10:24:41.404"</f>
        <v>2025-06-15 10:24:41.404</v>
      </c>
      <c r="H1577" t="s">
        <v>21</v>
      </c>
      <c r="I1577">
        <v>0</v>
      </c>
      <c r="J1577" t="s">
        <v>27</v>
      </c>
    </row>
    <row r="1578" spans="1:10" x14ac:dyDescent="0.25">
      <c r="A1578" s="1">
        <v>627</v>
      </c>
      <c r="B1578" t="s">
        <v>19</v>
      </c>
      <c r="C1578">
        <v>700</v>
      </c>
      <c r="D1578">
        <v>0</v>
      </c>
      <c r="E1578" t="s">
        <v>20</v>
      </c>
      <c r="F1578" t="s">
        <v>20</v>
      </c>
      <c r="G1578" t="str">
        <f>"2025-06-15 10:24:12.454"</f>
        <v>2025-06-15 10:24:12.454</v>
      </c>
      <c r="H1578" t="s">
        <v>21</v>
      </c>
      <c r="I1578">
        <v>0</v>
      </c>
      <c r="J1578" t="s">
        <v>22</v>
      </c>
    </row>
    <row r="1579" spans="1:10" x14ac:dyDescent="0.25">
      <c r="A1579" s="1">
        <v>628</v>
      </c>
      <c r="B1579" t="s">
        <v>19</v>
      </c>
      <c r="C1579">
        <v>700</v>
      </c>
      <c r="D1579">
        <v>0</v>
      </c>
      <c r="E1579" t="s">
        <v>20</v>
      </c>
      <c r="F1579" t="s">
        <v>20</v>
      </c>
      <c r="G1579" t="str">
        <f>"2025-06-15 09:55:32.483"</f>
        <v>2025-06-15 09:55:32.483</v>
      </c>
      <c r="H1579" t="s">
        <v>21</v>
      </c>
      <c r="I1579">
        <v>0</v>
      </c>
      <c r="J1579" t="s">
        <v>22</v>
      </c>
    </row>
    <row r="1580" spans="1:10" x14ac:dyDescent="0.25">
      <c r="A1580" s="1">
        <v>629</v>
      </c>
      <c r="B1580" t="s">
        <v>19</v>
      </c>
      <c r="C1580">
        <v>700</v>
      </c>
      <c r="D1580">
        <v>0</v>
      </c>
      <c r="E1580" t="s">
        <v>20</v>
      </c>
      <c r="F1580" t="s">
        <v>20</v>
      </c>
      <c r="G1580" t="str">
        <f>"2025-06-14 22:27:47.494"</f>
        <v>2025-06-14 22:27:47.494</v>
      </c>
      <c r="H1580" t="s">
        <v>21</v>
      </c>
      <c r="I1580">
        <v>0</v>
      </c>
      <c r="J1580" t="s">
        <v>22</v>
      </c>
    </row>
    <row r="1581" spans="1:10" x14ac:dyDescent="0.25">
      <c r="A1581" s="1">
        <v>630</v>
      </c>
      <c r="B1581" t="s">
        <v>23</v>
      </c>
      <c r="C1581">
        <v>61</v>
      </c>
      <c r="D1581">
        <v>2</v>
      </c>
      <c r="E1581" t="s">
        <v>51</v>
      </c>
      <c r="F1581" t="s">
        <v>52</v>
      </c>
      <c r="G1581" t="str">
        <f>"2025-06-14 04:54:45.642"</f>
        <v>2025-06-14 04:54:45.642</v>
      </c>
      <c r="H1581" t="s">
        <v>21</v>
      </c>
    </row>
    <row r="1582" spans="1:10" x14ac:dyDescent="0.25">
      <c r="A1582" s="1">
        <v>631</v>
      </c>
      <c r="B1582" t="s">
        <v>38</v>
      </c>
      <c r="C1582">
        <v>61</v>
      </c>
      <c r="D1582">
        <v>2</v>
      </c>
      <c r="E1582" t="s">
        <v>51</v>
      </c>
      <c r="F1582" t="s">
        <v>52</v>
      </c>
      <c r="G1582" t="str">
        <f>"2025-06-14 04:54:38.843"</f>
        <v>2025-06-14 04:54:38.843</v>
      </c>
      <c r="H1582" t="s">
        <v>21</v>
      </c>
      <c r="I1582">
        <v>34.130000000000003</v>
      </c>
      <c r="J1582" t="s">
        <v>33</v>
      </c>
    </row>
    <row r="1583" spans="1:10" x14ac:dyDescent="0.25">
      <c r="A1583" s="1">
        <v>632</v>
      </c>
      <c r="B1583" t="s">
        <v>19</v>
      </c>
      <c r="C1583">
        <v>700</v>
      </c>
      <c r="D1583">
        <v>0</v>
      </c>
      <c r="E1583" t="s">
        <v>20</v>
      </c>
      <c r="F1583" t="s">
        <v>20</v>
      </c>
      <c r="G1583" t="str">
        <f>"2025-06-13 20:07:19.449"</f>
        <v>2025-06-13 20:07:19.449</v>
      </c>
      <c r="H1583" t="s">
        <v>21</v>
      </c>
      <c r="I1583">
        <v>0</v>
      </c>
      <c r="J1583" t="s">
        <v>22</v>
      </c>
    </row>
    <row r="1584" spans="1:10" s="3" customFormat="1" x14ac:dyDescent="0.25">
      <c r="A1584" s="2">
        <v>633</v>
      </c>
      <c r="B1584" s="3" t="s">
        <v>23</v>
      </c>
      <c r="C1584" s="3">
        <v>647</v>
      </c>
      <c r="D1584" s="3">
        <v>1</v>
      </c>
      <c r="E1584" s="3" t="s">
        <v>28</v>
      </c>
      <c r="F1584" s="3" t="s">
        <v>29</v>
      </c>
      <c r="G1584" s="3" t="str">
        <f>"2025-06-13 19:06:10.674"</f>
        <v>2025-06-13 19:06:10.674</v>
      </c>
      <c r="H1584" s="3" t="s">
        <v>21</v>
      </c>
    </row>
    <row r="1585" spans="1:10" s="3" customFormat="1" x14ac:dyDescent="0.25">
      <c r="A1585" s="2">
        <v>634</v>
      </c>
      <c r="B1585" s="3" t="s">
        <v>26</v>
      </c>
      <c r="C1585" s="3">
        <v>647</v>
      </c>
      <c r="D1585" s="3">
        <v>1</v>
      </c>
      <c r="E1585" s="3" t="s">
        <v>28</v>
      </c>
      <c r="F1585" s="3" t="s">
        <v>29</v>
      </c>
      <c r="G1585" s="3" t="str">
        <f>"2025-06-13 19:06:06.974"</f>
        <v>2025-06-13 19:06:06.974</v>
      </c>
      <c r="H1585" s="3" t="s">
        <v>21</v>
      </c>
      <c r="I1585" s="3">
        <v>22.23</v>
      </c>
      <c r="J1585" s="3" t="s">
        <v>33</v>
      </c>
    </row>
    <row r="1586" spans="1:10" s="3" customFormat="1" x14ac:dyDescent="0.25">
      <c r="A1586" s="2">
        <v>635</v>
      </c>
      <c r="B1586" s="3" t="s">
        <v>23</v>
      </c>
      <c r="C1586" s="3">
        <v>647</v>
      </c>
      <c r="D1586" s="3">
        <v>1</v>
      </c>
      <c r="E1586" s="3" t="s">
        <v>28</v>
      </c>
      <c r="F1586" s="3" t="s">
        <v>29</v>
      </c>
      <c r="G1586" s="3" t="str">
        <f>"2025-06-13 12:21:18.074"</f>
        <v>2025-06-13 12:21:18.074</v>
      </c>
      <c r="H1586" s="3" t="s">
        <v>21</v>
      </c>
    </row>
    <row r="1587" spans="1:10" s="3" customFormat="1" x14ac:dyDescent="0.25">
      <c r="A1587" s="2">
        <v>636</v>
      </c>
      <c r="B1587" s="3" t="s">
        <v>26</v>
      </c>
      <c r="C1587" s="3">
        <v>647</v>
      </c>
      <c r="D1587" s="3">
        <v>1</v>
      </c>
      <c r="E1587" s="3" t="s">
        <v>28</v>
      </c>
      <c r="F1587" s="3" t="s">
        <v>29</v>
      </c>
      <c r="G1587" s="3" t="str">
        <f>"2025-06-13 12:21:15.774"</f>
        <v>2025-06-13 12:21:15.774</v>
      </c>
      <c r="H1587" s="3" t="s">
        <v>21</v>
      </c>
      <c r="I1587" s="3">
        <v>8.56</v>
      </c>
      <c r="J1587" s="3" t="s">
        <v>33</v>
      </c>
    </row>
    <row r="1588" spans="1:10" s="3" customFormat="1" x14ac:dyDescent="0.25">
      <c r="A1588" s="2">
        <v>637</v>
      </c>
      <c r="B1588" s="3" t="s">
        <v>23</v>
      </c>
      <c r="C1588" s="3">
        <v>647</v>
      </c>
      <c r="D1588" s="3">
        <v>1</v>
      </c>
      <c r="E1588" s="3" t="s">
        <v>28</v>
      </c>
      <c r="F1588" s="3" t="s">
        <v>29</v>
      </c>
      <c r="G1588" s="3" t="str">
        <f>"2025-06-13 08:19:13.474"</f>
        <v>2025-06-13 08:19:13.474</v>
      </c>
      <c r="H1588" s="3" t="s">
        <v>21</v>
      </c>
    </row>
    <row r="1589" spans="1:10" s="3" customFormat="1" x14ac:dyDescent="0.25">
      <c r="A1589" s="2">
        <v>638</v>
      </c>
      <c r="B1589" s="3" t="s">
        <v>26</v>
      </c>
      <c r="C1589" s="3">
        <v>647</v>
      </c>
      <c r="D1589" s="3">
        <v>1</v>
      </c>
      <c r="E1589" s="3" t="s">
        <v>28</v>
      </c>
      <c r="F1589" s="3" t="s">
        <v>29</v>
      </c>
      <c r="G1589" s="3" t="str">
        <f>"2025-06-13 08:19:11.774"</f>
        <v>2025-06-13 08:19:11.774</v>
      </c>
      <c r="H1589" s="3" t="s">
        <v>21</v>
      </c>
      <c r="I1589" s="3">
        <v>14.92</v>
      </c>
      <c r="J1589" s="3" t="s">
        <v>33</v>
      </c>
    </row>
    <row r="1590" spans="1:10" s="3" customFormat="1" x14ac:dyDescent="0.25">
      <c r="A1590" s="2">
        <v>639</v>
      </c>
      <c r="B1590" s="3" t="s">
        <v>23</v>
      </c>
      <c r="C1590" s="3">
        <v>647</v>
      </c>
      <c r="D1590" s="3">
        <v>1</v>
      </c>
      <c r="E1590" s="3" t="s">
        <v>28</v>
      </c>
      <c r="F1590" s="3" t="s">
        <v>29</v>
      </c>
      <c r="G1590" s="3" t="str">
        <f>"2025-06-13 07:29:38.874"</f>
        <v>2025-06-13 07:29:38.874</v>
      </c>
      <c r="H1590" s="3" t="s">
        <v>21</v>
      </c>
    </row>
    <row r="1591" spans="1:10" s="3" customFormat="1" x14ac:dyDescent="0.25">
      <c r="A1591" s="2">
        <v>640</v>
      </c>
      <c r="B1591" s="3" t="s">
        <v>26</v>
      </c>
      <c r="C1591" s="3">
        <v>647</v>
      </c>
      <c r="D1591" s="3">
        <v>1</v>
      </c>
      <c r="E1591" s="3" t="s">
        <v>28</v>
      </c>
      <c r="F1591" s="3" t="s">
        <v>29</v>
      </c>
      <c r="G1591" s="3" t="str">
        <f>"2025-06-13 07:29:36.375"</f>
        <v>2025-06-13 07:29:36.375</v>
      </c>
      <c r="H1591" s="3" t="s">
        <v>21</v>
      </c>
      <c r="I1591" s="3">
        <v>26.56</v>
      </c>
      <c r="J1591" s="3" t="s">
        <v>33</v>
      </c>
    </row>
    <row r="1592" spans="1:10" x14ac:dyDescent="0.25">
      <c r="A1592" s="1">
        <v>641</v>
      </c>
      <c r="B1592" t="s">
        <v>19</v>
      </c>
      <c r="C1592">
        <v>706</v>
      </c>
      <c r="D1592">
        <v>2</v>
      </c>
      <c r="E1592" t="s">
        <v>31</v>
      </c>
      <c r="F1592" t="s">
        <v>43</v>
      </c>
      <c r="G1592" t="str">
        <f>"2025-06-12 09:41:17.410"</f>
        <v>2025-06-12 09:41:17.410</v>
      </c>
      <c r="H1592" t="s">
        <v>21</v>
      </c>
      <c r="I1592">
        <v>0</v>
      </c>
      <c r="J1592" t="s">
        <v>27</v>
      </c>
    </row>
    <row r="1593" spans="1:10" x14ac:dyDescent="0.25">
      <c r="A1593" s="1">
        <v>642</v>
      </c>
      <c r="B1593" t="s">
        <v>19</v>
      </c>
      <c r="C1593">
        <v>700</v>
      </c>
      <c r="D1593">
        <v>0</v>
      </c>
      <c r="E1593" t="s">
        <v>20</v>
      </c>
      <c r="F1593" t="s">
        <v>20</v>
      </c>
      <c r="G1593" t="str">
        <f>"2025-06-12 09:41:02.480"</f>
        <v>2025-06-12 09:41:02.480</v>
      </c>
      <c r="H1593" t="s">
        <v>21</v>
      </c>
      <c r="I1593">
        <v>0</v>
      </c>
      <c r="J1593" t="s">
        <v>22</v>
      </c>
    </row>
    <row r="1594" spans="1:10" x14ac:dyDescent="0.25">
      <c r="A1594" s="1">
        <v>643</v>
      </c>
      <c r="B1594" t="s">
        <v>23</v>
      </c>
      <c r="C1594">
        <v>635</v>
      </c>
      <c r="D1594">
        <v>1</v>
      </c>
      <c r="E1594" t="s">
        <v>44</v>
      </c>
      <c r="F1594" t="s">
        <v>45</v>
      </c>
      <c r="G1594" t="str">
        <f>"2025-06-12 08:01:05.029"</f>
        <v>2025-06-12 08:01:05.029</v>
      </c>
      <c r="H1594" t="s">
        <v>21</v>
      </c>
    </row>
    <row r="1595" spans="1:10" x14ac:dyDescent="0.25">
      <c r="A1595" s="1">
        <v>644</v>
      </c>
      <c r="B1595" t="s">
        <v>26</v>
      </c>
      <c r="C1595">
        <v>635</v>
      </c>
      <c r="D1595">
        <v>1</v>
      </c>
      <c r="E1595" t="s">
        <v>44</v>
      </c>
      <c r="F1595" t="s">
        <v>45</v>
      </c>
      <c r="G1595" t="str">
        <f>"2025-06-12 07:57:13.029"</f>
        <v>2025-06-12 07:57:13.029</v>
      </c>
      <c r="H1595" t="s">
        <v>21</v>
      </c>
      <c r="I1595">
        <v>3.91</v>
      </c>
      <c r="J1595" t="s">
        <v>39</v>
      </c>
    </row>
    <row r="1596" spans="1:10" x14ac:dyDescent="0.25">
      <c r="A1596" s="1">
        <v>645</v>
      </c>
      <c r="B1596" t="s">
        <v>23</v>
      </c>
      <c r="C1596">
        <v>635</v>
      </c>
      <c r="D1596">
        <v>1</v>
      </c>
      <c r="E1596" t="s">
        <v>44</v>
      </c>
      <c r="F1596" t="s">
        <v>45</v>
      </c>
      <c r="G1596" t="str">
        <f>"2025-06-12 02:42:50.529"</f>
        <v>2025-06-12 02:42:50.529</v>
      </c>
      <c r="H1596" t="s">
        <v>21</v>
      </c>
    </row>
    <row r="1597" spans="1:10" x14ac:dyDescent="0.25">
      <c r="A1597" s="1">
        <v>646</v>
      </c>
      <c r="B1597" t="s">
        <v>26</v>
      </c>
      <c r="C1597">
        <v>635</v>
      </c>
      <c r="D1597">
        <v>1</v>
      </c>
      <c r="E1597" t="s">
        <v>44</v>
      </c>
      <c r="F1597" t="s">
        <v>45</v>
      </c>
      <c r="G1597" t="str">
        <f>"2025-06-12 02:36:59.529"</f>
        <v>2025-06-12 02:36:59.529</v>
      </c>
      <c r="H1597" t="s">
        <v>21</v>
      </c>
      <c r="I1597">
        <v>1.63</v>
      </c>
      <c r="J1597" t="s">
        <v>39</v>
      </c>
    </row>
    <row r="1598" spans="1:10" x14ac:dyDescent="0.25">
      <c r="A1598" s="1">
        <v>647</v>
      </c>
      <c r="B1598" t="s">
        <v>23</v>
      </c>
      <c r="C1598">
        <v>635</v>
      </c>
      <c r="D1598">
        <v>1</v>
      </c>
      <c r="E1598" t="s">
        <v>44</v>
      </c>
      <c r="F1598" t="s">
        <v>45</v>
      </c>
      <c r="G1598" t="str">
        <f>"2025-06-11 13:12:05.729"</f>
        <v>2025-06-11 13:12:05.729</v>
      </c>
      <c r="H1598" t="s">
        <v>21</v>
      </c>
    </row>
    <row r="1599" spans="1:10" x14ac:dyDescent="0.25">
      <c r="A1599" s="1">
        <v>648</v>
      </c>
      <c r="B1599" t="s">
        <v>26</v>
      </c>
      <c r="C1599">
        <v>635</v>
      </c>
      <c r="D1599">
        <v>1</v>
      </c>
      <c r="E1599" t="s">
        <v>44</v>
      </c>
      <c r="F1599" t="s">
        <v>45</v>
      </c>
      <c r="G1599" t="str">
        <f>"2025-06-11 13:08:39.729"</f>
        <v>2025-06-11 13:08:39.729</v>
      </c>
      <c r="H1599" t="s">
        <v>21</v>
      </c>
      <c r="I1599">
        <v>4.82</v>
      </c>
      <c r="J1599" t="s">
        <v>33</v>
      </c>
    </row>
    <row r="1600" spans="1:10" x14ac:dyDescent="0.25">
      <c r="A1600" s="1">
        <v>649</v>
      </c>
      <c r="B1600" t="s">
        <v>23</v>
      </c>
      <c r="C1600">
        <v>635</v>
      </c>
      <c r="D1600">
        <v>1</v>
      </c>
      <c r="E1600" t="s">
        <v>44</v>
      </c>
      <c r="F1600" t="s">
        <v>45</v>
      </c>
      <c r="G1600" t="str">
        <f>"2025-06-11 12:59:56.229"</f>
        <v>2025-06-11 12:59:56.229</v>
      </c>
      <c r="H1600" t="s">
        <v>21</v>
      </c>
    </row>
    <row r="1601" spans="1:10" x14ac:dyDescent="0.25">
      <c r="A1601" s="1">
        <v>650</v>
      </c>
      <c r="B1601" t="s">
        <v>26</v>
      </c>
      <c r="C1601">
        <v>635</v>
      </c>
      <c r="D1601">
        <v>1</v>
      </c>
      <c r="E1601" t="s">
        <v>44</v>
      </c>
      <c r="F1601" t="s">
        <v>45</v>
      </c>
      <c r="G1601" t="str">
        <f>"2025-06-11 12:52:40.729"</f>
        <v>2025-06-11 12:52:40.729</v>
      </c>
      <c r="H1601" t="s">
        <v>21</v>
      </c>
      <c r="I1601">
        <v>10.32</v>
      </c>
      <c r="J1601" t="s">
        <v>39</v>
      </c>
    </row>
    <row r="1602" spans="1:10" s="3" customFormat="1" x14ac:dyDescent="0.25">
      <c r="A1602" s="2">
        <v>651</v>
      </c>
      <c r="B1602" s="3" t="s">
        <v>23</v>
      </c>
      <c r="C1602" s="3">
        <v>647</v>
      </c>
      <c r="D1602" s="3">
        <v>1</v>
      </c>
      <c r="E1602" s="3" t="s">
        <v>28</v>
      </c>
      <c r="F1602" s="3" t="s">
        <v>29</v>
      </c>
      <c r="G1602" s="3" t="str">
        <f>"2025-06-10 19:15:18.877"</f>
        <v>2025-06-10 19:15:18.877</v>
      </c>
      <c r="H1602" s="3" t="s">
        <v>21</v>
      </c>
    </row>
    <row r="1603" spans="1:10" s="3" customFormat="1" x14ac:dyDescent="0.25">
      <c r="A1603" s="2">
        <v>652</v>
      </c>
      <c r="B1603" s="3" t="s">
        <v>26</v>
      </c>
      <c r="C1603" s="3">
        <v>647</v>
      </c>
      <c r="D1603" s="3">
        <v>1</v>
      </c>
      <c r="E1603" s="3" t="s">
        <v>28</v>
      </c>
      <c r="F1603" s="3" t="s">
        <v>29</v>
      </c>
      <c r="G1603" s="3" t="str">
        <f>"2025-06-10 19:15:15.577"</f>
        <v>2025-06-10 19:15:15.577</v>
      </c>
      <c r="H1603" s="3" t="s">
        <v>21</v>
      </c>
      <c r="I1603" s="3">
        <v>26.07</v>
      </c>
      <c r="J1603" s="3" t="s">
        <v>33</v>
      </c>
    </row>
    <row r="1604" spans="1:10" s="3" customFormat="1" x14ac:dyDescent="0.25">
      <c r="A1604" s="2">
        <v>653</v>
      </c>
      <c r="B1604" s="3" t="s">
        <v>23</v>
      </c>
      <c r="C1604" s="3">
        <v>647</v>
      </c>
      <c r="D1604" s="3">
        <v>1</v>
      </c>
      <c r="E1604" s="3" t="s">
        <v>28</v>
      </c>
      <c r="F1604" s="3" t="s">
        <v>29</v>
      </c>
      <c r="G1604" s="3" t="str">
        <f>"2025-06-09 15:57:27.077"</f>
        <v>2025-06-09 15:57:27.077</v>
      </c>
      <c r="H1604" s="3" t="s">
        <v>21</v>
      </c>
    </row>
    <row r="1605" spans="1:10" s="3" customFormat="1" x14ac:dyDescent="0.25">
      <c r="A1605" s="2">
        <v>654</v>
      </c>
      <c r="B1605" s="3" t="s">
        <v>26</v>
      </c>
      <c r="C1605" s="3">
        <v>647</v>
      </c>
      <c r="D1605" s="3">
        <v>1</v>
      </c>
      <c r="E1605" s="3" t="s">
        <v>28</v>
      </c>
      <c r="F1605" s="3" t="s">
        <v>29</v>
      </c>
      <c r="G1605" s="3" t="str">
        <f>"2025-06-09 15:57:05.178"</f>
        <v>2025-06-09 15:57:05.178</v>
      </c>
      <c r="H1605" s="3" t="s">
        <v>21</v>
      </c>
      <c r="I1605" s="3">
        <v>8.77</v>
      </c>
      <c r="J1605" s="3" t="s">
        <v>30</v>
      </c>
    </row>
    <row r="1606" spans="1:10" x14ac:dyDescent="0.25">
      <c r="A1606" s="1">
        <v>655</v>
      </c>
      <c r="B1606" t="s">
        <v>19</v>
      </c>
      <c r="C1606">
        <v>700</v>
      </c>
      <c r="D1606">
        <v>0</v>
      </c>
      <c r="E1606" t="s">
        <v>20</v>
      </c>
      <c r="F1606" t="s">
        <v>20</v>
      </c>
      <c r="G1606" t="str">
        <f>"2025-06-08 23:58:01.673"</f>
        <v>2025-06-08 23:58:01.673</v>
      </c>
      <c r="H1606" t="s">
        <v>21</v>
      </c>
    </row>
    <row r="1607" spans="1:10" x14ac:dyDescent="0.25">
      <c r="A1607" s="1">
        <v>656</v>
      </c>
      <c r="B1607" t="s">
        <v>19</v>
      </c>
      <c r="C1607">
        <v>706</v>
      </c>
      <c r="D1607">
        <v>2</v>
      </c>
      <c r="E1607" t="s">
        <v>31</v>
      </c>
      <c r="F1607" t="s">
        <v>43</v>
      </c>
      <c r="G1607" t="str">
        <f>"2025-06-08 20:35:33.479"</f>
        <v>2025-06-08 20:35:33.479</v>
      </c>
      <c r="H1607" t="s">
        <v>21</v>
      </c>
      <c r="I1607">
        <v>0</v>
      </c>
      <c r="J1607" t="s">
        <v>27</v>
      </c>
    </row>
    <row r="1608" spans="1:10" x14ac:dyDescent="0.25">
      <c r="A1608" s="1">
        <v>657</v>
      </c>
      <c r="B1608" t="s">
        <v>19</v>
      </c>
      <c r="C1608">
        <v>700</v>
      </c>
      <c r="D1608">
        <v>0</v>
      </c>
      <c r="E1608" t="s">
        <v>20</v>
      </c>
      <c r="F1608" t="s">
        <v>20</v>
      </c>
      <c r="G1608" t="str">
        <f>"2025-06-08 20:34:59.469"</f>
        <v>2025-06-08 20:34:59.469</v>
      </c>
      <c r="H1608" t="s">
        <v>21</v>
      </c>
      <c r="I1608">
        <v>0</v>
      </c>
      <c r="J1608" t="s">
        <v>22</v>
      </c>
    </row>
    <row r="1609" spans="1:10" s="3" customFormat="1" x14ac:dyDescent="0.25">
      <c r="A1609" s="2">
        <v>659</v>
      </c>
      <c r="B1609" s="3" t="s">
        <v>23</v>
      </c>
      <c r="C1609" s="3">
        <v>647</v>
      </c>
      <c r="D1609" s="3">
        <v>1</v>
      </c>
      <c r="E1609" s="3" t="s">
        <v>28</v>
      </c>
      <c r="F1609" s="3" t="s">
        <v>29</v>
      </c>
      <c r="G1609" s="3" t="str">
        <f>"2025-06-07 18:03:50.746"</f>
        <v>2025-06-07 18:03:50.746</v>
      </c>
      <c r="H1609" s="3" t="s">
        <v>21</v>
      </c>
    </row>
    <row r="1610" spans="1:10" s="3" customFormat="1" x14ac:dyDescent="0.25">
      <c r="A1610" s="2">
        <v>660</v>
      </c>
      <c r="B1610" s="3" t="s">
        <v>26</v>
      </c>
      <c r="C1610" s="3">
        <v>647</v>
      </c>
      <c r="D1610" s="3">
        <v>1</v>
      </c>
      <c r="E1610" s="3" t="s">
        <v>28</v>
      </c>
      <c r="F1610" s="3" t="s">
        <v>29</v>
      </c>
      <c r="G1610" s="3" t="str">
        <f>"2025-06-07 18:03:49.646"</f>
        <v>2025-06-07 18:03:49.646</v>
      </c>
      <c r="H1610" s="3" t="s">
        <v>21</v>
      </c>
      <c r="I1610" s="3">
        <v>17.38</v>
      </c>
      <c r="J1610" s="3" t="s">
        <v>33</v>
      </c>
    </row>
    <row r="1611" spans="1:10" s="3" customFormat="1" x14ac:dyDescent="0.25">
      <c r="A1611" s="2">
        <v>661</v>
      </c>
      <c r="B1611" s="3" t="s">
        <v>23</v>
      </c>
      <c r="C1611" s="3">
        <v>647</v>
      </c>
      <c r="D1611" s="3">
        <v>1</v>
      </c>
      <c r="E1611" s="3" t="s">
        <v>28</v>
      </c>
      <c r="F1611" s="3" t="s">
        <v>29</v>
      </c>
      <c r="G1611" s="3" t="str">
        <f>"2025-06-07 17:05:49.846"</f>
        <v>2025-06-07 17:05:49.846</v>
      </c>
      <c r="H1611" s="3" t="s">
        <v>21</v>
      </c>
    </row>
    <row r="1612" spans="1:10" s="3" customFormat="1" x14ac:dyDescent="0.25">
      <c r="A1612" s="2">
        <v>662</v>
      </c>
      <c r="B1612" s="3" t="s">
        <v>26</v>
      </c>
      <c r="C1612" s="3">
        <v>647</v>
      </c>
      <c r="D1612" s="3">
        <v>1</v>
      </c>
      <c r="E1612" s="3" t="s">
        <v>28</v>
      </c>
      <c r="F1612" s="3" t="s">
        <v>29</v>
      </c>
      <c r="G1612" s="3" t="str">
        <f>"2025-06-07 17:05:45.346"</f>
        <v>2025-06-07 17:05:45.346</v>
      </c>
      <c r="H1612" s="3" t="s">
        <v>21</v>
      </c>
      <c r="I1612" s="3">
        <v>10.27</v>
      </c>
      <c r="J1612" s="3" t="s">
        <v>33</v>
      </c>
    </row>
    <row r="1613" spans="1:10" x14ac:dyDescent="0.25">
      <c r="A1613" s="1">
        <v>663</v>
      </c>
      <c r="B1613" t="s">
        <v>23</v>
      </c>
      <c r="C1613">
        <v>630</v>
      </c>
      <c r="D1613">
        <v>5</v>
      </c>
      <c r="E1613" t="s">
        <v>40</v>
      </c>
      <c r="F1613" t="s">
        <v>41</v>
      </c>
      <c r="G1613" t="str">
        <f>"2025-06-07 15:58:05.446"</f>
        <v>2025-06-07 15:58:05.446</v>
      </c>
      <c r="H1613" t="s">
        <v>42</v>
      </c>
    </row>
    <row r="1614" spans="1:10" x14ac:dyDescent="0.25">
      <c r="A1614" s="1">
        <v>664</v>
      </c>
      <c r="B1614" t="s">
        <v>19</v>
      </c>
      <c r="C1614">
        <v>706</v>
      </c>
      <c r="D1614">
        <v>2</v>
      </c>
      <c r="E1614" t="s">
        <v>31</v>
      </c>
      <c r="F1614" t="s">
        <v>43</v>
      </c>
      <c r="G1614" t="str">
        <f>"2025-06-07 15:57:35.399"</f>
        <v>2025-06-07 15:57:35.399</v>
      </c>
      <c r="H1614" t="s">
        <v>21</v>
      </c>
      <c r="I1614">
        <v>0</v>
      </c>
      <c r="J1614" t="s">
        <v>27</v>
      </c>
    </row>
    <row r="1615" spans="1:10" x14ac:dyDescent="0.25">
      <c r="A1615" s="1">
        <v>665</v>
      </c>
      <c r="B1615" t="s">
        <v>38</v>
      </c>
      <c r="C1615">
        <v>630</v>
      </c>
      <c r="D1615">
        <v>5</v>
      </c>
      <c r="E1615" t="s">
        <v>40</v>
      </c>
      <c r="F1615" t="s">
        <v>41</v>
      </c>
      <c r="G1615" t="str">
        <f>"2025-06-07 15:39:46.746"</f>
        <v>2025-06-07 15:39:46.746</v>
      </c>
      <c r="H1615" t="s">
        <v>42</v>
      </c>
      <c r="I1615">
        <v>0</v>
      </c>
      <c r="J1615" t="s">
        <v>27</v>
      </c>
    </row>
    <row r="1616" spans="1:10" x14ac:dyDescent="0.25">
      <c r="A1616" s="1">
        <v>666</v>
      </c>
      <c r="B1616" t="s">
        <v>19</v>
      </c>
      <c r="C1616">
        <v>700</v>
      </c>
      <c r="D1616">
        <v>0</v>
      </c>
      <c r="E1616" t="s">
        <v>20</v>
      </c>
      <c r="F1616" t="s">
        <v>20</v>
      </c>
      <c r="G1616" t="str">
        <f>"2025-06-07 15:27:21.439"</f>
        <v>2025-06-07 15:27:21.439</v>
      </c>
      <c r="H1616" t="s">
        <v>21</v>
      </c>
      <c r="I1616">
        <v>0</v>
      </c>
      <c r="J1616" t="s">
        <v>22</v>
      </c>
    </row>
    <row r="1617" spans="1:10" x14ac:dyDescent="0.25">
      <c r="A1617" s="1">
        <v>667</v>
      </c>
      <c r="B1617" t="s">
        <v>19</v>
      </c>
      <c r="C1617">
        <v>700</v>
      </c>
      <c r="D1617">
        <v>0</v>
      </c>
      <c r="E1617" t="s">
        <v>20</v>
      </c>
      <c r="F1617" t="s">
        <v>20</v>
      </c>
      <c r="G1617" t="str">
        <f>"2025-06-07 15:03:01.464"</f>
        <v>2025-06-07 15:03:01.464</v>
      </c>
      <c r="H1617" t="s">
        <v>21</v>
      </c>
      <c r="I1617">
        <v>0</v>
      </c>
      <c r="J1617" t="s">
        <v>22</v>
      </c>
    </row>
    <row r="1618" spans="1:10" s="3" customFormat="1" x14ac:dyDescent="0.25">
      <c r="A1618" s="2">
        <v>668</v>
      </c>
      <c r="B1618" s="3" t="s">
        <v>23</v>
      </c>
      <c r="C1618" s="3">
        <v>647</v>
      </c>
      <c r="D1618" s="3">
        <v>1</v>
      </c>
      <c r="E1618" s="3" t="s">
        <v>28</v>
      </c>
      <c r="F1618" s="3" t="s">
        <v>29</v>
      </c>
      <c r="G1618" s="3" t="str">
        <f>"2025-06-06 11:11:41.037"</f>
        <v>2025-06-06 11:11:41.037</v>
      </c>
      <c r="H1618" s="3" t="s">
        <v>21</v>
      </c>
    </row>
    <row r="1619" spans="1:10" s="3" customFormat="1" x14ac:dyDescent="0.25">
      <c r="A1619" s="2">
        <v>669</v>
      </c>
      <c r="B1619" s="3" t="s">
        <v>26</v>
      </c>
      <c r="C1619" s="3">
        <v>647</v>
      </c>
      <c r="D1619" s="3">
        <v>1</v>
      </c>
      <c r="E1619" s="3" t="s">
        <v>28</v>
      </c>
      <c r="F1619" s="3" t="s">
        <v>29</v>
      </c>
      <c r="G1619" s="3" t="str">
        <f>"2025-06-06 11:11:33.537"</f>
        <v>2025-06-06 11:11:33.537</v>
      </c>
      <c r="H1619" s="3" t="s">
        <v>21</v>
      </c>
      <c r="I1619" s="3">
        <v>10.210000000000001</v>
      </c>
      <c r="J1619" s="3" t="s">
        <v>33</v>
      </c>
    </row>
    <row r="1620" spans="1:10" x14ac:dyDescent="0.25">
      <c r="A1620" s="1">
        <v>671</v>
      </c>
      <c r="B1620" t="s">
        <v>19</v>
      </c>
      <c r="C1620">
        <v>706</v>
      </c>
      <c r="D1620">
        <v>2</v>
      </c>
      <c r="E1620" t="s">
        <v>31</v>
      </c>
      <c r="F1620" t="s">
        <v>43</v>
      </c>
      <c r="G1620" t="str">
        <f>"2025-06-05 23:31:24.085"</f>
        <v>2025-06-05 23:31:24.085</v>
      </c>
      <c r="H1620" t="s">
        <v>21</v>
      </c>
      <c r="I1620">
        <v>0</v>
      </c>
      <c r="J1620" t="s">
        <v>27</v>
      </c>
    </row>
    <row r="1621" spans="1:10" x14ac:dyDescent="0.25">
      <c r="A1621" s="1">
        <v>672</v>
      </c>
      <c r="B1621" t="s">
        <v>19</v>
      </c>
      <c r="C1621">
        <v>700</v>
      </c>
      <c r="D1621">
        <v>0</v>
      </c>
      <c r="E1621" t="s">
        <v>20</v>
      </c>
      <c r="F1621" t="s">
        <v>20</v>
      </c>
      <c r="G1621" t="str">
        <f>"2025-06-05 23:28:26.425"</f>
        <v>2025-06-05 23:28:26.425</v>
      </c>
      <c r="H1621" t="s">
        <v>21</v>
      </c>
    </row>
    <row r="1622" spans="1:10" x14ac:dyDescent="0.25">
      <c r="A1622" s="1">
        <v>673</v>
      </c>
      <c r="B1622" t="s">
        <v>19</v>
      </c>
      <c r="C1622">
        <v>706</v>
      </c>
      <c r="D1622">
        <v>2</v>
      </c>
      <c r="E1622" t="s">
        <v>31</v>
      </c>
      <c r="F1622" t="s">
        <v>43</v>
      </c>
      <c r="G1622" t="str">
        <f>"2025-06-05 23:14:39.628"</f>
        <v>2025-06-05 23:14:39.628</v>
      </c>
      <c r="H1622" t="s">
        <v>21</v>
      </c>
      <c r="I1622">
        <v>0</v>
      </c>
      <c r="J1622" t="s">
        <v>27</v>
      </c>
    </row>
    <row r="1623" spans="1:10" x14ac:dyDescent="0.25">
      <c r="A1623" s="1">
        <v>674</v>
      </c>
      <c r="B1623" t="s">
        <v>19</v>
      </c>
      <c r="C1623">
        <v>700</v>
      </c>
      <c r="D1623">
        <v>0</v>
      </c>
      <c r="E1623" t="s">
        <v>20</v>
      </c>
      <c r="F1623" t="s">
        <v>20</v>
      </c>
      <c r="G1623" t="str">
        <f>"2025-06-05 23:00:34.428"</f>
        <v>2025-06-05 23:00:34.428</v>
      </c>
      <c r="H1623" t="s">
        <v>21</v>
      </c>
    </row>
    <row r="1624" spans="1:10" x14ac:dyDescent="0.25">
      <c r="A1624" s="1">
        <v>675</v>
      </c>
      <c r="B1624" t="s">
        <v>19</v>
      </c>
      <c r="C1624">
        <v>700</v>
      </c>
      <c r="D1624">
        <v>0</v>
      </c>
      <c r="E1624" t="s">
        <v>20</v>
      </c>
      <c r="F1624" t="s">
        <v>20</v>
      </c>
      <c r="G1624" t="str">
        <f>"2025-06-05 22:13:29.455"</f>
        <v>2025-06-05 22:13:29.455</v>
      </c>
      <c r="H1624" t="s">
        <v>21</v>
      </c>
      <c r="I1624">
        <v>0</v>
      </c>
      <c r="J1624" t="s">
        <v>22</v>
      </c>
    </row>
    <row r="1625" spans="1:10" s="3" customFormat="1" x14ac:dyDescent="0.25">
      <c r="A1625" s="2">
        <v>676</v>
      </c>
      <c r="B1625" s="3" t="s">
        <v>23</v>
      </c>
      <c r="C1625" s="3">
        <v>647</v>
      </c>
      <c r="D1625" s="3">
        <v>1</v>
      </c>
      <c r="E1625" s="3" t="s">
        <v>28</v>
      </c>
      <c r="F1625" s="3" t="s">
        <v>29</v>
      </c>
      <c r="G1625" s="3" t="str">
        <f>"2025-06-05 16:34:47.942"</f>
        <v>2025-06-05 16:34:47.942</v>
      </c>
      <c r="H1625" s="3" t="s">
        <v>21</v>
      </c>
    </row>
    <row r="1626" spans="1:10" s="3" customFormat="1" x14ac:dyDescent="0.25">
      <c r="A1626" s="2">
        <v>677</v>
      </c>
      <c r="B1626" s="3" t="s">
        <v>26</v>
      </c>
      <c r="C1626" s="3">
        <v>647</v>
      </c>
      <c r="D1626" s="3">
        <v>1</v>
      </c>
      <c r="E1626" s="3" t="s">
        <v>28</v>
      </c>
      <c r="F1626" s="3" t="s">
        <v>29</v>
      </c>
      <c r="G1626" s="3" t="str">
        <f>"2025-06-05 16:34:44.642"</f>
        <v>2025-06-05 16:34:44.642</v>
      </c>
      <c r="H1626" s="3" t="s">
        <v>21</v>
      </c>
      <c r="I1626" s="3">
        <v>15.27</v>
      </c>
      <c r="J1626" s="3" t="s">
        <v>33</v>
      </c>
    </row>
    <row r="1627" spans="1:10" s="3" customFormat="1" x14ac:dyDescent="0.25">
      <c r="A1627" s="2">
        <v>678</v>
      </c>
      <c r="B1627" s="3" t="s">
        <v>23</v>
      </c>
      <c r="C1627" s="3">
        <v>647</v>
      </c>
      <c r="D1627" s="3">
        <v>1</v>
      </c>
      <c r="E1627" s="3" t="s">
        <v>28</v>
      </c>
      <c r="F1627" s="3" t="s">
        <v>29</v>
      </c>
      <c r="G1627" s="3" t="str">
        <f>"2025-06-04 19:29:45.542"</f>
        <v>2025-06-04 19:29:45.542</v>
      </c>
      <c r="H1627" s="3" t="s">
        <v>21</v>
      </c>
    </row>
    <row r="1628" spans="1:10" s="3" customFormat="1" x14ac:dyDescent="0.25">
      <c r="A1628" s="2">
        <v>679</v>
      </c>
      <c r="B1628" s="3" t="s">
        <v>26</v>
      </c>
      <c r="C1628" s="3">
        <v>647</v>
      </c>
      <c r="D1628" s="3">
        <v>1</v>
      </c>
      <c r="E1628" s="3" t="s">
        <v>28</v>
      </c>
      <c r="F1628" s="3" t="s">
        <v>29</v>
      </c>
      <c r="G1628" s="3" t="str">
        <f>"2025-06-04 19:29:42.242"</f>
        <v>2025-06-04 19:29:42.242</v>
      </c>
      <c r="H1628" s="3" t="s">
        <v>21</v>
      </c>
      <c r="I1628" s="3">
        <v>10.14</v>
      </c>
      <c r="J1628" s="3" t="s">
        <v>33</v>
      </c>
    </row>
    <row r="1629" spans="1:10" s="3" customFormat="1" x14ac:dyDescent="0.25">
      <c r="A1629" s="2">
        <v>680</v>
      </c>
      <c r="B1629" s="3" t="s">
        <v>23</v>
      </c>
      <c r="C1629" s="3">
        <v>647</v>
      </c>
      <c r="D1629" s="3">
        <v>1</v>
      </c>
      <c r="E1629" s="3" t="s">
        <v>28</v>
      </c>
      <c r="F1629" s="3" t="s">
        <v>29</v>
      </c>
      <c r="G1629" s="3" t="str">
        <f>"2025-06-04 18:19:25.642"</f>
        <v>2025-06-04 18:19:25.642</v>
      </c>
      <c r="H1629" s="3" t="s">
        <v>21</v>
      </c>
    </row>
    <row r="1630" spans="1:10" s="3" customFormat="1" x14ac:dyDescent="0.25">
      <c r="A1630" s="2">
        <v>681</v>
      </c>
      <c r="B1630" s="3" t="s">
        <v>26</v>
      </c>
      <c r="C1630" s="3">
        <v>647</v>
      </c>
      <c r="D1630" s="3">
        <v>1</v>
      </c>
      <c r="E1630" s="3" t="s">
        <v>28</v>
      </c>
      <c r="F1630" s="3" t="s">
        <v>29</v>
      </c>
      <c r="G1630" s="3" t="str">
        <f>"2025-06-04 18:19:20.542"</f>
        <v>2025-06-04 18:19:20.542</v>
      </c>
      <c r="H1630" s="3" t="s">
        <v>21</v>
      </c>
      <c r="I1630" s="3">
        <v>9.1199999999999992</v>
      </c>
      <c r="J1630" s="3" t="s">
        <v>33</v>
      </c>
    </row>
    <row r="1631" spans="1:10" s="3" customFormat="1" x14ac:dyDescent="0.25">
      <c r="A1631" s="2">
        <v>682</v>
      </c>
      <c r="B1631" s="3" t="s">
        <v>23</v>
      </c>
      <c r="C1631" s="3">
        <v>647</v>
      </c>
      <c r="D1631" s="3">
        <v>1</v>
      </c>
      <c r="E1631" s="3" t="s">
        <v>28</v>
      </c>
      <c r="F1631" s="3" t="s">
        <v>29</v>
      </c>
      <c r="G1631" s="3" t="str">
        <f>"2025-06-04 09:38:01.542"</f>
        <v>2025-06-04 09:38:01.542</v>
      </c>
      <c r="H1631" s="3" t="s">
        <v>21</v>
      </c>
    </row>
    <row r="1632" spans="1:10" s="3" customFormat="1" x14ac:dyDescent="0.25">
      <c r="A1632" s="2">
        <v>683</v>
      </c>
      <c r="B1632" s="3" t="s">
        <v>26</v>
      </c>
      <c r="C1632" s="3">
        <v>647</v>
      </c>
      <c r="D1632" s="3">
        <v>1</v>
      </c>
      <c r="E1632" s="3" t="s">
        <v>28</v>
      </c>
      <c r="F1632" s="3" t="s">
        <v>29</v>
      </c>
      <c r="G1632" s="3" t="str">
        <f>"2025-06-04 09:37:57.642"</f>
        <v>2025-06-04 09:37:57.642</v>
      </c>
      <c r="H1632" s="3" t="s">
        <v>21</v>
      </c>
      <c r="I1632" s="3">
        <v>12.4</v>
      </c>
      <c r="J1632" s="3" t="s">
        <v>33</v>
      </c>
    </row>
    <row r="1633" spans="1:10" x14ac:dyDescent="0.25">
      <c r="A1633" s="1">
        <v>684</v>
      </c>
      <c r="B1633" t="s">
        <v>19</v>
      </c>
      <c r="C1633">
        <v>700</v>
      </c>
      <c r="D1633">
        <v>0</v>
      </c>
      <c r="E1633" t="s">
        <v>20</v>
      </c>
      <c r="F1633" t="s">
        <v>20</v>
      </c>
      <c r="G1633" t="str">
        <f>"2025-06-03 14:13:42.530"</f>
        <v>2025-06-03 14:13:42.530</v>
      </c>
      <c r="H1633" t="s">
        <v>21</v>
      </c>
    </row>
    <row r="1634" spans="1:10" x14ac:dyDescent="0.25">
      <c r="A1634" s="1">
        <v>685</v>
      </c>
      <c r="B1634" t="s">
        <v>19</v>
      </c>
      <c r="C1634">
        <v>700</v>
      </c>
      <c r="D1634">
        <v>0</v>
      </c>
      <c r="E1634" t="s">
        <v>20</v>
      </c>
      <c r="F1634" t="s">
        <v>20</v>
      </c>
      <c r="G1634" t="str">
        <f>"2025-06-02 19:58:26.586"</f>
        <v>2025-06-02 19:58:26.586</v>
      </c>
      <c r="H1634" t="s">
        <v>21</v>
      </c>
      <c r="I1634">
        <v>0</v>
      </c>
      <c r="J1634" t="s">
        <v>22</v>
      </c>
    </row>
    <row r="1635" spans="1:10" s="3" customFormat="1" x14ac:dyDescent="0.25">
      <c r="A1635" s="2">
        <v>686</v>
      </c>
      <c r="B1635" s="3" t="s">
        <v>23</v>
      </c>
      <c r="C1635" s="3">
        <v>647</v>
      </c>
      <c r="D1635" s="3">
        <v>1</v>
      </c>
      <c r="E1635" s="3" t="s">
        <v>28</v>
      </c>
      <c r="F1635" s="3" t="s">
        <v>29</v>
      </c>
      <c r="G1635" s="3" t="str">
        <f>"2025-06-02 10:46:04.935"</f>
        <v>2025-06-02 10:46:04.935</v>
      </c>
      <c r="H1635" s="3" t="s">
        <v>21</v>
      </c>
    </row>
    <row r="1636" spans="1:10" s="3" customFormat="1" x14ac:dyDescent="0.25">
      <c r="A1636" s="2">
        <v>687</v>
      </c>
      <c r="B1636" s="3" t="s">
        <v>26</v>
      </c>
      <c r="C1636" s="3">
        <v>647</v>
      </c>
      <c r="D1636" s="3">
        <v>1</v>
      </c>
      <c r="E1636" s="3" t="s">
        <v>28</v>
      </c>
      <c r="F1636" s="3" t="s">
        <v>29</v>
      </c>
      <c r="G1636" s="3" t="str">
        <f>"2025-06-02 10:46:01.235"</f>
        <v>2025-06-02 10:46:01.235</v>
      </c>
      <c r="H1636" s="3" t="s">
        <v>21</v>
      </c>
      <c r="I1636" s="3">
        <v>9.4700000000000006</v>
      </c>
      <c r="J1636" s="3" t="s">
        <v>33</v>
      </c>
    </row>
    <row r="1637" spans="1:10" x14ac:dyDescent="0.25">
      <c r="A1637" s="1">
        <v>688</v>
      </c>
      <c r="B1637" t="s">
        <v>34</v>
      </c>
      <c r="C1637">
        <v>33</v>
      </c>
      <c r="D1637">
        <v>1</v>
      </c>
      <c r="E1637" t="s">
        <v>35</v>
      </c>
      <c r="F1637" t="s">
        <v>36</v>
      </c>
      <c r="G1637" t="str">
        <f>"2025-05-29 22:43:26.581"</f>
        <v>2025-05-29 22:43:26.581</v>
      </c>
      <c r="H1637" t="s">
        <v>37</v>
      </c>
    </row>
    <row r="1638" spans="1:10" x14ac:dyDescent="0.25">
      <c r="A1638" s="1">
        <v>689</v>
      </c>
      <c r="B1638" t="s">
        <v>38</v>
      </c>
      <c r="C1638">
        <v>33</v>
      </c>
      <c r="D1638">
        <v>1</v>
      </c>
      <c r="E1638" t="s">
        <v>35</v>
      </c>
      <c r="F1638" t="s">
        <v>36</v>
      </c>
      <c r="G1638" t="str">
        <f>"2025-05-29 22:43:07.053"</f>
        <v>2025-05-29 22:43:07.053</v>
      </c>
      <c r="H1638" t="s">
        <v>37</v>
      </c>
      <c r="I1638">
        <v>10.7</v>
      </c>
      <c r="J1638" t="s">
        <v>39</v>
      </c>
    </row>
    <row r="1639" spans="1:10" x14ac:dyDescent="0.25">
      <c r="A1639" s="1">
        <v>690</v>
      </c>
      <c r="B1639" t="s">
        <v>19</v>
      </c>
      <c r="C1639">
        <v>700</v>
      </c>
      <c r="D1639">
        <v>0</v>
      </c>
      <c r="E1639" t="s">
        <v>20</v>
      </c>
      <c r="F1639" t="s">
        <v>20</v>
      </c>
      <c r="G1639" t="str">
        <f>"2025-05-29 20:47:47.429"</f>
        <v>2025-05-29 20:47:47.429</v>
      </c>
      <c r="H1639" t="s">
        <v>21</v>
      </c>
      <c r="I1639">
        <v>0</v>
      </c>
      <c r="J1639" t="s">
        <v>22</v>
      </c>
    </row>
    <row r="1640" spans="1:10" s="3" customFormat="1" x14ac:dyDescent="0.25">
      <c r="A1640" s="2">
        <v>691</v>
      </c>
      <c r="B1640" s="3" t="s">
        <v>23</v>
      </c>
      <c r="C1640" s="3">
        <v>647</v>
      </c>
      <c r="D1640" s="3">
        <v>1</v>
      </c>
      <c r="E1640" s="3" t="s">
        <v>28</v>
      </c>
      <c r="F1640" s="3" t="s">
        <v>29</v>
      </c>
      <c r="G1640" s="3" t="str">
        <f>"2025-05-29 07:44:54.654"</f>
        <v>2025-05-29 07:44:54.654</v>
      </c>
      <c r="H1640" s="3" t="s">
        <v>21</v>
      </c>
    </row>
    <row r="1641" spans="1:10" s="3" customFormat="1" x14ac:dyDescent="0.25">
      <c r="A1641" s="2">
        <v>692</v>
      </c>
      <c r="B1641" s="3" t="s">
        <v>26</v>
      </c>
      <c r="C1641" s="3">
        <v>647</v>
      </c>
      <c r="D1641" s="3">
        <v>1</v>
      </c>
      <c r="E1641" s="3" t="s">
        <v>28</v>
      </c>
      <c r="F1641" s="3" t="s">
        <v>29</v>
      </c>
      <c r="G1641" s="3" t="str">
        <f>"2025-05-29 07:44:53.654"</f>
        <v>2025-05-29 07:44:53.654</v>
      </c>
      <c r="H1641" s="3" t="s">
        <v>21</v>
      </c>
      <c r="I1641" s="3">
        <v>9.0299999999999994</v>
      </c>
      <c r="J1641" s="3" t="s">
        <v>33</v>
      </c>
    </row>
    <row r="1642" spans="1:10" x14ac:dyDescent="0.25">
      <c r="A1642" s="1">
        <v>693</v>
      </c>
      <c r="B1642" t="s">
        <v>23</v>
      </c>
      <c r="C1642">
        <v>635</v>
      </c>
      <c r="D1642">
        <v>1</v>
      </c>
      <c r="E1642" t="s">
        <v>44</v>
      </c>
      <c r="F1642" t="s">
        <v>45</v>
      </c>
      <c r="G1642" t="str">
        <f>"2025-05-28 11:02:31.200"</f>
        <v>2025-05-28 11:02:31.200</v>
      </c>
      <c r="H1642" t="s">
        <v>21</v>
      </c>
    </row>
    <row r="1643" spans="1:10" x14ac:dyDescent="0.25">
      <c r="A1643" s="1">
        <v>694</v>
      </c>
      <c r="B1643" t="s">
        <v>26</v>
      </c>
      <c r="C1643">
        <v>635</v>
      </c>
      <c r="D1643">
        <v>1</v>
      </c>
      <c r="E1643" t="s">
        <v>44</v>
      </c>
      <c r="F1643" t="s">
        <v>45</v>
      </c>
      <c r="G1643" t="str">
        <f>"2025-05-28 10:59:41.200"</f>
        <v>2025-05-28 10:59:41.200</v>
      </c>
      <c r="H1643" t="s">
        <v>21</v>
      </c>
      <c r="I1643">
        <v>-0.38</v>
      </c>
      <c r="J1643" t="s">
        <v>30</v>
      </c>
    </row>
    <row r="1644" spans="1:10" x14ac:dyDescent="0.25">
      <c r="A1644" s="1">
        <v>695</v>
      </c>
      <c r="B1644" t="s">
        <v>23</v>
      </c>
      <c r="C1644">
        <v>61</v>
      </c>
      <c r="D1644">
        <v>2</v>
      </c>
      <c r="E1644" t="s">
        <v>51</v>
      </c>
      <c r="F1644" t="s">
        <v>52</v>
      </c>
      <c r="G1644" t="str">
        <f>"2025-05-28 06:41:48.454"</f>
        <v>2025-05-28 06:41:48.454</v>
      </c>
      <c r="H1644" t="s">
        <v>21</v>
      </c>
    </row>
    <row r="1645" spans="1:10" x14ac:dyDescent="0.25">
      <c r="A1645" s="1">
        <v>696</v>
      </c>
      <c r="B1645" t="s">
        <v>38</v>
      </c>
      <c r="C1645">
        <v>61</v>
      </c>
      <c r="D1645">
        <v>2</v>
      </c>
      <c r="E1645" t="s">
        <v>51</v>
      </c>
      <c r="F1645" t="s">
        <v>52</v>
      </c>
      <c r="G1645" t="str">
        <f>"2025-05-28 06:41:42.254"</f>
        <v>2025-05-28 06:41:42.254</v>
      </c>
      <c r="H1645" t="s">
        <v>21</v>
      </c>
      <c r="I1645">
        <v>34.96</v>
      </c>
      <c r="J1645" t="s">
        <v>33</v>
      </c>
    </row>
    <row r="1646" spans="1:10" x14ac:dyDescent="0.25">
      <c r="A1646" s="1">
        <v>697</v>
      </c>
      <c r="B1646" t="s">
        <v>23</v>
      </c>
      <c r="C1646">
        <v>635</v>
      </c>
      <c r="D1646">
        <v>1</v>
      </c>
      <c r="E1646" t="s">
        <v>44</v>
      </c>
      <c r="F1646" t="s">
        <v>45</v>
      </c>
      <c r="G1646" t="str">
        <f>"2025-05-27 14:26:04.000"</f>
        <v>2025-05-27 14:26:04.000</v>
      </c>
      <c r="H1646" t="s">
        <v>21</v>
      </c>
    </row>
    <row r="1647" spans="1:10" x14ac:dyDescent="0.25">
      <c r="A1647" s="1">
        <v>698</v>
      </c>
      <c r="B1647" t="s">
        <v>26</v>
      </c>
      <c r="C1647">
        <v>635</v>
      </c>
      <c r="D1647">
        <v>1</v>
      </c>
      <c r="E1647" t="s">
        <v>44</v>
      </c>
      <c r="F1647" t="s">
        <v>45</v>
      </c>
      <c r="G1647" t="str">
        <f>"2025-05-27 14:23:04.000"</f>
        <v>2025-05-27 14:23:04.000</v>
      </c>
      <c r="H1647" t="s">
        <v>21</v>
      </c>
      <c r="I1647">
        <v>2.73</v>
      </c>
      <c r="J1647" t="s">
        <v>39</v>
      </c>
    </row>
    <row r="1648" spans="1:10" x14ac:dyDescent="0.25">
      <c r="A1648" s="1">
        <v>699</v>
      </c>
      <c r="B1648" t="s">
        <v>23</v>
      </c>
      <c r="C1648">
        <v>635</v>
      </c>
      <c r="D1648">
        <v>1</v>
      </c>
      <c r="E1648" t="s">
        <v>44</v>
      </c>
      <c r="F1648" t="s">
        <v>45</v>
      </c>
      <c r="G1648" t="str">
        <f>"2025-05-27 12:35:21.100"</f>
        <v>2025-05-27 12:35:21.100</v>
      </c>
      <c r="H1648" t="s">
        <v>21</v>
      </c>
    </row>
    <row r="1649" spans="1:10" x14ac:dyDescent="0.25">
      <c r="A1649" s="1">
        <v>700</v>
      </c>
      <c r="B1649" t="s">
        <v>26</v>
      </c>
      <c r="C1649">
        <v>635</v>
      </c>
      <c r="D1649">
        <v>1</v>
      </c>
      <c r="E1649" t="s">
        <v>44</v>
      </c>
      <c r="F1649" t="s">
        <v>45</v>
      </c>
      <c r="G1649" t="str">
        <f>"2025-05-27 12:32:22.600"</f>
        <v>2025-05-27 12:32:22.600</v>
      </c>
      <c r="H1649" t="s">
        <v>21</v>
      </c>
      <c r="I1649">
        <v>2.88</v>
      </c>
      <c r="J1649" t="s">
        <v>39</v>
      </c>
    </row>
    <row r="1650" spans="1:10" s="3" customFormat="1" x14ac:dyDescent="0.25">
      <c r="A1650" s="2">
        <v>701</v>
      </c>
      <c r="B1650" s="3" t="s">
        <v>23</v>
      </c>
      <c r="C1650" s="3">
        <v>647</v>
      </c>
      <c r="D1650" s="3">
        <v>1</v>
      </c>
      <c r="E1650" s="3" t="s">
        <v>28</v>
      </c>
      <c r="F1650" s="3" t="s">
        <v>29</v>
      </c>
      <c r="G1650" s="3" t="str">
        <f>"2025-05-27 09:45:34.754"</f>
        <v>2025-05-27 09:45:34.754</v>
      </c>
      <c r="H1650" s="3" t="s">
        <v>21</v>
      </c>
    </row>
    <row r="1651" spans="1:10" s="3" customFormat="1" x14ac:dyDescent="0.25">
      <c r="A1651" s="2">
        <v>702</v>
      </c>
      <c r="B1651" s="3" t="s">
        <v>26</v>
      </c>
      <c r="C1651" s="3">
        <v>647</v>
      </c>
      <c r="D1651" s="3">
        <v>1</v>
      </c>
      <c r="E1651" s="3" t="s">
        <v>28</v>
      </c>
      <c r="F1651" s="3" t="s">
        <v>29</v>
      </c>
      <c r="G1651" s="3" t="str">
        <f>"2025-05-27 09:45:31.854"</f>
        <v>2025-05-27 09:45:31.854</v>
      </c>
      <c r="H1651" s="3" t="s">
        <v>21</v>
      </c>
      <c r="I1651" s="3">
        <v>17.309999999999999</v>
      </c>
      <c r="J1651" s="3" t="s">
        <v>33</v>
      </c>
    </row>
    <row r="1652" spans="1:10" x14ac:dyDescent="0.25">
      <c r="A1652" s="1">
        <v>703</v>
      </c>
      <c r="B1652" t="s">
        <v>23</v>
      </c>
      <c r="C1652">
        <v>635</v>
      </c>
      <c r="D1652">
        <v>1</v>
      </c>
      <c r="E1652" t="s">
        <v>44</v>
      </c>
      <c r="F1652" t="s">
        <v>45</v>
      </c>
      <c r="G1652" t="str">
        <f>"2025-05-26 14:52:51.500"</f>
        <v>2025-05-26 14:52:51.500</v>
      </c>
      <c r="H1652" t="s">
        <v>21</v>
      </c>
    </row>
    <row r="1653" spans="1:10" x14ac:dyDescent="0.25">
      <c r="A1653" s="1">
        <v>704</v>
      </c>
      <c r="B1653" t="s">
        <v>26</v>
      </c>
      <c r="C1653">
        <v>635</v>
      </c>
      <c r="D1653">
        <v>1</v>
      </c>
      <c r="E1653" t="s">
        <v>44</v>
      </c>
      <c r="F1653" t="s">
        <v>45</v>
      </c>
      <c r="G1653" t="str">
        <f>"2025-05-26 14:49:40.500"</f>
        <v>2025-05-26 14:49:40.500</v>
      </c>
      <c r="H1653" t="s">
        <v>21</v>
      </c>
      <c r="I1653">
        <v>9.1999999999999993</v>
      </c>
      <c r="J1653" t="s">
        <v>39</v>
      </c>
    </row>
    <row r="1654" spans="1:10" x14ac:dyDescent="0.25">
      <c r="A1654" s="1">
        <v>705</v>
      </c>
      <c r="B1654" t="s">
        <v>19</v>
      </c>
      <c r="C1654">
        <v>700</v>
      </c>
      <c r="D1654">
        <v>0</v>
      </c>
      <c r="E1654" t="s">
        <v>20</v>
      </c>
      <c r="F1654" t="s">
        <v>20</v>
      </c>
      <c r="G1654" t="str">
        <f>"2025-05-26 11:02:25.429"</f>
        <v>2025-05-26 11:02:25.429</v>
      </c>
      <c r="H1654" t="s">
        <v>21</v>
      </c>
    </row>
    <row r="1655" spans="1:10" x14ac:dyDescent="0.25">
      <c r="A1655" s="1">
        <v>706</v>
      </c>
      <c r="B1655" t="s">
        <v>19</v>
      </c>
      <c r="C1655">
        <v>706</v>
      </c>
      <c r="D1655">
        <v>2</v>
      </c>
      <c r="E1655" t="s">
        <v>31</v>
      </c>
      <c r="F1655" t="s">
        <v>43</v>
      </c>
      <c r="G1655" t="str">
        <f>"2025-05-26 10:30:30.400"</f>
        <v>2025-05-26 10:30:30.400</v>
      </c>
      <c r="H1655" t="s">
        <v>21</v>
      </c>
      <c r="I1655">
        <v>0</v>
      </c>
      <c r="J1655" t="s">
        <v>27</v>
      </c>
    </row>
    <row r="1656" spans="1:10" x14ac:dyDescent="0.25">
      <c r="A1656" s="1">
        <v>707</v>
      </c>
      <c r="B1656" t="s">
        <v>19</v>
      </c>
      <c r="C1656">
        <v>706</v>
      </c>
      <c r="D1656">
        <v>2</v>
      </c>
      <c r="E1656" t="s">
        <v>31</v>
      </c>
      <c r="F1656" t="s">
        <v>43</v>
      </c>
      <c r="G1656" t="str">
        <f>"2025-05-26 10:12:06.800"</f>
        <v>2025-05-26 10:12:06.800</v>
      </c>
      <c r="H1656" t="s">
        <v>21</v>
      </c>
      <c r="I1656">
        <v>0</v>
      </c>
      <c r="J1656" t="s">
        <v>27</v>
      </c>
    </row>
    <row r="1657" spans="1:10" x14ac:dyDescent="0.25">
      <c r="A1657" s="1">
        <v>708</v>
      </c>
      <c r="B1657" t="s">
        <v>19</v>
      </c>
      <c r="C1657">
        <v>700</v>
      </c>
      <c r="D1657">
        <v>0</v>
      </c>
      <c r="E1657" t="s">
        <v>20</v>
      </c>
      <c r="F1657" t="s">
        <v>20</v>
      </c>
      <c r="G1657" t="str">
        <f>"2025-05-26 10:06:07.410"</f>
        <v>2025-05-26 10:06:07.410</v>
      </c>
      <c r="H1657" t="s">
        <v>21</v>
      </c>
      <c r="I1657">
        <v>0</v>
      </c>
      <c r="J1657" t="s">
        <v>22</v>
      </c>
    </row>
    <row r="1658" spans="1:10" x14ac:dyDescent="0.25">
      <c r="A1658" s="1">
        <v>709</v>
      </c>
      <c r="B1658" t="s">
        <v>19</v>
      </c>
      <c r="C1658">
        <v>706</v>
      </c>
      <c r="D1658">
        <v>3</v>
      </c>
      <c r="E1658" t="s">
        <v>31</v>
      </c>
      <c r="F1658" t="s">
        <v>48</v>
      </c>
      <c r="G1658" t="str">
        <f>"2025-05-26 08:51:37.623"</f>
        <v>2025-05-26 08:51:37.623</v>
      </c>
      <c r="H1658" t="s">
        <v>21</v>
      </c>
      <c r="I1658">
        <v>0</v>
      </c>
      <c r="J1658" t="s">
        <v>27</v>
      </c>
    </row>
    <row r="1659" spans="1:10" x14ac:dyDescent="0.25">
      <c r="A1659" s="1">
        <v>710</v>
      </c>
      <c r="B1659" t="s">
        <v>19</v>
      </c>
      <c r="C1659">
        <v>700</v>
      </c>
      <c r="D1659">
        <v>0</v>
      </c>
      <c r="E1659" t="s">
        <v>20</v>
      </c>
      <c r="F1659" t="s">
        <v>20</v>
      </c>
      <c r="G1659" t="str">
        <f>"2025-05-26 08:50:32.633"</f>
        <v>2025-05-26 08:50:32.633</v>
      </c>
      <c r="H1659" t="s">
        <v>21</v>
      </c>
    </row>
    <row r="1660" spans="1:10" x14ac:dyDescent="0.25">
      <c r="A1660" s="1">
        <v>711</v>
      </c>
      <c r="B1660" t="s">
        <v>19</v>
      </c>
      <c r="C1660">
        <v>700</v>
      </c>
      <c r="D1660">
        <v>0</v>
      </c>
      <c r="E1660" t="s">
        <v>20</v>
      </c>
      <c r="F1660" t="s">
        <v>20</v>
      </c>
      <c r="G1660" t="str">
        <f>"2025-05-26 05:50:12.438"</f>
        <v>2025-05-26 05:50:12.438</v>
      </c>
      <c r="H1660" t="s">
        <v>21</v>
      </c>
    </row>
    <row r="1661" spans="1:10" s="3" customFormat="1" x14ac:dyDescent="0.25">
      <c r="A1661" s="2">
        <v>712</v>
      </c>
      <c r="B1661" s="3" t="s">
        <v>23</v>
      </c>
      <c r="C1661" s="3">
        <v>647</v>
      </c>
      <c r="D1661" s="3">
        <v>1</v>
      </c>
      <c r="E1661" s="3" t="s">
        <v>28</v>
      </c>
      <c r="F1661" s="3" t="s">
        <v>29</v>
      </c>
      <c r="G1661" s="3" t="str">
        <f>"2025-05-25 11:27:31.928"</f>
        <v>2025-05-25 11:27:31.928</v>
      </c>
      <c r="H1661" s="3" t="s">
        <v>21</v>
      </c>
    </row>
    <row r="1662" spans="1:10" s="3" customFormat="1" x14ac:dyDescent="0.25">
      <c r="A1662" s="2">
        <v>713</v>
      </c>
      <c r="B1662" s="3" t="s">
        <v>26</v>
      </c>
      <c r="C1662" s="3">
        <v>647</v>
      </c>
      <c r="D1662" s="3">
        <v>1</v>
      </c>
      <c r="E1662" s="3" t="s">
        <v>28</v>
      </c>
      <c r="F1662" s="3" t="s">
        <v>29</v>
      </c>
      <c r="G1662" s="3" t="str">
        <f>"2025-05-25 11:27:23.929"</f>
        <v>2025-05-25 11:27:23.929</v>
      </c>
      <c r="H1662" s="3" t="s">
        <v>21</v>
      </c>
      <c r="I1662" s="3">
        <v>9.1199999999999992</v>
      </c>
      <c r="J1662" s="3" t="s">
        <v>30</v>
      </c>
    </row>
    <row r="1663" spans="1:10" x14ac:dyDescent="0.25">
      <c r="A1663" s="1">
        <v>714</v>
      </c>
      <c r="B1663" t="s">
        <v>19</v>
      </c>
      <c r="C1663">
        <v>700</v>
      </c>
      <c r="D1663">
        <v>0</v>
      </c>
      <c r="E1663" t="s">
        <v>20</v>
      </c>
      <c r="F1663" t="s">
        <v>20</v>
      </c>
      <c r="G1663" t="str">
        <f>"2025-05-24 19:55:14.440"</f>
        <v>2025-05-24 19:55:14.440</v>
      </c>
      <c r="H1663" t="s">
        <v>21</v>
      </c>
    </row>
    <row r="1664" spans="1:10" x14ac:dyDescent="0.25">
      <c r="A1664" s="1">
        <v>715</v>
      </c>
      <c r="B1664" t="s">
        <v>34</v>
      </c>
      <c r="C1664">
        <v>33</v>
      </c>
      <c r="D1664">
        <v>1</v>
      </c>
      <c r="E1664" t="s">
        <v>35</v>
      </c>
      <c r="F1664" t="s">
        <v>36</v>
      </c>
      <c r="G1664" t="str">
        <f>"2025-05-24 15:55:30.455"</f>
        <v>2025-05-24 15:55:30.455</v>
      </c>
      <c r="H1664" t="s">
        <v>37</v>
      </c>
    </row>
    <row r="1665" spans="1:10" x14ac:dyDescent="0.25">
      <c r="A1665" s="1">
        <v>716</v>
      </c>
      <c r="B1665" t="s">
        <v>38</v>
      </c>
      <c r="C1665">
        <v>33</v>
      </c>
      <c r="D1665">
        <v>1</v>
      </c>
      <c r="E1665" t="s">
        <v>35</v>
      </c>
      <c r="F1665" t="s">
        <v>36</v>
      </c>
      <c r="G1665" t="str">
        <f>"2025-05-24 15:54:57.934"</f>
        <v>2025-05-24 15:54:57.934</v>
      </c>
      <c r="H1665" t="s">
        <v>37</v>
      </c>
      <c r="I1665">
        <v>10.19</v>
      </c>
      <c r="J1665" t="s">
        <v>39</v>
      </c>
    </row>
    <row r="1666" spans="1:10" x14ac:dyDescent="0.25">
      <c r="A1666" s="1">
        <v>717</v>
      </c>
      <c r="B1666" t="s">
        <v>19</v>
      </c>
      <c r="C1666">
        <v>700</v>
      </c>
      <c r="D1666">
        <v>0</v>
      </c>
      <c r="E1666" t="s">
        <v>20</v>
      </c>
      <c r="F1666" t="s">
        <v>20</v>
      </c>
      <c r="G1666" t="str">
        <f>"2025-05-24 12:56:53.593"</f>
        <v>2025-05-24 12:56:53.593</v>
      </c>
      <c r="H1666" t="s">
        <v>21</v>
      </c>
      <c r="I1666">
        <v>0</v>
      </c>
      <c r="J1666" t="s">
        <v>22</v>
      </c>
    </row>
    <row r="1667" spans="1:10" s="3" customFormat="1" x14ac:dyDescent="0.25">
      <c r="A1667" s="2">
        <v>718</v>
      </c>
      <c r="B1667" s="3" t="s">
        <v>23</v>
      </c>
      <c r="C1667" s="3">
        <v>647</v>
      </c>
      <c r="D1667" s="3">
        <v>1</v>
      </c>
      <c r="E1667" s="3" t="s">
        <v>28</v>
      </c>
      <c r="F1667" s="3" t="s">
        <v>29</v>
      </c>
      <c r="G1667" s="3" t="str">
        <f>"2025-05-23 12:54:01.110"</f>
        <v>2025-05-23 12:54:01.110</v>
      </c>
      <c r="H1667" s="3" t="s">
        <v>21</v>
      </c>
    </row>
    <row r="1668" spans="1:10" s="3" customFormat="1" x14ac:dyDescent="0.25">
      <c r="A1668" s="2">
        <v>719</v>
      </c>
      <c r="B1668" s="3" t="s">
        <v>26</v>
      </c>
      <c r="C1668" s="3">
        <v>647</v>
      </c>
      <c r="D1668" s="3">
        <v>1</v>
      </c>
      <c r="E1668" s="3" t="s">
        <v>28</v>
      </c>
      <c r="F1668" s="3" t="s">
        <v>29</v>
      </c>
      <c r="G1668" s="3" t="str">
        <f>"2025-05-23 12:53:51.409"</f>
        <v>2025-05-23 12:53:51.409</v>
      </c>
      <c r="H1668" s="3" t="s">
        <v>21</v>
      </c>
      <c r="I1668" s="3">
        <v>21.52</v>
      </c>
      <c r="J1668" s="3" t="s">
        <v>33</v>
      </c>
    </row>
    <row r="1669" spans="1:10" x14ac:dyDescent="0.25">
      <c r="A1669" s="1">
        <v>720</v>
      </c>
      <c r="B1669" t="s">
        <v>19</v>
      </c>
      <c r="C1669">
        <v>700</v>
      </c>
      <c r="D1669">
        <v>0</v>
      </c>
      <c r="E1669" t="s">
        <v>20</v>
      </c>
      <c r="F1669" t="s">
        <v>20</v>
      </c>
      <c r="G1669" t="str">
        <f>"2025-05-23 08:27:14.435"</f>
        <v>2025-05-23 08:27:14.435</v>
      </c>
      <c r="H1669" t="s">
        <v>21</v>
      </c>
    </row>
    <row r="1670" spans="1:10" x14ac:dyDescent="0.25">
      <c r="A1670" s="1">
        <v>721</v>
      </c>
      <c r="B1670" t="s">
        <v>19</v>
      </c>
      <c r="C1670">
        <v>700</v>
      </c>
      <c r="D1670">
        <v>0</v>
      </c>
      <c r="E1670" t="s">
        <v>20</v>
      </c>
      <c r="F1670" t="s">
        <v>20</v>
      </c>
      <c r="G1670" t="str">
        <f>"2025-05-21 14:41:55.411"</f>
        <v>2025-05-21 14:41:55.411</v>
      </c>
      <c r="H1670" t="s">
        <v>21</v>
      </c>
    </row>
    <row r="1671" spans="1:10" x14ac:dyDescent="0.25">
      <c r="A1671" s="1">
        <v>722</v>
      </c>
      <c r="B1671" t="s">
        <v>19</v>
      </c>
      <c r="C1671">
        <v>700</v>
      </c>
      <c r="D1671">
        <v>0</v>
      </c>
      <c r="E1671" t="s">
        <v>20</v>
      </c>
      <c r="F1671" t="s">
        <v>20</v>
      </c>
      <c r="G1671" t="str">
        <f>"2025-05-18 22:03:09.433"</f>
        <v>2025-05-18 22:03:09.433</v>
      </c>
      <c r="H1671" t="s">
        <v>21</v>
      </c>
      <c r="I1671">
        <v>0</v>
      </c>
      <c r="J1671" t="s">
        <v>22</v>
      </c>
    </row>
    <row r="1672" spans="1:10" x14ac:dyDescent="0.25">
      <c r="A1672" s="1">
        <v>723</v>
      </c>
      <c r="B1672" t="s">
        <v>19</v>
      </c>
      <c r="C1672">
        <v>700</v>
      </c>
      <c r="D1672">
        <v>0</v>
      </c>
      <c r="E1672" t="s">
        <v>20</v>
      </c>
      <c r="F1672" t="s">
        <v>20</v>
      </c>
      <c r="G1672" t="str">
        <f>"2025-05-18 15:51:57.407"</f>
        <v>2025-05-18 15:51:57.407</v>
      </c>
      <c r="H1672" t="s">
        <v>21</v>
      </c>
      <c r="I1672">
        <v>0</v>
      </c>
      <c r="J1672" t="s">
        <v>22</v>
      </c>
    </row>
    <row r="1673" spans="1:10" x14ac:dyDescent="0.25">
      <c r="A1673" s="1">
        <v>724</v>
      </c>
      <c r="B1673" t="s">
        <v>19</v>
      </c>
      <c r="C1673">
        <v>700</v>
      </c>
      <c r="D1673">
        <v>0</v>
      </c>
      <c r="E1673" t="s">
        <v>20</v>
      </c>
      <c r="F1673" t="s">
        <v>20</v>
      </c>
      <c r="G1673" t="str">
        <f>"2025-05-18 13:34:49.411"</f>
        <v>2025-05-18 13:34:49.411</v>
      </c>
      <c r="H1673" t="s">
        <v>21</v>
      </c>
      <c r="I1673">
        <v>0</v>
      </c>
      <c r="J1673" t="s">
        <v>22</v>
      </c>
    </row>
    <row r="1674" spans="1:10" s="3" customFormat="1" x14ac:dyDescent="0.25">
      <c r="A1674" s="2">
        <v>725</v>
      </c>
      <c r="B1674" s="3" t="s">
        <v>23</v>
      </c>
      <c r="C1674" s="3">
        <v>647</v>
      </c>
      <c r="D1674" s="3">
        <v>1</v>
      </c>
      <c r="E1674" s="3" t="s">
        <v>28</v>
      </c>
      <c r="F1674" s="3" t="s">
        <v>29</v>
      </c>
      <c r="G1674" s="3" t="str">
        <f>"2025-05-17 15:25:43.047"</f>
        <v>2025-05-17 15:25:43.047</v>
      </c>
      <c r="H1674" s="3" t="s">
        <v>21</v>
      </c>
    </row>
    <row r="1675" spans="1:10" s="3" customFormat="1" x14ac:dyDescent="0.25">
      <c r="A1675" s="2">
        <v>726</v>
      </c>
      <c r="B1675" s="3" t="s">
        <v>26</v>
      </c>
      <c r="C1675" s="3">
        <v>647</v>
      </c>
      <c r="D1675" s="3">
        <v>1</v>
      </c>
      <c r="E1675" s="3" t="s">
        <v>28</v>
      </c>
      <c r="F1675" s="3" t="s">
        <v>29</v>
      </c>
      <c r="G1675" s="3" t="str">
        <f>"2025-05-17 15:25:41.947"</f>
        <v>2025-05-17 15:25:41.947</v>
      </c>
      <c r="H1675" s="3" t="s">
        <v>21</v>
      </c>
      <c r="I1675" s="3">
        <v>31.42</v>
      </c>
      <c r="J1675" s="3" t="s">
        <v>33</v>
      </c>
    </row>
    <row r="1676" spans="1:10" x14ac:dyDescent="0.25">
      <c r="A1676" s="1">
        <v>727</v>
      </c>
      <c r="B1676" t="s">
        <v>23</v>
      </c>
      <c r="C1676">
        <v>635</v>
      </c>
      <c r="D1676">
        <v>1</v>
      </c>
      <c r="E1676" t="s">
        <v>44</v>
      </c>
      <c r="F1676" t="s">
        <v>45</v>
      </c>
      <c r="G1676" t="str">
        <f>"2025-05-16 15:45:33.646"</f>
        <v>2025-05-16 15:45:33.646</v>
      </c>
      <c r="H1676" t="s">
        <v>21</v>
      </c>
    </row>
    <row r="1677" spans="1:10" x14ac:dyDescent="0.25">
      <c r="A1677" s="1">
        <v>728</v>
      </c>
      <c r="B1677" t="s">
        <v>26</v>
      </c>
      <c r="C1677">
        <v>635</v>
      </c>
      <c r="D1677">
        <v>1</v>
      </c>
      <c r="E1677" t="s">
        <v>44</v>
      </c>
      <c r="F1677" t="s">
        <v>45</v>
      </c>
      <c r="G1677" t="str">
        <f>"2025-05-16 15:41:58.147"</f>
        <v>2025-05-16 15:41:58.147</v>
      </c>
      <c r="H1677" t="s">
        <v>21</v>
      </c>
      <c r="I1677">
        <v>2.27</v>
      </c>
      <c r="J1677" t="s">
        <v>39</v>
      </c>
    </row>
    <row r="1678" spans="1:10" x14ac:dyDescent="0.25">
      <c r="A1678" s="1">
        <v>729</v>
      </c>
      <c r="B1678" t="s">
        <v>19</v>
      </c>
      <c r="C1678">
        <v>700</v>
      </c>
      <c r="D1678">
        <v>0</v>
      </c>
      <c r="E1678" t="s">
        <v>20</v>
      </c>
      <c r="F1678" t="s">
        <v>20</v>
      </c>
      <c r="G1678" t="str">
        <f>"2025-05-15 12:47:07.416"</f>
        <v>2025-05-15 12:47:07.416</v>
      </c>
      <c r="H1678" t="s">
        <v>21</v>
      </c>
    </row>
    <row r="1679" spans="1:10" x14ac:dyDescent="0.25">
      <c r="A1679" s="1">
        <v>730</v>
      </c>
      <c r="B1679" t="s">
        <v>19</v>
      </c>
      <c r="C1679">
        <v>700</v>
      </c>
      <c r="D1679">
        <v>0</v>
      </c>
      <c r="E1679" t="s">
        <v>20</v>
      </c>
      <c r="F1679" t="s">
        <v>20</v>
      </c>
      <c r="G1679" t="str">
        <f>"2025-05-15 12:38:55.433"</f>
        <v>2025-05-15 12:38:55.433</v>
      </c>
      <c r="H1679" t="s">
        <v>21</v>
      </c>
    </row>
    <row r="1680" spans="1:10" x14ac:dyDescent="0.25">
      <c r="A1680" s="1">
        <v>731</v>
      </c>
      <c r="B1680" t="s">
        <v>19</v>
      </c>
      <c r="C1680">
        <v>706</v>
      </c>
      <c r="D1680">
        <v>2</v>
      </c>
      <c r="E1680" t="s">
        <v>31</v>
      </c>
      <c r="F1680" t="s">
        <v>43</v>
      </c>
      <c r="G1680" t="str">
        <f>"2025-05-15 12:27:55.739"</f>
        <v>2025-05-15 12:27:55.739</v>
      </c>
      <c r="H1680" t="s">
        <v>21</v>
      </c>
      <c r="I1680">
        <v>0</v>
      </c>
      <c r="J1680" t="s">
        <v>27</v>
      </c>
    </row>
    <row r="1681" spans="1:10" x14ac:dyDescent="0.25">
      <c r="A1681" s="1">
        <v>732</v>
      </c>
      <c r="B1681" t="s">
        <v>19</v>
      </c>
      <c r="C1681">
        <v>700</v>
      </c>
      <c r="D1681">
        <v>0</v>
      </c>
      <c r="E1681" t="s">
        <v>20</v>
      </c>
      <c r="F1681" t="s">
        <v>20</v>
      </c>
      <c r="G1681" t="str">
        <f>"2025-05-15 11:15:34.409"</f>
        <v>2025-05-15 11:15:34.409</v>
      </c>
      <c r="H1681" t="s">
        <v>21</v>
      </c>
    </row>
    <row r="1682" spans="1:10" x14ac:dyDescent="0.25">
      <c r="A1682" s="1">
        <v>733</v>
      </c>
      <c r="B1682" t="s">
        <v>19</v>
      </c>
      <c r="C1682">
        <v>700</v>
      </c>
      <c r="D1682">
        <v>0</v>
      </c>
      <c r="E1682" t="s">
        <v>20</v>
      </c>
      <c r="F1682" t="s">
        <v>20</v>
      </c>
      <c r="G1682" t="str">
        <f>"2025-05-15 10:22:29.832"</f>
        <v>2025-05-15 10:22:29.832</v>
      </c>
      <c r="H1682" t="s">
        <v>21</v>
      </c>
      <c r="I1682">
        <v>0</v>
      </c>
      <c r="J1682" t="s">
        <v>22</v>
      </c>
    </row>
    <row r="1683" spans="1:10" x14ac:dyDescent="0.25">
      <c r="A1683" s="1">
        <v>734</v>
      </c>
      <c r="B1683" t="s">
        <v>19</v>
      </c>
      <c r="C1683">
        <v>700</v>
      </c>
      <c r="D1683">
        <v>0</v>
      </c>
      <c r="E1683" t="s">
        <v>20</v>
      </c>
      <c r="F1683" t="s">
        <v>20</v>
      </c>
      <c r="G1683" t="str">
        <f>"2025-05-15 10:08:00.429"</f>
        <v>2025-05-15 10:08:00.429</v>
      </c>
      <c r="H1683" t="s">
        <v>21</v>
      </c>
      <c r="I1683">
        <v>0</v>
      </c>
      <c r="J1683" t="s">
        <v>22</v>
      </c>
    </row>
    <row r="1684" spans="1:10" x14ac:dyDescent="0.25">
      <c r="A1684" s="1">
        <v>735</v>
      </c>
      <c r="B1684" t="s">
        <v>19</v>
      </c>
      <c r="C1684">
        <v>700</v>
      </c>
      <c r="D1684">
        <v>0</v>
      </c>
      <c r="E1684" t="s">
        <v>20</v>
      </c>
      <c r="F1684" t="s">
        <v>20</v>
      </c>
      <c r="G1684" t="str">
        <f>"2025-05-15 07:24:40.442"</f>
        <v>2025-05-15 07:24:40.442</v>
      </c>
      <c r="H1684" t="s">
        <v>21</v>
      </c>
      <c r="I1684">
        <v>0</v>
      </c>
      <c r="J1684" t="s">
        <v>22</v>
      </c>
    </row>
    <row r="1685" spans="1:10" s="3" customFormat="1" x14ac:dyDescent="0.25">
      <c r="A1685" s="2">
        <v>736</v>
      </c>
      <c r="B1685" s="3" t="s">
        <v>23</v>
      </c>
      <c r="C1685" s="3">
        <v>647</v>
      </c>
      <c r="D1685" s="3">
        <v>1</v>
      </c>
      <c r="E1685" s="3" t="s">
        <v>28</v>
      </c>
      <c r="F1685" s="3" t="s">
        <v>29</v>
      </c>
      <c r="G1685" s="3" t="str">
        <f>"2025-05-15 02:22:15.053"</f>
        <v>2025-05-15 02:22:15.053</v>
      </c>
      <c r="H1685" s="3" t="s">
        <v>21</v>
      </c>
    </row>
    <row r="1686" spans="1:10" s="3" customFormat="1" x14ac:dyDescent="0.25">
      <c r="A1686" s="2">
        <v>737</v>
      </c>
      <c r="B1686" s="3" t="s">
        <v>26</v>
      </c>
      <c r="C1686" s="3">
        <v>647</v>
      </c>
      <c r="D1686" s="3">
        <v>1</v>
      </c>
      <c r="E1686" s="3" t="s">
        <v>28</v>
      </c>
      <c r="F1686" s="3" t="s">
        <v>29</v>
      </c>
      <c r="G1686" s="3" t="str">
        <f>"2025-05-15 02:22:13.754"</f>
        <v>2025-05-15 02:22:13.754</v>
      </c>
      <c r="H1686" s="3" t="s">
        <v>21</v>
      </c>
      <c r="I1686" s="3">
        <v>17.82</v>
      </c>
      <c r="J1686" s="3" t="s">
        <v>33</v>
      </c>
    </row>
    <row r="1687" spans="1:10" x14ac:dyDescent="0.25">
      <c r="A1687" s="1">
        <v>738</v>
      </c>
      <c r="B1687" t="s">
        <v>19</v>
      </c>
      <c r="C1687">
        <v>700</v>
      </c>
      <c r="D1687">
        <v>0</v>
      </c>
      <c r="E1687" t="s">
        <v>20</v>
      </c>
      <c r="F1687" t="s">
        <v>20</v>
      </c>
      <c r="G1687" t="str">
        <f>"2025-05-14 12:48:03.435"</f>
        <v>2025-05-14 12:48:03.435</v>
      </c>
      <c r="H1687" t="s">
        <v>21</v>
      </c>
      <c r="I1687">
        <v>0</v>
      </c>
      <c r="J1687" t="s">
        <v>22</v>
      </c>
    </row>
    <row r="1688" spans="1:10" x14ac:dyDescent="0.25">
      <c r="A1688" s="1">
        <v>739</v>
      </c>
      <c r="B1688" t="s">
        <v>19</v>
      </c>
      <c r="C1688">
        <v>706</v>
      </c>
      <c r="D1688">
        <v>2</v>
      </c>
      <c r="E1688" t="s">
        <v>31</v>
      </c>
      <c r="F1688" t="s">
        <v>43</v>
      </c>
      <c r="G1688" t="str">
        <f>"2025-05-14 06:46:01.585"</f>
        <v>2025-05-14 06:46:01.585</v>
      </c>
      <c r="H1688" t="s">
        <v>21</v>
      </c>
      <c r="I1688">
        <v>0</v>
      </c>
      <c r="J1688" t="s">
        <v>27</v>
      </c>
    </row>
    <row r="1689" spans="1:10" x14ac:dyDescent="0.25">
      <c r="A1689" s="1">
        <v>740</v>
      </c>
      <c r="B1689" t="s">
        <v>19</v>
      </c>
      <c r="C1689">
        <v>700</v>
      </c>
      <c r="D1689">
        <v>0</v>
      </c>
      <c r="E1689" t="s">
        <v>20</v>
      </c>
      <c r="F1689" t="s">
        <v>20</v>
      </c>
      <c r="G1689" t="str">
        <f>"2025-05-14 06:45:14.405"</f>
        <v>2025-05-14 06:45:14.405</v>
      </c>
      <c r="H1689" t="s">
        <v>21</v>
      </c>
      <c r="I1689">
        <v>0</v>
      </c>
      <c r="J1689" t="s">
        <v>22</v>
      </c>
    </row>
    <row r="1690" spans="1:10" x14ac:dyDescent="0.25">
      <c r="A1690" s="1">
        <v>741</v>
      </c>
      <c r="B1690" t="s">
        <v>23</v>
      </c>
      <c r="C1690">
        <v>635</v>
      </c>
      <c r="D1690">
        <v>1</v>
      </c>
      <c r="E1690" t="s">
        <v>44</v>
      </c>
      <c r="F1690" t="s">
        <v>45</v>
      </c>
      <c r="G1690" t="str">
        <f>"2025-05-13 00:42:57.331"</f>
        <v>2025-05-13 00:42:57.331</v>
      </c>
      <c r="H1690" t="s">
        <v>21</v>
      </c>
    </row>
    <row r="1691" spans="1:10" x14ac:dyDescent="0.25">
      <c r="A1691" s="1">
        <v>742</v>
      </c>
      <c r="B1691" t="s">
        <v>26</v>
      </c>
      <c r="C1691">
        <v>635</v>
      </c>
      <c r="D1691">
        <v>1</v>
      </c>
      <c r="E1691" t="s">
        <v>44</v>
      </c>
      <c r="F1691" t="s">
        <v>45</v>
      </c>
      <c r="G1691" t="str">
        <f>"2025-05-13 00:38:43.831"</f>
        <v>2025-05-13 00:38:43.831</v>
      </c>
      <c r="H1691" t="s">
        <v>21</v>
      </c>
      <c r="I1691">
        <v>4.07</v>
      </c>
      <c r="J1691" t="s">
        <v>33</v>
      </c>
    </row>
    <row r="1692" spans="1:10" x14ac:dyDescent="0.25">
      <c r="A1692" s="1">
        <v>743</v>
      </c>
      <c r="B1692" t="s">
        <v>19</v>
      </c>
      <c r="C1692">
        <v>700</v>
      </c>
      <c r="D1692">
        <v>0</v>
      </c>
      <c r="E1692" t="s">
        <v>20</v>
      </c>
      <c r="F1692" t="s">
        <v>20</v>
      </c>
      <c r="G1692" t="str">
        <f>"2025-05-12 12:31:32.409"</f>
        <v>2025-05-12 12:31:32.409</v>
      </c>
      <c r="H1692" t="s">
        <v>21</v>
      </c>
      <c r="I1692">
        <v>0</v>
      </c>
      <c r="J1692" t="s">
        <v>22</v>
      </c>
    </row>
    <row r="1693" spans="1:10" s="3" customFormat="1" x14ac:dyDescent="0.25">
      <c r="A1693" s="2">
        <v>744</v>
      </c>
      <c r="B1693" s="3" t="s">
        <v>23</v>
      </c>
      <c r="C1693" s="3">
        <v>647</v>
      </c>
      <c r="D1693" s="3">
        <v>1</v>
      </c>
      <c r="E1693" s="3" t="s">
        <v>28</v>
      </c>
      <c r="F1693" s="3" t="s">
        <v>29</v>
      </c>
      <c r="G1693" s="3" t="str">
        <f>"2025-05-12 03:29:42.852"</f>
        <v>2025-05-12 03:29:42.852</v>
      </c>
      <c r="H1693" s="3" t="s">
        <v>21</v>
      </c>
    </row>
    <row r="1694" spans="1:10" s="3" customFormat="1" x14ac:dyDescent="0.25">
      <c r="A1694" s="2">
        <v>745</v>
      </c>
      <c r="B1694" s="3" t="s">
        <v>26</v>
      </c>
      <c r="C1694" s="3">
        <v>647</v>
      </c>
      <c r="D1694" s="3">
        <v>1</v>
      </c>
      <c r="E1694" s="3" t="s">
        <v>28</v>
      </c>
      <c r="F1694" s="3" t="s">
        <v>29</v>
      </c>
      <c r="G1694" s="3" t="str">
        <f>"2025-05-12 03:29:40.952"</f>
        <v>2025-05-12 03:29:40.952</v>
      </c>
      <c r="H1694" s="3" t="s">
        <v>21</v>
      </c>
      <c r="I1694" s="3">
        <v>9</v>
      </c>
      <c r="J1694" s="3" t="s">
        <v>33</v>
      </c>
    </row>
    <row r="1695" spans="1:10" s="3" customFormat="1" x14ac:dyDescent="0.25">
      <c r="A1695" s="2">
        <v>747</v>
      </c>
      <c r="B1695" s="3" t="s">
        <v>23</v>
      </c>
      <c r="C1695" s="3">
        <v>647</v>
      </c>
      <c r="D1695" s="3">
        <v>1</v>
      </c>
      <c r="E1695" s="3" t="s">
        <v>28</v>
      </c>
      <c r="F1695" s="3" t="s">
        <v>29</v>
      </c>
      <c r="G1695" s="3" t="str">
        <f>"2025-05-11 07:30:53.052"</f>
        <v>2025-05-11 07:30:53.052</v>
      </c>
      <c r="H1695" s="3" t="s">
        <v>21</v>
      </c>
    </row>
    <row r="1696" spans="1:10" s="3" customFormat="1" x14ac:dyDescent="0.25">
      <c r="A1696" s="2">
        <v>748</v>
      </c>
      <c r="B1696" s="3" t="s">
        <v>26</v>
      </c>
      <c r="C1696" s="3">
        <v>647</v>
      </c>
      <c r="D1696" s="3">
        <v>1</v>
      </c>
      <c r="E1696" s="3" t="s">
        <v>28</v>
      </c>
      <c r="F1696" s="3" t="s">
        <v>29</v>
      </c>
      <c r="G1696" s="3" t="str">
        <f>"2025-05-11 07:30:46.951"</f>
        <v>2025-05-11 07:30:46.951</v>
      </c>
      <c r="H1696" s="3" t="s">
        <v>21</v>
      </c>
      <c r="I1696" s="3">
        <v>9.0299999999999994</v>
      </c>
      <c r="J1696" s="3" t="s">
        <v>33</v>
      </c>
    </row>
    <row r="1697" spans="1:10" x14ac:dyDescent="0.25">
      <c r="A1697" s="1">
        <v>750</v>
      </c>
      <c r="B1697" t="s">
        <v>19</v>
      </c>
      <c r="C1697">
        <v>706</v>
      </c>
      <c r="D1697">
        <v>2</v>
      </c>
      <c r="E1697" t="s">
        <v>31</v>
      </c>
      <c r="F1697" t="s">
        <v>43</v>
      </c>
      <c r="G1697" t="str">
        <f>"2025-05-08 17:34:47.690"</f>
        <v>2025-05-08 17:34:47.690</v>
      </c>
      <c r="H1697" t="s">
        <v>21</v>
      </c>
      <c r="I1697">
        <v>0</v>
      </c>
      <c r="J1697" t="s">
        <v>27</v>
      </c>
    </row>
    <row r="1698" spans="1:10" x14ac:dyDescent="0.25">
      <c r="A1698" s="1">
        <v>751</v>
      </c>
      <c r="B1698" t="s">
        <v>19</v>
      </c>
      <c r="C1698">
        <v>700</v>
      </c>
      <c r="D1698">
        <v>0</v>
      </c>
      <c r="E1698" t="s">
        <v>20</v>
      </c>
      <c r="F1698" t="s">
        <v>20</v>
      </c>
      <c r="G1698" t="str">
        <f>"2025-05-08 17:34:12.410"</f>
        <v>2025-05-08 17:34:12.410</v>
      </c>
      <c r="H1698" t="s">
        <v>21</v>
      </c>
    </row>
    <row r="1699" spans="1:10" x14ac:dyDescent="0.25">
      <c r="A1699" s="1">
        <v>752</v>
      </c>
      <c r="B1699" t="s">
        <v>19</v>
      </c>
      <c r="C1699">
        <v>700</v>
      </c>
      <c r="D1699">
        <v>0</v>
      </c>
      <c r="E1699" t="s">
        <v>20</v>
      </c>
      <c r="F1699" t="s">
        <v>20</v>
      </c>
      <c r="G1699" t="str">
        <f>"2025-05-08 17:23:44.410"</f>
        <v>2025-05-08 17:23:44.410</v>
      </c>
      <c r="H1699" t="s">
        <v>21</v>
      </c>
    </row>
    <row r="1700" spans="1:10" x14ac:dyDescent="0.25">
      <c r="A1700" s="1">
        <v>753</v>
      </c>
      <c r="B1700" t="s">
        <v>19</v>
      </c>
      <c r="C1700">
        <v>700</v>
      </c>
      <c r="D1700">
        <v>0</v>
      </c>
      <c r="E1700" t="s">
        <v>20</v>
      </c>
      <c r="F1700" t="s">
        <v>20</v>
      </c>
      <c r="G1700" t="str">
        <f>"2025-05-08 16:15:41.419"</f>
        <v>2025-05-08 16:15:41.419</v>
      </c>
      <c r="H1700" t="s">
        <v>21</v>
      </c>
      <c r="I1700">
        <v>0</v>
      </c>
      <c r="J1700" t="s">
        <v>22</v>
      </c>
    </row>
    <row r="1701" spans="1:10" x14ac:dyDescent="0.25">
      <c r="A1701" s="1">
        <v>754</v>
      </c>
      <c r="B1701" t="s">
        <v>23</v>
      </c>
      <c r="C1701">
        <v>635</v>
      </c>
      <c r="D1701">
        <v>1</v>
      </c>
      <c r="E1701" t="s">
        <v>44</v>
      </c>
      <c r="F1701" t="s">
        <v>45</v>
      </c>
      <c r="G1701" t="str">
        <f>"2025-05-08 05:53:36.640"</f>
        <v>2025-05-08 05:53:36.640</v>
      </c>
      <c r="H1701" t="s">
        <v>21</v>
      </c>
    </row>
    <row r="1702" spans="1:10" x14ac:dyDescent="0.25">
      <c r="A1702" s="1">
        <v>755</v>
      </c>
      <c r="B1702" t="s">
        <v>26</v>
      </c>
      <c r="C1702">
        <v>635</v>
      </c>
      <c r="D1702">
        <v>1</v>
      </c>
      <c r="E1702" t="s">
        <v>44</v>
      </c>
      <c r="F1702" t="s">
        <v>45</v>
      </c>
      <c r="G1702" t="str">
        <f>"2025-05-08 05:50:32.640"</f>
        <v>2025-05-08 05:50:32.640</v>
      </c>
      <c r="H1702" t="s">
        <v>21</v>
      </c>
      <c r="I1702">
        <v>3.93</v>
      </c>
      <c r="J1702" t="s">
        <v>39</v>
      </c>
    </row>
    <row r="1703" spans="1:10" x14ac:dyDescent="0.25">
      <c r="A1703" s="1">
        <v>756</v>
      </c>
      <c r="B1703" t="s">
        <v>23</v>
      </c>
      <c r="C1703">
        <v>635</v>
      </c>
      <c r="D1703">
        <v>1</v>
      </c>
      <c r="E1703" t="s">
        <v>44</v>
      </c>
      <c r="F1703" t="s">
        <v>45</v>
      </c>
      <c r="G1703" t="str">
        <f>"2025-05-08 03:39:09.240"</f>
        <v>2025-05-08 03:39:09.240</v>
      </c>
      <c r="H1703" t="s">
        <v>21</v>
      </c>
    </row>
    <row r="1704" spans="1:10" x14ac:dyDescent="0.25">
      <c r="A1704" s="1">
        <v>757</v>
      </c>
      <c r="B1704" t="s">
        <v>26</v>
      </c>
      <c r="C1704">
        <v>635</v>
      </c>
      <c r="D1704">
        <v>1</v>
      </c>
      <c r="E1704" t="s">
        <v>44</v>
      </c>
      <c r="F1704" t="s">
        <v>45</v>
      </c>
      <c r="G1704" t="str">
        <f>"2025-05-08 03:34:58.740"</f>
        <v>2025-05-08 03:34:58.740</v>
      </c>
      <c r="H1704" t="s">
        <v>21</v>
      </c>
      <c r="I1704">
        <v>-0.4</v>
      </c>
      <c r="J1704" t="s">
        <v>30</v>
      </c>
    </row>
    <row r="1705" spans="1:10" x14ac:dyDescent="0.25">
      <c r="A1705" s="1">
        <v>758</v>
      </c>
      <c r="B1705" t="s">
        <v>19</v>
      </c>
      <c r="C1705">
        <v>700</v>
      </c>
      <c r="D1705">
        <v>0</v>
      </c>
      <c r="E1705" t="s">
        <v>20</v>
      </c>
      <c r="F1705" t="s">
        <v>20</v>
      </c>
      <c r="G1705" t="str">
        <f>"2025-05-06 13:08:08.609"</f>
        <v>2025-05-06 13:08:08.609</v>
      </c>
      <c r="H1705" t="s">
        <v>21</v>
      </c>
      <c r="I1705">
        <v>0</v>
      </c>
      <c r="J1705" t="s">
        <v>22</v>
      </c>
    </row>
    <row r="1706" spans="1:10" x14ac:dyDescent="0.25">
      <c r="A1706" s="1">
        <v>759</v>
      </c>
      <c r="B1706" t="s">
        <v>19</v>
      </c>
      <c r="C1706">
        <v>706</v>
      </c>
      <c r="D1706">
        <v>2</v>
      </c>
      <c r="E1706" t="s">
        <v>31</v>
      </c>
      <c r="F1706" t="s">
        <v>43</v>
      </c>
      <c r="G1706" t="str">
        <f>"2025-05-05 11:28:35.334"</f>
        <v>2025-05-05 11:28:35.334</v>
      </c>
      <c r="H1706" t="s">
        <v>21</v>
      </c>
      <c r="I1706">
        <v>0</v>
      </c>
      <c r="J1706" t="s">
        <v>27</v>
      </c>
    </row>
    <row r="1707" spans="1:10" x14ac:dyDescent="0.25">
      <c r="A1707" s="1">
        <v>760</v>
      </c>
      <c r="B1707" t="s">
        <v>19</v>
      </c>
      <c r="C1707">
        <v>700</v>
      </c>
      <c r="D1707">
        <v>0</v>
      </c>
      <c r="E1707" t="s">
        <v>20</v>
      </c>
      <c r="F1707" t="s">
        <v>20</v>
      </c>
      <c r="G1707" t="str">
        <f>"2025-05-05 11:03:15.404"</f>
        <v>2025-05-05 11:03:15.404</v>
      </c>
      <c r="H1707" t="s">
        <v>21</v>
      </c>
    </row>
    <row r="1708" spans="1:10" x14ac:dyDescent="0.25">
      <c r="A1708" s="1">
        <v>761</v>
      </c>
      <c r="B1708" t="s">
        <v>19</v>
      </c>
      <c r="C1708">
        <v>700</v>
      </c>
      <c r="D1708">
        <v>0</v>
      </c>
      <c r="E1708" t="s">
        <v>20</v>
      </c>
      <c r="F1708" t="s">
        <v>20</v>
      </c>
      <c r="G1708" t="str">
        <f>"2025-05-05 10:17:35.457"</f>
        <v>2025-05-05 10:17:35.457</v>
      </c>
      <c r="H1708" t="s">
        <v>21</v>
      </c>
      <c r="I1708">
        <v>0</v>
      </c>
      <c r="J1708" t="s">
        <v>22</v>
      </c>
    </row>
    <row r="1709" spans="1:10" s="3" customFormat="1" x14ac:dyDescent="0.25">
      <c r="A1709" s="2">
        <v>762</v>
      </c>
      <c r="B1709" s="3" t="s">
        <v>23</v>
      </c>
      <c r="C1709" s="3">
        <v>647</v>
      </c>
      <c r="D1709" s="3">
        <v>1</v>
      </c>
      <c r="E1709" s="3" t="s">
        <v>28</v>
      </c>
      <c r="F1709" s="3" t="s">
        <v>29</v>
      </c>
      <c r="G1709" s="3" t="str">
        <f>"2025-05-04 03:52:44.465"</f>
        <v>2025-05-04 03:52:44.465</v>
      </c>
      <c r="H1709" s="3" t="s">
        <v>21</v>
      </c>
    </row>
    <row r="1710" spans="1:10" s="3" customFormat="1" x14ac:dyDescent="0.25">
      <c r="A1710" s="2">
        <v>763</v>
      </c>
      <c r="B1710" s="3" t="s">
        <v>26</v>
      </c>
      <c r="C1710" s="3">
        <v>647</v>
      </c>
      <c r="D1710" s="3">
        <v>1</v>
      </c>
      <c r="E1710" s="3" t="s">
        <v>28</v>
      </c>
      <c r="F1710" s="3" t="s">
        <v>29</v>
      </c>
      <c r="G1710" s="3" t="str">
        <f>"2025-05-04 03:52:42.866"</f>
        <v>2025-05-04 03:52:42.866</v>
      </c>
      <c r="H1710" s="3" t="s">
        <v>21</v>
      </c>
      <c r="I1710" s="3">
        <v>9.64</v>
      </c>
      <c r="J1710" s="3" t="s">
        <v>33</v>
      </c>
    </row>
    <row r="1711" spans="1:10" x14ac:dyDescent="0.25">
      <c r="A1711" s="1">
        <v>764</v>
      </c>
      <c r="B1711" t="s">
        <v>19</v>
      </c>
      <c r="C1711">
        <v>700</v>
      </c>
      <c r="D1711">
        <v>0</v>
      </c>
      <c r="E1711" t="s">
        <v>20</v>
      </c>
      <c r="F1711" t="s">
        <v>20</v>
      </c>
      <c r="G1711" t="str">
        <f>"2025-05-03 13:38:37.428"</f>
        <v>2025-05-03 13:38:37.428</v>
      </c>
      <c r="H1711" t="s">
        <v>21</v>
      </c>
      <c r="I1711">
        <v>0</v>
      </c>
      <c r="J1711" t="s">
        <v>22</v>
      </c>
    </row>
    <row r="1712" spans="1:10" s="3" customFormat="1" x14ac:dyDescent="0.25">
      <c r="A1712" s="2">
        <v>765</v>
      </c>
      <c r="B1712" s="3" t="s">
        <v>23</v>
      </c>
      <c r="C1712" s="3">
        <v>647</v>
      </c>
      <c r="D1712" s="3">
        <v>1</v>
      </c>
      <c r="E1712" s="3" t="s">
        <v>28</v>
      </c>
      <c r="F1712" s="3" t="s">
        <v>29</v>
      </c>
      <c r="G1712" s="3" t="str">
        <f>"2025-05-03 04:40:42.153"</f>
        <v>2025-05-03 04:40:42.153</v>
      </c>
      <c r="H1712" s="3" t="s">
        <v>21</v>
      </c>
    </row>
    <row r="1713" spans="1:10" s="3" customFormat="1" x14ac:dyDescent="0.25">
      <c r="A1713" s="2">
        <v>766</v>
      </c>
      <c r="B1713" s="3" t="s">
        <v>26</v>
      </c>
      <c r="C1713" s="3">
        <v>647</v>
      </c>
      <c r="D1713" s="3">
        <v>1</v>
      </c>
      <c r="E1713" s="3" t="s">
        <v>28</v>
      </c>
      <c r="F1713" s="3" t="s">
        <v>29</v>
      </c>
      <c r="G1713" s="3" t="str">
        <f>"2025-05-03 04:40:37.153"</f>
        <v>2025-05-03 04:40:37.153</v>
      </c>
      <c r="H1713" s="3" t="s">
        <v>21</v>
      </c>
      <c r="I1713" s="3">
        <v>10.85</v>
      </c>
      <c r="J1713" s="3" t="s">
        <v>33</v>
      </c>
    </row>
    <row r="1714" spans="1:10" x14ac:dyDescent="0.25">
      <c r="A1714" s="1">
        <v>767</v>
      </c>
      <c r="B1714" t="s">
        <v>19</v>
      </c>
      <c r="C1714">
        <v>700</v>
      </c>
      <c r="D1714">
        <v>0</v>
      </c>
      <c r="E1714" t="s">
        <v>20</v>
      </c>
      <c r="F1714" t="s">
        <v>20</v>
      </c>
      <c r="G1714" t="str">
        <f>"2025-05-01 04:32:05.401"</f>
        <v>2025-05-01 04:32:05.401</v>
      </c>
      <c r="H1714" t="s">
        <v>21</v>
      </c>
    </row>
    <row r="1715" spans="1:10" x14ac:dyDescent="0.25">
      <c r="A1715" s="1">
        <v>768</v>
      </c>
      <c r="B1715" t="s">
        <v>23</v>
      </c>
      <c r="C1715">
        <v>98</v>
      </c>
      <c r="D1715">
        <v>1</v>
      </c>
      <c r="E1715" t="s">
        <v>49</v>
      </c>
      <c r="F1715" t="s">
        <v>50</v>
      </c>
      <c r="G1715" t="str">
        <f>"2025-05-01 00:01:43.454"</f>
        <v>2025-05-01 00:01:43.454</v>
      </c>
      <c r="H1715" t="s">
        <v>21</v>
      </c>
    </row>
    <row r="1716" spans="1:10" x14ac:dyDescent="0.25">
      <c r="A1716" s="1">
        <v>769</v>
      </c>
      <c r="B1716" t="s">
        <v>26</v>
      </c>
      <c r="C1716">
        <v>98</v>
      </c>
      <c r="D1716">
        <v>1</v>
      </c>
      <c r="E1716" t="s">
        <v>49</v>
      </c>
      <c r="F1716" t="s">
        <v>50</v>
      </c>
      <c r="G1716" t="str">
        <f>"2025-05-01 00:01:42.355"</f>
        <v>2025-05-01 00:01:42.355</v>
      </c>
      <c r="H1716" t="s">
        <v>21</v>
      </c>
      <c r="I1716">
        <v>0</v>
      </c>
      <c r="J1716" t="s">
        <v>30</v>
      </c>
    </row>
    <row r="1717" spans="1:10" x14ac:dyDescent="0.25">
      <c r="A1717" s="1">
        <v>770</v>
      </c>
      <c r="B1717" t="s">
        <v>19</v>
      </c>
      <c r="C1717">
        <v>700</v>
      </c>
      <c r="D1717">
        <v>0</v>
      </c>
      <c r="E1717" t="s">
        <v>20</v>
      </c>
      <c r="F1717" t="s">
        <v>20</v>
      </c>
      <c r="G1717" t="str">
        <f>"2025-04-30 13:58:52.405"</f>
        <v>2025-04-30 13:58:52.405</v>
      </c>
      <c r="H1717" t="s">
        <v>21</v>
      </c>
      <c r="I1717">
        <v>0</v>
      </c>
      <c r="J1717" t="s">
        <v>22</v>
      </c>
    </row>
    <row r="1718" spans="1:10" x14ac:dyDescent="0.25">
      <c r="A1718" s="1">
        <v>772</v>
      </c>
      <c r="B1718" t="s">
        <v>19</v>
      </c>
      <c r="C1718">
        <v>700</v>
      </c>
      <c r="D1718">
        <v>0</v>
      </c>
      <c r="E1718" t="s">
        <v>20</v>
      </c>
      <c r="F1718" t="s">
        <v>20</v>
      </c>
      <c r="G1718" t="str">
        <f>"2025-04-29 17:42:35.439"</f>
        <v>2025-04-29 17:42:35.439</v>
      </c>
      <c r="H1718" t="s">
        <v>21</v>
      </c>
      <c r="I1718">
        <v>0</v>
      </c>
      <c r="J1718" t="s">
        <v>22</v>
      </c>
    </row>
    <row r="1719" spans="1:10" x14ac:dyDescent="0.25">
      <c r="A1719" s="1">
        <v>773</v>
      </c>
      <c r="B1719" t="s">
        <v>19</v>
      </c>
      <c r="C1719">
        <v>700</v>
      </c>
      <c r="D1719">
        <v>0</v>
      </c>
      <c r="E1719" t="s">
        <v>20</v>
      </c>
      <c r="F1719" t="s">
        <v>20</v>
      </c>
      <c r="G1719" t="str">
        <f>"2025-04-29 13:46:53.510"</f>
        <v>2025-04-29 13:46:53.510</v>
      </c>
      <c r="H1719" t="s">
        <v>21</v>
      </c>
    </row>
    <row r="1720" spans="1:10" x14ac:dyDescent="0.25">
      <c r="A1720" s="1">
        <v>774</v>
      </c>
      <c r="B1720" t="s">
        <v>23</v>
      </c>
      <c r="C1720">
        <v>635</v>
      </c>
      <c r="D1720">
        <v>1</v>
      </c>
      <c r="E1720" t="s">
        <v>44</v>
      </c>
      <c r="F1720" t="s">
        <v>45</v>
      </c>
      <c r="G1720" t="str">
        <f>"2025-04-29 05:45:53.672"</f>
        <v>2025-04-29 05:45:53.672</v>
      </c>
      <c r="H1720" t="s">
        <v>21</v>
      </c>
    </row>
    <row r="1721" spans="1:10" x14ac:dyDescent="0.25">
      <c r="A1721" s="1">
        <v>775</v>
      </c>
      <c r="B1721" t="s">
        <v>26</v>
      </c>
      <c r="C1721">
        <v>635</v>
      </c>
      <c r="D1721">
        <v>1</v>
      </c>
      <c r="E1721" t="s">
        <v>44</v>
      </c>
      <c r="F1721" t="s">
        <v>45</v>
      </c>
      <c r="G1721" t="str">
        <f>"2025-04-29 05:39:28.672"</f>
        <v>2025-04-29 05:39:28.672</v>
      </c>
      <c r="H1721" t="s">
        <v>21</v>
      </c>
      <c r="I1721">
        <v>-0.01</v>
      </c>
      <c r="J1721" t="s">
        <v>30</v>
      </c>
    </row>
    <row r="1722" spans="1:10" x14ac:dyDescent="0.25">
      <c r="A1722" s="1">
        <v>776</v>
      </c>
      <c r="B1722" t="s">
        <v>19</v>
      </c>
      <c r="C1722">
        <v>700</v>
      </c>
      <c r="D1722">
        <v>0</v>
      </c>
      <c r="E1722" t="s">
        <v>20</v>
      </c>
      <c r="F1722" t="s">
        <v>20</v>
      </c>
      <c r="G1722" t="str">
        <f>"2025-04-28 14:59:50.432"</f>
        <v>2025-04-28 14:59:50.432</v>
      </c>
      <c r="H1722" t="s">
        <v>21</v>
      </c>
      <c r="I1722">
        <v>0</v>
      </c>
      <c r="J1722" t="s">
        <v>22</v>
      </c>
    </row>
    <row r="1723" spans="1:10" x14ac:dyDescent="0.25">
      <c r="A1723" s="1">
        <v>777</v>
      </c>
      <c r="B1723" t="s">
        <v>19</v>
      </c>
      <c r="C1723">
        <v>700</v>
      </c>
      <c r="D1723">
        <v>0</v>
      </c>
      <c r="E1723" t="s">
        <v>20</v>
      </c>
      <c r="F1723" t="s">
        <v>20</v>
      </c>
      <c r="G1723" t="str">
        <f>"2025-04-28 06:29:39.409"</f>
        <v>2025-04-28 06:29:39.409</v>
      </c>
      <c r="H1723" t="s">
        <v>21</v>
      </c>
      <c r="I1723">
        <v>0</v>
      </c>
      <c r="J1723" t="s">
        <v>22</v>
      </c>
    </row>
    <row r="1724" spans="1:10" s="3" customFormat="1" x14ac:dyDescent="0.25">
      <c r="A1724" s="2">
        <v>778</v>
      </c>
      <c r="B1724" s="3" t="s">
        <v>23</v>
      </c>
      <c r="C1724" s="3">
        <v>647</v>
      </c>
      <c r="D1724" s="3">
        <v>1</v>
      </c>
      <c r="E1724" s="3" t="s">
        <v>28</v>
      </c>
      <c r="F1724" s="3" t="s">
        <v>29</v>
      </c>
      <c r="G1724" s="3" t="str">
        <f>"2025-04-27 20:17:26.358"</f>
        <v>2025-04-27 20:17:26.358</v>
      </c>
      <c r="H1724" s="3" t="s">
        <v>21</v>
      </c>
    </row>
    <row r="1725" spans="1:10" s="3" customFormat="1" x14ac:dyDescent="0.25">
      <c r="A1725" s="2">
        <v>779</v>
      </c>
      <c r="B1725" s="3" t="s">
        <v>26</v>
      </c>
      <c r="C1725" s="3">
        <v>647</v>
      </c>
      <c r="D1725" s="3">
        <v>1</v>
      </c>
      <c r="E1725" s="3" t="s">
        <v>28</v>
      </c>
      <c r="F1725" s="3" t="s">
        <v>29</v>
      </c>
      <c r="G1725" s="3" t="str">
        <f>"2025-04-27 20:17:24.658"</f>
        <v>2025-04-27 20:17:24.658</v>
      </c>
      <c r="H1725" s="3" t="s">
        <v>21</v>
      </c>
      <c r="I1725" s="3">
        <v>8.7200000000000006</v>
      </c>
      <c r="J1725" s="3" t="s">
        <v>33</v>
      </c>
    </row>
    <row r="1726" spans="1:10" x14ac:dyDescent="0.25">
      <c r="A1726" s="1">
        <v>780</v>
      </c>
      <c r="B1726" t="s">
        <v>23</v>
      </c>
      <c r="C1726">
        <v>635</v>
      </c>
      <c r="D1726">
        <v>1</v>
      </c>
      <c r="E1726" t="s">
        <v>44</v>
      </c>
      <c r="F1726" t="s">
        <v>45</v>
      </c>
      <c r="G1726" t="str">
        <f>"2025-04-27 16:06:04.310"</f>
        <v>2025-04-27 16:06:04.310</v>
      </c>
      <c r="H1726" t="s">
        <v>21</v>
      </c>
    </row>
    <row r="1727" spans="1:10" x14ac:dyDescent="0.25">
      <c r="A1727" s="1">
        <v>781</v>
      </c>
      <c r="B1727" t="s">
        <v>26</v>
      </c>
      <c r="C1727">
        <v>635</v>
      </c>
      <c r="D1727">
        <v>1</v>
      </c>
      <c r="E1727" t="s">
        <v>44</v>
      </c>
      <c r="F1727" t="s">
        <v>45</v>
      </c>
      <c r="G1727" t="str">
        <f>"2025-04-27 16:01:36.310"</f>
        <v>2025-04-27 16:01:36.310</v>
      </c>
      <c r="H1727" t="s">
        <v>21</v>
      </c>
      <c r="I1727">
        <v>0.31</v>
      </c>
      <c r="J1727" t="s">
        <v>39</v>
      </c>
    </row>
    <row r="1728" spans="1:10" s="3" customFormat="1" x14ac:dyDescent="0.25">
      <c r="A1728" s="2">
        <v>782</v>
      </c>
      <c r="B1728" s="3" t="s">
        <v>23</v>
      </c>
      <c r="C1728" s="3">
        <v>647</v>
      </c>
      <c r="D1728" s="3">
        <v>1</v>
      </c>
      <c r="E1728" s="3" t="s">
        <v>28</v>
      </c>
      <c r="F1728" s="3" t="s">
        <v>29</v>
      </c>
      <c r="G1728" s="3" t="str">
        <f>"2025-04-25 23:08:26.458"</f>
        <v>2025-04-25 23:08:26.458</v>
      </c>
      <c r="H1728" s="3" t="s">
        <v>21</v>
      </c>
    </row>
    <row r="1729" spans="1:10" s="3" customFormat="1" x14ac:dyDescent="0.25">
      <c r="A1729" s="2">
        <v>783</v>
      </c>
      <c r="B1729" s="3" t="s">
        <v>26</v>
      </c>
      <c r="C1729" s="3">
        <v>647</v>
      </c>
      <c r="D1729" s="3">
        <v>1</v>
      </c>
      <c r="E1729" s="3" t="s">
        <v>28</v>
      </c>
      <c r="F1729" s="3" t="s">
        <v>29</v>
      </c>
      <c r="G1729" s="3" t="str">
        <f>"2025-04-25 23:08:12.258"</f>
        <v>2025-04-25 23:08:12.258</v>
      </c>
      <c r="H1729" s="3" t="s">
        <v>21</v>
      </c>
      <c r="I1729" s="3">
        <v>14.09</v>
      </c>
      <c r="J1729" s="3" t="s">
        <v>33</v>
      </c>
    </row>
    <row r="1730" spans="1:10" s="3" customFormat="1" x14ac:dyDescent="0.25">
      <c r="A1730" s="2">
        <v>784</v>
      </c>
      <c r="B1730" s="3" t="s">
        <v>23</v>
      </c>
      <c r="C1730" s="3">
        <v>647</v>
      </c>
      <c r="D1730" s="3">
        <v>1</v>
      </c>
      <c r="E1730" s="3" t="s">
        <v>28</v>
      </c>
      <c r="F1730" s="3" t="s">
        <v>29</v>
      </c>
      <c r="G1730" s="3" t="str">
        <f>"2025-04-25 03:56:55.858"</f>
        <v>2025-04-25 03:56:55.858</v>
      </c>
      <c r="H1730" s="3" t="s">
        <v>21</v>
      </c>
    </row>
    <row r="1731" spans="1:10" s="3" customFormat="1" x14ac:dyDescent="0.25">
      <c r="A1731" s="2">
        <v>785</v>
      </c>
      <c r="B1731" s="3" t="s">
        <v>26</v>
      </c>
      <c r="C1731" s="3">
        <v>647</v>
      </c>
      <c r="D1731" s="3">
        <v>1</v>
      </c>
      <c r="E1731" s="3" t="s">
        <v>28</v>
      </c>
      <c r="F1731" s="3" t="s">
        <v>29</v>
      </c>
      <c r="G1731" s="3" t="str">
        <f>"2025-04-25 03:56:50.458"</f>
        <v>2025-04-25 03:56:50.458</v>
      </c>
      <c r="H1731" s="3" t="s">
        <v>21</v>
      </c>
      <c r="I1731" s="3">
        <v>13.85</v>
      </c>
      <c r="J1731" s="3" t="s">
        <v>33</v>
      </c>
    </row>
    <row r="1732" spans="1:10" s="3" customFormat="1" x14ac:dyDescent="0.25">
      <c r="A1732" s="2">
        <v>786</v>
      </c>
      <c r="B1732" s="3" t="s">
        <v>23</v>
      </c>
      <c r="C1732" s="3">
        <v>647</v>
      </c>
      <c r="D1732" s="3">
        <v>1</v>
      </c>
      <c r="E1732" s="3" t="s">
        <v>28</v>
      </c>
      <c r="F1732" s="3" t="s">
        <v>29</v>
      </c>
      <c r="G1732" s="3" t="str">
        <f>"2025-04-24 21:09:57.659"</f>
        <v>2025-04-24 21:09:57.659</v>
      </c>
      <c r="H1732" s="3" t="s">
        <v>21</v>
      </c>
    </row>
    <row r="1733" spans="1:10" s="3" customFormat="1" x14ac:dyDescent="0.25">
      <c r="A1733" s="2">
        <v>787</v>
      </c>
      <c r="B1733" s="3" t="s">
        <v>26</v>
      </c>
      <c r="C1733" s="3">
        <v>647</v>
      </c>
      <c r="D1733" s="3">
        <v>1</v>
      </c>
      <c r="E1733" s="3" t="s">
        <v>28</v>
      </c>
      <c r="F1733" s="3" t="s">
        <v>29</v>
      </c>
      <c r="G1733" s="3" t="str">
        <f>"2025-04-24 21:09:50.759"</f>
        <v>2025-04-24 21:09:50.759</v>
      </c>
      <c r="H1733" s="3" t="s">
        <v>21</v>
      </c>
      <c r="I1733" s="3">
        <v>15.7</v>
      </c>
      <c r="J1733" s="3" t="s">
        <v>33</v>
      </c>
    </row>
    <row r="1734" spans="1:10" x14ac:dyDescent="0.25">
      <c r="A1734" s="1">
        <v>788</v>
      </c>
      <c r="B1734" t="s">
        <v>19</v>
      </c>
      <c r="C1734">
        <v>706</v>
      </c>
      <c r="D1734">
        <v>4</v>
      </c>
      <c r="E1734" t="s">
        <v>31</v>
      </c>
      <c r="F1734" t="s">
        <v>32</v>
      </c>
      <c r="G1734" t="str">
        <f>"2025-04-24 15:46:03.080"</f>
        <v>2025-04-24 15:46:03.080</v>
      </c>
      <c r="H1734" t="s">
        <v>21</v>
      </c>
      <c r="I1734">
        <v>0</v>
      </c>
      <c r="J1734" t="s">
        <v>27</v>
      </c>
    </row>
    <row r="1735" spans="1:10" x14ac:dyDescent="0.25">
      <c r="A1735" s="1">
        <v>789</v>
      </c>
      <c r="B1735" t="s">
        <v>19</v>
      </c>
      <c r="C1735">
        <v>706</v>
      </c>
      <c r="D1735">
        <v>4</v>
      </c>
      <c r="E1735" t="s">
        <v>31</v>
      </c>
      <c r="F1735" t="s">
        <v>32</v>
      </c>
      <c r="G1735" t="str">
        <f>"2025-04-24 15:45:41.260"</f>
        <v>2025-04-24 15:45:41.260</v>
      </c>
      <c r="H1735" t="s">
        <v>21</v>
      </c>
      <c r="I1735">
        <v>0</v>
      </c>
      <c r="J1735" t="s">
        <v>27</v>
      </c>
    </row>
    <row r="1736" spans="1:10" x14ac:dyDescent="0.25">
      <c r="A1736" s="1">
        <v>790</v>
      </c>
      <c r="B1736" t="s">
        <v>19</v>
      </c>
      <c r="C1736">
        <v>700</v>
      </c>
      <c r="D1736">
        <v>0</v>
      </c>
      <c r="E1736" t="s">
        <v>20</v>
      </c>
      <c r="F1736" t="s">
        <v>20</v>
      </c>
      <c r="G1736" t="str">
        <f>"2025-04-24 14:01:27.390"</f>
        <v>2025-04-24 14:01:27.390</v>
      </c>
      <c r="H1736" t="s">
        <v>21</v>
      </c>
      <c r="I1736">
        <v>0</v>
      </c>
      <c r="J1736" t="s">
        <v>22</v>
      </c>
    </row>
    <row r="1737" spans="1:10" x14ac:dyDescent="0.25">
      <c r="A1737" s="1">
        <v>791</v>
      </c>
      <c r="B1737" t="s">
        <v>19</v>
      </c>
      <c r="C1737">
        <v>700</v>
      </c>
      <c r="D1737">
        <v>0</v>
      </c>
      <c r="E1737" t="s">
        <v>20</v>
      </c>
      <c r="F1737" t="s">
        <v>20</v>
      </c>
      <c r="G1737" t="str">
        <f>"2025-04-24 12:16:13.676"</f>
        <v>2025-04-24 12:16:13.676</v>
      </c>
      <c r="H1737" t="s">
        <v>21</v>
      </c>
    </row>
    <row r="1738" spans="1:10" x14ac:dyDescent="0.25">
      <c r="A1738" s="1">
        <v>792</v>
      </c>
      <c r="B1738" t="s">
        <v>19</v>
      </c>
      <c r="C1738">
        <v>700</v>
      </c>
      <c r="D1738">
        <v>0</v>
      </c>
      <c r="E1738" t="s">
        <v>20</v>
      </c>
      <c r="F1738" t="s">
        <v>20</v>
      </c>
      <c r="G1738" t="str">
        <f>"2025-04-24 05:37:08.429"</f>
        <v>2025-04-24 05:37:08.429</v>
      </c>
      <c r="H1738" t="s">
        <v>21</v>
      </c>
      <c r="I1738">
        <v>0</v>
      </c>
      <c r="J1738" t="s">
        <v>22</v>
      </c>
    </row>
    <row r="1739" spans="1:10" x14ac:dyDescent="0.25">
      <c r="A1739" s="1">
        <v>793</v>
      </c>
      <c r="B1739" t="s">
        <v>19</v>
      </c>
      <c r="C1739">
        <v>700</v>
      </c>
      <c r="D1739">
        <v>0</v>
      </c>
      <c r="E1739" t="s">
        <v>20</v>
      </c>
      <c r="F1739" t="s">
        <v>20</v>
      </c>
      <c r="G1739" t="str">
        <f>"2025-04-22 13:45:32.650"</f>
        <v>2025-04-22 13:45:32.650</v>
      </c>
      <c r="H1739" t="s">
        <v>21</v>
      </c>
      <c r="I1739">
        <v>0</v>
      </c>
      <c r="J1739" t="s">
        <v>22</v>
      </c>
    </row>
    <row r="1740" spans="1:10" x14ac:dyDescent="0.25">
      <c r="A1740" s="1">
        <v>794</v>
      </c>
      <c r="B1740" t="s">
        <v>23</v>
      </c>
      <c r="C1740">
        <v>619</v>
      </c>
      <c r="D1740">
        <v>1</v>
      </c>
      <c r="E1740" t="s">
        <v>46</v>
      </c>
      <c r="F1740" t="s">
        <v>45</v>
      </c>
      <c r="G1740" t="str">
        <f>"2025-04-20 20:29:51.698"</f>
        <v>2025-04-20 20:29:51.698</v>
      </c>
      <c r="H1740" t="s">
        <v>47</v>
      </c>
    </row>
    <row r="1741" spans="1:10" x14ac:dyDescent="0.25">
      <c r="A1741" s="1">
        <v>795</v>
      </c>
      <c r="B1741" t="s">
        <v>26</v>
      </c>
      <c r="C1741">
        <v>619</v>
      </c>
      <c r="D1741">
        <v>1</v>
      </c>
      <c r="E1741" t="s">
        <v>46</v>
      </c>
      <c r="F1741" t="s">
        <v>45</v>
      </c>
      <c r="G1741" t="str">
        <f>"2025-04-20 20:28:47.847"</f>
        <v>2025-04-20 20:28:47.847</v>
      </c>
      <c r="H1741" t="s">
        <v>47</v>
      </c>
      <c r="I1741">
        <v>0</v>
      </c>
      <c r="J1741" t="s">
        <v>27</v>
      </c>
    </row>
    <row r="1742" spans="1:10" x14ac:dyDescent="0.25">
      <c r="A1742" s="1">
        <v>796</v>
      </c>
      <c r="B1742" t="s">
        <v>19</v>
      </c>
      <c r="C1742">
        <v>700</v>
      </c>
      <c r="D1742">
        <v>0</v>
      </c>
      <c r="E1742" t="s">
        <v>20</v>
      </c>
      <c r="F1742" t="s">
        <v>20</v>
      </c>
      <c r="G1742" t="str">
        <f>"2025-04-20 20:28:41.398"</f>
        <v>2025-04-20 20:28:41.398</v>
      </c>
      <c r="H1742" t="s">
        <v>21</v>
      </c>
    </row>
    <row r="1743" spans="1:10" x14ac:dyDescent="0.25">
      <c r="A1743" s="1">
        <v>797</v>
      </c>
      <c r="B1743" t="s">
        <v>19</v>
      </c>
      <c r="C1743">
        <v>700</v>
      </c>
      <c r="D1743">
        <v>0</v>
      </c>
      <c r="E1743" t="s">
        <v>20</v>
      </c>
      <c r="F1743" t="s">
        <v>20</v>
      </c>
      <c r="G1743" t="str">
        <f>"2025-04-20 19:17:34.394"</f>
        <v>2025-04-20 19:17:34.394</v>
      </c>
      <c r="H1743" t="s">
        <v>21</v>
      </c>
    </row>
    <row r="1744" spans="1:10" x14ac:dyDescent="0.25">
      <c r="A1744" s="1">
        <v>798</v>
      </c>
      <c r="B1744" t="s">
        <v>19</v>
      </c>
      <c r="C1744">
        <v>700</v>
      </c>
      <c r="D1744">
        <v>0</v>
      </c>
      <c r="E1744" t="s">
        <v>20</v>
      </c>
      <c r="F1744" t="s">
        <v>20</v>
      </c>
      <c r="G1744" t="str">
        <f>"2025-04-20 19:00:10.582"</f>
        <v>2025-04-20 19:00:10.582</v>
      </c>
      <c r="H1744" t="s">
        <v>21</v>
      </c>
      <c r="I1744">
        <v>0</v>
      </c>
      <c r="J1744" t="s">
        <v>22</v>
      </c>
    </row>
    <row r="1745" spans="1:10" x14ac:dyDescent="0.25">
      <c r="A1745" s="1">
        <v>799</v>
      </c>
      <c r="B1745" t="s">
        <v>23</v>
      </c>
      <c r="C1745">
        <v>635</v>
      </c>
      <c r="D1745">
        <v>1</v>
      </c>
      <c r="E1745" t="s">
        <v>44</v>
      </c>
      <c r="F1745" t="s">
        <v>45</v>
      </c>
      <c r="G1745" t="str">
        <f>"2025-04-20 09:29:29.304"</f>
        <v>2025-04-20 09:29:29.304</v>
      </c>
      <c r="H1745" t="s">
        <v>21</v>
      </c>
    </row>
    <row r="1746" spans="1:10" x14ac:dyDescent="0.25">
      <c r="A1746" s="1">
        <v>800</v>
      </c>
      <c r="B1746" t="s">
        <v>26</v>
      </c>
      <c r="C1746">
        <v>635</v>
      </c>
      <c r="D1746">
        <v>1</v>
      </c>
      <c r="E1746" t="s">
        <v>44</v>
      </c>
      <c r="F1746" t="s">
        <v>45</v>
      </c>
      <c r="G1746" t="str">
        <f>"2025-04-20 09:20:32.804"</f>
        <v>2025-04-20 09:20:32.804</v>
      </c>
      <c r="H1746" t="s">
        <v>21</v>
      </c>
      <c r="I1746">
        <v>5.45</v>
      </c>
      <c r="J1746" t="s">
        <v>39</v>
      </c>
    </row>
    <row r="1747" spans="1:10" x14ac:dyDescent="0.25">
      <c r="A1747" s="1">
        <v>801</v>
      </c>
      <c r="B1747" t="s">
        <v>19</v>
      </c>
      <c r="C1747">
        <v>700</v>
      </c>
      <c r="D1747">
        <v>0</v>
      </c>
      <c r="E1747" t="s">
        <v>20</v>
      </c>
      <c r="F1747" t="s">
        <v>20</v>
      </c>
      <c r="G1747" t="str">
        <f>"2025-04-19 14:09:53.394"</f>
        <v>2025-04-19 14:09:53.394</v>
      </c>
      <c r="H1747" t="s">
        <v>21</v>
      </c>
    </row>
    <row r="1748" spans="1:10" x14ac:dyDescent="0.25">
      <c r="A1748" s="1">
        <v>802</v>
      </c>
      <c r="B1748" t="s">
        <v>23</v>
      </c>
      <c r="C1748">
        <v>98</v>
      </c>
      <c r="D1748">
        <v>1</v>
      </c>
      <c r="E1748" t="s">
        <v>49</v>
      </c>
      <c r="F1748" t="s">
        <v>50</v>
      </c>
      <c r="G1748" t="str">
        <f>"2025-04-19 07:51:04.285"</f>
        <v>2025-04-19 07:51:04.285</v>
      </c>
      <c r="H1748" t="s">
        <v>21</v>
      </c>
    </row>
    <row r="1749" spans="1:10" x14ac:dyDescent="0.25">
      <c r="A1749" s="1">
        <v>803</v>
      </c>
      <c r="B1749" t="s">
        <v>26</v>
      </c>
      <c r="C1749">
        <v>98</v>
      </c>
      <c r="D1749">
        <v>1</v>
      </c>
      <c r="E1749" t="s">
        <v>49</v>
      </c>
      <c r="F1749" t="s">
        <v>50</v>
      </c>
      <c r="G1749" t="str">
        <f>"2025-04-19 07:51:02.885"</f>
        <v>2025-04-19 07:51:02.885</v>
      </c>
      <c r="H1749" t="s">
        <v>21</v>
      </c>
      <c r="I1749">
        <v>-0.16</v>
      </c>
      <c r="J1749" t="s">
        <v>39</v>
      </c>
    </row>
    <row r="1750" spans="1:10" s="3" customFormat="1" x14ac:dyDescent="0.25">
      <c r="A1750" s="2">
        <v>804</v>
      </c>
      <c r="B1750" s="3" t="s">
        <v>23</v>
      </c>
      <c r="C1750" s="3">
        <v>647</v>
      </c>
      <c r="D1750" s="3">
        <v>1</v>
      </c>
      <c r="E1750" s="3" t="s">
        <v>28</v>
      </c>
      <c r="F1750" s="3" t="s">
        <v>29</v>
      </c>
      <c r="G1750" s="3" t="str">
        <f>"2025-04-18 23:50:04.793"</f>
        <v>2025-04-18 23:50:04.793</v>
      </c>
      <c r="H1750" s="3" t="s">
        <v>21</v>
      </c>
    </row>
    <row r="1751" spans="1:10" s="3" customFormat="1" x14ac:dyDescent="0.25">
      <c r="A1751" s="2">
        <v>805</v>
      </c>
      <c r="B1751" s="3" t="s">
        <v>26</v>
      </c>
      <c r="C1751" s="3">
        <v>647</v>
      </c>
      <c r="D1751" s="3">
        <v>1</v>
      </c>
      <c r="E1751" s="3" t="s">
        <v>28</v>
      </c>
      <c r="F1751" s="3" t="s">
        <v>29</v>
      </c>
      <c r="G1751" s="3" t="str">
        <f>"2025-04-18 23:49:57.894"</f>
        <v>2025-04-18 23:49:57.894</v>
      </c>
      <c r="H1751" s="3" t="s">
        <v>21</v>
      </c>
      <c r="I1751" s="3">
        <v>20.43</v>
      </c>
      <c r="J1751" s="3" t="s">
        <v>33</v>
      </c>
    </row>
    <row r="1752" spans="1:10" x14ac:dyDescent="0.25">
      <c r="A1752" s="1">
        <v>806</v>
      </c>
      <c r="B1752" t="s">
        <v>23</v>
      </c>
      <c r="C1752">
        <v>98</v>
      </c>
      <c r="D1752">
        <v>1</v>
      </c>
      <c r="E1752" t="s">
        <v>49</v>
      </c>
      <c r="F1752" t="s">
        <v>50</v>
      </c>
      <c r="G1752" t="str">
        <f>"2025-04-18 19:52:23.386"</f>
        <v>2025-04-18 19:52:23.386</v>
      </c>
      <c r="H1752" t="s">
        <v>21</v>
      </c>
    </row>
    <row r="1753" spans="1:10" x14ac:dyDescent="0.25">
      <c r="A1753" s="1">
        <v>807</v>
      </c>
      <c r="B1753" t="s">
        <v>26</v>
      </c>
      <c r="C1753">
        <v>98</v>
      </c>
      <c r="D1753">
        <v>1</v>
      </c>
      <c r="E1753" t="s">
        <v>49</v>
      </c>
      <c r="F1753" t="s">
        <v>50</v>
      </c>
      <c r="G1753" t="str">
        <f>"2025-04-18 19:52:22.386"</f>
        <v>2025-04-18 19:52:22.386</v>
      </c>
      <c r="H1753" t="s">
        <v>21</v>
      </c>
      <c r="I1753">
        <v>14.27</v>
      </c>
      <c r="J1753" t="s">
        <v>33</v>
      </c>
    </row>
    <row r="1754" spans="1:10" x14ac:dyDescent="0.25">
      <c r="A1754" s="1">
        <v>808</v>
      </c>
      <c r="B1754" t="s">
        <v>19</v>
      </c>
      <c r="C1754">
        <v>706</v>
      </c>
      <c r="D1754">
        <v>2</v>
      </c>
      <c r="E1754" t="s">
        <v>31</v>
      </c>
      <c r="F1754" t="s">
        <v>43</v>
      </c>
      <c r="G1754" t="str">
        <f>"2025-04-15 22:00:06.096"</f>
        <v>2025-04-15 22:00:06.096</v>
      </c>
      <c r="H1754" t="s">
        <v>21</v>
      </c>
      <c r="I1754">
        <v>0</v>
      </c>
      <c r="J1754" t="s">
        <v>27</v>
      </c>
    </row>
    <row r="1755" spans="1:10" x14ac:dyDescent="0.25">
      <c r="A1755" s="1">
        <v>809</v>
      </c>
      <c r="B1755" t="s">
        <v>19</v>
      </c>
      <c r="C1755">
        <v>700</v>
      </c>
      <c r="D1755">
        <v>0</v>
      </c>
      <c r="E1755" t="s">
        <v>20</v>
      </c>
      <c r="F1755" t="s">
        <v>20</v>
      </c>
      <c r="G1755" t="str">
        <f>"2025-04-15 21:59:27.566"</f>
        <v>2025-04-15 21:59:27.566</v>
      </c>
      <c r="H1755" t="s">
        <v>21</v>
      </c>
    </row>
    <row r="1756" spans="1:10" x14ac:dyDescent="0.25">
      <c r="A1756" s="1">
        <v>811</v>
      </c>
      <c r="B1756" t="s">
        <v>23</v>
      </c>
      <c r="C1756">
        <v>635</v>
      </c>
      <c r="D1756">
        <v>1</v>
      </c>
      <c r="E1756" t="s">
        <v>44</v>
      </c>
      <c r="F1756" t="s">
        <v>45</v>
      </c>
      <c r="G1756" t="str">
        <f>"2025-04-14 15:19:32.402"</f>
        <v>2025-04-14 15:19:32.402</v>
      </c>
      <c r="H1756" t="s">
        <v>21</v>
      </c>
    </row>
    <row r="1757" spans="1:10" x14ac:dyDescent="0.25">
      <c r="A1757" s="1">
        <v>812</v>
      </c>
      <c r="B1757" t="s">
        <v>26</v>
      </c>
      <c r="C1757">
        <v>635</v>
      </c>
      <c r="D1757">
        <v>1</v>
      </c>
      <c r="E1757" t="s">
        <v>44</v>
      </c>
      <c r="F1757" t="s">
        <v>45</v>
      </c>
      <c r="G1757" t="str">
        <f>"2025-04-14 15:12:46.902"</f>
        <v>2025-04-14 15:12:46.902</v>
      </c>
      <c r="H1757" t="s">
        <v>21</v>
      </c>
      <c r="I1757">
        <v>0.28000000000000003</v>
      </c>
      <c r="J1757" t="s">
        <v>39</v>
      </c>
    </row>
    <row r="1758" spans="1:10" x14ac:dyDescent="0.25">
      <c r="A1758" s="1">
        <v>813</v>
      </c>
      <c r="B1758" t="s">
        <v>19</v>
      </c>
      <c r="C1758">
        <v>700</v>
      </c>
      <c r="D1758">
        <v>0</v>
      </c>
      <c r="E1758" t="s">
        <v>20</v>
      </c>
      <c r="F1758" t="s">
        <v>20</v>
      </c>
      <c r="G1758" t="str">
        <f>"2025-04-13 21:49:28.392"</f>
        <v>2025-04-13 21:49:28.392</v>
      </c>
      <c r="H1758" t="s">
        <v>21</v>
      </c>
      <c r="I1758">
        <v>0</v>
      </c>
      <c r="J1758" t="s">
        <v>22</v>
      </c>
    </row>
    <row r="1759" spans="1:10" x14ac:dyDescent="0.25">
      <c r="A1759" s="1">
        <v>814</v>
      </c>
      <c r="B1759" t="s">
        <v>19</v>
      </c>
      <c r="C1759">
        <v>700</v>
      </c>
      <c r="D1759">
        <v>0</v>
      </c>
      <c r="E1759" t="s">
        <v>20</v>
      </c>
      <c r="F1759" t="s">
        <v>20</v>
      </c>
      <c r="G1759" t="str">
        <f>"2025-04-13 20:28:55.373"</f>
        <v>2025-04-13 20:28:55.373</v>
      </c>
      <c r="H1759" t="s">
        <v>21</v>
      </c>
      <c r="I1759">
        <v>0</v>
      </c>
      <c r="J1759" t="s">
        <v>22</v>
      </c>
    </row>
    <row r="1760" spans="1:10" x14ac:dyDescent="0.25">
      <c r="A1760" s="1">
        <v>815</v>
      </c>
      <c r="B1760" t="s">
        <v>19</v>
      </c>
      <c r="C1760">
        <v>706</v>
      </c>
      <c r="D1760">
        <v>4</v>
      </c>
      <c r="E1760" t="s">
        <v>31</v>
      </c>
      <c r="F1760" t="s">
        <v>32</v>
      </c>
      <c r="G1760" t="str">
        <f>"2025-04-13 16:47:47.131"</f>
        <v>2025-04-13 16:47:47.131</v>
      </c>
      <c r="H1760" t="s">
        <v>21</v>
      </c>
      <c r="I1760">
        <v>0</v>
      </c>
      <c r="J1760" t="s">
        <v>27</v>
      </c>
    </row>
    <row r="1761" spans="1:10" x14ac:dyDescent="0.25">
      <c r="A1761" s="1">
        <v>816</v>
      </c>
      <c r="B1761" t="s">
        <v>19</v>
      </c>
      <c r="C1761">
        <v>700</v>
      </c>
      <c r="D1761">
        <v>0</v>
      </c>
      <c r="E1761" t="s">
        <v>20</v>
      </c>
      <c r="F1761" t="s">
        <v>20</v>
      </c>
      <c r="G1761" t="str">
        <f>"2025-04-13 16:42:53.381"</f>
        <v>2025-04-13 16:42:53.381</v>
      </c>
      <c r="H1761" t="s">
        <v>21</v>
      </c>
      <c r="I1761">
        <v>0</v>
      </c>
      <c r="J1761" t="s">
        <v>22</v>
      </c>
    </row>
    <row r="1762" spans="1:10" x14ac:dyDescent="0.25">
      <c r="A1762" s="1">
        <v>817</v>
      </c>
      <c r="B1762" t="s">
        <v>19</v>
      </c>
      <c r="C1762">
        <v>700</v>
      </c>
      <c r="D1762">
        <v>0</v>
      </c>
      <c r="E1762" t="s">
        <v>20</v>
      </c>
      <c r="F1762" t="s">
        <v>20</v>
      </c>
      <c r="G1762" t="str">
        <f>"2025-04-13 16:37:40.386"</f>
        <v>2025-04-13 16:37:40.386</v>
      </c>
      <c r="H1762" t="s">
        <v>21</v>
      </c>
      <c r="I1762">
        <v>0</v>
      </c>
      <c r="J1762" t="s">
        <v>22</v>
      </c>
    </row>
    <row r="1763" spans="1:10" x14ac:dyDescent="0.25">
      <c r="A1763" s="1">
        <v>818</v>
      </c>
      <c r="B1763" t="s">
        <v>19</v>
      </c>
      <c r="C1763">
        <v>700</v>
      </c>
      <c r="D1763">
        <v>0</v>
      </c>
      <c r="E1763" t="s">
        <v>20</v>
      </c>
      <c r="F1763" t="s">
        <v>20</v>
      </c>
      <c r="G1763" t="str">
        <f>"2025-04-13 16:34:53.378"</f>
        <v>2025-04-13 16:34:53.378</v>
      </c>
      <c r="H1763" t="s">
        <v>21</v>
      </c>
      <c r="I1763">
        <v>0</v>
      </c>
      <c r="J1763" t="s">
        <v>22</v>
      </c>
    </row>
    <row r="1764" spans="1:10" x14ac:dyDescent="0.25">
      <c r="A1764" s="1">
        <v>819</v>
      </c>
      <c r="B1764" t="s">
        <v>19</v>
      </c>
      <c r="C1764">
        <v>706</v>
      </c>
      <c r="D1764">
        <v>2</v>
      </c>
      <c r="E1764" t="s">
        <v>31</v>
      </c>
      <c r="F1764" t="s">
        <v>43</v>
      </c>
      <c r="G1764" t="str">
        <f>"2025-04-13 16:28:28.380"</f>
        <v>2025-04-13 16:28:28.380</v>
      </c>
      <c r="H1764" t="s">
        <v>21</v>
      </c>
      <c r="I1764">
        <v>0</v>
      </c>
      <c r="J1764" t="s">
        <v>27</v>
      </c>
    </row>
    <row r="1765" spans="1:10" x14ac:dyDescent="0.25">
      <c r="A1765" s="1">
        <v>820</v>
      </c>
      <c r="B1765" t="s">
        <v>38</v>
      </c>
      <c r="C1765">
        <v>47</v>
      </c>
      <c r="D1765">
        <v>2</v>
      </c>
      <c r="E1765" t="s">
        <v>67</v>
      </c>
      <c r="F1765" t="s">
        <v>68</v>
      </c>
      <c r="G1765" t="str">
        <f>"2025-04-13 16:27:48.102"</f>
        <v>2025-04-13 16:27:48.102</v>
      </c>
      <c r="H1765" t="s">
        <v>55</v>
      </c>
      <c r="I1765">
        <v>0</v>
      </c>
      <c r="J1765" t="s">
        <v>30</v>
      </c>
    </row>
    <row r="1766" spans="1:10" x14ac:dyDescent="0.25">
      <c r="A1766" s="1">
        <v>821</v>
      </c>
      <c r="B1766" t="s">
        <v>19</v>
      </c>
      <c r="C1766">
        <v>706</v>
      </c>
      <c r="D1766">
        <v>2</v>
      </c>
      <c r="E1766" t="s">
        <v>31</v>
      </c>
      <c r="F1766" t="s">
        <v>43</v>
      </c>
      <c r="G1766" t="str">
        <f>"2025-04-13 16:24:03.580"</f>
        <v>2025-04-13 16:24:03.580</v>
      </c>
      <c r="H1766" t="s">
        <v>21</v>
      </c>
      <c r="I1766">
        <v>0</v>
      </c>
      <c r="J1766" t="s">
        <v>27</v>
      </c>
    </row>
    <row r="1767" spans="1:10" x14ac:dyDescent="0.25">
      <c r="A1767" s="1">
        <v>822</v>
      </c>
      <c r="B1767" t="s">
        <v>19</v>
      </c>
      <c r="C1767">
        <v>700</v>
      </c>
      <c r="D1767">
        <v>0</v>
      </c>
      <c r="E1767" t="s">
        <v>20</v>
      </c>
      <c r="F1767" t="s">
        <v>20</v>
      </c>
      <c r="G1767" t="str">
        <f>"2025-04-13 16:22:46.370"</f>
        <v>2025-04-13 16:22:46.370</v>
      </c>
      <c r="H1767" t="s">
        <v>21</v>
      </c>
    </row>
    <row r="1768" spans="1:10" x14ac:dyDescent="0.25">
      <c r="A1768" s="1">
        <v>823</v>
      </c>
      <c r="B1768" t="s">
        <v>19</v>
      </c>
      <c r="C1768">
        <v>700</v>
      </c>
      <c r="D1768">
        <v>0</v>
      </c>
      <c r="E1768" t="s">
        <v>20</v>
      </c>
      <c r="F1768" t="s">
        <v>20</v>
      </c>
      <c r="G1768" t="str">
        <f>"2025-04-12 08:56:32.369"</f>
        <v>2025-04-12 08:56:32.369</v>
      </c>
      <c r="H1768" t="s">
        <v>21</v>
      </c>
      <c r="I1768">
        <v>0</v>
      </c>
      <c r="J1768" t="s">
        <v>22</v>
      </c>
    </row>
    <row r="1769" spans="1:10" x14ac:dyDescent="0.25">
      <c r="A1769" s="1">
        <v>824</v>
      </c>
      <c r="B1769" t="s">
        <v>19</v>
      </c>
      <c r="C1769">
        <v>700</v>
      </c>
      <c r="D1769">
        <v>0</v>
      </c>
      <c r="E1769" t="s">
        <v>20</v>
      </c>
      <c r="F1769" t="s">
        <v>20</v>
      </c>
      <c r="G1769" t="str">
        <f>"2025-04-12 08:23:46.370"</f>
        <v>2025-04-12 08:23:46.370</v>
      </c>
      <c r="H1769" t="s">
        <v>21</v>
      </c>
      <c r="I1769">
        <v>0</v>
      </c>
      <c r="J1769" t="s">
        <v>22</v>
      </c>
    </row>
    <row r="1770" spans="1:10" x14ac:dyDescent="0.25">
      <c r="A1770" s="1">
        <v>825</v>
      </c>
      <c r="B1770" t="s">
        <v>19</v>
      </c>
      <c r="C1770">
        <v>700</v>
      </c>
      <c r="D1770">
        <v>0</v>
      </c>
      <c r="E1770" t="s">
        <v>20</v>
      </c>
      <c r="F1770" t="s">
        <v>20</v>
      </c>
      <c r="G1770" t="str">
        <f>"2025-04-11 20:01:22.367"</f>
        <v>2025-04-11 20:01:22.367</v>
      </c>
      <c r="H1770" t="s">
        <v>21</v>
      </c>
      <c r="I1770">
        <v>0</v>
      </c>
      <c r="J1770" t="s">
        <v>22</v>
      </c>
    </row>
    <row r="1771" spans="1:10" x14ac:dyDescent="0.25">
      <c r="A1771" s="1">
        <v>826</v>
      </c>
      <c r="B1771" t="s">
        <v>19</v>
      </c>
      <c r="C1771">
        <v>700</v>
      </c>
      <c r="D1771">
        <v>0</v>
      </c>
      <c r="E1771" t="s">
        <v>20</v>
      </c>
      <c r="F1771" t="s">
        <v>20</v>
      </c>
      <c r="G1771" t="str">
        <f>"2025-04-11 19:38:13.466"</f>
        <v>2025-04-11 19:38:13.466</v>
      </c>
      <c r="H1771" t="s">
        <v>21</v>
      </c>
      <c r="I1771">
        <v>0</v>
      </c>
      <c r="J1771" t="s">
        <v>22</v>
      </c>
    </row>
    <row r="1772" spans="1:10" x14ac:dyDescent="0.25">
      <c r="A1772" s="1">
        <v>827</v>
      </c>
      <c r="B1772" t="s">
        <v>19</v>
      </c>
      <c r="C1772">
        <v>700</v>
      </c>
      <c r="D1772">
        <v>0</v>
      </c>
      <c r="E1772" t="s">
        <v>20</v>
      </c>
      <c r="F1772" t="s">
        <v>20</v>
      </c>
      <c r="G1772" t="str">
        <f>"2025-04-11 17:07:57.369"</f>
        <v>2025-04-11 17:07:57.369</v>
      </c>
      <c r="H1772" t="s">
        <v>21</v>
      </c>
      <c r="I1772">
        <v>0</v>
      </c>
      <c r="J1772" t="s">
        <v>22</v>
      </c>
    </row>
    <row r="1773" spans="1:10" x14ac:dyDescent="0.25">
      <c r="A1773" s="1">
        <v>828</v>
      </c>
      <c r="B1773" t="s">
        <v>19</v>
      </c>
      <c r="C1773">
        <v>700</v>
      </c>
      <c r="D1773">
        <v>0</v>
      </c>
      <c r="E1773" t="s">
        <v>20</v>
      </c>
      <c r="F1773" t="s">
        <v>20</v>
      </c>
      <c r="G1773" t="str">
        <f>"2025-04-11 15:44:26.367"</f>
        <v>2025-04-11 15:44:26.367</v>
      </c>
      <c r="H1773" t="s">
        <v>21</v>
      </c>
    </row>
    <row r="1774" spans="1:10" x14ac:dyDescent="0.25">
      <c r="A1774" s="1">
        <v>829</v>
      </c>
      <c r="B1774" t="s">
        <v>19</v>
      </c>
      <c r="C1774">
        <v>700</v>
      </c>
      <c r="D1774">
        <v>0</v>
      </c>
      <c r="E1774" t="s">
        <v>20</v>
      </c>
      <c r="F1774" t="s">
        <v>20</v>
      </c>
      <c r="G1774" t="str">
        <f>"2025-04-11 14:56:50.369"</f>
        <v>2025-04-11 14:56:50.369</v>
      </c>
      <c r="H1774" t="s">
        <v>21</v>
      </c>
    </row>
    <row r="1775" spans="1:10" x14ac:dyDescent="0.25">
      <c r="A1775" s="1">
        <v>830</v>
      </c>
      <c r="B1775" t="s">
        <v>19</v>
      </c>
      <c r="C1775">
        <v>700</v>
      </c>
      <c r="D1775">
        <v>0</v>
      </c>
      <c r="E1775" t="s">
        <v>20</v>
      </c>
      <c r="F1775" t="s">
        <v>20</v>
      </c>
      <c r="G1775" t="str">
        <f>"2025-04-11 14:32:07.372"</f>
        <v>2025-04-11 14:32:07.372</v>
      </c>
      <c r="H1775" t="s">
        <v>21</v>
      </c>
      <c r="I1775">
        <v>0</v>
      </c>
      <c r="J1775" t="s">
        <v>22</v>
      </c>
    </row>
    <row r="1776" spans="1:10" x14ac:dyDescent="0.25">
      <c r="A1776" s="1">
        <v>831</v>
      </c>
      <c r="B1776" t="s">
        <v>19</v>
      </c>
      <c r="C1776">
        <v>700</v>
      </c>
      <c r="D1776">
        <v>0</v>
      </c>
      <c r="E1776" t="s">
        <v>20</v>
      </c>
      <c r="F1776" t="s">
        <v>20</v>
      </c>
      <c r="G1776" t="str">
        <f>"2025-04-11 14:08:07.354"</f>
        <v>2025-04-11 14:08:07.354</v>
      </c>
      <c r="H1776" t="s">
        <v>21</v>
      </c>
      <c r="I1776">
        <v>0</v>
      </c>
      <c r="J1776" t="s">
        <v>22</v>
      </c>
    </row>
    <row r="1777" spans="1:10" x14ac:dyDescent="0.25">
      <c r="A1777" s="1">
        <v>832</v>
      </c>
      <c r="B1777" t="s">
        <v>19</v>
      </c>
      <c r="C1777">
        <v>700</v>
      </c>
      <c r="D1777">
        <v>0</v>
      </c>
      <c r="E1777" t="s">
        <v>20</v>
      </c>
      <c r="F1777" t="s">
        <v>20</v>
      </c>
      <c r="G1777" t="str">
        <f>"2025-04-11 12:35:31.387"</f>
        <v>2025-04-11 12:35:31.387</v>
      </c>
      <c r="H1777" t="s">
        <v>21</v>
      </c>
      <c r="I1777">
        <v>0</v>
      </c>
      <c r="J1777" t="s">
        <v>22</v>
      </c>
    </row>
    <row r="1778" spans="1:10" x14ac:dyDescent="0.25">
      <c r="A1778" s="1">
        <v>833</v>
      </c>
      <c r="B1778" t="s">
        <v>19</v>
      </c>
      <c r="C1778">
        <v>700</v>
      </c>
      <c r="D1778">
        <v>0</v>
      </c>
      <c r="E1778" t="s">
        <v>20</v>
      </c>
      <c r="F1778" t="s">
        <v>20</v>
      </c>
      <c r="G1778" t="str">
        <f>"2025-04-11 11:05:28.371"</f>
        <v>2025-04-11 11:05:28.371</v>
      </c>
      <c r="H1778" t="s">
        <v>21</v>
      </c>
      <c r="I1778">
        <v>0</v>
      </c>
      <c r="J1778" t="s">
        <v>22</v>
      </c>
    </row>
    <row r="1779" spans="1:10" x14ac:dyDescent="0.25">
      <c r="A1779" s="1">
        <v>834</v>
      </c>
      <c r="B1779" t="s">
        <v>19</v>
      </c>
      <c r="C1779">
        <v>700</v>
      </c>
      <c r="D1779">
        <v>0</v>
      </c>
      <c r="E1779" t="s">
        <v>20</v>
      </c>
      <c r="F1779" t="s">
        <v>20</v>
      </c>
      <c r="G1779" t="str">
        <f>"2025-04-11 11:00:38.371"</f>
        <v>2025-04-11 11:00:38.371</v>
      </c>
      <c r="H1779" t="s">
        <v>21</v>
      </c>
      <c r="I1779">
        <v>0</v>
      </c>
      <c r="J1779" t="s">
        <v>22</v>
      </c>
    </row>
    <row r="1780" spans="1:10" x14ac:dyDescent="0.25">
      <c r="A1780" s="1">
        <v>835</v>
      </c>
      <c r="B1780" t="s">
        <v>19</v>
      </c>
      <c r="C1780">
        <v>700</v>
      </c>
      <c r="D1780">
        <v>0</v>
      </c>
      <c r="E1780" t="s">
        <v>20</v>
      </c>
      <c r="F1780" t="s">
        <v>20</v>
      </c>
      <c r="G1780" t="str">
        <f>"2025-04-11 10:18:29.385"</f>
        <v>2025-04-11 10:18:29.385</v>
      </c>
      <c r="H1780" t="s">
        <v>21</v>
      </c>
      <c r="I1780">
        <v>0</v>
      </c>
      <c r="J1780" t="s">
        <v>22</v>
      </c>
    </row>
    <row r="1781" spans="1:10" x14ac:dyDescent="0.25">
      <c r="A1781" s="1">
        <v>836</v>
      </c>
      <c r="B1781" t="s">
        <v>19</v>
      </c>
      <c r="C1781">
        <v>700</v>
      </c>
      <c r="D1781">
        <v>0</v>
      </c>
      <c r="E1781" t="s">
        <v>20</v>
      </c>
      <c r="F1781" t="s">
        <v>20</v>
      </c>
      <c r="G1781" t="str">
        <f>"2025-04-11 09:59:38.355"</f>
        <v>2025-04-11 09:59:38.355</v>
      </c>
      <c r="H1781" t="s">
        <v>21</v>
      </c>
    </row>
    <row r="1782" spans="1:10" x14ac:dyDescent="0.25">
      <c r="A1782" s="1">
        <v>837</v>
      </c>
      <c r="B1782" t="s">
        <v>19</v>
      </c>
      <c r="C1782">
        <v>700</v>
      </c>
      <c r="D1782">
        <v>0</v>
      </c>
      <c r="E1782" t="s">
        <v>20</v>
      </c>
      <c r="F1782" t="s">
        <v>20</v>
      </c>
      <c r="G1782" t="str">
        <f>"2025-04-11 08:50:50.700"</f>
        <v>2025-04-11 08:50:50.700</v>
      </c>
      <c r="H1782" t="s">
        <v>21</v>
      </c>
      <c r="I1782">
        <v>0</v>
      </c>
      <c r="J1782" t="s">
        <v>22</v>
      </c>
    </row>
    <row r="1783" spans="1:10" x14ac:dyDescent="0.25">
      <c r="A1783" s="1">
        <v>838</v>
      </c>
      <c r="B1783" t="s">
        <v>23</v>
      </c>
      <c r="C1783">
        <v>619</v>
      </c>
      <c r="D1783">
        <v>1</v>
      </c>
      <c r="E1783" t="s">
        <v>46</v>
      </c>
      <c r="F1783" t="s">
        <v>45</v>
      </c>
      <c r="G1783" t="str">
        <f>"2025-04-11 08:35:04.824"</f>
        <v>2025-04-11 08:35:04.824</v>
      </c>
      <c r="H1783" t="s">
        <v>47</v>
      </c>
    </row>
    <row r="1784" spans="1:10" x14ac:dyDescent="0.25">
      <c r="A1784" s="1">
        <v>839</v>
      </c>
      <c r="B1784" t="s">
        <v>26</v>
      </c>
      <c r="C1784">
        <v>619</v>
      </c>
      <c r="D1784">
        <v>1</v>
      </c>
      <c r="E1784" t="s">
        <v>46</v>
      </c>
      <c r="F1784" t="s">
        <v>45</v>
      </c>
      <c r="G1784" t="str">
        <f>"2025-04-11 08:34:23.824"</f>
        <v>2025-04-11 08:34:23.824</v>
      </c>
      <c r="H1784" t="s">
        <v>47</v>
      </c>
      <c r="I1784">
        <v>0</v>
      </c>
      <c r="J1784" t="s">
        <v>27</v>
      </c>
    </row>
    <row r="1785" spans="1:10" x14ac:dyDescent="0.25">
      <c r="A1785" s="1">
        <v>840</v>
      </c>
      <c r="B1785" t="s">
        <v>19</v>
      </c>
      <c r="C1785">
        <v>700</v>
      </c>
      <c r="D1785">
        <v>0</v>
      </c>
      <c r="E1785" t="s">
        <v>20</v>
      </c>
      <c r="F1785" t="s">
        <v>20</v>
      </c>
      <c r="G1785" t="str">
        <f>"2025-04-11 08:33:54.392"</f>
        <v>2025-04-11 08:33:54.392</v>
      </c>
      <c r="H1785" t="s">
        <v>21</v>
      </c>
    </row>
    <row r="1786" spans="1:10" x14ac:dyDescent="0.25">
      <c r="A1786" s="1">
        <v>841</v>
      </c>
      <c r="B1786" t="s">
        <v>19</v>
      </c>
      <c r="C1786">
        <v>706</v>
      </c>
      <c r="D1786">
        <v>2</v>
      </c>
      <c r="E1786" t="s">
        <v>31</v>
      </c>
      <c r="F1786" t="s">
        <v>43</v>
      </c>
      <c r="G1786" t="str">
        <f>"2025-04-10 19:54:29.487"</f>
        <v>2025-04-10 19:54:29.487</v>
      </c>
      <c r="H1786" t="s">
        <v>21</v>
      </c>
      <c r="I1786">
        <v>0</v>
      </c>
      <c r="J1786" t="s">
        <v>27</v>
      </c>
    </row>
    <row r="1787" spans="1:10" x14ac:dyDescent="0.25">
      <c r="A1787" s="1">
        <v>842</v>
      </c>
      <c r="B1787" t="s">
        <v>19</v>
      </c>
      <c r="C1787">
        <v>700</v>
      </c>
      <c r="D1787">
        <v>0</v>
      </c>
      <c r="E1787" t="s">
        <v>20</v>
      </c>
      <c r="F1787" t="s">
        <v>20</v>
      </c>
      <c r="G1787" t="str">
        <f>"2025-04-10 19:51:08.597"</f>
        <v>2025-04-10 19:51:08.597</v>
      </c>
      <c r="H1787" t="s">
        <v>21</v>
      </c>
      <c r="I1787">
        <v>0</v>
      </c>
      <c r="J1787" t="s">
        <v>22</v>
      </c>
    </row>
    <row r="1788" spans="1:10" x14ac:dyDescent="0.25">
      <c r="A1788" s="1">
        <v>843</v>
      </c>
      <c r="B1788" t="s">
        <v>23</v>
      </c>
      <c r="C1788">
        <v>98</v>
      </c>
      <c r="D1788">
        <v>1</v>
      </c>
      <c r="E1788" t="s">
        <v>49</v>
      </c>
      <c r="F1788" t="s">
        <v>50</v>
      </c>
      <c r="G1788" t="str">
        <f>"2025-04-10 15:06:58.766"</f>
        <v>2025-04-10 15:06:58.766</v>
      </c>
      <c r="H1788" t="s">
        <v>21</v>
      </c>
    </row>
    <row r="1789" spans="1:10" x14ac:dyDescent="0.25">
      <c r="A1789" s="1">
        <v>844</v>
      </c>
      <c r="B1789" t="s">
        <v>26</v>
      </c>
      <c r="C1789">
        <v>98</v>
      </c>
      <c r="D1789">
        <v>1</v>
      </c>
      <c r="E1789" t="s">
        <v>49</v>
      </c>
      <c r="F1789" t="s">
        <v>50</v>
      </c>
      <c r="G1789" t="str">
        <f>"2025-04-10 15:06:57.766"</f>
        <v>2025-04-10 15:06:57.766</v>
      </c>
      <c r="H1789" t="s">
        <v>21</v>
      </c>
      <c r="I1789">
        <v>6.48</v>
      </c>
      <c r="J1789" t="s">
        <v>33</v>
      </c>
    </row>
    <row r="1790" spans="1:10" x14ac:dyDescent="0.25">
      <c r="A1790" s="1">
        <v>845</v>
      </c>
      <c r="B1790" t="s">
        <v>23</v>
      </c>
      <c r="C1790">
        <v>619</v>
      </c>
      <c r="D1790">
        <v>1</v>
      </c>
      <c r="E1790" t="s">
        <v>46</v>
      </c>
      <c r="F1790" t="s">
        <v>45</v>
      </c>
      <c r="G1790" t="str">
        <f>"2025-04-10 11:57:19.905"</f>
        <v>2025-04-10 11:57:19.905</v>
      </c>
      <c r="H1790" t="s">
        <v>47</v>
      </c>
    </row>
    <row r="1791" spans="1:10" x14ac:dyDescent="0.25">
      <c r="A1791" s="1">
        <v>846</v>
      </c>
      <c r="B1791" t="s">
        <v>26</v>
      </c>
      <c r="C1791">
        <v>619</v>
      </c>
      <c r="D1791">
        <v>1</v>
      </c>
      <c r="E1791" t="s">
        <v>46</v>
      </c>
      <c r="F1791" t="s">
        <v>45</v>
      </c>
      <c r="G1791" t="str">
        <f>"2025-04-10 11:56:37.905"</f>
        <v>2025-04-10 11:56:37.905</v>
      </c>
      <c r="H1791" t="s">
        <v>47</v>
      </c>
      <c r="I1791">
        <v>0</v>
      </c>
      <c r="J1791" t="s">
        <v>30</v>
      </c>
    </row>
    <row r="1792" spans="1:10" x14ac:dyDescent="0.25">
      <c r="A1792" s="1">
        <v>847</v>
      </c>
      <c r="B1792" t="s">
        <v>19</v>
      </c>
      <c r="C1792">
        <v>700</v>
      </c>
      <c r="D1792">
        <v>0</v>
      </c>
      <c r="E1792" t="s">
        <v>20</v>
      </c>
      <c r="F1792" t="s">
        <v>20</v>
      </c>
      <c r="G1792" t="str">
        <f>"2025-04-10 11:56:08.393"</f>
        <v>2025-04-10 11:56:08.393</v>
      </c>
      <c r="H1792" t="s">
        <v>21</v>
      </c>
      <c r="I1792">
        <v>0</v>
      </c>
      <c r="J1792" t="s">
        <v>22</v>
      </c>
    </row>
    <row r="1793" spans="1:10" x14ac:dyDescent="0.25">
      <c r="A1793" s="1">
        <v>849</v>
      </c>
      <c r="B1793" t="s">
        <v>19</v>
      </c>
      <c r="C1793">
        <v>706</v>
      </c>
      <c r="D1793">
        <v>3</v>
      </c>
      <c r="E1793" t="s">
        <v>31</v>
      </c>
      <c r="F1793" t="s">
        <v>48</v>
      </c>
      <c r="G1793" t="str">
        <f>"2025-04-09 20:03:36.645"</f>
        <v>2025-04-09 20:03:36.645</v>
      </c>
      <c r="H1793" t="s">
        <v>21</v>
      </c>
      <c r="I1793">
        <v>0</v>
      </c>
      <c r="J1793" t="s">
        <v>27</v>
      </c>
    </row>
    <row r="1794" spans="1:10" x14ac:dyDescent="0.25">
      <c r="A1794" s="1">
        <v>850</v>
      </c>
      <c r="B1794" t="s">
        <v>23</v>
      </c>
      <c r="C1794">
        <v>635</v>
      </c>
      <c r="D1794">
        <v>1</v>
      </c>
      <c r="E1794" t="s">
        <v>44</v>
      </c>
      <c r="F1794" t="s">
        <v>45</v>
      </c>
      <c r="G1794" t="str">
        <f>"2025-04-09 17:10:51.114"</f>
        <v>2025-04-09 17:10:51.114</v>
      </c>
      <c r="H1794" t="s">
        <v>21</v>
      </c>
    </row>
    <row r="1795" spans="1:10" x14ac:dyDescent="0.25">
      <c r="A1795" s="1">
        <v>851</v>
      </c>
      <c r="B1795" t="s">
        <v>26</v>
      </c>
      <c r="C1795">
        <v>635</v>
      </c>
      <c r="D1795">
        <v>1</v>
      </c>
      <c r="E1795" t="s">
        <v>44</v>
      </c>
      <c r="F1795" t="s">
        <v>45</v>
      </c>
      <c r="G1795" t="str">
        <f>"2025-04-09 17:06:12.613"</f>
        <v>2025-04-09 17:06:12.613</v>
      </c>
      <c r="H1795" t="s">
        <v>21</v>
      </c>
      <c r="I1795">
        <v>0.04</v>
      </c>
      <c r="J1795" t="s">
        <v>30</v>
      </c>
    </row>
    <row r="1796" spans="1:10" x14ac:dyDescent="0.25">
      <c r="A1796" s="1">
        <v>852</v>
      </c>
      <c r="B1796" t="s">
        <v>23</v>
      </c>
      <c r="C1796">
        <v>98</v>
      </c>
      <c r="D1796">
        <v>1</v>
      </c>
      <c r="E1796" t="s">
        <v>49</v>
      </c>
      <c r="F1796" t="s">
        <v>50</v>
      </c>
      <c r="G1796" t="str">
        <f>"2025-04-09 09:41:01.874"</f>
        <v>2025-04-09 09:41:01.874</v>
      </c>
      <c r="H1796" t="s">
        <v>21</v>
      </c>
    </row>
    <row r="1797" spans="1:10" x14ac:dyDescent="0.25">
      <c r="A1797" s="1">
        <v>853</v>
      </c>
      <c r="B1797" t="s">
        <v>26</v>
      </c>
      <c r="C1797">
        <v>98</v>
      </c>
      <c r="D1797">
        <v>1</v>
      </c>
      <c r="E1797" t="s">
        <v>49</v>
      </c>
      <c r="F1797" t="s">
        <v>50</v>
      </c>
      <c r="G1797" t="str">
        <f>"2025-04-09 09:41:00.875"</f>
        <v>2025-04-09 09:41:00.875</v>
      </c>
      <c r="H1797" t="s">
        <v>21</v>
      </c>
      <c r="I1797">
        <v>12.17</v>
      </c>
      <c r="J1797" t="s">
        <v>39</v>
      </c>
    </row>
    <row r="1798" spans="1:10" x14ac:dyDescent="0.25">
      <c r="A1798" s="1">
        <v>854</v>
      </c>
      <c r="B1798" t="s">
        <v>19</v>
      </c>
      <c r="C1798">
        <v>700</v>
      </c>
      <c r="D1798">
        <v>0</v>
      </c>
      <c r="E1798" t="s">
        <v>20</v>
      </c>
      <c r="F1798" t="s">
        <v>20</v>
      </c>
      <c r="G1798" t="str">
        <f>"2025-04-09 09:19:34.395"</f>
        <v>2025-04-09 09:19:34.395</v>
      </c>
      <c r="H1798" t="s">
        <v>21</v>
      </c>
    </row>
    <row r="1799" spans="1:10" x14ac:dyDescent="0.25">
      <c r="A1799" s="1">
        <v>856</v>
      </c>
      <c r="B1799" t="s">
        <v>19</v>
      </c>
      <c r="C1799">
        <v>706</v>
      </c>
      <c r="D1799">
        <v>3</v>
      </c>
      <c r="E1799" t="s">
        <v>31</v>
      </c>
      <c r="F1799" t="s">
        <v>48</v>
      </c>
      <c r="G1799" t="str">
        <f>"2025-04-09 01:10:29.157"</f>
        <v>2025-04-09 01:10:29.157</v>
      </c>
      <c r="H1799" t="s">
        <v>21</v>
      </c>
      <c r="I1799">
        <v>0</v>
      </c>
      <c r="J1799" t="s">
        <v>27</v>
      </c>
    </row>
    <row r="1800" spans="1:10" x14ac:dyDescent="0.25">
      <c r="A1800" s="1">
        <v>857</v>
      </c>
      <c r="B1800" t="s">
        <v>19</v>
      </c>
      <c r="C1800">
        <v>706</v>
      </c>
      <c r="D1800">
        <v>3</v>
      </c>
      <c r="E1800" t="s">
        <v>31</v>
      </c>
      <c r="F1800" t="s">
        <v>48</v>
      </c>
      <c r="G1800" t="str">
        <f>"2025-04-09 01:09:17.367"</f>
        <v>2025-04-09 01:09:17.367</v>
      </c>
      <c r="H1800" t="s">
        <v>21</v>
      </c>
      <c r="I1800">
        <v>0</v>
      </c>
      <c r="J1800" t="s">
        <v>27</v>
      </c>
    </row>
    <row r="1801" spans="1:10" x14ac:dyDescent="0.25">
      <c r="A1801" s="1">
        <v>858</v>
      </c>
      <c r="B1801" t="s">
        <v>19</v>
      </c>
      <c r="C1801">
        <v>706</v>
      </c>
      <c r="D1801">
        <v>4</v>
      </c>
      <c r="E1801" t="s">
        <v>31</v>
      </c>
      <c r="F1801" t="s">
        <v>32</v>
      </c>
      <c r="G1801" t="str">
        <f>"2025-04-09 00:47:04.997"</f>
        <v>2025-04-09 00:47:04.997</v>
      </c>
      <c r="H1801" t="s">
        <v>21</v>
      </c>
      <c r="I1801">
        <v>0</v>
      </c>
      <c r="J1801" t="s">
        <v>27</v>
      </c>
    </row>
    <row r="1802" spans="1:10" x14ac:dyDescent="0.25">
      <c r="A1802" s="1">
        <v>859</v>
      </c>
      <c r="B1802" t="s">
        <v>19</v>
      </c>
      <c r="C1802">
        <v>706</v>
      </c>
      <c r="D1802">
        <v>3</v>
      </c>
      <c r="E1802" t="s">
        <v>31</v>
      </c>
      <c r="F1802" t="s">
        <v>48</v>
      </c>
      <c r="G1802" t="str">
        <f>"2025-04-09 00:45:11.477"</f>
        <v>2025-04-09 00:45:11.477</v>
      </c>
      <c r="H1802" t="s">
        <v>21</v>
      </c>
      <c r="I1802">
        <v>0</v>
      </c>
      <c r="J1802" t="s">
        <v>27</v>
      </c>
    </row>
    <row r="1803" spans="1:10" x14ac:dyDescent="0.25">
      <c r="A1803" s="1">
        <v>860</v>
      </c>
      <c r="B1803" t="s">
        <v>19</v>
      </c>
      <c r="C1803">
        <v>706</v>
      </c>
      <c r="D1803">
        <v>3</v>
      </c>
      <c r="E1803" t="s">
        <v>31</v>
      </c>
      <c r="F1803" t="s">
        <v>48</v>
      </c>
      <c r="G1803" t="str">
        <f>"2025-04-09 00:42:18.897"</f>
        <v>2025-04-09 00:42:18.897</v>
      </c>
      <c r="H1803" t="s">
        <v>21</v>
      </c>
      <c r="I1803">
        <v>0</v>
      </c>
      <c r="J1803" t="s">
        <v>27</v>
      </c>
    </row>
    <row r="1804" spans="1:10" x14ac:dyDescent="0.25">
      <c r="A1804" s="1">
        <v>862</v>
      </c>
      <c r="B1804" t="s">
        <v>23</v>
      </c>
      <c r="C1804">
        <v>619</v>
      </c>
      <c r="D1804">
        <v>1</v>
      </c>
      <c r="E1804" t="s">
        <v>46</v>
      </c>
      <c r="F1804" t="s">
        <v>45</v>
      </c>
      <c r="G1804" t="str">
        <f>"2025-04-08 20:05:01.574"</f>
        <v>2025-04-08 20:05:01.574</v>
      </c>
      <c r="H1804" t="s">
        <v>47</v>
      </c>
    </row>
    <row r="1805" spans="1:10" x14ac:dyDescent="0.25">
      <c r="A1805" s="1">
        <v>863</v>
      </c>
      <c r="B1805" t="s">
        <v>26</v>
      </c>
      <c r="C1805">
        <v>619</v>
      </c>
      <c r="D1805">
        <v>1</v>
      </c>
      <c r="E1805" t="s">
        <v>46</v>
      </c>
      <c r="F1805" t="s">
        <v>45</v>
      </c>
      <c r="G1805" t="str">
        <f>"2025-04-08 20:03:16.527"</f>
        <v>2025-04-08 20:03:16.527</v>
      </c>
      <c r="H1805" t="s">
        <v>47</v>
      </c>
      <c r="I1805">
        <v>0</v>
      </c>
      <c r="J1805" t="s">
        <v>27</v>
      </c>
    </row>
    <row r="1806" spans="1:10" x14ac:dyDescent="0.25">
      <c r="A1806" s="1">
        <v>864</v>
      </c>
      <c r="B1806" t="s">
        <v>19</v>
      </c>
      <c r="C1806">
        <v>700</v>
      </c>
      <c r="D1806">
        <v>0</v>
      </c>
      <c r="E1806" t="s">
        <v>20</v>
      </c>
      <c r="F1806" t="s">
        <v>20</v>
      </c>
      <c r="G1806" t="str">
        <f>"2025-04-08 20:03:03.357"</f>
        <v>2025-04-08 20:03:03.357</v>
      </c>
      <c r="H1806" t="s">
        <v>21</v>
      </c>
      <c r="I1806">
        <v>0</v>
      </c>
      <c r="J1806" t="s">
        <v>22</v>
      </c>
    </row>
    <row r="1807" spans="1:10" x14ac:dyDescent="0.25">
      <c r="A1807" s="1">
        <v>865</v>
      </c>
      <c r="B1807" t="s">
        <v>19</v>
      </c>
      <c r="C1807">
        <v>700</v>
      </c>
      <c r="D1807">
        <v>0</v>
      </c>
      <c r="E1807" t="s">
        <v>20</v>
      </c>
      <c r="F1807" t="s">
        <v>20</v>
      </c>
      <c r="G1807" t="str">
        <f>"2025-04-08 14:23:53.349"</f>
        <v>2025-04-08 14:23:53.349</v>
      </c>
      <c r="H1807" t="s">
        <v>21</v>
      </c>
    </row>
    <row r="1808" spans="1:10" x14ac:dyDescent="0.25">
      <c r="A1808" s="1">
        <v>866</v>
      </c>
      <c r="B1808" t="s">
        <v>19</v>
      </c>
      <c r="C1808">
        <v>700</v>
      </c>
      <c r="D1808">
        <v>0</v>
      </c>
      <c r="E1808" t="s">
        <v>20</v>
      </c>
      <c r="F1808" t="s">
        <v>20</v>
      </c>
      <c r="G1808" t="str">
        <f>"2025-04-08 09:55:11.394"</f>
        <v>2025-04-08 09:55:11.394</v>
      </c>
      <c r="H1808" t="s">
        <v>21</v>
      </c>
    </row>
    <row r="1809" spans="1:10" x14ac:dyDescent="0.25">
      <c r="A1809" s="1">
        <v>867</v>
      </c>
      <c r="B1809" t="s">
        <v>23</v>
      </c>
      <c r="C1809">
        <v>619</v>
      </c>
      <c r="D1809">
        <v>1</v>
      </c>
      <c r="E1809" t="s">
        <v>46</v>
      </c>
      <c r="F1809" t="s">
        <v>45</v>
      </c>
      <c r="G1809" t="str">
        <f>"2025-04-07 22:24:00.189"</f>
        <v>2025-04-07 22:24:00.189</v>
      </c>
      <c r="H1809" t="s">
        <v>47</v>
      </c>
    </row>
    <row r="1810" spans="1:10" x14ac:dyDescent="0.25">
      <c r="A1810" s="1">
        <v>868</v>
      </c>
      <c r="B1810" t="s">
        <v>26</v>
      </c>
      <c r="C1810">
        <v>619</v>
      </c>
      <c r="D1810">
        <v>1</v>
      </c>
      <c r="E1810" t="s">
        <v>46</v>
      </c>
      <c r="F1810" t="s">
        <v>45</v>
      </c>
      <c r="G1810" t="str">
        <f>"2025-04-07 22:23:13.990"</f>
        <v>2025-04-07 22:23:13.990</v>
      </c>
      <c r="H1810" t="s">
        <v>47</v>
      </c>
      <c r="I1810">
        <v>0</v>
      </c>
      <c r="J1810" t="s">
        <v>27</v>
      </c>
    </row>
    <row r="1811" spans="1:10" x14ac:dyDescent="0.25">
      <c r="A1811" s="1">
        <v>869</v>
      </c>
      <c r="B1811" t="s">
        <v>19</v>
      </c>
      <c r="C1811">
        <v>706</v>
      </c>
      <c r="D1811">
        <v>4</v>
      </c>
      <c r="E1811" t="s">
        <v>31</v>
      </c>
      <c r="F1811" t="s">
        <v>32</v>
      </c>
      <c r="G1811" t="str">
        <f>"2025-04-07 22:23:09.181"</f>
        <v>2025-04-07 22:23:09.181</v>
      </c>
      <c r="H1811" t="s">
        <v>21</v>
      </c>
      <c r="I1811">
        <v>0</v>
      </c>
      <c r="J1811" t="s">
        <v>27</v>
      </c>
    </row>
    <row r="1812" spans="1:10" x14ac:dyDescent="0.25">
      <c r="A1812" s="1">
        <v>870</v>
      </c>
      <c r="B1812" t="s">
        <v>19</v>
      </c>
      <c r="C1812">
        <v>700</v>
      </c>
      <c r="D1812">
        <v>0</v>
      </c>
      <c r="E1812" t="s">
        <v>20</v>
      </c>
      <c r="F1812" t="s">
        <v>20</v>
      </c>
      <c r="G1812" t="str">
        <f>"2025-04-07 22:07:28.351"</f>
        <v>2025-04-07 22:07:28.351</v>
      </c>
      <c r="H1812" t="s">
        <v>21</v>
      </c>
    </row>
    <row r="1813" spans="1:10" x14ac:dyDescent="0.25">
      <c r="A1813" s="1">
        <v>871</v>
      </c>
      <c r="B1813" t="s">
        <v>23</v>
      </c>
      <c r="C1813">
        <v>619</v>
      </c>
      <c r="D1813">
        <v>1</v>
      </c>
      <c r="E1813" t="s">
        <v>46</v>
      </c>
      <c r="F1813" t="s">
        <v>45</v>
      </c>
      <c r="G1813" t="str">
        <f>"2025-04-07 20:02:03.662"</f>
        <v>2025-04-07 20:02:03.662</v>
      </c>
      <c r="H1813" t="s">
        <v>47</v>
      </c>
    </row>
    <row r="1814" spans="1:10" x14ac:dyDescent="0.25">
      <c r="A1814" s="1">
        <v>872</v>
      </c>
      <c r="B1814" t="s">
        <v>26</v>
      </c>
      <c r="C1814">
        <v>619</v>
      </c>
      <c r="D1814">
        <v>1</v>
      </c>
      <c r="E1814" t="s">
        <v>46</v>
      </c>
      <c r="F1814" t="s">
        <v>45</v>
      </c>
      <c r="G1814" t="str">
        <f>"2025-04-07 20:01:19.362"</f>
        <v>2025-04-07 20:01:19.362</v>
      </c>
      <c r="H1814" t="s">
        <v>47</v>
      </c>
      <c r="I1814">
        <v>0</v>
      </c>
      <c r="J1814" t="s">
        <v>27</v>
      </c>
    </row>
    <row r="1815" spans="1:10" x14ac:dyDescent="0.25">
      <c r="A1815" s="1">
        <v>873</v>
      </c>
      <c r="B1815" t="s">
        <v>19</v>
      </c>
      <c r="C1815">
        <v>706</v>
      </c>
      <c r="D1815">
        <v>4</v>
      </c>
      <c r="E1815" t="s">
        <v>31</v>
      </c>
      <c r="F1815" t="s">
        <v>32</v>
      </c>
      <c r="G1815" t="str">
        <f>"2025-04-07 20:01:13.145"</f>
        <v>2025-04-07 20:01:13.145</v>
      </c>
      <c r="H1815" t="s">
        <v>21</v>
      </c>
      <c r="I1815">
        <v>0</v>
      </c>
      <c r="J1815" t="s">
        <v>27</v>
      </c>
    </row>
    <row r="1816" spans="1:10" x14ac:dyDescent="0.25">
      <c r="A1816" s="1">
        <v>874</v>
      </c>
      <c r="B1816" t="s">
        <v>19</v>
      </c>
      <c r="C1816">
        <v>700</v>
      </c>
      <c r="D1816">
        <v>0</v>
      </c>
      <c r="E1816" t="s">
        <v>20</v>
      </c>
      <c r="F1816" t="s">
        <v>20</v>
      </c>
      <c r="G1816" t="str">
        <f>"2025-04-07 20:00:05.395"</f>
        <v>2025-04-07 20:00:05.395</v>
      </c>
      <c r="H1816" t="s">
        <v>21</v>
      </c>
      <c r="I1816">
        <v>0</v>
      </c>
      <c r="J1816" t="s">
        <v>22</v>
      </c>
    </row>
    <row r="1817" spans="1:10" x14ac:dyDescent="0.25">
      <c r="A1817" s="1">
        <v>875</v>
      </c>
      <c r="B1817" t="s">
        <v>23</v>
      </c>
      <c r="C1817">
        <v>98</v>
      </c>
      <c r="D1817">
        <v>1</v>
      </c>
      <c r="E1817" t="s">
        <v>49</v>
      </c>
      <c r="F1817" t="s">
        <v>50</v>
      </c>
      <c r="G1817" t="str">
        <f>"2025-04-07 15:47:48.429"</f>
        <v>2025-04-07 15:47:48.429</v>
      </c>
      <c r="H1817" t="s">
        <v>21</v>
      </c>
    </row>
    <row r="1818" spans="1:10" x14ac:dyDescent="0.25">
      <c r="A1818" s="1">
        <v>876</v>
      </c>
      <c r="B1818" t="s">
        <v>26</v>
      </c>
      <c r="C1818">
        <v>98</v>
      </c>
      <c r="D1818">
        <v>1</v>
      </c>
      <c r="E1818" t="s">
        <v>49</v>
      </c>
      <c r="F1818" t="s">
        <v>50</v>
      </c>
      <c r="G1818" t="str">
        <f>"2025-04-07 15:47:47.429"</f>
        <v>2025-04-07 15:47:47.429</v>
      </c>
      <c r="H1818" t="s">
        <v>21</v>
      </c>
      <c r="I1818">
        <v>19.399999999999999</v>
      </c>
      <c r="J1818" t="s">
        <v>39</v>
      </c>
    </row>
    <row r="1819" spans="1:10" x14ac:dyDescent="0.25">
      <c r="A1819" s="1">
        <v>877</v>
      </c>
      <c r="B1819" t="s">
        <v>23</v>
      </c>
      <c r="C1819">
        <v>619</v>
      </c>
      <c r="D1819">
        <v>1</v>
      </c>
      <c r="E1819" t="s">
        <v>46</v>
      </c>
      <c r="F1819" t="s">
        <v>45</v>
      </c>
      <c r="G1819" t="str">
        <f>"2025-04-07 10:27:20.728"</f>
        <v>2025-04-07 10:27:20.728</v>
      </c>
      <c r="H1819" t="s">
        <v>47</v>
      </c>
    </row>
    <row r="1820" spans="1:10" x14ac:dyDescent="0.25">
      <c r="A1820" s="1">
        <v>878</v>
      </c>
      <c r="B1820" t="s">
        <v>26</v>
      </c>
      <c r="C1820">
        <v>619</v>
      </c>
      <c r="D1820">
        <v>1</v>
      </c>
      <c r="E1820" t="s">
        <v>46</v>
      </c>
      <c r="F1820" t="s">
        <v>45</v>
      </c>
      <c r="G1820" t="str">
        <f>"2025-04-07 10:26:18.028"</f>
        <v>2025-04-07 10:26:18.028</v>
      </c>
      <c r="H1820" t="s">
        <v>47</v>
      </c>
      <c r="I1820">
        <v>0</v>
      </c>
      <c r="J1820" t="s">
        <v>27</v>
      </c>
    </row>
    <row r="1821" spans="1:10" x14ac:dyDescent="0.25">
      <c r="A1821" s="1">
        <v>879</v>
      </c>
      <c r="B1821" t="s">
        <v>19</v>
      </c>
      <c r="C1821">
        <v>700</v>
      </c>
      <c r="D1821">
        <v>0</v>
      </c>
      <c r="E1821" t="s">
        <v>20</v>
      </c>
      <c r="F1821" t="s">
        <v>20</v>
      </c>
      <c r="G1821" t="str">
        <f>"2025-04-07 10:26:11.345"</f>
        <v>2025-04-07 10:26:11.345</v>
      </c>
      <c r="H1821" t="s">
        <v>21</v>
      </c>
    </row>
    <row r="1822" spans="1:10" x14ac:dyDescent="0.25">
      <c r="A1822" s="1">
        <v>880</v>
      </c>
      <c r="B1822" t="s">
        <v>19</v>
      </c>
      <c r="C1822">
        <v>700</v>
      </c>
      <c r="D1822">
        <v>0</v>
      </c>
      <c r="E1822" t="s">
        <v>20</v>
      </c>
      <c r="F1822" t="s">
        <v>20</v>
      </c>
      <c r="G1822" t="str">
        <f>"2025-04-07 08:09:29.348"</f>
        <v>2025-04-07 08:09:29.348</v>
      </c>
      <c r="H1822" t="s">
        <v>21</v>
      </c>
    </row>
    <row r="1823" spans="1:10" x14ac:dyDescent="0.25">
      <c r="A1823" s="1">
        <v>881</v>
      </c>
      <c r="B1823" t="s">
        <v>19</v>
      </c>
      <c r="C1823">
        <v>700</v>
      </c>
      <c r="D1823">
        <v>0</v>
      </c>
      <c r="E1823" t="s">
        <v>20</v>
      </c>
      <c r="F1823" t="s">
        <v>20</v>
      </c>
      <c r="G1823" t="str">
        <f>"2025-04-07 08:05:27.570"</f>
        <v>2025-04-07 08:05:27.570</v>
      </c>
      <c r="H1823" t="s">
        <v>21</v>
      </c>
    </row>
    <row r="1824" spans="1:10" x14ac:dyDescent="0.25">
      <c r="A1824" s="1">
        <v>882</v>
      </c>
      <c r="B1824" t="s">
        <v>19</v>
      </c>
      <c r="C1824">
        <v>706</v>
      </c>
      <c r="D1824">
        <v>2</v>
      </c>
      <c r="E1824" t="s">
        <v>31</v>
      </c>
      <c r="F1824" t="s">
        <v>43</v>
      </c>
      <c r="G1824" t="str">
        <f>"2025-04-07 05:49:02.031"</f>
        <v>2025-04-07 05:49:02.031</v>
      </c>
      <c r="H1824" t="s">
        <v>21</v>
      </c>
      <c r="I1824">
        <v>0</v>
      </c>
      <c r="J1824" t="s">
        <v>27</v>
      </c>
    </row>
    <row r="1825" spans="1:10" x14ac:dyDescent="0.25">
      <c r="A1825" s="1">
        <v>883</v>
      </c>
      <c r="B1825" t="s">
        <v>19</v>
      </c>
      <c r="C1825">
        <v>706</v>
      </c>
      <c r="D1825">
        <v>3</v>
      </c>
      <c r="E1825" t="s">
        <v>31</v>
      </c>
      <c r="F1825" t="s">
        <v>48</v>
      </c>
      <c r="G1825" t="str">
        <f>"2025-04-07 05:48:41.201"</f>
        <v>2025-04-07 05:48:41.201</v>
      </c>
      <c r="H1825" t="s">
        <v>21</v>
      </c>
      <c r="I1825">
        <v>0</v>
      </c>
      <c r="J1825" t="s">
        <v>27</v>
      </c>
    </row>
    <row r="1826" spans="1:10" x14ac:dyDescent="0.25">
      <c r="A1826" s="1">
        <v>884</v>
      </c>
      <c r="B1826" t="s">
        <v>19</v>
      </c>
      <c r="C1826">
        <v>700</v>
      </c>
      <c r="D1826">
        <v>0</v>
      </c>
      <c r="E1826" t="s">
        <v>20</v>
      </c>
      <c r="F1826" t="s">
        <v>20</v>
      </c>
      <c r="G1826" t="str">
        <f>"2025-04-07 05:46:48.391"</f>
        <v>2025-04-07 05:46:48.391</v>
      </c>
      <c r="H1826" t="s">
        <v>21</v>
      </c>
      <c r="I1826">
        <v>0</v>
      </c>
      <c r="J1826" t="s">
        <v>22</v>
      </c>
    </row>
    <row r="1827" spans="1:10" x14ac:dyDescent="0.25">
      <c r="A1827" s="1">
        <v>885</v>
      </c>
      <c r="B1827" t="s">
        <v>19</v>
      </c>
      <c r="C1827">
        <v>706</v>
      </c>
      <c r="D1827">
        <v>4</v>
      </c>
      <c r="E1827" t="s">
        <v>31</v>
      </c>
      <c r="F1827" t="s">
        <v>32</v>
      </c>
      <c r="G1827" t="str">
        <f>"2025-04-07 05:27:38.792"</f>
        <v>2025-04-07 05:27:38.792</v>
      </c>
      <c r="H1827" t="s">
        <v>21</v>
      </c>
      <c r="I1827">
        <v>0</v>
      </c>
      <c r="J1827" t="s">
        <v>27</v>
      </c>
    </row>
    <row r="1828" spans="1:10" x14ac:dyDescent="0.25">
      <c r="A1828" s="1">
        <v>886</v>
      </c>
      <c r="B1828" t="s">
        <v>19</v>
      </c>
      <c r="C1828">
        <v>706</v>
      </c>
      <c r="D1828">
        <v>3</v>
      </c>
      <c r="E1828" t="s">
        <v>31</v>
      </c>
      <c r="F1828" t="s">
        <v>48</v>
      </c>
      <c r="G1828" t="str">
        <f>"2025-04-07 05:27:25.702"</f>
        <v>2025-04-07 05:27:25.702</v>
      </c>
      <c r="H1828" t="s">
        <v>21</v>
      </c>
      <c r="I1828">
        <v>0</v>
      </c>
      <c r="J1828" t="s">
        <v>27</v>
      </c>
    </row>
    <row r="1829" spans="1:10" x14ac:dyDescent="0.25">
      <c r="A1829" s="1">
        <v>887</v>
      </c>
      <c r="B1829" t="s">
        <v>19</v>
      </c>
      <c r="C1829">
        <v>700</v>
      </c>
      <c r="D1829">
        <v>0</v>
      </c>
      <c r="E1829" t="s">
        <v>20</v>
      </c>
      <c r="F1829" t="s">
        <v>20</v>
      </c>
      <c r="G1829" t="str">
        <f>"2025-04-06 19:55:34.382"</f>
        <v>2025-04-06 19:55:34.382</v>
      </c>
      <c r="H1829" t="s">
        <v>21</v>
      </c>
      <c r="I1829">
        <v>0</v>
      </c>
      <c r="J1829" t="s">
        <v>22</v>
      </c>
    </row>
    <row r="1830" spans="1:10" x14ac:dyDescent="0.25">
      <c r="A1830" s="1">
        <v>888</v>
      </c>
      <c r="B1830" t="s">
        <v>23</v>
      </c>
      <c r="C1830">
        <v>635</v>
      </c>
      <c r="D1830">
        <v>1</v>
      </c>
      <c r="E1830" t="s">
        <v>44</v>
      </c>
      <c r="F1830" t="s">
        <v>45</v>
      </c>
      <c r="G1830" t="str">
        <f>"2025-04-06 16:04:41.706"</f>
        <v>2025-04-06 16:04:41.706</v>
      </c>
      <c r="H1830" t="s">
        <v>21</v>
      </c>
    </row>
    <row r="1831" spans="1:10" x14ac:dyDescent="0.25">
      <c r="A1831" s="1">
        <v>889</v>
      </c>
      <c r="B1831" t="s">
        <v>26</v>
      </c>
      <c r="C1831">
        <v>635</v>
      </c>
      <c r="D1831">
        <v>1</v>
      </c>
      <c r="E1831" t="s">
        <v>44</v>
      </c>
      <c r="F1831" t="s">
        <v>45</v>
      </c>
      <c r="G1831" t="str">
        <f>"2025-04-06 15:59:51.207"</f>
        <v>2025-04-06 15:59:51.207</v>
      </c>
      <c r="H1831" t="s">
        <v>21</v>
      </c>
      <c r="I1831">
        <v>6.11</v>
      </c>
      <c r="J1831" t="s">
        <v>30</v>
      </c>
    </row>
    <row r="1832" spans="1:10" x14ac:dyDescent="0.25">
      <c r="A1832" s="1">
        <v>890</v>
      </c>
      <c r="B1832" t="s">
        <v>19</v>
      </c>
      <c r="C1832">
        <v>700</v>
      </c>
      <c r="D1832">
        <v>0</v>
      </c>
      <c r="E1832" t="s">
        <v>20</v>
      </c>
      <c r="F1832" t="s">
        <v>20</v>
      </c>
      <c r="G1832" t="str">
        <f>"2025-04-06 07:56:18.549"</f>
        <v>2025-04-06 07:56:18.549</v>
      </c>
      <c r="H1832" t="s">
        <v>21</v>
      </c>
      <c r="I1832">
        <v>0</v>
      </c>
      <c r="J1832" t="s">
        <v>22</v>
      </c>
    </row>
    <row r="1833" spans="1:10" x14ac:dyDescent="0.25">
      <c r="A1833" s="1">
        <v>891</v>
      </c>
      <c r="B1833" t="s">
        <v>19</v>
      </c>
      <c r="C1833">
        <v>700</v>
      </c>
      <c r="D1833">
        <v>0</v>
      </c>
      <c r="E1833" t="s">
        <v>20</v>
      </c>
      <c r="F1833" t="s">
        <v>20</v>
      </c>
      <c r="G1833" t="str">
        <f>"2025-04-05 11:42:43.492"</f>
        <v>2025-04-05 11:42:43.492</v>
      </c>
      <c r="H1833" t="s">
        <v>21</v>
      </c>
      <c r="I1833">
        <v>0</v>
      </c>
      <c r="J1833" t="s">
        <v>22</v>
      </c>
    </row>
    <row r="1834" spans="1:10" x14ac:dyDescent="0.25">
      <c r="A1834" s="1">
        <v>892</v>
      </c>
      <c r="B1834" t="s">
        <v>23</v>
      </c>
      <c r="C1834">
        <v>619</v>
      </c>
      <c r="D1834">
        <v>1</v>
      </c>
      <c r="E1834" t="s">
        <v>46</v>
      </c>
      <c r="F1834" t="s">
        <v>45</v>
      </c>
      <c r="G1834" t="str">
        <f>"2025-04-05 11:29:07.894"</f>
        <v>2025-04-05 11:29:07.894</v>
      </c>
      <c r="H1834" t="s">
        <v>47</v>
      </c>
    </row>
    <row r="1835" spans="1:10" x14ac:dyDescent="0.25">
      <c r="A1835" s="1">
        <v>893</v>
      </c>
      <c r="B1835" t="s">
        <v>26</v>
      </c>
      <c r="C1835">
        <v>619</v>
      </c>
      <c r="D1835">
        <v>1</v>
      </c>
      <c r="E1835" t="s">
        <v>46</v>
      </c>
      <c r="F1835" t="s">
        <v>45</v>
      </c>
      <c r="G1835" t="str">
        <f>"2025-04-05 11:28:28.994"</f>
        <v>2025-04-05 11:28:28.994</v>
      </c>
      <c r="H1835" t="s">
        <v>47</v>
      </c>
      <c r="I1835">
        <v>0</v>
      </c>
      <c r="J1835" t="s">
        <v>30</v>
      </c>
    </row>
    <row r="1836" spans="1:10" x14ac:dyDescent="0.25">
      <c r="A1836" s="1">
        <v>894</v>
      </c>
      <c r="B1836" t="s">
        <v>19</v>
      </c>
      <c r="C1836">
        <v>700</v>
      </c>
      <c r="D1836">
        <v>0</v>
      </c>
      <c r="E1836" t="s">
        <v>20</v>
      </c>
      <c r="F1836" t="s">
        <v>20</v>
      </c>
      <c r="G1836" t="str">
        <f>"2025-04-05 11:27:58.513"</f>
        <v>2025-04-05 11:27:58.513</v>
      </c>
      <c r="H1836" t="s">
        <v>21</v>
      </c>
      <c r="I1836">
        <v>0</v>
      </c>
      <c r="J1836" t="s">
        <v>22</v>
      </c>
    </row>
    <row r="1837" spans="1:10" x14ac:dyDescent="0.25">
      <c r="A1837" s="1">
        <v>895</v>
      </c>
      <c r="B1837" t="s">
        <v>19</v>
      </c>
      <c r="C1837">
        <v>700</v>
      </c>
      <c r="D1837">
        <v>0</v>
      </c>
      <c r="E1837" t="s">
        <v>20</v>
      </c>
      <c r="F1837" t="s">
        <v>20</v>
      </c>
      <c r="G1837" t="str">
        <f>"2025-04-05 07:22:36.391"</f>
        <v>2025-04-05 07:22:36.391</v>
      </c>
      <c r="H1837" t="s">
        <v>21</v>
      </c>
      <c r="I1837">
        <v>0</v>
      </c>
      <c r="J1837" t="s">
        <v>22</v>
      </c>
    </row>
    <row r="1838" spans="1:10" x14ac:dyDescent="0.25">
      <c r="A1838" s="1">
        <v>897</v>
      </c>
      <c r="B1838" t="s">
        <v>23</v>
      </c>
      <c r="C1838">
        <v>98</v>
      </c>
      <c r="D1838">
        <v>1</v>
      </c>
      <c r="E1838" t="s">
        <v>49</v>
      </c>
      <c r="F1838" t="s">
        <v>50</v>
      </c>
      <c r="G1838" t="str">
        <f>"2025-04-05 03:02:24.438"</f>
        <v>2025-04-05 03:02:24.438</v>
      </c>
      <c r="H1838" t="s">
        <v>21</v>
      </c>
    </row>
    <row r="1839" spans="1:10" x14ac:dyDescent="0.25">
      <c r="A1839" s="1">
        <v>898</v>
      </c>
      <c r="B1839" t="s">
        <v>26</v>
      </c>
      <c r="C1839">
        <v>98</v>
      </c>
      <c r="D1839">
        <v>1</v>
      </c>
      <c r="E1839" t="s">
        <v>49</v>
      </c>
      <c r="F1839" t="s">
        <v>50</v>
      </c>
      <c r="G1839" t="str">
        <f>"2025-04-05 03:02:23.439"</f>
        <v>2025-04-05 03:02:23.439</v>
      </c>
      <c r="H1839" t="s">
        <v>21</v>
      </c>
      <c r="I1839">
        <v>0</v>
      </c>
      <c r="J1839" t="s">
        <v>30</v>
      </c>
    </row>
    <row r="1840" spans="1:10" x14ac:dyDescent="0.25">
      <c r="A1840" s="1">
        <v>899</v>
      </c>
      <c r="B1840" t="s">
        <v>23</v>
      </c>
      <c r="C1840">
        <v>98</v>
      </c>
      <c r="D1840">
        <v>1</v>
      </c>
      <c r="E1840" t="s">
        <v>49</v>
      </c>
      <c r="F1840" t="s">
        <v>50</v>
      </c>
      <c r="G1840" t="str">
        <f>"2025-04-05 03:02:22.438"</f>
        <v>2025-04-05 03:02:22.438</v>
      </c>
      <c r="H1840" t="s">
        <v>21</v>
      </c>
    </row>
    <row r="1841" spans="1:10" x14ac:dyDescent="0.25">
      <c r="A1841" s="1">
        <v>900</v>
      </c>
      <c r="B1841" t="s">
        <v>26</v>
      </c>
      <c r="C1841">
        <v>98</v>
      </c>
      <c r="D1841">
        <v>1</v>
      </c>
      <c r="E1841" t="s">
        <v>49</v>
      </c>
      <c r="F1841" t="s">
        <v>50</v>
      </c>
      <c r="G1841" t="str">
        <f>"2025-04-05 03:02:21.439"</f>
        <v>2025-04-05 03:02:21.439</v>
      </c>
      <c r="H1841" t="s">
        <v>21</v>
      </c>
      <c r="I1841">
        <v>0</v>
      </c>
      <c r="J1841" t="s">
        <v>30</v>
      </c>
    </row>
    <row r="1842" spans="1:10" x14ac:dyDescent="0.25">
      <c r="A1842" s="1">
        <v>901</v>
      </c>
      <c r="B1842" t="s">
        <v>19</v>
      </c>
      <c r="C1842">
        <v>700</v>
      </c>
      <c r="D1842">
        <v>0</v>
      </c>
      <c r="E1842" t="s">
        <v>20</v>
      </c>
      <c r="F1842" t="s">
        <v>20</v>
      </c>
      <c r="G1842" t="str">
        <f>"2025-04-04 08:37:13.333"</f>
        <v>2025-04-04 08:37:13.333</v>
      </c>
      <c r="H1842" t="s">
        <v>21</v>
      </c>
    </row>
    <row r="1843" spans="1:10" x14ac:dyDescent="0.25">
      <c r="A1843" s="1">
        <v>902</v>
      </c>
      <c r="B1843" t="s">
        <v>19</v>
      </c>
      <c r="C1843">
        <v>700</v>
      </c>
      <c r="D1843">
        <v>0</v>
      </c>
      <c r="E1843" t="s">
        <v>20</v>
      </c>
      <c r="F1843" t="s">
        <v>20</v>
      </c>
      <c r="G1843" t="str">
        <f>"2025-04-04 07:26:35.372"</f>
        <v>2025-04-04 07:26:35.372</v>
      </c>
      <c r="H1843" t="s">
        <v>21</v>
      </c>
    </row>
    <row r="1844" spans="1:10" x14ac:dyDescent="0.25">
      <c r="A1844" s="1">
        <v>903</v>
      </c>
      <c r="B1844" t="s">
        <v>23</v>
      </c>
      <c r="C1844">
        <v>619</v>
      </c>
      <c r="D1844">
        <v>1</v>
      </c>
      <c r="E1844" t="s">
        <v>46</v>
      </c>
      <c r="F1844" t="s">
        <v>45</v>
      </c>
      <c r="G1844" t="str">
        <f>"2025-04-03 16:47:07.583"</f>
        <v>2025-04-03 16:47:07.583</v>
      </c>
      <c r="H1844" t="s">
        <v>47</v>
      </c>
    </row>
    <row r="1845" spans="1:10" x14ac:dyDescent="0.25">
      <c r="A1845" s="1">
        <v>904</v>
      </c>
      <c r="B1845" t="s">
        <v>26</v>
      </c>
      <c r="C1845">
        <v>619</v>
      </c>
      <c r="D1845">
        <v>1</v>
      </c>
      <c r="E1845" t="s">
        <v>46</v>
      </c>
      <c r="F1845" t="s">
        <v>45</v>
      </c>
      <c r="G1845" t="str">
        <f>"2025-04-03 16:45:09.536"</f>
        <v>2025-04-03 16:45:09.536</v>
      </c>
      <c r="H1845" t="s">
        <v>47</v>
      </c>
      <c r="I1845">
        <v>0</v>
      </c>
      <c r="J1845" t="s">
        <v>27</v>
      </c>
    </row>
    <row r="1846" spans="1:10" x14ac:dyDescent="0.25">
      <c r="A1846" s="1">
        <v>905</v>
      </c>
      <c r="B1846" t="s">
        <v>19</v>
      </c>
      <c r="C1846">
        <v>706</v>
      </c>
      <c r="D1846">
        <v>4</v>
      </c>
      <c r="E1846" t="s">
        <v>31</v>
      </c>
      <c r="F1846" t="s">
        <v>32</v>
      </c>
      <c r="G1846" t="str">
        <f>"2025-04-03 16:45:04.342"</f>
        <v>2025-04-03 16:45:04.342</v>
      </c>
      <c r="H1846" t="s">
        <v>21</v>
      </c>
      <c r="I1846">
        <v>0</v>
      </c>
      <c r="J1846" t="s">
        <v>27</v>
      </c>
    </row>
    <row r="1847" spans="1:10" x14ac:dyDescent="0.25">
      <c r="A1847" s="1">
        <v>906</v>
      </c>
      <c r="B1847" t="s">
        <v>19</v>
      </c>
      <c r="C1847">
        <v>700</v>
      </c>
      <c r="D1847">
        <v>0</v>
      </c>
      <c r="E1847" t="s">
        <v>20</v>
      </c>
      <c r="F1847" t="s">
        <v>20</v>
      </c>
      <c r="G1847" t="str">
        <f>"2025-04-03 16:44:46.442"</f>
        <v>2025-04-03 16:44:46.442</v>
      </c>
      <c r="H1847" t="s">
        <v>21</v>
      </c>
    </row>
    <row r="1848" spans="1:10" x14ac:dyDescent="0.25">
      <c r="A1848" s="1">
        <v>907</v>
      </c>
      <c r="B1848" t="s">
        <v>19</v>
      </c>
      <c r="C1848">
        <v>700</v>
      </c>
      <c r="D1848">
        <v>0</v>
      </c>
      <c r="E1848" t="s">
        <v>20</v>
      </c>
      <c r="F1848" t="s">
        <v>20</v>
      </c>
      <c r="G1848" t="str">
        <f>"2025-04-03 08:12:15.366"</f>
        <v>2025-04-03 08:12:15.366</v>
      </c>
      <c r="H1848" t="s">
        <v>21</v>
      </c>
      <c r="I1848">
        <v>0</v>
      </c>
      <c r="J1848" t="s">
        <v>22</v>
      </c>
    </row>
    <row r="1849" spans="1:10" s="3" customFormat="1" x14ac:dyDescent="0.25">
      <c r="A1849" s="2">
        <v>908</v>
      </c>
      <c r="B1849" s="3" t="s">
        <v>23</v>
      </c>
      <c r="C1849" s="3">
        <v>647</v>
      </c>
      <c r="D1849" s="3">
        <v>1</v>
      </c>
      <c r="E1849" s="3" t="s">
        <v>28</v>
      </c>
      <c r="F1849" s="3" t="s">
        <v>29</v>
      </c>
      <c r="G1849" s="3" t="str">
        <f>"2025-04-02 10:41:55.273"</f>
        <v>2025-04-02 10:41:55.273</v>
      </c>
      <c r="H1849" s="3" t="s">
        <v>21</v>
      </c>
    </row>
    <row r="1850" spans="1:10" s="3" customFormat="1" x14ac:dyDescent="0.25">
      <c r="A1850" s="2">
        <v>909</v>
      </c>
      <c r="B1850" s="3" t="s">
        <v>26</v>
      </c>
      <c r="C1850" s="3">
        <v>647</v>
      </c>
      <c r="D1850" s="3">
        <v>1</v>
      </c>
      <c r="E1850" s="3" t="s">
        <v>28</v>
      </c>
      <c r="F1850" s="3" t="s">
        <v>29</v>
      </c>
      <c r="G1850" s="3" t="str">
        <f>"2025-04-02 10:41:49.173"</f>
        <v>2025-04-02 10:41:49.173</v>
      </c>
      <c r="H1850" s="3" t="s">
        <v>21</v>
      </c>
      <c r="I1850" s="3">
        <v>23.56</v>
      </c>
      <c r="J1850" s="3" t="s">
        <v>33</v>
      </c>
    </row>
    <row r="1851" spans="1:10" x14ac:dyDescent="0.25">
      <c r="A1851" s="1">
        <v>910</v>
      </c>
      <c r="B1851" t="s">
        <v>23</v>
      </c>
      <c r="C1851">
        <v>619</v>
      </c>
      <c r="D1851">
        <v>1</v>
      </c>
      <c r="E1851" t="s">
        <v>46</v>
      </c>
      <c r="F1851" t="s">
        <v>45</v>
      </c>
      <c r="G1851" t="str">
        <f>"2025-04-01 19:45:36.372"</f>
        <v>2025-04-01 19:45:36.372</v>
      </c>
      <c r="H1851" t="s">
        <v>47</v>
      </c>
    </row>
    <row r="1852" spans="1:10" x14ac:dyDescent="0.25">
      <c r="A1852" s="1">
        <v>911</v>
      </c>
      <c r="B1852" t="s">
        <v>26</v>
      </c>
      <c r="C1852">
        <v>619</v>
      </c>
      <c r="D1852">
        <v>1</v>
      </c>
      <c r="E1852" t="s">
        <v>46</v>
      </c>
      <c r="F1852" t="s">
        <v>45</v>
      </c>
      <c r="G1852" t="str">
        <f>"2025-04-01 19:44:40.872"</f>
        <v>2025-04-01 19:44:40.872</v>
      </c>
      <c r="H1852" t="s">
        <v>47</v>
      </c>
      <c r="I1852">
        <v>0</v>
      </c>
      <c r="J1852" t="s">
        <v>27</v>
      </c>
    </row>
    <row r="1853" spans="1:10" x14ac:dyDescent="0.25">
      <c r="A1853" s="1">
        <v>912</v>
      </c>
      <c r="B1853" t="s">
        <v>19</v>
      </c>
      <c r="C1853">
        <v>706</v>
      </c>
      <c r="D1853">
        <v>4</v>
      </c>
      <c r="E1853" t="s">
        <v>31</v>
      </c>
      <c r="F1853" t="s">
        <v>32</v>
      </c>
      <c r="G1853" t="str">
        <f>"2025-04-01 19:44:26.741"</f>
        <v>2025-04-01 19:44:26.741</v>
      </c>
      <c r="H1853" t="s">
        <v>21</v>
      </c>
      <c r="I1853">
        <v>0</v>
      </c>
      <c r="J1853" t="s">
        <v>27</v>
      </c>
    </row>
    <row r="1854" spans="1:10" x14ac:dyDescent="0.25">
      <c r="A1854" s="1">
        <v>913</v>
      </c>
      <c r="B1854" t="s">
        <v>19</v>
      </c>
      <c r="C1854">
        <v>700</v>
      </c>
      <c r="D1854">
        <v>0</v>
      </c>
      <c r="E1854" t="s">
        <v>20</v>
      </c>
      <c r="F1854" t="s">
        <v>20</v>
      </c>
      <c r="G1854" t="str">
        <f>"2025-04-01 19:44:10.361"</f>
        <v>2025-04-01 19:44:10.361</v>
      </c>
      <c r="H1854" t="s">
        <v>21</v>
      </c>
    </row>
    <row r="1855" spans="1:10" x14ac:dyDescent="0.25">
      <c r="A1855" s="1">
        <v>914</v>
      </c>
      <c r="B1855" t="s">
        <v>23</v>
      </c>
      <c r="C1855">
        <v>635</v>
      </c>
      <c r="D1855">
        <v>1</v>
      </c>
      <c r="E1855" t="s">
        <v>44</v>
      </c>
      <c r="F1855" t="s">
        <v>45</v>
      </c>
      <c r="G1855" t="str">
        <f>"2025-04-01 02:28:32.428"</f>
        <v>2025-04-01 02:28:32.428</v>
      </c>
      <c r="H1855" t="s">
        <v>21</v>
      </c>
    </row>
    <row r="1856" spans="1:10" x14ac:dyDescent="0.25">
      <c r="A1856" s="1">
        <v>915</v>
      </c>
      <c r="B1856" t="s">
        <v>26</v>
      </c>
      <c r="C1856">
        <v>635</v>
      </c>
      <c r="D1856">
        <v>1</v>
      </c>
      <c r="E1856" t="s">
        <v>44</v>
      </c>
      <c r="F1856" t="s">
        <v>45</v>
      </c>
      <c r="G1856" t="str">
        <f>"2025-04-01 02:25:07.428"</f>
        <v>2025-04-01 02:25:07.428</v>
      </c>
      <c r="H1856" t="s">
        <v>21</v>
      </c>
      <c r="I1856">
        <v>2.4300000000000002</v>
      </c>
      <c r="J1856" t="s">
        <v>39</v>
      </c>
    </row>
    <row r="1857" spans="1:10" x14ac:dyDescent="0.25">
      <c r="A1857" s="1">
        <v>916</v>
      </c>
      <c r="B1857" t="s">
        <v>19</v>
      </c>
      <c r="C1857">
        <v>700</v>
      </c>
      <c r="D1857">
        <v>0</v>
      </c>
      <c r="E1857" t="s">
        <v>20</v>
      </c>
      <c r="F1857" t="s">
        <v>20</v>
      </c>
      <c r="G1857" t="str">
        <f>"2025-03-31 20:52:16.379"</f>
        <v>2025-03-31 20:52:16.379</v>
      </c>
      <c r="H1857" t="s">
        <v>21</v>
      </c>
      <c r="I1857">
        <v>0</v>
      </c>
      <c r="J1857" t="s">
        <v>22</v>
      </c>
    </row>
    <row r="1858" spans="1:10" x14ac:dyDescent="0.25">
      <c r="A1858" s="1">
        <v>917</v>
      </c>
      <c r="B1858" t="s">
        <v>23</v>
      </c>
      <c r="C1858">
        <v>619</v>
      </c>
      <c r="D1858">
        <v>1</v>
      </c>
      <c r="E1858" t="s">
        <v>46</v>
      </c>
      <c r="F1858" t="s">
        <v>45</v>
      </c>
      <c r="G1858" t="str">
        <f>"2025-03-31 13:50:59.664"</f>
        <v>2025-03-31 13:50:59.664</v>
      </c>
      <c r="H1858" t="s">
        <v>47</v>
      </c>
    </row>
    <row r="1859" spans="1:10" x14ac:dyDescent="0.25">
      <c r="A1859" s="1">
        <v>920</v>
      </c>
      <c r="B1859" t="s">
        <v>26</v>
      </c>
      <c r="C1859">
        <v>619</v>
      </c>
      <c r="D1859">
        <v>1</v>
      </c>
      <c r="E1859" t="s">
        <v>46</v>
      </c>
      <c r="F1859" t="s">
        <v>45</v>
      </c>
      <c r="G1859" t="str">
        <f>"2025-03-31 13:50:53.079"</f>
        <v>2025-03-31 13:50:53.079</v>
      </c>
      <c r="H1859" t="s">
        <v>47</v>
      </c>
      <c r="I1859">
        <v>0</v>
      </c>
      <c r="J1859" t="s">
        <v>30</v>
      </c>
    </row>
    <row r="1860" spans="1:10" x14ac:dyDescent="0.25">
      <c r="A1860" s="1">
        <v>921</v>
      </c>
      <c r="B1860" t="s">
        <v>19</v>
      </c>
      <c r="C1860">
        <v>782</v>
      </c>
      <c r="D1860">
        <v>7</v>
      </c>
      <c r="E1860" t="s">
        <v>56</v>
      </c>
      <c r="F1860" t="s">
        <v>57</v>
      </c>
      <c r="G1860" t="str">
        <f>"2025-03-31 13:50:53.077"</f>
        <v>2025-03-31 13:50:53.077</v>
      </c>
      <c r="H1860" t="s">
        <v>21</v>
      </c>
      <c r="I1860">
        <v>0</v>
      </c>
      <c r="J1860" t="s">
        <v>30</v>
      </c>
    </row>
    <row r="1861" spans="1:10" x14ac:dyDescent="0.25">
      <c r="A1861" s="1">
        <v>924</v>
      </c>
      <c r="B1861" t="s">
        <v>23</v>
      </c>
      <c r="C1861">
        <v>619</v>
      </c>
      <c r="D1861">
        <v>1</v>
      </c>
      <c r="E1861" t="s">
        <v>46</v>
      </c>
      <c r="F1861" t="s">
        <v>45</v>
      </c>
      <c r="G1861" t="str">
        <f>"2025-03-31 13:50:53.071"</f>
        <v>2025-03-31 13:50:53.071</v>
      </c>
      <c r="H1861" t="s">
        <v>47</v>
      </c>
    </row>
    <row r="1862" spans="1:10" x14ac:dyDescent="0.25">
      <c r="A1862" s="1">
        <v>925</v>
      </c>
      <c r="B1862" t="s">
        <v>19</v>
      </c>
      <c r="C1862">
        <v>782</v>
      </c>
      <c r="D1862">
        <v>7</v>
      </c>
      <c r="E1862" t="s">
        <v>56</v>
      </c>
      <c r="F1862" t="s">
        <v>57</v>
      </c>
      <c r="G1862" t="str">
        <f>"2025-03-31 13:50:53.064"</f>
        <v>2025-03-31 13:50:53.064</v>
      </c>
      <c r="H1862" t="s">
        <v>21</v>
      </c>
      <c r="I1862">
        <v>0</v>
      </c>
      <c r="J1862" t="s">
        <v>30</v>
      </c>
    </row>
    <row r="1863" spans="1:10" x14ac:dyDescent="0.25">
      <c r="A1863" s="1">
        <v>926</v>
      </c>
      <c r="B1863" t="s">
        <v>26</v>
      </c>
      <c r="C1863">
        <v>619</v>
      </c>
      <c r="D1863">
        <v>1</v>
      </c>
      <c r="E1863" t="s">
        <v>46</v>
      </c>
      <c r="F1863" t="s">
        <v>45</v>
      </c>
      <c r="G1863" t="str">
        <f>"2025-03-31 13:50:14.864"</f>
        <v>2025-03-31 13:50:14.864</v>
      </c>
      <c r="H1863" t="s">
        <v>47</v>
      </c>
      <c r="I1863">
        <v>0</v>
      </c>
      <c r="J1863" t="s">
        <v>27</v>
      </c>
    </row>
    <row r="1864" spans="1:10" x14ac:dyDescent="0.25">
      <c r="A1864" s="1">
        <v>927</v>
      </c>
      <c r="B1864" t="s">
        <v>19</v>
      </c>
      <c r="C1864">
        <v>706</v>
      </c>
      <c r="D1864">
        <v>4</v>
      </c>
      <c r="E1864" t="s">
        <v>31</v>
      </c>
      <c r="F1864" t="s">
        <v>32</v>
      </c>
      <c r="G1864" t="str">
        <f>"2025-03-31 13:50:03.542"</f>
        <v>2025-03-31 13:50:03.542</v>
      </c>
      <c r="H1864" t="s">
        <v>21</v>
      </c>
      <c r="I1864">
        <v>0</v>
      </c>
      <c r="J1864" t="s">
        <v>27</v>
      </c>
    </row>
    <row r="1865" spans="1:10" x14ac:dyDescent="0.25">
      <c r="A1865" s="1">
        <v>928</v>
      </c>
      <c r="B1865" t="s">
        <v>19</v>
      </c>
      <c r="C1865">
        <v>700</v>
      </c>
      <c r="D1865">
        <v>0</v>
      </c>
      <c r="E1865" t="s">
        <v>20</v>
      </c>
      <c r="F1865" t="s">
        <v>20</v>
      </c>
      <c r="G1865" t="str">
        <f>"2025-03-31 13:49:44.362"</f>
        <v>2025-03-31 13:49:44.362</v>
      </c>
      <c r="H1865" t="s">
        <v>21</v>
      </c>
    </row>
    <row r="1866" spans="1:10" x14ac:dyDescent="0.25">
      <c r="A1866" s="1">
        <v>929</v>
      </c>
      <c r="B1866" t="s">
        <v>19</v>
      </c>
      <c r="C1866">
        <v>706</v>
      </c>
      <c r="D1866">
        <v>4</v>
      </c>
      <c r="E1866" t="s">
        <v>31</v>
      </c>
      <c r="F1866" t="s">
        <v>32</v>
      </c>
      <c r="G1866" t="str">
        <f>"2025-03-29 20:13:07.940"</f>
        <v>2025-03-29 20:13:07.940</v>
      </c>
      <c r="H1866" t="s">
        <v>21</v>
      </c>
      <c r="I1866">
        <v>0</v>
      </c>
      <c r="J1866" t="s">
        <v>27</v>
      </c>
    </row>
    <row r="1867" spans="1:10" x14ac:dyDescent="0.25">
      <c r="A1867" s="1">
        <v>930</v>
      </c>
      <c r="B1867" t="s">
        <v>19</v>
      </c>
      <c r="C1867">
        <v>700</v>
      </c>
      <c r="D1867">
        <v>0</v>
      </c>
      <c r="E1867" t="s">
        <v>20</v>
      </c>
      <c r="F1867" t="s">
        <v>20</v>
      </c>
      <c r="G1867" t="str">
        <f>"2025-03-29 20:12:51.350"</f>
        <v>2025-03-29 20:12:51.350</v>
      </c>
      <c r="H1867" t="s">
        <v>21</v>
      </c>
    </row>
    <row r="1868" spans="1:10" x14ac:dyDescent="0.25">
      <c r="A1868" s="1">
        <v>931</v>
      </c>
      <c r="B1868" t="s">
        <v>19</v>
      </c>
      <c r="C1868">
        <v>700</v>
      </c>
      <c r="D1868">
        <v>0</v>
      </c>
      <c r="E1868" t="s">
        <v>20</v>
      </c>
      <c r="F1868" t="s">
        <v>20</v>
      </c>
      <c r="G1868" t="str">
        <f>"2025-03-29 17:13:39.356"</f>
        <v>2025-03-29 17:13:39.356</v>
      </c>
      <c r="H1868" t="s">
        <v>21</v>
      </c>
      <c r="I1868">
        <v>0</v>
      </c>
      <c r="J1868" t="s">
        <v>22</v>
      </c>
    </row>
    <row r="1869" spans="1:10" x14ac:dyDescent="0.25">
      <c r="A1869" s="1">
        <v>932</v>
      </c>
      <c r="B1869" t="s">
        <v>19</v>
      </c>
      <c r="C1869">
        <v>706</v>
      </c>
      <c r="D1869">
        <v>4</v>
      </c>
      <c r="E1869" t="s">
        <v>31</v>
      </c>
      <c r="F1869" t="s">
        <v>32</v>
      </c>
      <c r="G1869" t="str">
        <f>"2025-03-29 16:56:44.749"</f>
        <v>2025-03-29 16:56:44.749</v>
      </c>
      <c r="H1869" t="s">
        <v>21</v>
      </c>
      <c r="I1869">
        <v>0</v>
      </c>
      <c r="J1869" t="s">
        <v>27</v>
      </c>
    </row>
    <row r="1870" spans="1:10" x14ac:dyDescent="0.25">
      <c r="A1870" s="1">
        <v>933</v>
      </c>
      <c r="B1870" t="s">
        <v>19</v>
      </c>
      <c r="C1870">
        <v>700</v>
      </c>
      <c r="D1870">
        <v>0</v>
      </c>
      <c r="E1870" t="s">
        <v>20</v>
      </c>
      <c r="F1870" t="s">
        <v>20</v>
      </c>
      <c r="G1870" t="str">
        <f>"2025-03-29 16:54:50.339"</f>
        <v>2025-03-29 16:54:50.339</v>
      </c>
      <c r="H1870" t="s">
        <v>21</v>
      </c>
      <c r="I1870">
        <v>0</v>
      </c>
      <c r="J1870" t="s">
        <v>22</v>
      </c>
    </row>
    <row r="1871" spans="1:10" x14ac:dyDescent="0.25">
      <c r="A1871" s="1">
        <v>934</v>
      </c>
      <c r="B1871" t="s">
        <v>19</v>
      </c>
      <c r="C1871">
        <v>700</v>
      </c>
      <c r="D1871">
        <v>0</v>
      </c>
      <c r="E1871" t="s">
        <v>20</v>
      </c>
      <c r="F1871" t="s">
        <v>20</v>
      </c>
      <c r="G1871" t="str">
        <f>"2025-03-29 16:06:11.565"</f>
        <v>2025-03-29 16:06:11.565</v>
      </c>
      <c r="H1871" t="s">
        <v>21</v>
      </c>
      <c r="I1871">
        <v>0</v>
      </c>
      <c r="J1871" t="s">
        <v>22</v>
      </c>
    </row>
    <row r="1872" spans="1:10" x14ac:dyDescent="0.25">
      <c r="A1872" s="1">
        <v>935</v>
      </c>
      <c r="B1872" t="s">
        <v>23</v>
      </c>
      <c r="C1872">
        <v>619</v>
      </c>
      <c r="D1872">
        <v>1</v>
      </c>
      <c r="E1872" t="s">
        <v>46</v>
      </c>
      <c r="F1872" t="s">
        <v>45</v>
      </c>
      <c r="G1872" t="str">
        <f>"2025-03-29 11:08:42.018"</f>
        <v>2025-03-29 11:08:42.018</v>
      </c>
      <c r="H1872" t="s">
        <v>47</v>
      </c>
    </row>
    <row r="1873" spans="1:10" x14ac:dyDescent="0.25">
      <c r="A1873" s="1">
        <v>936</v>
      </c>
      <c r="B1873" t="s">
        <v>26</v>
      </c>
      <c r="C1873">
        <v>619</v>
      </c>
      <c r="D1873">
        <v>1</v>
      </c>
      <c r="E1873" t="s">
        <v>46</v>
      </c>
      <c r="F1873" t="s">
        <v>45</v>
      </c>
      <c r="G1873" t="str">
        <f>"2025-03-29 11:07:38.618"</f>
        <v>2025-03-29 11:07:38.618</v>
      </c>
      <c r="H1873" t="s">
        <v>47</v>
      </c>
      <c r="I1873">
        <v>0</v>
      </c>
      <c r="J1873" t="s">
        <v>27</v>
      </c>
    </row>
    <row r="1874" spans="1:10" x14ac:dyDescent="0.25">
      <c r="A1874" s="1">
        <v>937</v>
      </c>
      <c r="B1874" t="s">
        <v>19</v>
      </c>
      <c r="C1874">
        <v>706</v>
      </c>
      <c r="D1874">
        <v>2</v>
      </c>
      <c r="E1874" t="s">
        <v>31</v>
      </c>
      <c r="F1874" t="s">
        <v>43</v>
      </c>
      <c r="G1874" t="str">
        <f>"2025-03-29 11:07:33.627"</f>
        <v>2025-03-29 11:07:33.627</v>
      </c>
      <c r="H1874" t="s">
        <v>21</v>
      </c>
      <c r="I1874">
        <v>0</v>
      </c>
      <c r="J1874" t="s">
        <v>27</v>
      </c>
    </row>
    <row r="1875" spans="1:10" x14ac:dyDescent="0.25">
      <c r="A1875" s="1">
        <v>938</v>
      </c>
      <c r="B1875" t="s">
        <v>19</v>
      </c>
      <c r="C1875">
        <v>700</v>
      </c>
      <c r="D1875">
        <v>0</v>
      </c>
      <c r="E1875" t="s">
        <v>20</v>
      </c>
      <c r="F1875" t="s">
        <v>20</v>
      </c>
      <c r="G1875" t="str">
        <f>"2025-03-29 11:06:58.307"</f>
        <v>2025-03-29 11:06:58.307</v>
      </c>
      <c r="H1875" t="s">
        <v>21</v>
      </c>
      <c r="I1875">
        <v>0</v>
      </c>
      <c r="J1875" t="s">
        <v>22</v>
      </c>
    </row>
    <row r="1876" spans="1:10" x14ac:dyDescent="0.25">
      <c r="A1876" s="1">
        <v>940</v>
      </c>
      <c r="B1876" t="s">
        <v>23</v>
      </c>
      <c r="C1876">
        <v>61</v>
      </c>
      <c r="D1876">
        <v>2</v>
      </c>
      <c r="E1876" t="s">
        <v>51</v>
      </c>
      <c r="F1876" t="s">
        <v>52</v>
      </c>
      <c r="G1876" t="str">
        <f>"2025-03-28 06:12:45.898"</f>
        <v>2025-03-28 06:12:45.898</v>
      </c>
      <c r="H1876" t="s">
        <v>21</v>
      </c>
    </row>
    <row r="1877" spans="1:10" x14ac:dyDescent="0.25">
      <c r="A1877" s="1">
        <v>941</v>
      </c>
      <c r="B1877" t="s">
        <v>38</v>
      </c>
      <c r="C1877">
        <v>61</v>
      </c>
      <c r="D1877">
        <v>2</v>
      </c>
      <c r="E1877" t="s">
        <v>51</v>
      </c>
      <c r="F1877" t="s">
        <v>52</v>
      </c>
      <c r="G1877" t="str">
        <f>"2025-03-28 06:12:40.698"</f>
        <v>2025-03-28 06:12:40.698</v>
      </c>
      <c r="H1877" t="s">
        <v>21</v>
      </c>
      <c r="I1877">
        <v>29.07</v>
      </c>
      <c r="J1877" t="s">
        <v>33</v>
      </c>
    </row>
    <row r="1878" spans="1:10" x14ac:dyDescent="0.25">
      <c r="A1878" s="1">
        <v>943</v>
      </c>
      <c r="B1878" t="s">
        <v>23</v>
      </c>
      <c r="C1878">
        <v>61</v>
      </c>
      <c r="D1878">
        <v>2</v>
      </c>
      <c r="E1878" t="s">
        <v>51</v>
      </c>
      <c r="F1878" t="s">
        <v>52</v>
      </c>
      <c r="G1878" t="str">
        <f>"2025-03-27 03:49:28.498"</f>
        <v>2025-03-27 03:49:28.498</v>
      </c>
      <c r="H1878" t="s">
        <v>21</v>
      </c>
    </row>
    <row r="1879" spans="1:10" x14ac:dyDescent="0.25">
      <c r="A1879" s="1">
        <v>944</v>
      </c>
      <c r="B1879" t="s">
        <v>38</v>
      </c>
      <c r="C1879">
        <v>61</v>
      </c>
      <c r="D1879">
        <v>2</v>
      </c>
      <c r="E1879" t="s">
        <v>51</v>
      </c>
      <c r="F1879" t="s">
        <v>52</v>
      </c>
      <c r="G1879" t="str">
        <f>"2025-03-27 03:49:23.298"</f>
        <v>2025-03-27 03:49:23.298</v>
      </c>
      <c r="H1879" t="s">
        <v>21</v>
      </c>
      <c r="I1879">
        <v>29.28</v>
      </c>
      <c r="J1879" t="s">
        <v>33</v>
      </c>
    </row>
    <row r="1880" spans="1:10" x14ac:dyDescent="0.25">
      <c r="A1880" s="1">
        <v>945</v>
      </c>
      <c r="B1880" t="s">
        <v>23</v>
      </c>
      <c r="C1880">
        <v>61</v>
      </c>
      <c r="D1880">
        <v>2</v>
      </c>
      <c r="E1880" t="s">
        <v>51</v>
      </c>
      <c r="F1880" t="s">
        <v>52</v>
      </c>
      <c r="G1880" t="str">
        <f>"2025-03-27 03:05:32.098"</f>
        <v>2025-03-27 03:05:32.098</v>
      </c>
      <c r="H1880" t="s">
        <v>21</v>
      </c>
    </row>
    <row r="1881" spans="1:10" x14ac:dyDescent="0.25">
      <c r="A1881" s="1">
        <v>946</v>
      </c>
      <c r="B1881" t="s">
        <v>38</v>
      </c>
      <c r="C1881">
        <v>61</v>
      </c>
      <c r="D1881">
        <v>2</v>
      </c>
      <c r="E1881" t="s">
        <v>51</v>
      </c>
      <c r="F1881" t="s">
        <v>52</v>
      </c>
      <c r="G1881" t="str">
        <f>"2025-03-27 03:05:27.098"</f>
        <v>2025-03-27 03:05:27.098</v>
      </c>
      <c r="H1881" t="s">
        <v>21</v>
      </c>
      <c r="I1881">
        <v>29.02</v>
      </c>
      <c r="J1881" t="s">
        <v>33</v>
      </c>
    </row>
    <row r="1882" spans="1:10" x14ac:dyDescent="0.25">
      <c r="A1882" s="1">
        <v>947</v>
      </c>
      <c r="B1882" t="s">
        <v>23</v>
      </c>
      <c r="C1882">
        <v>61</v>
      </c>
      <c r="D1882">
        <v>2</v>
      </c>
      <c r="E1882" t="s">
        <v>51</v>
      </c>
      <c r="F1882" t="s">
        <v>52</v>
      </c>
      <c r="G1882" t="str">
        <f>"2025-03-27 00:58:02.598"</f>
        <v>2025-03-27 00:58:02.598</v>
      </c>
      <c r="H1882" t="s">
        <v>21</v>
      </c>
    </row>
    <row r="1883" spans="1:10" x14ac:dyDescent="0.25">
      <c r="A1883" s="1">
        <v>948</v>
      </c>
      <c r="B1883" t="s">
        <v>38</v>
      </c>
      <c r="C1883">
        <v>61</v>
      </c>
      <c r="D1883">
        <v>2</v>
      </c>
      <c r="E1883" t="s">
        <v>51</v>
      </c>
      <c r="F1883" t="s">
        <v>52</v>
      </c>
      <c r="G1883" t="str">
        <f>"2025-03-27 00:57:57.498"</f>
        <v>2025-03-27 00:57:57.498</v>
      </c>
      <c r="H1883" t="s">
        <v>21</v>
      </c>
      <c r="I1883">
        <v>29.03</v>
      </c>
      <c r="J1883" t="s">
        <v>33</v>
      </c>
    </row>
    <row r="1884" spans="1:10" x14ac:dyDescent="0.25">
      <c r="A1884" s="1">
        <v>949</v>
      </c>
      <c r="B1884" t="s">
        <v>23</v>
      </c>
      <c r="C1884">
        <v>61</v>
      </c>
      <c r="D1884">
        <v>2</v>
      </c>
      <c r="E1884" t="s">
        <v>51</v>
      </c>
      <c r="F1884" t="s">
        <v>52</v>
      </c>
      <c r="G1884" t="str">
        <f>"2025-03-27 00:11:39.198"</f>
        <v>2025-03-27 00:11:39.198</v>
      </c>
      <c r="H1884" t="s">
        <v>21</v>
      </c>
    </row>
    <row r="1885" spans="1:10" x14ac:dyDescent="0.25">
      <c r="A1885" s="1">
        <v>950</v>
      </c>
      <c r="B1885" t="s">
        <v>38</v>
      </c>
      <c r="C1885">
        <v>61</v>
      </c>
      <c r="D1885">
        <v>2</v>
      </c>
      <c r="E1885" t="s">
        <v>51</v>
      </c>
      <c r="F1885" t="s">
        <v>52</v>
      </c>
      <c r="G1885" t="str">
        <f>"2025-03-27 00:11:33.999"</f>
        <v>2025-03-27 00:11:33.999</v>
      </c>
      <c r="H1885" t="s">
        <v>21</v>
      </c>
      <c r="I1885">
        <v>29.25</v>
      </c>
      <c r="J1885" t="s">
        <v>33</v>
      </c>
    </row>
    <row r="1886" spans="1:10" x14ac:dyDescent="0.25">
      <c r="A1886" s="1">
        <v>951</v>
      </c>
      <c r="B1886" t="s">
        <v>23</v>
      </c>
      <c r="C1886">
        <v>619</v>
      </c>
      <c r="D1886">
        <v>1</v>
      </c>
      <c r="E1886" t="s">
        <v>46</v>
      </c>
      <c r="F1886" t="s">
        <v>45</v>
      </c>
      <c r="G1886" t="str">
        <f>"2025-03-26 19:36:00.058"</f>
        <v>2025-03-26 19:36:00.058</v>
      </c>
      <c r="H1886" t="s">
        <v>47</v>
      </c>
    </row>
    <row r="1887" spans="1:10" x14ac:dyDescent="0.25">
      <c r="A1887" s="1">
        <v>952</v>
      </c>
      <c r="B1887" t="s">
        <v>26</v>
      </c>
      <c r="C1887">
        <v>619</v>
      </c>
      <c r="D1887">
        <v>1</v>
      </c>
      <c r="E1887" t="s">
        <v>46</v>
      </c>
      <c r="F1887" t="s">
        <v>45</v>
      </c>
      <c r="G1887" t="str">
        <f>"2025-03-26 19:35:09.758"</f>
        <v>2025-03-26 19:35:09.758</v>
      </c>
      <c r="H1887" t="s">
        <v>47</v>
      </c>
      <c r="I1887">
        <v>0</v>
      </c>
      <c r="J1887" t="s">
        <v>27</v>
      </c>
    </row>
    <row r="1888" spans="1:10" x14ac:dyDescent="0.25">
      <c r="A1888" s="1">
        <v>953</v>
      </c>
      <c r="B1888" t="s">
        <v>19</v>
      </c>
      <c r="C1888">
        <v>706</v>
      </c>
      <c r="D1888">
        <v>4</v>
      </c>
      <c r="E1888" t="s">
        <v>31</v>
      </c>
      <c r="F1888" t="s">
        <v>32</v>
      </c>
      <c r="G1888" t="str">
        <f>"2025-03-26 19:34:59.299"</f>
        <v>2025-03-26 19:34:59.299</v>
      </c>
      <c r="H1888" t="s">
        <v>21</v>
      </c>
      <c r="I1888">
        <v>0</v>
      </c>
      <c r="J1888" t="s">
        <v>27</v>
      </c>
    </row>
    <row r="1889" spans="1:10" x14ac:dyDescent="0.25">
      <c r="A1889" s="1">
        <v>954</v>
      </c>
      <c r="B1889" t="s">
        <v>19</v>
      </c>
      <c r="C1889">
        <v>700</v>
      </c>
      <c r="D1889">
        <v>0</v>
      </c>
      <c r="E1889" t="s">
        <v>20</v>
      </c>
      <c r="F1889" t="s">
        <v>20</v>
      </c>
      <c r="G1889" t="str">
        <f>"2025-03-26 19:34:39.299"</f>
        <v>2025-03-26 19:34:39.299</v>
      </c>
      <c r="H1889" t="s">
        <v>21</v>
      </c>
      <c r="I1889">
        <v>0</v>
      </c>
      <c r="J1889" t="s">
        <v>22</v>
      </c>
    </row>
    <row r="1890" spans="1:10" x14ac:dyDescent="0.25">
      <c r="A1890" s="1">
        <v>955</v>
      </c>
      <c r="B1890" t="s">
        <v>23</v>
      </c>
      <c r="C1890">
        <v>635</v>
      </c>
      <c r="D1890">
        <v>1</v>
      </c>
      <c r="E1890" t="s">
        <v>44</v>
      </c>
      <c r="F1890" t="s">
        <v>45</v>
      </c>
      <c r="G1890" t="str">
        <f>"2025-03-25 20:34:18.039"</f>
        <v>2025-03-25 20:34:18.039</v>
      </c>
      <c r="H1890" t="s">
        <v>21</v>
      </c>
    </row>
    <row r="1891" spans="1:10" x14ac:dyDescent="0.25">
      <c r="A1891" s="1">
        <v>956</v>
      </c>
      <c r="B1891" t="s">
        <v>26</v>
      </c>
      <c r="C1891">
        <v>635</v>
      </c>
      <c r="D1891">
        <v>1</v>
      </c>
      <c r="E1891" t="s">
        <v>44</v>
      </c>
      <c r="F1891" t="s">
        <v>45</v>
      </c>
      <c r="G1891" t="str">
        <f>"2025-03-25 20:30:52.540"</f>
        <v>2025-03-25 20:30:52.540</v>
      </c>
      <c r="H1891" t="s">
        <v>21</v>
      </c>
      <c r="I1891">
        <v>3.3</v>
      </c>
      <c r="J1891" t="s">
        <v>39</v>
      </c>
    </row>
    <row r="1892" spans="1:10" x14ac:dyDescent="0.25">
      <c r="A1892" s="1">
        <v>958</v>
      </c>
      <c r="B1892" t="s">
        <v>19</v>
      </c>
      <c r="C1892">
        <v>700</v>
      </c>
      <c r="D1892">
        <v>0</v>
      </c>
      <c r="E1892" t="s">
        <v>20</v>
      </c>
      <c r="F1892" t="s">
        <v>20</v>
      </c>
      <c r="G1892" t="str">
        <f>"2025-03-23 19:34:39.291"</f>
        <v>2025-03-23 19:34:39.291</v>
      </c>
      <c r="H1892" t="s">
        <v>21</v>
      </c>
      <c r="I1892">
        <v>0</v>
      </c>
      <c r="J1892" t="s">
        <v>22</v>
      </c>
    </row>
    <row r="1893" spans="1:10" x14ac:dyDescent="0.25">
      <c r="A1893" s="1">
        <v>959</v>
      </c>
      <c r="B1893" t="s">
        <v>23</v>
      </c>
      <c r="C1893">
        <v>98</v>
      </c>
      <c r="D1893">
        <v>1</v>
      </c>
      <c r="E1893" t="s">
        <v>49</v>
      </c>
      <c r="F1893" t="s">
        <v>50</v>
      </c>
      <c r="G1893" t="str">
        <f>"2025-03-22 19:55:47.702"</f>
        <v>2025-03-22 19:55:47.702</v>
      </c>
      <c r="H1893" t="s">
        <v>21</v>
      </c>
    </row>
    <row r="1894" spans="1:10" x14ac:dyDescent="0.25">
      <c r="A1894" s="1">
        <v>960</v>
      </c>
      <c r="B1894" t="s">
        <v>26</v>
      </c>
      <c r="C1894">
        <v>98</v>
      </c>
      <c r="D1894">
        <v>1</v>
      </c>
      <c r="E1894" t="s">
        <v>49</v>
      </c>
      <c r="F1894" t="s">
        <v>50</v>
      </c>
      <c r="G1894" t="str">
        <f>"2025-03-22 19:55:46.603"</f>
        <v>2025-03-22 19:55:46.603</v>
      </c>
      <c r="H1894" t="s">
        <v>21</v>
      </c>
      <c r="I1894">
        <v>0</v>
      </c>
      <c r="J1894" t="s">
        <v>30</v>
      </c>
    </row>
    <row r="1895" spans="1:10" x14ac:dyDescent="0.25">
      <c r="A1895" s="1">
        <v>961</v>
      </c>
      <c r="B1895" t="s">
        <v>23</v>
      </c>
      <c r="C1895">
        <v>619</v>
      </c>
      <c r="D1895">
        <v>1</v>
      </c>
      <c r="E1895" t="s">
        <v>46</v>
      </c>
      <c r="F1895" t="s">
        <v>45</v>
      </c>
      <c r="G1895" t="str">
        <f>"2025-03-21 20:16:24.649"</f>
        <v>2025-03-21 20:16:24.649</v>
      </c>
      <c r="H1895" t="s">
        <v>47</v>
      </c>
    </row>
    <row r="1896" spans="1:10" x14ac:dyDescent="0.25">
      <c r="A1896" s="1">
        <v>962</v>
      </c>
      <c r="B1896" t="s">
        <v>26</v>
      </c>
      <c r="C1896">
        <v>619</v>
      </c>
      <c r="D1896">
        <v>1</v>
      </c>
      <c r="E1896" t="s">
        <v>46</v>
      </c>
      <c r="F1896" t="s">
        <v>45</v>
      </c>
      <c r="G1896" t="str">
        <f>"2025-03-21 20:15:22.902"</f>
        <v>2025-03-21 20:15:22.902</v>
      </c>
      <c r="H1896" t="s">
        <v>47</v>
      </c>
      <c r="I1896">
        <v>0</v>
      </c>
      <c r="J1896" t="s">
        <v>30</v>
      </c>
    </row>
    <row r="1897" spans="1:10" x14ac:dyDescent="0.25">
      <c r="A1897" s="1">
        <v>963</v>
      </c>
      <c r="B1897" t="s">
        <v>19</v>
      </c>
      <c r="C1897">
        <v>700</v>
      </c>
      <c r="D1897">
        <v>0</v>
      </c>
      <c r="E1897" t="s">
        <v>20</v>
      </c>
      <c r="F1897" t="s">
        <v>20</v>
      </c>
      <c r="G1897" t="str">
        <f>"2025-03-21 20:14:52.381"</f>
        <v>2025-03-21 20:14:52.381</v>
      </c>
      <c r="H1897" t="s">
        <v>21</v>
      </c>
    </row>
    <row r="1898" spans="1:10" x14ac:dyDescent="0.25">
      <c r="A1898" s="1">
        <v>964</v>
      </c>
      <c r="B1898" t="s">
        <v>23</v>
      </c>
      <c r="C1898">
        <v>619</v>
      </c>
      <c r="D1898">
        <v>1</v>
      </c>
      <c r="E1898" t="s">
        <v>46</v>
      </c>
      <c r="F1898" t="s">
        <v>45</v>
      </c>
      <c r="G1898" t="str">
        <f>"2025-03-21 14:04:17.651"</f>
        <v>2025-03-21 14:04:17.651</v>
      </c>
      <c r="H1898" t="s">
        <v>47</v>
      </c>
    </row>
    <row r="1899" spans="1:10" x14ac:dyDescent="0.25">
      <c r="A1899" s="1">
        <v>965</v>
      </c>
      <c r="B1899" t="s">
        <v>26</v>
      </c>
      <c r="C1899">
        <v>619</v>
      </c>
      <c r="D1899">
        <v>1</v>
      </c>
      <c r="E1899" t="s">
        <v>46</v>
      </c>
      <c r="F1899" t="s">
        <v>45</v>
      </c>
      <c r="G1899" t="str">
        <f>"2025-03-21 14:03:12.804"</f>
        <v>2025-03-21 14:03:12.804</v>
      </c>
      <c r="H1899" t="s">
        <v>47</v>
      </c>
      <c r="I1899">
        <v>0</v>
      </c>
      <c r="J1899" t="s">
        <v>27</v>
      </c>
    </row>
    <row r="1900" spans="1:10" x14ac:dyDescent="0.25">
      <c r="A1900" s="1">
        <v>966</v>
      </c>
      <c r="B1900" t="s">
        <v>19</v>
      </c>
      <c r="C1900">
        <v>706</v>
      </c>
      <c r="D1900">
        <v>2</v>
      </c>
      <c r="E1900" t="s">
        <v>31</v>
      </c>
      <c r="F1900" t="s">
        <v>43</v>
      </c>
      <c r="G1900" t="str">
        <f>"2025-03-21 14:03:03.003"</f>
        <v>2025-03-21 14:03:03.003</v>
      </c>
      <c r="H1900" t="s">
        <v>21</v>
      </c>
      <c r="I1900">
        <v>0</v>
      </c>
      <c r="J1900" t="s">
        <v>27</v>
      </c>
    </row>
    <row r="1901" spans="1:10" x14ac:dyDescent="0.25">
      <c r="A1901" s="1">
        <v>967</v>
      </c>
      <c r="B1901" t="s">
        <v>19</v>
      </c>
      <c r="C1901">
        <v>700</v>
      </c>
      <c r="D1901">
        <v>0</v>
      </c>
      <c r="E1901" t="s">
        <v>20</v>
      </c>
      <c r="F1901" t="s">
        <v>20</v>
      </c>
      <c r="G1901" t="str">
        <f>"2025-03-21 14:02:42.283"</f>
        <v>2025-03-21 14:02:42.283</v>
      </c>
      <c r="H1901" t="s">
        <v>21</v>
      </c>
      <c r="I1901">
        <v>0</v>
      </c>
      <c r="J1901" t="s">
        <v>22</v>
      </c>
    </row>
    <row r="1902" spans="1:10" x14ac:dyDescent="0.25">
      <c r="A1902" s="1">
        <v>968</v>
      </c>
      <c r="B1902" t="s">
        <v>19</v>
      </c>
      <c r="C1902">
        <v>700</v>
      </c>
      <c r="D1902">
        <v>0</v>
      </c>
      <c r="E1902" t="s">
        <v>20</v>
      </c>
      <c r="F1902" t="s">
        <v>20</v>
      </c>
      <c r="G1902" t="str">
        <f>"2025-03-21 09:47:37.301"</f>
        <v>2025-03-21 09:47:37.301</v>
      </c>
      <c r="H1902" t="s">
        <v>21</v>
      </c>
      <c r="I1902">
        <v>0</v>
      </c>
      <c r="J1902" t="s">
        <v>22</v>
      </c>
    </row>
    <row r="1903" spans="1:10" s="3" customFormat="1" x14ac:dyDescent="0.25">
      <c r="A1903" s="2">
        <v>970</v>
      </c>
      <c r="B1903" s="3" t="s">
        <v>23</v>
      </c>
      <c r="C1903" s="3">
        <v>647</v>
      </c>
      <c r="D1903" s="3">
        <v>1</v>
      </c>
      <c r="E1903" s="3" t="s">
        <v>28</v>
      </c>
      <c r="F1903" s="3" t="s">
        <v>29</v>
      </c>
      <c r="G1903" s="3" t="str">
        <f>"2025-03-20 07:59:20.802"</f>
        <v>2025-03-20 07:59:20.802</v>
      </c>
      <c r="H1903" s="3" t="s">
        <v>21</v>
      </c>
    </row>
    <row r="1904" spans="1:10" s="3" customFormat="1" x14ac:dyDescent="0.25">
      <c r="A1904" s="2">
        <v>971</v>
      </c>
      <c r="B1904" s="3" t="s">
        <v>26</v>
      </c>
      <c r="C1904" s="3">
        <v>647</v>
      </c>
      <c r="D1904" s="3">
        <v>1</v>
      </c>
      <c r="E1904" s="3" t="s">
        <v>28</v>
      </c>
      <c r="F1904" s="3" t="s">
        <v>29</v>
      </c>
      <c r="G1904" s="3" t="str">
        <f>"2025-03-20 07:59:08.902"</f>
        <v>2025-03-20 07:59:08.902</v>
      </c>
      <c r="H1904" s="3" t="s">
        <v>21</v>
      </c>
      <c r="I1904" s="3">
        <v>10.47</v>
      </c>
      <c r="J1904" s="3" t="s">
        <v>33</v>
      </c>
    </row>
    <row r="1905" spans="1:10" s="3" customFormat="1" x14ac:dyDescent="0.25">
      <c r="A1905" s="2">
        <v>972</v>
      </c>
      <c r="B1905" s="3" t="s">
        <v>23</v>
      </c>
      <c r="C1905" s="3">
        <v>647</v>
      </c>
      <c r="D1905" s="3">
        <v>1</v>
      </c>
      <c r="E1905" s="3" t="s">
        <v>28</v>
      </c>
      <c r="F1905" s="3" t="s">
        <v>29</v>
      </c>
      <c r="G1905" s="3" t="str">
        <f>"2025-03-19 16:04:39.502"</f>
        <v>2025-03-19 16:04:39.502</v>
      </c>
      <c r="H1905" s="3" t="s">
        <v>21</v>
      </c>
    </row>
    <row r="1906" spans="1:10" s="3" customFormat="1" x14ac:dyDescent="0.25">
      <c r="A1906" s="2">
        <v>973</v>
      </c>
      <c r="B1906" s="3" t="s">
        <v>26</v>
      </c>
      <c r="C1906" s="3">
        <v>647</v>
      </c>
      <c r="D1906" s="3">
        <v>1</v>
      </c>
      <c r="E1906" s="3" t="s">
        <v>28</v>
      </c>
      <c r="F1906" s="3" t="s">
        <v>29</v>
      </c>
      <c r="G1906" s="3" t="str">
        <f>"2025-03-19 16:04:37.402"</f>
        <v>2025-03-19 16:04:37.402</v>
      </c>
      <c r="H1906" s="3" t="s">
        <v>21</v>
      </c>
      <c r="I1906" s="3">
        <v>10.96</v>
      </c>
      <c r="J1906" s="3" t="s">
        <v>33</v>
      </c>
    </row>
    <row r="1907" spans="1:10" x14ac:dyDescent="0.25">
      <c r="A1907" s="1">
        <v>974</v>
      </c>
      <c r="B1907" t="s">
        <v>19</v>
      </c>
      <c r="C1907">
        <v>706</v>
      </c>
      <c r="D1907">
        <v>2</v>
      </c>
      <c r="E1907" t="s">
        <v>31</v>
      </c>
      <c r="F1907" t="s">
        <v>43</v>
      </c>
      <c r="G1907" t="str">
        <f>"2025-03-19 12:48:15.990"</f>
        <v>2025-03-19 12:48:15.990</v>
      </c>
      <c r="H1907" t="s">
        <v>21</v>
      </c>
      <c r="I1907">
        <v>0</v>
      </c>
      <c r="J1907" t="s">
        <v>27</v>
      </c>
    </row>
    <row r="1908" spans="1:10" x14ac:dyDescent="0.25">
      <c r="A1908" s="1">
        <v>975</v>
      </c>
      <c r="B1908" t="s">
        <v>19</v>
      </c>
      <c r="C1908">
        <v>706</v>
      </c>
      <c r="D1908">
        <v>3</v>
      </c>
      <c r="E1908" t="s">
        <v>31</v>
      </c>
      <c r="F1908" t="s">
        <v>48</v>
      </c>
      <c r="G1908" t="str">
        <f>"2025-03-19 12:47:37.410"</f>
        <v>2025-03-19 12:47:37.410</v>
      </c>
      <c r="H1908" t="s">
        <v>21</v>
      </c>
      <c r="I1908">
        <v>0</v>
      </c>
      <c r="J1908" t="s">
        <v>27</v>
      </c>
    </row>
    <row r="1909" spans="1:10" s="3" customFormat="1" x14ac:dyDescent="0.25">
      <c r="A1909" s="2">
        <v>976</v>
      </c>
      <c r="B1909" s="3" t="s">
        <v>23</v>
      </c>
      <c r="C1909" s="3">
        <v>647</v>
      </c>
      <c r="D1909" s="3">
        <v>1</v>
      </c>
      <c r="E1909" s="3" t="s">
        <v>28</v>
      </c>
      <c r="F1909" s="3" t="s">
        <v>29</v>
      </c>
      <c r="G1909" s="3" t="str">
        <f>"2025-03-19 11:24:48.402"</f>
        <v>2025-03-19 11:24:48.402</v>
      </c>
      <c r="H1909" s="3" t="s">
        <v>21</v>
      </c>
    </row>
    <row r="1910" spans="1:10" s="3" customFormat="1" x14ac:dyDescent="0.25">
      <c r="A1910" s="2">
        <v>977</v>
      </c>
      <c r="B1910" s="3" t="s">
        <v>26</v>
      </c>
      <c r="C1910" s="3">
        <v>647</v>
      </c>
      <c r="D1910" s="3">
        <v>1</v>
      </c>
      <c r="E1910" s="3" t="s">
        <v>28</v>
      </c>
      <c r="F1910" s="3" t="s">
        <v>29</v>
      </c>
      <c r="G1910" s="3" t="str">
        <f>"2025-03-19 11:24:45.702"</f>
        <v>2025-03-19 11:24:45.702</v>
      </c>
      <c r="H1910" s="3" t="s">
        <v>21</v>
      </c>
      <c r="I1910" s="3">
        <v>8.33</v>
      </c>
      <c r="J1910" s="3" t="s">
        <v>33</v>
      </c>
    </row>
    <row r="1911" spans="1:10" x14ac:dyDescent="0.25">
      <c r="A1911" s="1">
        <v>978</v>
      </c>
      <c r="B1911" t="s">
        <v>19</v>
      </c>
      <c r="C1911">
        <v>706</v>
      </c>
      <c r="D1911">
        <v>4</v>
      </c>
      <c r="E1911" t="s">
        <v>31</v>
      </c>
      <c r="F1911" t="s">
        <v>32</v>
      </c>
      <c r="G1911" t="str">
        <f>"2025-03-19 10:10:03.520"</f>
        <v>2025-03-19 10:10:03.520</v>
      </c>
      <c r="H1911" t="s">
        <v>21</v>
      </c>
      <c r="I1911">
        <v>0</v>
      </c>
      <c r="J1911" t="s">
        <v>27</v>
      </c>
    </row>
    <row r="1912" spans="1:10" s="3" customFormat="1" x14ac:dyDescent="0.25">
      <c r="A1912" s="2">
        <v>979</v>
      </c>
      <c r="B1912" s="3" t="s">
        <v>23</v>
      </c>
      <c r="C1912" s="3">
        <v>647</v>
      </c>
      <c r="D1912" s="3">
        <v>1</v>
      </c>
      <c r="E1912" s="3" t="s">
        <v>28</v>
      </c>
      <c r="F1912" s="3" t="s">
        <v>29</v>
      </c>
      <c r="G1912" s="3" t="str">
        <f>"2025-03-19 09:21:28.802"</f>
        <v>2025-03-19 09:21:28.802</v>
      </c>
      <c r="H1912" s="3" t="s">
        <v>21</v>
      </c>
    </row>
    <row r="1913" spans="1:10" s="3" customFormat="1" x14ac:dyDescent="0.25">
      <c r="A1913" s="2">
        <v>980</v>
      </c>
      <c r="B1913" s="3" t="s">
        <v>26</v>
      </c>
      <c r="C1913" s="3">
        <v>647</v>
      </c>
      <c r="D1913" s="3">
        <v>1</v>
      </c>
      <c r="E1913" s="3" t="s">
        <v>28</v>
      </c>
      <c r="F1913" s="3" t="s">
        <v>29</v>
      </c>
      <c r="G1913" s="3" t="str">
        <f>"2025-03-19 09:21:25.602"</f>
        <v>2025-03-19 09:21:25.602</v>
      </c>
      <c r="H1913" s="3" t="s">
        <v>21</v>
      </c>
      <c r="I1913" s="3">
        <v>8.57</v>
      </c>
      <c r="J1913" s="3" t="s">
        <v>33</v>
      </c>
    </row>
    <row r="1914" spans="1:10" x14ac:dyDescent="0.25">
      <c r="A1914" s="1">
        <v>981</v>
      </c>
      <c r="B1914" t="s">
        <v>19</v>
      </c>
      <c r="C1914">
        <v>706</v>
      </c>
      <c r="D1914">
        <v>2</v>
      </c>
      <c r="E1914" t="s">
        <v>31</v>
      </c>
      <c r="F1914" t="s">
        <v>43</v>
      </c>
      <c r="G1914" t="str">
        <f>"2025-03-18 17:34:38.690"</f>
        <v>2025-03-18 17:34:38.690</v>
      </c>
      <c r="H1914" t="s">
        <v>21</v>
      </c>
      <c r="I1914">
        <v>0</v>
      </c>
      <c r="J1914" t="s">
        <v>27</v>
      </c>
    </row>
    <row r="1915" spans="1:10" x14ac:dyDescent="0.25">
      <c r="A1915" s="1">
        <v>982</v>
      </c>
      <c r="B1915" t="s">
        <v>19</v>
      </c>
      <c r="C1915">
        <v>700</v>
      </c>
      <c r="D1915">
        <v>0</v>
      </c>
      <c r="E1915" t="s">
        <v>20</v>
      </c>
      <c r="F1915" t="s">
        <v>20</v>
      </c>
      <c r="G1915" t="str">
        <f>"2025-03-18 16:25:54.270"</f>
        <v>2025-03-18 16:25:54.270</v>
      </c>
      <c r="H1915" t="s">
        <v>21</v>
      </c>
    </row>
    <row r="1916" spans="1:10" x14ac:dyDescent="0.25">
      <c r="A1916" s="1">
        <v>983</v>
      </c>
      <c r="B1916" t="s">
        <v>19</v>
      </c>
      <c r="C1916">
        <v>700</v>
      </c>
      <c r="D1916">
        <v>0</v>
      </c>
      <c r="E1916" t="s">
        <v>20</v>
      </c>
      <c r="F1916" t="s">
        <v>20</v>
      </c>
      <c r="G1916" t="str">
        <f>"2025-03-18 16:10:36.277"</f>
        <v>2025-03-18 16:10:36.277</v>
      </c>
      <c r="H1916" t="s">
        <v>21</v>
      </c>
      <c r="I1916">
        <v>0</v>
      </c>
      <c r="J1916" t="s">
        <v>22</v>
      </c>
    </row>
    <row r="1917" spans="1:10" x14ac:dyDescent="0.25">
      <c r="A1917" s="1">
        <v>984</v>
      </c>
      <c r="B1917" t="s">
        <v>19</v>
      </c>
      <c r="C1917">
        <v>700</v>
      </c>
      <c r="D1917">
        <v>0</v>
      </c>
      <c r="E1917" t="s">
        <v>20</v>
      </c>
      <c r="F1917" t="s">
        <v>20</v>
      </c>
      <c r="G1917" t="str">
        <f>"2025-03-18 16:01:46.271"</f>
        <v>2025-03-18 16:01:46.271</v>
      </c>
      <c r="H1917" t="s">
        <v>21</v>
      </c>
    </row>
    <row r="1918" spans="1:10" x14ac:dyDescent="0.25">
      <c r="A1918" s="1">
        <v>985</v>
      </c>
      <c r="B1918" t="s">
        <v>19</v>
      </c>
      <c r="C1918">
        <v>700</v>
      </c>
      <c r="D1918">
        <v>0</v>
      </c>
      <c r="E1918" t="s">
        <v>20</v>
      </c>
      <c r="F1918" t="s">
        <v>20</v>
      </c>
      <c r="G1918" t="str">
        <f>"2025-03-18 14:37:52.516"</f>
        <v>2025-03-18 14:37:52.516</v>
      </c>
      <c r="H1918" t="s">
        <v>21</v>
      </c>
      <c r="I1918">
        <v>0</v>
      </c>
      <c r="J1918" t="s">
        <v>22</v>
      </c>
    </row>
    <row r="1919" spans="1:10" x14ac:dyDescent="0.25">
      <c r="A1919" s="1">
        <v>986</v>
      </c>
      <c r="B1919" t="s">
        <v>23</v>
      </c>
      <c r="C1919">
        <v>619</v>
      </c>
      <c r="D1919">
        <v>1</v>
      </c>
      <c r="E1919" t="s">
        <v>46</v>
      </c>
      <c r="F1919" t="s">
        <v>45</v>
      </c>
      <c r="G1919" t="str">
        <f>"2025-03-17 15:34:11.408"</f>
        <v>2025-03-17 15:34:11.408</v>
      </c>
      <c r="H1919" t="s">
        <v>47</v>
      </c>
    </row>
    <row r="1920" spans="1:10" x14ac:dyDescent="0.25">
      <c r="A1920" s="1">
        <v>987</v>
      </c>
      <c r="B1920" t="s">
        <v>26</v>
      </c>
      <c r="C1920">
        <v>619</v>
      </c>
      <c r="D1920">
        <v>1</v>
      </c>
      <c r="E1920" t="s">
        <v>46</v>
      </c>
      <c r="F1920" t="s">
        <v>45</v>
      </c>
      <c r="G1920" t="str">
        <f>"2025-03-17 15:33:36.708"</f>
        <v>2025-03-17 15:33:36.708</v>
      </c>
      <c r="H1920" t="s">
        <v>47</v>
      </c>
      <c r="I1920">
        <v>0</v>
      </c>
      <c r="J1920" t="s">
        <v>30</v>
      </c>
    </row>
    <row r="1921" spans="1:10" x14ac:dyDescent="0.25">
      <c r="A1921" s="1">
        <v>988</v>
      </c>
      <c r="B1921" t="s">
        <v>19</v>
      </c>
      <c r="C1921">
        <v>700</v>
      </c>
      <c r="D1921">
        <v>0</v>
      </c>
      <c r="E1921" t="s">
        <v>20</v>
      </c>
      <c r="F1921" t="s">
        <v>20</v>
      </c>
      <c r="G1921" t="str">
        <f>"2025-03-17 15:33:06.277"</f>
        <v>2025-03-17 15:33:06.277</v>
      </c>
      <c r="H1921" t="s">
        <v>21</v>
      </c>
      <c r="I1921">
        <v>0</v>
      </c>
      <c r="J1921" t="s">
        <v>22</v>
      </c>
    </row>
    <row r="1922" spans="1:10" x14ac:dyDescent="0.25">
      <c r="A1922" s="1">
        <v>989</v>
      </c>
      <c r="B1922" t="s">
        <v>23</v>
      </c>
      <c r="C1922">
        <v>61</v>
      </c>
      <c r="D1922">
        <v>2</v>
      </c>
      <c r="E1922" t="s">
        <v>51</v>
      </c>
      <c r="F1922" t="s">
        <v>52</v>
      </c>
      <c r="G1922" t="str">
        <f>"2025-03-17 04:55:21.056"</f>
        <v>2025-03-17 04:55:21.056</v>
      </c>
      <c r="H1922" t="s">
        <v>21</v>
      </c>
    </row>
    <row r="1923" spans="1:10" x14ac:dyDescent="0.25">
      <c r="A1923" s="1">
        <v>990</v>
      </c>
      <c r="B1923" t="s">
        <v>38</v>
      </c>
      <c r="C1923">
        <v>61</v>
      </c>
      <c r="D1923">
        <v>2</v>
      </c>
      <c r="E1923" t="s">
        <v>51</v>
      </c>
      <c r="F1923" t="s">
        <v>52</v>
      </c>
      <c r="G1923" t="str">
        <f>"2025-03-17 04:55:15.756"</f>
        <v>2025-03-17 04:55:15.756</v>
      </c>
      <c r="H1923" t="s">
        <v>21</v>
      </c>
      <c r="I1923">
        <v>29.34</v>
      </c>
      <c r="J1923" t="s">
        <v>33</v>
      </c>
    </row>
    <row r="1924" spans="1:10" x14ac:dyDescent="0.25">
      <c r="A1924" s="1">
        <v>991</v>
      </c>
      <c r="B1924" t="s">
        <v>23</v>
      </c>
      <c r="C1924">
        <v>635</v>
      </c>
      <c r="D1924">
        <v>1</v>
      </c>
      <c r="E1924" t="s">
        <v>44</v>
      </c>
      <c r="F1924" t="s">
        <v>45</v>
      </c>
      <c r="G1924" t="str">
        <f>"2025-03-16 22:12:46.855"</f>
        <v>2025-03-16 22:12:46.855</v>
      </c>
      <c r="H1924" t="s">
        <v>21</v>
      </c>
    </row>
    <row r="1925" spans="1:10" x14ac:dyDescent="0.25">
      <c r="A1925" s="1">
        <v>992</v>
      </c>
      <c r="B1925" t="s">
        <v>26</v>
      </c>
      <c r="C1925">
        <v>635</v>
      </c>
      <c r="D1925">
        <v>1</v>
      </c>
      <c r="E1925" t="s">
        <v>44</v>
      </c>
      <c r="F1925" t="s">
        <v>45</v>
      </c>
      <c r="G1925" t="str">
        <f>"2025-03-16 21:53:19.355"</f>
        <v>2025-03-16 21:53:19.355</v>
      </c>
      <c r="H1925" t="s">
        <v>21</v>
      </c>
      <c r="I1925">
        <v>5.88</v>
      </c>
      <c r="J1925" t="s">
        <v>30</v>
      </c>
    </row>
    <row r="1926" spans="1:10" x14ac:dyDescent="0.25">
      <c r="A1926" s="1">
        <v>993</v>
      </c>
      <c r="B1926" t="s">
        <v>19</v>
      </c>
      <c r="C1926">
        <v>700</v>
      </c>
      <c r="D1926">
        <v>0</v>
      </c>
      <c r="E1926" t="s">
        <v>20</v>
      </c>
      <c r="F1926" t="s">
        <v>20</v>
      </c>
      <c r="G1926" t="str">
        <f>"2025-03-16 07:35:14.294"</f>
        <v>2025-03-16 07:35:14.294</v>
      </c>
      <c r="H1926" t="s">
        <v>21</v>
      </c>
      <c r="I1926">
        <v>0</v>
      </c>
      <c r="J1926" t="s">
        <v>22</v>
      </c>
    </row>
    <row r="1927" spans="1:10" x14ac:dyDescent="0.25">
      <c r="A1927" s="1">
        <v>994</v>
      </c>
      <c r="B1927" t="s">
        <v>23</v>
      </c>
      <c r="C1927">
        <v>61</v>
      </c>
      <c r="D1927">
        <v>2</v>
      </c>
      <c r="E1927" t="s">
        <v>51</v>
      </c>
      <c r="F1927" t="s">
        <v>52</v>
      </c>
      <c r="G1927" t="str">
        <f>"2025-03-15 05:24:08.494"</f>
        <v>2025-03-15 05:24:08.494</v>
      </c>
      <c r="H1927" t="s">
        <v>21</v>
      </c>
    </row>
    <row r="1928" spans="1:10" x14ac:dyDescent="0.25">
      <c r="A1928" s="1">
        <v>995</v>
      </c>
      <c r="B1928" t="s">
        <v>38</v>
      </c>
      <c r="C1928">
        <v>61</v>
      </c>
      <c r="D1928">
        <v>2</v>
      </c>
      <c r="E1928" t="s">
        <v>51</v>
      </c>
      <c r="F1928" t="s">
        <v>52</v>
      </c>
      <c r="G1928" t="str">
        <f>"2025-03-15 05:24:03.394"</f>
        <v>2025-03-15 05:24:03.394</v>
      </c>
      <c r="H1928" t="s">
        <v>21</v>
      </c>
      <c r="I1928">
        <v>29.07</v>
      </c>
      <c r="J1928" t="s">
        <v>33</v>
      </c>
    </row>
    <row r="1929" spans="1:10" x14ac:dyDescent="0.25">
      <c r="A1929" s="1">
        <v>997</v>
      </c>
      <c r="B1929" t="s">
        <v>23</v>
      </c>
      <c r="C1929">
        <v>61</v>
      </c>
      <c r="D1929">
        <v>2</v>
      </c>
      <c r="E1929" t="s">
        <v>51</v>
      </c>
      <c r="F1929" t="s">
        <v>52</v>
      </c>
      <c r="G1929" t="str">
        <f>"2025-03-13 02:14:04.994"</f>
        <v>2025-03-13 02:14:04.994</v>
      </c>
      <c r="H1929" t="s">
        <v>21</v>
      </c>
    </row>
    <row r="1930" spans="1:10" x14ac:dyDescent="0.25">
      <c r="A1930" s="1">
        <v>998</v>
      </c>
      <c r="B1930" t="s">
        <v>38</v>
      </c>
      <c r="C1930">
        <v>61</v>
      </c>
      <c r="D1930">
        <v>2</v>
      </c>
      <c r="E1930" t="s">
        <v>51</v>
      </c>
      <c r="F1930" t="s">
        <v>52</v>
      </c>
      <c r="G1930" t="str">
        <f>"2025-03-13 02:13:59.794"</f>
        <v>2025-03-13 02:13:59.794</v>
      </c>
      <c r="H1930" t="s">
        <v>21</v>
      </c>
      <c r="I1930">
        <v>29.19</v>
      </c>
      <c r="J1930" t="s">
        <v>33</v>
      </c>
    </row>
    <row r="1931" spans="1:10" x14ac:dyDescent="0.25">
      <c r="A1931" s="1">
        <v>999</v>
      </c>
      <c r="B1931" t="s">
        <v>23</v>
      </c>
      <c r="C1931">
        <v>61</v>
      </c>
      <c r="D1931">
        <v>2</v>
      </c>
      <c r="E1931" t="s">
        <v>51</v>
      </c>
      <c r="F1931" t="s">
        <v>52</v>
      </c>
      <c r="G1931" t="str">
        <f>"2025-03-13 01:40:20.594"</f>
        <v>2025-03-13 01:40:20.594</v>
      </c>
      <c r="H1931" t="s">
        <v>21</v>
      </c>
    </row>
    <row r="1932" spans="1:10" x14ac:dyDescent="0.25">
      <c r="A1932" s="1">
        <v>0</v>
      </c>
      <c r="B1932" t="s">
        <v>38</v>
      </c>
      <c r="C1932">
        <v>61</v>
      </c>
      <c r="D1932">
        <v>2</v>
      </c>
      <c r="E1932" t="s">
        <v>51</v>
      </c>
      <c r="F1932" t="s">
        <v>52</v>
      </c>
      <c r="G1932" t="str">
        <f>"2025-03-13 01:40:15.494"</f>
        <v>2025-03-13 01:40:15.494</v>
      </c>
      <c r="H1932" t="s">
        <v>21</v>
      </c>
      <c r="I1932">
        <v>29.02</v>
      </c>
      <c r="J1932" t="s">
        <v>33</v>
      </c>
    </row>
    <row r="1933" spans="1:10" x14ac:dyDescent="0.25">
      <c r="A1933" s="1">
        <v>1</v>
      </c>
      <c r="B1933" t="s">
        <v>23</v>
      </c>
      <c r="C1933">
        <v>61</v>
      </c>
      <c r="D1933">
        <v>2</v>
      </c>
      <c r="E1933" t="s">
        <v>51</v>
      </c>
      <c r="F1933" t="s">
        <v>52</v>
      </c>
      <c r="G1933" t="str">
        <f>"2025-03-12 23:24:40.694"</f>
        <v>2025-03-12 23:24:40.694</v>
      </c>
      <c r="H1933" t="s">
        <v>21</v>
      </c>
    </row>
    <row r="1934" spans="1:10" x14ac:dyDescent="0.25">
      <c r="A1934" s="1">
        <v>2</v>
      </c>
      <c r="B1934" t="s">
        <v>38</v>
      </c>
      <c r="C1934">
        <v>61</v>
      </c>
      <c r="D1934">
        <v>2</v>
      </c>
      <c r="E1934" t="s">
        <v>51</v>
      </c>
      <c r="F1934" t="s">
        <v>52</v>
      </c>
      <c r="G1934" t="str">
        <f>"2025-03-12 23:24:35.594"</f>
        <v>2025-03-12 23:24:35.594</v>
      </c>
      <c r="H1934" t="s">
        <v>21</v>
      </c>
      <c r="I1934">
        <v>29</v>
      </c>
      <c r="J1934" t="s">
        <v>33</v>
      </c>
    </row>
    <row r="1935" spans="1:10" x14ac:dyDescent="0.25">
      <c r="A1935" s="1">
        <v>3</v>
      </c>
      <c r="B1935" t="s">
        <v>23</v>
      </c>
      <c r="C1935">
        <v>61</v>
      </c>
      <c r="D1935">
        <v>2</v>
      </c>
      <c r="E1935" t="s">
        <v>51</v>
      </c>
      <c r="F1935" t="s">
        <v>52</v>
      </c>
      <c r="G1935" t="str">
        <f>"2025-03-12 22:28:54.994"</f>
        <v>2025-03-12 22:28:54.994</v>
      </c>
      <c r="H1935" t="s">
        <v>21</v>
      </c>
    </row>
    <row r="1936" spans="1:10" x14ac:dyDescent="0.25">
      <c r="A1936" s="1">
        <v>4</v>
      </c>
      <c r="B1936" t="s">
        <v>38</v>
      </c>
      <c r="C1936">
        <v>61</v>
      </c>
      <c r="D1936">
        <v>2</v>
      </c>
      <c r="E1936" t="s">
        <v>51</v>
      </c>
      <c r="F1936" t="s">
        <v>52</v>
      </c>
      <c r="G1936" t="str">
        <f>"2025-03-12 22:28:49.794"</f>
        <v>2025-03-12 22:28:49.794</v>
      </c>
      <c r="H1936" t="s">
        <v>21</v>
      </c>
      <c r="I1936">
        <v>29.12</v>
      </c>
      <c r="J1936" t="s">
        <v>33</v>
      </c>
    </row>
    <row r="1937" spans="1:10" x14ac:dyDescent="0.25">
      <c r="A1937" s="1">
        <v>5</v>
      </c>
      <c r="B1937" t="s">
        <v>23</v>
      </c>
      <c r="C1937">
        <v>61</v>
      </c>
      <c r="D1937">
        <v>2</v>
      </c>
      <c r="E1937" t="s">
        <v>51</v>
      </c>
      <c r="F1937" t="s">
        <v>52</v>
      </c>
      <c r="G1937" t="str">
        <f>"2025-03-12 21:51:02.394"</f>
        <v>2025-03-12 21:51:02.394</v>
      </c>
      <c r="H1937" t="s">
        <v>21</v>
      </c>
    </row>
    <row r="1938" spans="1:10" x14ac:dyDescent="0.25">
      <c r="A1938" s="1">
        <v>6</v>
      </c>
      <c r="B1938" t="s">
        <v>38</v>
      </c>
      <c r="C1938">
        <v>61</v>
      </c>
      <c r="D1938">
        <v>2</v>
      </c>
      <c r="E1938" t="s">
        <v>51</v>
      </c>
      <c r="F1938" t="s">
        <v>52</v>
      </c>
      <c r="G1938" t="str">
        <f>"2025-03-12 21:50:57.094"</f>
        <v>2025-03-12 21:50:57.094</v>
      </c>
      <c r="H1938" t="s">
        <v>21</v>
      </c>
      <c r="I1938">
        <v>29.23</v>
      </c>
      <c r="J1938" t="s">
        <v>33</v>
      </c>
    </row>
    <row r="1939" spans="1:10" x14ac:dyDescent="0.25">
      <c r="A1939" s="1">
        <v>7</v>
      </c>
      <c r="B1939" t="s">
        <v>23</v>
      </c>
      <c r="C1939">
        <v>61</v>
      </c>
      <c r="D1939">
        <v>2</v>
      </c>
      <c r="E1939" t="s">
        <v>51</v>
      </c>
      <c r="F1939" t="s">
        <v>52</v>
      </c>
      <c r="G1939" t="str">
        <f>"2025-03-12 20:57:37.694"</f>
        <v>2025-03-12 20:57:37.694</v>
      </c>
      <c r="H1939" t="s">
        <v>21</v>
      </c>
    </row>
    <row r="1940" spans="1:10" x14ac:dyDescent="0.25">
      <c r="A1940" s="1">
        <v>8</v>
      </c>
      <c r="B1940" t="s">
        <v>38</v>
      </c>
      <c r="C1940">
        <v>61</v>
      </c>
      <c r="D1940">
        <v>2</v>
      </c>
      <c r="E1940" t="s">
        <v>51</v>
      </c>
      <c r="F1940" t="s">
        <v>52</v>
      </c>
      <c r="G1940" t="str">
        <f>"2025-03-12 20:57:32.494"</f>
        <v>2025-03-12 20:57:32.494</v>
      </c>
      <c r="H1940" t="s">
        <v>21</v>
      </c>
      <c r="I1940">
        <v>29.22</v>
      </c>
      <c r="J1940" t="s">
        <v>33</v>
      </c>
    </row>
    <row r="1941" spans="1:10" x14ac:dyDescent="0.25">
      <c r="A1941" s="1">
        <v>9</v>
      </c>
      <c r="B1941" t="s">
        <v>23</v>
      </c>
      <c r="C1941">
        <v>61</v>
      </c>
      <c r="D1941">
        <v>2</v>
      </c>
      <c r="E1941" t="s">
        <v>51</v>
      </c>
      <c r="F1941" t="s">
        <v>52</v>
      </c>
      <c r="G1941" t="str">
        <f>"2025-03-12 06:40:43.194"</f>
        <v>2025-03-12 06:40:43.194</v>
      </c>
      <c r="H1941" t="s">
        <v>21</v>
      </c>
    </row>
    <row r="1942" spans="1:10" x14ac:dyDescent="0.25">
      <c r="A1942" s="1">
        <v>10</v>
      </c>
      <c r="B1942" t="s">
        <v>38</v>
      </c>
      <c r="C1942">
        <v>61</v>
      </c>
      <c r="D1942">
        <v>2</v>
      </c>
      <c r="E1942" t="s">
        <v>51</v>
      </c>
      <c r="F1942" t="s">
        <v>52</v>
      </c>
      <c r="G1942" t="str">
        <f>"2025-03-12 06:40:37.894"</f>
        <v>2025-03-12 06:40:37.894</v>
      </c>
      <c r="H1942" t="s">
        <v>21</v>
      </c>
      <c r="I1942">
        <v>29.31</v>
      </c>
      <c r="J1942" t="s">
        <v>33</v>
      </c>
    </row>
    <row r="1943" spans="1:10" x14ac:dyDescent="0.25">
      <c r="A1943" s="1">
        <v>11</v>
      </c>
      <c r="B1943" t="s">
        <v>23</v>
      </c>
      <c r="C1943">
        <v>61</v>
      </c>
      <c r="D1943">
        <v>2</v>
      </c>
      <c r="E1943" t="s">
        <v>51</v>
      </c>
      <c r="F1943" t="s">
        <v>52</v>
      </c>
      <c r="G1943" t="str">
        <f>"2025-03-12 04:11:46.594"</f>
        <v>2025-03-12 04:11:46.594</v>
      </c>
      <c r="H1943" t="s">
        <v>21</v>
      </c>
    </row>
    <row r="1944" spans="1:10" x14ac:dyDescent="0.25">
      <c r="A1944" s="1">
        <v>12</v>
      </c>
      <c r="B1944" t="s">
        <v>38</v>
      </c>
      <c r="C1944">
        <v>61</v>
      </c>
      <c r="D1944">
        <v>2</v>
      </c>
      <c r="E1944" t="s">
        <v>51</v>
      </c>
      <c r="F1944" t="s">
        <v>52</v>
      </c>
      <c r="G1944" t="str">
        <f>"2025-03-12 04:11:41.294"</f>
        <v>2025-03-12 04:11:41.294</v>
      </c>
      <c r="H1944" t="s">
        <v>21</v>
      </c>
      <c r="I1944">
        <v>29.28</v>
      </c>
      <c r="J1944" t="s">
        <v>33</v>
      </c>
    </row>
    <row r="1945" spans="1:10" x14ac:dyDescent="0.25">
      <c r="A1945" s="1">
        <v>13</v>
      </c>
      <c r="B1945" t="s">
        <v>23</v>
      </c>
      <c r="C1945">
        <v>61</v>
      </c>
      <c r="D1945">
        <v>2</v>
      </c>
      <c r="E1945" t="s">
        <v>51</v>
      </c>
      <c r="F1945" t="s">
        <v>52</v>
      </c>
      <c r="G1945" t="str">
        <f>"2025-03-12 03:44:52.894"</f>
        <v>2025-03-12 03:44:52.894</v>
      </c>
      <c r="H1945" t="s">
        <v>21</v>
      </c>
    </row>
    <row r="1946" spans="1:10" x14ac:dyDescent="0.25">
      <c r="A1946" s="1">
        <v>14</v>
      </c>
      <c r="B1946" t="s">
        <v>38</v>
      </c>
      <c r="C1946">
        <v>61</v>
      </c>
      <c r="D1946">
        <v>2</v>
      </c>
      <c r="E1946" t="s">
        <v>51</v>
      </c>
      <c r="F1946" t="s">
        <v>52</v>
      </c>
      <c r="G1946" t="str">
        <f>"2025-03-12 03:44:47.794"</f>
        <v>2025-03-12 03:44:47.794</v>
      </c>
      <c r="H1946" t="s">
        <v>21</v>
      </c>
      <c r="I1946">
        <v>29.01</v>
      </c>
      <c r="J1946" t="s">
        <v>33</v>
      </c>
    </row>
    <row r="1947" spans="1:10" x14ac:dyDescent="0.25">
      <c r="A1947" s="1">
        <v>15</v>
      </c>
      <c r="B1947" t="s">
        <v>19</v>
      </c>
      <c r="C1947">
        <v>700</v>
      </c>
      <c r="D1947">
        <v>0</v>
      </c>
      <c r="E1947" t="s">
        <v>20</v>
      </c>
      <c r="F1947" t="s">
        <v>20</v>
      </c>
      <c r="G1947" t="str">
        <f>"2025-03-12 03:15:19.485"</f>
        <v>2025-03-12 03:15:19.485</v>
      </c>
      <c r="H1947" t="s">
        <v>21</v>
      </c>
    </row>
    <row r="1948" spans="1:10" x14ac:dyDescent="0.25">
      <c r="A1948" s="1">
        <v>16</v>
      </c>
      <c r="B1948" t="s">
        <v>23</v>
      </c>
      <c r="C1948">
        <v>61</v>
      </c>
      <c r="D1948">
        <v>2</v>
      </c>
      <c r="E1948" t="s">
        <v>51</v>
      </c>
      <c r="F1948" t="s">
        <v>52</v>
      </c>
      <c r="G1948" t="str">
        <f>"2025-03-12 02:52:14.350"</f>
        <v>2025-03-12 02:52:14.350</v>
      </c>
      <c r="H1948" t="s">
        <v>21</v>
      </c>
    </row>
    <row r="1949" spans="1:10" x14ac:dyDescent="0.25">
      <c r="A1949" s="1">
        <v>17</v>
      </c>
      <c r="B1949" t="s">
        <v>38</v>
      </c>
      <c r="C1949">
        <v>61</v>
      </c>
      <c r="D1949">
        <v>2</v>
      </c>
      <c r="E1949" t="s">
        <v>51</v>
      </c>
      <c r="F1949" t="s">
        <v>52</v>
      </c>
      <c r="G1949" t="str">
        <f>"2025-03-12 02:52:08.851"</f>
        <v>2025-03-12 02:52:08.851</v>
      </c>
      <c r="H1949" t="s">
        <v>21</v>
      </c>
      <c r="I1949">
        <v>29.11</v>
      </c>
      <c r="J1949" t="s">
        <v>33</v>
      </c>
    </row>
    <row r="1950" spans="1:10" x14ac:dyDescent="0.25">
      <c r="A1950" s="1">
        <v>18</v>
      </c>
      <c r="B1950" t="s">
        <v>23</v>
      </c>
      <c r="C1950">
        <v>61</v>
      </c>
      <c r="D1950">
        <v>2</v>
      </c>
      <c r="E1950" t="s">
        <v>51</v>
      </c>
      <c r="F1950" t="s">
        <v>52</v>
      </c>
      <c r="G1950" t="str">
        <f>"2025-03-12 02:26:36.550"</f>
        <v>2025-03-12 02:26:36.550</v>
      </c>
      <c r="H1950" t="s">
        <v>21</v>
      </c>
    </row>
    <row r="1951" spans="1:10" x14ac:dyDescent="0.25">
      <c r="A1951" s="1">
        <v>19</v>
      </c>
      <c r="B1951" t="s">
        <v>38</v>
      </c>
      <c r="C1951">
        <v>61</v>
      </c>
      <c r="D1951">
        <v>2</v>
      </c>
      <c r="E1951" t="s">
        <v>51</v>
      </c>
      <c r="F1951" t="s">
        <v>52</v>
      </c>
      <c r="G1951" t="str">
        <f>"2025-03-12 02:26:31.350"</f>
        <v>2025-03-12 02:26:31.350</v>
      </c>
      <c r="H1951" t="s">
        <v>21</v>
      </c>
      <c r="I1951">
        <v>29.07</v>
      </c>
      <c r="J1951" t="s">
        <v>33</v>
      </c>
    </row>
    <row r="1952" spans="1:10" x14ac:dyDescent="0.25">
      <c r="A1952" s="1">
        <v>20</v>
      </c>
      <c r="B1952" t="s">
        <v>69</v>
      </c>
      <c r="C1952">
        <v>128</v>
      </c>
      <c r="D1952">
        <v>4</v>
      </c>
      <c r="E1952" t="s">
        <v>70</v>
      </c>
      <c r="F1952" t="s">
        <v>71</v>
      </c>
      <c r="G1952" t="str">
        <f>"2025-03-12 01:32:23.555"</f>
        <v>2025-03-12 01:32:23.555</v>
      </c>
      <c r="H1952" t="s">
        <v>72</v>
      </c>
    </row>
    <row r="1953" spans="1:10" x14ac:dyDescent="0.25">
      <c r="A1953" s="1">
        <v>21</v>
      </c>
      <c r="B1953" t="s">
        <v>38</v>
      </c>
      <c r="C1953">
        <v>128</v>
      </c>
      <c r="D1953">
        <v>4</v>
      </c>
      <c r="E1953" t="s">
        <v>70</v>
      </c>
      <c r="F1953" t="s">
        <v>71</v>
      </c>
      <c r="G1953" t="str">
        <f>"2025-03-12 01:32:18.505"</f>
        <v>2025-03-12 01:32:18.505</v>
      </c>
      <c r="H1953" t="s">
        <v>72</v>
      </c>
      <c r="I1953">
        <v>17.37</v>
      </c>
      <c r="J1953" t="s">
        <v>39</v>
      </c>
    </row>
    <row r="1954" spans="1:10" x14ac:dyDescent="0.25">
      <c r="A1954" s="1">
        <v>22</v>
      </c>
      <c r="B1954" t="s">
        <v>23</v>
      </c>
      <c r="C1954">
        <v>61</v>
      </c>
      <c r="D1954">
        <v>2</v>
      </c>
      <c r="E1954" t="s">
        <v>51</v>
      </c>
      <c r="F1954" t="s">
        <v>52</v>
      </c>
      <c r="G1954" t="str">
        <f>"2025-03-11 23:13:40.750"</f>
        <v>2025-03-11 23:13:40.750</v>
      </c>
      <c r="H1954" t="s">
        <v>21</v>
      </c>
    </row>
    <row r="1955" spans="1:10" x14ac:dyDescent="0.25">
      <c r="A1955" s="1">
        <v>23</v>
      </c>
      <c r="B1955" t="s">
        <v>38</v>
      </c>
      <c r="C1955">
        <v>61</v>
      </c>
      <c r="D1955">
        <v>2</v>
      </c>
      <c r="E1955" t="s">
        <v>51</v>
      </c>
      <c r="F1955" t="s">
        <v>52</v>
      </c>
      <c r="G1955" t="str">
        <f>"2025-03-11 23:13:35.550"</f>
        <v>2025-03-11 23:13:35.550</v>
      </c>
      <c r="H1955" t="s">
        <v>21</v>
      </c>
      <c r="I1955">
        <v>29.3</v>
      </c>
      <c r="J1955" t="s">
        <v>33</v>
      </c>
    </row>
    <row r="1956" spans="1:10" x14ac:dyDescent="0.25">
      <c r="A1956" s="1">
        <v>24</v>
      </c>
      <c r="B1956" t="s">
        <v>23</v>
      </c>
      <c r="C1956">
        <v>61</v>
      </c>
      <c r="D1956">
        <v>2</v>
      </c>
      <c r="E1956" t="s">
        <v>51</v>
      </c>
      <c r="F1956" t="s">
        <v>52</v>
      </c>
      <c r="G1956" t="str">
        <f>"2025-03-11 22:46:17.550"</f>
        <v>2025-03-11 22:46:17.550</v>
      </c>
      <c r="H1956" t="s">
        <v>21</v>
      </c>
    </row>
    <row r="1957" spans="1:10" x14ac:dyDescent="0.25">
      <c r="A1957" s="1">
        <v>25</v>
      </c>
      <c r="B1957" t="s">
        <v>38</v>
      </c>
      <c r="C1957">
        <v>61</v>
      </c>
      <c r="D1957">
        <v>2</v>
      </c>
      <c r="E1957" t="s">
        <v>51</v>
      </c>
      <c r="F1957" t="s">
        <v>52</v>
      </c>
      <c r="G1957" t="str">
        <f>"2025-03-11 22:46:12.451"</f>
        <v>2025-03-11 22:46:12.451</v>
      </c>
      <c r="H1957" t="s">
        <v>21</v>
      </c>
      <c r="I1957">
        <v>29.11</v>
      </c>
      <c r="J1957" t="s">
        <v>33</v>
      </c>
    </row>
    <row r="1958" spans="1:10" x14ac:dyDescent="0.25">
      <c r="A1958" s="1">
        <v>26</v>
      </c>
      <c r="B1958" t="s">
        <v>23</v>
      </c>
      <c r="C1958">
        <v>61</v>
      </c>
      <c r="D1958">
        <v>2</v>
      </c>
      <c r="E1958" t="s">
        <v>51</v>
      </c>
      <c r="F1958" t="s">
        <v>52</v>
      </c>
      <c r="G1958" t="str">
        <f>"2025-03-11 21:56:32.150"</f>
        <v>2025-03-11 21:56:32.150</v>
      </c>
      <c r="H1958" t="s">
        <v>21</v>
      </c>
    </row>
    <row r="1959" spans="1:10" x14ac:dyDescent="0.25">
      <c r="A1959" s="1">
        <v>27</v>
      </c>
      <c r="B1959" t="s">
        <v>38</v>
      </c>
      <c r="C1959">
        <v>61</v>
      </c>
      <c r="D1959">
        <v>2</v>
      </c>
      <c r="E1959" t="s">
        <v>51</v>
      </c>
      <c r="F1959" t="s">
        <v>52</v>
      </c>
      <c r="G1959" t="str">
        <f>"2025-03-11 21:56:26.750"</f>
        <v>2025-03-11 21:56:26.750</v>
      </c>
      <c r="H1959" t="s">
        <v>21</v>
      </c>
      <c r="I1959">
        <v>29.27</v>
      </c>
      <c r="J1959" t="s">
        <v>33</v>
      </c>
    </row>
    <row r="1960" spans="1:10" x14ac:dyDescent="0.25">
      <c r="A1960" s="1">
        <v>28</v>
      </c>
      <c r="B1960" t="s">
        <v>23</v>
      </c>
      <c r="C1960">
        <v>61</v>
      </c>
      <c r="D1960">
        <v>2</v>
      </c>
      <c r="E1960" t="s">
        <v>51</v>
      </c>
      <c r="F1960" t="s">
        <v>52</v>
      </c>
      <c r="G1960" t="str">
        <f>"2025-03-11 06:38:12.350"</f>
        <v>2025-03-11 06:38:12.350</v>
      </c>
      <c r="H1960" t="s">
        <v>21</v>
      </c>
    </row>
    <row r="1961" spans="1:10" x14ac:dyDescent="0.25">
      <c r="A1961" s="1">
        <v>29</v>
      </c>
      <c r="B1961" t="s">
        <v>38</v>
      </c>
      <c r="C1961">
        <v>61</v>
      </c>
      <c r="D1961">
        <v>2</v>
      </c>
      <c r="E1961" t="s">
        <v>51</v>
      </c>
      <c r="F1961" t="s">
        <v>52</v>
      </c>
      <c r="G1961" t="str">
        <f>"2025-03-11 06:37:57.651"</f>
        <v>2025-03-11 06:37:57.651</v>
      </c>
      <c r="H1961" t="s">
        <v>21</v>
      </c>
      <c r="I1961">
        <v>29.94</v>
      </c>
      <c r="J1961" t="s">
        <v>33</v>
      </c>
    </row>
    <row r="1962" spans="1:10" s="3" customFormat="1" x14ac:dyDescent="0.25">
      <c r="A1962" s="2">
        <v>30</v>
      </c>
      <c r="B1962" s="3" t="s">
        <v>23</v>
      </c>
      <c r="C1962" s="3">
        <v>647</v>
      </c>
      <c r="D1962" s="3">
        <v>1</v>
      </c>
      <c r="E1962" s="3" t="s">
        <v>28</v>
      </c>
      <c r="F1962" s="3" t="s">
        <v>29</v>
      </c>
      <c r="G1962" s="3" t="str">
        <f>"2025-03-11 06:31:00.539"</f>
        <v>2025-03-11 06:31:00.539</v>
      </c>
      <c r="H1962" s="3" t="s">
        <v>21</v>
      </c>
    </row>
    <row r="1963" spans="1:10" s="3" customFormat="1" x14ac:dyDescent="0.25">
      <c r="A1963" s="2">
        <v>31</v>
      </c>
      <c r="B1963" s="3" t="s">
        <v>26</v>
      </c>
      <c r="C1963" s="3">
        <v>647</v>
      </c>
      <c r="D1963" s="3">
        <v>1</v>
      </c>
      <c r="E1963" s="3" t="s">
        <v>28</v>
      </c>
      <c r="F1963" s="3" t="s">
        <v>29</v>
      </c>
      <c r="G1963" s="3" t="str">
        <f>"2025-03-11 06:30:58.238"</f>
        <v>2025-03-11 06:30:58.238</v>
      </c>
      <c r="H1963" s="3" t="s">
        <v>21</v>
      </c>
      <c r="I1963" s="3">
        <v>24.04</v>
      </c>
      <c r="J1963" s="3" t="s">
        <v>33</v>
      </c>
    </row>
    <row r="1964" spans="1:10" x14ac:dyDescent="0.25">
      <c r="A1964" s="1">
        <v>32</v>
      </c>
      <c r="B1964" t="s">
        <v>69</v>
      </c>
      <c r="C1964">
        <v>128</v>
      </c>
      <c r="D1964">
        <v>4</v>
      </c>
      <c r="E1964" t="s">
        <v>70</v>
      </c>
      <c r="F1964" t="s">
        <v>71</v>
      </c>
      <c r="G1964" t="str">
        <f>"2025-03-11 03:21:19.455"</f>
        <v>2025-03-11 03:21:19.455</v>
      </c>
      <c r="H1964" t="s">
        <v>72</v>
      </c>
    </row>
    <row r="1965" spans="1:10" x14ac:dyDescent="0.25">
      <c r="A1965" s="1">
        <v>33</v>
      </c>
      <c r="B1965" t="s">
        <v>38</v>
      </c>
      <c r="C1965">
        <v>128</v>
      </c>
      <c r="D1965">
        <v>4</v>
      </c>
      <c r="E1965" t="s">
        <v>70</v>
      </c>
      <c r="F1965" t="s">
        <v>71</v>
      </c>
      <c r="G1965" t="str">
        <f>"2025-03-11 03:21:14.385"</f>
        <v>2025-03-11 03:21:14.385</v>
      </c>
      <c r="H1965" t="s">
        <v>72</v>
      </c>
      <c r="I1965">
        <v>9.4700000000000006</v>
      </c>
      <c r="J1965" t="s">
        <v>39</v>
      </c>
    </row>
    <row r="1966" spans="1:10" x14ac:dyDescent="0.25">
      <c r="A1966" s="1">
        <v>35</v>
      </c>
      <c r="B1966" t="s">
        <v>23</v>
      </c>
      <c r="C1966">
        <v>61</v>
      </c>
      <c r="D1966">
        <v>2</v>
      </c>
      <c r="E1966" t="s">
        <v>51</v>
      </c>
      <c r="F1966" t="s">
        <v>52</v>
      </c>
      <c r="G1966" t="str">
        <f>"2025-03-10 21:06:45.651"</f>
        <v>2025-03-10 21:06:45.651</v>
      </c>
      <c r="H1966" t="s">
        <v>21</v>
      </c>
    </row>
    <row r="1967" spans="1:10" x14ac:dyDescent="0.25">
      <c r="A1967" s="1">
        <v>36</v>
      </c>
      <c r="B1967" t="s">
        <v>38</v>
      </c>
      <c r="C1967">
        <v>61</v>
      </c>
      <c r="D1967">
        <v>2</v>
      </c>
      <c r="E1967" t="s">
        <v>51</v>
      </c>
      <c r="F1967" t="s">
        <v>52</v>
      </c>
      <c r="G1967" t="str">
        <f>"2025-03-10 21:06:40.451"</f>
        <v>2025-03-10 21:06:40.451</v>
      </c>
      <c r="H1967" t="s">
        <v>21</v>
      </c>
      <c r="I1967">
        <v>29.11</v>
      </c>
      <c r="J1967" t="s">
        <v>33</v>
      </c>
    </row>
    <row r="1968" spans="1:10" x14ac:dyDescent="0.25">
      <c r="A1968" s="1">
        <v>37</v>
      </c>
      <c r="B1968" t="s">
        <v>23</v>
      </c>
      <c r="C1968">
        <v>61</v>
      </c>
      <c r="D1968">
        <v>2</v>
      </c>
      <c r="E1968" t="s">
        <v>51</v>
      </c>
      <c r="F1968" t="s">
        <v>52</v>
      </c>
      <c r="G1968" t="str">
        <f>"2025-03-10 00:29:37.851"</f>
        <v>2025-03-10 00:29:37.851</v>
      </c>
      <c r="H1968" t="s">
        <v>21</v>
      </c>
    </row>
    <row r="1969" spans="1:10" x14ac:dyDescent="0.25">
      <c r="A1969" s="1">
        <v>38</v>
      </c>
      <c r="B1969" t="s">
        <v>38</v>
      </c>
      <c r="C1969">
        <v>61</v>
      </c>
      <c r="D1969">
        <v>2</v>
      </c>
      <c r="E1969" t="s">
        <v>51</v>
      </c>
      <c r="F1969" t="s">
        <v>52</v>
      </c>
      <c r="G1969" t="str">
        <f>"2025-03-10 00:29:32.451"</f>
        <v>2025-03-10 00:29:32.451</v>
      </c>
      <c r="H1969" t="s">
        <v>21</v>
      </c>
      <c r="I1969">
        <v>29.23</v>
      </c>
      <c r="J1969" t="s">
        <v>33</v>
      </c>
    </row>
    <row r="1970" spans="1:10" x14ac:dyDescent="0.25">
      <c r="A1970" s="1">
        <v>39</v>
      </c>
      <c r="B1970" t="s">
        <v>23</v>
      </c>
      <c r="C1970">
        <v>61</v>
      </c>
      <c r="D1970">
        <v>2</v>
      </c>
      <c r="E1970" t="s">
        <v>51</v>
      </c>
      <c r="F1970" t="s">
        <v>52</v>
      </c>
      <c r="G1970" t="str">
        <f>"2025-03-09 22:04:55.851"</f>
        <v>2025-03-09 22:04:55.851</v>
      </c>
      <c r="H1970" t="s">
        <v>21</v>
      </c>
    </row>
    <row r="1971" spans="1:10" x14ac:dyDescent="0.25">
      <c r="A1971" s="1">
        <v>40</v>
      </c>
      <c r="B1971" t="s">
        <v>38</v>
      </c>
      <c r="C1971">
        <v>61</v>
      </c>
      <c r="D1971">
        <v>2</v>
      </c>
      <c r="E1971" t="s">
        <v>51</v>
      </c>
      <c r="F1971" t="s">
        <v>52</v>
      </c>
      <c r="G1971" t="str">
        <f>"2025-03-09 22:04:50.751"</f>
        <v>2025-03-09 22:04:50.751</v>
      </c>
      <c r="H1971" t="s">
        <v>21</v>
      </c>
      <c r="I1971">
        <v>29.04</v>
      </c>
      <c r="J1971" t="s">
        <v>33</v>
      </c>
    </row>
    <row r="1972" spans="1:10" x14ac:dyDescent="0.25">
      <c r="A1972" s="1">
        <v>42</v>
      </c>
      <c r="B1972" t="s">
        <v>23</v>
      </c>
      <c r="C1972">
        <v>619</v>
      </c>
      <c r="D1972">
        <v>1</v>
      </c>
      <c r="E1972" t="s">
        <v>46</v>
      </c>
      <c r="F1972" t="s">
        <v>45</v>
      </c>
      <c r="G1972" t="str">
        <f>"2025-03-08 15:26:46.490"</f>
        <v>2025-03-08 15:26:46.490</v>
      </c>
      <c r="H1972" t="s">
        <v>47</v>
      </c>
    </row>
    <row r="1973" spans="1:10" x14ac:dyDescent="0.25">
      <c r="A1973" s="1">
        <v>43</v>
      </c>
      <c r="B1973" t="s">
        <v>26</v>
      </c>
      <c r="C1973">
        <v>619</v>
      </c>
      <c r="D1973">
        <v>1</v>
      </c>
      <c r="E1973" t="s">
        <v>46</v>
      </c>
      <c r="F1973" t="s">
        <v>45</v>
      </c>
      <c r="G1973" t="str">
        <f>"2025-03-08 15:25:46.790"</f>
        <v>2025-03-08 15:25:46.790</v>
      </c>
      <c r="H1973" t="s">
        <v>47</v>
      </c>
      <c r="I1973">
        <v>0</v>
      </c>
      <c r="J1973" t="s">
        <v>30</v>
      </c>
    </row>
    <row r="1974" spans="1:10" x14ac:dyDescent="0.25">
      <c r="A1974" s="1">
        <v>44</v>
      </c>
      <c r="B1974" t="s">
        <v>19</v>
      </c>
      <c r="C1974">
        <v>700</v>
      </c>
      <c r="D1974">
        <v>0</v>
      </c>
      <c r="E1974" t="s">
        <v>20</v>
      </c>
      <c r="F1974" t="s">
        <v>20</v>
      </c>
      <c r="G1974" t="str">
        <f>"2025-03-08 15:25:16.381"</f>
        <v>2025-03-08 15:25:16.381</v>
      </c>
      <c r="H1974" t="s">
        <v>21</v>
      </c>
    </row>
    <row r="1975" spans="1:10" x14ac:dyDescent="0.25">
      <c r="A1975" s="1">
        <v>46</v>
      </c>
      <c r="B1975" t="s">
        <v>23</v>
      </c>
      <c r="C1975">
        <v>619</v>
      </c>
      <c r="D1975">
        <v>1</v>
      </c>
      <c r="E1975" t="s">
        <v>46</v>
      </c>
      <c r="F1975" t="s">
        <v>45</v>
      </c>
      <c r="G1975" t="str">
        <f>"2025-03-08 03:18:38.489"</f>
        <v>2025-03-08 03:18:38.489</v>
      </c>
      <c r="H1975" t="s">
        <v>47</v>
      </c>
    </row>
    <row r="1976" spans="1:10" x14ac:dyDescent="0.25">
      <c r="A1976" s="1">
        <v>49</v>
      </c>
      <c r="B1976" t="s">
        <v>26</v>
      </c>
      <c r="C1976">
        <v>619</v>
      </c>
      <c r="D1976">
        <v>1</v>
      </c>
      <c r="E1976" t="s">
        <v>46</v>
      </c>
      <c r="F1976" t="s">
        <v>45</v>
      </c>
      <c r="G1976" t="str">
        <f>"2025-03-08 03:18:28.104"</f>
        <v>2025-03-08 03:18:28.104</v>
      </c>
      <c r="H1976" t="s">
        <v>47</v>
      </c>
      <c r="I1976">
        <v>0</v>
      </c>
      <c r="J1976" t="s">
        <v>30</v>
      </c>
    </row>
    <row r="1977" spans="1:10" x14ac:dyDescent="0.25">
      <c r="A1977" s="1">
        <v>50</v>
      </c>
      <c r="B1977" t="s">
        <v>19</v>
      </c>
      <c r="C1977">
        <v>782</v>
      </c>
      <c r="D1977">
        <v>7</v>
      </c>
      <c r="E1977" t="s">
        <v>56</v>
      </c>
      <c r="F1977" t="s">
        <v>57</v>
      </c>
      <c r="G1977" t="str">
        <f>"2025-03-08 03:18:28.102"</f>
        <v>2025-03-08 03:18:28.102</v>
      </c>
      <c r="H1977" t="s">
        <v>21</v>
      </c>
      <c r="I1977">
        <v>0</v>
      </c>
      <c r="J1977" t="s">
        <v>30</v>
      </c>
    </row>
    <row r="1978" spans="1:10" x14ac:dyDescent="0.25">
      <c r="A1978" s="1">
        <v>53</v>
      </c>
      <c r="B1978" t="s">
        <v>23</v>
      </c>
      <c r="C1978">
        <v>619</v>
      </c>
      <c r="D1978">
        <v>1</v>
      </c>
      <c r="E1978" t="s">
        <v>46</v>
      </c>
      <c r="F1978" t="s">
        <v>45</v>
      </c>
      <c r="G1978" t="str">
        <f>"2025-03-08 03:18:28.096"</f>
        <v>2025-03-08 03:18:28.096</v>
      </c>
      <c r="H1978" t="s">
        <v>47</v>
      </c>
    </row>
    <row r="1979" spans="1:10" x14ac:dyDescent="0.25">
      <c r="A1979" s="1">
        <v>54</v>
      </c>
      <c r="B1979" t="s">
        <v>19</v>
      </c>
      <c r="C1979">
        <v>782</v>
      </c>
      <c r="D1979">
        <v>7</v>
      </c>
      <c r="E1979" t="s">
        <v>56</v>
      </c>
      <c r="F1979" t="s">
        <v>57</v>
      </c>
      <c r="G1979" t="str">
        <f>"2025-03-08 03:18:28.089"</f>
        <v>2025-03-08 03:18:28.089</v>
      </c>
      <c r="H1979" t="s">
        <v>21</v>
      </c>
      <c r="I1979">
        <v>0</v>
      </c>
      <c r="J1979" t="s">
        <v>30</v>
      </c>
    </row>
    <row r="1980" spans="1:10" x14ac:dyDescent="0.25">
      <c r="A1980" s="1">
        <v>55</v>
      </c>
      <c r="B1980" t="s">
        <v>26</v>
      </c>
      <c r="C1980">
        <v>619</v>
      </c>
      <c r="D1980">
        <v>1</v>
      </c>
      <c r="E1980" t="s">
        <v>46</v>
      </c>
      <c r="F1980" t="s">
        <v>45</v>
      </c>
      <c r="G1980" t="str">
        <f>"2025-03-08 03:17:37.789"</f>
        <v>2025-03-08 03:17:37.789</v>
      </c>
      <c r="H1980" t="s">
        <v>47</v>
      </c>
      <c r="I1980">
        <v>0</v>
      </c>
      <c r="J1980" t="s">
        <v>30</v>
      </c>
    </row>
    <row r="1981" spans="1:10" x14ac:dyDescent="0.25">
      <c r="A1981" s="1">
        <v>56</v>
      </c>
      <c r="B1981" t="s">
        <v>19</v>
      </c>
      <c r="C1981">
        <v>700</v>
      </c>
      <c r="D1981">
        <v>0</v>
      </c>
      <c r="E1981" t="s">
        <v>20</v>
      </c>
      <c r="F1981" t="s">
        <v>20</v>
      </c>
      <c r="G1981" t="str">
        <f>"2025-03-08 03:17:05.229"</f>
        <v>2025-03-08 03:17:05.229</v>
      </c>
      <c r="H1981" t="s">
        <v>21</v>
      </c>
      <c r="I1981">
        <v>0</v>
      </c>
      <c r="J1981" t="s">
        <v>22</v>
      </c>
    </row>
    <row r="1982" spans="1:10" x14ac:dyDescent="0.25">
      <c r="A1982" s="1">
        <v>57</v>
      </c>
      <c r="B1982" t="s">
        <v>19</v>
      </c>
      <c r="C1982">
        <v>706</v>
      </c>
      <c r="D1982">
        <v>4</v>
      </c>
      <c r="E1982" t="s">
        <v>31</v>
      </c>
      <c r="F1982" t="s">
        <v>32</v>
      </c>
      <c r="G1982" t="str">
        <f>"2025-03-08 03:13:40.139"</f>
        <v>2025-03-08 03:13:40.139</v>
      </c>
      <c r="H1982" t="s">
        <v>21</v>
      </c>
      <c r="I1982">
        <v>0</v>
      </c>
      <c r="J1982" t="s">
        <v>27</v>
      </c>
    </row>
    <row r="1983" spans="1:10" x14ac:dyDescent="0.25">
      <c r="A1983" s="1">
        <v>58</v>
      </c>
      <c r="B1983" t="s">
        <v>23</v>
      </c>
      <c r="C1983">
        <v>619</v>
      </c>
      <c r="D1983">
        <v>1</v>
      </c>
      <c r="E1983" t="s">
        <v>46</v>
      </c>
      <c r="F1983" t="s">
        <v>45</v>
      </c>
      <c r="G1983" t="str">
        <f>"2025-03-08 03:12:48.788"</f>
        <v>2025-03-08 03:12:48.788</v>
      </c>
      <c r="H1983" t="s">
        <v>47</v>
      </c>
    </row>
    <row r="1984" spans="1:10" x14ac:dyDescent="0.25">
      <c r="A1984" s="1">
        <v>59</v>
      </c>
      <c r="B1984" t="s">
        <v>26</v>
      </c>
      <c r="C1984">
        <v>619</v>
      </c>
      <c r="D1984">
        <v>1</v>
      </c>
      <c r="E1984" t="s">
        <v>46</v>
      </c>
      <c r="F1984" t="s">
        <v>45</v>
      </c>
      <c r="G1984" t="str">
        <f>"2025-03-08 03:12:38.292"</f>
        <v>2025-03-08 03:12:38.292</v>
      </c>
      <c r="H1984" t="s">
        <v>47</v>
      </c>
      <c r="I1984">
        <v>0</v>
      </c>
      <c r="J1984" t="s">
        <v>30</v>
      </c>
    </row>
    <row r="1985" spans="1:10" x14ac:dyDescent="0.25">
      <c r="A1985" s="1">
        <v>60</v>
      </c>
      <c r="B1985" t="s">
        <v>23</v>
      </c>
      <c r="C1985">
        <v>619</v>
      </c>
      <c r="D1985">
        <v>1</v>
      </c>
      <c r="E1985" t="s">
        <v>46</v>
      </c>
      <c r="F1985" t="s">
        <v>45</v>
      </c>
      <c r="G1985" t="str">
        <f>"2025-03-08 03:12:38.288"</f>
        <v>2025-03-08 03:12:38.288</v>
      </c>
      <c r="H1985" t="s">
        <v>47</v>
      </c>
    </row>
    <row r="1986" spans="1:10" x14ac:dyDescent="0.25">
      <c r="A1986" s="1">
        <v>61</v>
      </c>
      <c r="B1986" t="s">
        <v>26</v>
      </c>
      <c r="C1986">
        <v>619</v>
      </c>
      <c r="D1986">
        <v>1</v>
      </c>
      <c r="E1986" t="s">
        <v>46</v>
      </c>
      <c r="F1986" t="s">
        <v>45</v>
      </c>
      <c r="G1986" t="str">
        <f>"2025-03-08 03:12:32.292"</f>
        <v>2025-03-08 03:12:32.292</v>
      </c>
      <c r="H1986" t="s">
        <v>47</v>
      </c>
      <c r="I1986">
        <v>0</v>
      </c>
      <c r="J1986" t="s">
        <v>30</v>
      </c>
    </row>
    <row r="1987" spans="1:10" x14ac:dyDescent="0.25">
      <c r="A1987" s="1">
        <v>62</v>
      </c>
      <c r="B1987" t="s">
        <v>23</v>
      </c>
      <c r="C1987">
        <v>619</v>
      </c>
      <c r="D1987">
        <v>1</v>
      </c>
      <c r="E1987" t="s">
        <v>46</v>
      </c>
      <c r="F1987" t="s">
        <v>45</v>
      </c>
      <c r="G1987" t="str">
        <f>"2025-03-08 03:12:32.288"</f>
        <v>2025-03-08 03:12:32.288</v>
      </c>
      <c r="H1987" t="s">
        <v>47</v>
      </c>
    </row>
    <row r="1988" spans="1:10" x14ac:dyDescent="0.25">
      <c r="A1988" s="1">
        <v>65</v>
      </c>
      <c r="B1988" t="s">
        <v>26</v>
      </c>
      <c r="C1988">
        <v>619</v>
      </c>
      <c r="D1988">
        <v>1</v>
      </c>
      <c r="E1988" t="s">
        <v>46</v>
      </c>
      <c r="F1988" t="s">
        <v>45</v>
      </c>
      <c r="G1988" t="str">
        <f>"2025-03-08 03:12:20.501"</f>
        <v>2025-03-08 03:12:20.501</v>
      </c>
      <c r="H1988" t="s">
        <v>47</v>
      </c>
      <c r="I1988">
        <v>0</v>
      </c>
      <c r="J1988" t="s">
        <v>30</v>
      </c>
    </row>
    <row r="1989" spans="1:10" x14ac:dyDescent="0.25">
      <c r="A1989" s="1">
        <v>66</v>
      </c>
      <c r="B1989" t="s">
        <v>19</v>
      </c>
      <c r="C1989">
        <v>782</v>
      </c>
      <c r="D1989">
        <v>7</v>
      </c>
      <c r="E1989" t="s">
        <v>56</v>
      </c>
      <c r="F1989" t="s">
        <v>57</v>
      </c>
      <c r="G1989" t="str">
        <f>"2025-03-08 03:12:20.500"</f>
        <v>2025-03-08 03:12:20.500</v>
      </c>
      <c r="H1989" t="s">
        <v>21</v>
      </c>
      <c r="I1989">
        <v>0</v>
      </c>
      <c r="J1989" t="s">
        <v>30</v>
      </c>
    </row>
    <row r="1990" spans="1:10" x14ac:dyDescent="0.25">
      <c r="A1990" s="1">
        <v>69</v>
      </c>
      <c r="B1990" t="s">
        <v>23</v>
      </c>
      <c r="C1990">
        <v>619</v>
      </c>
      <c r="D1990">
        <v>1</v>
      </c>
      <c r="E1990" t="s">
        <v>46</v>
      </c>
      <c r="F1990" t="s">
        <v>45</v>
      </c>
      <c r="G1990" t="str">
        <f>"2025-03-08 03:12:20.493"</f>
        <v>2025-03-08 03:12:20.493</v>
      </c>
      <c r="H1990" t="s">
        <v>47</v>
      </c>
    </row>
    <row r="1991" spans="1:10" x14ac:dyDescent="0.25">
      <c r="A1991" s="1">
        <v>70</v>
      </c>
      <c r="B1991" t="s">
        <v>19</v>
      </c>
      <c r="C1991">
        <v>782</v>
      </c>
      <c r="D1991">
        <v>7</v>
      </c>
      <c r="E1991" t="s">
        <v>56</v>
      </c>
      <c r="F1991" t="s">
        <v>57</v>
      </c>
      <c r="G1991" t="str">
        <f>"2025-03-08 03:12:20.488"</f>
        <v>2025-03-08 03:12:20.488</v>
      </c>
      <c r="H1991" t="s">
        <v>21</v>
      </c>
      <c r="I1991">
        <v>0</v>
      </c>
      <c r="J1991" t="s">
        <v>30</v>
      </c>
    </row>
    <row r="1992" spans="1:10" x14ac:dyDescent="0.25">
      <c r="A1992" s="1">
        <v>73</v>
      </c>
      <c r="B1992" t="s">
        <v>26</v>
      </c>
      <c r="C1992">
        <v>619</v>
      </c>
      <c r="D1992">
        <v>1</v>
      </c>
      <c r="E1992" t="s">
        <v>46</v>
      </c>
      <c r="F1992" t="s">
        <v>45</v>
      </c>
      <c r="G1992" t="str">
        <f>"2025-03-08 03:12:12.502"</f>
        <v>2025-03-08 03:12:12.502</v>
      </c>
      <c r="H1992" t="s">
        <v>47</v>
      </c>
      <c r="I1992">
        <v>0</v>
      </c>
      <c r="J1992" t="s">
        <v>30</v>
      </c>
    </row>
    <row r="1993" spans="1:10" x14ac:dyDescent="0.25">
      <c r="A1993" s="1">
        <v>74</v>
      </c>
      <c r="B1993" t="s">
        <v>19</v>
      </c>
      <c r="C1993">
        <v>782</v>
      </c>
      <c r="D1993">
        <v>7</v>
      </c>
      <c r="E1993" t="s">
        <v>56</v>
      </c>
      <c r="F1993" t="s">
        <v>57</v>
      </c>
      <c r="G1993" t="str">
        <f>"2025-03-08 03:12:12.500"</f>
        <v>2025-03-08 03:12:12.500</v>
      </c>
      <c r="H1993" t="s">
        <v>21</v>
      </c>
      <c r="I1993">
        <v>0</v>
      </c>
      <c r="J1993" t="s">
        <v>30</v>
      </c>
    </row>
    <row r="1994" spans="1:10" x14ac:dyDescent="0.25">
      <c r="A1994" s="1">
        <v>77</v>
      </c>
      <c r="B1994" t="s">
        <v>23</v>
      </c>
      <c r="C1994">
        <v>619</v>
      </c>
      <c r="D1994">
        <v>1</v>
      </c>
      <c r="E1994" t="s">
        <v>46</v>
      </c>
      <c r="F1994" t="s">
        <v>45</v>
      </c>
      <c r="G1994" t="str">
        <f>"2025-03-08 03:12:12.493"</f>
        <v>2025-03-08 03:12:12.493</v>
      </c>
      <c r="H1994" t="s">
        <v>47</v>
      </c>
    </row>
    <row r="1995" spans="1:10" x14ac:dyDescent="0.25">
      <c r="A1995" s="1">
        <v>78</v>
      </c>
      <c r="B1995" t="s">
        <v>19</v>
      </c>
      <c r="C1995">
        <v>782</v>
      </c>
      <c r="D1995">
        <v>7</v>
      </c>
      <c r="E1995" t="s">
        <v>56</v>
      </c>
      <c r="F1995" t="s">
        <v>57</v>
      </c>
      <c r="G1995" t="str">
        <f>"2025-03-08 03:12:12.488"</f>
        <v>2025-03-08 03:12:12.488</v>
      </c>
      <c r="H1995" t="s">
        <v>21</v>
      </c>
      <c r="I1995">
        <v>0</v>
      </c>
      <c r="J1995" t="s">
        <v>30</v>
      </c>
    </row>
    <row r="1996" spans="1:10" x14ac:dyDescent="0.25">
      <c r="A1996" s="1">
        <v>79</v>
      </c>
      <c r="B1996" t="s">
        <v>26</v>
      </c>
      <c r="C1996">
        <v>619</v>
      </c>
      <c r="D1996">
        <v>1</v>
      </c>
      <c r="E1996" t="s">
        <v>46</v>
      </c>
      <c r="F1996" t="s">
        <v>45</v>
      </c>
      <c r="G1996" t="str">
        <f>"2025-03-08 03:11:38.136"</f>
        <v>2025-03-08 03:11:38.136</v>
      </c>
      <c r="H1996" t="s">
        <v>47</v>
      </c>
      <c r="I1996">
        <v>0</v>
      </c>
      <c r="J1996" t="s">
        <v>27</v>
      </c>
    </row>
    <row r="1997" spans="1:10" x14ac:dyDescent="0.25">
      <c r="A1997" s="1">
        <v>80</v>
      </c>
      <c r="B1997" t="s">
        <v>19</v>
      </c>
      <c r="C1997">
        <v>706</v>
      </c>
      <c r="D1997">
        <v>4</v>
      </c>
      <c r="E1997" t="s">
        <v>31</v>
      </c>
      <c r="F1997" t="s">
        <v>32</v>
      </c>
      <c r="G1997" t="str">
        <f>"2025-03-08 03:11:31.749"</f>
        <v>2025-03-08 03:11:31.749</v>
      </c>
      <c r="H1997" t="s">
        <v>21</v>
      </c>
      <c r="I1997">
        <v>0</v>
      </c>
      <c r="J1997" t="s">
        <v>27</v>
      </c>
    </row>
    <row r="1998" spans="1:10" x14ac:dyDescent="0.25">
      <c r="A1998" s="1">
        <v>81</v>
      </c>
      <c r="B1998" t="s">
        <v>19</v>
      </c>
      <c r="C1998">
        <v>700</v>
      </c>
      <c r="D1998">
        <v>0</v>
      </c>
      <c r="E1998" t="s">
        <v>20</v>
      </c>
      <c r="F1998" t="s">
        <v>20</v>
      </c>
      <c r="G1998" t="str">
        <f>"2025-03-08 03:04:16.369"</f>
        <v>2025-03-08 03:04:16.369</v>
      </c>
      <c r="H1998" t="s">
        <v>21</v>
      </c>
    </row>
    <row r="1999" spans="1:10" x14ac:dyDescent="0.25">
      <c r="A1999" s="1">
        <v>82</v>
      </c>
      <c r="B1999" t="s">
        <v>19</v>
      </c>
      <c r="C1999">
        <v>700</v>
      </c>
      <c r="D1999">
        <v>0</v>
      </c>
      <c r="E1999" t="s">
        <v>20</v>
      </c>
      <c r="F1999" t="s">
        <v>20</v>
      </c>
      <c r="G1999" t="str">
        <f>"2025-03-08 02:58:54.208"</f>
        <v>2025-03-08 02:58:54.208</v>
      </c>
      <c r="H1999" t="s">
        <v>21</v>
      </c>
    </row>
    <row r="2000" spans="1:10" x14ac:dyDescent="0.25">
      <c r="A2000" s="1">
        <v>83</v>
      </c>
      <c r="B2000" t="s">
        <v>19</v>
      </c>
      <c r="C2000">
        <v>700</v>
      </c>
      <c r="D2000">
        <v>0</v>
      </c>
      <c r="E2000" t="s">
        <v>20</v>
      </c>
      <c r="F2000" t="s">
        <v>20</v>
      </c>
      <c r="G2000" t="str">
        <f>"2025-03-08 02:45:08.218"</f>
        <v>2025-03-08 02:45:08.218</v>
      </c>
      <c r="H2000" t="s">
        <v>21</v>
      </c>
    </row>
    <row r="2001" spans="1:10" x14ac:dyDescent="0.25">
      <c r="A2001" s="1">
        <v>84</v>
      </c>
      <c r="B2001" t="s">
        <v>23</v>
      </c>
      <c r="C2001">
        <v>61</v>
      </c>
      <c r="D2001">
        <v>2</v>
      </c>
      <c r="E2001" t="s">
        <v>51</v>
      </c>
      <c r="F2001" t="s">
        <v>52</v>
      </c>
      <c r="G2001" t="str">
        <f>"2025-03-05 20:15:34.021"</f>
        <v>2025-03-05 20:15:34.021</v>
      </c>
      <c r="H2001" t="s">
        <v>21</v>
      </c>
    </row>
    <row r="2002" spans="1:10" x14ac:dyDescent="0.25">
      <c r="A2002" s="1">
        <v>85</v>
      </c>
      <c r="B2002" t="s">
        <v>38</v>
      </c>
      <c r="C2002">
        <v>61</v>
      </c>
      <c r="D2002">
        <v>2</v>
      </c>
      <c r="E2002" t="s">
        <v>51</v>
      </c>
      <c r="F2002" t="s">
        <v>52</v>
      </c>
      <c r="G2002" t="str">
        <f>"2025-03-05 20:15:28.722"</f>
        <v>2025-03-05 20:15:28.722</v>
      </c>
      <c r="H2002" t="s">
        <v>21</v>
      </c>
      <c r="I2002">
        <v>29.12</v>
      </c>
      <c r="J2002" t="s">
        <v>33</v>
      </c>
    </row>
    <row r="2003" spans="1:10" x14ac:dyDescent="0.25">
      <c r="A2003" s="1">
        <v>86</v>
      </c>
      <c r="B2003" t="s">
        <v>19</v>
      </c>
      <c r="C2003">
        <v>700</v>
      </c>
      <c r="D2003">
        <v>0</v>
      </c>
      <c r="E2003" t="s">
        <v>20</v>
      </c>
      <c r="F2003" t="s">
        <v>20</v>
      </c>
      <c r="G2003" t="str">
        <f>"2025-03-02 12:03:15.225"</f>
        <v>2025-03-02 12:03:15.225</v>
      </c>
      <c r="H2003" t="s">
        <v>21</v>
      </c>
      <c r="I2003">
        <v>0</v>
      </c>
      <c r="J2003" t="s">
        <v>22</v>
      </c>
    </row>
    <row r="2004" spans="1:10" s="3" customFormat="1" x14ac:dyDescent="0.25">
      <c r="A2004" s="2">
        <v>87</v>
      </c>
      <c r="B2004" s="3" t="s">
        <v>23</v>
      </c>
      <c r="C2004" s="3">
        <v>647</v>
      </c>
      <c r="D2004" s="3">
        <v>1</v>
      </c>
      <c r="E2004" s="3" t="s">
        <v>28</v>
      </c>
      <c r="F2004" s="3" t="s">
        <v>29</v>
      </c>
      <c r="G2004" s="3" t="str">
        <f>"2025-03-01 14:03:22.627"</f>
        <v>2025-03-01 14:03:22.627</v>
      </c>
      <c r="H2004" s="3" t="s">
        <v>21</v>
      </c>
    </row>
    <row r="2005" spans="1:10" s="3" customFormat="1" x14ac:dyDescent="0.25">
      <c r="A2005" s="2">
        <v>88</v>
      </c>
      <c r="B2005" s="3" t="s">
        <v>26</v>
      </c>
      <c r="C2005" s="3">
        <v>647</v>
      </c>
      <c r="D2005" s="3">
        <v>1</v>
      </c>
      <c r="E2005" s="3" t="s">
        <v>28</v>
      </c>
      <c r="F2005" s="3" t="s">
        <v>29</v>
      </c>
      <c r="G2005" s="3" t="str">
        <f>"2025-03-01 14:03:21.527"</f>
        <v>2025-03-01 14:03:21.527</v>
      </c>
      <c r="H2005" s="3" t="s">
        <v>21</v>
      </c>
      <c r="I2005" s="3">
        <v>23.19</v>
      </c>
      <c r="J2005" s="3" t="s">
        <v>30</v>
      </c>
    </row>
    <row r="2006" spans="1:10" x14ac:dyDescent="0.25">
      <c r="A2006" s="1">
        <v>89</v>
      </c>
      <c r="B2006" t="s">
        <v>19</v>
      </c>
      <c r="C2006">
        <v>706</v>
      </c>
      <c r="D2006">
        <v>2</v>
      </c>
      <c r="E2006" t="s">
        <v>31</v>
      </c>
      <c r="F2006" t="s">
        <v>43</v>
      </c>
      <c r="G2006" t="str">
        <f>"2025-02-28 20:43:20.600"</f>
        <v>2025-02-28 20:43:20.600</v>
      </c>
      <c r="H2006" t="s">
        <v>21</v>
      </c>
      <c r="I2006">
        <v>0</v>
      </c>
      <c r="J2006" t="s">
        <v>27</v>
      </c>
    </row>
    <row r="2007" spans="1:10" x14ac:dyDescent="0.25">
      <c r="A2007" s="1">
        <v>90</v>
      </c>
      <c r="B2007" t="s">
        <v>23</v>
      </c>
      <c r="C2007">
        <v>619</v>
      </c>
      <c r="D2007">
        <v>1</v>
      </c>
      <c r="E2007" t="s">
        <v>46</v>
      </c>
      <c r="F2007" t="s">
        <v>45</v>
      </c>
      <c r="G2007" t="str">
        <f>"2025-02-28 20:00:38.127"</f>
        <v>2025-02-28 20:00:38.127</v>
      </c>
      <c r="H2007" t="s">
        <v>47</v>
      </c>
    </row>
    <row r="2008" spans="1:10" x14ac:dyDescent="0.25">
      <c r="A2008" s="1">
        <v>91</v>
      </c>
      <c r="B2008" t="s">
        <v>26</v>
      </c>
      <c r="C2008">
        <v>619</v>
      </c>
      <c r="D2008">
        <v>1</v>
      </c>
      <c r="E2008" t="s">
        <v>46</v>
      </c>
      <c r="F2008" t="s">
        <v>45</v>
      </c>
      <c r="G2008" t="str">
        <f>"2025-02-28 19:59:44.328"</f>
        <v>2025-02-28 19:59:44.328</v>
      </c>
      <c r="H2008" t="s">
        <v>47</v>
      </c>
      <c r="I2008">
        <v>0</v>
      </c>
      <c r="J2008" t="s">
        <v>27</v>
      </c>
    </row>
    <row r="2009" spans="1:10" x14ac:dyDescent="0.25">
      <c r="A2009" s="1">
        <v>92</v>
      </c>
      <c r="B2009" t="s">
        <v>19</v>
      </c>
      <c r="C2009">
        <v>706</v>
      </c>
      <c r="D2009">
        <v>4</v>
      </c>
      <c r="E2009" t="s">
        <v>31</v>
      </c>
      <c r="F2009" t="s">
        <v>32</v>
      </c>
      <c r="G2009" t="str">
        <f>"2025-02-28 19:59:38.000"</f>
        <v>2025-02-28 19:59:38.000</v>
      </c>
      <c r="H2009" t="s">
        <v>21</v>
      </c>
      <c r="I2009">
        <v>0</v>
      </c>
      <c r="J2009" t="s">
        <v>27</v>
      </c>
    </row>
    <row r="2010" spans="1:10" x14ac:dyDescent="0.25">
      <c r="A2010" s="1">
        <v>93</v>
      </c>
      <c r="B2010" t="s">
        <v>19</v>
      </c>
      <c r="C2010">
        <v>700</v>
      </c>
      <c r="D2010">
        <v>0</v>
      </c>
      <c r="E2010" t="s">
        <v>20</v>
      </c>
      <c r="F2010" t="s">
        <v>20</v>
      </c>
      <c r="G2010" t="str">
        <f>"2025-02-28 19:54:32.320"</f>
        <v>2025-02-28 19:54:32.320</v>
      </c>
      <c r="H2010" t="s">
        <v>21</v>
      </c>
    </row>
    <row r="2011" spans="1:10" x14ac:dyDescent="0.25">
      <c r="A2011" s="1">
        <v>94</v>
      </c>
      <c r="B2011" t="s">
        <v>23</v>
      </c>
      <c r="C2011">
        <v>619</v>
      </c>
      <c r="D2011">
        <v>1</v>
      </c>
      <c r="E2011" t="s">
        <v>46</v>
      </c>
      <c r="F2011" t="s">
        <v>45</v>
      </c>
      <c r="G2011" t="str">
        <f>"2025-02-28 18:43:15.693"</f>
        <v>2025-02-28 18:43:15.693</v>
      </c>
      <c r="H2011" t="s">
        <v>47</v>
      </c>
    </row>
    <row r="2012" spans="1:10" x14ac:dyDescent="0.25">
      <c r="A2012" s="1">
        <v>95</v>
      </c>
      <c r="B2012" t="s">
        <v>26</v>
      </c>
      <c r="C2012">
        <v>619</v>
      </c>
      <c r="D2012">
        <v>1</v>
      </c>
      <c r="E2012" t="s">
        <v>46</v>
      </c>
      <c r="F2012" t="s">
        <v>45</v>
      </c>
      <c r="G2012" t="str">
        <f>"2025-02-28 18:41:38.540"</f>
        <v>2025-02-28 18:41:38.540</v>
      </c>
      <c r="H2012" t="s">
        <v>47</v>
      </c>
      <c r="I2012">
        <v>0</v>
      </c>
      <c r="J2012" t="s">
        <v>30</v>
      </c>
    </row>
    <row r="2013" spans="1:10" x14ac:dyDescent="0.25">
      <c r="A2013" s="1">
        <v>96</v>
      </c>
      <c r="B2013" t="s">
        <v>23</v>
      </c>
      <c r="C2013">
        <v>619</v>
      </c>
      <c r="D2013">
        <v>1</v>
      </c>
      <c r="E2013" t="s">
        <v>46</v>
      </c>
      <c r="F2013" t="s">
        <v>45</v>
      </c>
      <c r="G2013" t="str">
        <f>"2025-02-28 18:40:57.340"</f>
        <v>2025-02-28 18:40:57.340</v>
      </c>
      <c r="H2013" t="s">
        <v>47</v>
      </c>
    </row>
    <row r="2014" spans="1:10" x14ac:dyDescent="0.25">
      <c r="A2014" s="1">
        <v>97</v>
      </c>
      <c r="B2014" t="s">
        <v>26</v>
      </c>
      <c r="C2014">
        <v>619</v>
      </c>
      <c r="D2014">
        <v>1</v>
      </c>
      <c r="E2014" t="s">
        <v>46</v>
      </c>
      <c r="F2014" t="s">
        <v>45</v>
      </c>
      <c r="G2014" t="str">
        <f>"2025-02-28 18:39:22.693"</f>
        <v>2025-02-28 18:39:22.693</v>
      </c>
      <c r="H2014" t="s">
        <v>47</v>
      </c>
      <c r="I2014">
        <v>0</v>
      </c>
      <c r="J2014" t="s">
        <v>27</v>
      </c>
    </row>
    <row r="2015" spans="1:10" x14ac:dyDescent="0.25">
      <c r="A2015" s="1">
        <v>98</v>
      </c>
      <c r="B2015" t="s">
        <v>19</v>
      </c>
      <c r="C2015">
        <v>706</v>
      </c>
      <c r="D2015">
        <v>4</v>
      </c>
      <c r="E2015" t="s">
        <v>31</v>
      </c>
      <c r="F2015" t="s">
        <v>32</v>
      </c>
      <c r="G2015" t="str">
        <f>"2025-02-28 18:39:17.990"</f>
        <v>2025-02-28 18:39:17.990</v>
      </c>
      <c r="H2015" t="s">
        <v>21</v>
      </c>
      <c r="I2015">
        <v>0</v>
      </c>
      <c r="J2015" t="s">
        <v>27</v>
      </c>
    </row>
    <row r="2016" spans="1:10" x14ac:dyDescent="0.25">
      <c r="A2016" s="1">
        <v>99</v>
      </c>
      <c r="B2016" t="s">
        <v>19</v>
      </c>
      <c r="C2016">
        <v>700</v>
      </c>
      <c r="D2016">
        <v>0</v>
      </c>
      <c r="E2016" t="s">
        <v>20</v>
      </c>
      <c r="F2016" t="s">
        <v>20</v>
      </c>
      <c r="G2016" t="str">
        <f>"2025-02-28 18:39:01.180"</f>
        <v>2025-02-28 18:39:01.180</v>
      </c>
      <c r="H2016" t="s">
        <v>21</v>
      </c>
    </row>
    <row r="2017" spans="1:10" x14ac:dyDescent="0.25">
      <c r="A2017" s="1">
        <v>100</v>
      </c>
      <c r="B2017" t="s">
        <v>23</v>
      </c>
      <c r="C2017">
        <v>619</v>
      </c>
      <c r="D2017">
        <v>1</v>
      </c>
      <c r="E2017" t="s">
        <v>46</v>
      </c>
      <c r="F2017" t="s">
        <v>45</v>
      </c>
      <c r="G2017" t="str">
        <f>"2025-02-28 18:37:23.361"</f>
        <v>2025-02-28 18:37:23.361</v>
      </c>
      <c r="H2017" t="s">
        <v>47</v>
      </c>
    </row>
    <row r="2018" spans="1:10" x14ac:dyDescent="0.25">
      <c r="A2018" s="1">
        <v>101</v>
      </c>
      <c r="B2018" t="s">
        <v>26</v>
      </c>
      <c r="C2018">
        <v>619</v>
      </c>
      <c r="D2018">
        <v>1</v>
      </c>
      <c r="E2018" t="s">
        <v>46</v>
      </c>
      <c r="F2018" t="s">
        <v>45</v>
      </c>
      <c r="G2018" t="str">
        <f>"2025-02-28 18:36:45.113"</f>
        <v>2025-02-28 18:36:45.113</v>
      </c>
      <c r="H2018" t="s">
        <v>47</v>
      </c>
      <c r="I2018">
        <v>0</v>
      </c>
      <c r="J2018" t="s">
        <v>30</v>
      </c>
    </row>
    <row r="2019" spans="1:10" x14ac:dyDescent="0.25">
      <c r="A2019" s="1">
        <v>102</v>
      </c>
      <c r="B2019" t="s">
        <v>23</v>
      </c>
      <c r="C2019">
        <v>635</v>
      </c>
      <c r="D2019">
        <v>1</v>
      </c>
      <c r="E2019" t="s">
        <v>44</v>
      </c>
      <c r="F2019" t="s">
        <v>45</v>
      </c>
      <c r="G2019" t="str">
        <f>"2025-02-27 16:26:47.761"</f>
        <v>2025-02-27 16:26:47.761</v>
      </c>
      <c r="H2019" t="s">
        <v>21</v>
      </c>
    </row>
    <row r="2020" spans="1:10" x14ac:dyDescent="0.25">
      <c r="A2020" s="1">
        <v>103</v>
      </c>
      <c r="B2020" t="s">
        <v>26</v>
      </c>
      <c r="C2020">
        <v>635</v>
      </c>
      <c r="D2020">
        <v>1</v>
      </c>
      <c r="E2020" t="s">
        <v>44</v>
      </c>
      <c r="F2020" t="s">
        <v>45</v>
      </c>
      <c r="G2020" t="str">
        <f>"2025-02-27 16:21:28.261"</f>
        <v>2025-02-27 16:21:28.261</v>
      </c>
      <c r="H2020" t="s">
        <v>21</v>
      </c>
      <c r="I2020">
        <v>2.1800000000000002</v>
      </c>
      <c r="J2020" t="s">
        <v>39</v>
      </c>
    </row>
    <row r="2021" spans="1:10" x14ac:dyDescent="0.25">
      <c r="A2021" s="1">
        <v>104</v>
      </c>
      <c r="B2021" t="s">
        <v>19</v>
      </c>
      <c r="C2021">
        <v>700</v>
      </c>
      <c r="D2021">
        <v>0</v>
      </c>
      <c r="E2021" t="s">
        <v>20</v>
      </c>
      <c r="F2021" t="s">
        <v>20</v>
      </c>
      <c r="G2021" t="str">
        <f>"2025-02-27 16:04:30.342"</f>
        <v>2025-02-27 16:04:30.342</v>
      </c>
      <c r="H2021" t="s">
        <v>21</v>
      </c>
    </row>
    <row r="2022" spans="1:10" x14ac:dyDescent="0.25">
      <c r="A2022" s="1">
        <v>105</v>
      </c>
      <c r="B2022" t="s">
        <v>23</v>
      </c>
      <c r="C2022">
        <v>619</v>
      </c>
      <c r="D2022">
        <v>1</v>
      </c>
      <c r="E2022" t="s">
        <v>46</v>
      </c>
      <c r="F2022" t="s">
        <v>45</v>
      </c>
      <c r="G2022" t="str">
        <f>"2025-02-27 14:29:51.833"</f>
        <v>2025-02-27 14:29:51.833</v>
      </c>
      <c r="H2022" t="s">
        <v>47</v>
      </c>
    </row>
    <row r="2023" spans="1:10" x14ac:dyDescent="0.25">
      <c r="A2023" s="1">
        <v>106</v>
      </c>
      <c r="B2023" t="s">
        <v>26</v>
      </c>
      <c r="C2023">
        <v>619</v>
      </c>
      <c r="D2023">
        <v>1</v>
      </c>
      <c r="E2023" t="s">
        <v>46</v>
      </c>
      <c r="F2023" t="s">
        <v>45</v>
      </c>
      <c r="G2023" t="str">
        <f>"2025-02-27 14:28:40.682"</f>
        <v>2025-02-27 14:28:40.682</v>
      </c>
      <c r="H2023" t="s">
        <v>47</v>
      </c>
      <c r="I2023">
        <v>0</v>
      </c>
      <c r="J2023" t="s">
        <v>27</v>
      </c>
    </row>
    <row r="2024" spans="1:10" x14ac:dyDescent="0.25">
      <c r="A2024" s="1">
        <v>107</v>
      </c>
      <c r="B2024" t="s">
        <v>19</v>
      </c>
      <c r="C2024">
        <v>700</v>
      </c>
      <c r="D2024">
        <v>0</v>
      </c>
      <c r="E2024" t="s">
        <v>20</v>
      </c>
      <c r="F2024" t="s">
        <v>20</v>
      </c>
      <c r="G2024" t="str">
        <f>"2025-02-27 14:28:34.153"</f>
        <v>2025-02-27 14:28:34.153</v>
      </c>
      <c r="H2024" t="s">
        <v>21</v>
      </c>
    </row>
    <row r="2025" spans="1:10" x14ac:dyDescent="0.25">
      <c r="A2025" s="1">
        <v>108</v>
      </c>
      <c r="B2025" t="s">
        <v>23</v>
      </c>
      <c r="C2025">
        <v>619</v>
      </c>
      <c r="D2025">
        <v>1</v>
      </c>
      <c r="E2025" t="s">
        <v>46</v>
      </c>
      <c r="F2025" t="s">
        <v>45</v>
      </c>
      <c r="G2025" t="str">
        <f>"2025-02-27 12:05:56.428"</f>
        <v>2025-02-27 12:05:56.428</v>
      </c>
      <c r="H2025" t="s">
        <v>47</v>
      </c>
    </row>
    <row r="2026" spans="1:10" x14ac:dyDescent="0.25">
      <c r="A2026" s="1">
        <v>109</v>
      </c>
      <c r="B2026" t="s">
        <v>26</v>
      </c>
      <c r="C2026">
        <v>619</v>
      </c>
      <c r="D2026">
        <v>1</v>
      </c>
      <c r="E2026" t="s">
        <v>46</v>
      </c>
      <c r="F2026" t="s">
        <v>45</v>
      </c>
      <c r="G2026" t="str">
        <f>"2025-02-27 12:05:13.781"</f>
        <v>2025-02-27 12:05:13.781</v>
      </c>
      <c r="H2026" t="s">
        <v>47</v>
      </c>
      <c r="I2026">
        <v>0</v>
      </c>
      <c r="J2026" t="s">
        <v>27</v>
      </c>
    </row>
    <row r="2027" spans="1:10" x14ac:dyDescent="0.25">
      <c r="A2027" s="1">
        <v>110</v>
      </c>
      <c r="B2027" t="s">
        <v>19</v>
      </c>
      <c r="C2027">
        <v>706</v>
      </c>
      <c r="D2027">
        <v>4</v>
      </c>
      <c r="E2027" t="s">
        <v>31</v>
      </c>
      <c r="F2027" t="s">
        <v>32</v>
      </c>
      <c r="G2027" t="str">
        <f>"2025-02-27 12:05:07.420"</f>
        <v>2025-02-27 12:05:07.420</v>
      </c>
      <c r="H2027" t="s">
        <v>21</v>
      </c>
      <c r="I2027">
        <v>0</v>
      </c>
      <c r="J2027" t="s">
        <v>27</v>
      </c>
    </row>
    <row r="2028" spans="1:10" x14ac:dyDescent="0.25">
      <c r="A2028" s="1">
        <v>111</v>
      </c>
      <c r="B2028" t="s">
        <v>19</v>
      </c>
      <c r="C2028">
        <v>700</v>
      </c>
      <c r="D2028">
        <v>0</v>
      </c>
      <c r="E2028" t="s">
        <v>20</v>
      </c>
      <c r="F2028" t="s">
        <v>20</v>
      </c>
      <c r="G2028" t="str">
        <f>"2025-02-27 11:56:14.170"</f>
        <v>2025-02-27 11:56:14.170</v>
      </c>
      <c r="H2028" t="s">
        <v>21</v>
      </c>
      <c r="I2028">
        <v>0</v>
      </c>
      <c r="J2028" t="s">
        <v>22</v>
      </c>
    </row>
    <row r="2029" spans="1:10" x14ac:dyDescent="0.25">
      <c r="A2029" s="1">
        <v>112</v>
      </c>
      <c r="B2029" t="s">
        <v>19</v>
      </c>
      <c r="C2029">
        <v>700</v>
      </c>
      <c r="D2029">
        <v>0</v>
      </c>
      <c r="E2029" t="s">
        <v>20</v>
      </c>
      <c r="F2029" t="s">
        <v>20</v>
      </c>
      <c r="G2029" t="str">
        <f>"2025-02-27 11:43:37.153"</f>
        <v>2025-02-27 11:43:37.153</v>
      </c>
      <c r="H2029" t="s">
        <v>21</v>
      </c>
      <c r="I2029">
        <v>0</v>
      </c>
      <c r="J2029" t="s">
        <v>22</v>
      </c>
    </row>
    <row r="2030" spans="1:10" x14ac:dyDescent="0.25">
      <c r="A2030" s="1">
        <v>113</v>
      </c>
      <c r="B2030" t="s">
        <v>19</v>
      </c>
      <c r="C2030">
        <v>700</v>
      </c>
      <c r="D2030">
        <v>0</v>
      </c>
      <c r="E2030" t="s">
        <v>20</v>
      </c>
      <c r="F2030" t="s">
        <v>20</v>
      </c>
      <c r="G2030" t="str">
        <f>"2025-02-27 11:32:41.392"</f>
        <v>2025-02-27 11:32:41.392</v>
      </c>
      <c r="H2030" t="s">
        <v>21</v>
      </c>
      <c r="I2030">
        <v>0</v>
      </c>
      <c r="J2030" t="s">
        <v>22</v>
      </c>
    </row>
    <row r="2031" spans="1:10" x14ac:dyDescent="0.25">
      <c r="A2031" s="1">
        <v>114</v>
      </c>
      <c r="B2031" t="s">
        <v>23</v>
      </c>
      <c r="C2031">
        <v>619</v>
      </c>
      <c r="D2031">
        <v>1</v>
      </c>
      <c r="E2031" t="s">
        <v>46</v>
      </c>
      <c r="F2031" t="s">
        <v>45</v>
      </c>
      <c r="G2031" t="str">
        <f>"2025-02-27 10:55:29.872"</f>
        <v>2025-02-27 10:55:29.872</v>
      </c>
      <c r="H2031" t="s">
        <v>47</v>
      </c>
    </row>
    <row r="2032" spans="1:10" x14ac:dyDescent="0.25">
      <c r="A2032" s="1">
        <v>115</v>
      </c>
      <c r="B2032" t="s">
        <v>26</v>
      </c>
      <c r="C2032">
        <v>619</v>
      </c>
      <c r="D2032">
        <v>1</v>
      </c>
      <c r="E2032" t="s">
        <v>46</v>
      </c>
      <c r="F2032" t="s">
        <v>45</v>
      </c>
      <c r="G2032" t="str">
        <f>"2025-02-27 10:54:23.324"</f>
        <v>2025-02-27 10:54:23.324</v>
      </c>
      <c r="H2032" t="s">
        <v>47</v>
      </c>
      <c r="I2032">
        <v>0</v>
      </c>
      <c r="J2032" t="s">
        <v>27</v>
      </c>
    </row>
    <row r="2033" spans="1:10" x14ac:dyDescent="0.25">
      <c r="A2033" s="1">
        <v>116</v>
      </c>
      <c r="B2033" t="s">
        <v>19</v>
      </c>
      <c r="C2033">
        <v>706</v>
      </c>
      <c r="D2033">
        <v>4</v>
      </c>
      <c r="E2033" t="s">
        <v>31</v>
      </c>
      <c r="F2033" t="s">
        <v>32</v>
      </c>
      <c r="G2033" t="str">
        <f>"2025-02-27 10:54:12.744"</f>
        <v>2025-02-27 10:54:12.744</v>
      </c>
      <c r="H2033" t="s">
        <v>21</v>
      </c>
      <c r="I2033">
        <v>0</v>
      </c>
      <c r="J2033" t="s">
        <v>27</v>
      </c>
    </row>
    <row r="2034" spans="1:10" x14ac:dyDescent="0.25">
      <c r="A2034" s="1">
        <v>117</v>
      </c>
      <c r="B2034" t="s">
        <v>19</v>
      </c>
      <c r="C2034">
        <v>700</v>
      </c>
      <c r="D2034">
        <v>0</v>
      </c>
      <c r="E2034" t="s">
        <v>20</v>
      </c>
      <c r="F2034" t="s">
        <v>20</v>
      </c>
      <c r="G2034" t="str">
        <f>"2025-02-27 10:50:15.154"</f>
        <v>2025-02-27 10:50:15.154</v>
      </c>
      <c r="H2034" t="s">
        <v>21</v>
      </c>
      <c r="I2034">
        <v>0</v>
      </c>
      <c r="J2034" t="s">
        <v>22</v>
      </c>
    </row>
    <row r="2035" spans="1:10" x14ac:dyDescent="0.25">
      <c r="A2035" s="1">
        <v>118</v>
      </c>
      <c r="B2035" t="s">
        <v>19</v>
      </c>
      <c r="C2035">
        <v>700</v>
      </c>
      <c r="D2035">
        <v>0</v>
      </c>
      <c r="E2035" t="s">
        <v>20</v>
      </c>
      <c r="F2035" t="s">
        <v>20</v>
      </c>
      <c r="G2035" t="str">
        <f>"2025-02-27 06:31:03.156"</f>
        <v>2025-02-27 06:31:03.156</v>
      </c>
      <c r="H2035" t="s">
        <v>21</v>
      </c>
      <c r="I2035">
        <v>0</v>
      </c>
      <c r="J2035" t="s">
        <v>22</v>
      </c>
    </row>
    <row r="2036" spans="1:10" s="3" customFormat="1" x14ac:dyDescent="0.25">
      <c r="A2036" s="2">
        <v>119</v>
      </c>
      <c r="B2036" s="3" t="s">
        <v>23</v>
      </c>
      <c r="C2036" s="3">
        <v>647</v>
      </c>
      <c r="D2036" s="3">
        <v>1</v>
      </c>
      <c r="E2036" s="3" t="s">
        <v>28</v>
      </c>
      <c r="F2036" s="3" t="s">
        <v>29</v>
      </c>
      <c r="G2036" s="3" t="str">
        <f>"2025-02-26 10:18:33.185"</f>
        <v>2025-02-26 10:18:33.185</v>
      </c>
      <c r="H2036" s="3" t="s">
        <v>21</v>
      </c>
    </row>
    <row r="2037" spans="1:10" s="3" customFormat="1" x14ac:dyDescent="0.25">
      <c r="A2037" s="2">
        <v>120</v>
      </c>
      <c r="B2037" s="3" t="s">
        <v>26</v>
      </c>
      <c r="C2037" s="3">
        <v>647</v>
      </c>
      <c r="D2037" s="3">
        <v>1</v>
      </c>
      <c r="E2037" s="3" t="s">
        <v>28</v>
      </c>
      <c r="F2037" s="3" t="s">
        <v>29</v>
      </c>
      <c r="G2037" s="3" t="str">
        <f>"2025-02-26 10:18:31.085"</f>
        <v>2025-02-26 10:18:31.085</v>
      </c>
      <c r="H2037" s="3" t="s">
        <v>21</v>
      </c>
      <c r="I2037" s="3">
        <v>10.61</v>
      </c>
      <c r="J2037" s="3" t="s">
        <v>33</v>
      </c>
    </row>
    <row r="2038" spans="1:10" x14ac:dyDescent="0.25">
      <c r="A2038" s="1">
        <v>121</v>
      </c>
      <c r="B2038" t="s">
        <v>19</v>
      </c>
      <c r="C2038">
        <v>700</v>
      </c>
      <c r="D2038">
        <v>0</v>
      </c>
      <c r="E2038" t="s">
        <v>20</v>
      </c>
      <c r="F2038" t="s">
        <v>20</v>
      </c>
      <c r="G2038" t="str">
        <f>"2025-02-25 18:01:40.134"</f>
        <v>2025-02-25 18:01:40.134</v>
      </c>
      <c r="H2038" t="s">
        <v>21</v>
      </c>
      <c r="I2038">
        <v>0</v>
      </c>
      <c r="J2038" t="s">
        <v>22</v>
      </c>
    </row>
    <row r="2039" spans="1:10" s="3" customFormat="1" x14ac:dyDescent="0.25">
      <c r="A2039" s="2">
        <v>122</v>
      </c>
      <c r="B2039" s="3" t="s">
        <v>23</v>
      </c>
      <c r="C2039" s="3">
        <v>647</v>
      </c>
      <c r="D2039" s="3">
        <v>1</v>
      </c>
      <c r="E2039" s="3" t="s">
        <v>28</v>
      </c>
      <c r="F2039" s="3" t="s">
        <v>29</v>
      </c>
      <c r="G2039" s="3" t="str">
        <f>"2025-02-25 11:35:36.353"</f>
        <v>2025-02-25 11:35:36.353</v>
      </c>
      <c r="H2039" s="3" t="s">
        <v>21</v>
      </c>
    </row>
    <row r="2040" spans="1:10" s="3" customFormat="1" x14ac:dyDescent="0.25">
      <c r="A2040" s="2">
        <v>123</v>
      </c>
      <c r="B2040" s="3" t="s">
        <v>26</v>
      </c>
      <c r="C2040" s="3">
        <v>647</v>
      </c>
      <c r="D2040" s="3">
        <v>1</v>
      </c>
      <c r="E2040" s="3" t="s">
        <v>28</v>
      </c>
      <c r="F2040" s="3" t="s">
        <v>29</v>
      </c>
      <c r="G2040" s="3" t="str">
        <f>"2025-02-25 11:35:31.853"</f>
        <v>2025-02-25 11:35:31.853</v>
      </c>
      <c r="H2040" s="3" t="s">
        <v>21</v>
      </c>
      <c r="I2040" s="3">
        <v>11.75</v>
      </c>
      <c r="J2040" s="3" t="s">
        <v>33</v>
      </c>
    </row>
    <row r="2041" spans="1:10" x14ac:dyDescent="0.25">
      <c r="A2041" s="1">
        <v>124</v>
      </c>
      <c r="B2041" t="s">
        <v>19</v>
      </c>
      <c r="C2041">
        <v>700</v>
      </c>
      <c r="D2041">
        <v>0</v>
      </c>
      <c r="E2041" t="s">
        <v>20</v>
      </c>
      <c r="F2041" t="s">
        <v>20</v>
      </c>
      <c r="G2041" t="str">
        <f>"2025-02-25 11:12:02.041"</f>
        <v>2025-02-25 11:12:02.041</v>
      </c>
      <c r="H2041" t="s">
        <v>21</v>
      </c>
    </row>
    <row r="2042" spans="1:10" x14ac:dyDescent="0.25">
      <c r="A2042" s="1">
        <v>125</v>
      </c>
      <c r="B2042" t="s">
        <v>19</v>
      </c>
      <c r="C2042">
        <v>700</v>
      </c>
      <c r="D2042">
        <v>0</v>
      </c>
      <c r="E2042" t="s">
        <v>20</v>
      </c>
      <c r="F2042" t="s">
        <v>20</v>
      </c>
      <c r="G2042" t="str">
        <f>"2025-02-25 10:24:56.053"</f>
        <v>2025-02-25 10:24:56.053</v>
      </c>
      <c r="H2042" t="s">
        <v>21</v>
      </c>
    </row>
    <row r="2043" spans="1:10" x14ac:dyDescent="0.25">
      <c r="A2043" s="1">
        <v>126</v>
      </c>
      <c r="B2043" t="s">
        <v>19</v>
      </c>
      <c r="C2043">
        <v>706</v>
      </c>
      <c r="D2043">
        <v>4</v>
      </c>
      <c r="E2043" t="s">
        <v>31</v>
      </c>
      <c r="F2043" t="s">
        <v>32</v>
      </c>
      <c r="G2043" t="str">
        <f>"2025-02-25 10:22:51.309"</f>
        <v>2025-02-25 10:22:51.309</v>
      </c>
      <c r="H2043" t="s">
        <v>21</v>
      </c>
      <c r="I2043">
        <v>0</v>
      </c>
      <c r="J2043" t="s">
        <v>27</v>
      </c>
    </row>
    <row r="2044" spans="1:10" x14ac:dyDescent="0.25">
      <c r="A2044" s="1">
        <v>127</v>
      </c>
      <c r="B2044" t="s">
        <v>19</v>
      </c>
      <c r="C2044">
        <v>700</v>
      </c>
      <c r="D2044">
        <v>0</v>
      </c>
      <c r="E2044" t="s">
        <v>20</v>
      </c>
      <c r="F2044" t="s">
        <v>20</v>
      </c>
      <c r="G2044" t="str">
        <f>"2025-02-25 10:02:16.069"</f>
        <v>2025-02-25 10:02:16.069</v>
      </c>
      <c r="H2044" t="s">
        <v>21</v>
      </c>
      <c r="I2044">
        <v>0</v>
      </c>
      <c r="J2044" t="s">
        <v>22</v>
      </c>
    </row>
    <row r="2045" spans="1:10" x14ac:dyDescent="0.25">
      <c r="A2045" s="1">
        <v>128</v>
      </c>
      <c r="B2045" t="s">
        <v>19</v>
      </c>
      <c r="C2045">
        <v>706</v>
      </c>
      <c r="D2045">
        <v>4</v>
      </c>
      <c r="E2045" t="s">
        <v>31</v>
      </c>
      <c r="F2045" t="s">
        <v>32</v>
      </c>
      <c r="G2045" t="str">
        <f>"2025-02-25 09:42:19.846"</f>
        <v>2025-02-25 09:42:19.846</v>
      </c>
      <c r="H2045" t="s">
        <v>21</v>
      </c>
      <c r="I2045">
        <v>0</v>
      </c>
      <c r="J2045" t="s">
        <v>27</v>
      </c>
    </row>
    <row r="2046" spans="1:10" x14ac:dyDescent="0.25">
      <c r="A2046" s="1">
        <v>129</v>
      </c>
      <c r="B2046" t="s">
        <v>19</v>
      </c>
      <c r="C2046">
        <v>706</v>
      </c>
      <c r="D2046">
        <v>2</v>
      </c>
      <c r="E2046" t="s">
        <v>31</v>
      </c>
      <c r="F2046" t="s">
        <v>43</v>
      </c>
      <c r="G2046" t="str">
        <f>"2025-02-25 09:34:06.056"</f>
        <v>2025-02-25 09:34:06.056</v>
      </c>
      <c r="H2046" t="s">
        <v>21</v>
      </c>
      <c r="I2046">
        <v>0</v>
      </c>
      <c r="J2046" t="s">
        <v>27</v>
      </c>
    </row>
    <row r="2047" spans="1:10" x14ac:dyDescent="0.25">
      <c r="A2047" s="1">
        <v>130</v>
      </c>
      <c r="B2047" t="s">
        <v>19</v>
      </c>
      <c r="C2047">
        <v>700</v>
      </c>
      <c r="D2047">
        <v>0</v>
      </c>
      <c r="E2047" t="s">
        <v>20</v>
      </c>
      <c r="F2047" t="s">
        <v>20</v>
      </c>
      <c r="G2047" t="str">
        <f>"2025-02-25 09:32:45.046"</f>
        <v>2025-02-25 09:32:45.046</v>
      </c>
      <c r="H2047" t="s">
        <v>21</v>
      </c>
      <c r="I2047">
        <v>0</v>
      </c>
      <c r="J2047" t="s">
        <v>22</v>
      </c>
    </row>
    <row r="2048" spans="1:10" x14ac:dyDescent="0.25">
      <c r="A2048" s="1">
        <v>131</v>
      </c>
      <c r="B2048" t="s">
        <v>19</v>
      </c>
      <c r="C2048">
        <v>700</v>
      </c>
      <c r="D2048">
        <v>0</v>
      </c>
      <c r="E2048" t="s">
        <v>20</v>
      </c>
      <c r="F2048" t="s">
        <v>20</v>
      </c>
      <c r="G2048" t="str">
        <f>"2025-02-25 09:26:22.045"</f>
        <v>2025-02-25 09:26:22.045</v>
      </c>
      <c r="H2048" t="s">
        <v>21</v>
      </c>
      <c r="I2048">
        <v>0</v>
      </c>
      <c r="J2048" t="s">
        <v>22</v>
      </c>
    </row>
    <row r="2049" spans="1:10" x14ac:dyDescent="0.25">
      <c r="A2049" s="1">
        <v>132</v>
      </c>
      <c r="B2049" t="s">
        <v>19</v>
      </c>
      <c r="C2049">
        <v>706</v>
      </c>
      <c r="D2049">
        <v>4</v>
      </c>
      <c r="E2049" t="s">
        <v>31</v>
      </c>
      <c r="F2049" t="s">
        <v>32</v>
      </c>
      <c r="G2049" t="str">
        <f>"2025-02-25 09:21:43.329"</f>
        <v>2025-02-25 09:21:43.329</v>
      </c>
      <c r="H2049" t="s">
        <v>21</v>
      </c>
      <c r="I2049">
        <v>0</v>
      </c>
      <c r="J2049" t="s">
        <v>27</v>
      </c>
    </row>
    <row r="2050" spans="1:10" x14ac:dyDescent="0.25">
      <c r="A2050" s="1">
        <v>133</v>
      </c>
      <c r="B2050" t="s">
        <v>19</v>
      </c>
      <c r="C2050">
        <v>706</v>
      </c>
      <c r="D2050">
        <v>4</v>
      </c>
      <c r="E2050" t="s">
        <v>31</v>
      </c>
      <c r="F2050" t="s">
        <v>32</v>
      </c>
      <c r="G2050" t="str">
        <f>"2025-02-25 09:21:27.939"</f>
        <v>2025-02-25 09:21:27.939</v>
      </c>
      <c r="H2050" t="s">
        <v>21</v>
      </c>
      <c r="I2050">
        <v>0</v>
      </c>
      <c r="J2050" t="s">
        <v>27</v>
      </c>
    </row>
    <row r="2051" spans="1:10" x14ac:dyDescent="0.25">
      <c r="A2051" s="1">
        <v>134</v>
      </c>
      <c r="B2051" t="s">
        <v>19</v>
      </c>
      <c r="C2051">
        <v>700</v>
      </c>
      <c r="D2051">
        <v>0</v>
      </c>
      <c r="E2051" t="s">
        <v>20</v>
      </c>
      <c r="F2051" t="s">
        <v>20</v>
      </c>
      <c r="G2051" t="str">
        <f>"2025-02-25 09:07:00.049"</f>
        <v>2025-02-25 09:07:00.049</v>
      </c>
      <c r="H2051" t="s">
        <v>21</v>
      </c>
    </row>
    <row r="2052" spans="1:10" x14ac:dyDescent="0.25">
      <c r="A2052" s="1">
        <v>135</v>
      </c>
      <c r="B2052" t="s">
        <v>19</v>
      </c>
      <c r="C2052">
        <v>700</v>
      </c>
      <c r="D2052">
        <v>0</v>
      </c>
      <c r="E2052" t="s">
        <v>20</v>
      </c>
      <c r="F2052" t="s">
        <v>20</v>
      </c>
      <c r="G2052" t="str">
        <f>"2025-02-24 16:34:52.065"</f>
        <v>2025-02-24 16:34:52.065</v>
      </c>
      <c r="H2052" t="s">
        <v>21</v>
      </c>
      <c r="I2052">
        <v>0</v>
      </c>
      <c r="J2052" t="s">
        <v>22</v>
      </c>
    </row>
    <row r="2053" spans="1:10" x14ac:dyDescent="0.25">
      <c r="A2053" s="1">
        <v>136</v>
      </c>
      <c r="B2053" t="s">
        <v>19</v>
      </c>
      <c r="C2053">
        <v>700</v>
      </c>
      <c r="D2053">
        <v>0</v>
      </c>
      <c r="E2053" t="s">
        <v>20</v>
      </c>
      <c r="F2053" t="s">
        <v>20</v>
      </c>
      <c r="G2053" t="str">
        <f>"2025-02-24 14:46:58.050"</f>
        <v>2025-02-24 14:46:58.050</v>
      </c>
      <c r="H2053" t="s">
        <v>21</v>
      </c>
    </row>
    <row r="2054" spans="1:10" x14ac:dyDescent="0.25">
      <c r="A2054" s="1">
        <v>137</v>
      </c>
      <c r="B2054" t="s">
        <v>19</v>
      </c>
      <c r="C2054">
        <v>700</v>
      </c>
      <c r="D2054">
        <v>0</v>
      </c>
      <c r="E2054" t="s">
        <v>20</v>
      </c>
      <c r="F2054" t="s">
        <v>20</v>
      </c>
      <c r="G2054" t="str">
        <f>"2025-02-24 12:48:29.045"</f>
        <v>2025-02-24 12:48:29.045</v>
      </c>
      <c r="H2054" t="s">
        <v>21</v>
      </c>
      <c r="I2054">
        <v>0</v>
      </c>
      <c r="J2054" t="s">
        <v>22</v>
      </c>
    </row>
    <row r="2055" spans="1:10" x14ac:dyDescent="0.25">
      <c r="A2055" s="1">
        <v>138</v>
      </c>
      <c r="B2055" t="s">
        <v>19</v>
      </c>
      <c r="C2055">
        <v>706</v>
      </c>
      <c r="D2055">
        <v>4</v>
      </c>
      <c r="E2055" t="s">
        <v>31</v>
      </c>
      <c r="F2055" t="s">
        <v>32</v>
      </c>
      <c r="G2055" t="str">
        <f>"2025-02-24 12:08:34.146"</f>
        <v>2025-02-24 12:08:34.146</v>
      </c>
      <c r="H2055" t="s">
        <v>21</v>
      </c>
      <c r="I2055">
        <v>0</v>
      </c>
      <c r="J2055" t="s">
        <v>27</v>
      </c>
    </row>
    <row r="2056" spans="1:10" x14ac:dyDescent="0.25">
      <c r="A2056" s="1">
        <v>139</v>
      </c>
      <c r="B2056" t="s">
        <v>19</v>
      </c>
      <c r="C2056">
        <v>700</v>
      </c>
      <c r="D2056">
        <v>0</v>
      </c>
      <c r="E2056" t="s">
        <v>20</v>
      </c>
      <c r="F2056" t="s">
        <v>20</v>
      </c>
      <c r="G2056" t="str">
        <f>"2025-02-24 12:08:12.056"</f>
        <v>2025-02-24 12:08:12.056</v>
      </c>
      <c r="H2056" t="s">
        <v>21</v>
      </c>
      <c r="I2056">
        <v>0</v>
      </c>
      <c r="J2056" t="s">
        <v>22</v>
      </c>
    </row>
    <row r="2057" spans="1:10" x14ac:dyDescent="0.25">
      <c r="A2057" s="1">
        <v>140</v>
      </c>
      <c r="B2057" t="s">
        <v>19</v>
      </c>
      <c r="C2057">
        <v>706</v>
      </c>
      <c r="D2057">
        <v>4</v>
      </c>
      <c r="E2057" t="s">
        <v>31</v>
      </c>
      <c r="F2057" t="s">
        <v>32</v>
      </c>
      <c r="G2057" t="str">
        <f>"2025-02-24 08:43:55.328"</f>
        <v>2025-02-24 08:43:55.328</v>
      </c>
      <c r="H2057" t="s">
        <v>21</v>
      </c>
      <c r="I2057">
        <v>0</v>
      </c>
      <c r="J2057" t="s">
        <v>27</v>
      </c>
    </row>
    <row r="2058" spans="1:10" x14ac:dyDescent="0.25">
      <c r="A2058" s="1">
        <v>141</v>
      </c>
      <c r="B2058" t="s">
        <v>19</v>
      </c>
      <c r="C2058">
        <v>700</v>
      </c>
      <c r="D2058">
        <v>0</v>
      </c>
      <c r="E2058" t="s">
        <v>20</v>
      </c>
      <c r="F2058" t="s">
        <v>20</v>
      </c>
      <c r="G2058" t="str">
        <f>"2025-02-24 08:37:03.048"</f>
        <v>2025-02-24 08:37:03.048</v>
      </c>
      <c r="H2058" t="s">
        <v>21</v>
      </c>
      <c r="I2058">
        <v>0</v>
      </c>
      <c r="J2058" t="s">
        <v>22</v>
      </c>
    </row>
    <row r="2059" spans="1:10" x14ac:dyDescent="0.25">
      <c r="A2059" s="1">
        <v>142</v>
      </c>
      <c r="B2059" t="s">
        <v>19</v>
      </c>
      <c r="C2059">
        <v>706</v>
      </c>
      <c r="D2059">
        <v>4</v>
      </c>
      <c r="E2059" t="s">
        <v>31</v>
      </c>
      <c r="F2059" t="s">
        <v>32</v>
      </c>
      <c r="G2059" t="str">
        <f>"2025-02-23 17:01:47.257"</f>
        <v>2025-02-23 17:01:47.257</v>
      </c>
      <c r="H2059" t="s">
        <v>21</v>
      </c>
      <c r="I2059">
        <v>0</v>
      </c>
      <c r="J2059" t="s">
        <v>27</v>
      </c>
    </row>
    <row r="2060" spans="1:10" x14ac:dyDescent="0.25">
      <c r="A2060" s="1">
        <v>143</v>
      </c>
      <c r="B2060" t="s">
        <v>19</v>
      </c>
      <c r="C2060">
        <v>706</v>
      </c>
      <c r="D2060">
        <v>4</v>
      </c>
      <c r="E2060" t="s">
        <v>31</v>
      </c>
      <c r="F2060" t="s">
        <v>32</v>
      </c>
      <c r="G2060" t="str">
        <f>"2025-02-23 17:00:15.047"</f>
        <v>2025-02-23 17:00:15.047</v>
      </c>
      <c r="H2060" t="s">
        <v>21</v>
      </c>
      <c r="I2060">
        <v>0</v>
      </c>
      <c r="J2060" t="s">
        <v>27</v>
      </c>
    </row>
    <row r="2061" spans="1:10" x14ac:dyDescent="0.25">
      <c r="A2061" s="1">
        <v>144</v>
      </c>
      <c r="B2061" t="s">
        <v>19</v>
      </c>
      <c r="C2061">
        <v>706</v>
      </c>
      <c r="D2061">
        <v>4</v>
      </c>
      <c r="E2061" t="s">
        <v>31</v>
      </c>
      <c r="F2061" t="s">
        <v>32</v>
      </c>
      <c r="G2061" t="str">
        <f>"2025-02-23 16:31:30.697"</f>
        <v>2025-02-23 16:31:30.697</v>
      </c>
      <c r="H2061" t="s">
        <v>21</v>
      </c>
      <c r="I2061">
        <v>0</v>
      </c>
      <c r="J2061" t="s">
        <v>27</v>
      </c>
    </row>
    <row r="2062" spans="1:10" x14ac:dyDescent="0.25">
      <c r="A2062" s="1">
        <v>145</v>
      </c>
      <c r="B2062" t="s">
        <v>19</v>
      </c>
      <c r="C2062">
        <v>700</v>
      </c>
      <c r="D2062">
        <v>0</v>
      </c>
      <c r="E2062" t="s">
        <v>20</v>
      </c>
      <c r="F2062" t="s">
        <v>20</v>
      </c>
      <c r="G2062" t="str">
        <f>"2025-02-23 15:53:04.047"</f>
        <v>2025-02-23 15:53:04.047</v>
      </c>
      <c r="H2062" t="s">
        <v>21</v>
      </c>
      <c r="I2062">
        <v>0</v>
      </c>
      <c r="J2062" t="s">
        <v>22</v>
      </c>
    </row>
    <row r="2063" spans="1:10" x14ac:dyDescent="0.25">
      <c r="A2063" s="1">
        <v>146</v>
      </c>
      <c r="B2063" t="s">
        <v>19</v>
      </c>
      <c r="C2063">
        <v>706</v>
      </c>
      <c r="D2063">
        <v>4</v>
      </c>
      <c r="E2063" t="s">
        <v>31</v>
      </c>
      <c r="F2063" t="s">
        <v>32</v>
      </c>
      <c r="G2063" t="str">
        <f>"2025-02-23 15:38:36.037"</f>
        <v>2025-02-23 15:38:36.037</v>
      </c>
      <c r="H2063" t="s">
        <v>21</v>
      </c>
      <c r="I2063">
        <v>0</v>
      </c>
      <c r="J2063" t="s">
        <v>27</v>
      </c>
    </row>
    <row r="2064" spans="1:10" x14ac:dyDescent="0.25">
      <c r="A2064" s="1">
        <v>147</v>
      </c>
      <c r="B2064" t="s">
        <v>19</v>
      </c>
      <c r="C2064">
        <v>706</v>
      </c>
      <c r="D2064">
        <v>4</v>
      </c>
      <c r="E2064" t="s">
        <v>31</v>
      </c>
      <c r="F2064" t="s">
        <v>32</v>
      </c>
      <c r="G2064" t="str">
        <f>"2025-02-23 15:01:54.087"</f>
        <v>2025-02-23 15:01:54.087</v>
      </c>
      <c r="H2064" t="s">
        <v>21</v>
      </c>
      <c r="I2064">
        <v>0</v>
      </c>
      <c r="J2064" t="s">
        <v>27</v>
      </c>
    </row>
    <row r="2065" spans="1:10" x14ac:dyDescent="0.25">
      <c r="A2065" s="1">
        <v>148</v>
      </c>
      <c r="B2065" t="s">
        <v>19</v>
      </c>
      <c r="C2065">
        <v>700</v>
      </c>
      <c r="D2065">
        <v>0</v>
      </c>
      <c r="E2065" t="s">
        <v>20</v>
      </c>
      <c r="F2065" t="s">
        <v>20</v>
      </c>
      <c r="G2065" t="str">
        <f>"2025-02-23 14:22:26.047"</f>
        <v>2025-02-23 14:22:26.047</v>
      </c>
      <c r="H2065" t="s">
        <v>21</v>
      </c>
      <c r="I2065">
        <v>0</v>
      </c>
      <c r="J2065" t="s">
        <v>22</v>
      </c>
    </row>
    <row r="2066" spans="1:10" x14ac:dyDescent="0.25">
      <c r="A2066" s="1">
        <v>149</v>
      </c>
      <c r="B2066" t="s">
        <v>19</v>
      </c>
      <c r="C2066">
        <v>700</v>
      </c>
      <c r="D2066">
        <v>0</v>
      </c>
      <c r="E2066" t="s">
        <v>20</v>
      </c>
      <c r="F2066" t="s">
        <v>20</v>
      </c>
      <c r="G2066" t="str">
        <f>"2025-02-23 12:20:32.043"</f>
        <v>2025-02-23 12:20:32.043</v>
      </c>
      <c r="H2066" t="s">
        <v>21</v>
      </c>
      <c r="I2066">
        <v>0</v>
      </c>
      <c r="J2066" t="s">
        <v>22</v>
      </c>
    </row>
    <row r="2067" spans="1:10" x14ac:dyDescent="0.25">
      <c r="A2067" s="1">
        <v>150</v>
      </c>
      <c r="B2067" t="s">
        <v>19</v>
      </c>
      <c r="C2067">
        <v>700</v>
      </c>
      <c r="D2067">
        <v>0</v>
      </c>
      <c r="E2067" t="s">
        <v>20</v>
      </c>
      <c r="F2067" t="s">
        <v>20</v>
      </c>
      <c r="G2067" t="str">
        <f>"2025-02-23 12:18:03.033"</f>
        <v>2025-02-23 12:18:03.033</v>
      </c>
      <c r="H2067" t="s">
        <v>21</v>
      </c>
      <c r="I2067">
        <v>0</v>
      </c>
      <c r="J2067" t="s">
        <v>22</v>
      </c>
    </row>
    <row r="2068" spans="1:10" x14ac:dyDescent="0.25">
      <c r="A2068" s="1">
        <v>151</v>
      </c>
      <c r="B2068" t="s">
        <v>19</v>
      </c>
      <c r="C2068">
        <v>700</v>
      </c>
      <c r="D2068">
        <v>0</v>
      </c>
      <c r="E2068" t="s">
        <v>20</v>
      </c>
      <c r="F2068" t="s">
        <v>20</v>
      </c>
      <c r="G2068" t="str">
        <f>"2025-02-23 10:09:48.018"</f>
        <v>2025-02-23 10:09:48.018</v>
      </c>
      <c r="H2068" t="s">
        <v>21</v>
      </c>
    </row>
    <row r="2069" spans="1:10" x14ac:dyDescent="0.25">
      <c r="A2069" s="1">
        <v>152</v>
      </c>
      <c r="B2069" t="s">
        <v>19</v>
      </c>
      <c r="C2069">
        <v>700</v>
      </c>
      <c r="D2069">
        <v>0</v>
      </c>
      <c r="E2069" t="s">
        <v>20</v>
      </c>
      <c r="F2069" t="s">
        <v>20</v>
      </c>
      <c r="G2069" t="str">
        <f>"2025-02-23 08:30:21.009"</f>
        <v>2025-02-23 08:30:21.009</v>
      </c>
      <c r="H2069" t="s">
        <v>21</v>
      </c>
    </row>
    <row r="2070" spans="1:10" x14ac:dyDescent="0.25">
      <c r="A2070" s="1">
        <v>153</v>
      </c>
      <c r="B2070" t="s">
        <v>19</v>
      </c>
      <c r="C2070">
        <v>700</v>
      </c>
      <c r="D2070">
        <v>0</v>
      </c>
      <c r="E2070" t="s">
        <v>20</v>
      </c>
      <c r="F2070" t="s">
        <v>20</v>
      </c>
      <c r="G2070" t="str">
        <f>"2025-02-22 15:32:53.018"</f>
        <v>2025-02-22 15:32:53.018</v>
      </c>
      <c r="H2070" t="s">
        <v>21</v>
      </c>
      <c r="I2070">
        <v>0</v>
      </c>
      <c r="J2070" t="s">
        <v>22</v>
      </c>
    </row>
    <row r="2071" spans="1:10" x14ac:dyDescent="0.25">
      <c r="A2071" s="1">
        <v>154</v>
      </c>
      <c r="B2071" t="s">
        <v>19</v>
      </c>
      <c r="C2071">
        <v>700</v>
      </c>
      <c r="D2071">
        <v>0</v>
      </c>
      <c r="E2071" t="s">
        <v>20</v>
      </c>
      <c r="F2071" t="s">
        <v>20</v>
      </c>
      <c r="G2071" t="str">
        <f>"2025-02-22 15:26:34.012"</f>
        <v>2025-02-22 15:26:34.012</v>
      </c>
      <c r="H2071" t="s">
        <v>21</v>
      </c>
    </row>
    <row r="2072" spans="1:10" x14ac:dyDescent="0.25">
      <c r="A2072" s="1">
        <v>155</v>
      </c>
      <c r="B2072" t="s">
        <v>19</v>
      </c>
      <c r="C2072">
        <v>700</v>
      </c>
      <c r="D2072">
        <v>0</v>
      </c>
      <c r="E2072" t="s">
        <v>20</v>
      </c>
      <c r="F2072" t="s">
        <v>20</v>
      </c>
      <c r="G2072" t="str">
        <f>"2025-02-22 15:19:33.005"</f>
        <v>2025-02-22 15:19:33.005</v>
      </c>
      <c r="H2072" t="s">
        <v>21</v>
      </c>
    </row>
    <row r="2073" spans="1:10" x14ac:dyDescent="0.25">
      <c r="A2073" s="1">
        <v>158</v>
      </c>
      <c r="B2073" t="s">
        <v>19</v>
      </c>
      <c r="C2073">
        <v>782</v>
      </c>
      <c r="D2073">
        <v>7</v>
      </c>
      <c r="E2073" t="s">
        <v>56</v>
      </c>
      <c r="F2073" t="s">
        <v>57</v>
      </c>
      <c r="G2073" t="str">
        <f>"2025-02-22 14:56:36.636"</f>
        <v>2025-02-22 14:56:36.636</v>
      </c>
      <c r="H2073" t="s">
        <v>21</v>
      </c>
      <c r="I2073">
        <v>0</v>
      </c>
      <c r="J2073" t="s">
        <v>73</v>
      </c>
    </row>
    <row r="2074" spans="1:10" x14ac:dyDescent="0.25">
      <c r="A2074" s="1">
        <v>161</v>
      </c>
      <c r="B2074" t="s">
        <v>23</v>
      </c>
      <c r="C2074">
        <v>12</v>
      </c>
      <c r="D2074">
        <v>2</v>
      </c>
      <c r="E2074" t="s">
        <v>74</v>
      </c>
      <c r="F2074" t="s">
        <v>75</v>
      </c>
      <c r="G2074" t="str">
        <f>"2025-02-22 14:56:36.630"</f>
        <v>2025-02-22 14:56:36.630</v>
      </c>
      <c r="H2074" t="s">
        <v>21</v>
      </c>
    </row>
    <row r="2075" spans="1:10" x14ac:dyDescent="0.25">
      <c r="A2075" s="1">
        <v>162</v>
      </c>
      <c r="B2075" t="s">
        <v>23</v>
      </c>
      <c r="C2075">
        <v>12</v>
      </c>
      <c r="D2075">
        <v>1</v>
      </c>
      <c r="E2075" t="s">
        <v>74</v>
      </c>
      <c r="F2075" t="s">
        <v>76</v>
      </c>
      <c r="G2075" t="str">
        <f>"2025-02-22 14:56:36.629"</f>
        <v>2025-02-22 14:56:36.629</v>
      </c>
      <c r="H2075" t="s">
        <v>21</v>
      </c>
    </row>
    <row r="2076" spans="1:10" x14ac:dyDescent="0.25">
      <c r="A2076" s="1">
        <v>163</v>
      </c>
      <c r="B2076" t="s">
        <v>19</v>
      </c>
      <c r="C2076">
        <v>782</v>
      </c>
      <c r="D2076">
        <v>7</v>
      </c>
      <c r="E2076" t="s">
        <v>56</v>
      </c>
      <c r="F2076" t="s">
        <v>57</v>
      </c>
      <c r="G2076" t="str">
        <f>"2025-02-22 14:56:36.628"</f>
        <v>2025-02-22 14:56:36.628</v>
      </c>
      <c r="H2076" t="s">
        <v>21</v>
      </c>
      <c r="I2076">
        <v>0</v>
      </c>
      <c r="J2076" t="s">
        <v>73</v>
      </c>
    </row>
    <row r="2077" spans="1:10" x14ac:dyDescent="0.25">
      <c r="A2077" s="1">
        <v>164</v>
      </c>
      <c r="B2077" t="s">
        <v>23</v>
      </c>
      <c r="C2077">
        <v>4</v>
      </c>
      <c r="D2077">
        <v>1</v>
      </c>
      <c r="E2077" t="s">
        <v>77</v>
      </c>
      <c r="F2077" t="s">
        <v>78</v>
      </c>
      <c r="G2077" t="str">
        <f>"2025-02-22 14:56:31.766"</f>
        <v>2025-02-22 14:56:31.766</v>
      </c>
      <c r="H2077" t="s">
        <v>79</v>
      </c>
    </row>
    <row r="2078" spans="1:10" x14ac:dyDescent="0.25">
      <c r="A2078" s="1">
        <v>165</v>
      </c>
      <c r="B2078" t="s">
        <v>19</v>
      </c>
      <c r="C2078">
        <v>700</v>
      </c>
      <c r="D2078">
        <v>0</v>
      </c>
      <c r="E2078" t="s">
        <v>20</v>
      </c>
      <c r="F2078" t="s">
        <v>20</v>
      </c>
      <c r="G2078" t="str">
        <f>"2025-02-22 14:56:24.006"</f>
        <v>2025-02-22 14:56:24.006</v>
      </c>
      <c r="H2078" t="s">
        <v>21</v>
      </c>
      <c r="I2078">
        <v>0</v>
      </c>
      <c r="J2078" t="s">
        <v>22</v>
      </c>
    </row>
    <row r="2079" spans="1:10" x14ac:dyDescent="0.25">
      <c r="A2079" s="1">
        <v>166</v>
      </c>
      <c r="B2079" t="s">
        <v>19</v>
      </c>
      <c r="C2079">
        <v>706</v>
      </c>
      <c r="D2079">
        <v>2</v>
      </c>
      <c r="E2079" t="s">
        <v>31</v>
      </c>
      <c r="F2079" t="s">
        <v>43</v>
      </c>
      <c r="G2079" t="str">
        <f>"2025-02-22 14:53:44.379"</f>
        <v>2025-02-22 14:53:44.379</v>
      </c>
      <c r="H2079" t="s">
        <v>21</v>
      </c>
      <c r="I2079">
        <v>0</v>
      </c>
      <c r="J2079" t="s">
        <v>73</v>
      </c>
    </row>
    <row r="2080" spans="1:10" x14ac:dyDescent="0.25">
      <c r="A2080" s="1">
        <v>167</v>
      </c>
      <c r="B2080" t="s">
        <v>19</v>
      </c>
      <c r="C2080">
        <v>700</v>
      </c>
      <c r="D2080">
        <v>0</v>
      </c>
      <c r="E2080" t="s">
        <v>20</v>
      </c>
      <c r="F2080" t="s">
        <v>20</v>
      </c>
      <c r="G2080" t="str">
        <f>"2025-02-22 14:41:36.009"</f>
        <v>2025-02-22 14:41:36.009</v>
      </c>
      <c r="H2080" t="s">
        <v>21</v>
      </c>
      <c r="I2080">
        <v>0</v>
      </c>
      <c r="J2080" t="s">
        <v>22</v>
      </c>
    </row>
    <row r="2081" spans="1:10" x14ac:dyDescent="0.25">
      <c r="A2081" s="1">
        <v>168</v>
      </c>
      <c r="B2081" t="s">
        <v>19</v>
      </c>
      <c r="C2081">
        <v>700</v>
      </c>
      <c r="D2081">
        <v>0</v>
      </c>
      <c r="E2081" t="s">
        <v>20</v>
      </c>
      <c r="F2081" t="s">
        <v>20</v>
      </c>
      <c r="G2081" t="str">
        <f>"2025-02-22 11:21:29.998"</f>
        <v>2025-02-22 11:21:29.998</v>
      </c>
      <c r="H2081" t="s">
        <v>21</v>
      </c>
    </row>
    <row r="2082" spans="1:10" x14ac:dyDescent="0.25">
      <c r="A2082" s="1">
        <v>169</v>
      </c>
      <c r="B2082" t="s">
        <v>19</v>
      </c>
      <c r="C2082">
        <v>700</v>
      </c>
      <c r="D2082">
        <v>0</v>
      </c>
      <c r="E2082" t="s">
        <v>20</v>
      </c>
      <c r="F2082" t="s">
        <v>20</v>
      </c>
      <c r="G2082" t="str">
        <f>"2025-02-22 11:20:27.006"</f>
        <v>2025-02-22 11:20:27.006</v>
      </c>
      <c r="H2082" t="s">
        <v>21</v>
      </c>
      <c r="I2082">
        <v>0</v>
      </c>
      <c r="J2082" t="s">
        <v>22</v>
      </c>
    </row>
    <row r="2083" spans="1:10" x14ac:dyDescent="0.25">
      <c r="A2083" s="1">
        <v>170</v>
      </c>
      <c r="B2083" t="s">
        <v>19</v>
      </c>
      <c r="C2083">
        <v>719</v>
      </c>
      <c r="D2083">
        <v>1</v>
      </c>
      <c r="E2083" t="s">
        <v>63</v>
      </c>
      <c r="F2083" t="s">
        <v>80</v>
      </c>
      <c r="G2083" t="str">
        <f>"2025-02-21 15:50:00.689"</f>
        <v>2025-02-21 15:50:00.689</v>
      </c>
      <c r="H2083" t="s">
        <v>21</v>
      </c>
      <c r="I2083">
        <v>0</v>
      </c>
      <c r="J2083" t="s">
        <v>73</v>
      </c>
    </row>
    <row r="2084" spans="1:10" x14ac:dyDescent="0.25">
      <c r="A2084" s="1">
        <v>171</v>
      </c>
      <c r="B2084" t="s">
        <v>23</v>
      </c>
      <c r="C2084">
        <v>650</v>
      </c>
      <c r="D2084">
        <v>4</v>
      </c>
      <c r="E2084" t="s">
        <v>81</v>
      </c>
      <c r="F2084" t="s">
        <v>82</v>
      </c>
      <c r="G2084" t="str">
        <f>"2025-02-20 21:49:07.217"</f>
        <v>2025-02-20 21:49:07.217</v>
      </c>
      <c r="H2084" t="s">
        <v>21</v>
      </c>
    </row>
    <row r="2085" spans="1:10" x14ac:dyDescent="0.25">
      <c r="A2085" s="1">
        <v>172</v>
      </c>
      <c r="B2085" t="s">
        <v>23</v>
      </c>
      <c r="C2085">
        <v>98</v>
      </c>
      <c r="D2085">
        <v>1</v>
      </c>
      <c r="E2085" t="s">
        <v>49</v>
      </c>
      <c r="F2085" t="s">
        <v>50</v>
      </c>
      <c r="G2085" t="str">
        <f>"2025-02-20 21:48:31.948"</f>
        <v>2025-02-20 21:48:31.948</v>
      </c>
      <c r="H2085" t="s">
        <v>21</v>
      </c>
    </row>
    <row r="2086" spans="1:10" x14ac:dyDescent="0.25">
      <c r="A2086" s="1">
        <v>173</v>
      </c>
      <c r="B2086" t="s">
        <v>26</v>
      </c>
      <c r="C2086">
        <v>98</v>
      </c>
      <c r="D2086">
        <v>1</v>
      </c>
      <c r="E2086" t="s">
        <v>49</v>
      </c>
      <c r="F2086" t="s">
        <v>50</v>
      </c>
      <c r="G2086" t="str">
        <f>"2025-02-20 21:48:30.949"</f>
        <v>2025-02-20 21:48:30.949</v>
      </c>
      <c r="H2086" t="s">
        <v>21</v>
      </c>
      <c r="I2086">
        <v>0</v>
      </c>
      <c r="J2086" t="s">
        <v>73</v>
      </c>
    </row>
    <row r="2087" spans="1:10" x14ac:dyDescent="0.25">
      <c r="A2087" s="1">
        <v>174</v>
      </c>
      <c r="B2087" t="s">
        <v>19</v>
      </c>
      <c r="C2087">
        <v>700</v>
      </c>
      <c r="D2087">
        <v>0</v>
      </c>
      <c r="E2087" t="s">
        <v>20</v>
      </c>
      <c r="F2087" t="s">
        <v>20</v>
      </c>
      <c r="G2087" t="str">
        <f>"2025-02-20 21:48:02.999"</f>
        <v>2025-02-20 21:48:02.999</v>
      </c>
      <c r="H2087" t="s">
        <v>21</v>
      </c>
      <c r="I2087">
        <v>0</v>
      </c>
      <c r="J2087" t="s">
        <v>22</v>
      </c>
    </row>
    <row r="2088" spans="1:10" x14ac:dyDescent="0.25">
      <c r="A2088" s="1">
        <v>175</v>
      </c>
      <c r="B2088" t="s">
        <v>38</v>
      </c>
      <c r="C2088">
        <v>641</v>
      </c>
      <c r="D2088">
        <v>1</v>
      </c>
      <c r="E2088" t="s">
        <v>83</v>
      </c>
      <c r="F2088" t="s">
        <v>75</v>
      </c>
      <c r="G2088" t="str">
        <f>"2025-02-20 21:43:25.869"</f>
        <v>2025-02-20 21:43:25.869</v>
      </c>
      <c r="H2088" t="s">
        <v>21</v>
      </c>
      <c r="I2088">
        <v>0</v>
      </c>
      <c r="J2088" t="s">
        <v>27</v>
      </c>
    </row>
    <row r="2089" spans="1:10" x14ac:dyDescent="0.25">
      <c r="A2089" s="1">
        <v>176</v>
      </c>
      <c r="B2089" t="s">
        <v>38</v>
      </c>
      <c r="C2089">
        <v>640</v>
      </c>
      <c r="D2089">
        <v>1</v>
      </c>
      <c r="E2089" t="s">
        <v>84</v>
      </c>
      <c r="F2089" t="s">
        <v>76</v>
      </c>
      <c r="G2089" t="str">
        <f>"2025-02-20 21:43:25.862"</f>
        <v>2025-02-20 21:43:25.862</v>
      </c>
      <c r="H2089" t="s">
        <v>47</v>
      </c>
      <c r="I2089">
        <v>0</v>
      </c>
      <c r="J2089" t="s">
        <v>27</v>
      </c>
    </row>
    <row r="2090" spans="1:10" x14ac:dyDescent="0.25">
      <c r="A2090" s="1">
        <v>177</v>
      </c>
      <c r="B2090" t="s">
        <v>19</v>
      </c>
      <c r="C2090">
        <v>700</v>
      </c>
      <c r="D2090">
        <v>0</v>
      </c>
      <c r="E2090" t="s">
        <v>20</v>
      </c>
      <c r="F2090" t="s">
        <v>20</v>
      </c>
      <c r="G2090" t="str">
        <f>"2025-02-20 21:43:15.793"</f>
        <v>2025-02-20 21:43:15.793</v>
      </c>
      <c r="H2090" t="s">
        <v>21</v>
      </c>
      <c r="I2090">
        <v>0</v>
      </c>
      <c r="J2090" t="s">
        <v>22</v>
      </c>
    </row>
    <row r="2091" spans="1:10" x14ac:dyDescent="0.25">
      <c r="A2091" s="1">
        <v>180</v>
      </c>
      <c r="B2091" t="s">
        <v>19</v>
      </c>
      <c r="C2091">
        <v>753</v>
      </c>
      <c r="D2091">
        <v>1</v>
      </c>
      <c r="E2091" t="s">
        <v>85</v>
      </c>
      <c r="F2091" t="s">
        <v>86</v>
      </c>
      <c r="G2091" t="str">
        <f>"2025-02-20 21:41:42.475"</f>
        <v>2025-02-20 21:41:42.475</v>
      </c>
      <c r="H2091" t="s">
        <v>21</v>
      </c>
      <c r="I2091">
        <v>0</v>
      </c>
      <c r="J2091" t="s">
        <v>27</v>
      </c>
    </row>
    <row r="2092" spans="1:10" x14ac:dyDescent="0.25">
      <c r="A2092" s="1">
        <v>181</v>
      </c>
      <c r="B2092" t="s">
        <v>38</v>
      </c>
      <c r="C2092">
        <v>641</v>
      </c>
      <c r="D2092">
        <v>1</v>
      </c>
      <c r="E2092" t="s">
        <v>83</v>
      </c>
      <c r="F2092" t="s">
        <v>75</v>
      </c>
      <c r="G2092" t="str">
        <f>"2025-02-20 21:41:36.854"</f>
        <v>2025-02-20 21:41:36.854</v>
      </c>
      <c r="H2092" t="s">
        <v>21</v>
      </c>
      <c r="I2092">
        <v>0</v>
      </c>
      <c r="J2092" t="s">
        <v>27</v>
      </c>
    </row>
    <row r="2093" spans="1:10" x14ac:dyDescent="0.25">
      <c r="A2093" s="1">
        <v>182</v>
      </c>
      <c r="B2093" t="s">
        <v>38</v>
      </c>
      <c r="C2093">
        <v>640</v>
      </c>
      <c r="D2093">
        <v>1</v>
      </c>
      <c r="E2093" t="s">
        <v>84</v>
      </c>
      <c r="F2093" t="s">
        <v>76</v>
      </c>
      <c r="G2093" t="str">
        <f>"2025-02-20 21:41:36.848"</f>
        <v>2025-02-20 21:41:36.848</v>
      </c>
      <c r="H2093" t="s">
        <v>47</v>
      </c>
      <c r="I2093">
        <v>0</v>
      </c>
      <c r="J2093" t="s">
        <v>27</v>
      </c>
    </row>
    <row r="2094" spans="1:10" x14ac:dyDescent="0.25">
      <c r="A2094" s="1">
        <v>183</v>
      </c>
      <c r="B2094" t="s">
        <v>26</v>
      </c>
      <c r="C2094">
        <v>4</v>
      </c>
      <c r="D2094">
        <v>1</v>
      </c>
      <c r="E2094" t="s">
        <v>77</v>
      </c>
      <c r="F2094" t="s">
        <v>78</v>
      </c>
      <c r="G2094" t="str">
        <f>"2025-02-20 21:41:31.507"</f>
        <v>2025-02-20 21:41:31.507</v>
      </c>
      <c r="H2094" t="s">
        <v>79</v>
      </c>
      <c r="I2094">
        <v>0</v>
      </c>
      <c r="J2094" t="s">
        <v>87</v>
      </c>
    </row>
    <row r="2095" spans="1:10" x14ac:dyDescent="0.25">
      <c r="A2095" s="1">
        <v>184</v>
      </c>
      <c r="B2095" t="s">
        <v>26</v>
      </c>
      <c r="C2095">
        <v>12</v>
      </c>
      <c r="D2095">
        <v>1</v>
      </c>
      <c r="E2095" t="s">
        <v>74</v>
      </c>
      <c r="F2095" t="s">
        <v>76</v>
      </c>
      <c r="G2095" t="str">
        <f>"2025-02-20 21:41:30.669"</f>
        <v>2025-02-20 21:41:30.669</v>
      </c>
      <c r="H2095" t="s">
        <v>21</v>
      </c>
      <c r="I2095">
        <v>0</v>
      </c>
      <c r="J2095" t="s">
        <v>87</v>
      </c>
    </row>
    <row r="2096" spans="1:10" x14ac:dyDescent="0.25">
      <c r="A2096" s="1">
        <v>185</v>
      </c>
      <c r="B2096" t="s">
        <v>26</v>
      </c>
      <c r="C2096">
        <v>12</v>
      </c>
      <c r="D2096">
        <v>2</v>
      </c>
      <c r="E2096" t="s">
        <v>74</v>
      </c>
      <c r="F2096" t="s">
        <v>75</v>
      </c>
      <c r="G2096" t="str">
        <f>"2025-02-20 21:41:30.569"</f>
        <v>2025-02-20 21:41:30.569</v>
      </c>
      <c r="H2096" t="s">
        <v>21</v>
      </c>
      <c r="I2096">
        <v>0</v>
      </c>
      <c r="J2096" t="s">
        <v>87</v>
      </c>
    </row>
    <row r="2097" spans="1:10" x14ac:dyDescent="0.25">
      <c r="A2097" s="1">
        <v>186</v>
      </c>
      <c r="B2097" t="s">
        <v>26</v>
      </c>
      <c r="C2097">
        <v>650</v>
      </c>
      <c r="D2097">
        <v>4</v>
      </c>
      <c r="E2097" t="s">
        <v>81</v>
      </c>
      <c r="F2097" t="s">
        <v>82</v>
      </c>
      <c r="G2097" t="str">
        <f>"2025-02-20 21:41:29.254"</f>
        <v>2025-02-20 21:41:29.254</v>
      </c>
      <c r="H2097" t="s">
        <v>21</v>
      </c>
      <c r="I2097">
        <v>0</v>
      </c>
      <c r="J2097" t="s">
        <v>22</v>
      </c>
    </row>
    <row r="2098" spans="1:10" x14ac:dyDescent="0.25">
      <c r="A2098" s="1">
        <v>187</v>
      </c>
      <c r="B2098" t="s">
        <v>19</v>
      </c>
      <c r="C2098">
        <v>700</v>
      </c>
      <c r="D2098">
        <v>0</v>
      </c>
      <c r="E2098" t="s">
        <v>20</v>
      </c>
      <c r="F2098" t="s">
        <v>20</v>
      </c>
      <c r="G2098" t="str">
        <f>"2025-02-20 21:41:26.575"</f>
        <v>2025-02-20 21:41:26.575</v>
      </c>
      <c r="H2098" t="s">
        <v>21</v>
      </c>
      <c r="I2098">
        <v>0</v>
      </c>
      <c r="J2098" t="s">
        <v>22</v>
      </c>
    </row>
  </sheetData>
  <autoFilter ref="A9:J2098" xr:uid="{A04565DA-C59D-4DBF-8233-9F2C09F29997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9C13A4-C1B0-42E5-B8E8-CC61A98FA5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events_ru_76_20260516-051029 61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2026-05-15T23:22:29Z</dcterms:modified>
</cp:coreProperties>
</file>
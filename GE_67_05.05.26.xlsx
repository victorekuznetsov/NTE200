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15B1A2D8-E6E3-4FE3-9781-08CDDD9B073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s_ru_67_20260505-111735 02" sheetId="2" r:id="rId1"/>
    <sheet name="Лист1" sheetId="1" r:id="rId2"/>
  </sheets>
  <definedNames>
    <definedName name="_xlnm._FilterDatabase" localSheetId="0" hidden="1">'events_ru_67_20260505-111735 02'!$A$9:$J$2581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7E6F1DC-9B16-4A05-84B3-F286F138F2C0}" keepAlive="1" name="Запрос — events_ru_67_20260505-111735 028" description="Соединение с запросом &quot;events_ru_67_20260505-111735 028&quot; в книге." type="5" refreshedVersion="0" background="1">
    <dbPr connection="Provider=Microsoft.Mashup.OleDb.1;Data Source=$Workbook$;Location=&quot;events_ru_67_20260505-111735 028&quot;;Extended Properties=&quot;&quot;" command="SELECT * FROM [events_ru_67_20260505-111735 028]"/>
  </connection>
</connections>
</file>

<file path=xl/sharedStrings.xml><?xml version="1.0" encoding="utf-8"?>
<sst xmlns="http://schemas.openxmlformats.org/spreadsheetml/2006/main" count="11910" uniqueCount="124">
  <si>
    <t>Column1</t>
  </si>
  <si>
    <t>vent Summary</t>
  </si>
  <si>
    <t>EM:</t>
  </si>
  <si>
    <t>NHL</t>
  </si>
  <si>
    <t>ruck Model:</t>
  </si>
  <si>
    <t>'NTE200</t>
  </si>
  <si>
    <t>ruck ID:</t>
  </si>
  <si>
    <t>oftware Version:</t>
  </si>
  <si>
    <t xml:space="preserve"> 8.08a</t>
  </si>
  <si>
    <t>ate Created:</t>
  </si>
  <si>
    <t>Type</t>
  </si>
  <si>
    <t>Event #</t>
  </si>
  <si>
    <t>Sub ID</t>
  </si>
  <si>
    <t xml:space="preserve"> Name</t>
  </si>
  <si>
    <t xml:space="preserve"> Sub ID Name</t>
  </si>
  <si>
    <t>Time</t>
  </si>
  <si>
    <t>Restriction</t>
  </si>
  <si>
    <t>truckspd</t>
  </si>
  <si>
    <t>state</t>
  </si>
  <si>
    <t>----</t>
  </si>
  <si>
    <t>Система в безопасном режиме</t>
  </si>
  <si>
    <t>Введен безопасный режим файловой системы - Низкий заряд батареи</t>
  </si>
  <si>
    <t>Неограничивающее событие</t>
  </si>
  <si>
    <t>Test</t>
  </si>
  <si>
    <t>--Включение питания системы--</t>
  </si>
  <si>
    <t>Вход в безопасный режим файловой системы - Запуск двигателя</t>
  </si>
  <si>
    <t>SRst</t>
  </si>
  <si>
    <t>Рабочий тормоз на ходу</t>
  </si>
  <si>
    <t>Рабочие тормоза использованы на ходу</t>
  </si>
  <si>
    <t>Log+</t>
  </si>
  <si>
    <t>Retard</t>
  </si>
  <si>
    <t>Самосвал перегружен - NR</t>
  </si>
  <si>
    <t>Не доступно</t>
  </si>
  <si>
    <t>Propel</t>
  </si>
  <si>
    <t>Null</t>
  </si>
  <si>
    <t>ARst</t>
  </si>
  <si>
    <t>TMC2 Система ИНВ</t>
  </si>
  <si>
    <t>Нет высокоскоростных данных от PSC</t>
  </si>
  <si>
    <t>TMC1 Система ИНВ</t>
  </si>
  <si>
    <t xml:space="preserve">Log </t>
  </si>
  <si>
    <t>Отказ связи обоих ИНВЕРТОРОВ</t>
  </si>
  <si>
    <t>Отказ связи ИНВ</t>
  </si>
  <si>
    <t>Нет питания</t>
  </si>
  <si>
    <t>Нарушение связи ИНВЕРТОРА 2</t>
  </si>
  <si>
    <t>Нет связи с инвертором 2</t>
  </si>
  <si>
    <t>Инв2 Выкл</t>
  </si>
  <si>
    <t>Нарушение связи ИНВЕРТОРА 1</t>
  </si>
  <si>
    <t>Нет связи с инвертором 1</t>
  </si>
  <si>
    <t>Инв1 Выкл</t>
  </si>
  <si>
    <t>Вход в безопасный режим файловой системы - Ключ или CPS</t>
  </si>
  <si>
    <t>Тест VI не пройден</t>
  </si>
  <si>
    <t>Инвертор</t>
  </si>
  <si>
    <t>Ready</t>
  </si>
  <si>
    <t>WRst</t>
  </si>
  <si>
    <t>RP или баланс мощности чоппера</t>
  </si>
  <si>
    <t>Может быть закорочен или постоянно замкнут</t>
  </si>
  <si>
    <t>Предел скорости, EngSpd RP</t>
  </si>
  <si>
    <t>КЗ на землю</t>
  </si>
  <si>
    <t>Ток утечки превысил пороговое значение</t>
  </si>
  <si>
    <t>Превышении скорости</t>
  </si>
  <si>
    <t>Управление скоростью - превышение</t>
  </si>
  <si>
    <t>Reset All Faults</t>
  </si>
  <si>
    <t>Zero</t>
  </si>
  <si>
    <t>Команда сохранения данных PTU</t>
  </si>
  <si>
    <t>Инициированное водителем сохранение данных</t>
  </si>
  <si>
    <t>TMC1 Фаза С- ИНВ</t>
  </si>
  <si>
    <t>Модули фаз С+ и С- вкл.</t>
  </si>
  <si>
    <t xml:space="preserve">TMC2 ИНВ Фаза A+/фаза A- </t>
  </si>
  <si>
    <t>Отказ, насыщение IGBT фаза A-</t>
  </si>
  <si>
    <t>Сравнение CMD скорости вращения ДВС</t>
  </si>
  <si>
    <t>Активна блокировка ХХ на холодном ДВС</t>
  </si>
  <si>
    <t>Запрос направления движ в режиме САМОНАГРУЗКА</t>
  </si>
  <si>
    <t>Ручка направления перемещается во время нахождения в режиме Loadbox</t>
  </si>
  <si>
    <t>Нет Тяги, Нет Самонагрузки</t>
  </si>
  <si>
    <t>Установка часов реального времени</t>
  </si>
  <si>
    <t>через WebPTU</t>
  </si>
  <si>
    <t>Давление охл воздуха мотор-колеса вне пределов</t>
  </si>
  <si>
    <t>Высокое показание датчика при выключенном ДВС</t>
  </si>
  <si>
    <t>Предел скорости</t>
  </si>
  <si>
    <t>Подъём кузова на ходу</t>
  </si>
  <si>
    <t>Отключение возбуждения генератора (GF) или блокировку ТЯГИ</t>
  </si>
  <si>
    <t>Выключатель цепи возбуждения генератора (GF) активен</t>
  </si>
  <si>
    <t>Нет Тяги</t>
  </si>
  <si>
    <t>Получено предупреждение ДВС</t>
  </si>
  <si>
    <t>Запрет тяги</t>
  </si>
  <si>
    <t>TMC1 Фаза В- ИНВ</t>
  </si>
  <si>
    <t>Модули фаз В+ и В- вкл.</t>
  </si>
  <si>
    <t>Сбой источника питания IGBT фаза С-</t>
  </si>
  <si>
    <t xml:space="preserve">TMC1 ИНВ Фаза А+ </t>
  </si>
  <si>
    <t>Обратная связь фазы A+ не выключена</t>
  </si>
  <si>
    <t>TMC1 ИНВ Фаза А+ (NR)</t>
  </si>
  <si>
    <t>Фаза A+ не выкл. при напряжении включения/пост. тока</t>
  </si>
  <si>
    <t>TMC1 Фаза С+ ИНВ</t>
  </si>
  <si>
    <t>Сбой источника питания IGBT фаза С+</t>
  </si>
  <si>
    <t>TMC2 Фаза В- ИНВ</t>
  </si>
  <si>
    <t>Изменен серийный номер карты</t>
  </si>
  <si>
    <t>Инвертор №1</t>
  </si>
  <si>
    <t>Инвертор №2</t>
  </si>
  <si>
    <t>TMC1 Фаза А- ИНВ</t>
  </si>
  <si>
    <t>Модули фаз A+ и A- вкл.</t>
  </si>
  <si>
    <t>TMC1 Фаза В+ ИНВ (NR)</t>
  </si>
  <si>
    <t>Фаза В+ не выкл. при напряжении включения/пост. тока</t>
  </si>
  <si>
    <t>TMC1 Фаза В+ ИНВ</t>
  </si>
  <si>
    <t>Обратная связь фазы В+ не выключена</t>
  </si>
  <si>
    <t>Самопроизвольный останов ДВС</t>
  </si>
  <si>
    <t>Unrequested Engine Speed Drop - While Stopped</t>
  </si>
  <si>
    <t>Ошибка сети CAN (CAN1)</t>
  </si>
  <si>
    <t>Потеря связи - сеть CAN двигателя</t>
  </si>
  <si>
    <t>Нет Самонагрузки, Предел скорости (нижний)</t>
  </si>
  <si>
    <t>Rest</t>
  </si>
  <si>
    <t>Активен режим разогрева при холодной погоде</t>
  </si>
  <si>
    <t>Ограничены скорость и крутящий момент - Проехать чтобы очистить</t>
  </si>
  <si>
    <t>Отказ педали ретардера</t>
  </si>
  <si>
    <t>Слишком низкое напряжение</t>
  </si>
  <si>
    <t>Слишком высокое напряжение</t>
  </si>
  <si>
    <t>Ошибка датчика скорости генератора</t>
  </si>
  <si>
    <t>через панель DID</t>
  </si>
  <si>
    <t>Нужна калибровка педали</t>
  </si>
  <si>
    <t>Нужна калибровка запуска</t>
  </si>
  <si>
    <t>--Обновлена версия ПО--</t>
  </si>
  <si>
    <t>Приложение</t>
  </si>
  <si>
    <t>Педаль акслератора вне пределов - низкий уровень</t>
  </si>
  <si>
    <t>Педаль акслератора вне пределов - высокий уровень</t>
  </si>
  <si>
    <t>Su-Sd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</si>
</sst>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DD8C8-C4B3-40BE-A6F7-C47BE644F0C2}">
  <dimension ref="A1:J2581"/>
  <sheetViews>
    <sheetView tabSelected="1" workbookViewId="0">
      <selection activeCell="E24" sqref="E24"/>
    </sheetView>
  </sheetViews>
  <sheetFormatPr defaultRowHeight="15" x14ac:dyDescent="0.25"/>
  <cols>
    <col min="1" max="1" width="16" bestFit="1" customWidth="1"/>
    <col min="5" max="5" width="31.7109375" customWidth="1"/>
    <col min="6" max="6" width="72.28515625" bestFit="1" customWidth="1"/>
    <col min="7" max="7" width="22" bestFit="1" customWidth="1"/>
    <col min="8" max="8" width="29.140625" customWidth="1"/>
  </cols>
  <sheetData>
    <row r="1" spans="1:10" x14ac:dyDescent="0.25">
      <c r="A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t="s">
        <v>3</v>
      </c>
    </row>
    <row r="4" spans="1:10" x14ac:dyDescent="0.25">
      <c r="A4" s="1" t="s">
        <v>4</v>
      </c>
      <c r="B4" t="s">
        <v>5</v>
      </c>
    </row>
    <row r="5" spans="1:10" x14ac:dyDescent="0.25">
      <c r="A5" s="1" t="s">
        <v>6</v>
      </c>
      <c r="B5">
        <v>67</v>
      </c>
    </row>
    <row r="6" spans="1:10" x14ac:dyDescent="0.25">
      <c r="A6" s="1" t="s">
        <v>7</v>
      </c>
      <c r="B6" t="s">
        <v>8</v>
      </c>
    </row>
    <row r="7" spans="1:10" x14ac:dyDescent="0.25">
      <c r="A7" s="1" t="s">
        <v>9</v>
      </c>
      <c r="B7" t="str">
        <f>"2026-05-05 11:17:35.028"</f>
        <v>2026-05-05 11:17:35.028</v>
      </c>
    </row>
    <row r="8" spans="1:10" x14ac:dyDescent="0.25">
      <c r="A8" s="1"/>
    </row>
    <row r="9" spans="1:10" x14ac:dyDescent="0.25">
      <c r="A9" s="1"/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x14ac:dyDescent="0.25">
      <c r="A10" s="1"/>
      <c r="B10" t="s">
        <v>19</v>
      </c>
      <c r="C10">
        <v>706</v>
      </c>
      <c r="D10">
        <v>4</v>
      </c>
      <c r="E10" t="s">
        <v>20</v>
      </c>
      <c r="F10" t="s">
        <v>21</v>
      </c>
      <c r="G10" t="str">
        <f>"2026-05-04 23:07:30.257"</f>
        <v>2026-05-04 23:07:30.257</v>
      </c>
      <c r="H10" t="s">
        <v>22</v>
      </c>
      <c r="I10">
        <v>0</v>
      </c>
      <c r="J10" t="s">
        <v>23</v>
      </c>
    </row>
    <row r="11" spans="1:10" x14ac:dyDescent="0.25">
      <c r="A11" s="1"/>
      <c r="B11" t="s">
        <v>19</v>
      </c>
      <c r="C11">
        <v>706</v>
      </c>
      <c r="D11">
        <v>4</v>
      </c>
      <c r="E11" t="s">
        <v>20</v>
      </c>
      <c r="F11" t="s">
        <v>21</v>
      </c>
      <c r="G11" t="str">
        <f>"2026-05-04 20:06:26.607"</f>
        <v>2026-05-04 20:06:26.607</v>
      </c>
      <c r="H11" t="s">
        <v>22</v>
      </c>
      <c r="I11">
        <v>0</v>
      </c>
      <c r="J11" t="s">
        <v>23</v>
      </c>
    </row>
    <row r="12" spans="1:10" x14ac:dyDescent="0.25">
      <c r="A12" s="1"/>
      <c r="B12" t="s">
        <v>19</v>
      </c>
      <c r="C12">
        <v>700</v>
      </c>
      <c r="D12">
        <v>0</v>
      </c>
      <c r="E12" t="s">
        <v>24</v>
      </c>
      <c r="F12" t="s">
        <v>24</v>
      </c>
      <c r="G12" t="str">
        <f>"2026-05-04 20:04:51.387"</f>
        <v>2026-05-04 20:04:51.387</v>
      </c>
      <c r="H12" t="s">
        <v>22</v>
      </c>
    </row>
    <row r="13" spans="1:10" x14ac:dyDescent="0.25">
      <c r="A13" s="1"/>
      <c r="B13" t="s">
        <v>19</v>
      </c>
      <c r="C13">
        <v>700</v>
      </c>
      <c r="D13">
        <v>0</v>
      </c>
      <c r="E13" t="s">
        <v>24</v>
      </c>
      <c r="F13" t="s">
        <v>24</v>
      </c>
      <c r="G13" t="str">
        <f>"2026-05-04 11:25:42.387"</f>
        <v>2026-05-04 11:25:42.387</v>
      </c>
      <c r="H13" t="s">
        <v>22</v>
      </c>
    </row>
    <row r="14" spans="1:10" x14ac:dyDescent="0.25">
      <c r="A14" s="1"/>
      <c r="B14" t="s">
        <v>19</v>
      </c>
      <c r="C14">
        <v>706</v>
      </c>
      <c r="D14">
        <v>2</v>
      </c>
      <c r="E14" t="s">
        <v>20</v>
      </c>
      <c r="F14" t="s">
        <v>25</v>
      </c>
      <c r="G14" t="str">
        <f>"2026-05-04 02:59:16.864"</f>
        <v>2026-05-04 02:59:16.864</v>
      </c>
      <c r="H14" t="s">
        <v>22</v>
      </c>
      <c r="I14">
        <v>0</v>
      </c>
      <c r="J14" t="s">
        <v>23</v>
      </c>
    </row>
    <row r="15" spans="1:10" s="3" customFormat="1" x14ac:dyDescent="0.25">
      <c r="A15" s="2"/>
      <c r="B15" s="3" t="s">
        <v>26</v>
      </c>
      <c r="C15" s="3">
        <v>647</v>
      </c>
      <c r="D15" s="3">
        <v>1</v>
      </c>
      <c r="E15" s="3" t="s">
        <v>27</v>
      </c>
      <c r="F15" s="3" t="s">
        <v>28</v>
      </c>
      <c r="G15" s="3" t="str">
        <f>"2026-05-04 01:09:27.372"</f>
        <v>2026-05-04 01:09:27.372</v>
      </c>
      <c r="H15" s="3" t="s">
        <v>22</v>
      </c>
    </row>
    <row r="16" spans="1:10" s="3" customFormat="1" x14ac:dyDescent="0.25">
      <c r="A16" s="2"/>
      <c r="B16" s="3" t="s">
        <v>29</v>
      </c>
      <c r="C16" s="3">
        <v>647</v>
      </c>
      <c r="D16" s="3">
        <v>1</v>
      </c>
      <c r="E16" s="3" t="s">
        <v>27</v>
      </c>
      <c r="F16" s="3" t="s">
        <v>28</v>
      </c>
      <c r="G16" s="3" t="str">
        <f>"2026-05-04 01:09:21.672"</f>
        <v>2026-05-04 01:09:21.672</v>
      </c>
      <c r="H16" s="3" t="s">
        <v>22</v>
      </c>
      <c r="I16" s="3">
        <v>10.37</v>
      </c>
      <c r="J16" s="3" t="s">
        <v>30</v>
      </c>
    </row>
    <row r="17" spans="1:10" x14ac:dyDescent="0.25">
      <c r="A17" s="1"/>
      <c r="B17" t="s">
        <v>26</v>
      </c>
      <c r="C17">
        <v>635</v>
      </c>
      <c r="D17">
        <v>1</v>
      </c>
      <c r="E17" t="s">
        <v>31</v>
      </c>
      <c r="F17" t="s">
        <v>32</v>
      </c>
      <c r="G17" t="str">
        <f>"2026-05-03 18:23:36.672"</f>
        <v>2026-05-03 18:23:36.672</v>
      </c>
      <c r="H17" t="s">
        <v>22</v>
      </c>
    </row>
    <row r="18" spans="1:10" x14ac:dyDescent="0.25">
      <c r="A18" s="1"/>
      <c r="B18" t="s">
        <v>29</v>
      </c>
      <c r="C18">
        <v>635</v>
      </c>
      <c r="D18">
        <v>1</v>
      </c>
      <c r="E18" t="s">
        <v>31</v>
      </c>
      <c r="F18" t="s">
        <v>32</v>
      </c>
      <c r="G18" t="str">
        <f>"2026-05-03 18:21:09.172"</f>
        <v>2026-05-03 18:21:09.172</v>
      </c>
      <c r="H18" t="s">
        <v>22</v>
      </c>
      <c r="I18">
        <v>4.68</v>
      </c>
      <c r="J18" t="s">
        <v>33</v>
      </c>
    </row>
    <row r="19" spans="1:10" x14ac:dyDescent="0.25">
      <c r="A19" s="1"/>
      <c r="B19" t="s">
        <v>26</v>
      </c>
      <c r="C19">
        <v>635</v>
      </c>
      <c r="D19">
        <v>1</v>
      </c>
      <c r="E19" t="s">
        <v>31</v>
      </c>
      <c r="F19" t="s">
        <v>32</v>
      </c>
      <c r="G19" t="str">
        <f>"2026-05-03 15:28:46.072"</f>
        <v>2026-05-03 15:28:46.072</v>
      </c>
      <c r="H19" t="s">
        <v>22</v>
      </c>
    </row>
    <row r="20" spans="1:10" x14ac:dyDescent="0.25">
      <c r="A20" s="1">
        <v>0</v>
      </c>
      <c r="B20" t="s">
        <v>29</v>
      </c>
      <c r="C20">
        <v>635</v>
      </c>
      <c r="D20">
        <v>1</v>
      </c>
      <c r="E20" t="s">
        <v>31</v>
      </c>
      <c r="F20" t="s">
        <v>32</v>
      </c>
      <c r="G20" t="str">
        <f>"2026-05-03 15:25:40.572"</f>
        <v>2026-05-03 15:25:40.572</v>
      </c>
      <c r="H20" t="s">
        <v>22</v>
      </c>
      <c r="I20">
        <v>2.0099999999999998</v>
      </c>
      <c r="J20" t="s">
        <v>30</v>
      </c>
    </row>
    <row r="21" spans="1:10" x14ac:dyDescent="0.25">
      <c r="A21" s="1">
        <v>1</v>
      </c>
      <c r="B21" t="s">
        <v>19</v>
      </c>
      <c r="C21">
        <v>700</v>
      </c>
      <c r="D21">
        <v>0</v>
      </c>
      <c r="E21" t="s">
        <v>24</v>
      </c>
      <c r="F21" t="s">
        <v>24</v>
      </c>
      <c r="G21" t="str">
        <f>"2026-05-03 13:46:29.384"</f>
        <v>2026-05-03 13:46:29.384</v>
      </c>
      <c r="H21" t="s">
        <v>22</v>
      </c>
      <c r="I21">
        <v>0</v>
      </c>
      <c r="J21" t="s">
        <v>34</v>
      </c>
    </row>
    <row r="22" spans="1:10" x14ac:dyDescent="0.25">
      <c r="A22" s="1">
        <v>2</v>
      </c>
      <c r="B22" t="s">
        <v>19</v>
      </c>
      <c r="C22">
        <v>700</v>
      </c>
      <c r="D22">
        <v>0</v>
      </c>
      <c r="E22" t="s">
        <v>24</v>
      </c>
      <c r="F22" t="s">
        <v>24</v>
      </c>
      <c r="G22" t="str">
        <f>"2026-05-03 08:37:25.380"</f>
        <v>2026-05-03 08:37:25.380</v>
      </c>
      <c r="H22" t="s">
        <v>22</v>
      </c>
      <c r="I22">
        <v>0</v>
      </c>
      <c r="J22" t="s">
        <v>34</v>
      </c>
    </row>
    <row r="23" spans="1:10" x14ac:dyDescent="0.25">
      <c r="A23" s="1">
        <v>3</v>
      </c>
      <c r="B23" t="s">
        <v>19</v>
      </c>
      <c r="C23">
        <v>706</v>
      </c>
      <c r="D23">
        <v>4</v>
      </c>
      <c r="E23" t="s">
        <v>20</v>
      </c>
      <c r="F23" t="s">
        <v>21</v>
      </c>
      <c r="G23" t="str">
        <f>"2026-05-02 20:09:04.752"</f>
        <v>2026-05-02 20:09:04.752</v>
      </c>
      <c r="H23" t="s">
        <v>22</v>
      </c>
      <c r="I23">
        <v>0</v>
      </c>
      <c r="J23" t="s">
        <v>23</v>
      </c>
    </row>
    <row r="24" spans="1:10" s="3" customFormat="1" x14ac:dyDescent="0.25">
      <c r="A24" s="2">
        <v>4</v>
      </c>
      <c r="B24" s="3" t="s">
        <v>26</v>
      </c>
      <c r="C24" s="3">
        <v>647</v>
      </c>
      <c r="D24" s="3">
        <v>1</v>
      </c>
      <c r="E24" s="3" t="s">
        <v>27</v>
      </c>
      <c r="F24" s="3" t="s">
        <v>28</v>
      </c>
      <c r="G24" s="3" t="str">
        <f>"2026-05-02 02:47:54.374"</f>
        <v>2026-05-02 02:47:54.374</v>
      </c>
      <c r="H24" s="3" t="s">
        <v>22</v>
      </c>
    </row>
    <row r="25" spans="1:10" s="3" customFormat="1" x14ac:dyDescent="0.25">
      <c r="A25" s="2">
        <v>5</v>
      </c>
      <c r="B25" s="3" t="s">
        <v>29</v>
      </c>
      <c r="C25" s="3">
        <v>647</v>
      </c>
      <c r="D25" s="3">
        <v>1</v>
      </c>
      <c r="E25" s="3" t="s">
        <v>27</v>
      </c>
      <c r="F25" s="3" t="s">
        <v>28</v>
      </c>
      <c r="G25" s="3" t="str">
        <f>"2026-05-02 02:47:52.474"</f>
        <v>2026-05-02 02:47:52.474</v>
      </c>
      <c r="H25" s="3" t="s">
        <v>22</v>
      </c>
      <c r="I25" s="3">
        <v>10.9</v>
      </c>
      <c r="J25" s="3" t="s">
        <v>30</v>
      </c>
    </row>
    <row r="26" spans="1:10" s="3" customFormat="1" x14ac:dyDescent="0.25">
      <c r="A26" s="2">
        <v>6</v>
      </c>
      <c r="B26" s="3" t="s">
        <v>26</v>
      </c>
      <c r="C26" s="3">
        <v>647</v>
      </c>
      <c r="D26" s="3">
        <v>1</v>
      </c>
      <c r="E26" s="3" t="s">
        <v>27</v>
      </c>
      <c r="F26" s="3" t="s">
        <v>28</v>
      </c>
      <c r="G26" s="3" t="str">
        <f>"2026-05-01 23:41:36.174"</f>
        <v>2026-05-01 23:41:36.174</v>
      </c>
      <c r="H26" s="3" t="s">
        <v>22</v>
      </c>
    </row>
    <row r="27" spans="1:10" s="3" customFormat="1" x14ac:dyDescent="0.25">
      <c r="A27" s="2">
        <v>7</v>
      </c>
      <c r="B27" s="3" t="s">
        <v>29</v>
      </c>
      <c r="C27" s="3">
        <v>647</v>
      </c>
      <c r="D27" s="3">
        <v>1</v>
      </c>
      <c r="E27" s="3" t="s">
        <v>27</v>
      </c>
      <c r="F27" s="3" t="s">
        <v>28</v>
      </c>
      <c r="G27" s="3" t="str">
        <f>"2026-05-01 23:41:34.474"</f>
        <v>2026-05-01 23:41:34.474</v>
      </c>
      <c r="H27" s="3" t="s">
        <v>22</v>
      </c>
      <c r="I27" s="3">
        <v>13.72</v>
      </c>
      <c r="J27" s="3" t="s">
        <v>30</v>
      </c>
    </row>
    <row r="28" spans="1:10" x14ac:dyDescent="0.25">
      <c r="A28" s="1">
        <v>8</v>
      </c>
      <c r="B28" t="s">
        <v>19</v>
      </c>
      <c r="C28">
        <v>700</v>
      </c>
      <c r="D28">
        <v>0</v>
      </c>
      <c r="E28" t="s">
        <v>24</v>
      </c>
      <c r="F28" t="s">
        <v>24</v>
      </c>
      <c r="G28" t="str">
        <f>"2026-05-01 13:26:44.372"</f>
        <v>2026-05-01 13:26:44.372</v>
      </c>
      <c r="H28" t="s">
        <v>22</v>
      </c>
    </row>
    <row r="29" spans="1:10" x14ac:dyDescent="0.25">
      <c r="A29" s="1">
        <v>0</v>
      </c>
      <c r="B29" t="s">
        <v>19</v>
      </c>
      <c r="C29">
        <v>706</v>
      </c>
      <c r="D29">
        <v>2</v>
      </c>
      <c r="E29" t="s">
        <v>20</v>
      </c>
      <c r="F29" t="s">
        <v>25</v>
      </c>
      <c r="G29" t="str">
        <f>"2026-04-30 19:53:37.454"</f>
        <v>2026-04-30 19:53:37.454</v>
      </c>
      <c r="H29" t="s">
        <v>22</v>
      </c>
      <c r="I29">
        <v>0</v>
      </c>
      <c r="J29" t="s">
        <v>23</v>
      </c>
    </row>
    <row r="30" spans="1:10" x14ac:dyDescent="0.25">
      <c r="A30" s="1">
        <v>1</v>
      </c>
      <c r="B30" t="s">
        <v>26</v>
      </c>
      <c r="C30">
        <v>635</v>
      </c>
      <c r="D30">
        <v>1</v>
      </c>
      <c r="E30" t="s">
        <v>31</v>
      </c>
      <c r="F30" t="s">
        <v>32</v>
      </c>
      <c r="G30" t="str">
        <f>"2026-04-30 17:23:36.771"</f>
        <v>2026-04-30 17:23:36.771</v>
      </c>
      <c r="H30" t="s">
        <v>22</v>
      </c>
    </row>
    <row r="31" spans="1:10" x14ac:dyDescent="0.25">
      <c r="A31" s="1">
        <v>2</v>
      </c>
      <c r="B31" t="s">
        <v>29</v>
      </c>
      <c r="C31">
        <v>635</v>
      </c>
      <c r="D31">
        <v>1</v>
      </c>
      <c r="E31" t="s">
        <v>31</v>
      </c>
      <c r="F31" t="s">
        <v>32</v>
      </c>
      <c r="G31" t="str">
        <f>"2026-04-30 17:20:04.771"</f>
        <v>2026-04-30 17:20:04.771</v>
      </c>
      <c r="H31" t="s">
        <v>22</v>
      </c>
      <c r="I31">
        <v>1.49</v>
      </c>
      <c r="J31" t="s">
        <v>33</v>
      </c>
    </row>
    <row r="32" spans="1:10" x14ac:dyDescent="0.25">
      <c r="A32" s="1">
        <v>3</v>
      </c>
      <c r="B32" t="s">
        <v>26</v>
      </c>
      <c r="C32">
        <v>635</v>
      </c>
      <c r="D32">
        <v>1</v>
      </c>
      <c r="E32" t="s">
        <v>31</v>
      </c>
      <c r="F32" t="s">
        <v>32</v>
      </c>
      <c r="G32" t="str">
        <f>"2026-04-30 14:44:31.571"</f>
        <v>2026-04-30 14:44:31.571</v>
      </c>
      <c r="H32" t="s">
        <v>22</v>
      </c>
    </row>
    <row r="33" spans="1:10" x14ac:dyDescent="0.25">
      <c r="A33" s="1">
        <v>4</v>
      </c>
      <c r="B33" t="s">
        <v>29</v>
      </c>
      <c r="C33">
        <v>635</v>
      </c>
      <c r="D33">
        <v>1</v>
      </c>
      <c r="E33" t="s">
        <v>31</v>
      </c>
      <c r="F33" t="s">
        <v>32</v>
      </c>
      <c r="G33" t="str">
        <f>"2026-04-30 14:40:51.071"</f>
        <v>2026-04-30 14:40:51.071</v>
      </c>
      <c r="H33" t="s">
        <v>22</v>
      </c>
      <c r="I33">
        <v>1.7</v>
      </c>
      <c r="J33" t="s">
        <v>33</v>
      </c>
    </row>
    <row r="34" spans="1:10" x14ac:dyDescent="0.25">
      <c r="A34" s="1">
        <v>5</v>
      </c>
      <c r="B34" t="s">
        <v>19</v>
      </c>
      <c r="C34">
        <v>700</v>
      </c>
      <c r="D34">
        <v>0</v>
      </c>
      <c r="E34" t="s">
        <v>24</v>
      </c>
      <c r="F34" t="s">
        <v>24</v>
      </c>
      <c r="G34" t="str">
        <f>"2026-04-30 13:41:56.384"</f>
        <v>2026-04-30 13:41:56.384</v>
      </c>
      <c r="H34" t="s">
        <v>22</v>
      </c>
      <c r="I34">
        <v>0</v>
      </c>
      <c r="J34" t="s">
        <v>34</v>
      </c>
    </row>
    <row r="35" spans="1:10" s="3" customFormat="1" x14ac:dyDescent="0.25">
      <c r="A35" s="2">
        <v>6</v>
      </c>
      <c r="B35" s="3" t="s">
        <v>26</v>
      </c>
      <c r="C35" s="3">
        <v>647</v>
      </c>
      <c r="D35" s="3">
        <v>1</v>
      </c>
      <c r="E35" s="3" t="s">
        <v>27</v>
      </c>
      <c r="F35" s="3" t="s">
        <v>28</v>
      </c>
      <c r="G35" s="3" t="str">
        <f>"2026-04-30 04:49:50.263"</f>
        <v>2026-04-30 04:49:50.263</v>
      </c>
      <c r="H35" s="3" t="s">
        <v>22</v>
      </c>
    </row>
    <row r="36" spans="1:10" s="3" customFormat="1" x14ac:dyDescent="0.25">
      <c r="A36" s="2">
        <v>7</v>
      </c>
      <c r="B36" s="3" t="s">
        <v>29</v>
      </c>
      <c r="C36" s="3">
        <v>647</v>
      </c>
      <c r="D36" s="3">
        <v>1</v>
      </c>
      <c r="E36" s="3" t="s">
        <v>27</v>
      </c>
      <c r="F36" s="3" t="s">
        <v>28</v>
      </c>
      <c r="G36" s="3" t="str">
        <f>"2026-04-30 04:49:39.363"</f>
        <v>2026-04-30 04:49:39.363</v>
      </c>
      <c r="H36" s="3" t="s">
        <v>22</v>
      </c>
      <c r="I36" s="3">
        <v>15.55</v>
      </c>
      <c r="J36" s="3" t="s">
        <v>30</v>
      </c>
    </row>
    <row r="37" spans="1:10" x14ac:dyDescent="0.25">
      <c r="A37" s="1">
        <v>8</v>
      </c>
      <c r="B37" t="s">
        <v>26</v>
      </c>
      <c r="C37">
        <v>635</v>
      </c>
      <c r="D37">
        <v>1</v>
      </c>
      <c r="E37" t="s">
        <v>31</v>
      </c>
      <c r="F37" t="s">
        <v>32</v>
      </c>
      <c r="G37" t="str">
        <f>"2026-04-29 15:14:07.163"</f>
        <v>2026-04-29 15:14:07.163</v>
      </c>
      <c r="H37" t="s">
        <v>22</v>
      </c>
    </row>
    <row r="38" spans="1:10" x14ac:dyDescent="0.25">
      <c r="A38" s="1">
        <v>9</v>
      </c>
      <c r="B38" t="s">
        <v>29</v>
      </c>
      <c r="C38">
        <v>635</v>
      </c>
      <c r="D38">
        <v>1</v>
      </c>
      <c r="E38" t="s">
        <v>31</v>
      </c>
      <c r="F38" t="s">
        <v>32</v>
      </c>
      <c r="G38" t="str">
        <f>"2026-04-29 15:08:58.664"</f>
        <v>2026-04-29 15:08:58.664</v>
      </c>
      <c r="H38" t="s">
        <v>22</v>
      </c>
      <c r="I38">
        <v>2.83</v>
      </c>
      <c r="J38" t="s">
        <v>30</v>
      </c>
    </row>
    <row r="39" spans="1:10" x14ac:dyDescent="0.25">
      <c r="A39" s="1">
        <v>0</v>
      </c>
      <c r="B39" t="s">
        <v>19</v>
      </c>
      <c r="C39">
        <v>700</v>
      </c>
      <c r="D39">
        <v>0</v>
      </c>
      <c r="E39" t="s">
        <v>24</v>
      </c>
      <c r="F39" t="s">
        <v>24</v>
      </c>
      <c r="G39" t="str">
        <f>"2026-04-29 13:56:18.376"</f>
        <v>2026-04-29 13:56:18.376</v>
      </c>
      <c r="H39" t="s">
        <v>22</v>
      </c>
      <c r="I39">
        <v>0</v>
      </c>
      <c r="J39" t="s">
        <v>34</v>
      </c>
    </row>
    <row r="40" spans="1:10" x14ac:dyDescent="0.25">
      <c r="A40" s="1">
        <v>1</v>
      </c>
      <c r="B40" t="s">
        <v>19</v>
      </c>
      <c r="C40">
        <v>700</v>
      </c>
      <c r="D40">
        <v>0</v>
      </c>
      <c r="E40" t="s">
        <v>24</v>
      </c>
      <c r="F40" t="s">
        <v>24</v>
      </c>
      <c r="G40" t="str">
        <f>"2026-04-29 13:27:27.579"</f>
        <v>2026-04-29 13:27:27.579</v>
      </c>
      <c r="H40" t="s">
        <v>22</v>
      </c>
      <c r="I40">
        <v>0</v>
      </c>
      <c r="J40" t="s">
        <v>34</v>
      </c>
    </row>
    <row r="41" spans="1:10" x14ac:dyDescent="0.25">
      <c r="A41" s="1">
        <v>2</v>
      </c>
      <c r="B41" t="s">
        <v>19</v>
      </c>
      <c r="C41">
        <v>700</v>
      </c>
      <c r="D41">
        <v>0</v>
      </c>
      <c r="E41" t="s">
        <v>24</v>
      </c>
      <c r="F41" t="s">
        <v>24</v>
      </c>
      <c r="G41" t="str">
        <f>"2026-04-28 13:15:47.431"</f>
        <v>2026-04-28 13:15:47.431</v>
      </c>
      <c r="H41" t="s">
        <v>22</v>
      </c>
      <c r="I41">
        <v>0</v>
      </c>
      <c r="J41" t="s">
        <v>34</v>
      </c>
    </row>
    <row r="42" spans="1:10" x14ac:dyDescent="0.25">
      <c r="A42" s="1">
        <v>3</v>
      </c>
      <c r="B42" t="s">
        <v>19</v>
      </c>
      <c r="C42">
        <v>700</v>
      </c>
      <c r="D42">
        <v>0</v>
      </c>
      <c r="E42" t="s">
        <v>24</v>
      </c>
      <c r="F42" t="s">
        <v>24</v>
      </c>
      <c r="G42" t="str">
        <f>"2026-04-28 08:40:58.385"</f>
        <v>2026-04-28 08:40:58.385</v>
      </c>
      <c r="H42" t="s">
        <v>22</v>
      </c>
    </row>
    <row r="43" spans="1:10" s="3" customFormat="1" x14ac:dyDescent="0.25">
      <c r="A43" s="2">
        <v>4</v>
      </c>
      <c r="B43" s="3" t="s">
        <v>26</v>
      </c>
      <c r="C43" s="3">
        <v>647</v>
      </c>
      <c r="D43" s="3">
        <v>1</v>
      </c>
      <c r="E43" s="3" t="s">
        <v>27</v>
      </c>
      <c r="F43" s="3" t="s">
        <v>28</v>
      </c>
      <c r="G43" s="3" t="str">
        <f>"2026-04-27 20:48:22.819"</f>
        <v>2026-04-27 20:48:22.819</v>
      </c>
      <c r="H43" s="3" t="s">
        <v>22</v>
      </c>
    </row>
    <row r="44" spans="1:10" s="3" customFormat="1" x14ac:dyDescent="0.25">
      <c r="A44" s="2">
        <v>5</v>
      </c>
      <c r="B44" s="3" t="s">
        <v>29</v>
      </c>
      <c r="C44" s="3">
        <v>647</v>
      </c>
      <c r="D44" s="3">
        <v>1</v>
      </c>
      <c r="E44" s="3" t="s">
        <v>27</v>
      </c>
      <c r="F44" s="3" t="s">
        <v>28</v>
      </c>
      <c r="G44" s="3" t="str">
        <f>"2026-04-27 20:48:18.720"</f>
        <v>2026-04-27 20:48:18.720</v>
      </c>
      <c r="H44" s="3" t="s">
        <v>22</v>
      </c>
      <c r="I44" s="3">
        <v>13.69</v>
      </c>
      <c r="J44" s="3" t="s">
        <v>30</v>
      </c>
    </row>
    <row r="45" spans="1:10" x14ac:dyDescent="0.25">
      <c r="A45" s="1">
        <v>6</v>
      </c>
      <c r="B45" t="s">
        <v>19</v>
      </c>
      <c r="C45">
        <v>706</v>
      </c>
      <c r="D45">
        <v>2</v>
      </c>
      <c r="E45" t="s">
        <v>20</v>
      </c>
      <c r="F45" t="s">
        <v>25</v>
      </c>
      <c r="G45" t="str">
        <f>"2026-04-27 20:38:05.112"</f>
        <v>2026-04-27 20:38:05.112</v>
      </c>
      <c r="H45" t="s">
        <v>22</v>
      </c>
      <c r="I45">
        <v>0</v>
      </c>
      <c r="J45" t="s">
        <v>23</v>
      </c>
    </row>
    <row r="46" spans="1:10" x14ac:dyDescent="0.25">
      <c r="A46" s="1">
        <v>7</v>
      </c>
      <c r="B46" t="s">
        <v>19</v>
      </c>
      <c r="C46">
        <v>700</v>
      </c>
      <c r="D46">
        <v>0</v>
      </c>
      <c r="E46" t="s">
        <v>24</v>
      </c>
      <c r="F46" t="s">
        <v>24</v>
      </c>
      <c r="G46" t="str">
        <f>"2026-04-27 15:03:48.432"</f>
        <v>2026-04-27 15:03:48.432</v>
      </c>
      <c r="H46" t="s">
        <v>22</v>
      </c>
      <c r="I46">
        <v>0</v>
      </c>
      <c r="J46" t="s">
        <v>34</v>
      </c>
    </row>
    <row r="47" spans="1:10" x14ac:dyDescent="0.25">
      <c r="A47" s="1">
        <v>8</v>
      </c>
      <c r="B47" t="s">
        <v>35</v>
      </c>
      <c r="C47">
        <v>215</v>
      </c>
      <c r="D47">
        <v>6</v>
      </c>
      <c r="E47" t="s">
        <v>36</v>
      </c>
      <c r="F47" t="s">
        <v>37</v>
      </c>
      <c r="G47" t="str">
        <f>"2026-04-26 17:36:08.169"</f>
        <v>2026-04-26 17:36:08.169</v>
      </c>
      <c r="H47" t="s">
        <v>22</v>
      </c>
    </row>
    <row r="48" spans="1:10" x14ac:dyDescent="0.25">
      <c r="A48" s="1">
        <v>9</v>
      </c>
      <c r="B48" t="s">
        <v>35</v>
      </c>
      <c r="C48">
        <v>115</v>
      </c>
      <c r="D48">
        <v>6</v>
      </c>
      <c r="E48" t="s">
        <v>38</v>
      </c>
      <c r="F48" t="s">
        <v>37</v>
      </c>
      <c r="G48" t="str">
        <f>"2026-04-26 17:36:08.069"</f>
        <v>2026-04-26 17:36:08.069</v>
      </c>
      <c r="H48" t="s">
        <v>22</v>
      </c>
    </row>
    <row r="49" spans="1:10" x14ac:dyDescent="0.25">
      <c r="A49" s="1">
        <v>0</v>
      </c>
      <c r="B49" t="s">
        <v>39</v>
      </c>
      <c r="C49">
        <v>215</v>
      </c>
      <c r="D49">
        <v>6</v>
      </c>
      <c r="E49" t="s">
        <v>36</v>
      </c>
      <c r="F49" t="s">
        <v>37</v>
      </c>
      <c r="G49" t="str">
        <f>"2026-04-26 17:36:02.991"</f>
        <v>2026-04-26 17:36:02.991</v>
      </c>
      <c r="H49" t="s">
        <v>22</v>
      </c>
      <c r="I49">
        <v>0</v>
      </c>
      <c r="J49" t="s">
        <v>23</v>
      </c>
    </row>
    <row r="50" spans="1:10" x14ac:dyDescent="0.25">
      <c r="A50" s="1">
        <v>1</v>
      </c>
      <c r="B50" t="s">
        <v>39</v>
      </c>
      <c r="C50">
        <v>115</v>
      </c>
      <c r="D50">
        <v>6</v>
      </c>
      <c r="E50" t="s">
        <v>38</v>
      </c>
      <c r="F50" t="s">
        <v>37</v>
      </c>
      <c r="G50" t="str">
        <f>"2026-04-26 17:36:02.986"</f>
        <v>2026-04-26 17:36:02.986</v>
      </c>
      <c r="H50" t="s">
        <v>22</v>
      </c>
      <c r="I50">
        <v>0</v>
      </c>
      <c r="J50" t="s">
        <v>23</v>
      </c>
    </row>
    <row r="51" spans="1:10" x14ac:dyDescent="0.25">
      <c r="A51" s="1">
        <v>2</v>
      </c>
      <c r="B51" t="s">
        <v>26</v>
      </c>
      <c r="C51">
        <v>6</v>
      </c>
      <c r="D51">
        <v>1</v>
      </c>
      <c r="E51" t="s">
        <v>40</v>
      </c>
      <c r="F51" t="s">
        <v>41</v>
      </c>
      <c r="G51" t="str">
        <f>"2026-04-26 17:36:02.860"</f>
        <v>2026-04-26 17:36:02.860</v>
      </c>
      <c r="H51" t="s">
        <v>42</v>
      </c>
    </row>
    <row r="52" spans="1:10" x14ac:dyDescent="0.25">
      <c r="A52" s="1">
        <v>3</v>
      </c>
      <c r="B52" t="s">
        <v>26</v>
      </c>
      <c r="C52">
        <v>75</v>
      </c>
      <c r="D52">
        <v>1</v>
      </c>
      <c r="E52" t="s">
        <v>43</v>
      </c>
      <c r="F52" t="s">
        <v>44</v>
      </c>
      <c r="G52" t="str">
        <f>"2026-04-26 17:36:02.858"</f>
        <v>2026-04-26 17:36:02.858</v>
      </c>
      <c r="H52" t="s">
        <v>45</v>
      </c>
    </row>
    <row r="53" spans="1:10" x14ac:dyDescent="0.25">
      <c r="A53" s="1">
        <v>4</v>
      </c>
      <c r="B53" t="s">
        <v>26</v>
      </c>
      <c r="C53">
        <v>74</v>
      </c>
      <c r="D53">
        <v>1</v>
      </c>
      <c r="E53" t="s">
        <v>46</v>
      </c>
      <c r="F53" t="s">
        <v>47</v>
      </c>
      <c r="G53" t="str">
        <f>"2026-04-26 17:36:02.856"</f>
        <v>2026-04-26 17:36:02.856</v>
      </c>
      <c r="H53" t="s">
        <v>48</v>
      </c>
    </row>
    <row r="54" spans="1:10" x14ac:dyDescent="0.25">
      <c r="A54" s="1">
        <v>5</v>
      </c>
      <c r="B54" t="s">
        <v>29</v>
      </c>
      <c r="C54">
        <v>75</v>
      </c>
      <c r="D54">
        <v>1</v>
      </c>
      <c r="E54" t="s">
        <v>43</v>
      </c>
      <c r="F54" t="s">
        <v>44</v>
      </c>
      <c r="G54" t="str">
        <f>"2026-04-26 17:35:51.267"</f>
        <v>2026-04-26 17:35:51.267</v>
      </c>
      <c r="H54" t="s">
        <v>45</v>
      </c>
      <c r="I54">
        <v>0</v>
      </c>
      <c r="J54" t="s">
        <v>23</v>
      </c>
    </row>
    <row r="55" spans="1:10" x14ac:dyDescent="0.25">
      <c r="A55" s="1">
        <v>6</v>
      </c>
      <c r="B55" t="s">
        <v>29</v>
      </c>
      <c r="C55">
        <v>74</v>
      </c>
      <c r="D55">
        <v>1</v>
      </c>
      <c r="E55" t="s">
        <v>46</v>
      </c>
      <c r="F55" t="s">
        <v>47</v>
      </c>
      <c r="G55" t="str">
        <f>"2026-04-26 17:35:51.261"</f>
        <v>2026-04-26 17:35:51.261</v>
      </c>
      <c r="H55" t="s">
        <v>48</v>
      </c>
      <c r="I55">
        <v>0</v>
      </c>
      <c r="J55" t="s">
        <v>23</v>
      </c>
    </row>
    <row r="56" spans="1:10" x14ac:dyDescent="0.25">
      <c r="A56" s="1">
        <v>7</v>
      </c>
      <c r="B56" t="s">
        <v>39</v>
      </c>
      <c r="C56">
        <v>6</v>
      </c>
      <c r="D56">
        <v>1</v>
      </c>
      <c r="E56" t="s">
        <v>40</v>
      </c>
      <c r="F56" t="s">
        <v>41</v>
      </c>
      <c r="G56" t="str">
        <f>"2026-04-26 17:35:51.257"</f>
        <v>2026-04-26 17:35:51.257</v>
      </c>
      <c r="H56" t="s">
        <v>42</v>
      </c>
      <c r="I56">
        <v>0</v>
      </c>
      <c r="J56" t="s">
        <v>23</v>
      </c>
    </row>
    <row r="57" spans="1:10" x14ac:dyDescent="0.25">
      <c r="A57" s="1">
        <v>1</v>
      </c>
      <c r="B57" t="s">
        <v>19</v>
      </c>
      <c r="C57">
        <v>700</v>
      </c>
      <c r="D57">
        <v>0</v>
      </c>
      <c r="E57" t="s">
        <v>24</v>
      </c>
      <c r="F57" t="s">
        <v>24</v>
      </c>
      <c r="G57" t="str">
        <f>"2026-04-26 13:40:15.388"</f>
        <v>2026-04-26 13:40:15.388</v>
      </c>
      <c r="H57" t="s">
        <v>22</v>
      </c>
    </row>
    <row r="58" spans="1:10" s="3" customFormat="1" x14ac:dyDescent="0.25">
      <c r="A58" s="2">
        <v>2</v>
      </c>
      <c r="B58" s="3" t="s">
        <v>26</v>
      </c>
      <c r="C58" s="3">
        <v>647</v>
      </c>
      <c r="D58" s="3">
        <v>1</v>
      </c>
      <c r="E58" s="3" t="s">
        <v>27</v>
      </c>
      <c r="F58" s="3" t="s">
        <v>28</v>
      </c>
      <c r="G58" s="3" t="str">
        <f>"2026-04-26 01:05:30.178"</f>
        <v>2026-04-26 01:05:30.178</v>
      </c>
      <c r="H58" s="3" t="s">
        <v>22</v>
      </c>
    </row>
    <row r="59" spans="1:10" s="3" customFormat="1" x14ac:dyDescent="0.25">
      <c r="A59" s="2">
        <v>3</v>
      </c>
      <c r="B59" s="3" t="s">
        <v>29</v>
      </c>
      <c r="C59" s="3">
        <v>647</v>
      </c>
      <c r="D59" s="3">
        <v>1</v>
      </c>
      <c r="E59" s="3" t="s">
        <v>27</v>
      </c>
      <c r="F59" s="3" t="s">
        <v>28</v>
      </c>
      <c r="G59" s="3" t="str">
        <f>"2026-04-26 01:05:23.179"</f>
        <v>2026-04-26 01:05:23.179</v>
      </c>
      <c r="H59" s="3" t="s">
        <v>22</v>
      </c>
      <c r="I59" s="3">
        <v>12.58</v>
      </c>
      <c r="J59" s="3" t="s">
        <v>30</v>
      </c>
    </row>
    <row r="60" spans="1:10" x14ac:dyDescent="0.25">
      <c r="A60" s="1">
        <v>4</v>
      </c>
      <c r="B60" t="s">
        <v>19</v>
      </c>
      <c r="C60">
        <v>700</v>
      </c>
      <c r="D60">
        <v>0</v>
      </c>
      <c r="E60" t="s">
        <v>24</v>
      </c>
      <c r="F60" t="s">
        <v>24</v>
      </c>
      <c r="G60" t="str">
        <f>"2026-04-25 13:44:31.381"</f>
        <v>2026-04-25 13:44:31.381</v>
      </c>
      <c r="H60" t="s">
        <v>22</v>
      </c>
    </row>
    <row r="61" spans="1:10" x14ac:dyDescent="0.25">
      <c r="A61" s="1">
        <v>5</v>
      </c>
      <c r="B61" t="s">
        <v>26</v>
      </c>
      <c r="C61">
        <v>635</v>
      </c>
      <c r="D61">
        <v>1</v>
      </c>
      <c r="E61" t="s">
        <v>31</v>
      </c>
      <c r="F61" t="s">
        <v>32</v>
      </c>
      <c r="G61" t="str">
        <f>"2026-04-25 12:12:39.167"</f>
        <v>2026-04-25 12:12:39.167</v>
      </c>
      <c r="H61" t="s">
        <v>22</v>
      </c>
    </row>
    <row r="62" spans="1:10" x14ac:dyDescent="0.25">
      <c r="A62" s="1">
        <v>6</v>
      </c>
      <c r="B62" t="s">
        <v>29</v>
      </c>
      <c r="C62">
        <v>635</v>
      </c>
      <c r="D62">
        <v>1</v>
      </c>
      <c r="E62" t="s">
        <v>31</v>
      </c>
      <c r="F62" t="s">
        <v>32</v>
      </c>
      <c r="G62" t="str">
        <f>"2026-04-25 12:09:18.767"</f>
        <v>2026-04-25 12:09:18.767</v>
      </c>
      <c r="H62" t="s">
        <v>22</v>
      </c>
      <c r="I62">
        <v>7.2</v>
      </c>
      <c r="J62" t="s">
        <v>33</v>
      </c>
    </row>
    <row r="63" spans="1:10" s="3" customFormat="1" x14ac:dyDescent="0.25">
      <c r="A63" s="2">
        <v>7</v>
      </c>
      <c r="B63" s="3" t="s">
        <v>26</v>
      </c>
      <c r="C63" s="3">
        <v>647</v>
      </c>
      <c r="D63" s="3">
        <v>1</v>
      </c>
      <c r="E63" s="3" t="s">
        <v>27</v>
      </c>
      <c r="F63" s="3" t="s">
        <v>28</v>
      </c>
      <c r="G63" s="3" t="str">
        <f>"2026-04-25 09:38:02.167"</f>
        <v>2026-04-25 09:38:02.167</v>
      </c>
      <c r="H63" s="3" t="s">
        <v>22</v>
      </c>
    </row>
    <row r="64" spans="1:10" s="3" customFormat="1" x14ac:dyDescent="0.25">
      <c r="A64" s="2">
        <v>8</v>
      </c>
      <c r="B64" s="3" t="s">
        <v>29</v>
      </c>
      <c r="C64" s="3">
        <v>647</v>
      </c>
      <c r="D64" s="3">
        <v>1</v>
      </c>
      <c r="E64" s="3" t="s">
        <v>27</v>
      </c>
      <c r="F64" s="3" t="s">
        <v>28</v>
      </c>
      <c r="G64" s="3" t="str">
        <f>"2026-04-25 09:38:00.467"</f>
        <v>2026-04-25 09:38:00.467</v>
      </c>
      <c r="H64" s="3" t="s">
        <v>22</v>
      </c>
      <c r="I64" s="3">
        <v>21.34</v>
      </c>
      <c r="J64" s="3" t="s">
        <v>30</v>
      </c>
    </row>
    <row r="65" spans="1:10" s="3" customFormat="1" x14ac:dyDescent="0.25">
      <c r="A65" s="2">
        <v>9</v>
      </c>
      <c r="B65" s="3" t="s">
        <v>26</v>
      </c>
      <c r="C65" s="3">
        <v>647</v>
      </c>
      <c r="D65" s="3">
        <v>1</v>
      </c>
      <c r="E65" s="3" t="s">
        <v>27</v>
      </c>
      <c r="F65" s="3" t="s">
        <v>28</v>
      </c>
      <c r="G65" s="3" t="str">
        <f>"2026-04-25 09:02:17.367"</f>
        <v>2026-04-25 09:02:17.367</v>
      </c>
      <c r="H65" s="3" t="s">
        <v>22</v>
      </c>
    </row>
    <row r="66" spans="1:10" s="3" customFormat="1" x14ac:dyDescent="0.25">
      <c r="A66" s="2">
        <v>0</v>
      </c>
      <c r="B66" s="3" t="s">
        <v>29</v>
      </c>
      <c r="C66" s="3">
        <v>647</v>
      </c>
      <c r="D66" s="3">
        <v>1</v>
      </c>
      <c r="E66" s="3" t="s">
        <v>27</v>
      </c>
      <c r="F66" s="3" t="s">
        <v>28</v>
      </c>
      <c r="G66" s="3" t="str">
        <f>"2026-04-25 09:02:15.067"</f>
        <v>2026-04-25 09:02:15.067</v>
      </c>
      <c r="H66" s="3" t="s">
        <v>22</v>
      </c>
      <c r="I66" s="3">
        <v>8.5500000000000007</v>
      </c>
      <c r="J66" s="3" t="s">
        <v>30</v>
      </c>
    </row>
    <row r="67" spans="1:10" s="3" customFormat="1" x14ac:dyDescent="0.25">
      <c r="A67" s="2">
        <v>1</v>
      </c>
      <c r="B67" s="3" t="s">
        <v>26</v>
      </c>
      <c r="C67" s="3">
        <v>647</v>
      </c>
      <c r="D67" s="3">
        <v>1</v>
      </c>
      <c r="E67" s="3" t="s">
        <v>27</v>
      </c>
      <c r="F67" s="3" t="s">
        <v>28</v>
      </c>
      <c r="G67" s="3" t="str">
        <f>"2026-04-25 09:01:22.767"</f>
        <v>2026-04-25 09:01:22.767</v>
      </c>
      <c r="H67" s="3" t="s">
        <v>22</v>
      </c>
    </row>
    <row r="68" spans="1:10" s="3" customFormat="1" x14ac:dyDescent="0.25">
      <c r="A68" s="2">
        <v>2</v>
      </c>
      <c r="B68" s="3" t="s">
        <v>29</v>
      </c>
      <c r="C68" s="3">
        <v>647</v>
      </c>
      <c r="D68" s="3">
        <v>1</v>
      </c>
      <c r="E68" s="3" t="s">
        <v>27</v>
      </c>
      <c r="F68" s="3" t="s">
        <v>28</v>
      </c>
      <c r="G68" s="3" t="str">
        <f>"2026-04-25 09:01:16.267"</f>
        <v>2026-04-25 09:01:16.267</v>
      </c>
      <c r="H68" s="3" t="s">
        <v>22</v>
      </c>
      <c r="I68" s="3">
        <v>9.39</v>
      </c>
      <c r="J68" s="3" t="s">
        <v>30</v>
      </c>
    </row>
    <row r="69" spans="1:10" s="3" customFormat="1" x14ac:dyDescent="0.25">
      <c r="A69" s="2">
        <v>3</v>
      </c>
      <c r="B69" s="3" t="s">
        <v>26</v>
      </c>
      <c r="C69" s="3">
        <v>647</v>
      </c>
      <c r="D69" s="3">
        <v>1</v>
      </c>
      <c r="E69" s="3" t="s">
        <v>27</v>
      </c>
      <c r="F69" s="3" t="s">
        <v>28</v>
      </c>
      <c r="G69" s="3" t="str">
        <f>"2026-04-25 08:18:25.667"</f>
        <v>2026-04-25 08:18:25.667</v>
      </c>
      <c r="H69" s="3" t="s">
        <v>22</v>
      </c>
    </row>
    <row r="70" spans="1:10" s="3" customFormat="1" x14ac:dyDescent="0.25">
      <c r="A70" s="2">
        <v>4</v>
      </c>
      <c r="B70" s="3" t="s">
        <v>29</v>
      </c>
      <c r="C70" s="3">
        <v>647</v>
      </c>
      <c r="D70" s="3">
        <v>1</v>
      </c>
      <c r="E70" s="3" t="s">
        <v>27</v>
      </c>
      <c r="F70" s="3" t="s">
        <v>28</v>
      </c>
      <c r="G70" s="3" t="str">
        <f>"2026-04-25 08:18:21.367"</f>
        <v>2026-04-25 08:18:21.367</v>
      </c>
      <c r="H70" s="3" t="s">
        <v>22</v>
      </c>
      <c r="I70" s="3">
        <v>13.78</v>
      </c>
      <c r="J70" s="3" t="s">
        <v>30</v>
      </c>
    </row>
    <row r="71" spans="1:10" x14ac:dyDescent="0.25">
      <c r="A71" s="1">
        <v>5</v>
      </c>
      <c r="B71" t="s">
        <v>19</v>
      </c>
      <c r="C71">
        <v>706</v>
      </c>
      <c r="D71">
        <v>4</v>
      </c>
      <c r="E71" t="s">
        <v>20</v>
      </c>
      <c r="F71" t="s">
        <v>21</v>
      </c>
      <c r="G71" t="str">
        <f>"2026-04-24 22:44:00.837"</f>
        <v>2026-04-24 22:44:00.837</v>
      </c>
      <c r="H71" t="s">
        <v>22</v>
      </c>
      <c r="I71">
        <v>0</v>
      </c>
      <c r="J71" t="s">
        <v>23</v>
      </c>
    </row>
    <row r="72" spans="1:10" s="3" customFormat="1" x14ac:dyDescent="0.25">
      <c r="A72" s="2">
        <v>6</v>
      </c>
      <c r="B72" s="3" t="s">
        <v>26</v>
      </c>
      <c r="C72" s="3">
        <v>647</v>
      </c>
      <c r="D72" s="3">
        <v>1</v>
      </c>
      <c r="E72" s="3" t="s">
        <v>27</v>
      </c>
      <c r="F72" s="3" t="s">
        <v>28</v>
      </c>
      <c r="G72" s="3" t="str">
        <f>"2026-04-24 21:31:28.167"</f>
        <v>2026-04-24 21:31:28.167</v>
      </c>
      <c r="H72" s="3" t="s">
        <v>22</v>
      </c>
    </row>
    <row r="73" spans="1:10" s="3" customFormat="1" x14ac:dyDescent="0.25">
      <c r="A73" s="2">
        <v>7</v>
      </c>
      <c r="B73" s="3" t="s">
        <v>29</v>
      </c>
      <c r="C73" s="3">
        <v>647</v>
      </c>
      <c r="D73" s="3">
        <v>1</v>
      </c>
      <c r="E73" s="3" t="s">
        <v>27</v>
      </c>
      <c r="F73" s="3" t="s">
        <v>28</v>
      </c>
      <c r="G73" s="3" t="str">
        <f>"2026-04-24 21:31:26.168"</f>
        <v>2026-04-24 21:31:26.168</v>
      </c>
      <c r="H73" s="3" t="s">
        <v>22</v>
      </c>
      <c r="I73" s="3">
        <v>8.6300000000000008</v>
      </c>
      <c r="J73" s="3" t="s">
        <v>30</v>
      </c>
    </row>
    <row r="74" spans="1:10" x14ac:dyDescent="0.25">
      <c r="A74" s="1">
        <v>8</v>
      </c>
      <c r="B74" t="s">
        <v>19</v>
      </c>
      <c r="C74">
        <v>700</v>
      </c>
      <c r="D74">
        <v>0</v>
      </c>
      <c r="E74" t="s">
        <v>24</v>
      </c>
      <c r="F74" t="s">
        <v>24</v>
      </c>
      <c r="G74" t="str">
        <f>"2026-04-24 11:40:04.367"</f>
        <v>2026-04-24 11:40:04.367</v>
      </c>
      <c r="H74" t="s">
        <v>22</v>
      </c>
    </row>
    <row r="75" spans="1:10" x14ac:dyDescent="0.25">
      <c r="A75" s="1">
        <v>9</v>
      </c>
      <c r="B75" t="s">
        <v>19</v>
      </c>
      <c r="C75">
        <v>706</v>
      </c>
      <c r="D75">
        <v>2</v>
      </c>
      <c r="E75" t="s">
        <v>20</v>
      </c>
      <c r="F75" t="s">
        <v>25</v>
      </c>
      <c r="G75" t="str">
        <f>"2026-04-24 11:30:27.935"</f>
        <v>2026-04-24 11:30:27.935</v>
      </c>
      <c r="H75" t="s">
        <v>22</v>
      </c>
      <c r="I75">
        <v>0</v>
      </c>
      <c r="J75" t="s">
        <v>23</v>
      </c>
    </row>
    <row r="76" spans="1:10" x14ac:dyDescent="0.25">
      <c r="A76" s="1">
        <v>0</v>
      </c>
      <c r="B76" t="s">
        <v>19</v>
      </c>
      <c r="C76">
        <v>706</v>
      </c>
      <c r="D76">
        <v>3</v>
      </c>
      <c r="E76" t="s">
        <v>20</v>
      </c>
      <c r="F76" t="s">
        <v>49</v>
      </c>
      <c r="G76" t="str">
        <f>"2026-04-24 11:29:13.275"</f>
        <v>2026-04-24 11:29:13.275</v>
      </c>
      <c r="H76" t="s">
        <v>22</v>
      </c>
      <c r="I76">
        <v>0</v>
      </c>
      <c r="J76" t="s">
        <v>23</v>
      </c>
    </row>
    <row r="77" spans="1:10" x14ac:dyDescent="0.25">
      <c r="A77" s="1">
        <v>1</v>
      </c>
      <c r="B77" t="s">
        <v>19</v>
      </c>
      <c r="C77">
        <v>706</v>
      </c>
      <c r="D77">
        <v>2</v>
      </c>
      <c r="E77" t="s">
        <v>20</v>
      </c>
      <c r="F77" t="s">
        <v>25</v>
      </c>
      <c r="G77" t="str">
        <f>"2026-04-24 11:28:31.135"</f>
        <v>2026-04-24 11:28:31.135</v>
      </c>
      <c r="H77" t="s">
        <v>22</v>
      </c>
      <c r="I77">
        <v>0</v>
      </c>
      <c r="J77" t="s">
        <v>23</v>
      </c>
    </row>
    <row r="78" spans="1:10" x14ac:dyDescent="0.25">
      <c r="A78" s="1">
        <v>2</v>
      </c>
      <c r="B78" t="s">
        <v>19</v>
      </c>
      <c r="C78">
        <v>700</v>
      </c>
      <c r="D78">
        <v>0</v>
      </c>
      <c r="E78" t="s">
        <v>24</v>
      </c>
      <c r="F78" t="s">
        <v>24</v>
      </c>
      <c r="G78" t="str">
        <f>"2026-04-24 10:52:44.395"</f>
        <v>2026-04-24 10:52:44.395</v>
      </c>
      <c r="H78" t="s">
        <v>22</v>
      </c>
    </row>
    <row r="79" spans="1:10" x14ac:dyDescent="0.25">
      <c r="A79" s="1">
        <v>3</v>
      </c>
      <c r="B79" t="s">
        <v>19</v>
      </c>
      <c r="C79">
        <v>706</v>
      </c>
      <c r="D79">
        <v>2</v>
      </c>
      <c r="E79" t="s">
        <v>20</v>
      </c>
      <c r="F79" t="s">
        <v>25</v>
      </c>
      <c r="G79" t="str">
        <f>"2026-04-24 09:10:35.654"</f>
        <v>2026-04-24 09:10:35.654</v>
      </c>
      <c r="H79" t="s">
        <v>22</v>
      </c>
      <c r="I79">
        <v>0</v>
      </c>
      <c r="J79" t="s">
        <v>23</v>
      </c>
    </row>
    <row r="80" spans="1:10" s="3" customFormat="1" x14ac:dyDescent="0.25">
      <c r="A80" s="2">
        <v>4</v>
      </c>
      <c r="B80" s="3" t="s">
        <v>26</v>
      </c>
      <c r="C80" s="3">
        <v>647</v>
      </c>
      <c r="D80" s="3">
        <v>1</v>
      </c>
      <c r="E80" s="3" t="s">
        <v>27</v>
      </c>
      <c r="F80" s="3" t="s">
        <v>28</v>
      </c>
      <c r="G80" s="3" t="str">
        <f>"2026-04-24 04:44:09.979"</f>
        <v>2026-04-24 04:44:09.979</v>
      </c>
      <c r="H80" s="3" t="s">
        <v>22</v>
      </c>
    </row>
    <row r="81" spans="1:10" s="3" customFormat="1" x14ac:dyDescent="0.25">
      <c r="A81" s="2">
        <v>5</v>
      </c>
      <c r="B81" s="3" t="s">
        <v>29</v>
      </c>
      <c r="C81" s="3">
        <v>647</v>
      </c>
      <c r="D81" s="3">
        <v>1</v>
      </c>
      <c r="E81" s="3" t="s">
        <v>27</v>
      </c>
      <c r="F81" s="3" t="s">
        <v>28</v>
      </c>
      <c r="G81" s="3" t="str">
        <f>"2026-04-24 04:44:07.879"</f>
        <v>2026-04-24 04:44:07.879</v>
      </c>
      <c r="H81" s="3" t="s">
        <v>22</v>
      </c>
      <c r="I81" s="3">
        <v>13.39</v>
      </c>
      <c r="J81" s="3" t="s">
        <v>30</v>
      </c>
    </row>
    <row r="82" spans="1:10" x14ac:dyDescent="0.25">
      <c r="A82" s="1">
        <v>6</v>
      </c>
      <c r="B82" t="s">
        <v>26</v>
      </c>
      <c r="C82">
        <v>635</v>
      </c>
      <c r="D82">
        <v>1</v>
      </c>
      <c r="E82" t="s">
        <v>31</v>
      </c>
      <c r="F82" t="s">
        <v>32</v>
      </c>
      <c r="G82" t="str">
        <f>"2026-04-23 17:01:59.178"</f>
        <v>2026-04-23 17:01:59.178</v>
      </c>
      <c r="H82" t="s">
        <v>22</v>
      </c>
    </row>
    <row r="83" spans="1:10" x14ac:dyDescent="0.25">
      <c r="A83" s="1">
        <v>7</v>
      </c>
      <c r="B83" t="s">
        <v>29</v>
      </c>
      <c r="C83">
        <v>635</v>
      </c>
      <c r="D83">
        <v>1</v>
      </c>
      <c r="E83" t="s">
        <v>31</v>
      </c>
      <c r="F83" t="s">
        <v>32</v>
      </c>
      <c r="G83" t="str">
        <f>"2026-04-23 16:57:14.778"</f>
        <v>2026-04-23 16:57:14.778</v>
      </c>
      <c r="H83" t="s">
        <v>22</v>
      </c>
      <c r="I83">
        <v>1.7</v>
      </c>
      <c r="J83" t="s">
        <v>33</v>
      </c>
    </row>
    <row r="84" spans="1:10" x14ac:dyDescent="0.25">
      <c r="A84" s="1">
        <v>8</v>
      </c>
      <c r="B84" t="s">
        <v>19</v>
      </c>
      <c r="C84">
        <v>700</v>
      </c>
      <c r="D84">
        <v>0</v>
      </c>
      <c r="E84" t="s">
        <v>24</v>
      </c>
      <c r="F84" t="s">
        <v>24</v>
      </c>
      <c r="G84" t="str">
        <f>"2026-04-23 12:55:54.364"</f>
        <v>2026-04-23 12:55:54.364</v>
      </c>
      <c r="H84" t="s">
        <v>22</v>
      </c>
      <c r="I84">
        <v>0</v>
      </c>
      <c r="J84" t="s">
        <v>34</v>
      </c>
    </row>
    <row r="85" spans="1:10" x14ac:dyDescent="0.25">
      <c r="A85" s="1">
        <v>9</v>
      </c>
      <c r="B85" t="s">
        <v>19</v>
      </c>
      <c r="C85">
        <v>700</v>
      </c>
      <c r="D85">
        <v>0</v>
      </c>
      <c r="E85" t="s">
        <v>24</v>
      </c>
      <c r="F85" t="s">
        <v>24</v>
      </c>
      <c r="G85" t="str">
        <f>"2026-04-23 10:16:32.360"</f>
        <v>2026-04-23 10:16:32.360</v>
      </c>
      <c r="H85" t="s">
        <v>22</v>
      </c>
    </row>
    <row r="86" spans="1:10" x14ac:dyDescent="0.25">
      <c r="A86" s="1">
        <v>0</v>
      </c>
      <c r="B86" t="s">
        <v>19</v>
      </c>
      <c r="C86">
        <v>700</v>
      </c>
      <c r="D86">
        <v>0</v>
      </c>
      <c r="E86" t="s">
        <v>24</v>
      </c>
      <c r="F86" t="s">
        <v>24</v>
      </c>
      <c r="G86" t="str">
        <f>"2026-04-22 12:45:05.388"</f>
        <v>2026-04-22 12:45:05.388</v>
      </c>
      <c r="H86" t="s">
        <v>22</v>
      </c>
      <c r="I86">
        <v>0</v>
      </c>
      <c r="J86" t="s">
        <v>34</v>
      </c>
    </row>
    <row r="87" spans="1:10" x14ac:dyDescent="0.25">
      <c r="A87" s="1">
        <v>1</v>
      </c>
      <c r="B87" t="s">
        <v>19</v>
      </c>
      <c r="C87">
        <v>700</v>
      </c>
      <c r="D87">
        <v>0</v>
      </c>
      <c r="E87" t="s">
        <v>24</v>
      </c>
      <c r="F87" t="s">
        <v>24</v>
      </c>
      <c r="G87" t="str">
        <f>"2026-04-22 08:37:40.367"</f>
        <v>2026-04-22 08:37:40.367</v>
      </c>
      <c r="H87" t="s">
        <v>22</v>
      </c>
    </row>
    <row r="88" spans="1:10" s="3" customFormat="1" x14ac:dyDescent="0.25">
      <c r="A88" s="2">
        <v>2</v>
      </c>
      <c r="B88" s="3" t="s">
        <v>26</v>
      </c>
      <c r="C88" s="3">
        <v>647</v>
      </c>
      <c r="D88" s="3">
        <v>1</v>
      </c>
      <c r="E88" s="3" t="s">
        <v>27</v>
      </c>
      <c r="F88" s="3" t="s">
        <v>28</v>
      </c>
      <c r="G88" s="3" t="str">
        <f>"2026-04-22 06:35:17.504"</f>
        <v>2026-04-22 06:35:17.504</v>
      </c>
      <c r="H88" s="3" t="s">
        <v>22</v>
      </c>
    </row>
    <row r="89" spans="1:10" s="3" customFormat="1" x14ac:dyDescent="0.25">
      <c r="A89" s="2">
        <v>3</v>
      </c>
      <c r="B89" s="3" t="s">
        <v>29</v>
      </c>
      <c r="C89" s="3">
        <v>647</v>
      </c>
      <c r="D89" s="3">
        <v>1</v>
      </c>
      <c r="E89" s="3" t="s">
        <v>27</v>
      </c>
      <c r="F89" s="3" t="s">
        <v>28</v>
      </c>
      <c r="G89" s="3" t="str">
        <f>"2026-04-22 06:35:16.404"</f>
        <v>2026-04-22 06:35:16.404</v>
      </c>
      <c r="H89" s="3" t="s">
        <v>22</v>
      </c>
      <c r="I89" s="3">
        <v>12.56</v>
      </c>
      <c r="J89" s="3" t="s">
        <v>30</v>
      </c>
    </row>
    <row r="90" spans="1:10" x14ac:dyDescent="0.25">
      <c r="A90" s="1">
        <v>4</v>
      </c>
      <c r="B90" t="s">
        <v>19</v>
      </c>
      <c r="C90">
        <v>706</v>
      </c>
      <c r="D90">
        <v>4</v>
      </c>
      <c r="E90" t="s">
        <v>20</v>
      </c>
      <c r="F90" t="s">
        <v>21</v>
      </c>
      <c r="G90" t="str">
        <f>"2026-04-21 20:05:36.013"</f>
        <v>2026-04-21 20:05:36.013</v>
      </c>
      <c r="H90" t="s">
        <v>22</v>
      </c>
      <c r="I90">
        <v>0</v>
      </c>
      <c r="J90" t="s">
        <v>23</v>
      </c>
    </row>
    <row r="91" spans="1:10" x14ac:dyDescent="0.25">
      <c r="A91" s="1">
        <v>5</v>
      </c>
      <c r="B91" t="s">
        <v>19</v>
      </c>
      <c r="C91">
        <v>700</v>
      </c>
      <c r="D91">
        <v>0</v>
      </c>
      <c r="E91" t="s">
        <v>24</v>
      </c>
      <c r="F91" t="s">
        <v>24</v>
      </c>
      <c r="G91" t="str">
        <f>"2026-04-21 20:05:02.393"</f>
        <v>2026-04-21 20:05:02.393</v>
      </c>
      <c r="H91" t="s">
        <v>22</v>
      </c>
      <c r="I91">
        <v>0</v>
      </c>
      <c r="J91" t="s">
        <v>34</v>
      </c>
    </row>
    <row r="92" spans="1:10" x14ac:dyDescent="0.25">
      <c r="A92" s="1">
        <v>6</v>
      </c>
      <c r="B92" t="s">
        <v>19</v>
      </c>
      <c r="C92">
        <v>700</v>
      </c>
      <c r="D92">
        <v>0</v>
      </c>
      <c r="E92" t="s">
        <v>24</v>
      </c>
      <c r="F92" t="s">
        <v>24</v>
      </c>
      <c r="G92" t="str">
        <f>"2026-04-21 14:47:19.352"</f>
        <v>2026-04-21 14:47:19.352</v>
      </c>
      <c r="H92" t="s">
        <v>22</v>
      </c>
      <c r="I92">
        <v>0</v>
      </c>
      <c r="J92" t="s">
        <v>34</v>
      </c>
    </row>
    <row r="93" spans="1:10" x14ac:dyDescent="0.25">
      <c r="A93" s="1">
        <v>7</v>
      </c>
      <c r="B93" t="s">
        <v>19</v>
      </c>
      <c r="C93">
        <v>700</v>
      </c>
      <c r="D93">
        <v>0</v>
      </c>
      <c r="E93" t="s">
        <v>24</v>
      </c>
      <c r="F93" t="s">
        <v>24</v>
      </c>
      <c r="G93" t="str">
        <f>"2026-04-21 14:29:14.370"</f>
        <v>2026-04-21 14:29:14.370</v>
      </c>
      <c r="H93" t="s">
        <v>22</v>
      </c>
      <c r="I93">
        <v>0</v>
      </c>
      <c r="J93" t="s">
        <v>34</v>
      </c>
    </row>
    <row r="94" spans="1:10" x14ac:dyDescent="0.25">
      <c r="A94" s="1">
        <v>8</v>
      </c>
      <c r="B94" t="s">
        <v>19</v>
      </c>
      <c r="C94">
        <v>700</v>
      </c>
      <c r="D94">
        <v>0</v>
      </c>
      <c r="E94" t="s">
        <v>24</v>
      </c>
      <c r="F94" t="s">
        <v>24</v>
      </c>
      <c r="G94" t="str">
        <f>"2026-04-21 13:33:10.388"</f>
        <v>2026-04-21 13:33:10.388</v>
      </c>
      <c r="H94" t="s">
        <v>22</v>
      </c>
      <c r="I94">
        <v>0</v>
      </c>
      <c r="J94" t="s">
        <v>34</v>
      </c>
    </row>
    <row r="95" spans="1:10" x14ac:dyDescent="0.25">
      <c r="A95" s="1">
        <v>9</v>
      </c>
      <c r="B95" t="s">
        <v>19</v>
      </c>
      <c r="C95">
        <v>700</v>
      </c>
      <c r="D95">
        <v>0</v>
      </c>
      <c r="E95" t="s">
        <v>24</v>
      </c>
      <c r="F95" t="s">
        <v>24</v>
      </c>
      <c r="G95" t="str">
        <f>"2026-04-21 09:45:26.669"</f>
        <v>2026-04-21 09:45:26.669</v>
      </c>
      <c r="H95" t="s">
        <v>22</v>
      </c>
    </row>
    <row r="96" spans="1:10" x14ac:dyDescent="0.25">
      <c r="A96" s="1">
        <v>0</v>
      </c>
      <c r="B96" t="s">
        <v>19</v>
      </c>
      <c r="C96">
        <v>700</v>
      </c>
      <c r="D96">
        <v>0</v>
      </c>
      <c r="E96" t="s">
        <v>24</v>
      </c>
      <c r="F96" t="s">
        <v>24</v>
      </c>
      <c r="G96" t="str">
        <f>"2026-04-20 17:39:54.372"</f>
        <v>2026-04-20 17:39:54.372</v>
      </c>
      <c r="H96" t="s">
        <v>22</v>
      </c>
      <c r="I96">
        <v>0</v>
      </c>
      <c r="J96" t="s">
        <v>34</v>
      </c>
    </row>
    <row r="97" spans="1:10" x14ac:dyDescent="0.25">
      <c r="A97" s="1">
        <v>1</v>
      </c>
      <c r="B97" t="s">
        <v>26</v>
      </c>
      <c r="C97">
        <v>635</v>
      </c>
      <c r="D97">
        <v>1</v>
      </c>
      <c r="E97" t="s">
        <v>31</v>
      </c>
      <c r="F97" t="s">
        <v>32</v>
      </c>
      <c r="G97" t="str">
        <f>"2026-04-20 16:05:13.964"</f>
        <v>2026-04-20 16:05:13.964</v>
      </c>
      <c r="H97" t="s">
        <v>22</v>
      </c>
    </row>
    <row r="98" spans="1:10" x14ac:dyDescent="0.25">
      <c r="A98" s="1">
        <v>2</v>
      </c>
      <c r="B98" t="s">
        <v>29</v>
      </c>
      <c r="C98">
        <v>635</v>
      </c>
      <c r="D98">
        <v>1</v>
      </c>
      <c r="E98" t="s">
        <v>31</v>
      </c>
      <c r="F98" t="s">
        <v>32</v>
      </c>
      <c r="G98" t="str">
        <f>"2026-04-20 16:02:04.965"</f>
        <v>2026-04-20 16:02:04.965</v>
      </c>
      <c r="H98" t="s">
        <v>22</v>
      </c>
      <c r="I98">
        <v>2.39</v>
      </c>
      <c r="J98" t="s">
        <v>33</v>
      </c>
    </row>
    <row r="99" spans="1:10" x14ac:dyDescent="0.25">
      <c r="A99" s="1">
        <v>3</v>
      </c>
      <c r="B99" t="s">
        <v>19</v>
      </c>
      <c r="C99">
        <v>700</v>
      </c>
      <c r="D99">
        <v>0</v>
      </c>
      <c r="E99" t="s">
        <v>24</v>
      </c>
      <c r="F99" t="s">
        <v>24</v>
      </c>
      <c r="G99" t="str">
        <f>"2026-04-20 13:18:33.351"</f>
        <v>2026-04-20 13:18:33.351</v>
      </c>
      <c r="H99" t="s">
        <v>22</v>
      </c>
    </row>
    <row r="100" spans="1:10" x14ac:dyDescent="0.25">
      <c r="A100" s="1">
        <v>4</v>
      </c>
      <c r="B100" t="s">
        <v>19</v>
      </c>
      <c r="C100">
        <v>700</v>
      </c>
      <c r="D100">
        <v>0</v>
      </c>
      <c r="E100" t="s">
        <v>24</v>
      </c>
      <c r="F100" t="s">
        <v>24</v>
      </c>
      <c r="G100" t="str">
        <f>"2026-04-20 11:12:16.356"</f>
        <v>2026-04-20 11:12:16.356</v>
      </c>
      <c r="H100" t="s">
        <v>22</v>
      </c>
      <c r="I100">
        <v>0</v>
      </c>
      <c r="J100" t="s">
        <v>34</v>
      </c>
    </row>
    <row r="101" spans="1:10" x14ac:dyDescent="0.25">
      <c r="A101" s="1">
        <v>5</v>
      </c>
      <c r="B101" t="s">
        <v>19</v>
      </c>
      <c r="C101">
        <v>700</v>
      </c>
      <c r="D101">
        <v>0</v>
      </c>
      <c r="E101" t="s">
        <v>24</v>
      </c>
      <c r="F101" t="s">
        <v>24</v>
      </c>
      <c r="G101" t="str">
        <f>"2026-04-20 11:04:09.384"</f>
        <v>2026-04-20 11:04:09.384</v>
      </c>
      <c r="H101" t="s">
        <v>22</v>
      </c>
      <c r="I101">
        <v>0</v>
      </c>
      <c r="J101" t="s">
        <v>34</v>
      </c>
    </row>
    <row r="102" spans="1:10" x14ac:dyDescent="0.25">
      <c r="A102" s="1">
        <v>6</v>
      </c>
      <c r="B102" t="s">
        <v>26</v>
      </c>
      <c r="C102">
        <v>635</v>
      </c>
      <c r="D102">
        <v>1</v>
      </c>
      <c r="E102" t="s">
        <v>31</v>
      </c>
      <c r="F102" t="s">
        <v>32</v>
      </c>
      <c r="G102" t="str">
        <f>"2026-04-19 18:19:11.465"</f>
        <v>2026-04-19 18:19:11.465</v>
      </c>
      <c r="H102" t="s">
        <v>22</v>
      </c>
    </row>
    <row r="103" spans="1:10" x14ac:dyDescent="0.25">
      <c r="A103" s="1">
        <v>7</v>
      </c>
      <c r="B103" t="s">
        <v>29</v>
      </c>
      <c r="C103">
        <v>635</v>
      </c>
      <c r="D103">
        <v>1</v>
      </c>
      <c r="E103" t="s">
        <v>31</v>
      </c>
      <c r="F103" t="s">
        <v>32</v>
      </c>
      <c r="G103" t="str">
        <f>"2026-04-19 18:16:06.466"</f>
        <v>2026-04-19 18:16:06.466</v>
      </c>
      <c r="H103" t="s">
        <v>22</v>
      </c>
      <c r="I103">
        <v>1.43</v>
      </c>
      <c r="J103" t="s">
        <v>33</v>
      </c>
    </row>
    <row r="104" spans="1:10" x14ac:dyDescent="0.25">
      <c r="A104" s="1">
        <v>8</v>
      </c>
      <c r="B104" t="s">
        <v>19</v>
      </c>
      <c r="C104">
        <v>700</v>
      </c>
      <c r="D104">
        <v>0</v>
      </c>
      <c r="E104" t="s">
        <v>24</v>
      </c>
      <c r="F104" t="s">
        <v>24</v>
      </c>
      <c r="G104" t="str">
        <f>"2026-04-19 15:58:58.474"</f>
        <v>2026-04-19 15:58:58.474</v>
      </c>
      <c r="H104" t="s">
        <v>22</v>
      </c>
      <c r="I104">
        <v>0</v>
      </c>
      <c r="J104" t="s">
        <v>34</v>
      </c>
    </row>
    <row r="105" spans="1:10" x14ac:dyDescent="0.25">
      <c r="A105" s="1">
        <v>9</v>
      </c>
      <c r="B105" t="s">
        <v>26</v>
      </c>
      <c r="C105">
        <v>635</v>
      </c>
      <c r="D105">
        <v>1</v>
      </c>
      <c r="E105" t="s">
        <v>31</v>
      </c>
      <c r="F105" t="s">
        <v>32</v>
      </c>
      <c r="G105" t="str">
        <f>"2026-04-19 15:11:13.280"</f>
        <v>2026-04-19 15:11:13.280</v>
      </c>
      <c r="H105" t="s">
        <v>22</v>
      </c>
    </row>
    <row r="106" spans="1:10" x14ac:dyDescent="0.25">
      <c r="A106" s="1">
        <v>0</v>
      </c>
      <c r="B106" t="s">
        <v>29</v>
      </c>
      <c r="C106">
        <v>635</v>
      </c>
      <c r="D106">
        <v>1</v>
      </c>
      <c r="E106" t="s">
        <v>31</v>
      </c>
      <c r="F106" t="s">
        <v>32</v>
      </c>
      <c r="G106" t="str">
        <f>"2026-04-19 15:08:13.780"</f>
        <v>2026-04-19 15:08:13.780</v>
      </c>
      <c r="H106" t="s">
        <v>22</v>
      </c>
      <c r="I106">
        <v>0.77</v>
      </c>
      <c r="J106" t="s">
        <v>33</v>
      </c>
    </row>
    <row r="107" spans="1:10" x14ac:dyDescent="0.25">
      <c r="A107" s="1">
        <v>1</v>
      </c>
      <c r="B107" t="s">
        <v>26</v>
      </c>
      <c r="C107">
        <v>635</v>
      </c>
      <c r="D107">
        <v>1</v>
      </c>
      <c r="E107" t="s">
        <v>31</v>
      </c>
      <c r="F107" t="s">
        <v>32</v>
      </c>
      <c r="G107" t="str">
        <f>"2026-04-18 08:08:08.680"</f>
        <v>2026-04-18 08:08:08.680</v>
      </c>
      <c r="H107" t="s">
        <v>22</v>
      </c>
    </row>
    <row r="108" spans="1:10" x14ac:dyDescent="0.25">
      <c r="A108" s="1">
        <v>2</v>
      </c>
      <c r="B108" t="s">
        <v>29</v>
      </c>
      <c r="C108">
        <v>635</v>
      </c>
      <c r="D108">
        <v>1</v>
      </c>
      <c r="E108" t="s">
        <v>31</v>
      </c>
      <c r="F108" t="s">
        <v>32</v>
      </c>
      <c r="G108" t="str">
        <f>"2026-04-18 08:05:22.180"</f>
        <v>2026-04-18 08:05:22.180</v>
      </c>
      <c r="H108" t="s">
        <v>22</v>
      </c>
      <c r="I108">
        <v>9.1300000000000008</v>
      </c>
      <c r="J108" t="s">
        <v>33</v>
      </c>
    </row>
    <row r="109" spans="1:10" x14ac:dyDescent="0.25">
      <c r="A109" s="1">
        <v>3</v>
      </c>
      <c r="B109" t="s">
        <v>19</v>
      </c>
      <c r="C109">
        <v>700</v>
      </c>
      <c r="D109">
        <v>0</v>
      </c>
      <c r="E109" t="s">
        <v>24</v>
      </c>
      <c r="F109" t="s">
        <v>24</v>
      </c>
      <c r="G109" t="str">
        <f>"2026-04-17 11:06:27.355"</f>
        <v>2026-04-17 11:06:27.355</v>
      </c>
      <c r="H109" t="s">
        <v>22</v>
      </c>
    </row>
    <row r="110" spans="1:10" x14ac:dyDescent="0.25">
      <c r="A110" s="1">
        <v>4</v>
      </c>
      <c r="B110" t="s">
        <v>19</v>
      </c>
      <c r="C110">
        <v>700</v>
      </c>
      <c r="D110">
        <v>0</v>
      </c>
      <c r="E110" t="s">
        <v>24</v>
      </c>
      <c r="F110" t="s">
        <v>24</v>
      </c>
      <c r="G110" t="str">
        <f>"2026-04-17 11:04:04.359"</f>
        <v>2026-04-17 11:04:04.359</v>
      </c>
      <c r="H110" t="s">
        <v>22</v>
      </c>
    </row>
    <row r="111" spans="1:10" x14ac:dyDescent="0.25">
      <c r="A111" s="1">
        <v>5</v>
      </c>
      <c r="B111" t="s">
        <v>19</v>
      </c>
      <c r="C111">
        <v>700</v>
      </c>
      <c r="D111">
        <v>0</v>
      </c>
      <c r="E111" t="s">
        <v>24</v>
      </c>
      <c r="F111" t="s">
        <v>24</v>
      </c>
      <c r="G111" t="str">
        <f>"2026-04-16 20:48:43.346"</f>
        <v>2026-04-16 20:48:43.346</v>
      </c>
      <c r="H111" t="s">
        <v>22</v>
      </c>
    </row>
    <row r="112" spans="1:10" x14ac:dyDescent="0.25">
      <c r="A112" s="1">
        <v>6</v>
      </c>
      <c r="B112" t="s">
        <v>26</v>
      </c>
      <c r="C112">
        <v>635</v>
      </c>
      <c r="D112">
        <v>1</v>
      </c>
      <c r="E112" t="s">
        <v>31</v>
      </c>
      <c r="F112" t="s">
        <v>32</v>
      </c>
      <c r="G112" t="str">
        <f>"2026-04-15 03:37:56.975"</f>
        <v>2026-04-15 03:37:56.975</v>
      </c>
      <c r="H112" t="s">
        <v>22</v>
      </c>
    </row>
    <row r="113" spans="1:10" x14ac:dyDescent="0.25">
      <c r="A113" s="1">
        <v>7</v>
      </c>
      <c r="B113" t="s">
        <v>29</v>
      </c>
      <c r="C113">
        <v>635</v>
      </c>
      <c r="D113">
        <v>1</v>
      </c>
      <c r="E113" t="s">
        <v>31</v>
      </c>
      <c r="F113" t="s">
        <v>32</v>
      </c>
      <c r="G113" t="str">
        <f>"2026-04-15 03:33:27.975"</f>
        <v>2026-04-15 03:33:27.975</v>
      </c>
      <c r="H113" t="s">
        <v>22</v>
      </c>
      <c r="I113">
        <v>1.58</v>
      </c>
      <c r="J113" t="s">
        <v>33</v>
      </c>
    </row>
    <row r="114" spans="1:10" x14ac:dyDescent="0.25">
      <c r="A114" s="1">
        <v>8</v>
      </c>
      <c r="B114" t="s">
        <v>19</v>
      </c>
      <c r="C114">
        <v>700</v>
      </c>
      <c r="D114">
        <v>0</v>
      </c>
      <c r="E114" t="s">
        <v>24</v>
      </c>
      <c r="F114" t="s">
        <v>24</v>
      </c>
      <c r="G114" t="str">
        <f>"2026-04-14 05:43:48.351"</f>
        <v>2026-04-14 05:43:48.351</v>
      </c>
      <c r="H114" t="s">
        <v>22</v>
      </c>
      <c r="I114">
        <v>0</v>
      </c>
      <c r="J114" t="s">
        <v>34</v>
      </c>
    </row>
    <row r="115" spans="1:10" x14ac:dyDescent="0.25">
      <c r="A115" s="1">
        <v>9</v>
      </c>
      <c r="B115" t="s">
        <v>19</v>
      </c>
      <c r="C115">
        <v>700</v>
      </c>
      <c r="D115">
        <v>0</v>
      </c>
      <c r="E115" t="s">
        <v>24</v>
      </c>
      <c r="F115" t="s">
        <v>24</v>
      </c>
      <c r="G115" t="str">
        <f>"2026-04-14 05:20:42.346"</f>
        <v>2026-04-14 05:20:42.346</v>
      </c>
      <c r="H115" t="s">
        <v>22</v>
      </c>
    </row>
    <row r="116" spans="1:10" x14ac:dyDescent="0.25">
      <c r="A116" s="1">
        <v>10</v>
      </c>
      <c r="B116" t="s">
        <v>19</v>
      </c>
      <c r="C116">
        <v>706</v>
      </c>
      <c r="D116">
        <v>4</v>
      </c>
      <c r="E116" t="s">
        <v>20</v>
      </c>
      <c r="F116" t="s">
        <v>21</v>
      </c>
      <c r="G116" t="str">
        <f>"2026-04-13 23:52:01.300"</f>
        <v>2026-04-13 23:52:01.300</v>
      </c>
      <c r="H116" t="s">
        <v>22</v>
      </c>
      <c r="I116">
        <v>0</v>
      </c>
      <c r="J116" t="s">
        <v>23</v>
      </c>
    </row>
    <row r="117" spans="1:10" x14ac:dyDescent="0.25">
      <c r="A117" s="1">
        <v>11</v>
      </c>
      <c r="B117" t="s">
        <v>19</v>
      </c>
      <c r="C117">
        <v>706</v>
      </c>
      <c r="D117">
        <v>4</v>
      </c>
      <c r="E117" t="s">
        <v>20</v>
      </c>
      <c r="F117" t="s">
        <v>21</v>
      </c>
      <c r="G117" t="str">
        <f>"2026-04-13 23:51:42.690"</f>
        <v>2026-04-13 23:51:42.690</v>
      </c>
      <c r="H117" t="s">
        <v>22</v>
      </c>
      <c r="I117">
        <v>0</v>
      </c>
      <c r="J117" t="s">
        <v>23</v>
      </c>
    </row>
    <row r="118" spans="1:10" x14ac:dyDescent="0.25">
      <c r="A118" s="1">
        <v>12</v>
      </c>
      <c r="B118" t="s">
        <v>19</v>
      </c>
      <c r="C118">
        <v>700</v>
      </c>
      <c r="D118">
        <v>0</v>
      </c>
      <c r="E118" t="s">
        <v>24</v>
      </c>
      <c r="F118" t="s">
        <v>24</v>
      </c>
      <c r="G118" t="str">
        <f>"2026-04-13 23:27:14.530"</f>
        <v>2026-04-13 23:27:14.530</v>
      </c>
      <c r="H118" t="s">
        <v>22</v>
      </c>
      <c r="I118">
        <v>0</v>
      </c>
      <c r="J118" t="s">
        <v>34</v>
      </c>
    </row>
    <row r="119" spans="1:10" x14ac:dyDescent="0.25">
      <c r="A119" s="1">
        <v>13</v>
      </c>
      <c r="B119" t="s">
        <v>19</v>
      </c>
      <c r="C119">
        <v>700</v>
      </c>
      <c r="D119">
        <v>0</v>
      </c>
      <c r="E119" t="s">
        <v>24</v>
      </c>
      <c r="F119" t="s">
        <v>24</v>
      </c>
      <c r="G119" t="str">
        <f>"2026-04-12 21:13:11.350"</f>
        <v>2026-04-12 21:13:11.350</v>
      </c>
      <c r="H119" t="s">
        <v>22</v>
      </c>
    </row>
    <row r="120" spans="1:10" x14ac:dyDescent="0.25">
      <c r="A120" s="1">
        <v>14</v>
      </c>
      <c r="B120" t="s">
        <v>26</v>
      </c>
      <c r="C120">
        <v>635</v>
      </c>
      <c r="D120">
        <v>1</v>
      </c>
      <c r="E120" t="s">
        <v>31</v>
      </c>
      <c r="F120" t="s">
        <v>32</v>
      </c>
      <c r="G120" t="str">
        <f>"2026-04-12 10:25:52.386"</f>
        <v>2026-04-12 10:25:52.386</v>
      </c>
      <c r="H120" t="s">
        <v>22</v>
      </c>
    </row>
    <row r="121" spans="1:10" x14ac:dyDescent="0.25">
      <c r="A121" s="1">
        <v>15</v>
      </c>
      <c r="B121" t="s">
        <v>29</v>
      </c>
      <c r="C121">
        <v>635</v>
      </c>
      <c r="D121">
        <v>1</v>
      </c>
      <c r="E121" t="s">
        <v>31</v>
      </c>
      <c r="F121" t="s">
        <v>32</v>
      </c>
      <c r="G121" t="str">
        <f>"2026-04-12 10:20:23.886"</f>
        <v>2026-04-12 10:20:23.886</v>
      </c>
      <c r="H121" t="s">
        <v>22</v>
      </c>
      <c r="I121">
        <v>5.92</v>
      </c>
      <c r="J121" t="s">
        <v>33</v>
      </c>
    </row>
    <row r="122" spans="1:10" x14ac:dyDescent="0.25">
      <c r="A122" s="1">
        <v>16</v>
      </c>
      <c r="B122" t="s">
        <v>19</v>
      </c>
      <c r="C122">
        <v>700</v>
      </c>
      <c r="D122">
        <v>0</v>
      </c>
      <c r="E122" t="s">
        <v>24</v>
      </c>
      <c r="F122" t="s">
        <v>24</v>
      </c>
      <c r="G122" t="str">
        <f>"2026-04-11 20:01:54.362"</f>
        <v>2026-04-11 20:01:54.362</v>
      </c>
      <c r="H122" t="s">
        <v>22</v>
      </c>
      <c r="I122">
        <v>0</v>
      </c>
      <c r="J122" t="s">
        <v>34</v>
      </c>
    </row>
    <row r="123" spans="1:10" x14ac:dyDescent="0.25">
      <c r="A123" s="1">
        <v>17</v>
      </c>
      <c r="B123" t="s">
        <v>19</v>
      </c>
      <c r="C123">
        <v>700</v>
      </c>
      <c r="D123">
        <v>0</v>
      </c>
      <c r="E123" t="s">
        <v>24</v>
      </c>
      <c r="F123" t="s">
        <v>24</v>
      </c>
      <c r="G123" t="str">
        <f>"2026-04-10 21:00:37.549"</f>
        <v>2026-04-10 21:00:37.549</v>
      </c>
      <c r="H123" t="s">
        <v>22</v>
      </c>
      <c r="I123">
        <v>0</v>
      </c>
      <c r="J123" t="s">
        <v>34</v>
      </c>
    </row>
    <row r="124" spans="1:10" x14ac:dyDescent="0.25">
      <c r="A124" s="1">
        <v>18</v>
      </c>
      <c r="B124" t="s">
        <v>19</v>
      </c>
      <c r="C124">
        <v>700</v>
      </c>
      <c r="D124">
        <v>0</v>
      </c>
      <c r="E124" t="s">
        <v>24</v>
      </c>
      <c r="F124" t="s">
        <v>24</v>
      </c>
      <c r="G124" t="str">
        <f>"2026-04-09 22:04:50.346"</f>
        <v>2026-04-09 22:04:50.346</v>
      </c>
      <c r="H124" t="s">
        <v>22</v>
      </c>
      <c r="I124">
        <v>0</v>
      </c>
      <c r="J124" t="s">
        <v>34</v>
      </c>
    </row>
    <row r="125" spans="1:10" x14ac:dyDescent="0.25">
      <c r="A125" s="1">
        <v>19</v>
      </c>
      <c r="B125" t="s">
        <v>26</v>
      </c>
      <c r="C125">
        <v>635</v>
      </c>
      <c r="D125">
        <v>1</v>
      </c>
      <c r="E125" t="s">
        <v>31</v>
      </c>
      <c r="F125" t="s">
        <v>32</v>
      </c>
      <c r="G125" t="str">
        <f>"2026-04-08 02:39:21.937"</f>
        <v>2026-04-08 02:39:21.937</v>
      </c>
      <c r="H125" t="s">
        <v>22</v>
      </c>
    </row>
    <row r="126" spans="1:10" x14ac:dyDescent="0.25">
      <c r="A126" s="1">
        <v>20</v>
      </c>
      <c r="B126" t="s">
        <v>29</v>
      </c>
      <c r="C126">
        <v>635</v>
      </c>
      <c r="D126">
        <v>1</v>
      </c>
      <c r="E126" t="s">
        <v>31</v>
      </c>
      <c r="F126" t="s">
        <v>32</v>
      </c>
      <c r="G126" t="str">
        <f>"2026-04-08 02:30:10.937"</f>
        <v>2026-04-08 02:30:10.937</v>
      </c>
      <c r="H126" t="s">
        <v>22</v>
      </c>
      <c r="I126">
        <v>3.1</v>
      </c>
      <c r="J126" t="s">
        <v>33</v>
      </c>
    </row>
    <row r="127" spans="1:10" x14ac:dyDescent="0.25">
      <c r="A127" s="1">
        <v>21</v>
      </c>
      <c r="B127" t="s">
        <v>19</v>
      </c>
      <c r="C127">
        <v>700</v>
      </c>
      <c r="D127">
        <v>0</v>
      </c>
      <c r="E127" t="s">
        <v>24</v>
      </c>
      <c r="F127" t="s">
        <v>24</v>
      </c>
      <c r="G127" t="str">
        <f>"2026-04-07 19:26:19.412"</f>
        <v>2026-04-07 19:26:19.412</v>
      </c>
      <c r="H127" t="s">
        <v>22</v>
      </c>
      <c r="I127">
        <v>0</v>
      </c>
      <c r="J127" t="s">
        <v>34</v>
      </c>
    </row>
    <row r="128" spans="1:10" x14ac:dyDescent="0.25">
      <c r="A128" s="1">
        <v>22</v>
      </c>
      <c r="B128" t="s">
        <v>26</v>
      </c>
      <c r="C128">
        <v>635</v>
      </c>
      <c r="D128">
        <v>1</v>
      </c>
      <c r="E128" t="s">
        <v>31</v>
      </c>
      <c r="F128" t="s">
        <v>32</v>
      </c>
      <c r="G128" t="str">
        <f>"2026-04-07 14:43:59.380"</f>
        <v>2026-04-07 14:43:59.380</v>
      </c>
      <c r="H128" t="s">
        <v>22</v>
      </c>
    </row>
    <row r="129" spans="1:10" x14ac:dyDescent="0.25">
      <c r="A129" s="1">
        <v>23</v>
      </c>
      <c r="B129" t="s">
        <v>29</v>
      </c>
      <c r="C129">
        <v>635</v>
      </c>
      <c r="D129">
        <v>1</v>
      </c>
      <c r="E129" t="s">
        <v>31</v>
      </c>
      <c r="F129" t="s">
        <v>32</v>
      </c>
      <c r="G129" t="str">
        <f>"2026-04-07 14:40:19.880"</f>
        <v>2026-04-07 14:40:19.880</v>
      </c>
      <c r="H129" t="s">
        <v>22</v>
      </c>
      <c r="I129">
        <v>4.5199999999999996</v>
      </c>
      <c r="J129" t="s">
        <v>33</v>
      </c>
    </row>
    <row r="130" spans="1:10" x14ac:dyDescent="0.25">
      <c r="A130" s="1">
        <v>24</v>
      </c>
      <c r="B130" t="s">
        <v>26</v>
      </c>
      <c r="C130">
        <v>635</v>
      </c>
      <c r="D130">
        <v>1</v>
      </c>
      <c r="E130" t="s">
        <v>31</v>
      </c>
      <c r="F130" t="s">
        <v>32</v>
      </c>
      <c r="G130" t="str">
        <f>"2026-04-06 22:35:51.980"</f>
        <v>2026-04-06 22:35:51.980</v>
      </c>
      <c r="H130" t="s">
        <v>22</v>
      </c>
    </row>
    <row r="131" spans="1:10" x14ac:dyDescent="0.25">
      <c r="A131" s="1">
        <v>25</v>
      </c>
      <c r="B131" t="s">
        <v>29</v>
      </c>
      <c r="C131">
        <v>635</v>
      </c>
      <c r="D131">
        <v>1</v>
      </c>
      <c r="E131" t="s">
        <v>31</v>
      </c>
      <c r="F131" t="s">
        <v>32</v>
      </c>
      <c r="G131" t="str">
        <f>"2026-04-06 22:29:32.980"</f>
        <v>2026-04-06 22:29:32.980</v>
      </c>
      <c r="H131" t="s">
        <v>22</v>
      </c>
      <c r="I131">
        <v>1.72</v>
      </c>
      <c r="J131" t="s">
        <v>33</v>
      </c>
    </row>
    <row r="132" spans="1:10" x14ac:dyDescent="0.25">
      <c r="A132" s="1">
        <v>26</v>
      </c>
      <c r="B132" t="s">
        <v>35</v>
      </c>
      <c r="C132">
        <v>77</v>
      </c>
      <c r="D132">
        <v>1</v>
      </c>
      <c r="E132" t="s">
        <v>50</v>
      </c>
      <c r="F132" t="s">
        <v>51</v>
      </c>
      <c r="G132" t="str">
        <f>"2026-04-05 20:00:23.360"</f>
        <v>2026-04-05 20:00:23.360</v>
      </c>
      <c r="H132" t="s">
        <v>42</v>
      </c>
    </row>
    <row r="133" spans="1:10" x14ac:dyDescent="0.25">
      <c r="A133" s="1">
        <v>27</v>
      </c>
      <c r="B133" t="s">
        <v>39</v>
      </c>
      <c r="C133">
        <v>77</v>
      </c>
      <c r="D133">
        <v>1</v>
      </c>
      <c r="E133" t="s">
        <v>50</v>
      </c>
      <c r="F133" t="s">
        <v>51</v>
      </c>
      <c r="G133" t="str">
        <f>"2026-04-05 20:00:18.298"</f>
        <v>2026-04-05 20:00:18.298</v>
      </c>
      <c r="H133" t="s">
        <v>42</v>
      </c>
      <c r="I133">
        <v>0</v>
      </c>
      <c r="J133" t="s">
        <v>23</v>
      </c>
    </row>
    <row r="134" spans="1:10" x14ac:dyDescent="0.25">
      <c r="A134" s="1">
        <v>28</v>
      </c>
      <c r="B134" t="s">
        <v>19</v>
      </c>
      <c r="C134">
        <v>700</v>
      </c>
      <c r="D134">
        <v>0</v>
      </c>
      <c r="E134" t="s">
        <v>24</v>
      </c>
      <c r="F134" t="s">
        <v>24</v>
      </c>
      <c r="G134" t="str">
        <f>"2026-04-05 19:59:41.346"</f>
        <v>2026-04-05 19:59:41.346</v>
      </c>
      <c r="H134" t="s">
        <v>22</v>
      </c>
      <c r="I134">
        <v>0</v>
      </c>
      <c r="J134" t="s">
        <v>34</v>
      </c>
    </row>
    <row r="135" spans="1:10" x14ac:dyDescent="0.25">
      <c r="A135" s="1">
        <v>30</v>
      </c>
      <c r="B135" t="s">
        <v>26</v>
      </c>
      <c r="C135">
        <v>635</v>
      </c>
      <c r="D135">
        <v>1</v>
      </c>
      <c r="E135" t="s">
        <v>31</v>
      </c>
      <c r="F135" t="s">
        <v>32</v>
      </c>
      <c r="G135" t="str">
        <f>"2026-04-04 23:18:53.706"</f>
        <v>2026-04-04 23:18:53.706</v>
      </c>
      <c r="H135" t="s">
        <v>22</v>
      </c>
    </row>
    <row r="136" spans="1:10" x14ac:dyDescent="0.25">
      <c r="A136" s="1">
        <v>31</v>
      </c>
      <c r="B136" t="s">
        <v>29</v>
      </c>
      <c r="C136">
        <v>635</v>
      </c>
      <c r="D136">
        <v>1</v>
      </c>
      <c r="E136" t="s">
        <v>31</v>
      </c>
      <c r="F136" t="s">
        <v>32</v>
      </c>
      <c r="G136" t="str">
        <f>"2026-04-04 23:15:14.206"</f>
        <v>2026-04-04 23:15:14.206</v>
      </c>
      <c r="H136" t="s">
        <v>22</v>
      </c>
      <c r="I136">
        <v>5.67</v>
      </c>
      <c r="J136" t="s">
        <v>33</v>
      </c>
    </row>
    <row r="137" spans="1:10" s="3" customFormat="1" x14ac:dyDescent="0.25">
      <c r="A137" s="2">
        <v>32</v>
      </c>
      <c r="B137" s="3" t="s">
        <v>26</v>
      </c>
      <c r="C137" s="3">
        <v>647</v>
      </c>
      <c r="D137" s="3">
        <v>1</v>
      </c>
      <c r="E137" s="3" t="s">
        <v>27</v>
      </c>
      <c r="F137" s="3" t="s">
        <v>28</v>
      </c>
      <c r="G137" s="3" t="str">
        <f>"2026-04-04 18:18:39.306"</f>
        <v>2026-04-04 18:18:39.306</v>
      </c>
      <c r="H137" s="3" t="s">
        <v>22</v>
      </c>
    </row>
    <row r="138" spans="1:10" s="3" customFormat="1" x14ac:dyDescent="0.25">
      <c r="A138" s="2">
        <v>33</v>
      </c>
      <c r="B138" s="3" t="s">
        <v>29</v>
      </c>
      <c r="C138" s="3">
        <v>647</v>
      </c>
      <c r="D138" s="3">
        <v>1</v>
      </c>
      <c r="E138" s="3" t="s">
        <v>27</v>
      </c>
      <c r="F138" s="3" t="s">
        <v>28</v>
      </c>
      <c r="G138" s="3" t="str">
        <f>"2026-04-04 18:17:51.806"</f>
        <v>2026-04-04 18:17:51.806</v>
      </c>
      <c r="H138" s="3" t="s">
        <v>22</v>
      </c>
      <c r="I138" s="3">
        <v>11.44</v>
      </c>
      <c r="J138" s="3" t="s">
        <v>30</v>
      </c>
    </row>
    <row r="139" spans="1:10" s="3" customFormat="1" x14ac:dyDescent="0.25">
      <c r="A139" s="2">
        <v>34</v>
      </c>
      <c r="B139" s="3" t="s">
        <v>26</v>
      </c>
      <c r="C139" s="3">
        <v>647</v>
      </c>
      <c r="D139" s="3">
        <v>1</v>
      </c>
      <c r="E139" s="3" t="s">
        <v>27</v>
      </c>
      <c r="F139" s="3" t="s">
        <v>28</v>
      </c>
      <c r="G139" s="3" t="str">
        <f>"2026-04-04 17:46:23.206"</f>
        <v>2026-04-04 17:46:23.206</v>
      </c>
      <c r="H139" s="3" t="s">
        <v>22</v>
      </c>
    </row>
    <row r="140" spans="1:10" s="3" customFormat="1" x14ac:dyDescent="0.25">
      <c r="A140" s="2">
        <v>35</v>
      </c>
      <c r="B140" s="3" t="s">
        <v>29</v>
      </c>
      <c r="C140" s="3">
        <v>647</v>
      </c>
      <c r="D140" s="3">
        <v>1</v>
      </c>
      <c r="E140" s="3" t="s">
        <v>27</v>
      </c>
      <c r="F140" s="3" t="s">
        <v>28</v>
      </c>
      <c r="G140" s="3" t="str">
        <f>"2026-04-04 17:46:13.106"</f>
        <v>2026-04-04 17:46:13.106</v>
      </c>
      <c r="H140" s="3" t="s">
        <v>22</v>
      </c>
      <c r="I140" s="3">
        <v>15.42</v>
      </c>
      <c r="J140" s="3" t="s">
        <v>30</v>
      </c>
    </row>
    <row r="141" spans="1:10" s="3" customFormat="1" x14ac:dyDescent="0.25">
      <c r="A141" s="2">
        <v>36</v>
      </c>
      <c r="B141" s="3" t="s">
        <v>26</v>
      </c>
      <c r="C141" s="3">
        <v>647</v>
      </c>
      <c r="D141" s="3">
        <v>1</v>
      </c>
      <c r="E141" s="3" t="s">
        <v>27</v>
      </c>
      <c r="F141" s="3" t="s">
        <v>28</v>
      </c>
      <c r="G141" s="3" t="str">
        <f>"2026-04-04 14:58:59.506"</f>
        <v>2026-04-04 14:58:59.506</v>
      </c>
      <c r="H141" s="3" t="s">
        <v>22</v>
      </c>
    </row>
    <row r="142" spans="1:10" s="3" customFormat="1" x14ac:dyDescent="0.25">
      <c r="A142" s="2">
        <v>37</v>
      </c>
      <c r="B142" s="3" t="s">
        <v>29</v>
      </c>
      <c r="C142" s="3">
        <v>647</v>
      </c>
      <c r="D142" s="3">
        <v>1</v>
      </c>
      <c r="E142" s="3" t="s">
        <v>27</v>
      </c>
      <c r="F142" s="3" t="s">
        <v>28</v>
      </c>
      <c r="G142" s="3" t="str">
        <f>"2026-04-04 14:58:47.607"</f>
        <v>2026-04-04 14:58:47.607</v>
      </c>
      <c r="H142" s="3" t="s">
        <v>22</v>
      </c>
      <c r="I142" s="3">
        <v>8.2799999999999994</v>
      </c>
      <c r="J142" s="3" t="s">
        <v>30</v>
      </c>
    </row>
    <row r="143" spans="1:10" x14ac:dyDescent="0.25">
      <c r="A143" s="1">
        <v>38</v>
      </c>
      <c r="B143" t="s">
        <v>19</v>
      </c>
      <c r="C143">
        <v>700</v>
      </c>
      <c r="D143">
        <v>0</v>
      </c>
      <c r="E143" t="s">
        <v>24</v>
      </c>
      <c r="F143" t="s">
        <v>24</v>
      </c>
      <c r="G143" t="str">
        <f>"2026-04-04 06:04:04.457"</f>
        <v>2026-04-04 06:04:04.457</v>
      </c>
      <c r="H143" t="s">
        <v>22</v>
      </c>
      <c r="I143">
        <v>0</v>
      </c>
      <c r="J143" t="s">
        <v>34</v>
      </c>
    </row>
    <row r="144" spans="1:10" x14ac:dyDescent="0.25">
      <c r="A144" s="1">
        <v>39</v>
      </c>
      <c r="B144" t="s">
        <v>19</v>
      </c>
      <c r="C144">
        <v>700</v>
      </c>
      <c r="D144">
        <v>0</v>
      </c>
      <c r="E144" t="s">
        <v>24</v>
      </c>
      <c r="F144" t="s">
        <v>24</v>
      </c>
      <c r="G144" t="str">
        <f>"2026-04-04 01:12:04.343"</f>
        <v>2026-04-04 01:12:04.343</v>
      </c>
      <c r="H144" t="s">
        <v>22</v>
      </c>
      <c r="I144">
        <v>0</v>
      </c>
      <c r="J144" t="s">
        <v>34</v>
      </c>
    </row>
    <row r="145" spans="1:10" x14ac:dyDescent="0.25">
      <c r="A145" s="1">
        <v>40</v>
      </c>
      <c r="B145" t="s">
        <v>19</v>
      </c>
      <c r="C145">
        <v>700</v>
      </c>
      <c r="D145">
        <v>0</v>
      </c>
      <c r="E145" t="s">
        <v>24</v>
      </c>
      <c r="F145" t="s">
        <v>24</v>
      </c>
      <c r="G145" t="str">
        <f>"2026-04-03 14:16:47.318"</f>
        <v>2026-04-03 14:16:47.318</v>
      </c>
      <c r="H145" t="s">
        <v>22</v>
      </c>
    </row>
    <row r="146" spans="1:10" x14ac:dyDescent="0.25">
      <c r="A146" s="1">
        <v>41</v>
      </c>
      <c r="B146" t="s">
        <v>19</v>
      </c>
      <c r="C146">
        <v>700</v>
      </c>
      <c r="D146">
        <v>0</v>
      </c>
      <c r="E146" t="s">
        <v>24</v>
      </c>
      <c r="F146" t="s">
        <v>24</v>
      </c>
      <c r="G146" t="str">
        <f>"2026-04-03 13:20:42.347"</f>
        <v>2026-04-03 13:20:42.347</v>
      </c>
      <c r="H146" t="s">
        <v>22</v>
      </c>
      <c r="I146">
        <v>0</v>
      </c>
      <c r="J146" t="s">
        <v>34</v>
      </c>
    </row>
    <row r="147" spans="1:10" x14ac:dyDescent="0.25">
      <c r="A147" s="1">
        <v>42</v>
      </c>
      <c r="B147" t="s">
        <v>19</v>
      </c>
      <c r="C147">
        <v>700</v>
      </c>
      <c r="D147">
        <v>0</v>
      </c>
      <c r="E147" t="s">
        <v>24</v>
      </c>
      <c r="F147" t="s">
        <v>24</v>
      </c>
      <c r="G147" t="str">
        <f>"2026-04-03 10:44:47.336"</f>
        <v>2026-04-03 10:44:47.336</v>
      </c>
      <c r="H147" t="s">
        <v>22</v>
      </c>
      <c r="I147">
        <v>0</v>
      </c>
      <c r="J147" t="s">
        <v>34</v>
      </c>
    </row>
    <row r="148" spans="1:10" x14ac:dyDescent="0.25">
      <c r="A148" s="1">
        <v>43</v>
      </c>
      <c r="B148" t="s">
        <v>19</v>
      </c>
      <c r="C148">
        <v>706</v>
      </c>
      <c r="D148">
        <v>4</v>
      </c>
      <c r="E148" t="s">
        <v>20</v>
      </c>
      <c r="F148" t="s">
        <v>21</v>
      </c>
      <c r="G148" t="str">
        <f>"2026-04-03 09:58:25.335"</f>
        <v>2026-04-03 09:58:25.335</v>
      </c>
      <c r="H148" t="s">
        <v>22</v>
      </c>
      <c r="I148">
        <v>0</v>
      </c>
      <c r="J148" t="s">
        <v>23</v>
      </c>
    </row>
    <row r="149" spans="1:10" x14ac:dyDescent="0.25">
      <c r="A149" s="1">
        <v>44</v>
      </c>
      <c r="B149" t="s">
        <v>19</v>
      </c>
      <c r="C149">
        <v>700</v>
      </c>
      <c r="D149">
        <v>0</v>
      </c>
      <c r="E149" t="s">
        <v>24</v>
      </c>
      <c r="F149" t="s">
        <v>24</v>
      </c>
      <c r="G149" t="str">
        <f>"2026-04-03 09:48:03.335"</f>
        <v>2026-04-03 09:48:03.335</v>
      </c>
      <c r="H149" t="s">
        <v>22</v>
      </c>
      <c r="I149">
        <v>0</v>
      </c>
      <c r="J149" t="s">
        <v>34</v>
      </c>
    </row>
    <row r="150" spans="1:10" x14ac:dyDescent="0.25">
      <c r="A150" s="1">
        <v>45</v>
      </c>
      <c r="B150" t="s">
        <v>19</v>
      </c>
      <c r="C150">
        <v>700</v>
      </c>
      <c r="D150">
        <v>0</v>
      </c>
      <c r="E150" t="s">
        <v>24</v>
      </c>
      <c r="F150" t="s">
        <v>24</v>
      </c>
      <c r="G150" t="str">
        <f>"2026-04-03 08:52:54.596"</f>
        <v>2026-04-03 08:52:54.596</v>
      </c>
      <c r="H150" t="s">
        <v>22</v>
      </c>
      <c r="I150">
        <v>0</v>
      </c>
      <c r="J150" t="s">
        <v>34</v>
      </c>
    </row>
    <row r="151" spans="1:10" x14ac:dyDescent="0.25">
      <c r="A151" s="1">
        <v>46</v>
      </c>
      <c r="B151" t="s">
        <v>19</v>
      </c>
      <c r="C151">
        <v>700</v>
      </c>
      <c r="D151">
        <v>0</v>
      </c>
      <c r="E151" t="s">
        <v>24</v>
      </c>
      <c r="F151" t="s">
        <v>24</v>
      </c>
      <c r="G151" t="str">
        <f>"2026-04-02 20:14:14.558"</f>
        <v>2026-04-02 20:14:14.558</v>
      </c>
      <c r="H151" t="s">
        <v>22</v>
      </c>
      <c r="I151">
        <v>0</v>
      </c>
      <c r="J151" t="s">
        <v>34</v>
      </c>
    </row>
    <row r="152" spans="1:10" x14ac:dyDescent="0.25">
      <c r="A152" s="1">
        <v>47</v>
      </c>
      <c r="B152" t="s">
        <v>35</v>
      </c>
      <c r="C152">
        <v>215</v>
      </c>
      <c r="D152">
        <v>6</v>
      </c>
      <c r="E152" t="s">
        <v>36</v>
      </c>
      <c r="F152" t="s">
        <v>37</v>
      </c>
      <c r="G152" t="str">
        <f>"2026-04-02 18:31:22.545"</f>
        <v>2026-04-02 18:31:22.545</v>
      </c>
      <c r="H152" t="s">
        <v>22</v>
      </c>
    </row>
    <row r="153" spans="1:10" x14ac:dyDescent="0.25">
      <c r="A153" s="1">
        <v>48</v>
      </c>
      <c r="B153" t="s">
        <v>35</v>
      </c>
      <c r="C153">
        <v>115</v>
      </c>
      <c r="D153">
        <v>6</v>
      </c>
      <c r="E153" t="s">
        <v>38</v>
      </c>
      <c r="F153" t="s">
        <v>37</v>
      </c>
      <c r="G153" t="str">
        <f>"2026-04-02 18:31:22.445"</f>
        <v>2026-04-02 18:31:22.445</v>
      </c>
      <c r="H153" t="s">
        <v>22</v>
      </c>
    </row>
    <row r="154" spans="1:10" x14ac:dyDescent="0.25">
      <c r="A154" s="1">
        <v>49</v>
      </c>
      <c r="B154" t="s">
        <v>39</v>
      </c>
      <c r="C154">
        <v>215</v>
      </c>
      <c r="D154">
        <v>6</v>
      </c>
      <c r="E154" t="s">
        <v>36</v>
      </c>
      <c r="F154" t="s">
        <v>37</v>
      </c>
      <c r="G154" t="str">
        <f>"2026-04-02 18:31:17.360"</f>
        <v>2026-04-02 18:31:17.360</v>
      </c>
      <c r="H154" t="s">
        <v>22</v>
      </c>
      <c r="I154">
        <v>0</v>
      </c>
      <c r="J154" t="s">
        <v>23</v>
      </c>
    </row>
    <row r="155" spans="1:10" x14ac:dyDescent="0.25">
      <c r="A155" s="1">
        <v>50</v>
      </c>
      <c r="B155" t="s">
        <v>39</v>
      </c>
      <c r="C155">
        <v>115</v>
      </c>
      <c r="D155">
        <v>6</v>
      </c>
      <c r="E155" t="s">
        <v>38</v>
      </c>
      <c r="F155" t="s">
        <v>37</v>
      </c>
      <c r="G155" t="str">
        <f>"2026-04-02 18:31:17.356"</f>
        <v>2026-04-02 18:31:17.356</v>
      </c>
      <c r="H155" t="s">
        <v>22</v>
      </c>
      <c r="I155">
        <v>0</v>
      </c>
      <c r="J155" t="s">
        <v>23</v>
      </c>
    </row>
    <row r="156" spans="1:10" x14ac:dyDescent="0.25">
      <c r="A156" s="1">
        <v>51</v>
      </c>
      <c r="B156" t="s">
        <v>26</v>
      </c>
      <c r="C156">
        <v>6</v>
      </c>
      <c r="D156">
        <v>1</v>
      </c>
      <c r="E156" t="s">
        <v>40</v>
      </c>
      <c r="F156" t="s">
        <v>41</v>
      </c>
      <c r="G156" t="str">
        <f>"2026-04-02 18:31:17.228"</f>
        <v>2026-04-02 18:31:17.228</v>
      </c>
      <c r="H156" t="s">
        <v>42</v>
      </c>
    </row>
    <row r="157" spans="1:10" x14ac:dyDescent="0.25">
      <c r="A157" s="1">
        <v>52</v>
      </c>
      <c r="B157" t="s">
        <v>26</v>
      </c>
      <c r="C157">
        <v>75</v>
      </c>
      <c r="D157">
        <v>1</v>
      </c>
      <c r="E157" t="s">
        <v>43</v>
      </c>
      <c r="F157" t="s">
        <v>44</v>
      </c>
      <c r="G157" t="str">
        <f>"2026-04-02 18:31:17.226"</f>
        <v>2026-04-02 18:31:17.226</v>
      </c>
      <c r="H157" t="s">
        <v>45</v>
      </c>
    </row>
    <row r="158" spans="1:10" x14ac:dyDescent="0.25">
      <c r="A158" s="1">
        <v>53</v>
      </c>
      <c r="B158" t="s">
        <v>26</v>
      </c>
      <c r="C158">
        <v>74</v>
      </c>
      <c r="D158">
        <v>1</v>
      </c>
      <c r="E158" t="s">
        <v>46</v>
      </c>
      <c r="F158" t="s">
        <v>47</v>
      </c>
      <c r="G158" t="str">
        <f>"2026-04-02 18:31:17.224"</f>
        <v>2026-04-02 18:31:17.224</v>
      </c>
      <c r="H158" t="s">
        <v>48</v>
      </c>
    </row>
    <row r="159" spans="1:10" x14ac:dyDescent="0.25">
      <c r="A159" s="1">
        <v>54</v>
      </c>
      <c r="B159" t="s">
        <v>29</v>
      </c>
      <c r="C159">
        <v>75</v>
      </c>
      <c r="D159">
        <v>1</v>
      </c>
      <c r="E159" t="s">
        <v>43</v>
      </c>
      <c r="F159" t="s">
        <v>44</v>
      </c>
      <c r="G159" t="str">
        <f>"2026-04-02 18:31:05.635"</f>
        <v>2026-04-02 18:31:05.635</v>
      </c>
      <c r="H159" t="s">
        <v>45</v>
      </c>
      <c r="I159">
        <v>0</v>
      </c>
      <c r="J159" t="s">
        <v>23</v>
      </c>
    </row>
    <row r="160" spans="1:10" x14ac:dyDescent="0.25">
      <c r="A160" s="1">
        <v>55</v>
      </c>
      <c r="B160" t="s">
        <v>29</v>
      </c>
      <c r="C160">
        <v>74</v>
      </c>
      <c r="D160">
        <v>1</v>
      </c>
      <c r="E160" t="s">
        <v>46</v>
      </c>
      <c r="F160" t="s">
        <v>47</v>
      </c>
      <c r="G160" t="str">
        <f>"2026-04-02 18:31:05.629"</f>
        <v>2026-04-02 18:31:05.629</v>
      </c>
      <c r="H160" t="s">
        <v>48</v>
      </c>
      <c r="I160">
        <v>0</v>
      </c>
      <c r="J160" t="s">
        <v>23</v>
      </c>
    </row>
    <row r="161" spans="1:10" x14ac:dyDescent="0.25">
      <c r="A161" s="1">
        <v>56</v>
      </c>
      <c r="B161" t="s">
        <v>39</v>
      </c>
      <c r="C161">
        <v>6</v>
      </c>
      <c r="D161">
        <v>1</v>
      </c>
      <c r="E161" t="s">
        <v>40</v>
      </c>
      <c r="F161" t="s">
        <v>41</v>
      </c>
      <c r="G161" t="str">
        <f>"2026-04-02 18:31:05.625"</f>
        <v>2026-04-02 18:31:05.625</v>
      </c>
      <c r="H161" t="s">
        <v>42</v>
      </c>
      <c r="I161">
        <v>0</v>
      </c>
      <c r="J161" t="s">
        <v>23</v>
      </c>
    </row>
    <row r="162" spans="1:10" x14ac:dyDescent="0.25">
      <c r="A162" s="1">
        <v>61</v>
      </c>
      <c r="B162" t="s">
        <v>26</v>
      </c>
      <c r="C162">
        <v>635</v>
      </c>
      <c r="D162">
        <v>1</v>
      </c>
      <c r="E162" t="s">
        <v>31</v>
      </c>
      <c r="F162" t="s">
        <v>32</v>
      </c>
      <c r="G162" t="str">
        <f>"2026-04-02 04:06:38.167"</f>
        <v>2026-04-02 04:06:38.167</v>
      </c>
      <c r="H162" t="s">
        <v>22</v>
      </c>
    </row>
    <row r="163" spans="1:10" x14ac:dyDescent="0.25">
      <c r="A163" s="1">
        <v>62</v>
      </c>
      <c r="B163" t="s">
        <v>29</v>
      </c>
      <c r="C163">
        <v>635</v>
      </c>
      <c r="D163">
        <v>1</v>
      </c>
      <c r="E163" t="s">
        <v>31</v>
      </c>
      <c r="F163" t="s">
        <v>32</v>
      </c>
      <c r="G163" t="str">
        <f>"2026-04-02 03:55:58.767"</f>
        <v>2026-04-02 03:55:58.767</v>
      </c>
      <c r="H163" t="s">
        <v>22</v>
      </c>
      <c r="I163">
        <v>2.6</v>
      </c>
      <c r="J163" t="s">
        <v>52</v>
      </c>
    </row>
    <row r="164" spans="1:10" x14ac:dyDescent="0.25">
      <c r="A164" s="1">
        <v>63</v>
      </c>
      <c r="B164" t="s">
        <v>19</v>
      </c>
      <c r="C164">
        <v>700</v>
      </c>
      <c r="D164">
        <v>0</v>
      </c>
      <c r="E164" t="s">
        <v>24</v>
      </c>
      <c r="F164" t="s">
        <v>24</v>
      </c>
      <c r="G164" t="str">
        <f>"2026-04-01 23:10:39.325"</f>
        <v>2026-04-01 23:10:39.325</v>
      </c>
      <c r="H164" t="s">
        <v>22</v>
      </c>
    </row>
    <row r="165" spans="1:10" x14ac:dyDescent="0.25">
      <c r="A165" s="1">
        <v>64</v>
      </c>
      <c r="B165" t="s">
        <v>19</v>
      </c>
      <c r="C165">
        <v>706</v>
      </c>
      <c r="D165">
        <v>4</v>
      </c>
      <c r="E165" t="s">
        <v>20</v>
      </c>
      <c r="F165" t="s">
        <v>21</v>
      </c>
      <c r="G165" t="str">
        <f>"2026-04-01 12:28:51.616"</f>
        <v>2026-04-01 12:28:51.616</v>
      </c>
      <c r="H165" t="s">
        <v>22</v>
      </c>
      <c r="I165">
        <v>0</v>
      </c>
      <c r="J165" t="s">
        <v>23</v>
      </c>
    </row>
    <row r="166" spans="1:10" x14ac:dyDescent="0.25">
      <c r="A166" s="1">
        <v>65</v>
      </c>
      <c r="B166" t="s">
        <v>19</v>
      </c>
      <c r="C166">
        <v>700</v>
      </c>
      <c r="D166">
        <v>0</v>
      </c>
      <c r="E166" t="s">
        <v>24</v>
      </c>
      <c r="F166" t="s">
        <v>24</v>
      </c>
      <c r="G166" t="str">
        <f>"2026-04-01 12:28:03.316"</f>
        <v>2026-04-01 12:28:03.316</v>
      </c>
      <c r="H166" t="s">
        <v>22</v>
      </c>
      <c r="I166">
        <v>0</v>
      </c>
      <c r="J166" t="s">
        <v>34</v>
      </c>
    </row>
    <row r="167" spans="1:10" x14ac:dyDescent="0.25">
      <c r="A167" s="1">
        <v>66</v>
      </c>
      <c r="B167" t="s">
        <v>19</v>
      </c>
      <c r="C167">
        <v>706</v>
      </c>
      <c r="D167">
        <v>2</v>
      </c>
      <c r="E167" t="s">
        <v>20</v>
      </c>
      <c r="F167" t="s">
        <v>25</v>
      </c>
      <c r="G167" t="str">
        <f>"2026-04-01 10:59:09.066"</f>
        <v>2026-04-01 10:59:09.066</v>
      </c>
      <c r="H167" t="s">
        <v>22</v>
      </c>
      <c r="I167">
        <v>0</v>
      </c>
      <c r="J167" t="s">
        <v>23</v>
      </c>
    </row>
    <row r="168" spans="1:10" x14ac:dyDescent="0.25">
      <c r="A168" s="1">
        <v>67</v>
      </c>
      <c r="B168" t="s">
        <v>19</v>
      </c>
      <c r="C168">
        <v>700</v>
      </c>
      <c r="D168">
        <v>0</v>
      </c>
      <c r="E168" t="s">
        <v>24</v>
      </c>
      <c r="F168" t="s">
        <v>24</v>
      </c>
      <c r="G168" t="str">
        <f>"2026-04-01 10:58:49.356"</f>
        <v>2026-04-01 10:58:49.356</v>
      </c>
      <c r="H168" t="s">
        <v>22</v>
      </c>
      <c r="I168">
        <v>0</v>
      </c>
      <c r="J168" t="s">
        <v>34</v>
      </c>
    </row>
    <row r="169" spans="1:10" x14ac:dyDescent="0.25">
      <c r="A169" s="1">
        <v>68</v>
      </c>
      <c r="B169" t="s">
        <v>19</v>
      </c>
      <c r="C169">
        <v>700</v>
      </c>
      <c r="D169">
        <v>0</v>
      </c>
      <c r="E169" t="s">
        <v>24</v>
      </c>
      <c r="F169" t="s">
        <v>24</v>
      </c>
      <c r="G169" t="str">
        <f>"2026-03-31 21:46:57.358"</f>
        <v>2026-03-31 21:46:57.358</v>
      </c>
      <c r="H169" t="s">
        <v>22</v>
      </c>
    </row>
    <row r="170" spans="1:10" s="3" customFormat="1" x14ac:dyDescent="0.25">
      <c r="A170" s="2">
        <v>69</v>
      </c>
      <c r="B170" s="3" t="s">
        <v>26</v>
      </c>
      <c r="C170" s="3">
        <v>647</v>
      </c>
      <c r="D170" s="3">
        <v>1</v>
      </c>
      <c r="E170" s="3" t="s">
        <v>27</v>
      </c>
      <c r="F170" s="3" t="s">
        <v>28</v>
      </c>
      <c r="G170" s="3" t="str">
        <f>"2026-03-31 17:19:55.948"</f>
        <v>2026-03-31 17:19:55.948</v>
      </c>
      <c r="H170" s="3" t="s">
        <v>22</v>
      </c>
    </row>
    <row r="171" spans="1:10" s="3" customFormat="1" x14ac:dyDescent="0.25">
      <c r="A171" s="2">
        <v>70</v>
      </c>
      <c r="B171" s="3" t="s">
        <v>29</v>
      </c>
      <c r="C171" s="3">
        <v>647</v>
      </c>
      <c r="D171" s="3">
        <v>1</v>
      </c>
      <c r="E171" s="3" t="s">
        <v>27</v>
      </c>
      <c r="F171" s="3" t="s">
        <v>28</v>
      </c>
      <c r="G171" s="3" t="str">
        <f>"2026-03-31 17:19:54.449"</f>
        <v>2026-03-31 17:19:54.449</v>
      </c>
      <c r="H171" s="3" t="s">
        <v>22</v>
      </c>
      <c r="I171" s="3">
        <v>20.02</v>
      </c>
      <c r="J171" s="3" t="s">
        <v>30</v>
      </c>
    </row>
    <row r="172" spans="1:10" x14ac:dyDescent="0.25">
      <c r="A172" s="1">
        <v>71</v>
      </c>
      <c r="B172" t="s">
        <v>19</v>
      </c>
      <c r="C172">
        <v>700</v>
      </c>
      <c r="D172">
        <v>0</v>
      </c>
      <c r="E172" t="s">
        <v>24</v>
      </c>
      <c r="F172" t="s">
        <v>24</v>
      </c>
      <c r="G172" t="str">
        <f>"2026-03-31 09:26:12.519"</f>
        <v>2026-03-31 09:26:12.519</v>
      </c>
      <c r="H172" t="s">
        <v>22</v>
      </c>
      <c r="I172">
        <v>0</v>
      </c>
      <c r="J172" t="s">
        <v>34</v>
      </c>
    </row>
    <row r="173" spans="1:10" x14ac:dyDescent="0.25">
      <c r="A173" s="1">
        <v>72</v>
      </c>
      <c r="B173" t="s">
        <v>19</v>
      </c>
      <c r="C173">
        <v>706</v>
      </c>
      <c r="D173">
        <v>2</v>
      </c>
      <c r="E173" t="s">
        <v>20</v>
      </c>
      <c r="F173" t="s">
        <v>25</v>
      </c>
      <c r="G173" t="str">
        <f>"2026-03-31 08:10:08.231"</f>
        <v>2026-03-31 08:10:08.231</v>
      </c>
      <c r="H173" t="s">
        <v>22</v>
      </c>
      <c r="I173">
        <v>0</v>
      </c>
      <c r="J173" t="s">
        <v>23</v>
      </c>
    </row>
    <row r="174" spans="1:10" x14ac:dyDescent="0.25">
      <c r="A174" s="1">
        <v>73</v>
      </c>
      <c r="B174" t="s">
        <v>19</v>
      </c>
      <c r="C174">
        <v>700</v>
      </c>
      <c r="D174">
        <v>0</v>
      </c>
      <c r="E174" t="s">
        <v>24</v>
      </c>
      <c r="F174" t="s">
        <v>24</v>
      </c>
      <c r="G174" t="str">
        <f>"2026-03-31 08:09:46.321"</f>
        <v>2026-03-31 08:09:46.321</v>
      </c>
      <c r="H174" t="s">
        <v>22</v>
      </c>
    </row>
    <row r="175" spans="1:10" x14ac:dyDescent="0.25">
      <c r="A175" s="1">
        <v>74</v>
      </c>
      <c r="B175" t="s">
        <v>19</v>
      </c>
      <c r="C175">
        <v>700</v>
      </c>
      <c r="D175">
        <v>0</v>
      </c>
      <c r="E175" t="s">
        <v>24</v>
      </c>
      <c r="F175" t="s">
        <v>24</v>
      </c>
      <c r="G175" t="str">
        <f>"2026-03-31 08:05:50.358"</f>
        <v>2026-03-31 08:05:50.358</v>
      </c>
      <c r="H175" t="s">
        <v>22</v>
      </c>
    </row>
    <row r="176" spans="1:10" x14ac:dyDescent="0.25">
      <c r="A176" s="1">
        <v>75</v>
      </c>
      <c r="B176" t="s">
        <v>19</v>
      </c>
      <c r="C176">
        <v>700</v>
      </c>
      <c r="D176">
        <v>0</v>
      </c>
      <c r="E176" t="s">
        <v>24</v>
      </c>
      <c r="F176" t="s">
        <v>24</v>
      </c>
      <c r="G176" t="str">
        <f>"2026-03-30 21:58:45.368"</f>
        <v>2026-03-30 21:58:45.368</v>
      </c>
      <c r="H176" t="s">
        <v>22</v>
      </c>
      <c r="I176">
        <v>0</v>
      </c>
      <c r="J176" t="s">
        <v>34</v>
      </c>
    </row>
    <row r="177" spans="1:10" x14ac:dyDescent="0.25">
      <c r="A177" s="1">
        <v>76</v>
      </c>
      <c r="B177" t="s">
        <v>26</v>
      </c>
      <c r="C177">
        <v>635</v>
      </c>
      <c r="D177">
        <v>1</v>
      </c>
      <c r="E177" t="s">
        <v>31</v>
      </c>
      <c r="F177" t="s">
        <v>32</v>
      </c>
      <c r="G177" t="str">
        <f>"2026-03-30 07:38:49.248"</f>
        <v>2026-03-30 07:38:49.248</v>
      </c>
      <c r="H177" t="s">
        <v>22</v>
      </c>
    </row>
    <row r="178" spans="1:10" x14ac:dyDescent="0.25">
      <c r="A178" s="1">
        <v>77</v>
      </c>
      <c r="B178" t="s">
        <v>29</v>
      </c>
      <c r="C178">
        <v>635</v>
      </c>
      <c r="D178">
        <v>1</v>
      </c>
      <c r="E178" t="s">
        <v>31</v>
      </c>
      <c r="F178" t="s">
        <v>32</v>
      </c>
      <c r="G178" t="str">
        <f>"2026-03-30 07:34:06.249"</f>
        <v>2026-03-30 07:34:06.249</v>
      </c>
      <c r="H178" t="s">
        <v>22</v>
      </c>
      <c r="I178">
        <v>0.26</v>
      </c>
      <c r="J178" t="s">
        <v>33</v>
      </c>
    </row>
    <row r="179" spans="1:10" x14ac:dyDescent="0.25">
      <c r="A179" s="1">
        <v>78</v>
      </c>
      <c r="B179" t="s">
        <v>35</v>
      </c>
      <c r="C179">
        <v>215</v>
      </c>
      <c r="D179">
        <v>6</v>
      </c>
      <c r="E179" t="s">
        <v>36</v>
      </c>
      <c r="F179" t="s">
        <v>37</v>
      </c>
      <c r="G179" t="str">
        <f>"2026-03-30 04:58:59.988"</f>
        <v>2026-03-30 04:58:59.988</v>
      </c>
      <c r="H179" t="s">
        <v>22</v>
      </c>
    </row>
    <row r="180" spans="1:10" x14ac:dyDescent="0.25">
      <c r="A180" s="1">
        <v>79</v>
      </c>
      <c r="B180" t="s">
        <v>39</v>
      </c>
      <c r="C180">
        <v>215</v>
      </c>
      <c r="D180">
        <v>6</v>
      </c>
      <c r="E180" t="s">
        <v>36</v>
      </c>
      <c r="F180" t="s">
        <v>37</v>
      </c>
      <c r="G180" t="str">
        <f>"2026-03-30 04:58:54.945"</f>
        <v>2026-03-30 04:58:54.945</v>
      </c>
      <c r="H180" t="s">
        <v>22</v>
      </c>
      <c r="I180">
        <v>0</v>
      </c>
      <c r="J180" t="s">
        <v>23</v>
      </c>
    </row>
    <row r="181" spans="1:10" x14ac:dyDescent="0.25">
      <c r="A181" s="1">
        <v>80</v>
      </c>
      <c r="B181" t="s">
        <v>26</v>
      </c>
      <c r="C181">
        <v>6</v>
      </c>
      <c r="D181">
        <v>1</v>
      </c>
      <c r="E181" t="s">
        <v>40</v>
      </c>
      <c r="F181" t="s">
        <v>41</v>
      </c>
      <c r="G181" t="str">
        <f>"2026-03-30 04:58:54.819"</f>
        <v>2026-03-30 04:58:54.819</v>
      </c>
      <c r="H181" t="s">
        <v>42</v>
      </c>
    </row>
    <row r="182" spans="1:10" x14ac:dyDescent="0.25">
      <c r="A182" s="1">
        <v>81</v>
      </c>
      <c r="B182" t="s">
        <v>26</v>
      </c>
      <c r="C182">
        <v>75</v>
      </c>
      <c r="D182">
        <v>1</v>
      </c>
      <c r="E182" t="s">
        <v>43</v>
      </c>
      <c r="F182" t="s">
        <v>44</v>
      </c>
      <c r="G182" t="str">
        <f>"2026-03-30 04:58:54.817"</f>
        <v>2026-03-30 04:58:54.817</v>
      </c>
      <c r="H182" t="s">
        <v>45</v>
      </c>
    </row>
    <row r="183" spans="1:10" x14ac:dyDescent="0.25">
      <c r="A183" s="1">
        <v>82</v>
      </c>
      <c r="B183" t="s">
        <v>26</v>
      </c>
      <c r="C183">
        <v>74</v>
      </c>
      <c r="D183">
        <v>1</v>
      </c>
      <c r="E183" t="s">
        <v>46</v>
      </c>
      <c r="F183" t="s">
        <v>47</v>
      </c>
      <c r="G183" t="str">
        <f>"2026-03-30 04:58:54.815"</f>
        <v>2026-03-30 04:58:54.815</v>
      </c>
      <c r="H183" t="s">
        <v>48</v>
      </c>
    </row>
    <row r="184" spans="1:10" x14ac:dyDescent="0.25">
      <c r="A184" s="1">
        <v>83</v>
      </c>
      <c r="B184" t="s">
        <v>29</v>
      </c>
      <c r="C184">
        <v>75</v>
      </c>
      <c r="D184">
        <v>1</v>
      </c>
      <c r="E184" t="s">
        <v>43</v>
      </c>
      <c r="F184" t="s">
        <v>44</v>
      </c>
      <c r="G184" t="str">
        <f>"2026-03-30 04:58:43.287"</f>
        <v>2026-03-30 04:58:43.287</v>
      </c>
      <c r="H184" t="s">
        <v>45</v>
      </c>
      <c r="I184">
        <v>0</v>
      </c>
      <c r="J184" t="s">
        <v>23</v>
      </c>
    </row>
    <row r="185" spans="1:10" x14ac:dyDescent="0.25">
      <c r="A185" s="1">
        <v>84</v>
      </c>
      <c r="B185" t="s">
        <v>29</v>
      </c>
      <c r="C185">
        <v>74</v>
      </c>
      <c r="D185">
        <v>1</v>
      </c>
      <c r="E185" t="s">
        <v>46</v>
      </c>
      <c r="F185" t="s">
        <v>47</v>
      </c>
      <c r="G185" t="str">
        <f>"2026-03-30 04:58:43.281"</f>
        <v>2026-03-30 04:58:43.281</v>
      </c>
      <c r="H185" t="s">
        <v>48</v>
      </c>
      <c r="I185">
        <v>0</v>
      </c>
      <c r="J185" t="s">
        <v>23</v>
      </c>
    </row>
    <row r="186" spans="1:10" x14ac:dyDescent="0.25">
      <c r="A186" s="1">
        <v>85</v>
      </c>
      <c r="B186" t="s">
        <v>39</v>
      </c>
      <c r="C186">
        <v>6</v>
      </c>
      <c r="D186">
        <v>1</v>
      </c>
      <c r="E186" t="s">
        <v>40</v>
      </c>
      <c r="F186" t="s">
        <v>41</v>
      </c>
      <c r="G186" t="str">
        <f>"2026-03-30 04:58:43.277"</f>
        <v>2026-03-30 04:58:43.277</v>
      </c>
      <c r="H186" t="s">
        <v>42</v>
      </c>
      <c r="I186">
        <v>0</v>
      </c>
      <c r="J186" t="s">
        <v>23</v>
      </c>
    </row>
    <row r="187" spans="1:10" x14ac:dyDescent="0.25">
      <c r="A187" s="1">
        <v>89</v>
      </c>
      <c r="B187" t="s">
        <v>19</v>
      </c>
      <c r="C187">
        <v>700</v>
      </c>
      <c r="D187">
        <v>0</v>
      </c>
      <c r="E187" t="s">
        <v>24</v>
      </c>
      <c r="F187" t="s">
        <v>24</v>
      </c>
      <c r="G187" t="str">
        <f>"2026-03-30 03:14:19.328"</f>
        <v>2026-03-30 03:14:19.328</v>
      </c>
      <c r="H187" t="s">
        <v>22</v>
      </c>
    </row>
    <row r="188" spans="1:10" s="3" customFormat="1" x14ac:dyDescent="0.25">
      <c r="A188" s="2">
        <v>90</v>
      </c>
      <c r="B188" s="3" t="s">
        <v>26</v>
      </c>
      <c r="C188" s="3">
        <v>647</v>
      </c>
      <c r="D188" s="3">
        <v>1</v>
      </c>
      <c r="E188" s="3" t="s">
        <v>27</v>
      </c>
      <c r="F188" s="3" t="s">
        <v>28</v>
      </c>
      <c r="G188" s="3" t="str">
        <f>"2026-03-29 20:33:40.969"</f>
        <v>2026-03-29 20:33:40.969</v>
      </c>
      <c r="H188" s="3" t="s">
        <v>22</v>
      </c>
    </row>
    <row r="189" spans="1:10" s="3" customFormat="1" x14ac:dyDescent="0.25">
      <c r="A189" s="2">
        <v>91</v>
      </c>
      <c r="B189" s="3" t="s">
        <v>29</v>
      </c>
      <c r="C189" s="3">
        <v>647</v>
      </c>
      <c r="D189" s="3">
        <v>1</v>
      </c>
      <c r="E189" s="3" t="s">
        <v>27</v>
      </c>
      <c r="F189" s="3" t="s">
        <v>28</v>
      </c>
      <c r="G189" s="3" t="str">
        <f>"2026-03-29 20:33:36.068"</f>
        <v>2026-03-29 20:33:36.068</v>
      </c>
      <c r="H189" s="3" t="s">
        <v>22</v>
      </c>
      <c r="I189" s="3">
        <v>11.48</v>
      </c>
      <c r="J189" s="3" t="s">
        <v>30</v>
      </c>
    </row>
    <row r="190" spans="1:10" s="3" customFormat="1" x14ac:dyDescent="0.25">
      <c r="A190" s="2">
        <v>92</v>
      </c>
      <c r="B190" s="3" t="s">
        <v>26</v>
      </c>
      <c r="C190" s="3">
        <v>647</v>
      </c>
      <c r="D190" s="3">
        <v>1</v>
      </c>
      <c r="E190" s="3" t="s">
        <v>27</v>
      </c>
      <c r="F190" s="3" t="s">
        <v>28</v>
      </c>
      <c r="G190" s="3" t="str">
        <f>"2026-03-29 17:55:47.268"</f>
        <v>2026-03-29 17:55:47.268</v>
      </c>
      <c r="H190" s="3" t="s">
        <v>22</v>
      </c>
    </row>
    <row r="191" spans="1:10" s="3" customFormat="1" x14ac:dyDescent="0.25">
      <c r="A191" s="2">
        <v>93</v>
      </c>
      <c r="B191" s="3" t="s">
        <v>29</v>
      </c>
      <c r="C191" s="3">
        <v>647</v>
      </c>
      <c r="D191" s="3">
        <v>1</v>
      </c>
      <c r="E191" s="3" t="s">
        <v>27</v>
      </c>
      <c r="F191" s="3" t="s">
        <v>28</v>
      </c>
      <c r="G191" s="3" t="str">
        <f>"2026-03-29 17:55:45.769"</f>
        <v>2026-03-29 17:55:45.769</v>
      </c>
      <c r="H191" s="3" t="s">
        <v>22</v>
      </c>
      <c r="I191" s="3">
        <v>22.29</v>
      </c>
      <c r="J191" s="3" t="s">
        <v>30</v>
      </c>
    </row>
    <row r="192" spans="1:10" x14ac:dyDescent="0.25">
      <c r="A192" s="1">
        <v>94</v>
      </c>
      <c r="B192" t="s">
        <v>19</v>
      </c>
      <c r="C192">
        <v>700</v>
      </c>
      <c r="D192">
        <v>0</v>
      </c>
      <c r="E192" t="s">
        <v>24</v>
      </c>
      <c r="F192" t="s">
        <v>24</v>
      </c>
      <c r="G192" t="str">
        <f>"2026-03-29 15:02:46.329"</f>
        <v>2026-03-29 15:02:46.329</v>
      </c>
      <c r="H192" t="s">
        <v>22</v>
      </c>
      <c r="I192">
        <v>0</v>
      </c>
      <c r="J192" t="s">
        <v>34</v>
      </c>
    </row>
    <row r="193" spans="1:10" s="3" customFormat="1" x14ac:dyDescent="0.25">
      <c r="A193" s="2">
        <v>95</v>
      </c>
      <c r="B193" s="3" t="s">
        <v>26</v>
      </c>
      <c r="C193" s="3">
        <v>647</v>
      </c>
      <c r="D193" s="3">
        <v>1</v>
      </c>
      <c r="E193" s="3" t="s">
        <v>27</v>
      </c>
      <c r="F193" s="3" t="s">
        <v>28</v>
      </c>
      <c r="G193" s="3" t="str">
        <f>"2026-03-29 11:44:06.750"</f>
        <v>2026-03-29 11:44:06.750</v>
      </c>
      <c r="H193" s="3" t="s">
        <v>22</v>
      </c>
    </row>
    <row r="194" spans="1:10" s="3" customFormat="1" x14ac:dyDescent="0.25">
      <c r="A194" s="2">
        <v>96</v>
      </c>
      <c r="B194" s="3" t="s">
        <v>29</v>
      </c>
      <c r="C194" s="3">
        <v>647</v>
      </c>
      <c r="D194" s="3">
        <v>1</v>
      </c>
      <c r="E194" s="3" t="s">
        <v>27</v>
      </c>
      <c r="F194" s="3" t="s">
        <v>28</v>
      </c>
      <c r="G194" s="3" t="str">
        <f>"2026-03-29 11:44:01.950"</f>
        <v>2026-03-29 11:44:01.950</v>
      </c>
      <c r="H194" s="3" t="s">
        <v>22</v>
      </c>
      <c r="I194" s="3">
        <v>9.9499999999999993</v>
      </c>
      <c r="J194" s="3" t="s">
        <v>30</v>
      </c>
    </row>
    <row r="195" spans="1:10" x14ac:dyDescent="0.25">
      <c r="A195" s="1">
        <v>97</v>
      </c>
      <c r="B195" t="s">
        <v>19</v>
      </c>
      <c r="C195">
        <v>700</v>
      </c>
      <c r="D195">
        <v>0</v>
      </c>
      <c r="E195" t="s">
        <v>24</v>
      </c>
      <c r="F195" t="s">
        <v>24</v>
      </c>
      <c r="G195" t="str">
        <f>"2026-03-28 11:19:37.307"</f>
        <v>2026-03-28 11:19:37.307</v>
      </c>
      <c r="H195" t="s">
        <v>22</v>
      </c>
      <c r="I195">
        <v>0</v>
      </c>
      <c r="J195" t="s">
        <v>34</v>
      </c>
    </row>
    <row r="196" spans="1:10" x14ac:dyDescent="0.25">
      <c r="A196" s="1">
        <v>98</v>
      </c>
      <c r="B196" t="s">
        <v>19</v>
      </c>
      <c r="C196">
        <v>700</v>
      </c>
      <c r="D196">
        <v>0</v>
      </c>
      <c r="E196" t="s">
        <v>24</v>
      </c>
      <c r="F196" t="s">
        <v>24</v>
      </c>
      <c r="G196" t="str">
        <f>"2026-03-27 22:49:24.501"</f>
        <v>2026-03-27 22:49:24.501</v>
      </c>
      <c r="H196" t="s">
        <v>22</v>
      </c>
    </row>
    <row r="197" spans="1:10" x14ac:dyDescent="0.25">
      <c r="A197" s="1">
        <v>99</v>
      </c>
      <c r="B197" t="s">
        <v>53</v>
      </c>
      <c r="C197">
        <v>33</v>
      </c>
      <c r="D197">
        <v>1</v>
      </c>
      <c r="E197" t="s">
        <v>54</v>
      </c>
      <c r="F197" t="s">
        <v>55</v>
      </c>
      <c r="G197" t="str">
        <f>"2026-03-27 13:03:05.912"</f>
        <v>2026-03-27 13:03:05.912</v>
      </c>
      <c r="H197" t="s">
        <v>56</v>
      </c>
    </row>
    <row r="198" spans="1:10" x14ac:dyDescent="0.25">
      <c r="A198" s="1">
        <v>0</v>
      </c>
      <c r="B198" t="s">
        <v>39</v>
      </c>
      <c r="C198">
        <v>33</v>
      </c>
      <c r="D198">
        <v>1</v>
      </c>
      <c r="E198" t="s">
        <v>54</v>
      </c>
      <c r="F198" t="s">
        <v>55</v>
      </c>
      <c r="G198" t="str">
        <f>"2026-03-27 13:02:55.744"</f>
        <v>2026-03-27 13:02:55.744</v>
      </c>
      <c r="H198" t="s">
        <v>56</v>
      </c>
      <c r="I198">
        <v>7.58</v>
      </c>
      <c r="J198" t="s">
        <v>33</v>
      </c>
    </row>
    <row r="199" spans="1:10" s="3" customFormat="1" x14ac:dyDescent="0.25">
      <c r="A199" s="2">
        <v>1</v>
      </c>
      <c r="B199" s="3" t="s">
        <v>26</v>
      </c>
      <c r="C199" s="3">
        <v>647</v>
      </c>
      <c r="D199" s="3">
        <v>1</v>
      </c>
      <c r="E199" s="3" t="s">
        <v>27</v>
      </c>
      <c r="F199" s="3" t="s">
        <v>28</v>
      </c>
      <c r="G199" s="3" t="str">
        <f>"2026-03-26 19:47:32.566"</f>
        <v>2026-03-26 19:47:32.566</v>
      </c>
      <c r="H199" s="3" t="s">
        <v>22</v>
      </c>
    </row>
    <row r="200" spans="1:10" s="3" customFormat="1" x14ac:dyDescent="0.25">
      <c r="A200" s="2">
        <v>2</v>
      </c>
      <c r="B200" s="3" t="s">
        <v>29</v>
      </c>
      <c r="C200" s="3">
        <v>647</v>
      </c>
      <c r="D200" s="3">
        <v>1</v>
      </c>
      <c r="E200" s="3" t="s">
        <v>27</v>
      </c>
      <c r="F200" s="3" t="s">
        <v>28</v>
      </c>
      <c r="G200" s="3" t="str">
        <f>"2026-03-26 19:47:25.866"</f>
        <v>2026-03-26 19:47:25.866</v>
      </c>
      <c r="H200" s="3" t="s">
        <v>22</v>
      </c>
      <c r="I200" s="3">
        <v>8.91</v>
      </c>
      <c r="J200" s="3" t="s">
        <v>30</v>
      </c>
    </row>
    <row r="201" spans="1:10" x14ac:dyDescent="0.25">
      <c r="A201" s="1">
        <v>3</v>
      </c>
      <c r="B201" t="s">
        <v>53</v>
      </c>
      <c r="C201">
        <v>33</v>
      </c>
      <c r="D201">
        <v>1</v>
      </c>
      <c r="E201" t="s">
        <v>54</v>
      </c>
      <c r="F201" t="s">
        <v>55</v>
      </c>
      <c r="G201" t="str">
        <f>"2026-03-26 12:29:26.766"</f>
        <v>2026-03-26 12:29:26.766</v>
      </c>
      <c r="H201" t="s">
        <v>56</v>
      </c>
    </row>
    <row r="202" spans="1:10" x14ac:dyDescent="0.25">
      <c r="A202" s="1">
        <v>4</v>
      </c>
      <c r="B202" t="s">
        <v>39</v>
      </c>
      <c r="C202">
        <v>33</v>
      </c>
      <c r="D202">
        <v>1</v>
      </c>
      <c r="E202" t="s">
        <v>54</v>
      </c>
      <c r="F202" t="s">
        <v>55</v>
      </c>
      <c r="G202" t="str">
        <f>"2026-03-26 12:28:19.024"</f>
        <v>2026-03-26 12:28:19.024</v>
      </c>
      <c r="H202" t="s">
        <v>56</v>
      </c>
      <c r="I202">
        <v>7.72</v>
      </c>
      <c r="J202" t="s">
        <v>33</v>
      </c>
    </row>
    <row r="203" spans="1:10" x14ac:dyDescent="0.25">
      <c r="A203" s="1">
        <v>5</v>
      </c>
      <c r="B203" t="s">
        <v>19</v>
      </c>
      <c r="C203">
        <v>700</v>
      </c>
      <c r="D203">
        <v>0</v>
      </c>
      <c r="E203" t="s">
        <v>24</v>
      </c>
      <c r="F203" t="s">
        <v>24</v>
      </c>
      <c r="G203" t="str">
        <f>"2026-03-26 11:15:43.312"</f>
        <v>2026-03-26 11:15:43.312</v>
      </c>
      <c r="H203" t="s">
        <v>22</v>
      </c>
    </row>
    <row r="204" spans="1:10" x14ac:dyDescent="0.25">
      <c r="A204" s="1">
        <v>6</v>
      </c>
      <c r="B204" t="s">
        <v>19</v>
      </c>
      <c r="C204">
        <v>700</v>
      </c>
      <c r="D204">
        <v>0</v>
      </c>
      <c r="E204" t="s">
        <v>24</v>
      </c>
      <c r="F204" t="s">
        <v>24</v>
      </c>
      <c r="G204" t="str">
        <f>"2026-03-26 11:02:21.398"</f>
        <v>2026-03-26 11:02:21.398</v>
      </c>
      <c r="H204" t="s">
        <v>22</v>
      </c>
      <c r="I204">
        <v>0</v>
      </c>
      <c r="J204" t="s">
        <v>34</v>
      </c>
    </row>
    <row r="205" spans="1:10" x14ac:dyDescent="0.25">
      <c r="A205" s="1">
        <v>8</v>
      </c>
      <c r="B205" t="s">
        <v>53</v>
      </c>
      <c r="C205">
        <v>2</v>
      </c>
      <c r="D205">
        <v>1</v>
      </c>
      <c r="E205" t="s">
        <v>57</v>
      </c>
      <c r="F205" t="s">
        <v>58</v>
      </c>
      <c r="G205" t="str">
        <f>"2026-03-26 09:59:57.255"</f>
        <v>2026-03-26 09:59:57.255</v>
      </c>
      <c r="H205" t="s">
        <v>42</v>
      </c>
    </row>
    <row r="206" spans="1:10" s="3" customFormat="1" x14ac:dyDescent="0.25">
      <c r="A206" s="2">
        <v>9</v>
      </c>
      <c r="B206" s="3" t="s">
        <v>26</v>
      </c>
      <c r="C206" s="3">
        <v>647</v>
      </c>
      <c r="D206" s="3">
        <v>1</v>
      </c>
      <c r="E206" s="3" t="s">
        <v>27</v>
      </c>
      <c r="F206" s="3" t="s">
        <v>28</v>
      </c>
      <c r="G206" s="3" t="str">
        <f>"2026-03-26 09:59:36.754"</f>
        <v>2026-03-26 09:59:36.754</v>
      </c>
      <c r="H206" s="3" t="s">
        <v>22</v>
      </c>
    </row>
    <row r="207" spans="1:10" s="3" customFormat="1" x14ac:dyDescent="0.25">
      <c r="A207" s="2">
        <v>10</v>
      </c>
      <c r="B207" s="3" t="s">
        <v>29</v>
      </c>
      <c r="C207" s="3">
        <v>647</v>
      </c>
      <c r="D207" s="3">
        <v>1</v>
      </c>
      <c r="E207" s="3" t="s">
        <v>27</v>
      </c>
      <c r="F207" s="3" t="s">
        <v>28</v>
      </c>
      <c r="G207" s="3" t="str">
        <f>"2026-03-26 09:59:33.454"</f>
        <v>2026-03-26 09:59:33.454</v>
      </c>
      <c r="H207" s="3" t="s">
        <v>22</v>
      </c>
      <c r="I207" s="3">
        <v>14.44</v>
      </c>
      <c r="J207" s="3" t="s">
        <v>52</v>
      </c>
    </row>
    <row r="208" spans="1:10" s="3" customFormat="1" x14ac:dyDescent="0.25">
      <c r="A208" s="2">
        <v>11</v>
      </c>
      <c r="B208" s="3" t="s">
        <v>26</v>
      </c>
      <c r="C208" s="3">
        <v>647</v>
      </c>
      <c r="D208" s="3">
        <v>1</v>
      </c>
      <c r="E208" s="3" t="s">
        <v>27</v>
      </c>
      <c r="F208" s="3" t="s">
        <v>28</v>
      </c>
      <c r="G208" s="3" t="str">
        <f>"2026-03-26 09:59:25.754"</f>
        <v>2026-03-26 09:59:25.754</v>
      </c>
      <c r="H208" s="3" t="s">
        <v>22</v>
      </c>
    </row>
    <row r="209" spans="1:10" s="3" customFormat="1" x14ac:dyDescent="0.25">
      <c r="A209" s="2">
        <v>12</v>
      </c>
      <c r="B209" s="3" t="s">
        <v>29</v>
      </c>
      <c r="C209" s="3">
        <v>647</v>
      </c>
      <c r="D209" s="3">
        <v>1</v>
      </c>
      <c r="E209" s="3" t="s">
        <v>27</v>
      </c>
      <c r="F209" s="3" t="s">
        <v>28</v>
      </c>
      <c r="G209" s="3" t="str">
        <f>"2026-03-26 09:59:21.654"</f>
        <v>2026-03-26 09:59:21.654</v>
      </c>
      <c r="H209" s="3" t="s">
        <v>22</v>
      </c>
      <c r="I209" s="3">
        <v>14.65</v>
      </c>
      <c r="J209" s="3" t="s">
        <v>52</v>
      </c>
    </row>
    <row r="210" spans="1:10" s="3" customFormat="1" x14ac:dyDescent="0.25">
      <c r="A210" s="2">
        <v>13</v>
      </c>
      <c r="B210" s="3" t="s">
        <v>26</v>
      </c>
      <c r="C210" s="3">
        <v>647</v>
      </c>
      <c r="D210" s="3">
        <v>1</v>
      </c>
      <c r="E210" s="3" t="s">
        <v>27</v>
      </c>
      <c r="F210" s="3" t="s">
        <v>28</v>
      </c>
      <c r="G210" s="3" t="str">
        <f>"2026-03-26 09:59:13.754"</f>
        <v>2026-03-26 09:59:13.754</v>
      </c>
      <c r="H210" s="3" t="s">
        <v>22</v>
      </c>
    </row>
    <row r="211" spans="1:10" s="3" customFormat="1" x14ac:dyDescent="0.25">
      <c r="A211" s="2">
        <v>14</v>
      </c>
      <c r="B211" s="3" t="s">
        <v>29</v>
      </c>
      <c r="C211" s="3">
        <v>647</v>
      </c>
      <c r="D211" s="3">
        <v>1</v>
      </c>
      <c r="E211" s="3" t="s">
        <v>27</v>
      </c>
      <c r="F211" s="3" t="s">
        <v>28</v>
      </c>
      <c r="G211" s="3" t="str">
        <f>"2026-03-26 09:59:10.254"</f>
        <v>2026-03-26 09:59:10.254</v>
      </c>
      <c r="H211" s="3" t="s">
        <v>22</v>
      </c>
      <c r="I211" s="3">
        <v>15.49</v>
      </c>
      <c r="J211" s="3" t="s">
        <v>52</v>
      </c>
    </row>
    <row r="212" spans="1:10" s="3" customFormat="1" x14ac:dyDescent="0.25">
      <c r="A212" s="2">
        <v>15</v>
      </c>
      <c r="B212" s="3" t="s">
        <v>26</v>
      </c>
      <c r="C212" s="3">
        <v>647</v>
      </c>
      <c r="D212" s="3">
        <v>1</v>
      </c>
      <c r="E212" s="3" t="s">
        <v>27</v>
      </c>
      <c r="F212" s="3" t="s">
        <v>28</v>
      </c>
      <c r="G212" s="3" t="str">
        <f>"2026-03-26 09:58:55.354"</f>
        <v>2026-03-26 09:58:55.354</v>
      </c>
      <c r="H212" s="3" t="s">
        <v>22</v>
      </c>
    </row>
    <row r="213" spans="1:10" s="3" customFormat="1" x14ac:dyDescent="0.25">
      <c r="A213" s="2">
        <v>16</v>
      </c>
      <c r="B213" s="3" t="s">
        <v>29</v>
      </c>
      <c r="C213" s="3">
        <v>647</v>
      </c>
      <c r="D213" s="3">
        <v>1</v>
      </c>
      <c r="E213" s="3" t="s">
        <v>27</v>
      </c>
      <c r="F213" s="3" t="s">
        <v>28</v>
      </c>
      <c r="G213" s="3" t="str">
        <f>"2026-03-26 09:58:54.054"</f>
        <v>2026-03-26 09:58:54.054</v>
      </c>
      <c r="H213" s="3" t="s">
        <v>22</v>
      </c>
      <c r="I213" s="3">
        <v>15.78</v>
      </c>
      <c r="J213" s="3" t="s">
        <v>52</v>
      </c>
    </row>
    <row r="214" spans="1:10" s="3" customFormat="1" x14ac:dyDescent="0.25">
      <c r="A214" s="2">
        <v>17</v>
      </c>
      <c r="B214" s="3" t="s">
        <v>26</v>
      </c>
      <c r="C214" s="3">
        <v>647</v>
      </c>
      <c r="D214" s="3">
        <v>1</v>
      </c>
      <c r="E214" s="3" t="s">
        <v>27</v>
      </c>
      <c r="F214" s="3" t="s">
        <v>28</v>
      </c>
      <c r="G214" s="3" t="str">
        <f>"2026-03-26 09:58:30.554"</f>
        <v>2026-03-26 09:58:30.554</v>
      </c>
      <c r="H214" s="3" t="s">
        <v>22</v>
      </c>
    </row>
    <row r="215" spans="1:10" s="3" customFormat="1" x14ac:dyDescent="0.25">
      <c r="A215" s="2">
        <v>18</v>
      </c>
      <c r="B215" s="3" t="s">
        <v>29</v>
      </c>
      <c r="C215" s="3">
        <v>647</v>
      </c>
      <c r="D215" s="3">
        <v>1</v>
      </c>
      <c r="E215" s="3" t="s">
        <v>27</v>
      </c>
      <c r="F215" s="3" t="s">
        <v>28</v>
      </c>
      <c r="G215" s="3" t="str">
        <f>"2026-03-26 09:58:29.255"</f>
        <v>2026-03-26 09:58:29.255</v>
      </c>
      <c r="H215" s="3" t="s">
        <v>22</v>
      </c>
      <c r="I215" s="3">
        <v>13.38</v>
      </c>
      <c r="J215" s="3" t="s">
        <v>52</v>
      </c>
    </row>
    <row r="216" spans="1:10" x14ac:dyDescent="0.25">
      <c r="A216" s="1">
        <v>19</v>
      </c>
      <c r="B216" t="s">
        <v>26</v>
      </c>
      <c r="C216">
        <v>61</v>
      </c>
      <c r="D216">
        <v>2</v>
      </c>
      <c r="E216" t="s">
        <v>59</v>
      </c>
      <c r="F216" t="s">
        <v>60</v>
      </c>
      <c r="G216" t="str">
        <f>"2026-03-26 09:58:11.666"</f>
        <v>2026-03-26 09:58:11.666</v>
      </c>
      <c r="H216" t="s">
        <v>22</v>
      </c>
    </row>
    <row r="217" spans="1:10" x14ac:dyDescent="0.25">
      <c r="A217" s="1">
        <v>20</v>
      </c>
      <c r="B217" t="s">
        <v>39</v>
      </c>
      <c r="C217">
        <v>61</v>
      </c>
      <c r="D217">
        <v>2</v>
      </c>
      <c r="E217" t="s">
        <v>59</v>
      </c>
      <c r="F217" t="s">
        <v>60</v>
      </c>
      <c r="G217" t="str">
        <f>"2026-03-26 09:58:06.766"</f>
        <v>2026-03-26 09:58:06.766</v>
      </c>
      <c r="H217" t="s">
        <v>22</v>
      </c>
      <c r="I217">
        <v>36.79</v>
      </c>
      <c r="J217" t="s">
        <v>52</v>
      </c>
    </row>
    <row r="218" spans="1:10" x14ac:dyDescent="0.25">
      <c r="A218" s="1">
        <v>21</v>
      </c>
      <c r="B218" t="s">
        <v>26</v>
      </c>
      <c r="C218">
        <v>61</v>
      </c>
      <c r="D218">
        <v>2</v>
      </c>
      <c r="E218" t="s">
        <v>59</v>
      </c>
      <c r="F218" t="s">
        <v>60</v>
      </c>
      <c r="G218" t="str">
        <f>"2026-03-26 09:57:58.167"</f>
        <v>2026-03-26 09:57:58.167</v>
      </c>
      <c r="H218" t="s">
        <v>22</v>
      </c>
    </row>
    <row r="219" spans="1:10" x14ac:dyDescent="0.25">
      <c r="A219" s="1">
        <v>22</v>
      </c>
      <c r="B219" t="s">
        <v>39</v>
      </c>
      <c r="C219">
        <v>61</v>
      </c>
      <c r="D219">
        <v>2</v>
      </c>
      <c r="E219" t="s">
        <v>59</v>
      </c>
      <c r="F219" t="s">
        <v>60</v>
      </c>
      <c r="G219" t="str">
        <f>"2026-03-26 09:57:50.567"</f>
        <v>2026-03-26 09:57:50.567</v>
      </c>
      <c r="H219" t="s">
        <v>22</v>
      </c>
      <c r="I219">
        <v>37.9</v>
      </c>
      <c r="J219" t="s">
        <v>52</v>
      </c>
    </row>
    <row r="220" spans="1:10" x14ac:dyDescent="0.25">
      <c r="A220" s="1">
        <v>23</v>
      </c>
      <c r="B220" t="s">
        <v>39</v>
      </c>
      <c r="C220">
        <v>2</v>
      </c>
      <c r="D220">
        <v>1</v>
      </c>
      <c r="E220" t="s">
        <v>57</v>
      </c>
      <c r="F220" t="s">
        <v>58</v>
      </c>
      <c r="G220" t="str">
        <f>"2026-03-26 09:57:45.667"</f>
        <v>2026-03-26 09:57:45.667</v>
      </c>
      <c r="H220" t="s">
        <v>42</v>
      </c>
      <c r="I220">
        <v>33.5</v>
      </c>
      <c r="J220" t="s">
        <v>30</v>
      </c>
    </row>
    <row r="221" spans="1:10" x14ac:dyDescent="0.25">
      <c r="A221" s="1">
        <v>24</v>
      </c>
      <c r="B221" t="s">
        <v>19</v>
      </c>
      <c r="C221">
        <v>700</v>
      </c>
      <c r="D221">
        <v>0</v>
      </c>
      <c r="E221" t="s">
        <v>24</v>
      </c>
      <c r="F221" t="s">
        <v>24</v>
      </c>
      <c r="G221" t="str">
        <f>"2026-03-26 09:08:18.306"</f>
        <v>2026-03-26 09:08:18.306</v>
      </c>
      <c r="H221" t="s">
        <v>22</v>
      </c>
      <c r="I221">
        <v>0</v>
      </c>
      <c r="J221" t="s">
        <v>34</v>
      </c>
    </row>
    <row r="222" spans="1:10" x14ac:dyDescent="0.25">
      <c r="A222" s="1">
        <v>25</v>
      </c>
      <c r="B222" t="s">
        <v>53</v>
      </c>
      <c r="C222">
        <v>2</v>
      </c>
      <c r="D222">
        <v>1</v>
      </c>
      <c r="E222" t="s">
        <v>57</v>
      </c>
      <c r="F222" t="s">
        <v>58</v>
      </c>
      <c r="G222" t="str">
        <f>"2026-03-26 07:14:23.790"</f>
        <v>2026-03-26 07:14:23.790</v>
      </c>
      <c r="H222" t="s">
        <v>42</v>
      </c>
    </row>
    <row r="223" spans="1:10" x14ac:dyDescent="0.25">
      <c r="A223" s="1">
        <v>26</v>
      </c>
      <c r="B223" t="s">
        <v>39</v>
      </c>
      <c r="C223">
        <v>2</v>
      </c>
      <c r="D223">
        <v>1</v>
      </c>
      <c r="E223" t="s">
        <v>57</v>
      </c>
      <c r="F223" t="s">
        <v>58</v>
      </c>
      <c r="G223" t="str">
        <f>"2026-03-26 07:14:10.237"</f>
        <v>2026-03-26 07:14:10.237</v>
      </c>
      <c r="H223" t="s">
        <v>42</v>
      </c>
      <c r="I223">
        <v>7.66</v>
      </c>
      <c r="J223" t="s">
        <v>33</v>
      </c>
    </row>
    <row r="224" spans="1:10" x14ac:dyDescent="0.25">
      <c r="A224" s="1">
        <v>27</v>
      </c>
      <c r="B224" t="s">
        <v>19</v>
      </c>
      <c r="C224">
        <v>706</v>
      </c>
      <c r="D224">
        <v>2</v>
      </c>
      <c r="E224" t="s">
        <v>20</v>
      </c>
      <c r="F224" t="s">
        <v>25</v>
      </c>
      <c r="G224" t="str">
        <f>"2026-03-26 07:13:13.949"</f>
        <v>2026-03-26 07:13:13.949</v>
      </c>
      <c r="H224" t="s">
        <v>22</v>
      </c>
      <c r="I224">
        <v>0</v>
      </c>
      <c r="J224" t="s">
        <v>23</v>
      </c>
    </row>
    <row r="225" spans="1:10" x14ac:dyDescent="0.25">
      <c r="A225" s="1">
        <v>28</v>
      </c>
      <c r="B225" t="s">
        <v>19</v>
      </c>
      <c r="C225">
        <v>706</v>
      </c>
      <c r="D225">
        <v>3</v>
      </c>
      <c r="E225" t="s">
        <v>20</v>
      </c>
      <c r="F225" t="s">
        <v>49</v>
      </c>
      <c r="G225" t="str">
        <f>"2026-03-26 07:13:02.079"</f>
        <v>2026-03-26 07:13:02.079</v>
      </c>
      <c r="H225" t="s">
        <v>22</v>
      </c>
      <c r="I225">
        <v>0</v>
      </c>
      <c r="J225" t="s">
        <v>23</v>
      </c>
    </row>
    <row r="226" spans="1:10" x14ac:dyDescent="0.25">
      <c r="A226" s="1">
        <v>31</v>
      </c>
      <c r="B226" t="s">
        <v>19</v>
      </c>
      <c r="C226">
        <v>782</v>
      </c>
      <c r="D226">
        <v>7</v>
      </c>
      <c r="E226" t="s">
        <v>61</v>
      </c>
      <c r="F226" t="s">
        <v>62</v>
      </c>
      <c r="G226" t="str">
        <f>"2026-03-26 07:12:07.100"</f>
        <v>2026-03-26 07:12:07.100</v>
      </c>
      <c r="H226" t="s">
        <v>22</v>
      </c>
      <c r="I226">
        <v>0</v>
      </c>
      <c r="J226" t="s">
        <v>23</v>
      </c>
    </row>
    <row r="227" spans="1:10" x14ac:dyDescent="0.25">
      <c r="A227" s="1">
        <v>34</v>
      </c>
      <c r="B227" t="s">
        <v>26</v>
      </c>
      <c r="C227">
        <v>2</v>
      </c>
      <c r="D227">
        <v>1</v>
      </c>
      <c r="E227" t="s">
        <v>57</v>
      </c>
      <c r="F227" t="s">
        <v>58</v>
      </c>
      <c r="G227" t="str">
        <f>"2026-03-26 07:12:07.091"</f>
        <v>2026-03-26 07:12:07.091</v>
      </c>
      <c r="H227" t="s">
        <v>42</v>
      </c>
    </row>
    <row r="228" spans="1:10" x14ac:dyDescent="0.25">
      <c r="A228" s="1">
        <v>35</v>
      </c>
      <c r="B228" t="s">
        <v>19</v>
      </c>
      <c r="C228">
        <v>782</v>
      </c>
      <c r="D228">
        <v>7</v>
      </c>
      <c r="E228" t="s">
        <v>61</v>
      </c>
      <c r="F228" t="s">
        <v>62</v>
      </c>
      <c r="G228" t="str">
        <f>"2026-03-26 07:12:07.090"</f>
        <v>2026-03-26 07:12:07.090</v>
      </c>
      <c r="H228" t="s">
        <v>22</v>
      </c>
      <c r="I228">
        <v>0</v>
      </c>
      <c r="J228" t="s">
        <v>23</v>
      </c>
    </row>
    <row r="229" spans="1:10" x14ac:dyDescent="0.25">
      <c r="A229" s="1">
        <v>36</v>
      </c>
      <c r="B229" t="s">
        <v>19</v>
      </c>
      <c r="C229">
        <v>700</v>
      </c>
      <c r="D229">
        <v>0</v>
      </c>
      <c r="E229" t="s">
        <v>24</v>
      </c>
      <c r="F229" t="s">
        <v>24</v>
      </c>
      <c r="G229" t="str">
        <f>"2026-03-26 07:11:30.339"</f>
        <v>2026-03-26 07:11:30.339</v>
      </c>
      <c r="H229" t="s">
        <v>22</v>
      </c>
      <c r="I229">
        <v>0</v>
      </c>
      <c r="J229" t="s">
        <v>34</v>
      </c>
    </row>
    <row r="230" spans="1:10" s="3" customFormat="1" x14ac:dyDescent="0.25">
      <c r="A230" s="2">
        <v>37</v>
      </c>
      <c r="B230" s="3" t="s">
        <v>26</v>
      </c>
      <c r="C230" s="3">
        <v>647</v>
      </c>
      <c r="D230" s="3">
        <v>1</v>
      </c>
      <c r="E230" s="3" t="s">
        <v>27</v>
      </c>
      <c r="F230" s="3" t="s">
        <v>28</v>
      </c>
      <c r="G230" s="3" t="str">
        <f>"2026-03-26 07:09:35.455"</f>
        <v>2026-03-26 07:09:35.455</v>
      </c>
      <c r="H230" s="3" t="s">
        <v>22</v>
      </c>
    </row>
    <row r="231" spans="1:10" s="3" customFormat="1" x14ac:dyDescent="0.25">
      <c r="A231" s="2">
        <v>38</v>
      </c>
      <c r="B231" s="3" t="s">
        <v>29</v>
      </c>
      <c r="C231" s="3">
        <v>647</v>
      </c>
      <c r="D231" s="3">
        <v>1</v>
      </c>
      <c r="E231" s="3" t="s">
        <v>27</v>
      </c>
      <c r="F231" s="3" t="s">
        <v>28</v>
      </c>
      <c r="G231" s="3" t="str">
        <f>"2026-03-26 07:09:25.155"</f>
        <v>2026-03-26 07:09:25.155</v>
      </c>
      <c r="H231" s="3" t="s">
        <v>22</v>
      </c>
      <c r="I231" s="3">
        <v>8.26</v>
      </c>
      <c r="J231" s="3" t="s">
        <v>52</v>
      </c>
    </row>
    <row r="232" spans="1:10" x14ac:dyDescent="0.25">
      <c r="A232" s="1">
        <v>39</v>
      </c>
      <c r="B232" t="s">
        <v>29</v>
      </c>
      <c r="C232">
        <v>2</v>
      </c>
      <c r="D232">
        <v>1</v>
      </c>
      <c r="E232" t="s">
        <v>57</v>
      </c>
      <c r="F232" t="s">
        <v>58</v>
      </c>
      <c r="G232" t="str">
        <f>"2026-03-26 07:09:20.654"</f>
        <v>2026-03-26 07:09:20.654</v>
      </c>
      <c r="H232" t="s">
        <v>42</v>
      </c>
      <c r="I232">
        <v>8.7799999999999994</v>
      </c>
      <c r="J232" t="s">
        <v>33</v>
      </c>
    </row>
    <row r="233" spans="1:10" s="3" customFormat="1" x14ac:dyDescent="0.25">
      <c r="A233" s="2">
        <v>40</v>
      </c>
      <c r="B233" s="3" t="s">
        <v>26</v>
      </c>
      <c r="C233" s="3">
        <v>647</v>
      </c>
      <c r="D233" s="3">
        <v>1</v>
      </c>
      <c r="E233" s="3" t="s">
        <v>27</v>
      </c>
      <c r="F233" s="3" t="s">
        <v>28</v>
      </c>
      <c r="G233" s="3" t="str">
        <f>"2026-03-26 07:09:12.055"</f>
        <v>2026-03-26 07:09:12.055</v>
      </c>
      <c r="H233" s="3" t="s">
        <v>22</v>
      </c>
    </row>
    <row r="234" spans="1:10" x14ac:dyDescent="0.25">
      <c r="A234" s="1">
        <v>41</v>
      </c>
      <c r="B234" t="s">
        <v>53</v>
      </c>
      <c r="C234">
        <v>2</v>
      </c>
      <c r="D234">
        <v>1</v>
      </c>
      <c r="E234" t="s">
        <v>57</v>
      </c>
      <c r="F234" t="s">
        <v>58</v>
      </c>
      <c r="G234" t="str">
        <f>"2026-03-26 07:09:07.401"</f>
        <v>2026-03-26 07:09:07.401</v>
      </c>
      <c r="H234" t="s">
        <v>42</v>
      </c>
    </row>
    <row r="235" spans="1:10" s="3" customFormat="1" x14ac:dyDescent="0.25">
      <c r="A235" s="2">
        <v>42</v>
      </c>
      <c r="B235" s="3" t="s">
        <v>29</v>
      </c>
      <c r="C235" s="3">
        <v>647</v>
      </c>
      <c r="D235" s="3">
        <v>1</v>
      </c>
      <c r="E235" s="3" t="s">
        <v>27</v>
      </c>
      <c r="F235" s="3" t="s">
        <v>28</v>
      </c>
      <c r="G235" s="3" t="str">
        <f>"2026-03-26 07:08:52.155"</f>
        <v>2026-03-26 07:08:52.155</v>
      </c>
      <c r="H235" s="3" t="s">
        <v>22</v>
      </c>
      <c r="I235" s="3">
        <v>21.74</v>
      </c>
      <c r="J235" s="3" t="s">
        <v>52</v>
      </c>
    </row>
    <row r="236" spans="1:10" x14ac:dyDescent="0.25">
      <c r="A236" s="1">
        <v>43</v>
      </c>
      <c r="B236" t="s">
        <v>39</v>
      </c>
      <c r="C236">
        <v>2</v>
      </c>
      <c r="D236">
        <v>1</v>
      </c>
      <c r="E236" t="s">
        <v>57</v>
      </c>
      <c r="F236" t="s">
        <v>58</v>
      </c>
      <c r="G236" t="str">
        <f>"2026-03-26 07:08:43.501"</f>
        <v>2026-03-26 07:08:43.501</v>
      </c>
      <c r="H236" t="s">
        <v>42</v>
      </c>
      <c r="I236">
        <v>25.62</v>
      </c>
      <c r="J236" t="s">
        <v>33</v>
      </c>
    </row>
    <row r="237" spans="1:10" x14ac:dyDescent="0.25">
      <c r="A237" s="1">
        <v>44</v>
      </c>
      <c r="B237" t="s">
        <v>19</v>
      </c>
      <c r="C237">
        <v>700</v>
      </c>
      <c r="D237">
        <v>0</v>
      </c>
      <c r="E237" t="s">
        <v>24</v>
      </c>
      <c r="F237" t="s">
        <v>24</v>
      </c>
      <c r="G237" t="str">
        <f>"2026-03-26 02:53:12.293"</f>
        <v>2026-03-26 02:53:12.293</v>
      </c>
      <c r="H237" t="s">
        <v>22</v>
      </c>
      <c r="I237">
        <v>0</v>
      </c>
      <c r="J237" t="s">
        <v>34</v>
      </c>
    </row>
    <row r="238" spans="1:10" x14ac:dyDescent="0.25">
      <c r="A238" s="1">
        <v>45</v>
      </c>
      <c r="B238" t="s">
        <v>19</v>
      </c>
      <c r="C238">
        <v>700</v>
      </c>
      <c r="D238">
        <v>0</v>
      </c>
      <c r="E238" t="s">
        <v>24</v>
      </c>
      <c r="F238" t="s">
        <v>24</v>
      </c>
      <c r="G238" t="str">
        <f>"2026-03-26 02:48:16.299"</f>
        <v>2026-03-26 02:48:16.299</v>
      </c>
      <c r="H238" t="s">
        <v>22</v>
      </c>
    </row>
    <row r="239" spans="1:10" x14ac:dyDescent="0.25">
      <c r="A239" s="1">
        <v>46</v>
      </c>
      <c r="B239" t="s">
        <v>19</v>
      </c>
      <c r="C239">
        <v>700</v>
      </c>
      <c r="D239">
        <v>0</v>
      </c>
      <c r="E239" t="s">
        <v>24</v>
      </c>
      <c r="F239" t="s">
        <v>24</v>
      </c>
      <c r="G239" t="str">
        <f>"2026-03-26 02:43:56.332"</f>
        <v>2026-03-26 02:43:56.332</v>
      </c>
      <c r="H239" t="s">
        <v>22</v>
      </c>
      <c r="I239">
        <v>0</v>
      </c>
      <c r="J239" t="s">
        <v>34</v>
      </c>
    </row>
    <row r="240" spans="1:10" x14ac:dyDescent="0.25">
      <c r="A240" s="1">
        <v>49</v>
      </c>
      <c r="B240" t="s">
        <v>19</v>
      </c>
      <c r="C240">
        <v>782</v>
      </c>
      <c r="D240">
        <v>7</v>
      </c>
      <c r="E240" t="s">
        <v>61</v>
      </c>
      <c r="F240" t="s">
        <v>62</v>
      </c>
      <c r="G240" t="str">
        <f>"2026-03-26 02:30:05.414"</f>
        <v>2026-03-26 02:30:05.414</v>
      </c>
      <c r="H240" t="s">
        <v>22</v>
      </c>
      <c r="I240">
        <v>0</v>
      </c>
      <c r="J240" t="s">
        <v>23</v>
      </c>
    </row>
    <row r="241" spans="1:10" x14ac:dyDescent="0.25">
      <c r="A241" s="1">
        <v>52</v>
      </c>
      <c r="B241" t="s">
        <v>26</v>
      </c>
      <c r="C241">
        <v>2</v>
      </c>
      <c r="D241">
        <v>1</v>
      </c>
      <c r="E241" t="s">
        <v>57</v>
      </c>
      <c r="F241" t="s">
        <v>58</v>
      </c>
      <c r="G241" t="str">
        <f>"2026-03-26 02:30:05.405"</f>
        <v>2026-03-26 02:30:05.405</v>
      </c>
      <c r="H241" t="s">
        <v>42</v>
      </c>
    </row>
    <row r="242" spans="1:10" x14ac:dyDescent="0.25">
      <c r="A242" s="1">
        <v>53</v>
      </c>
      <c r="B242" t="s">
        <v>19</v>
      </c>
      <c r="C242">
        <v>782</v>
      </c>
      <c r="D242">
        <v>7</v>
      </c>
      <c r="E242" t="s">
        <v>61</v>
      </c>
      <c r="F242" t="s">
        <v>62</v>
      </c>
      <c r="G242" t="str">
        <f>"2026-03-26 02:30:05.404"</f>
        <v>2026-03-26 02:30:05.404</v>
      </c>
      <c r="H242" t="s">
        <v>22</v>
      </c>
      <c r="I242">
        <v>0</v>
      </c>
      <c r="J242" t="s">
        <v>23</v>
      </c>
    </row>
    <row r="243" spans="1:10" x14ac:dyDescent="0.25">
      <c r="A243" s="1">
        <v>54</v>
      </c>
      <c r="B243" t="s">
        <v>19</v>
      </c>
      <c r="C243">
        <v>706</v>
      </c>
      <c r="D243">
        <v>4</v>
      </c>
      <c r="E243" t="s">
        <v>20</v>
      </c>
      <c r="F243" t="s">
        <v>21</v>
      </c>
      <c r="G243" t="str">
        <f>"2026-03-26 02:03:49.747"</f>
        <v>2026-03-26 02:03:49.747</v>
      </c>
      <c r="H243" t="s">
        <v>22</v>
      </c>
      <c r="I243">
        <v>0</v>
      </c>
      <c r="J243" t="s">
        <v>23</v>
      </c>
    </row>
    <row r="244" spans="1:10" x14ac:dyDescent="0.25">
      <c r="A244" s="1">
        <v>55</v>
      </c>
      <c r="B244" t="s">
        <v>19</v>
      </c>
      <c r="C244">
        <v>706</v>
      </c>
      <c r="D244">
        <v>3</v>
      </c>
      <c r="E244" t="s">
        <v>20</v>
      </c>
      <c r="F244" t="s">
        <v>49</v>
      </c>
      <c r="G244" t="str">
        <f>"2026-03-26 02:03:42.917"</f>
        <v>2026-03-26 02:03:42.917</v>
      </c>
      <c r="H244" t="s">
        <v>22</v>
      </c>
      <c r="I244">
        <v>0</v>
      </c>
      <c r="J244" t="s">
        <v>23</v>
      </c>
    </row>
    <row r="245" spans="1:10" s="3" customFormat="1" x14ac:dyDescent="0.25">
      <c r="A245" s="2">
        <v>56</v>
      </c>
      <c r="B245" s="3" t="s">
        <v>26</v>
      </c>
      <c r="C245" s="3">
        <v>647</v>
      </c>
      <c r="D245" s="3">
        <v>1</v>
      </c>
      <c r="E245" s="3" t="s">
        <v>27</v>
      </c>
      <c r="F245" s="3" t="s">
        <v>28</v>
      </c>
      <c r="G245" s="3" t="str">
        <f>"2026-03-26 01:59:00.152"</f>
        <v>2026-03-26 01:59:00.152</v>
      </c>
      <c r="H245" s="3" t="s">
        <v>22</v>
      </c>
    </row>
    <row r="246" spans="1:10" x14ac:dyDescent="0.25">
      <c r="A246" s="1">
        <v>57</v>
      </c>
      <c r="B246" t="s">
        <v>26</v>
      </c>
      <c r="C246">
        <v>61</v>
      </c>
      <c r="D246">
        <v>2</v>
      </c>
      <c r="E246" t="s">
        <v>59</v>
      </c>
      <c r="F246" t="s">
        <v>60</v>
      </c>
      <c r="G246" t="str">
        <f>"2026-03-26 01:58:39.365"</f>
        <v>2026-03-26 01:58:39.365</v>
      </c>
      <c r="H246" t="s">
        <v>22</v>
      </c>
    </row>
    <row r="247" spans="1:10" x14ac:dyDescent="0.25">
      <c r="A247" s="1">
        <v>58</v>
      </c>
      <c r="B247" t="s">
        <v>39</v>
      </c>
      <c r="C247">
        <v>61</v>
      </c>
      <c r="D247">
        <v>2</v>
      </c>
      <c r="E247" t="s">
        <v>59</v>
      </c>
      <c r="F247" t="s">
        <v>60</v>
      </c>
      <c r="G247" t="str">
        <f>"2026-03-26 01:58:18.365"</f>
        <v>2026-03-26 01:58:18.365</v>
      </c>
      <c r="H247" t="s">
        <v>22</v>
      </c>
      <c r="I247">
        <v>36.450000000000003</v>
      </c>
      <c r="J247" t="s">
        <v>52</v>
      </c>
    </row>
    <row r="248" spans="1:10" s="3" customFormat="1" x14ac:dyDescent="0.25">
      <c r="A248" s="2">
        <v>59</v>
      </c>
      <c r="B248" s="3" t="s">
        <v>29</v>
      </c>
      <c r="C248" s="3">
        <v>647</v>
      </c>
      <c r="D248" s="3">
        <v>1</v>
      </c>
      <c r="E248" s="3" t="s">
        <v>27</v>
      </c>
      <c r="F248" s="3" t="s">
        <v>28</v>
      </c>
      <c r="G248" s="3" t="str">
        <f>"2026-03-26 01:58:16.152"</f>
        <v>2026-03-26 01:58:16.152</v>
      </c>
      <c r="H248" s="3" t="s">
        <v>22</v>
      </c>
      <c r="I248" s="3">
        <v>35.54</v>
      </c>
      <c r="J248" s="3" t="s">
        <v>52</v>
      </c>
    </row>
    <row r="249" spans="1:10" s="3" customFormat="1" x14ac:dyDescent="0.25">
      <c r="A249" s="2">
        <v>60</v>
      </c>
      <c r="B249" s="3" t="s">
        <v>26</v>
      </c>
      <c r="C249" s="3">
        <v>647</v>
      </c>
      <c r="D249" s="3">
        <v>1</v>
      </c>
      <c r="E249" s="3" t="s">
        <v>27</v>
      </c>
      <c r="F249" s="3" t="s">
        <v>28</v>
      </c>
      <c r="G249" s="3" t="str">
        <f>"2026-03-26 01:58:14.652"</f>
        <v>2026-03-26 01:58:14.652</v>
      </c>
      <c r="H249" s="3" t="s">
        <v>22</v>
      </c>
    </row>
    <row r="250" spans="1:10" s="3" customFormat="1" x14ac:dyDescent="0.25">
      <c r="A250" s="2">
        <v>61</v>
      </c>
      <c r="B250" s="3" t="s">
        <v>29</v>
      </c>
      <c r="C250" s="3">
        <v>647</v>
      </c>
      <c r="D250" s="3">
        <v>1</v>
      </c>
      <c r="E250" s="3" t="s">
        <v>27</v>
      </c>
      <c r="F250" s="3" t="s">
        <v>28</v>
      </c>
      <c r="G250" s="3" t="str">
        <f>"2026-03-26 01:58:01.152"</f>
        <v>2026-03-26 01:58:01.152</v>
      </c>
      <c r="H250" s="3" t="s">
        <v>22</v>
      </c>
      <c r="I250" s="3">
        <v>28.94</v>
      </c>
      <c r="J250" s="3" t="s">
        <v>52</v>
      </c>
    </row>
    <row r="251" spans="1:10" s="3" customFormat="1" x14ac:dyDescent="0.25">
      <c r="A251" s="2">
        <v>62</v>
      </c>
      <c r="B251" s="3" t="s">
        <v>26</v>
      </c>
      <c r="C251" s="3">
        <v>647</v>
      </c>
      <c r="D251" s="3">
        <v>1</v>
      </c>
      <c r="E251" s="3" t="s">
        <v>27</v>
      </c>
      <c r="F251" s="3" t="s">
        <v>28</v>
      </c>
      <c r="G251" s="3" t="str">
        <f>"2026-03-26 01:57:57.852"</f>
        <v>2026-03-26 01:57:57.852</v>
      </c>
      <c r="H251" s="3" t="s">
        <v>22</v>
      </c>
    </row>
    <row r="252" spans="1:10" s="3" customFormat="1" x14ac:dyDescent="0.25">
      <c r="A252" s="2">
        <v>63</v>
      </c>
      <c r="B252" s="3" t="s">
        <v>29</v>
      </c>
      <c r="C252" s="3">
        <v>647</v>
      </c>
      <c r="D252" s="3">
        <v>1</v>
      </c>
      <c r="E252" s="3" t="s">
        <v>27</v>
      </c>
      <c r="F252" s="3" t="s">
        <v>28</v>
      </c>
      <c r="G252" s="3" t="str">
        <f>"2026-03-26 01:57:42.752"</f>
        <v>2026-03-26 01:57:42.752</v>
      </c>
      <c r="H252" s="3" t="s">
        <v>22</v>
      </c>
      <c r="I252" s="3">
        <v>14.56</v>
      </c>
      <c r="J252" s="3" t="s">
        <v>30</v>
      </c>
    </row>
    <row r="253" spans="1:10" x14ac:dyDescent="0.25">
      <c r="A253" s="1">
        <v>64</v>
      </c>
      <c r="B253" t="s">
        <v>29</v>
      </c>
      <c r="C253">
        <v>2</v>
      </c>
      <c r="D253">
        <v>1</v>
      </c>
      <c r="E253" t="s">
        <v>57</v>
      </c>
      <c r="F253" t="s">
        <v>58</v>
      </c>
      <c r="G253" t="str">
        <f>"2026-03-26 01:57:40.064"</f>
        <v>2026-03-26 01:57:40.064</v>
      </c>
      <c r="H253" t="s">
        <v>42</v>
      </c>
      <c r="I253">
        <v>13.56</v>
      </c>
      <c r="J253" t="s">
        <v>30</v>
      </c>
    </row>
    <row r="254" spans="1:10" s="3" customFormat="1" x14ac:dyDescent="0.25">
      <c r="A254" s="2">
        <v>65</v>
      </c>
      <c r="B254" s="3" t="s">
        <v>26</v>
      </c>
      <c r="C254" s="3">
        <v>647</v>
      </c>
      <c r="D254" s="3">
        <v>1</v>
      </c>
      <c r="E254" s="3" t="s">
        <v>27</v>
      </c>
      <c r="F254" s="3" t="s">
        <v>28</v>
      </c>
      <c r="G254" s="3" t="str">
        <f>"2026-03-26 01:56:54.552"</f>
        <v>2026-03-26 01:56:54.552</v>
      </c>
      <c r="H254" s="3" t="s">
        <v>22</v>
      </c>
    </row>
    <row r="255" spans="1:10" x14ac:dyDescent="0.25">
      <c r="A255" s="1">
        <v>66</v>
      </c>
      <c r="B255" t="s">
        <v>53</v>
      </c>
      <c r="C255">
        <v>2</v>
      </c>
      <c r="D255">
        <v>1</v>
      </c>
      <c r="E255" t="s">
        <v>57</v>
      </c>
      <c r="F255" t="s">
        <v>58</v>
      </c>
      <c r="G255" t="str">
        <f>"2026-03-26 01:56:52.652"</f>
        <v>2026-03-26 01:56:52.652</v>
      </c>
      <c r="H255" t="s">
        <v>42</v>
      </c>
    </row>
    <row r="256" spans="1:10" s="3" customFormat="1" x14ac:dyDescent="0.25">
      <c r="A256" s="2">
        <v>67</v>
      </c>
      <c r="B256" s="3" t="s">
        <v>29</v>
      </c>
      <c r="C256" s="3">
        <v>647</v>
      </c>
      <c r="D256" s="3">
        <v>1</v>
      </c>
      <c r="E256" s="3" t="s">
        <v>27</v>
      </c>
      <c r="F256" s="3" t="s">
        <v>28</v>
      </c>
      <c r="G256" s="3" t="str">
        <f>"2026-03-26 01:56:44.952"</f>
        <v>2026-03-26 01:56:44.952</v>
      </c>
      <c r="H256" s="3" t="s">
        <v>22</v>
      </c>
      <c r="I256" s="3">
        <v>15.51</v>
      </c>
      <c r="J256" s="3" t="s">
        <v>52</v>
      </c>
    </row>
    <row r="257" spans="1:10" x14ac:dyDescent="0.25">
      <c r="A257" s="1">
        <v>68</v>
      </c>
      <c r="B257" t="s">
        <v>39</v>
      </c>
      <c r="C257">
        <v>2</v>
      </c>
      <c r="D257">
        <v>1</v>
      </c>
      <c r="E257" t="s">
        <v>57</v>
      </c>
      <c r="F257" t="s">
        <v>58</v>
      </c>
      <c r="G257" t="str">
        <f>"2026-03-26 01:56:41.512"</f>
        <v>2026-03-26 01:56:41.512</v>
      </c>
      <c r="H257" t="s">
        <v>42</v>
      </c>
      <c r="I257">
        <v>14.89</v>
      </c>
      <c r="J257" t="s">
        <v>30</v>
      </c>
    </row>
    <row r="258" spans="1:10" x14ac:dyDescent="0.25">
      <c r="A258" s="1">
        <v>69</v>
      </c>
      <c r="B258" t="s">
        <v>53</v>
      </c>
      <c r="C258">
        <v>2</v>
      </c>
      <c r="D258">
        <v>1</v>
      </c>
      <c r="E258" t="s">
        <v>57</v>
      </c>
      <c r="F258" t="s">
        <v>58</v>
      </c>
      <c r="G258" t="str">
        <f>"2026-03-26 01:24:55.352"</f>
        <v>2026-03-26 01:24:55.352</v>
      </c>
      <c r="H258" t="s">
        <v>42</v>
      </c>
    </row>
    <row r="259" spans="1:10" s="3" customFormat="1" x14ac:dyDescent="0.25">
      <c r="A259" s="2">
        <v>70</v>
      </c>
      <c r="B259" s="3" t="s">
        <v>26</v>
      </c>
      <c r="C259" s="3">
        <v>647</v>
      </c>
      <c r="D259" s="3">
        <v>1</v>
      </c>
      <c r="E259" s="3" t="s">
        <v>27</v>
      </c>
      <c r="F259" s="3" t="s">
        <v>28</v>
      </c>
      <c r="G259" s="3" t="str">
        <f>"2026-03-26 01:24:47.752"</f>
        <v>2026-03-26 01:24:47.752</v>
      </c>
      <c r="H259" s="3" t="s">
        <v>22</v>
      </c>
    </row>
    <row r="260" spans="1:10" s="3" customFormat="1" x14ac:dyDescent="0.25">
      <c r="A260" s="2">
        <v>71</v>
      </c>
      <c r="B260" s="3" t="s">
        <v>29</v>
      </c>
      <c r="C260" s="3">
        <v>647</v>
      </c>
      <c r="D260" s="3">
        <v>1</v>
      </c>
      <c r="E260" s="3" t="s">
        <v>27</v>
      </c>
      <c r="F260" s="3" t="s">
        <v>28</v>
      </c>
      <c r="G260" s="3" t="str">
        <f>"2026-03-26 01:24:29.852"</f>
        <v>2026-03-26 01:24:29.852</v>
      </c>
      <c r="H260" s="3" t="s">
        <v>22</v>
      </c>
      <c r="I260" s="3">
        <v>10.25</v>
      </c>
      <c r="J260" s="3" t="s">
        <v>52</v>
      </c>
    </row>
    <row r="261" spans="1:10" s="3" customFormat="1" x14ac:dyDescent="0.25">
      <c r="A261" s="2">
        <v>72</v>
      </c>
      <c r="B261" s="3" t="s">
        <v>26</v>
      </c>
      <c r="C261" s="3">
        <v>647</v>
      </c>
      <c r="D261" s="3">
        <v>1</v>
      </c>
      <c r="E261" s="3" t="s">
        <v>27</v>
      </c>
      <c r="F261" s="3" t="s">
        <v>28</v>
      </c>
      <c r="G261" s="3" t="str">
        <f>"2026-03-26 01:24:06.352"</f>
        <v>2026-03-26 01:24:06.352</v>
      </c>
      <c r="H261" s="3" t="s">
        <v>22</v>
      </c>
    </row>
    <row r="262" spans="1:10" s="3" customFormat="1" x14ac:dyDescent="0.25">
      <c r="A262" s="2">
        <v>73</v>
      </c>
      <c r="B262" s="3" t="s">
        <v>29</v>
      </c>
      <c r="C262" s="3">
        <v>647</v>
      </c>
      <c r="D262" s="3">
        <v>1</v>
      </c>
      <c r="E262" s="3" t="s">
        <v>27</v>
      </c>
      <c r="F262" s="3" t="s">
        <v>28</v>
      </c>
      <c r="G262" s="3" t="str">
        <f>"2026-03-26 01:24:03.253"</f>
        <v>2026-03-26 01:24:03.253</v>
      </c>
      <c r="H262" s="3" t="s">
        <v>22</v>
      </c>
      <c r="I262" s="3">
        <v>9.67</v>
      </c>
      <c r="J262" s="3" t="s">
        <v>52</v>
      </c>
    </row>
    <row r="263" spans="1:10" x14ac:dyDescent="0.25">
      <c r="A263" s="1">
        <v>74</v>
      </c>
      <c r="B263" t="s">
        <v>39</v>
      </c>
      <c r="C263">
        <v>2</v>
      </c>
      <c r="D263">
        <v>1</v>
      </c>
      <c r="E263" t="s">
        <v>57</v>
      </c>
      <c r="F263" t="s">
        <v>58</v>
      </c>
      <c r="G263" t="str">
        <f>"2026-03-26 01:24:00.412"</f>
        <v>2026-03-26 01:24:00.412</v>
      </c>
      <c r="H263" t="s">
        <v>42</v>
      </c>
      <c r="I263">
        <v>13.12</v>
      </c>
      <c r="J263" t="s">
        <v>30</v>
      </c>
    </row>
    <row r="264" spans="1:10" x14ac:dyDescent="0.25">
      <c r="A264" s="1">
        <v>75</v>
      </c>
      <c r="B264" t="s">
        <v>19</v>
      </c>
      <c r="C264">
        <v>700</v>
      </c>
      <c r="D264">
        <v>0</v>
      </c>
      <c r="E264" t="s">
        <v>24</v>
      </c>
      <c r="F264" t="s">
        <v>24</v>
      </c>
      <c r="G264" t="str">
        <f>"2026-03-25 21:26:01.297"</f>
        <v>2026-03-25 21:26:01.297</v>
      </c>
      <c r="H264" t="s">
        <v>22</v>
      </c>
      <c r="I264">
        <v>0</v>
      </c>
      <c r="J264" t="s">
        <v>34</v>
      </c>
    </row>
    <row r="265" spans="1:10" x14ac:dyDescent="0.25">
      <c r="A265" s="1">
        <v>76</v>
      </c>
      <c r="B265" t="s">
        <v>53</v>
      </c>
      <c r="C265">
        <v>33</v>
      </c>
      <c r="D265">
        <v>1</v>
      </c>
      <c r="E265" t="s">
        <v>54</v>
      </c>
      <c r="F265" t="s">
        <v>55</v>
      </c>
      <c r="G265" t="str">
        <f>"2026-03-25 11:00:22.796"</f>
        <v>2026-03-25 11:00:22.796</v>
      </c>
      <c r="H265" t="s">
        <v>56</v>
      </c>
    </row>
    <row r="266" spans="1:10" x14ac:dyDescent="0.25">
      <c r="A266" s="1">
        <v>77</v>
      </c>
      <c r="B266" t="s">
        <v>39</v>
      </c>
      <c r="C266">
        <v>33</v>
      </c>
      <c r="D266">
        <v>1</v>
      </c>
      <c r="E266" t="s">
        <v>54</v>
      </c>
      <c r="F266" t="s">
        <v>55</v>
      </c>
      <c r="G266" t="str">
        <f>"2026-03-25 10:59:37.288"</f>
        <v>2026-03-25 10:59:37.288</v>
      </c>
      <c r="H266" t="s">
        <v>56</v>
      </c>
      <c r="I266">
        <v>7.47</v>
      </c>
      <c r="J266" t="s">
        <v>33</v>
      </c>
    </row>
    <row r="267" spans="1:10" x14ac:dyDescent="0.25">
      <c r="A267" s="1">
        <v>78</v>
      </c>
      <c r="B267" t="s">
        <v>19</v>
      </c>
      <c r="C267">
        <v>700</v>
      </c>
      <c r="D267">
        <v>0</v>
      </c>
      <c r="E267" t="s">
        <v>24</v>
      </c>
      <c r="F267" t="s">
        <v>24</v>
      </c>
      <c r="G267" t="str">
        <f>"2026-03-24 03:55:39.478"</f>
        <v>2026-03-24 03:55:39.478</v>
      </c>
      <c r="H267" t="s">
        <v>22</v>
      </c>
    </row>
    <row r="268" spans="1:10" x14ac:dyDescent="0.25">
      <c r="A268" s="1">
        <v>79</v>
      </c>
      <c r="B268" t="s">
        <v>26</v>
      </c>
      <c r="C268">
        <v>635</v>
      </c>
      <c r="D268">
        <v>1</v>
      </c>
      <c r="E268" t="s">
        <v>31</v>
      </c>
      <c r="F268" t="s">
        <v>32</v>
      </c>
      <c r="G268" t="str">
        <f>"2026-03-24 02:04:31.842"</f>
        <v>2026-03-24 02:04:31.842</v>
      </c>
      <c r="H268" t="s">
        <v>22</v>
      </c>
    </row>
    <row r="269" spans="1:10" x14ac:dyDescent="0.25">
      <c r="A269" s="1">
        <v>80</v>
      </c>
      <c r="B269" t="s">
        <v>29</v>
      </c>
      <c r="C269">
        <v>635</v>
      </c>
      <c r="D269">
        <v>1</v>
      </c>
      <c r="E269" t="s">
        <v>31</v>
      </c>
      <c r="F269" t="s">
        <v>32</v>
      </c>
      <c r="G269" t="str">
        <f>"2026-03-24 01:56:39.842"</f>
        <v>2026-03-24 01:56:39.842</v>
      </c>
      <c r="H269" t="s">
        <v>22</v>
      </c>
      <c r="I269">
        <v>6.1</v>
      </c>
      <c r="J269" t="s">
        <v>33</v>
      </c>
    </row>
    <row r="270" spans="1:10" x14ac:dyDescent="0.25">
      <c r="A270" s="1">
        <v>81</v>
      </c>
      <c r="B270" t="s">
        <v>26</v>
      </c>
      <c r="C270">
        <v>635</v>
      </c>
      <c r="D270">
        <v>1</v>
      </c>
      <c r="E270" t="s">
        <v>31</v>
      </c>
      <c r="F270" t="s">
        <v>32</v>
      </c>
      <c r="G270" t="str">
        <f>"2026-03-23 23:55:36.142"</f>
        <v>2026-03-23 23:55:36.142</v>
      </c>
      <c r="H270" t="s">
        <v>22</v>
      </c>
    </row>
    <row r="271" spans="1:10" x14ac:dyDescent="0.25">
      <c r="A271" s="1">
        <v>82</v>
      </c>
      <c r="B271" t="s">
        <v>29</v>
      </c>
      <c r="C271">
        <v>635</v>
      </c>
      <c r="D271">
        <v>1</v>
      </c>
      <c r="E271" t="s">
        <v>31</v>
      </c>
      <c r="F271" t="s">
        <v>32</v>
      </c>
      <c r="G271" t="str">
        <f>"2026-03-23 23:47:52.641"</f>
        <v>2026-03-23 23:47:52.641</v>
      </c>
      <c r="H271" t="s">
        <v>22</v>
      </c>
      <c r="I271">
        <v>5.78</v>
      </c>
      <c r="J271" t="s">
        <v>33</v>
      </c>
    </row>
    <row r="272" spans="1:10" x14ac:dyDescent="0.25">
      <c r="A272" s="1">
        <v>83</v>
      </c>
      <c r="B272" t="s">
        <v>26</v>
      </c>
      <c r="C272">
        <v>635</v>
      </c>
      <c r="D272">
        <v>1</v>
      </c>
      <c r="E272" t="s">
        <v>31</v>
      </c>
      <c r="F272" t="s">
        <v>32</v>
      </c>
      <c r="G272" t="str">
        <f>"2026-03-23 23:02:34.242"</f>
        <v>2026-03-23 23:02:34.242</v>
      </c>
      <c r="H272" t="s">
        <v>22</v>
      </c>
    </row>
    <row r="273" spans="1:10" x14ac:dyDescent="0.25">
      <c r="A273" s="1">
        <v>84</v>
      </c>
      <c r="B273" t="s">
        <v>29</v>
      </c>
      <c r="C273">
        <v>635</v>
      </c>
      <c r="D273">
        <v>1</v>
      </c>
      <c r="E273" t="s">
        <v>31</v>
      </c>
      <c r="F273" t="s">
        <v>32</v>
      </c>
      <c r="G273" t="str">
        <f>"2026-03-23 22:53:51.742"</f>
        <v>2026-03-23 22:53:51.742</v>
      </c>
      <c r="H273" t="s">
        <v>22</v>
      </c>
      <c r="I273">
        <v>6.14</v>
      </c>
      <c r="J273" t="s">
        <v>33</v>
      </c>
    </row>
    <row r="274" spans="1:10" x14ac:dyDescent="0.25">
      <c r="A274" s="1">
        <v>85</v>
      </c>
      <c r="B274" t="s">
        <v>26</v>
      </c>
      <c r="C274">
        <v>635</v>
      </c>
      <c r="D274">
        <v>1</v>
      </c>
      <c r="E274" t="s">
        <v>31</v>
      </c>
      <c r="F274" t="s">
        <v>32</v>
      </c>
      <c r="G274" t="str">
        <f>"2026-03-23 20:40:37.542"</f>
        <v>2026-03-23 20:40:37.542</v>
      </c>
      <c r="H274" t="s">
        <v>22</v>
      </c>
    </row>
    <row r="275" spans="1:10" x14ac:dyDescent="0.25">
      <c r="A275" s="1">
        <v>86</v>
      </c>
      <c r="B275" t="s">
        <v>29</v>
      </c>
      <c r="C275">
        <v>635</v>
      </c>
      <c r="D275">
        <v>1</v>
      </c>
      <c r="E275" t="s">
        <v>31</v>
      </c>
      <c r="F275" t="s">
        <v>32</v>
      </c>
      <c r="G275" t="str">
        <f>"2026-03-23 20:32:37.042"</f>
        <v>2026-03-23 20:32:37.042</v>
      </c>
      <c r="H275" t="s">
        <v>22</v>
      </c>
      <c r="I275">
        <v>4.91</v>
      </c>
      <c r="J275" t="s">
        <v>33</v>
      </c>
    </row>
    <row r="276" spans="1:10" x14ac:dyDescent="0.25">
      <c r="A276" s="1">
        <v>87</v>
      </c>
      <c r="B276" t="s">
        <v>26</v>
      </c>
      <c r="C276">
        <v>635</v>
      </c>
      <c r="D276">
        <v>1</v>
      </c>
      <c r="E276" t="s">
        <v>31</v>
      </c>
      <c r="F276" t="s">
        <v>32</v>
      </c>
      <c r="G276" t="str">
        <f>"2026-03-23 18:16:31.242"</f>
        <v>2026-03-23 18:16:31.242</v>
      </c>
      <c r="H276" t="s">
        <v>22</v>
      </c>
    </row>
    <row r="277" spans="1:10" x14ac:dyDescent="0.25">
      <c r="A277" s="1">
        <v>88</v>
      </c>
      <c r="B277" t="s">
        <v>29</v>
      </c>
      <c r="C277">
        <v>635</v>
      </c>
      <c r="D277">
        <v>1</v>
      </c>
      <c r="E277" t="s">
        <v>31</v>
      </c>
      <c r="F277" t="s">
        <v>32</v>
      </c>
      <c r="G277" t="str">
        <f>"2026-03-23 18:13:39.342"</f>
        <v>2026-03-23 18:13:39.342</v>
      </c>
      <c r="H277" t="s">
        <v>22</v>
      </c>
      <c r="I277">
        <v>8.35</v>
      </c>
      <c r="J277" t="s">
        <v>33</v>
      </c>
    </row>
    <row r="278" spans="1:10" x14ac:dyDescent="0.25">
      <c r="A278" s="1">
        <v>89</v>
      </c>
      <c r="B278" t="s">
        <v>26</v>
      </c>
      <c r="C278">
        <v>98</v>
      </c>
      <c r="D278">
        <v>1</v>
      </c>
      <c r="E278" t="s">
        <v>63</v>
      </c>
      <c r="F278" t="s">
        <v>64</v>
      </c>
      <c r="G278" t="str">
        <f>"2026-03-22 23:32:03.354"</f>
        <v>2026-03-22 23:32:03.354</v>
      </c>
      <c r="H278" t="s">
        <v>22</v>
      </c>
    </row>
    <row r="279" spans="1:10" x14ac:dyDescent="0.25">
      <c r="A279" s="1">
        <v>90</v>
      </c>
      <c r="B279" t="s">
        <v>29</v>
      </c>
      <c r="C279">
        <v>98</v>
      </c>
      <c r="D279">
        <v>1</v>
      </c>
      <c r="E279" t="s">
        <v>63</v>
      </c>
      <c r="F279" t="s">
        <v>64</v>
      </c>
      <c r="G279" t="str">
        <f>"2026-03-22 23:32:02.355"</f>
        <v>2026-03-22 23:32:02.355</v>
      </c>
      <c r="H279" t="s">
        <v>22</v>
      </c>
      <c r="I279">
        <v>9</v>
      </c>
      <c r="J279" t="s">
        <v>30</v>
      </c>
    </row>
    <row r="280" spans="1:10" x14ac:dyDescent="0.25">
      <c r="A280" s="1">
        <v>91</v>
      </c>
      <c r="B280" t="s">
        <v>19</v>
      </c>
      <c r="C280">
        <v>700</v>
      </c>
      <c r="D280">
        <v>0</v>
      </c>
      <c r="E280" t="s">
        <v>24</v>
      </c>
      <c r="F280" t="s">
        <v>24</v>
      </c>
      <c r="G280" t="str">
        <f>"2026-03-22 22:31:25.275"</f>
        <v>2026-03-22 22:31:25.275</v>
      </c>
      <c r="H280" t="s">
        <v>22</v>
      </c>
      <c r="I280">
        <v>0</v>
      </c>
      <c r="J280" t="s">
        <v>34</v>
      </c>
    </row>
    <row r="281" spans="1:10" x14ac:dyDescent="0.25">
      <c r="A281" s="1">
        <v>92</v>
      </c>
      <c r="B281" t="s">
        <v>19</v>
      </c>
      <c r="C281">
        <v>700</v>
      </c>
      <c r="D281">
        <v>0</v>
      </c>
      <c r="E281" t="s">
        <v>24</v>
      </c>
      <c r="F281" t="s">
        <v>24</v>
      </c>
      <c r="G281" t="str">
        <f>"2026-03-22 18:13:09.285"</f>
        <v>2026-03-22 18:13:09.285</v>
      </c>
      <c r="H281" t="s">
        <v>22</v>
      </c>
      <c r="I281">
        <v>0</v>
      </c>
      <c r="J281" t="s">
        <v>34</v>
      </c>
    </row>
    <row r="282" spans="1:10" x14ac:dyDescent="0.25">
      <c r="A282" s="1">
        <v>93</v>
      </c>
      <c r="B282" t="s">
        <v>19</v>
      </c>
      <c r="C282">
        <v>706</v>
      </c>
      <c r="D282">
        <v>4</v>
      </c>
      <c r="E282" t="s">
        <v>20</v>
      </c>
      <c r="F282" t="s">
        <v>21</v>
      </c>
      <c r="G282" t="str">
        <f>"2026-03-22 17:45:04.234"</f>
        <v>2026-03-22 17:45:04.234</v>
      </c>
      <c r="H282" t="s">
        <v>22</v>
      </c>
      <c r="I282">
        <v>0</v>
      </c>
      <c r="J282" t="s">
        <v>23</v>
      </c>
    </row>
    <row r="283" spans="1:10" x14ac:dyDescent="0.25">
      <c r="A283" s="1">
        <v>94</v>
      </c>
      <c r="B283" t="s">
        <v>19</v>
      </c>
      <c r="C283">
        <v>700</v>
      </c>
      <c r="D283">
        <v>0</v>
      </c>
      <c r="E283" t="s">
        <v>24</v>
      </c>
      <c r="F283" t="s">
        <v>24</v>
      </c>
      <c r="G283" t="str">
        <f>"2026-03-22 17:36:10.294"</f>
        <v>2026-03-22 17:36:10.294</v>
      </c>
      <c r="H283" t="s">
        <v>22</v>
      </c>
    </row>
    <row r="284" spans="1:10" x14ac:dyDescent="0.25">
      <c r="A284" s="1">
        <v>95</v>
      </c>
      <c r="B284" t="s">
        <v>19</v>
      </c>
      <c r="C284">
        <v>700</v>
      </c>
      <c r="D284">
        <v>0</v>
      </c>
      <c r="E284" t="s">
        <v>24</v>
      </c>
      <c r="F284" t="s">
        <v>24</v>
      </c>
      <c r="G284" t="str">
        <f>"2026-03-21 22:21:51.585"</f>
        <v>2026-03-21 22:21:51.585</v>
      </c>
      <c r="H284" t="s">
        <v>22</v>
      </c>
      <c r="I284">
        <v>0</v>
      </c>
      <c r="J284" t="s">
        <v>34</v>
      </c>
    </row>
    <row r="285" spans="1:10" x14ac:dyDescent="0.25">
      <c r="A285" s="1">
        <v>96</v>
      </c>
      <c r="B285" t="s">
        <v>19</v>
      </c>
      <c r="C285">
        <v>700</v>
      </c>
      <c r="D285">
        <v>0</v>
      </c>
      <c r="E285" t="s">
        <v>24</v>
      </c>
      <c r="F285" t="s">
        <v>24</v>
      </c>
      <c r="G285" t="str">
        <f>"2026-03-20 21:39:37.301"</f>
        <v>2026-03-20 21:39:37.301</v>
      </c>
      <c r="H285" t="s">
        <v>22</v>
      </c>
      <c r="I285">
        <v>0</v>
      </c>
      <c r="J285" t="s">
        <v>34</v>
      </c>
    </row>
    <row r="286" spans="1:10" x14ac:dyDescent="0.25">
      <c r="A286" s="1">
        <v>97</v>
      </c>
      <c r="B286" t="s">
        <v>19</v>
      </c>
      <c r="C286">
        <v>706</v>
      </c>
      <c r="D286">
        <v>2</v>
      </c>
      <c r="E286" t="s">
        <v>20</v>
      </c>
      <c r="F286" t="s">
        <v>25</v>
      </c>
      <c r="G286" t="str">
        <f>"2026-03-20 09:36:19.627"</f>
        <v>2026-03-20 09:36:19.627</v>
      </c>
      <c r="H286" t="s">
        <v>22</v>
      </c>
      <c r="I286">
        <v>0</v>
      </c>
      <c r="J286" t="s">
        <v>23</v>
      </c>
    </row>
    <row r="287" spans="1:10" x14ac:dyDescent="0.25">
      <c r="A287" s="1">
        <v>98</v>
      </c>
      <c r="B287" t="s">
        <v>19</v>
      </c>
      <c r="C287">
        <v>700</v>
      </c>
      <c r="D287">
        <v>0</v>
      </c>
      <c r="E287" t="s">
        <v>24</v>
      </c>
      <c r="F287" t="s">
        <v>24</v>
      </c>
      <c r="G287" t="str">
        <f>"2026-03-20 08:52:14.297"</f>
        <v>2026-03-20 08:52:14.297</v>
      </c>
      <c r="H287" t="s">
        <v>22</v>
      </c>
      <c r="I287">
        <v>0</v>
      </c>
      <c r="J287" t="s">
        <v>34</v>
      </c>
    </row>
    <row r="288" spans="1:10" x14ac:dyDescent="0.25">
      <c r="A288" s="1">
        <v>99</v>
      </c>
      <c r="B288" t="s">
        <v>19</v>
      </c>
      <c r="C288">
        <v>700</v>
      </c>
      <c r="D288">
        <v>0</v>
      </c>
      <c r="E288" t="s">
        <v>24</v>
      </c>
      <c r="F288" t="s">
        <v>24</v>
      </c>
      <c r="G288" t="str">
        <f>"2026-03-20 06:15:24.275"</f>
        <v>2026-03-20 06:15:24.275</v>
      </c>
      <c r="H288" t="s">
        <v>22</v>
      </c>
    </row>
    <row r="289" spans="1:10" x14ac:dyDescent="0.25">
      <c r="A289" s="1">
        <v>0</v>
      </c>
      <c r="B289" t="s">
        <v>19</v>
      </c>
      <c r="C289">
        <v>700</v>
      </c>
      <c r="D289">
        <v>0</v>
      </c>
      <c r="E289" t="s">
        <v>24</v>
      </c>
      <c r="F289" t="s">
        <v>24</v>
      </c>
      <c r="G289" t="str">
        <f>"2026-03-20 06:05:10.304"</f>
        <v>2026-03-20 06:05:10.304</v>
      </c>
      <c r="H289" t="s">
        <v>22</v>
      </c>
      <c r="I289">
        <v>0</v>
      </c>
      <c r="J289" t="s">
        <v>34</v>
      </c>
    </row>
    <row r="290" spans="1:10" x14ac:dyDescent="0.25">
      <c r="A290" s="1">
        <v>1</v>
      </c>
      <c r="B290" t="s">
        <v>26</v>
      </c>
      <c r="C290">
        <v>635</v>
      </c>
      <c r="D290">
        <v>1</v>
      </c>
      <c r="E290" t="s">
        <v>31</v>
      </c>
      <c r="F290" t="s">
        <v>32</v>
      </c>
      <c r="G290" t="str">
        <f>"2026-03-20 05:12:06.525"</f>
        <v>2026-03-20 05:12:06.525</v>
      </c>
      <c r="H290" t="s">
        <v>22</v>
      </c>
    </row>
    <row r="291" spans="1:10" x14ac:dyDescent="0.25">
      <c r="A291" s="1">
        <v>2</v>
      </c>
      <c r="B291" t="s">
        <v>29</v>
      </c>
      <c r="C291">
        <v>635</v>
      </c>
      <c r="D291">
        <v>1</v>
      </c>
      <c r="E291" t="s">
        <v>31</v>
      </c>
      <c r="F291" t="s">
        <v>32</v>
      </c>
      <c r="G291" t="str">
        <f>"2026-03-20 05:08:51.025"</f>
        <v>2026-03-20 05:08:51.025</v>
      </c>
      <c r="H291" t="s">
        <v>22</v>
      </c>
      <c r="I291">
        <v>4.3600000000000003</v>
      </c>
      <c r="J291" t="s">
        <v>52</v>
      </c>
    </row>
    <row r="292" spans="1:10" x14ac:dyDescent="0.25">
      <c r="A292" s="1">
        <v>3</v>
      </c>
      <c r="B292" t="s">
        <v>19</v>
      </c>
      <c r="C292">
        <v>700</v>
      </c>
      <c r="D292">
        <v>0</v>
      </c>
      <c r="E292" t="s">
        <v>24</v>
      </c>
      <c r="F292" t="s">
        <v>24</v>
      </c>
      <c r="G292" t="str">
        <f>"2026-03-19 22:55:15.268"</f>
        <v>2026-03-19 22:55:15.268</v>
      </c>
      <c r="H292" t="s">
        <v>22</v>
      </c>
    </row>
    <row r="293" spans="1:10" x14ac:dyDescent="0.25">
      <c r="A293" s="1">
        <v>4</v>
      </c>
      <c r="B293" t="s">
        <v>26</v>
      </c>
      <c r="C293">
        <v>635</v>
      </c>
      <c r="D293">
        <v>1</v>
      </c>
      <c r="E293" t="s">
        <v>31</v>
      </c>
      <c r="F293" t="s">
        <v>32</v>
      </c>
      <c r="G293" t="str">
        <f>"2026-03-19 06:27:56.135"</f>
        <v>2026-03-19 06:27:56.135</v>
      </c>
      <c r="H293" t="s">
        <v>22</v>
      </c>
    </row>
    <row r="294" spans="1:10" x14ac:dyDescent="0.25">
      <c r="A294" s="1">
        <v>5</v>
      </c>
      <c r="B294" t="s">
        <v>29</v>
      </c>
      <c r="C294">
        <v>635</v>
      </c>
      <c r="D294">
        <v>1</v>
      </c>
      <c r="E294" t="s">
        <v>31</v>
      </c>
      <c r="F294" t="s">
        <v>32</v>
      </c>
      <c r="G294" t="str">
        <f>"2026-03-19 06:19:00.635"</f>
        <v>2026-03-19 06:19:00.635</v>
      </c>
      <c r="H294" t="s">
        <v>22</v>
      </c>
      <c r="I294">
        <v>8.4600000000000009</v>
      </c>
      <c r="J294" t="s">
        <v>30</v>
      </c>
    </row>
    <row r="295" spans="1:10" x14ac:dyDescent="0.25">
      <c r="A295" s="1">
        <v>6</v>
      </c>
      <c r="B295" t="s">
        <v>19</v>
      </c>
      <c r="C295">
        <v>700</v>
      </c>
      <c r="D295">
        <v>0</v>
      </c>
      <c r="E295" t="s">
        <v>24</v>
      </c>
      <c r="F295" t="s">
        <v>24</v>
      </c>
      <c r="G295" t="str">
        <f>"2026-03-18 20:46:21.267"</f>
        <v>2026-03-18 20:46:21.267</v>
      </c>
      <c r="H295" t="s">
        <v>22</v>
      </c>
      <c r="I295">
        <v>0</v>
      </c>
      <c r="J295" t="s">
        <v>34</v>
      </c>
    </row>
    <row r="296" spans="1:10" x14ac:dyDescent="0.25">
      <c r="A296" s="1">
        <v>7</v>
      </c>
      <c r="B296" t="s">
        <v>26</v>
      </c>
      <c r="C296">
        <v>61</v>
      </c>
      <c r="D296">
        <v>2</v>
      </c>
      <c r="E296" t="s">
        <v>59</v>
      </c>
      <c r="F296" t="s">
        <v>60</v>
      </c>
      <c r="G296" t="str">
        <f>"2026-03-18 07:08:45.284"</f>
        <v>2026-03-18 07:08:45.284</v>
      </c>
      <c r="H296" t="s">
        <v>22</v>
      </c>
    </row>
    <row r="297" spans="1:10" x14ac:dyDescent="0.25">
      <c r="A297" s="1">
        <v>8</v>
      </c>
      <c r="B297" t="s">
        <v>39</v>
      </c>
      <c r="C297">
        <v>61</v>
      </c>
      <c r="D297">
        <v>2</v>
      </c>
      <c r="E297" t="s">
        <v>59</v>
      </c>
      <c r="F297" t="s">
        <v>60</v>
      </c>
      <c r="G297" t="str">
        <f>"2026-03-18 07:08:23.584"</f>
        <v>2026-03-18 07:08:23.584</v>
      </c>
      <c r="H297" t="s">
        <v>22</v>
      </c>
      <c r="I297">
        <v>37.090000000000003</v>
      </c>
      <c r="J297" t="s">
        <v>30</v>
      </c>
    </row>
    <row r="298" spans="1:10" x14ac:dyDescent="0.25">
      <c r="A298" s="1">
        <v>9</v>
      </c>
      <c r="B298" t="s">
        <v>26</v>
      </c>
      <c r="C298">
        <v>61</v>
      </c>
      <c r="D298">
        <v>2</v>
      </c>
      <c r="E298" t="s">
        <v>59</v>
      </c>
      <c r="F298" t="s">
        <v>60</v>
      </c>
      <c r="G298" t="str">
        <f>"2026-03-18 02:43:11.784"</f>
        <v>2026-03-18 02:43:11.784</v>
      </c>
      <c r="H298" t="s">
        <v>22</v>
      </c>
    </row>
    <row r="299" spans="1:10" x14ac:dyDescent="0.25">
      <c r="A299" s="1">
        <v>10</v>
      </c>
      <c r="B299" t="s">
        <v>39</v>
      </c>
      <c r="C299">
        <v>61</v>
      </c>
      <c r="D299">
        <v>2</v>
      </c>
      <c r="E299" t="s">
        <v>59</v>
      </c>
      <c r="F299" t="s">
        <v>60</v>
      </c>
      <c r="G299" t="str">
        <f>"2026-03-18 02:43:07.184"</f>
        <v>2026-03-18 02:43:07.184</v>
      </c>
      <c r="H299" t="s">
        <v>22</v>
      </c>
      <c r="I299">
        <v>36.57</v>
      </c>
      <c r="J299" t="s">
        <v>30</v>
      </c>
    </row>
    <row r="300" spans="1:10" x14ac:dyDescent="0.25">
      <c r="A300" s="1">
        <v>11</v>
      </c>
      <c r="B300" t="s">
        <v>26</v>
      </c>
      <c r="C300">
        <v>635</v>
      </c>
      <c r="D300">
        <v>1</v>
      </c>
      <c r="E300" t="s">
        <v>31</v>
      </c>
      <c r="F300" t="s">
        <v>32</v>
      </c>
      <c r="G300" t="str">
        <f>"2026-03-18 01:59:21.583"</f>
        <v>2026-03-18 01:59:21.583</v>
      </c>
      <c r="H300" t="s">
        <v>22</v>
      </c>
    </row>
    <row r="301" spans="1:10" x14ac:dyDescent="0.25">
      <c r="A301" s="1">
        <v>12</v>
      </c>
      <c r="B301" t="s">
        <v>29</v>
      </c>
      <c r="C301">
        <v>635</v>
      </c>
      <c r="D301">
        <v>1</v>
      </c>
      <c r="E301" t="s">
        <v>31</v>
      </c>
      <c r="F301" t="s">
        <v>32</v>
      </c>
      <c r="G301" t="str">
        <f>"2026-03-18 01:52:27.083"</f>
        <v>2026-03-18 01:52:27.083</v>
      </c>
      <c r="H301" t="s">
        <v>22</v>
      </c>
      <c r="I301">
        <v>7.16</v>
      </c>
      <c r="J301" t="s">
        <v>30</v>
      </c>
    </row>
    <row r="302" spans="1:10" x14ac:dyDescent="0.25">
      <c r="A302" s="1">
        <v>13</v>
      </c>
      <c r="B302" t="s">
        <v>19</v>
      </c>
      <c r="C302">
        <v>706</v>
      </c>
      <c r="D302">
        <v>2</v>
      </c>
      <c r="E302" t="s">
        <v>20</v>
      </c>
      <c r="F302" t="s">
        <v>25</v>
      </c>
      <c r="G302" t="str">
        <f>"2026-03-16 08:30:28.832"</f>
        <v>2026-03-16 08:30:28.832</v>
      </c>
      <c r="H302" t="s">
        <v>22</v>
      </c>
      <c r="I302">
        <v>0</v>
      </c>
      <c r="J302" t="s">
        <v>23</v>
      </c>
    </row>
    <row r="303" spans="1:10" s="3" customFormat="1" x14ac:dyDescent="0.25">
      <c r="A303" s="2">
        <v>14</v>
      </c>
      <c r="B303" s="3" t="s">
        <v>26</v>
      </c>
      <c r="C303" s="3">
        <v>647</v>
      </c>
      <c r="D303" s="3">
        <v>1</v>
      </c>
      <c r="E303" s="3" t="s">
        <v>27</v>
      </c>
      <c r="F303" s="3" t="s">
        <v>28</v>
      </c>
      <c r="G303" s="3" t="str">
        <f>"2026-03-16 03:10:55.584"</f>
        <v>2026-03-16 03:10:55.584</v>
      </c>
      <c r="H303" s="3" t="s">
        <v>22</v>
      </c>
    </row>
    <row r="304" spans="1:10" s="3" customFormat="1" x14ac:dyDescent="0.25">
      <c r="A304" s="2">
        <v>15</v>
      </c>
      <c r="B304" s="3" t="s">
        <v>29</v>
      </c>
      <c r="C304" s="3">
        <v>647</v>
      </c>
      <c r="D304" s="3">
        <v>1</v>
      </c>
      <c r="E304" s="3" t="s">
        <v>27</v>
      </c>
      <c r="F304" s="3" t="s">
        <v>28</v>
      </c>
      <c r="G304" s="3" t="str">
        <f>"2026-03-16 03:10:50.484"</f>
        <v>2026-03-16 03:10:50.484</v>
      </c>
      <c r="H304" s="3" t="s">
        <v>22</v>
      </c>
      <c r="I304" s="3">
        <v>14.57</v>
      </c>
      <c r="J304" s="3" t="s">
        <v>30</v>
      </c>
    </row>
    <row r="305" spans="1:10" x14ac:dyDescent="0.25">
      <c r="A305" s="1">
        <v>16</v>
      </c>
      <c r="B305" t="s">
        <v>19</v>
      </c>
      <c r="C305">
        <v>706</v>
      </c>
      <c r="D305">
        <v>2</v>
      </c>
      <c r="E305" t="s">
        <v>20</v>
      </c>
      <c r="F305" t="s">
        <v>25</v>
      </c>
      <c r="G305" t="str">
        <f>"2026-03-15 14:33:24.232"</f>
        <v>2026-03-15 14:33:24.232</v>
      </c>
      <c r="H305" t="s">
        <v>22</v>
      </c>
      <c r="I305">
        <v>0</v>
      </c>
      <c r="J305" t="s">
        <v>23</v>
      </c>
    </row>
    <row r="306" spans="1:10" x14ac:dyDescent="0.25">
      <c r="A306" s="1">
        <v>17</v>
      </c>
      <c r="B306" t="s">
        <v>26</v>
      </c>
      <c r="C306">
        <v>61</v>
      </c>
      <c r="D306">
        <v>2</v>
      </c>
      <c r="E306" t="s">
        <v>59</v>
      </c>
      <c r="F306" t="s">
        <v>60</v>
      </c>
      <c r="G306" t="str">
        <f>"2026-03-15 07:08:56.484"</f>
        <v>2026-03-15 07:08:56.484</v>
      </c>
      <c r="H306" t="s">
        <v>22</v>
      </c>
    </row>
    <row r="307" spans="1:10" x14ac:dyDescent="0.25">
      <c r="A307" s="1">
        <v>18</v>
      </c>
      <c r="B307" t="s">
        <v>39</v>
      </c>
      <c r="C307">
        <v>61</v>
      </c>
      <c r="D307">
        <v>2</v>
      </c>
      <c r="E307" t="s">
        <v>59</v>
      </c>
      <c r="F307" t="s">
        <v>60</v>
      </c>
      <c r="G307" t="str">
        <f>"2026-03-15 07:08:46.784"</f>
        <v>2026-03-15 07:08:46.784</v>
      </c>
      <c r="H307" t="s">
        <v>22</v>
      </c>
      <c r="I307">
        <v>36.57</v>
      </c>
      <c r="J307" t="s">
        <v>30</v>
      </c>
    </row>
    <row r="308" spans="1:10" s="3" customFormat="1" x14ac:dyDescent="0.25">
      <c r="A308" s="2">
        <v>19</v>
      </c>
      <c r="B308" s="3" t="s">
        <v>26</v>
      </c>
      <c r="C308" s="3">
        <v>647</v>
      </c>
      <c r="D308" s="3">
        <v>1</v>
      </c>
      <c r="E308" s="3" t="s">
        <v>27</v>
      </c>
      <c r="F308" s="3" t="s">
        <v>28</v>
      </c>
      <c r="G308" s="3" t="str">
        <f>"2026-03-15 06:28:06.384"</f>
        <v>2026-03-15 06:28:06.384</v>
      </c>
      <c r="H308" s="3" t="s">
        <v>22</v>
      </c>
    </row>
    <row r="309" spans="1:10" s="3" customFormat="1" x14ac:dyDescent="0.25">
      <c r="A309" s="2">
        <v>20</v>
      </c>
      <c r="B309" s="3" t="s">
        <v>29</v>
      </c>
      <c r="C309" s="3">
        <v>647</v>
      </c>
      <c r="D309" s="3">
        <v>1</v>
      </c>
      <c r="E309" s="3" t="s">
        <v>27</v>
      </c>
      <c r="F309" s="3" t="s">
        <v>28</v>
      </c>
      <c r="G309" s="3" t="str">
        <f>"2026-03-15 06:28:01.284"</f>
        <v>2026-03-15 06:28:01.284</v>
      </c>
      <c r="H309" s="3" t="s">
        <v>22</v>
      </c>
      <c r="I309" s="3">
        <v>8.76</v>
      </c>
      <c r="J309" s="3" t="s">
        <v>30</v>
      </c>
    </row>
    <row r="310" spans="1:10" s="3" customFormat="1" x14ac:dyDescent="0.25">
      <c r="A310" s="2">
        <v>21</v>
      </c>
      <c r="B310" s="3" t="s">
        <v>26</v>
      </c>
      <c r="C310" s="3">
        <v>647</v>
      </c>
      <c r="D310" s="3">
        <v>1</v>
      </c>
      <c r="E310" s="3" t="s">
        <v>27</v>
      </c>
      <c r="F310" s="3" t="s">
        <v>28</v>
      </c>
      <c r="G310" s="3" t="str">
        <f>"2026-03-15 05:46:06.084"</f>
        <v>2026-03-15 05:46:06.084</v>
      </c>
      <c r="H310" s="3" t="s">
        <v>22</v>
      </c>
    </row>
    <row r="311" spans="1:10" s="3" customFormat="1" x14ac:dyDescent="0.25">
      <c r="A311" s="2">
        <v>22</v>
      </c>
      <c r="B311" s="3" t="s">
        <v>29</v>
      </c>
      <c r="C311" s="3">
        <v>647</v>
      </c>
      <c r="D311" s="3">
        <v>1</v>
      </c>
      <c r="E311" s="3" t="s">
        <v>27</v>
      </c>
      <c r="F311" s="3" t="s">
        <v>28</v>
      </c>
      <c r="G311" s="3" t="str">
        <f>"2026-03-15 05:46:01.784"</f>
        <v>2026-03-15 05:46:01.784</v>
      </c>
      <c r="H311" s="3" t="s">
        <v>22</v>
      </c>
      <c r="I311" s="3">
        <v>12.78</v>
      </c>
      <c r="J311" s="3" t="s">
        <v>30</v>
      </c>
    </row>
    <row r="312" spans="1:10" x14ac:dyDescent="0.25">
      <c r="A312" s="1">
        <v>23</v>
      </c>
      <c r="B312" t="s">
        <v>19</v>
      </c>
      <c r="C312">
        <v>700</v>
      </c>
      <c r="D312">
        <v>0</v>
      </c>
      <c r="E312" t="s">
        <v>24</v>
      </c>
      <c r="F312" t="s">
        <v>24</v>
      </c>
      <c r="G312" t="str">
        <f>"2026-03-14 07:41:15.302"</f>
        <v>2026-03-14 07:41:15.302</v>
      </c>
      <c r="H312" t="s">
        <v>22</v>
      </c>
      <c r="I312">
        <v>0</v>
      </c>
      <c r="J312" t="s">
        <v>34</v>
      </c>
    </row>
    <row r="313" spans="1:10" x14ac:dyDescent="0.25">
      <c r="A313" s="1">
        <v>25</v>
      </c>
      <c r="B313" t="s">
        <v>26</v>
      </c>
      <c r="C313">
        <v>635</v>
      </c>
      <c r="D313">
        <v>1</v>
      </c>
      <c r="E313" t="s">
        <v>31</v>
      </c>
      <c r="F313" t="s">
        <v>32</v>
      </c>
      <c r="G313" t="str">
        <f>"2026-03-14 02:08:10.369"</f>
        <v>2026-03-14 02:08:10.369</v>
      </c>
      <c r="H313" t="s">
        <v>22</v>
      </c>
    </row>
    <row r="314" spans="1:10" x14ac:dyDescent="0.25">
      <c r="A314" s="1">
        <v>26</v>
      </c>
      <c r="B314" t="s">
        <v>29</v>
      </c>
      <c r="C314">
        <v>635</v>
      </c>
      <c r="D314">
        <v>1</v>
      </c>
      <c r="E314" t="s">
        <v>31</v>
      </c>
      <c r="F314" t="s">
        <v>32</v>
      </c>
      <c r="G314" t="str">
        <f>"2026-03-14 02:02:27.369"</f>
        <v>2026-03-14 02:02:27.369</v>
      </c>
      <c r="H314" t="s">
        <v>22</v>
      </c>
      <c r="I314">
        <v>2.5299999999999998</v>
      </c>
      <c r="J314" t="s">
        <v>33</v>
      </c>
    </row>
    <row r="315" spans="1:10" s="3" customFormat="1" x14ac:dyDescent="0.25">
      <c r="A315" s="2">
        <v>27</v>
      </c>
      <c r="B315" s="3" t="s">
        <v>26</v>
      </c>
      <c r="C315" s="3">
        <v>647</v>
      </c>
      <c r="D315" s="3">
        <v>1</v>
      </c>
      <c r="E315" s="3" t="s">
        <v>27</v>
      </c>
      <c r="F315" s="3" t="s">
        <v>28</v>
      </c>
      <c r="G315" s="3" t="str">
        <f>"2026-03-13 03:21:41.869"</f>
        <v>2026-03-13 03:21:41.869</v>
      </c>
      <c r="H315" s="3" t="s">
        <v>22</v>
      </c>
    </row>
    <row r="316" spans="1:10" s="3" customFormat="1" x14ac:dyDescent="0.25">
      <c r="A316" s="2">
        <v>28</v>
      </c>
      <c r="B316" s="3" t="s">
        <v>29</v>
      </c>
      <c r="C316" s="3">
        <v>647</v>
      </c>
      <c r="D316" s="3">
        <v>1</v>
      </c>
      <c r="E316" s="3" t="s">
        <v>27</v>
      </c>
      <c r="F316" s="3" t="s">
        <v>28</v>
      </c>
      <c r="G316" s="3" t="str">
        <f>"2026-03-13 03:21:37.370"</f>
        <v>2026-03-13 03:21:37.370</v>
      </c>
      <c r="H316" s="3" t="s">
        <v>22</v>
      </c>
      <c r="I316" s="3">
        <v>12.65</v>
      </c>
      <c r="J316" s="3" t="s">
        <v>30</v>
      </c>
    </row>
    <row r="317" spans="1:10" x14ac:dyDescent="0.25">
      <c r="A317" s="1">
        <v>29</v>
      </c>
      <c r="B317" t="s">
        <v>19</v>
      </c>
      <c r="C317">
        <v>706</v>
      </c>
      <c r="D317">
        <v>2</v>
      </c>
      <c r="E317" t="s">
        <v>20</v>
      </c>
      <c r="F317" t="s">
        <v>25</v>
      </c>
      <c r="G317" t="str">
        <f>"2026-03-12 13:53:43.032"</f>
        <v>2026-03-12 13:53:43.032</v>
      </c>
      <c r="H317" t="s">
        <v>22</v>
      </c>
      <c r="I317">
        <v>0</v>
      </c>
      <c r="J317" t="s">
        <v>23</v>
      </c>
    </row>
    <row r="318" spans="1:10" x14ac:dyDescent="0.25">
      <c r="A318" s="1">
        <v>30</v>
      </c>
      <c r="B318" t="s">
        <v>19</v>
      </c>
      <c r="C318">
        <v>700</v>
      </c>
      <c r="D318">
        <v>0</v>
      </c>
      <c r="E318" t="s">
        <v>24</v>
      </c>
      <c r="F318" t="s">
        <v>24</v>
      </c>
      <c r="G318" t="str">
        <f>"2026-03-12 03:39:25.382"</f>
        <v>2026-03-12 03:39:25.382</v>
      </c>
      <c r="H318" t="s">
        <v>22</v>
      </c>
    </row>
    <row r="319" spans="1:10" x14ac:dyDescent="0.25">
      <c r="A319" s="1">
        <v>31</v>
      </c>
      <c r="B319" t="s">
        <v>19</v>
      </c>
      <c r="C319">
        <v>706</v>
      </c>
      <c r="D319">
        <v>4</v>
      </c>
      <c r="E319" t="s">
        <v>20</v>
      </c>
      <c r="F319" t="s">
        <v>21</v>
      </c>
      <c r="G319" t="str">
        <f>"2026-03-12 02:44:18.879"</f>
        <v>2026-03-12 02:44:18.879</v>
      </c>
      <c r="H319" t="s">
        <v>22</v>
      </c>
      <c r="I319">
        <v>0</v>
      </c>
      <c r="J319" t="s">
        <v>23</v>
      </c>
    </row>
    <row r="320" spans="1:10" x14ac:dyDescent="0.25">
      <c r="A320" s="1">
        <v>32</v>
      </c>
      <c r="B320" t="s">
        <v>19</v>
      </c>
      <c r="C320">
        <v>700</v>
      </c>
      <c r="D320">
        <v>0</v>
      </c>
      <c r="E320" t="s">
        <v>24</v>
      </c>
      <c r="F320" t="s">
        <v>24</v>
      </c>
      <c r="G320" t="str">
        <f>"2026-03-12 01:43:02.279"</f>
        <v>2026-03-12 01:43:02.279</v>
      </c>
      <c r="H320" t="s">
        <v>22</v>
      </c>
      <c r="I320">
        <v>0</v>
      </c>
      <c r="J320" t="s">
        <v>34</v>
      </c>
    </row>
    <row r="321" spans="1:10" x14ac:dyDescent="0.25">
      <c r="A321" s="1">
        <v>33</v>
      </c>
      <c r="B321" t="s">
        <v>19</v>
      </c>
      <c r="C321">
        <v>700</v>
      </c>
      <c r="D321">
        <v>0</v>
      </c>
      <c r="E321" t="s">
        <v>24</v>
      </c>
      <c r="F321" t="s">
        <v>24</v>
      </c>
      <c r="G321" t="str">
        <f>"2026-03-12 01:21:31.262"</f>
        <v>2026-03-12 01:21:31.262</v>
      </c>
      <c r="H321" t="s">
        <v>22</v>
      </c>
    </row>
    <row r="322" spans="1:10" x14ac:dyDescent="0.25">
      <c r="A322" s="1">
        <v>34</v>
      </c>
      <c r="B322" t="s">
        <v>19</v>
      </c>
      <c r="C322">
        <v>700</v>
      </c>
      <c r="D322">
        <v>0</v>
      </c>
      <c r="E322" t="s">
        <v>24</v>
      </c>
      <c r="F322" t="s">
        <v>24</v>
      </c>
      <c r="G322" t="str">
        <f>"2026-03-12 01:17:55.521"</f>
        <v>2026-03-12 01:17:55.521</v>
      </c>
      <c r="H322" t="s">
        <v>22</v>
      </c>
      <c r="I322">
        <v>0</v>
      </c>
      <c r="J322" t="s">
        <v>34</v>
      </c>
    </row>
    <row r="323" spans="1:10" x14ac:dyDescent="0.25">
      <c r="A323" s="1">
        <v>35</v>
      </c>
      <c r="B323" t="s">
        <v>19</v>
      </c>
      <c r="C323">
        <v>706</v>
      </c>
      <c r="D323">
        <v>2</v>
      </c>
      <c r="E323" t="s">
        <v>20</v>
      </c>
      <c r="F323" t="s">
        <v>25</v>
      </c>
      <c r="G323" t="str">
        <f>"2026-03-11 15:00:47.498"</f>
        <v>2026-03-11 15:00:47.498</v>
      </c>
      <c r="H323" t="s">
        <v>22</v>
      </c>
      <c r="I323">
        <v>0</v>
      </c>
      <c r="J323" t="s">
        <v>23</v>
      </c>
    </row>
    <row r="324" spans="1:10" s="3" customFormat="1" x14ac:dyDescent="0.25">
      <c r="A324" s="2">
        <v>36</v>
      </c>
      <c r="B324" s="3" t="s">
        <v>26</v>
      </c>
      <c r="C324" s="3">
        <v>647</v>
      </c>
      <c r="D324" s="3">
        <v>1</v>
      </c>
      <c r="E324" s="3" t="s">
        <v>27</v>
      </c>
      <c r="F324" s="3" t="s">
        <v>28</v>
      </c>
      <c r="G324" s="3" t="str">
        <f>"2026-03-11 04:54:51.865"</f>
        <v>2026-03-11 04:54:51.865</v>
      </c>
      <c r="H324" s="3" t="s">
        <v>22</v>
      </c>
    </row>
    <row r="325" spans="1:10" s="3" customFormat="1" x14ac:dyDescent="0.25">
      <c r="A325" s="2">
        <v>37</v>
      </c>
      <c r="B325" s="3" t="s">
        <v>29</v>
      </c>
      <c r="C325" s="3">
        <v>647</v>
      </c>
      <c r="D325" s="3">
        <v>1</v>
      </c>
      <c r="E325" s="3" t="s">
        <v>27</v>
      </c>
      <c r="F325" s="3" t="s">
        <v>28</v>
      </c>
      <c r="G325" s="3" t="str">
        <f>"2026-03-11 04:54:46.965"</f>
        <v>2026-03-11 04:54:46.965</v>
      </c>
      <c r="H325" s="3" t="s">
        <v>22</v>
      </c>
      <c r="I325" s="3">
        <v>21.41</v>
      </c>
      <c r="J325" s="3" t="s">
        <v>30</v>
      </c>
    </row>
    <row r="326" spans="1:10" s="3" customFormat="1" x14ac:dyDescent="0.25">
      <c r="A326" s="2">
        <v>38</v>
      </c>
      <c r="B326" s="3" t="s">
        <v>26</v>
      </c>
      <c r="C326" s="3">
        <v>647</v>
      </c>
      <c r="D326" s="3">
        <v>1</v>
      </c>
      <c r="E326" s="3" t="s">
        <v>27</v>
      </c>
      <c r="F326" s="3" t="s">
        <v>28</v>
      </c>
      <c r="G326" s="3" t="str">
        <f>"2026-03-11 02:38:27.565"</f>
        <v>2026-03-11 02:38:27.565</v>
      </c>
      <c r="H326" s="3" t="s">
        <v>22</v>
      </c>
    </row>
    <row r="327" spans="1:10" s="3" customFormat="1" x14ac:dyDescent="0.25">
      <c r="A327" s="2">
        <v>39</v>
      </c>
      <c r="B327" s="3" t="s">
        <v>29</v>
      </c>
      <c r="C327" s="3">
        <v>647</v>
      </c>
      <c r="D327" s="3">
        <v>1</v>
      </c>
      <c r="E327" s="3" t="s">
        <v>27</v>
      </c>
      <c r="F327" s="3" t="s">
        <v>28</v>
      </c>
      <c r="G327" s="3" t="str">
        <f>"2026-03-11 02:38:25.865"</f>
        <v>2026-03-11 02:38:25.865</v>
      </c>
      <c r="H327" s="3" t="s">
        <v>22</v>
      </c>
      <c r="I327" s="3">
        <v>9.33</v>
      </c>
      <c r="J327" s="3" t="s">
        <v>52</v>
      </c>
    </row>
    <row r="328" spans="1:10" s="3" customFormat="1" x14ac:dyDescent="0.25">
      <c r="A328" s="2">
        <v>40</v>
      </c>
      <c r="B328" s="3" t="s">
        <v>26</v>
      </c>
      <c r="C328" s="3">
        <v>647</v>
      </c>
      <c r="D328" s="3">
        <v>1</v>
      </c>
      <c r="E328" s="3" t="s">
        <v>27</v>
      </c>
      <c r="F328" s="3" t="s">
        <v>28</v>
      </c>
      <c r="G328" s="3" t="str">
        <f>"2026-03-10 20:53:02.265"</f>
        <v>2026-03-10 20:53:02.265</v>
      </c>
      <c r="H328" s="3" t="s">
        <v>22</v>
      </c>
    </row>
    <row r="329" spans="1:10" s="3" customFormat="1" x14ac:dyDescent="0.25">
      <c r="A329" s="2">
        <v>41</v>
      </c>
      <c r="B329" s="3" t="s">
        <v>29</v>
      </c>
      <c r="C329" s="3">
        <v>647</v>
      </c>
      <c r="D329" s="3">
        <v>1</v>
      </c>
      <c r="E329" s="3" t="s">
        <v>27</v>
      </c>
      <c r="F329" s="3" t="s">
        <v>28</v>
      </c>
      <c r="G329" s="3" t="str">
        <f>"2026-03-10 20:52:59.965"</f>
        <v>2026-03-10 20:52:59.965</v>
      </c>
      <c r="H329" s="3" t="s">
        <v>22</v>
      </c>
      <c r="I329" s="3">
        <v>18.71</v>
      </c>
      <c r="J329" s="3" t="s">
        <v>30</v>
      </c>
    </row>
    <row r="330" spans="1:10" s="3" customFormat="1" x14ac:dyDescent="0.25">
      <c r="A330" s="2">
        <v>42</v>
      </c>
      <c r="B330" s="3" t="s">
        <v>26</v>
      </c>
      <c r="C330" s="3">
        <v>647</v>
      </c>
      <c r="D330" s="3">
        <v>1</v>
      </c>
      <c r="E330" s="3" t="s">
        <v>27</v>
      </c>
      <c r="F330" s="3" t="s">
        <v>28</v>
      </c>
      <c r="G330" s="3" t="str">
        <f>"2026-03-10 20:52:06.065"</f>
        <v>2026-03-10 20:52:06.065</v>
      </c>
      <c r="H330" s="3" t="s">
        <v>22</v>
      </c>
    </row>
    <row r="331" spans="1:10" s="3" customFormat="1" x14ac:dyDescent="0.25">
      <c r="A331" s="2">
        <v>43</v>
      </c>
      <c r="B331" s="3" t="s">
        <v>29</v>
      </c>
      <c r="C331" s="3">
        <v>647</v>
      </c>
      <c r="D331" s="3">
        <v>1</v>
      </c>
      <c r="E331" s="3" t="s">
        <v>27</v>
      </c>
      <c r="F331" s="3" t="s">
        <v>28</v>
      </c>
      <c r="G331" s="3" t="str">
        <f>"2026-03-10 20:51:58.965"</f>
        <v>2026-03-10 20:51:58.965</v>
      </c>
      <c r="H331" s="3" t="s">
        <v>22</v>
      </c>
      <c r="I331" s="3">
        <v>11.07</v>
      </c>
      <c r="J331" s="3" t="s">
        <v>30</v>
      </c>
    </row>
    <row r="332" spans="1:10" x14ac:dyDescent="0.25">
      <c r="A332" s="1">
        <v>44</v>
      </c>
      <c r="B332" t="s">
        <v>19</v>
      </c>
      <c r="C332">
        <v>706</v>
      </c>
      <c r="D332">
        <v>4</v>
      </c>
      <c r="E332" t="s">
        <v>20</v>
      </c>
      <c r="F332" t="s">
        <v>21</v>
      </c>
      <c r="G332" t="str">
        <f>"2026-03-10 13:39:47.918"</f>
        <v>2026-03-10 13:39:47.918</v>
      </c>
      <c r="H332" t="s">
        <v>22</v>
      </c>
      <c r="I332">
        <v>0</v>
      </c>
      <c r="J332" t="s">
        <v>23</v>
      </c>
    </row>
    <row r="333" spans="1:10" x14ac:dyDescent="0.25">
      <c r="A333" s="1">
        <v>45</v>
      </c>
      <c r="B333" t="s">
        <v>26</v>
      </c>
      <c r="C333">
        <v>635</v>
      </c>
      <c r="D333">
        <v>1</v>
      </c>
      <c r="E333" t="s">
        <v>31</v>
      </c>
      <c r="F333" t="s">
        <v>32</v>
      </c>
      <c r="G333" t="str">
        <f>"2026-03-10 09:16:49.611"</f>
        <v>2026-03-10 09:16:49.611</v>
      </c>
      <c r="H333" t="s">
        <v>22</v>
      </c>
    </row>
    <row r="334" spans="1:10" x14ac:dyDescent="0.25">
      <c r="A334" s="1">
        <v>46</v>
      </c>
      <c r="B334" t="s">
        <v>29</v>
      </c>
      <c r="C334">
        <v>635</v>
      </c>
      <c r="D334">
        <v>1</v>
      </c>
      <c r="E334" t="s">
        <v>31</v>
      </c>
      <c r="F334" t="s">
        <v>32</v>
      </c>
      <c r="G334" t="str">
        <f>"2026-03-10 09:13:21.711"</f>
        <v>2026-03-10 09:13:21.711</v>
      </c>
      <c r="H334" t="s">
        <v>22</v>
      </c>
      <c r="I334">
        <v>3.42</v>
      </c>
      <c r="J334" t="s">
        <v>33</v>
      </c>
    </row>
    <row r="335" spans="1:10" x14ac:dyDescent="0.25">
      <c r="A335" s="1">
        <v>47</v>
      </c>
      <c r="B335" t="s">
        <v>26</v>
      </c>
      <c r="C335">
        <v>635</v>
      </c>
      <c r="D335">
        <v>1</v>
      </c>
      <c r="E335" t="s">
        <v>31</v>
      </c>
      <c r="F335" t="s">
        <v>32</v>
      </c>
      <c r="G335" t="str">
        <f>"2026-03-09 23:57:49.811"</f>
        <v>2026-03-09 23:57:49.811</v>
      </c>
      <c r="H335" t="s">
        <v>22</v>
      </c>
    </row>
    <row r="336" spans="1:10" x14ac:dyDescent="0.25">
      <c r="A336" s="1">
        <v>48</v>
      </c>
      <c r="B336" t="s">
        <v>29</v>
      </c>
      <c r="C336">
        <v>635</v>
      </c>
      <c r="D336">
        <v>1</v>
      </c>
      <c r="E336" t="s">
        <v>31</v>
      </c>
      <c r="F336" t="s">
        <v>32</v>
      </c>
      <c r="G336" t="str">
        <f>"2026-03-09 23:55:41.311"</f>
        <v>2026-03-09 23:55:41.311</v>
      </c>
      <c r="H336" t="s">
        <v>22</v>
      </c>
      <c r="I336">
        <v>5.92</v>
      </c>
      <c r="J336" t="s">
        <v>33</v>
      </c>
    </row>
    <row r="337" spans="1:10" x14ac:dyDescent="0.25">
      <c r="A337" s="1">
        <v>49</v>
      </c>
      <c r="B337" t="s">
        <v>26</v>
      </c>
      <c r="C337">
        <v>635</v>
      </c>
      <c r="D337">
        <v>1</v>
      </c>
      <c r="E337" t="s">
        <v>31</v>
      </c>
      <c r="F337" t="s">
        <v>32</v>
      </c>
      <c r="G337" t="str">
        <f>"2026-03-09 23:10:22.911"</f>
        <v>2026-03-09 23:10:22.911</v>
      </c>
      <c r="H337" t="s">
        <v>22</v>
      </c>
    </row>
    <row r="338" spans="1:10" x14ac:dyDescent="0.25">
      <c r="A338" s="1">
        <v>50</v>
      </c>
      <c r="B338" t="s">
        <v>29</v>
      </c>
      <c r="C338">
        <v>635</v>
      </c>
      <c r="D338">
        <v>1</v>
      </c>
      <c r="E338" t="s">
        <v>31</v>
      </c>
      <c r="F338" t="s">
        <v>32</v>
      </c>
      <c r="G338" t="str">
        <f>"2026-03-09 22:47:49.511"</f>
        <v>2026-03-09 22:47:49.511</v>
      </c>
      <c r="H338" t="s">
        <v>22</v>
      </c>
      <c r="I338">
        <v>5.94</v>
      </c>
      <c r="J338" t="s">
        <v>52</v>
      </c>
    </row>
    <row r="339" spans="1:10" s="3" customFormat="1" x14ac:dyDescent="0.25">
      <c r="A339" s="2">
        <v>51</v>
      </c>
      <c r="B339" s="3" t="s">
        <v>26</v>
      </c>
      <c r="C339" s="3">
        <v>647</v>
      </c>
      <c r="D339" s="3">
        <v>1</v>
      </c>
      <c r="E339" s="3" t="s">
        <v>27</v>
      </c>
      <c r="F339" s="3" t="s">
        <v>28</v>
      </c>
      <c r="G339" s="3" t="str">
        <f>"2026-03-09 19:59:19.365"</f>
        <v>2026-03-09 19:59:19.365</v>
      </c>
      <c r="H339" s="3" t="s">
        <v>22</v>
      </c>
    </row>
    <row r="340" spans="1:10" s="3" customFormat="1" x14ac:dyDescent="0.25">
      <c r="A340" s="2">
        <v>52</v>
      </c>
      <c r="B340" s="3" t="s">
        <v>29</v>
      </c>
      <c r="C340" s="3">
        <v>647</v>
      </c>
      <c r="D340" s="3">
        <v>1</v>
      </c>
      <c r="E340" s="3" t="s">
        <v>27</v>
      </c>
      <c r="F340" s="3" t="s">
        <v>28</v>
      </c>
      <c r="G340" s="3" t="str">
        <f>"2026-03-09 19:59:18.265"</f>
        <v>2026-03-09 19:59:18.265</v>
      </c>
      <c r="H340" s="3" t="s">
        <v>22</v>
      </c>
      <c r="I340" s="3">
        <v>20.13</v>
      </c>
      <c r="J340" s="3" t="s">
        <v>30</v>
      </c>
    </row>
    <row r="341" spans="1:10" s="3" customFormat="1" x14ac:dyDescent="0.25">
      <c r="A341" s="2">
        <v>53</v>
      </c>
      <c r="B341" s="3" t="s">
        <v>26</v>
      </c>
      <c r="C341" s="3">
        <v>647</v>
      </c>
      <c r="D341" s="3">
        <v>1</v>
      </c>
      <c r="E341" s="3" t="s">
        <v>27</v>
      </c>
      <c r="F341" s="3" t="s">
        <v>28</v>
      </c>
      <c r="G341" s="3" t="str">
        <f>"2026-03-09 19:58:49.165"</f>
        <v>2026-03-09 19:58:49.165</v>
      </c>
      <c r="H341" s="3" t="s">
        <v>22</v>
      </c>
    </row>
    <row r="342" spans="1:10" s="3" customFormat="1" x14ac:dyDescent="0.25">
      <c r="A342" s="2">
        <v>54</v>
      </c>
      <c r="B342" s="3" t="s">
        <v>29</v>
      </c>
      <c r="C342" s="3">
        <v>647</v>
      </c>
      <c r="D342" s="3">
        <v>1</v>
      </c>
      <c r="E342" s="3" t="s">
        <v>27</v>
      </c>
      <c r="F342" s="3" t="s">
        <v>28</v>
      </c>
      <c r="G342" s="3" t="str">
        <f>"2026-03-09 19:58:48.065"</f>
        <v>2026-03-09 19:58:48.065</v>
      </c>
      <c r="H342" s="3" t="s">
        <v>22</v>
      </c>
      <c r="I342" s="3">
        <v>26.44</v>
      </c>
      <c r="J342" s="3" t="s">
        <v>30</v>
      </c>
    </row>
    <row r="343" spans="1:10" x14ac:dyDescent="0.25">
      <c r="A343" s="1">
        <v>55</v>
      </c>
      <c r="B343" t="s">
        <v>26</v>
      </c>
      <c r="C343">
        <v>61</v>
      </c>
      <c r="D343">
        <v>2</v>
      </c>
      <c r="E343" t="s">
        <v>59</v>
      </c>
      <c r="F343" t="s">
        <v>60</v>
      </c>
      <c r="G343" t="str">
        <f>"2026-03-09 07:10:45.964"</f>
        <v>2026-03-09 07:10:45.964</v>
      </c>
      <c r="H343" t="s">
        <v>22</v>
      </c>
    </row>
    <row r="344" spans="1:10" x14ac:dyDescent="0.25">
      <c r="A344" s="1">
        <v>56</v>
      </c>
      <c r="B344" t="s">
        <v>39</v>
      </c>
      <c r="C344">
        <v>61</v>
      </c>
      <c r="D344">
        <v>2</v>
      </c>
      <c r="E344" t="s">
        <v>59</v>
      </c>
      <c r="F344" t="s">
        <v>60</v>
      </c>
      <c r="G344" t="str">
        <f>"2026-03-09 07:10:38.064"</f>
        <v>2026-03-09 07:10:38.064</v>
      </c>
      <c r="H344" t="s">
        <v>22</v>
      </c>
      <c r="I344">
        <v>35.19</v>
      </c>
      <c r="J344" t="s">
        <v>30</v>
      </c>
    </row>
    <row r="345" spans="1:10" s="3" customFormat="1" x14ac:dyDescent="0.25">
      <c r="A345" s="2">
        <v>57</v>
      </c>
      <c r="B345" s="3" t="s">
        <v>26</v>
      </c>
      <c r="C345" s="3">
        <v>647</v>
      </c>
      <c r="D345" s="3">
        <v>1</v>
      </c>
      <c r="E345" s="3" t="s">
        <v>27</v>
      </c>
      <c r="F345" s="3" t="s">
        <v>28</v>
      </c>
      <c r="G345" s="3" t="str">
        <f>"2026-03-08 22:19:58.465"</f>
        <v>2026-03-08 22:19:58.465</v>
      </c>
      <c r="H345" s="3" t="s">
        <v>22</v>
      </c>
    </row>
    <row r="346" spans="1:10" s="3" customFormat="1" x14ac:dyDescent="0.25">
      <c r="A346" s="2">
        <v>58</v>
      </c>
      <c r="B346" s="3" t="s">
        <v>29</v>
      </c>
      <c r="C346" s="3">
        <v>647</v>
      </c>
      <c r="D346" s="3">
        <v>1</v>
      </c>
      <c r="E346" s="3" t="s">
        <v>27</v>
      </c>
      <c r="F346" s="3" t="s">
        <v>28</v>
      </c>
      <c r="G346" s="3" t="str">
        <f>"2026-03-08 22:19:56.465"</f>
        <v>2026-03-08 22:19:56.465</v>
      </c>
      <c r="H346" s="3" t="s">
        <v>22</v>
      </c>
      <c r="I346" s="3">
        <v>12.6</v>
      </c>
      <c r="J346" s="3" t="s">
        <v>30</v>
      </c>
    </row>
    <row r="347" spans="1:10" s="3" customFormat="1" x14ac:dyDescent="0.25">
      <c r="A347" s="2">
        <v>59</v>
      </c>
      <c r="B347" s="3" t="s">
        <v>26</v>
      </c>
      <c r="C347" s="3">
        <v>647</v>
      </c>
      <c r="D347" s="3">
        <v>1</v>
      </c>
      <c r="E347" s="3" t="s">
        <v>27</v>
      </c>
      <c r="F347" s="3" t="s">
        <v>28</v>
      </c>
      <c r="G347" s="3" t="str">
        <f>"2026-03-08 22:19:01.165"</f>
        <v>2026-03-08 22:19:01.165</v>
      </c>
      <c r="H347" s="3" t="s">
        <v>22</v>
      </c>
    </row>
    <row r="348" spans="1:10" s="3" customFormat="1" x14ac:dyDescent="0.25">
      <c r="A348" s="2">
        <v>60</v>
      </c>
      <c r="B348" s="3" t="s">
        <v>29</v>
      </c>
      <c r="C348" s="3">
        <v>647</v>
      </c>
      <c r="D348" s="3">
        <v>1</v>
      </c>
      <c r="E348" s="3" t="s">
        <v>27</v>
      </c>
      <c r="F348" s="3" t="s">
        <v>28</v>
      </c>
      <c r="G348" s="3" t="str">
        <f>"2026-03-08 22:18:58.465"</f>
        <v>2026-03-08 22:18:58.465</v>
      </c>
      <c r="H348" s="3" t="s">
        <v>22</v>
      </c>
      <c r="I348" s="3">
        <v>13.6</v>
      </c>
      <c r="J348" s="3" t="s">
        <v>30</v>
      </c>
    </row>
    <row r="349" spans="1:10" x14ac:dyDescent="0.25">
      <c r="A349" s="1">
        <v>61</v>
      </c>
      <c r="B349" t="s">
        <v>26</v>
      </c>
      <c r="C349">
        <v>635</v>
      </c>
      <c r="D349">
        <v>1</v>
      </c>
      <c r="E349" t="s">
        <v>31</v>
      </c>
      <c r="F349" t="s">
        <v>32</v>
      </c>
      <c r="G349" t="str">
        <f>"2026-03-08 21:39:01.211"</f>
        <v>2026-03-08 21:39:01.211</v>
      </c>
      <c r="H349" t="s">
        <v>22</v>
      </c>
    </row>
    <row r="350" spans="1:10" x14ac:dyDescent="0.25">
      <c r="A350" s="1">
        <v>62</v>
      </c>
      <c r="B350" t="s">
        <v>29</v>
      </c>
      <c r="C350">
        <v>635</v>
      </c>
      <c r="D350">
        <v>1</v>
      </c>
      <c r="E350" t="s">
        <v>31</v>
      </c>
      <c r="F350" t="s">
        <v>32</v>
      </c>
      <c r="G350" t="str">
        <f>"2026-03-08 21:14:52.311"</f>
        <v>2026-03-08 21:14:52.311</v>
      </c>
      <c r="H350" t="s">
        <v>22</v>
      </c>
      <c r="I350">
        <v>7.5</v>
      </c>
      <c r="J350" t="s">
        <v>33</v>
      </c>
    </row>
    <row r="351" spans="1:10" x14ac:dyDescent="0.25">
      <c r="A351" s="1">
        <v>63</v>
      </c>
      <c r="B351" t="s">
        <v>26</v>
      </c>
      <c r="C351">
        <v>61</v>
      </c>
      <c r="D351">
        <v>2</v>
      </c>
      <c r="E351" t="s">
        <v>59</v>
      </c>
      <c r="F351" t="s">
        <v>60</v>
      </c>
      <c r="G351" t="str">
        <f>"2026-03-08 16:16:16.164"</f>
        <v>2026-03-08 16:16:16.164</v>
      </c>
      <c r="H351" t="s">
        <v>22</v>
      </c>
    </row>
    <row r="352" spans="1:10" x14ac:dyDescent="0.25">
      <c r="A352" s="1">
        <v>64</v>
      </c>
      <c r="B352" t="s">
        <v>39</v>
      </c>
      <c r="C352">
        <v>61</v>
      </c>
      <c r="D352">
        <v>2</v>
      </c>
      <c r="E352" t="s">
        <v>59</v>
      </c>
      <c r="F352" t="s">
        <v>60</v>
      </c>
      <c r="G352" t="str">
        <f>"2026-03-08 16:16:09.965"</f>
        <v>2026-03-08 16:16:09.965</v>
      </c>
      <c r="H352" t="s">
        <v>22</v>
      </c>
      <c r="I352">
        <v>35.200000000000003</v>
      </c>
      <c r="J352" t="s">
        <v>30</v>
      </c>
    </row>
    <row r="353" spans="1:10" x14ac:dyDescent="0.25">
      <c r="A353" s="1">
        <v>65</v>
      </c>
      <c r="B353" t="s">
        <v>19</v>
      </c>
      <c r="C353">
        <v>706</v>
      </c>
      <c r="D353">
        <v>4</v>
      </c>
      <c r="E353" t="s">
        <v>20</v>
      </c>
      <c r="F353" t="s">
        <v>21</v>
      </c>
      <c r="G353" t="str">
        <f>"2026-03-08 13:31:40.068"</f>
        <v>2026-03-08 13:31:40.068</v>
      </c>
      <c r="H353" t="s">
        <v>22</v>
      </c>
      <c r="I353">
        <v>0</v>
      </c>
      <c r="J353" t="s">
        <v>23</v>
      </c>
    </row>
    <row r="354" spans="1:10" x14ac:dyDescent="0.25">
      <c r="A354" s="1">
        <v>66</v>
      </c>
      <c r="B354" t="s">
        <v>26</v>
      </c>
      <c r="C354">
        <v>635</v>
      </c>
      <c r="D354">
        <v>1</v>
      </c>
      <c r="E354" t="s">
        <v>31</v>
      </c>
      <c r="F354" t="s">
        <v>32</v>
      </c>
      <c r="G354" t="str">
        <f>"2026-03-07 23:15:58.111"</f>
        <v>2026-03-07 23:15:58.111</v>
      </c>
      <c r="H354" t="s">
        <v>22</v>
      </c>
    </row>
    <row r="355" spans="1:10" x14ac:dyDescent="0.25">
      <c r="A355" s="1">
        <v>67</v>
      </c>
      <c r="B355" t="s">
        <v>29</v>
      </c>
      <c r="C355">
        <v>635</v>
      </c>
      <c r="D355">
        <v>1</v>
      </c>
      <c r="E355" t="s">
        <v>31</v>
      </c>
      <c r="F355" t="s">
        <v>32</v>
      </c>
      <c r="G355" t="str">
        <f>"2026-03-07 23:11:14.111"</f>
        <v>2026-03-07 23:11:14.111</v>
      </c>
      <c r="H355" t="s">
        <v>22</v>
      </c>
      <c r="I355">
        <v>7.95</v>
      </c>
      <c r="J355" t="s">
        <v>33</v>
      </c>
    </row>
    <row r="356" spans="1:10" x14ac:dyDescent="0.25">
      <c r="A356" s="1">
        <v>68</v>
      </c>
      <c r="B356" t="s">
        <v>19</v>
      </c>
      <c r="C356">
        <v>706</v>
      </c>
      <c r="D356">
        <v>4</v>
      </c>
      <c r="E356" t="s">
        <v>20</v>
      </c>
      <c r="F356" t="s">
        <v>21</v>
      </c>
      <c r="G356" t="str">
        <f>"2026-03-07 09:20:47.028"</f>
        <v>2026-03-07 09:20:47.028</v>
      </c>
      <c r="H356" t="s">
        <v>22</v>
      </c>
      <c r="I356">
        <v>0</v>
      </c>
      <c r="J356" t="s">
        <v>23</v>
      </c>
    </row>
    <row r="357" spans="1:10" x14ac:dyDescent="0.25">
      <c r="A357" s="1">
        <v>69</v>
      </c>
      <c r="B357" t="s">
        <v>26</v>
      </c>
      <c r="C357">
        <v>635</v>
      </c>
      <c r="D357">
        <v>1</v>
      </c>
      <c r="E357" t="s">
        <v>31</v>
      </c>
      <c r="F357" t="s">
        <v>32</v>
      </c>
      <c r="G357" t="str">
        <f>"2026-03-07 07:48:31.511"</f>
        <v>2026-03-07 07:48:31.511</v>
      </c>
      <c r="H357" t="s">
        <v>22</v>
      </c>
    </row>
    <row r="358" spans="1:10" x14ac:dyDescent="0.25">
      <c r="A358" s="1">
        <v>70</v>
      </c>
      <c r="B358" t="s">
        <v>29</v>
      </c>
      <c r="C358">
        <v>635</v>
      </c>
      <c r="D358">
        <v>1</v>
      </c>
      <c r="E358" t="s">
        <v>31</v>
      </c>
      <c r="F358" t="s">
        <v>32</v>
      </c>
      <c r="G358" t="str">
        <f>"2026-03-07 07:44:28.511"</f>
        <v>2026-03-07 07:44:28.511</v>
      </c>
      <c r="H358" t="s">
        <v>22</v>
      </c>
      <c r="I358">
        <v>3.88</v>
      </c>
      <c r="J358" t="s">
        <v>33</v>
      </c>
    </row>
    <row r="359" spans="1:10" x14ac:dyDescent="0.25">
      <c r="A359" s="1">
        <v>71</v>
      </c>
      <c r="B359" t="s">
        <v>19</v>
      </c>
      <c r="C359">
        <v>706</v>
      </c>
      <c r="D359">
        <v>4</v>
      </c>
      <c r="E359" t="s">
        <v>20</v>
      </c>
      <c r="F359" t="s">
        <v>21</v>
      </c>
      <c r="G359" t="str">
        <f>"2026-03-06 13:11:42.968"</f>
        <v>2026-03-06 13:11:42.968</v>
      </c>
      <c r="H359" t="s">
        <v>22</v>
      </c>
      <c r="I359">
        <v>0</v>
      </c>
      <c r="J359" t="s">
        <v>23</v>
      </c>
    </row>
    <row r="360" spans="1:10" s="3" customFormat="1" x14ac:dyDescent="0.25">
      <c r="A360" s="2">
        <v>72</v>
      </c>
      <c r="B360" s="3" t="s">
        <v>26</v>
      </c>
      <c r="C360" s="3">
        <v>647</v>
      </c>
      <c r="D360" s="3">
        <v>1</v>
      </c>
      <c r="E360" s="3" t="s">
        <v>27</v>
      </c>
      <c r="F360" s="3" t="s">
        <v>28</v>
      </c>
      <c r="G360" s="3" t="str">
        <f>"2026-03-04 19:22:32.765"</f>
        <v>2026-03-04 19:22:32.765</v>
      </c>
      <c r="H360" s="3" t="s">
        <v>22</v>
      </c>
    </row>
    <row r="361" spans="1:10" s="3" customFormat="1" x14ac:dyDescent="0.25">
      <c r="A361" s="2">
        <v>73</v>
      </c>
      <c r="B361" s="3" t="s">
        <v>29</v>
      </c>
      <c r="C361" s="3">
        <v>647</v>
      </c>
      <c r="D361" s="3">
        <v>1</v>
      </c>
      <c r="E361" s="3" t="s">
        <v>27</v>
      </c>
      <c r="F361" s="3" t="s">
        <v>28</v>
      </c>
      <c r="G361" s="3" t="str">
        <f>"2026-03-04 19:22:30.065"</f>
        <v>2026-03-04 19:22:30.065</v>
      </c>
      <c r="H361" s="3" t="s">
        <v>22</v>
      </c>
      <c r="I361" s="3">
        <v>12.37</v>
      </c>
      <c r="J361" s="3" t="s">
        <v>30</v>
      </c>
    </row>
    <row r="362" spans="1:10" x14ac:dyDescent="0.25">
      <c r="A362" s="1">
        <v>74</v>
      </c>
      <c r="B362" t="s">
        <v>19</v>
      </c>
      <c r="C362">
        <v>706</v>
      </c>
      <c r="D362">
        <v>2</v>
      </c>
      <c r="E362" t="s">
        <v>20</v>
      </c>
      <c r="F362" t="s">
        <v>25</v>
      </c>
      <c r="G362" t="str">
        <f>"2026-03-04 14:00:19.298"</f>
        <v>2026-03-04 14:00:19.298</v>
      </c>
      <c r="H362" t="s">
        <v>22</v>
      </c>
      <c r="I362">
        <v>0</v>
      </c>
      <c r="J362" t="s">
        <v>23</v>
      </c>
    </row>
    <row r="363" spans="1:10" x14ac:dyDescent="0.25">
      <c r="A363" s="1">
        <v>75</v>
      </c>
      <c r="B363" t="s">
        <v>19</v>
      </c>
      <c r="C363">
        <v>706</v>
      </c>
      <c r="D363">
        <v>2</v>
      </c>
      <c r="E363" t="s">
        <v>20</v>
      </c>
      <c r="F363" t="s">
        <v>25</v>
      </c>
      <c r="G363" t="str">
        <f>"2026-03-04 03:35:13.398"</f>
        <v>2026-03-04 03:35:13.398</v>
      </c>
      <c r="H363" t="s">
        <v>22</v>
      </c>
      <c r="I363">
        <v>0</v>
      </c>
      <c r="J363" t="s">
        <v>23</v>
      </c>
    </row>
    <row r="364" spans="1:10" x14ac:dyDescent="0.25">
      <c r="A364" s="1">
        <v>76</v>
      </c>
      <c r="B364" t="s">
        <v>19</v>
      </c>
      <c r="C364">
        <v>700</v>
      </c>
      <c r="D364">
        <v>0</v>
      </c>
      <c r="E364" t="s">
        <v>24</v>
      </c>
      <c r="F364" t="s">
        <v>24</v>
      </c>
      <c r="G364" t="str">
        <f>"2026-03-04 03:34:38.258"</f>
        <v>2026-03-04 03:34:38.258</v>
      </c>
      <c r="H364" t="s">
        <v>22</v>
      </c>
      <c r="I364">
        <v>0</v>
      </c>
      <c r="J364" t="s">
        <v>34</v>
      </c>
    </row>
    <row r="365" spans="1:10" x14ac:dyDescent="0.25">
      <c r="A365" s="1">
        <v>77</v>
      </c>
      <c r="B365" t="s">
        <v>26</v>
      </c>
      <c r="C365">
        <v>635</v>
      </c>
      <c r="D365">
        <v>1</v>
      </c>
      <c r="E365" t="s">
        <v>31</v>
      </c>
      <c r="F365" t="s">
        <v>32</v>
      </c>
      <c r="G365" t="str">
        <f>"2026-03-03 22:47:01.966"</f>
        <v>2026-03-03 22:47:01.966</v>
      </c>
      <c r="H365" t="s">
        <v>22</v>
      </c>
    </row>
    <row r="366" spans="1:10" x14ac:dyDescent="0.25">
      <c r="A366" s="1">
        <v>78</v>
      </c>
      <c r="B366" t="s">
        <v>29</v>
      </c>
      <c r="C366">
        <v>635</v>
      </c>
      <c r="D366">
        <v>1</v>
      </c>
      <c r="E366" t="s">
        <v>31</v>
      </c>
      <c r="F366" t="s">
        <v>32</v>
      </c>
      <c r="G366" t="str">
        <f>"2026-03-03 22:16:15.067"</f>
        <v>2026-03-03 22:16:15.067</v>
      </c>
      <c r="H366" t="s">
        <v>22</v>
      </c>
      <c r="I366">
        <v>7.86</v>
      </c>
      <c r="J366" t="s">
        <v>33</v>
      </c>
    </row>
    <row r="367" spans="1:10" x14ac:dyDescent="0.25">
      <c r="A367" s="1">
        <v>79</v>
      </c>
      <c r="B367" t="s">
        <v>19</v>
      </c>
      <c r="C367">
        <v>700</v>
      </c>
      <c r="D367">
        <v>0</v>
      </c>
      <c r="E367" t="s">
        <v>24</v>
      </c>
      <c r="F367" t="s">
        <v>24</v>
      </c>
      <c r="G367" t="str">
        <f>"2026-03-03 12:11:11.256"</f>
        <v>2026-03-03 12:11:11.256</v>
      </c>
      <c r="H367" t="s">
        <v>22</v>
      </c>
      <c r="I367">
        <v>0</v>
      </c>
      <c r="J367" t="s">
        <v>34</v>
      </c>
    </row>
    <row r="368" spans="1:10" x14ac:dyDescent="0.25">
      <c r="A368" s="1">
        <v>80</v>
      </c>
      <c r="B368" t="s">
        <v>19</v>
      </c>
      <c r="C368">
        <v>706</v>
      </c>
      <c r="D368">
        <v>2</v>
      </c>
      <c r="E368" t="s">
        <v>20</v>
      </c>
      <c r="F368" t="s">
        <v>25</v>
      </c>
      <c r="G368" t="str">
        <f>"2026-03-03 11:39:18.195"</f>
        <v>2026-03-03 11:39:18.195</v>
      </c>
      <c r="H368" t="s">
        <v>22</v>
      </c>
      <c r="I368">
        <v>0</v>
      </c>
      <c r="J368" t="s">
        <v>23</v>
      </c>
    </row>
    <row r="369" spans="1:10" x14ac:dyDescent="0.25">
      <c r="A369" s="1">
        <v>81</v>
      </c>
      <c r="B369" t="s">
        <v>19</v>
      </c>
      <c r="C369">
        <v>700</v>
      </c>
      <c r="D369">
        <v>0</v>
      </c>
      <c r="E369" t="s">
        <v>24</v>
      </c>
      <c r="F369" t="s">
        <v>24</v>
      </c>
      <c r="G369" t="str">
        <f>"2026-03-03 11:38:51.255"</f>
        <v>2026-03-03 11:38:51.255</v>
      </c>
      <c r="H369" t="s">
        <v>22</v>
      </c>
    </row>
    <row r="370" spans="1:10" x14ac:dyDescent="0.25">
      <c r="A370" s="1">
        <v>82</v>
      </c>
      <c r="B370" t="s">
        <v>19</v>
      </c>
      <c r="C370">
        <v>700</v>
      </c>
      <c r="D370">
        <v>0</v>
      </c>
      <c r="E370" t="s">
        <v>24</v>
      </c>
      <c r="F370" t="s">
        <v>24</v>
      </c>
      <c r="G370" t="str">
        <f>"2026-03-03 10:39:38.306"</f>
        <v>2026-03-03 10:39:38.306</v>
      </c>
      <c r="H370" t="s">
        <v>22</v>
      </c>
      <c r="I370">
        <v>0</v>
      </c>
      <c r="J370" t="s">
        <v>34</v>
      </c>
    </row>
    <row r="371" spans="1:10" x14ac:dyDescent="0.25">
      <c r="A371" s="1">
        <v>83</v>
      </c>
      <c r="B371" t="s">
        <v>19</v>
      </c>
      <c r="C371">
        <v>706</v>
      </c>
      <c r="D371">
        <v>4</v>
      </c>
      <c r="E371" t="s">
        <v>20</v>
      </c>
      <c r="F371" t="s">
        <v>21</v>
      </c>
      <c r="G371" t="str">
        <f>"2026-03-03 09:46:45.152"</f>
        <v>2026-03-03 09:46:45.152</v>
      </c>
      <c r="H371" t="s">
        <v>22</v>
      </c>
      <c r="I371">
        <v>0</v>
      </c>
      <c r="J371" t="s">
        <v>23</v>
      </c>
    </row>
    <row r="372" spans="1:10" x14ac:dyDescent="0.25">
      <c r="A372" s="1">
        <v>84</v>
      </c>
      <c r="B372" t="s">
        <v>19</v>
      </c>
      <c r="C372">
        <v>700</v>
      </c>
      <c r="D372">
        <v>0</v>
      </c>
      <c r="E372" t="s">
        <v>24</v>
      </c>
      <c r="F372" t="s">
        <v>24</v>
      </c>
      <c r="G372" t="str">
        <f>"2026-03-03 09:46:25.412"</f>
        <v>2026-03-03 09:46:25.412</v>
      </c>
      <c r="H372" t="s">
        <v>22</v>
      </c>
    </row>
    <row r="373" spans="1:10" x14ac:dyDescent="0.25">
      <c r="A373" s="1">
        <v>85</v>
      </c>
      <c r="B373" t="s">
        <v>19</v>
      </c>
      <c r="C373">
        <v>706</v>
      </c>
      <c r="D373">
        <v>2</v>
      </c>
      <c r="E373" t="s">
        <v>20</v>
      </c>
      <c r="F373" t="s">
        <v>25</v>
      </c>
      <c r="G373" t="str">
        <f>"2026-03-02 11:26:09.792"</f>
        <v>2026-03-02 11:26:09.792</v>
      </c>
      <c r="H373" t="s">
        <v>22</v>
      </c>
      <c r="I373">
        <v>0</v>
      </c>
      <c r="J373" t="s">
        <v>23</v>
      </c>
    </row>
    <row r="374" spans="1:10" x14ac:dyDescent="0.25">
      <c r="A374" s="1">
        <v>86</v>
      </c>
      <c r="B374" t="s">
        <v>19</v>
      </c>
      <c r="C374">
        <v>700</v>
      </c>
      <c r="D374">
        <v>0</v>
      </c>
      <c r="E374" t="s">
        <v>24</v>
      </c>
      <c r="F374" t="s">
        <v>24</v>
      </c>
      <c r="G374" t="str">
        <f>"2026-03-01 11:40:29.252"</f>
        <v>2026-03-01 11:40:29.252</v>
      </c>
      <c r="H374" t="s">
        <v>22</v>
      </c>
      <c r="I374">
        <v>0</v>
      </c>
      <c r="J374" t="s">
        <v>34</v>
      </c>
    </row>
    <row r="375" spans="1:10" x14ac:dyDescent="0.25">
      <c r="A375" s="1">
        <v>87</v>
      </c>
      <c r="B375" t="s">
        <v>19</v>
      </c>
      <c r="C375">
        <v>706</v>
      </c>
      <c r="D375">
        <v>4</v>
      </c>
      <c r="E375" t="s">
        <v>20</v>
      </c>
      <c r="F375" t="s">
        <v>21</v>
      </c>
      <c r="G375" t="str">
        <f>"2026-03-01 10:57:17.145"</f>
        <v>2026-03-01 10:57:17.145</v>
      </c>
      <c r="H375" t="s">
        <v>22</v>
      </c>
      <c r="I375">
        <v>0</v>
      </c>
      <c r="J375" t="s">
        <v>23</v>
      </c>
    </row>
    <row r="376" spans="1:10" x14ac:dyDescent="0.25">
      <c r="A376" s="1">
        <v>88</v>
      </c>
      <c r="B376" t="s">
        <v>19</v>
      </c>
      <c r="C376">
        <v>706</v>
      </c>
      <c r="D376">
        <v>2</v>
      </c>
      <c r="E376" t="s">
        <v>20</v>
      </c>
      <c r="F376" t="s">
        <v>25</v>
      </c>
      <c r="G376" t="str">
        <f>"2026-03-01 10:57:00.855"</f>
        <v>2026-03-01 10:57:00.855</v>
      </c>
      <c r="H376" t="s">
        <v>22</v>
      </c>
      <c r="I376">
        <v>0</v>
      </c>
      <c r="J376" t="s">
        <v>23</v>
      </c>
    </row>
    <row r="377" spans="1:10" x14ac:dyDescent="0.25">
      <c r="A377" s="1">
        <v>89</v>
      </c>
      <c r="B377" t="s">
        <v>19</v>
      </c>
      <c r="C377">
        <v>700</v>
      </c>
      <c r="D377">
        <v>0</v>
      </c>
      <c r="E377" t="s">
        <v>24</v>
      </c>
      <c r="F377" t="s">
        <v>24</v>
      </c>
      <c r="G377" t="str">
        <f>"2026-03-01 10:48:58.265"</f>
        <v>2026-03-01 10:48:58.265</v>
      </c>
      <c r="H377" t="s">
        <v>22</v>
      </c>
    </row>
    <row r="378" spans="1:10" x14ac:dyDescent="0.25">
      <c r="A378" s="1">
        <v>90</v>
      </c>
      <c r="B378" t="s">
        <v>19</v>
      </c>
      <c r="C378">
        <v>700</v>
      </c>
      <c r="D378">
        <v>0</v>
      </c>
      <c r="E378" t="s">
        <v>24</v>
      </c>
      <c r="F378" t="s">
        <v>24</v>
      </c>
      <c r="G378" t="str">
        <f>"2026-03-01 09:34:37.498"</f>
        <v>2026-03-01 09:34:37.498</v>
      </c>
      <c r="H378" t="s">
        <v>22</v>
      </c>
      <c r="I378">
        <v>0</v>
      </c>
      <c r="J378" t="s">
        <v>34</v>
      </c>
    </row>
    <row r="379" spans="1:10" s="3" customFormat="1" x14ac:dyDescent="0.25">
      <c r="A379" s="2">
        <v>91</v>
      </c>
      <c r="B379" s="3" t="s">
        <v>26</v>
      </c>
      <c r="C379" s="3">
        <v>647</v>
      </c>
      <c r="D379" s="3">
        <v>1</v>
      </c>
      <c r="E379" s="3" t="s">
        <v>27</v>
      </c>
      <c r="F379" s="3" t="s">
        <v>28</v>
      </c>
      <c r="G379" s="3" t="str">
        <f>"2026-02-28 23:48:07.963"</f>
        <v>2026-02-28 23:48:07.963</v>
      </c>
      <c r="H379" s="3" t="s">
        <v>22</v>
      </c>
    </row>
    <row r="380" spans="1:10" s="3" customFormat="1" x14ac:dyDescent="0.25">
      <c r="A380" s="2">
        <v>92</v>
      </c>
      <c r="B380" s="3" t="s">
        <v>29</v>
      </c>
      <c r="C380" s="3">
        <v>647</v>
      </c>
      <c r="D380" s="3">
        <v>1</v>
      </c>
      <c r="E380" s="3" t="s">
        <v>27</v>
      </c>
      <c r="F380" s="3" t="s">
        <v>28</v>
      </c>
      <c r="G380" s="3" t="str">
        <f>"2026-02-28 23:48:06.263"</f>
        <v>2026-02-28 23:48:06.263</v>
      </c>
      <c r="H380" s="3" t="s">
        <v>22</v>
      </c>
      <c r="I380" s="3">
        <v>21.2</v>
      </c>
      <c r="J380" s="3" t="s">
        <v>30</v>
      </c>
    </row>
    <row r="381" spans="1:10" x14ac:dyDescent="0.25">
      <c r="A381" s="1">
        <v>93</v>
      </c>
      <c r="B381" t="s">
        <v>19</v>
      </c>
      <c r="C381">
        <v>706</v>
      </c>
      <c r="D381">
        <v>4</v>
      </c>
      <c r="E381" t="s">
        <v>20</v>
      </c>
      <c r="F381" t="s">
        <v>21</v>
      </c>
      <c r="G381" t="str">
        <f>"2026-02-28 13:56:35.388"</f>
        <v>2026-02-28 13:56:35.388</v>
      </c>
      <c r="H381" t="s">
        <v>22</v>
      </c>
      <c r="I381">
        <v>0</v>
      </c>
      <c r="J381" t="s">
        <v>23</v>
      </c>
    </row>
    <row r="382" spans="1:10" x14ac:dyDescent="0.25">
      <c r="A382" s="1">
        <v>94</v>
      </c>
      <c r="B382" t="s">
        <v>19</v>
      </c>
      <c r="C382">
        <v>700</v>
      </c>
      <c r="D382">
        <v>0</v>
      </c>
      <c r="E382" t="s">
        <v>24</v>
      </c>
      <c r="F382" t="s">
        <v>24</v>
      </c>
      <c r="G382" t="str">
        <f>"2026-02-28 13:41:57.248"</f>
        <v>2026-02-28 13:41:57.248</v>
      </c>
      <c r="H382" t="s">
        <v>22</v>
      </c>
    </row>
    <row r="383" spans="1:10" x14ac:dyDescent="0.25">
      <c r="A383" s="1">
        <v>95</v>
      </c>
      <c r="B383" t="s">
        <v>19</v>
      </c>
      <c r="C383">
        <v>706</v>
      </c>
      <c r="D383">
        <v>3</v>
      </c>
      <c r="E383" t="s">
        <v>20</v>
      </c>
      <c r="F383" t="s">
        <v>49</v>
      </c>
      <c r="G383" t="str">
        <f>"2026-02-28 07:12:59.546"</f>
        <v>2026-02-28 07:12:59.546</v>
      </c>
      <c r="H383" t="s">
        <v>22</v>
      </c>
      <c r="I383">
        <v>0</v>
      </c>
      <c r="J383" t="s">
        <v>23</v>
      </c>
    </row>
    <row r="384" spans="1:10" s="3" customFormat="1" x14ac:dyDescent="0.25">
      <c r="A384" s="2">
        <v>96</v>
      </c>
      <c r="B384" s="3" t="s">
        <v>26</v>
      </c>
      <c r="C384" s="3">
        <v>647</v>
      </c>
      <c r="D384" s="3">
        <v>1</v>
      </c>
      <c r="E384" s="3" t="s">
        <v>27</v>
      </c>
      <c r="F384" s="3" t="s">
        <v>28</v>
      </c>
      <c r="G384" s="3" t="str">
        <f>"2026-02-28 05:30:30.560"</f>
        <v>2026-02-28 05:30:30.560</v>
      </c>
      <c r="H384" s="3" t="s">
        <v>22</v>
      </c>
    </row>
    <row r="385" spans="1:10" s="3" customFormat="1" x14ac:dyDescent="0.25">
      <c r="A385" s="2">
        <v>97</v>
      </c>
      <c r="B385" s="3" t="s">
        <v>29</v>
      </c>
      <c r="C385" s="3">
        <v>647</v>
      </c>
      <c r="D385" s="3">
        <v>1</v>
      </c>
      <c r="E385" s="3" t="s">
        <v>27</v>
      </c>
      <c r="F385" s="3" t="s">
        <v>28</v>
      </c>
      <c r="G385" s="3" t="str">
        <f>"2026-02-28 05:30:21.660"</f>
        <v>2026-02-28 05:30:21.660</v>
      </c>
      <c r="H385" s="3" t="s">
        <v>22</v>
      </c>
      <c r="I385" s="3">
        <v>11.09</v>
      </c>
      <c r="J385" s="3" t="s">
        <v>30</v>
      </c>
    </row>
    <row r="386" spans="1:10" x14ac:dyDescent="0.25">
      <c r="A386" s="1">
        <v>98</v>
      </c>
      <c r="B386" t="s">
        <v>19</v>
      </c>
      <c r="C386">
        <v>706</v>
      </c>
      <c r="D386">
        <v>4</v>
      </c>
      <c r="E386" t="s">
        <v>20</v>
      </c>
      <c r="F386" t="s">
        <v>21</v>
      </c>
      <c r="G386" t="str">
        <f>"2026-02-27 14:10:42.516"</f>
        <v>2026-02-27 14:10:42.516</v>
      </c>
      <c r="H386" t="s">
        <v>22</v>
      </c>
      <c r="I386">
        <v>0</v>
      </c>
      <c r="J386" t="s">
        <v>23</v>
      </c>
    </row>
    <row r="387" spans="1:10" x14ac:dyDescent="0.25">
      <c r="A387" s="1">
        <v>99</v>
      </c>
      <c r="B387" t="s">
        <v>19</v>
      </c>
      <c r="C387">
        <v>706</v>
      </c>
      <c r="D387">
        <v>2</v>
      </c>
      <c r="E387" t="s">
        <v>20</v>
      </c>
      <c r="F387" t="s">
        <v>25</v>
      </c>
      <c r="G387" t="str">
        <f>"2026-02-27 13:41:18.226"</f>
        <v>2026-02-27 13:41:18.226</v>
      </c>
      <c r="H387" t="s">
        <v>22</v>
      </c>
      <c r="I387">
        <v>0</v>
      </c>
      <c r="J387" t="s">
        <v>23</v>
      </c>
    </row>
    <row r="388" spans="1:10" x14ac:dyDescent="0.25">
      <c r="A388" s="1">
        <v>0</v>
      </c>
      <c r="B388" t="s">
        <v>26</v>
      </c>
      <c r="C388">
        <v>635</v>
      </c>
      <c r="D388">
        <v>1</v>
      </c>
      <c r="E388" t="s">
        <v>31</v>
      </c>
      <c r="F388" t="s">
        <v>32</v>
      </c>
      <c r="G388" t="str">
        <f>"2026-02-26 22:29:11.660"</f>
        <v>2026-02-26 22:29:11.660</v>
      </c>
      <c r="H388" t="s">
        <v>22</v>
      </c>
    </row>
    <row r="389" spans="1:10" x14ac:dyDescent="0.25">
      <c r="A389" s="1">
        <v>1</v>
      </c>
      <c r="B389" t="s">
        <v>29</v>
      </c>
      <c r="C389">
        <v>635</v>
      </c>
      <c r="D389">
        <v>1</v>
      </c>
      <c r="E389" t="s">
        <v>31</v>
      </c>
      <c r="F389" t="s">
        <v>32</v>
      </c>
      <c r="G389" t="str">
        <f>"2026-02-26 22:06:14.160"</f>
        <v>2026-02-26 22:06:14.160</v>
      </c>
      <c r="H389" t="s">
        <v>22</v>
      </c>
      <c r="I389">
        <v>6.54</v>
      </c>
      <c r="J389" t="s">
        <v>33</v>
      </c>
    </row>
    <row r="390" spans="1:10" x14ac:dyDescent="0.25">
      <c r="A390" s="1">
        <v>2</v>
      </c>
      <c r="B390" t="s">
        <v>19</v>
      </c>
      <c r="C390">
        <v>706</v>
      </c>
      <c r="D390">
        <v>4</v>
      </c>
      <c r="E390" t="s">
        <v>20</v>
      </c>
      <c r="F390" t="s">
        <v>21</v>
      </c>
      <c r="G390" t="str">
        <f>"2026-02-26 13:06:18.716"</f>
        <v>2026-02-26 13:06:18.716</v>
      </c>
      <c r="H390" t="s">
        <v>22</v>
      </c>
      <c r="I390">
        <v>0</v>
      </c>
      <c r="J390" t="s">
        <v>23</v>
      </c>
    </row>
    <row r="391" spans="1:10" x14ac:dyDescent="0.25">
      <c r="A391" s="1">
        <v>3</v>
      </c>
      <c r="B391" t="s">
        <v>19</v>
      </c>
      <c r="C391">
        <v>706</v>
      </c>
      <c r="D391">
        <v>3</v>
      </c>
      <c r="E391" t="s">
        <v>20</v>
      </c>
      <c r="F391" t="s">
        <v>49</v>
      </c>
      <c r="G391" t="str">
        <f>"2026-02-26 13:06:06.106"</f>
        <v>2026-02-26 13:06:06.106</v>
      </c>
      <c r="H391" t="s">
        <v>22</v>
      </c>
      <c r="I391">
        <v>0</v>
      </c>
      <c r="J391" t="s">
        <v>23</v>
      </c>
    </row>
    <row r="392" spans="1:10" x14ac:dyDescent="0.25">
      <c r="A392" s="1">
        <v>4</v>
      </c>
      <c r="B392" t="s">
        <v>19</v>
      </c>
      <c r="C392">
        <v>706</v>
      </c>
      <c r="D392">
        <v>4</v>
      </c>
      <c r="E392" t="s">
        <v>20</v>
      </c>
      <c r="F392" t="s">
        <v>21</v>
      </c>
      <c r="G392" t="str">
        <f>"2026-02-26 12:53:49.136"</f>
        <v>2026-02-26 12:53:49.136</v>
      </c>
      <c r="H392" t="s">
        <v>22</v>
      </c>
      <c r="I392">
        <v>0</v>
      </c>
      <c r="J392" t="s">
        <v>23</v>
      </c>
    </row>
    <row r="393" spans="1:10" x14ac:dyDescent="0.25">
      <c r="A393" s="1">
        <v>5</v>
      </c>
      <c r="B393" t="s">
        <v>19</v>
      </c>
      <c r="C393">
        <v>700</v>
      </c>
      <c r="D393">
        <v>0</v>
      </c>
      <c r="E393" t="s">
        <v>24</v>
      </c>
      <c r="F393" t="s">
        <v>24</v>
      </c>
      <c r="G393" t="str">
        <f>"2026-02-26 07:41:05.256"</f>
        <v>2026-02-26 07:41:05.256</v>
      </c>
      <c r="H393" t="s">
        <v>22</v>
      </c>
    </row>
    <row r="394" spans="1:10" x14ac:dyDescent="0.25">
      <c r="A394" s="1">
        <v>6</v>
      </c>
      <c r="B394" t="s">
        <v>19</v>
      </c>
      <c r="C394">
        <v>700</v>
      </c>
      <c r="D394">
        <v>0</v>
      </c>
      <c r="E394" t="s">
        <v>24</v>
      </c>
      <c r="F394" t="s">
        <v>24</v>
      </c>
      <c r="G394" t="str">
        <f>"2026-02-25 21:31:41.233"</f>
        <v>2026-02-25 21:31:41.233</v>
      </c>
      <c r="H394" t="s">
        <v>22</v>
      </c>
      <c r="I394">
        <v>0</v>
      </c>
      <c r="J394" t="s">
        <v>34</v>
      </c>
    </row>
    <row r="395" spans="1:10" x14ac:dyDescent="0.25">
      <c r="A395" s="1">
        <v>7</v>
      </c>
      <c r="B395" t="s">
        <v>19</v>
      </c>
      <c r="C395">
        <v>700</v>
      </c>
      <c r="D395">
        <v>0</v>
      </c>
      <c r="E395" t="s">
        <v>24</v>
      </c>
      <c r="F395" t="s">
        <v>24</v>
      </c>
      <c r="G395" t="str">
        <f>"2026-02-25 19:37:54.240"</f>
        <v>2026-02-25 19:37:54.240</v>
      </c>
      <c r="H395" t="s">
        <v>22</v>
      </c>
    </row>
    <row r="396" spans="1:10" x14ac:dyDescent="0.25">
      <c r="A396" s="1">
        <v>8</v>
      </c>
      <c r="B396" t="s">
        <v>19</v>
      </c>
      <c r="C396">
        <v>700</v>
      </c>
      <c r="D396">
        <v>0</v>
      </c>
      <c r="E396" t="s">
        <v>24</v>
      </c>
      <c r="F396" t="s">
        <v>24</v>
      </c>
      <c r="G396" t="str">
        <f>"2026-02-25 19:35:52.240"</f>
        <v>2026-02-25 19:35:52.240</v>
      </c>
      <c r="H396" t="s">
        <v>22</v>
      </c>
      <c r="I396">
        <v>0</v>
      </c>
      <c r="J396" t="s">
        <v>34</v>
      </c>
    </row>
    <row r="397" spans="1:10" x14ac:dyDescent="0.25">
      <c r="A397" s="1">
        <v>9</v>
      </c>
      <c r="B397" t="s">
        <v>19</v>
      </c>
      <c r="C397">
        <v>700</v>
      </c>
      <c r="D397">
        <v>0</v>
      </c>
      <c r="E397" t="s">
        <v>24</v>
      </c>
      <c r="F397" t="s">
        <v>24</v>
      </c>
      <c r="G397" t="str">
        <f>"2026-02-25 19:20:49.247"</f>
        <v>2026-02-25 19:20:49.247</v>
      </c>
      <c r="H397" t="s">
        <v>22</v>
      </c>
    </row>
    <row r="398" spans="1:10" x14ac:dyDescent="0.25">
      <c r="A398" s="1">
        <v>10</v>
      </c>
      <c r="B398" t="s">
        <v>19</v>
      </c>
      <c r="C398">
        <v>700</v>
      </c>
      <c r="D398">
        <v>0</v>
      </c>
      <c r="E398" t="s">
        <v>24</v>
      </c>
      <c r="F398" t="s">
        <v>24</v>
      </c>
      <c r="G398" t="str">
        <f>"2026-02-25 17:21:14.326"</f>
        <v>2026-02-25 17:21:14.326</v>
      </c>
      <c r="H398" t="s">
        <v>22</v>
      </c>
    </row>
    <row r="399" spans="1:10" x14ac:dyDescent="0.25">
      <c r="A399" s="1">
        <v>11</v>
      </c>
      <c r="B399" t="s">
        <v>19</v>
      </c>
      <c r="C399">
        <v>700</v>
      </c>
      <c r="D399">
        <v>0</v>
      </c>
      <c r="E399" t="s">
        <v>24</v>
      </c>
      <c r="F399" t="s">
        <v>24</v>
      </c>
      <c r="G399" t="str">
        <f>"2026-02-25 17:12:58.242"</f>
        <v>2026-02-25 17:12:58.242</v>
      </c>
      <c r="H399" t="s">
        <v>22</v>
      </c>
      <c r="I399">
        <v>0</v>
      </c>
      <c r="J399" t="s">
        <v>34</v>
      </c>
    </row>
    <row r="400" spans="1:10" x14ac:dyDescent="0.25">
      <c r="A400" s="1">
        <v>12</v>
      </c>
      <c r="B400" t="s">
        <v>19</v>
      </c>
      <c r="C400">
        <v>700</v>
      </c>
      <c r="D400">
        <v>0</v>
      </c>
      <c r="E400" t="s">
        <v>24</v>
      </c>
      <c r="F400" t="s">
        <v>24</v>
      </c>
      <c r="G400" t="str">
        <f>"2026-02-25 17:01:55.237"</f>
        <v>2026-02-25 17:01:55.237</v>
      </c>
      <c r="H400" t="s">
        <v>22</v>
      </c>
    </row>
    <row r="401" spans="1:10" x14ac:dyDescent="0.25">
      <c r="A401" s="1">
        <v>13</v>
      </c>
      <c r="B401" t="s">
        <v>19</v>
      </c>
      <c r="C401">
        <v>700</v>
      </c>
      <c r="D401">
        <v>0</v>
      </c>
      <c r="E401" t="s">
        <v>24</v>
      </c>
      <c r="F401" t="s">
        <v>24</v>
      </c>
      <c r="G401" t="str">
        <f>"2026-02-25 16:53:17.281"</f>
        <v>2026-02-25 16:53:17.281</v>
      </c>
      <c r="H401" t="s">
        <v>22</v>
      </c>
    </row>
    <row r="402" spans="1:10" x14ac:dyDescent="0.25">
      <c r="A402" s="1">
        <v>14</v>
      </c>
      <c r="B402" t="s">
        <v>19</v>
      </c>
      <c r="C402">
        <v>700</v>
      </c>
      <c r="D402">
        <v>0</v>
      </c>
      <c r="E402" t="s">
        <v>24</v>
      </c>
      <c r="F402" t="s">
        <v>24</v>
      </c>
      <c r="G402" t="str">
        <f>"2026-02-25 16:46:24.261"</f>
        <v>2026-02-25 16:46:24.261</v>
      </c>
      <c r="H402" t="s">
        <v>22</v>
      </c>
      <c r="I402">
        <v>0</v>
      </c>
      <c r="J402" t="s">
        <v>34</v>
      </c>
    </row>
    <row r="403" spans="1:10" x14ac:dyDescent="0.25">
      <c r="A403" s="1">
        <v>15</v>
      </c>
      <c r="B403" t="s">
        <v>19</v>
      </c>
      <c r="C403">
        <v>706</v>
      </c>
      <c r="D403">
        <v>2</v>
      </c>
      <c r="E403" t="s">
        <v>20</v>
      </c>
      <c r="F403" t="s">
        <v>25</v>
      </c>
      <c r="G403" t="str">
        <f>"2026-02-25 13:25:01.240"</f>
        <v>2026-02-25 13:25:01.240</v>
      </c>
      <c r="H403" t="s">
        <v>22</v>
      </c>
      <c r="I403">
        <v>0</v>
      </c>
      <c r="J403" t="s">
        <v>23</v>
      </c>
    </row>
    <row r="404" spans="1:10" s="3" customFormat="1" x14ac:dyDescent="0.25">
      <c r="A404" s="2">
        <v>16</v>
      </c>
      <c r="B404" s="3" t="s">
        <v>26</v>
      </c>
      <c r="C404" s="3">
        <v>647</v>
      </c>
      <c r="D404" s="3">
        <v>1</v>
      </c>
      <c r="E404" s="3" t="s">
        <v>27</v>
      </c>
      <c r="F404" s="3" t="s">
        <v>28</v>
      </c>
      <c r="G404" s="3" t="str">
        <f>"2026-02-24 20:49:54.088"</f>
        <v>2026-02-24 20:49:54.088</v>
      </c>
      <c r="H404" s="3" t="s">
        <v>22</v>
      </c>
    </row>
    <row r="405" spans="1:10" s="3" customFormat="1" x14ac:dyDescent="0.25">
      <c r="A405" s="2">
        <v>17</v>
      </c>
      <c r="B405" s="3" t="s">
        <v>29</v>
      </c>
      <c r="C405" s="3">
        <v>647</v>
      </c>
      <c r="D405" s="3">
        <v>1</v>
      </c>
      <c r="E405" s="3" t="s">
        <v>27</v>
      </c>
      <c r="F405" s="3" t="s">
        <v>28</v>
      </c>
      <c r="G405" s="3" t="str">
        <f>"2026-02-24 20:49:50.688"</f>
        <v>2026-02-24 20:49:50.688</v>
      </c>
      <c r="H405" s="3" t="s">
        <v>22</v>
      </c>
      <c r="I405" s="3">
        <v>8.08</v>
      </c>
      <c r="J405" s="3" t="s">
        <v>30</v>
      </c>
    </row>
    <row r="406" spans="1:10" x14ac:dyDescent="0.25">
      <c r="A406" s="1">
        <v>18</v>
      </c>
      <c r="B406" t="s">
        <v>19</v>
      </c>
      <c r="C406">
        <v>706</v>
      </c>
      <c r="D406">
        <v>4</v>
      </c>
      <c r="E406" t="s">
        <v>20</v>
      </c>
      <c r="F406" t="s">
        <v>21</v>
      </c>
      <c r="G406" t="str">
        <f>"2026-02-24 12:19:23.440"</f>
        <v>2026-02-24 12:19:23.440</v>
      </c>
      <c r="H406" t="s">
        <v>22</v>
      </c>
      <c r="I406">
        <v>0</v>
      </c>
      <c r="J406" t="s">
        <v>23</v>
      </c>
    </row>
    <row r="407" spans="1:10" s="3" customFormat="1" x14ac:dyDescent="0.25">
      <c r="A407" s="2">
        <v>19</v>
      </c>
      <c r="B407" s="3" t="s">
        <v>26</v>
      </c>
      <c r="C407" s="3">
        <v>647</v>
      </c>
      <c r="D407" s="3">
        <v>1</v>
      </c>
      <c r="E407" s="3" t="s">
        <v>27</v>
      </c>
      <c r="F407" s="3" t="s">
        <v>28</v>
      </c>
      <c r="G407" s="3" t="str">
        <f>"2026-02-23 20:21:16.788"</f>
        <v>2026-02-23 20:21:16.788</v>
      </c>
      <c r="H407" s="3" t="s">
        <v>22</v>
      </c>
    </row>
    <row r="408" spans="1:10" s="3" customFormat="1" x14ac:dyDescent="0.25">
      <c r="A408" s="2">
        <v>20</v>
      </c>
      <c r="B408" s="3" t="s">
        <v>29</v>
      </c>
      <c r="C408" s="3">
        <v>647</v>
      </c>
      <c r="D408" s="3">
        <v>1</v>
      </c>
      <c r="E408" s="3" t="s">
        <v>27</v>
      </c>
      <c r="F408" s="3" t="s">
        <v>28</v>
      </c>
      <c r="G408" s="3" t="str">
        <f>"2026-02-23 20:21:11.289"</f>
        <v>2026-02-23 20:21:11.289</v>
      </c>
      <c r="H408" s="3" t="s">
        <v>22</v>
      </c>
      <c r="I408" s="3">
        <v>20.81</v>
      </c>
      <c r="J408" s="3" t="s">
        <v>30</v>
      </c>
    </row>
    <row r="409" spans="1:10" x14ac:dyDescent="0.25">
      <c r="A409" s="1">
        <v>21</v>
      </c>
      <c r="B409" t="s">
        <v>19</v>
      </c>
      <c r="C409">
        <v>706</v>
      </c>
      <c r="D409">
        <v>2</v>
      </c>
      <c r="E409" t="s">
        <v>20</v>
      </c>
      <c r="F409" t="s">
        <v>25</v>
      </c>
      <c r="G409" t="str">
        <f>"2026-02-23 16:54:24.840"</f>
        <v>2026-02-23 16:54:24.840</v>
      </c>
      <c r="H409" t="s">
        <v>22</v>
      </c>
      <c r="I409">
        <v>0</v>
      </c>
      <c r="J409" t="s">
        <v>23</v>
      </c>
    </row>
    <row r="410" spans="1:10" x14ac:dyDescent="0.25">
      <c r="A410" s="1">
        <v>22</v>
      </c>
      <c r="B410" t="s">
        <v>19</v>
      </c>
      <c r="C410">
        <v>706</v>
      </c>
      <c r="D410">
        <v>4</v>
      </c>
      <c r="E410" t="s">
        <v>20</v>
      </c>
      <c r="F410" t="s">
        <v>21</v>
      </c>
      <c r="G410" t="str">
        <f>"2026-02-23 15:19:35.570"</f>
        <v>2026-02-23 15:19:35.570</v>
      </c>
      <c r="H410" t="s">
        <v>22</v>
      </c>
      <c r="I410">
        <v>0</v>
      </c>
      <c r="J410" t="s">
        <v>23</v>
      </c>
    </row>
    <row r="411" spans="1:10" x14ac:dyDescent="0.25">
      <c r="A411" s="1">
        <v>23</v>
      </c>
      <c r="B411" t="s">
        <v>19</v>
      </c>
      <c r="C411">
        <v>706</v>
      </c>
      <c r="D411">
        <v>4</v>
      </c>
      <c r="E411" t="s">
        <v>20</v>
      </c>
      <c r="F411" t="s">
        <v>21</v>
      </c>
      <c r="G411" t="str">
        <f>"2026-02-22 13:56:43.720"</f>
        <v>2026-02-22 13:56:43.720</v>
      </c>
      <c r="H411" t="s">
        <v>22</v>
      </c>
      <c r="I411">
        <v>0</v>
      </c>
      <c r="J411" t="s">
        <v>23</v>
      </c>
    </row>
    <row r="412" spans="1:10" x14ac:dyDescent="0.25">
      <c r="A412" s="1">
        <v>24</v>
      </c>
      <c r="B412" t="s">
        <v>35</v>
      </c>
      <c r="C412">
        <v>137</v>
      </c>
      <c r="D412">
        <v>4</v>
      </c>
      <c r="E412" t="s">
        <v>65</v>
      </c>
      <c r="F412" t="s">
        <v>66</v>
      </c>
      <c r="G412" t="str">
        <f>"2026-02-22 08:40:58.172"</f>
        <v>2026-02-22 08:40:58.172</v>
      </c>
      <c r="H412" t="s">
        <v>48</v>
      </c>
    </row>
    <row r="413" spans="1:10" x14ac:dyDescent="0.25">
      <c r="A413" s="1">
        <v>25</v>
      </c>
      <c r="B413" t="s">
        <v>39</v>
      </c>
      <c r="C413">
        <v>137</v>
      </c>
      <c r="D413">
        <v>4</v>
      </c>
      <c r="E413" t="s">
        <v>65</v>
      </c>
      <c r="F413" t="s">
        <v>66</v>
      </c>
      <c r="G413" t="str">
        <f>"2026-02-22 08:40:53.134"</f>
        <v>2026-02-22 08:40:53.134</v>
      </c>
      <c r="H413" t="s">
        <v>48</v>
      </c>
      <c r="I413">
        <v>17.82</v>
      </c>
      <c r="J413" t="s">
        <v>33</v>
      </c>
    </row>
    <row r="414" spans="1:10" x14ac:dyDescent="0.25">
      <c r="A414" s="1">
        <v>26</v>
      </c>
      <c r="B414" t="s">
        <v>19</v>
      </c>
      <c r="C414">
        <v>700</v>
      </c>
      <c r="D414">
        <v>0</v>
      </c>
      <c r="E414" t="s">
        <v>24</v>
      </c>
      <c r="F414" t="s">
        <v>24</v>
      </c>
      <c r="G414" t="str">
        <f>"2026-02-21 12:59:27.280"</f>
        <v>2026-02-21 12:59:27.280</v>
      </c>
      <c r="H414" t="s">
        <v>22</v>
      </c>
      <c r="I414">
        <v>0</v>
      </c>
      <c r="J414" t="s">
        <v>34</v>
      </c>
    </row>
    <row r="415" spans="1:10" x14ac:dyDescent="0.25">
      <c r="A415" s="1">
        <v>27</v>
      </c>
      <c r="B415" t="s">
        <v>35</v>
      </c>
      <c r="C415">
        <v>137</v>
      </c>
      <c r="D415">
        <v>4</v>
      </c>
      <c r="E415" t="s">
        <v>65</v>
      </c>
      <c r="F415" t="s">
        <v>66</v>
      </c>
      <c r="G415" t="str">
        <f>"2026-02-21 07:26:14.439"</f>
        <v>2026-02-21 07:26:14.439</v>
      </c>
      <c r="H415" t="s">
        <v>48</v>
      </c>
    </row>
    <row r="416" spans="1:10" x14ac:dyDescent="0.25">
      <c r="A416" s="1">
        <v>28</v>
      </c>
      <c r="B416" t="s">
        <v>39</v>
      </c>
      <c r="C416">
        <v>137</v>
      </c>
      <c r="D416">
        <v>4</v>
      </c>
      <c r="E416" t="s">
        <v>65</v>
      </c>
      <c r="F416" t="s">
        <v>66</v>
      </c>
      <c r="G416" t="str">
        <f>"2026-02-21 07:26:09.383"</f>
        <v>2026-02-21 07:26:09.383</v>
      </c>
      <c r="H416" t="s">
        <v>48</v>
      </c>
      <c r="I416">
        <v>5.42</v>
      </c>
      <c r="J416" t="s">
        <v>33</v>
      </c>
    </row>
    <row r="417" spans="1:10" x14ac:dyDescent="0.25">
      <c r="A417" s="1">
        <v>29</v>
      </c>
      <c r="B417" t="s">
        <v>35</v>
      </c>
      <c r="C417">
        <v>137</v>
      </c>
      <c r="D417">
        <v>4</v>
      </c>
      <c r="E417" t="s">
        <v>65</v>
      </c>
      <c r="F417" t="s">
        <v>66</v>
      </c>
      <c r="G417" t="str">
        <f>"2026-02-21 00:18:21.540"</f>
        <v>2026-02-21 00:18:21.540</v>
      </c>
      <c r="H417" t="s">
        <v>48</v>
      </c>
    </row>
    <row r="418" spans="1:10" x14ac:dyDescent="0.25">
      <c r="A418" s="1">
        <v>30</v>
      </c>
      <c r="B418" t="s">
        <v>39</v>
      </c>
      <c r="C418">
        <v>137</v>
      </c>
      <c r="D418">
        <v>4</v>
      </c>
      <c r="E418" t="s">
        <v>65</v>
      </c>
      <c r="F418" t="s">
        <v>66</v>
      </c>
      <c r="G418" t="str">
        <f>"2026-02-21 00:18:16.523"</f>
        <v>2026-02-21 00:18:16.523</v>
      </c>
      <c r="H418" t="s">
        <v>48</v>
      </c>
      <c r="I418">
        <v>13.83</v>
      </c>
      <c r="J418" t="s">
        <v>33</v>
      </c>
    </row>
    <row r="419" spans="1:10" x14ac:dyDescent="0.25">
      <c r="A419" s="1">
        <v>31</v>
      </c>
      <c r="B419" t="s">
        <v>19</v>
      </c>
      <c r="C419">
        <v>700</v>
      </c>
      <c r="D419">
        <v>0</v>
      </c>
      <c r="E419" t="s">
        <v>24</v>
      </c>
      <c r="F419" t="s">
        <v>24</v>
      </c>
      <c r="G419" t="str">
        <f>"2026-02-20 22:25:02.247"</f>
        <v>2026-02-20 22:25:02.247</v>
      </c>
      <c r="H419" t="s">
        <v>22</v>
      </c>
      <c r="I419">
        <v>0</v>
      </c>
      <c r="J419" t="s">
        <v>34</v>
      </c>
    </row>
    <row r="420" spans="1:10" x14ac:dyDescent="0.25">
      <c r="A420" s="1">
        <v>32</v>
      </c>
      <c r="B420" t="s">
        <v>19</v>
      </c>
      <c r="C420">
        <v>706</v>
      </c>
      <c r="D420">
        <v>4</v>
      </c>
      <c r="E420" t="s">
        <v>20</v>
      </c>
      <c r="F420" t="s">
        <v>21</v>
      </c>
      <c r="G420" t="str">
        <f>"2026-02-20 22:10:44.320"</f>
        <v>2026-02-20 22:10:44.320</v>
      </c>
      <c r="H420" t="s">
        <v>22</v>
      </c>
      <c r="I420">
        <v>0</v>
      </c>
      <c r="J420" t="s">
        <v>23</v>
      </c>
    </row>
    <row r="421" spans="1:10" x14ac:dyDescent="0.25">
      <c r="A421" s="1">
        <v>33</v>
      </c>
      <c r="B421" t="s">
        <v>19</v>
      </c>
      <c r="C421">
        <v>700</v>
      </c>
      <c r="D421">
        <v>0</v>
      </c>
      <c r="E421" t="s">
        <v>24</v>
      </c>
      <c r="F421" t="s">
        <v>24</v>
      </c>
      <c r="G421" t="str">
        <f>"2026-02-20 22:10:15.240"</f>
        <v>2026-02-20 22:10:15.240</v>
      </c>
      <c r="H421" t="s">
        <v>22</v>
      </c>
      <c r="I421">
        <v>0</v>
      </c>
      <c r="J421" t="s">
        <v>34</v>
      </c>
    </row>
    <row r="422" spans="1:10" x14ac:dyDescent="0.25">
      <c r="A422" s="1">
        <v>34</v>
      </c>
      <c r="B422" t="s">
        <v>19</v>
      </c>
      <c r="C422">
        <v>706</v>
      </c>
      <c r="D422">
        <v>3</v>
      </c>
      <c r="E422" t="s">
        <v>20</v>
      </c>
      <c r="F422" t="s">
        <v>49</v>
      </c>
      <c r="G422" t="str">
        <f>"2026-02-20 22:07:02.805"</f>
        <v>2026-02-20 22:07:02.805</v>
      </c>
      <c r="H422" t="s">
        <v>22</v>
      </c>
      <c r="I422">
        <v>0</v>
      </c>
      <c r="J422" t="s">
        <v>23</v>
      </c>
    </row>
    <row r="423" spans="1:10" x14ac:dyDescent="0.25">
      <c r="A423" s="1">
        <v>35</v>
      </c>
      <c r="B423" t="s">
        <v>19</v>
      </c>
      <c r="C423">
        <v>700</v>
      </c>
      <c r="D423">
        <v>0</v>
      </c>
      <c r="E423" t="s">
        <v>24</v>
      </c>
      <c r="F423" t="s">
        <v>24</v>
      </c>
      <c r="G423" t="str">
        <f>"2026-02-20 22:05:54.245"</f>
        <v>2026-02-20 22:05:54.245</v>
      </c>
      <c r="H423" t="s">
        <v>22</v>
      </c>
      <c r="I423">
        <v>0</v>
      </c>
      <c r="J423" t="s">
        <v>34</v>
      </c>
    </row>
    <row r="424" spans="1:10" x14ac:dyDescent="0.25">
      <c r="A424" s="1">
        <v>36</v>
      </c>
      <c r="B424" t="s">
        <v>35</v>
      </c>
      <c r="C424">
        <v>137</v>
      </c>
      <c r="D424">
        <v>4</v>
      </c>
      <c r="E424" t="s">
        <v>65</v>
      </c>
      <c r="F424" t="s">
        <v>66</v>
      </c>
      <c r="G424" t="str">
        <f>"2026-02-20 08:03:57.940"</f>
        <v>2026-02-20 08:03:57.940</v>
      </c>
      <c r="H424" t="s">
        <v>48</v>
      </c>
    </row>
    <row r="425" spans="1:10" x14ac:dyDescent="0.25">
      <c r="A425" s="1">
        <v>37</v>
      </c>
      <c r="B425" t="s">
        <v>39</v>
      </c>
      <c r="C425">
        <v>137</v>
      </c>
      <c r="D425">
        <v>4</v>
      </c>
      <c r="E425" t="s">
        <v>65</v>
      </c>
      <c r="F425" t="s">
        <v>66</v>
      </c>
      <c r="G425" t="str">
        <f>"2026-02-20 08:03:52.864"</f>
        <v>2026-02-20 08:03:52.864</v>
      </c>
      <c r="H425" t="s">
        <v>48</v>
      </c>
      <c r="I425">
        <v>17.84</v>
      </c>
      <c r="J425" t="s">
        <v>33</v>
      </c>
    </row>
    <row r="426" spans="1:10" x14ac:dyDescent="0.25">
      <c r="A426" s="1">
        <v>38</v>
      </c>
      <c r="B426" t="s">
        <v>35</v>
      </c>
      <c r="C426">
        <v>137</v>
      </c>
      <c r="D426">
        <v>4</v>
      </c>
      <c r="E426" t="s">
        <v>65</v>
      </c>
      <c r="F426" t="s">
        <v>66</v>
      </c>
      <c r="G426" t="str">
        <f>"2026-02-20 05:56:20.040"</f>
        <v>2026-02-20 05:56:20.040</v>
      </c>
      <c r="H426" t="s">
        <v>48</v>
      </c>
    </row>
    <row r="427" spans="1:10" x14ac:dyDescent="0.25">
      <c r="A427" s="1">
        <v>39</v>
      </c>
      <c r="B427" t="s">
        <v>39</v>
      </c>
      <c r="C427">
        <v>137</v>
      </c>
      <c r="D427">
        <v>4</v>
      </c>
      <c r="E427" t="s">
        <v>65</v>
      </c>
      <c r="F427" t="s">
        <v>66</v>
      </c>
      <c r="G427" t="str">
        <f>"2026-02-20 05:56:15.004"</f>
        <v>2026-02-20 05:56:15.004</v>
      </c>
      <c r="H427" t="s">
        <v>48</v>
      </c>
      <c r="I427">
        <v>9.94</v>
      </c>
      <c r="J427" t="s">
        <v>33</v>
      </c>
    </row>
    <row r="428" spans="1:10" x14ac:dyDescent="0.25">
      <c r="A428" s="1">
        <v>40</v>
      </c>
      <c r="B428" t="s">
        <v>35</v>
      </c>
      <c r="C428">
        <v>137</v>
      </c>
      <c r="D428">
        <v>4</v>
      </c>
      <c r="E428" t="s">
        <v>65</v>
      </c>
      <c r="F428" t="s">
        <v>66</v>
      </c>
      <c r="G428" t="str">
        <f>"2026-02-20 02:22:21.740"</f>
        <v>2026-02-20 02:22:21.740</v>
      </c>
      <c r="H428" t="s">
        <v>48</v>
      </c>
    </row>
    <row r="429" spans="1:10" x14ac:dyDescent="0.25">
      <c r="A429" s="1">
        <v>41</v>
      </c>
      <c r="B429" t="s">
        <v>39</v>
      </c>
      <c r="C429">
        <v>137</v>
      </c>
      <c r="D429">
        <v>4</v>
      </c>
      <c r="E429" t="s">
        <v>65</v>
      </c>
      <c r="F429" t="s">
        <v>66</v>
      </c>
      <c r="G429" t="str">
        <f>"2026-02-20 02:22:16.684"</f>
        <v>2026-02-20 02:22:16.684</v>
      </c>
      <c r="H429" t="s">
        <v>48</v>
      </c>
      <c r="I429">
        <v>7.13</v>
      </c>
      <c r="J429" t="s">
        <v>33</v>
      </c>
    </row>
    <row r="430" spans="1:10" s="3" customFormat="1" x14ac:dyDescent="0.25">
      <c r="A430" s="2">
        <v>42</v>
      </c>
      <c r="B430" s="3" t="s">
        <v>26</v>
      </c>
      <c r="C430" s="3">
        <v>647</v>
      </c>
      <c r="D430" s="3">
        <v>1</v>
      </c>
      <c r="E430" s="3" t="s">
        <v>27</v>
      </c>
      <c r="F430" s="3" t="s">
        <v>28</v>
      </c>
      <c r="G430" s="3" t="str">
        <f>"2026-02-20 00:47:10.462"</f>
        <v>2026-02-20 00:47:10.462</v>
      </c>
      <c r="H430" s="3" t="s">
        <v>22</v>
      </c>
    </row>
    <row r="431" spans="1:10" s="3" customFormat="1" x14ac:dyDescent="0.25">
      <c r="A431" s="2">
        <v>43</v>
      </c>
      <c r="B431" s="3" t="s">
        <v>29</v>
      </c>
      <c r="C431" s="3">
        <v>647</v>
      </c>
      <c r="D431" s="3">
        <v>1</v>
      </c>
      <c r="E431" s="3" t="s">
        <v>27</v>
      </c>
      <c r="F431" s="3" t="s">
        <v>28</v>
      </c>
      <c r="G431" s="3" t="str">
        <f>"2026-02-20 00:47:07.562"</f>
        <v>2026-02-20 00:47:07.562</v>
      </c>
      <c r="H431" s="3" t="s">
        <v>22</v>
      </c>
      <c r="I431" s="3">
        <v>9.06</v>
      </c>
      <c r="J431" s="3" t="s">
        <v>30</v>
      </c>
    </row>
    <row r="432" spans="1:10" x14ac:dyDescent="0.25">
      <c r="A432" s="1">
        <v>44</v>
      </c>
      <c r="B432" t="s">
        <v>19</v>
      </c>
      <c r="C432">
        <v>706</v>
      </c>
      <c r="D432">
        <v>4</v>
      </c>
      <c r="E432" t="s">
        <v>20</v>
      </c>
      <c r="F432" t="s">
        <v>21</v>
      </c>
      <c r="G432" t="str">
        <f>"2026-02-19 18:14:39.966"</f>
        <v>2026-02-19 18:14:39.966</v>
      </c>
      <c r="H432" t="s">
        <v>22</v>
      </c>
      <c r="I432">
        <v>0</v>
      </c>
      <c r="J432" t="s">
        <v>23</v>
      </c>
    </row>
    <row r="433" spans="1:10" x14ac:dyDescent="0.25">
      <c r="A433" s="1">
        <v>45</v>
      </c>
      <c r="B433" t="s">
        <v>19</v>
      </c>
      <c r="C433">
        <v>700</v>
      </c>
      <c r="D433">
        <v>0</v>
      </c>
      <c r="E433" t="s">
        <v>24</v>
      </c>
      <c r="F433" t="s">
        <v>24</v>
      </c>
      <c r="G433" t="str">
        <f>"2026-02-19 18:14:26.236"</f>
        <v>2026-02-19 18:14:26.236</v>
      </c>
      <c r="H433" t="s">
        <v>22</v>
      </c>
    </row>
    <row r="434" spans="1:10" x14ac:dyDescent="0.25">
      <c r="A434" s="1">
        <v>46</v>
      </c>
      <c r="B434" t="s">
        <v>19</v>
      </c>
      <c r="C434">
        <v>700</v>
      </c>
      <c r="D434">
        <v>0</v>
      </c>
      <c r="E434" t="s">
        <v>24</v>
      </c>
      <c r="F434" t="s">
        <v>24</v>
      </c>
      <c r="G434" t="str">
        <f>"2026-02-19 17:27:05.250"</f>
        <v>2026-02-19 17:27:05.250</v>
      </c>
      <c r="H434" t="s">
        <v>22</v>
      </c>
    </row>
    <row r="435" spans="1:10" x14ac:dyDescent="0.25">
      <c r="A435" s="1">
        <v>47</v>
      </c>
      <c r="B435" t="s">
        <v>19</v>
      </c>
      <c r="C435">
        <v>700</v>
      </c>
      <c r="D435">
        <v>0</v>
      </c>
      <c r="E435" t="s">
        <v>24</v>
      </c>
      <c r="F435" t="s">
        <v>24</v>
      </c>
      <c r="G435" t="str">
        <f>"2026-02-19 17:10:50.243"</f>
        <v>2026-02-19 17:10:50.243</v>
      </c>
      <c r="H435" t="s">
        <v>22</v>
      </c>
      <c r="I435">
        <v>0</v>
      </c>
      <c r="J435" t="s">
        <v>34</v>
      </c>
    </row>
    <row r="436" spans="1:10" x14ac:dyDescent="0.25">
      <c r="A436" s="1">
        <v>48</v>
      </c>
      <c r="B436" t="s">
        <v>19</v>
      </c>
      <c r="C436">
        <v>706</v>
      </c>
      <c r="D436">
        <v>2</v>
      </c>
      <c r="E436" t="s">
        <v>20</v>
      </c>
      <c r="F436" t="s">
        <v>25</v>
      </c>
      <c r="G436" t="str">
        <f>"2026-02-19 15:48:56.618"</f>
        <v>2026-02-19 15:48:56.618</v>
      </c>
      <c r="H436" t="s">
        <v>22</v>
      </c>
      <c r="I436">
        <v>0</v>
      </c>
      <c r="J436" t="s">
        <v>23</v>
      </c>
    </row>
    <row r="437" spans="1:10" x14ac:dyDescent="0.25">
      <c r="A437" s="1">
        <v>49</v>
      </c>
      <c r="B437" t="s">
        <v>19</v>
      </c>
      <c r="C437">
        <v>700</v>
      </c>
      <c r="D437">
        <v>0</v>
      </c>
      <c r="E437" t="s">
        <v>24</v>
      </c>
      <c r="F437" t="s">
        <v>24</v>
      </c>
      <c r="G437" t="str">
        <f>"2026-02-19 15:03:01.238"</f>
        <v>2026-02-19 15:03:01.238</v>
      </c>
      <c r="H437" t="s">
        <v>22</v>
      </c>
    </row>
    <row r="438" spans="1:10" x14ac:dyDescent="0.25">
      <c r="A438" s="1">
        <v>50</v>
      </c>
      <c r="B438" t="s">
        <v>19</v>
      </c>
      <c r="C438">
        <v>706</v>
      </c>
      <c r="D438">
        <v>4</v>
      </c>
      <c r="E438" t="s">
        <v>20</v>
      </c>
      <c r="F438" t="s">
        <v>21</v>
      </c>
      <c r="G438" t="str">
        <f>"2026-02-19 14:21:47.290"</f>
        <v>2026-02-19 14:21:47.290</v>
      </c>
      <c r="H438" t="s">
        <v>22</v>
      </c>
      <c r="I438">
        <v>0</v>
      </c>
      <c r="J438" t="s">
        <v>23</v>
      </c>
    </row>
    <row r="439" spans="1:10" x14ac:dyDescent="0.25">
      <c r="A439" s="1">
        <v>51</v>
      </c>
      <c r="B439" t="s">
        <v>19</v>
      </c>
      <c r="C439">
        <v>700</v>
      </c>
      <c r="D439">
        <v>0</v>
      </c>
      <c r="E439" t="s">
        <v>24</v>
      </c>
      <c r="F439" t="s">
        <v>24</v>
      </c>
      <c r="G439" t="str">
        <f>"2026-02-19 13:51:16.230"</f>
        <v>2026-02-19 13:51:16.230</v>
      </c>
      <c r="H439" t="s">
        <v>22</v>
      </c>
    </row>
    <row r="440" spans="1:10" x14ac:dyDescent="0.25">
      <c r="A440" s="1">
        <v>52</v>
      </c>
      <c r="B440" t="s">
        <v>19</v>
      </c>
      <c r="C440">
        <v>700</v>
      </c>
      <c r="D440">
        <v>0</v>
      </c>
      <c r="E440" t="s">
        <v>24</v>
      </c>
      <c r="F440" t="s">
        <v>24</v>
      </c>
      <c r="G440" t="str">
        <f>"2026-02-19 10:13:33.225"</f>
        <v>2026-02-19 10:13:33.225</v>
      </c>
      <c r="H440" t="s">
        <v>22</v>
      </c>
    </row>
    <row r="441" spans="1:10" x14ac:dyDescent="0.25">
      <c r="A441" s="1">
        <v>53</v>
      </c>
      <c r="B441" t="s">
        <v>19</v>
      </c>
      <c r="C441">
        <v>700</v>
      </c>
      <c r="D441">
        <v>0</v>
      </c>
      <c r="E441" t="s">
        <v>24</v>
      </c>
      <c r="F441" t="s">
        <v>24</v>
      </c>
      <c r="G441" t="str">
        <f>"2026-02-19 10:08:55.250"</f>
        <v>2026-02-19 10:08:55.250</v>
      </c>
      <c r="H441" t="s">
        <v>22</v>
      </c>
    </row>
    <row r="442" spans="1:10" x14ac:dyDescent="0.25">
      <c r="A442" s="1">
        <v>54</v>
      </c>
      <c r="B442" t="s">
        <v>19</v>
      </c>
      <c r="C442">
        <v>700</v>
      </c>
      <c r="D442">
        <v>0</v>
      </c>
      <c r="E442" t="s">
        <v>24</v>
      </c>
      <c r="F442" t="s">
        <v>24</v>
      </c>
      <c r="G442" t="str">
        <f>"2026-02-19 09:07:33.226"</f>
        <v>2026-02-19 09:07:33.226</v>
      </c>
      <c r="H442" t="s">
        <v>22</v>
      </c>
    </row>
    <row r="443" spans="1:10" x14ac:dyDescent="0.25">
      <c r="A443" s="1">
        <v>55</v>
      </c>
      <c r="B443" t="s">
        <v>19</v>
      </c>
      <c r="C443">
        <v>700</v>
      </c>
      <c r="D443">
        <v>0</v>
      </c>
      <c r="E443" t="s">
        <v>24</v>
      </c>
      <c r="F443" t="s">
        <v>24</v>
      </c>
      <c r="G443" t="str">
        <f>"2026-02-19 08:55:52.231"</f>
        <v>2026-02-19 08:55:52.231</v>
      </c>
      <c r="H443" t="s">
        <v>22</v>
      </c>
      <c r="I443">
        <v>0</v>
      </c>
      <c r="J443" t="s">
        <v>34</v>
      </c>
    </row>
    <row r="444" spans="1:10" x14ac:dyDescent="0.25">
      <c r="A444" s="1">
        <v>56</v>
      </c>
      <c r="B444" t="s">
        <v>19</v>
      </c>
      <c r="C444">
        <v>700</v>
      </c>
      <c r="D444">
        <v>0</v>
      </c>
      <c r="E444" t="s">
        <v>24</v>
      </c>
      <c r="F444" t="s">
        <v>24</v>
      </c>
      <c r="G444" t="str">
        <f>"2026-02-19 08:53:46.220"</f>
        <v>2026-02-19 08:53:46.220</v>
      </c>
      <c r="H444" t="s">
        <v>22</v>
      </c>
    </row>
    <row r="445" spans="1:10" x14ac:dyDescent="0.25">
      <c r="A445" s="1">
        <v>57</v>
      </c>
      <c r="B445" t="s">
        <v>19</v>
      </c>
      <c r="C445">
        <v>700</v>
      </c>
      <c r="D445">
        <v>0</v>
      </c>
      <c r="E445" t="s">
        <v>24</v>
      </c>
      <c r="F445" t="s">
        <v>24</v>
      </c>
      <c r="G445" t="str">
        <f>"2026-02-19 08:49:44.239"</f>
        <v>2026-02-19 08:49:44.239</v>
      </c>
      <c r="H445" t="s">
        <v>22</v>
      </c>
    </row>
    <row r="446" spans="1:10" x14ac:dyDescent="0.25">
      <c r="A446" s="1">
        <v>58</v>
      </c>
      <c r="B446" t="s">
        <v>19</v>
      </c>
      <c r="C446">
        <v>700</v>
      </c>
      <c r="D446">
        <v>0</v>
      </c>
      <c r="E446" t="s">
        <v>24</v>
      </c>
      <c r="F446" t="s">
        <v>24</v>
      </c>
      <c r="G446" t="str">
        <f>"2026-02-19 08:38:09.254"</f>
        <v>2026-02-19 08:38:09.254</v>
      </c>
      <c r="H446" t="s">
        <v>22</v>
      </c>
    </row>
    <row r="447" spans="1:10" x14ac:dyDescent="0.25">
      <c r="A447" s="1">
        <v>59</v>
      </c>
      <c r="B447" t="s">
        <v>19</v>
      </c>
      <c r="C447">
        <v>706</v>
      </c>
      <c r="D447">
        <v>3</v>
      </c>
      <c r="E447" t="s">
        <v>20</v>
      </c>
      <c r="F447" t="s">
        <v>49</v>
      </c>
      <c r="G447" t="str">
        <f>"2026-02-19 08:05:02.822"</f>
        <v>2026-02-19 08:05:02.822</v>
      </c>
      <c r="H447" t="s">
        <v>22</v>
      </c>
      <c r="I447">
        <v>0</v>
      </c>
      <c r="J447" t="s">
        <v>23</v>
      </c>
    </row>
    <row r="448" spans="1:10" s="3" customFormat="1" x14ac:dyDescent="0.25">
      <c r="A448" s="2">
        <v>60</v>
      </c>
      <c r="B448" s="3" t="s">
        <v>26</v>
      </c>
      <c r="C448" s="3">
        <v>647</v>
      </c>
      <c r="D448" s="3">
        <v>1</v>
      </c>
      <c r="E448" s="3" t="s">
        <v>27</v>
      </c>
      <c r="F448" s="3" t="s">
        <v>28</v>
      </c>
      <c r="G448" s="3" t="str">
        <f>"2026-02-19 06:57:49.248"</f>
        <v>2026-02-19 06:57:49.248</v>
      </c>
      <c r="H448" s="3" t="s">
        <v>22</v>
      </c>
    </row>
    <row r="449" spans="1:10" s="3" customFormat="1" x14ac:dyDescent="0.25">
      <c r="A449" s="2">
        <v>61</v>
      </c>
      <c r="B449" s="3" t="s">
        <v>29</v>
      </c>
      <c r="C449" s="3">
        <v>647</v>
      </c>
      <c r="D449" s="3">
        <v>1</v>
      </c>
      <c r="E449" s="3" t="s">
        <v>27</v>
      </c>
      <c r="F449" s="3" t="s">
        <v>28</v>
      </c>
      <c r="G449" s="3" t="str">
        <f>"2026-02-19 06:57:37.448"</f>
        <v>2026-02-19 06:57:37.448</v>
      </c>
      <c r="H449" s="3" t="s">
        <v>22</v>
      </c>
      <c r="I449" s="3">
        <v>8.89</v>
      </c>
      <c r="J449" s="3" t="s">
        <v>30</v>
      </c>
    </row>
    <row r="450" spans="1:10" s="3" customFormat="1" x14ac:dyDescent="0.25">
      <c r="A450" s="2">
        <v>62</v>
      </c>
      <c r="B450" s="3" t="s">
        <v>26</v>
      </c>
      <c r="C450" s="3">
        <v>647</v>
      </c>
      <c r="D450" s="3">
        <v>1</v>
      </c>
      <c r="E450" s="3" t="s">
        <v>27</v>
      </c>
      <c r="F450" s="3" t="s">
        <v>28</v>
      </c>
      <c r="G450" s="3" t="str">
        <f>"2026-02-19 02:32:14.348"</f>
        <v>2026-02-19 02:32:14.348</v>
      </c>
      <c r="H450" s="3" t="s">
        <v>22</v>
      </c>
    </row>
    <row r="451" spans="1:10" s="3" customFormat="1" x14ac:dyDescent="0.25">
      <c r="A451" s="2">
        <v>63</v>
      </c>
      <c r="B451" s="3" t="s">
        <v>29</v>
      </c>
      <c r="C451" s="3">
        <v>647</v>
      </c>
      <c r="D451" s="3">
        <v>1</v>
      </c>
      <c r="E451" s="3" t="s">
        <v>27</v>
      </c>
      <c r="F451" s="3" t="s">
        <v>28</v>
      </c>
      <c r="G451" s="3" t="str">
        <f>"2026-02-19 02:32:11.648"</f>
        <v>2026-02-19 02:32:11.648</v>
      </c>
      <c r="H451" s="3" t="s">
        <v>22</v>
      </c>
      <c r="I451" s="3">
        <v>8</v>
      </c>
      <c r="J451" s="3" t="s">
        <v>30</v>
      </c>
    </row>
    <row r="452" spans="1:10" s="3" customFormat="1" x14ac:dyDescent="0.25">
      <c r="A452" s="2">
        <v>64</v>
      </c>
      <c r="B452" s="3" t="s">
        <v>26</v>
      </c>
      <c r="C452" s="3">
        <v>647</v>
      </c>
      <c r="D452" s="3">
        <v>1</v>
      </c>
      <c r="E452" s="3" t="s">
        <v>27</v>
      </c>
      <c r="F452" s="3" t="s">
        <v>28</v>
      </c>
      <c r="G452" s="3" t="str">
        <f>"2026-02-19 02:29:28.148"</f>
        <v>2026-02-19 02:29:28.148</v>
      </c>
      <c r="H452" s="3" t="s">
        <v>22</v>
      </c>
    </row>
    <row r="453" spans="1:10" s="3" customFormat="1" x14ac:dyDescent="0.25">
      <c r="A453" s="2">
        <v>65</v>
      </c>
      <c r="B453" s="3" t="s">
        <v>29</v>
      </c>
      <c r="C453" s="3">
        <v>647</v>
      </c>
      <c r="D453" s="3">
        <v>1</v>
      </c>
      <c r="E453" s="3" t="s">
        <v>27</v>
      </c>
      <c r="F453" s="3" t="s">
        <v>28</v>
      </c>
      <c r="G453" s="3" t="str">
        <f>"2026-02-19 02:29:13.448"</f>
        <v>2026-02-19 02:29:13.448</v>
      </c>
      <c r="H453" s="3" t="s">
        <v>22</v>
      </c>
      <c r="I453" s="3">
        <v>14.01</v>
      </c>
      <c r="J453" s="3" t="s">
        <v>30</v>
      </c>
    </row>
    <row r="454" spans="1:10" s="3" customFormat="1" x14ac:dyDescent="0.25">
      <c r="A454" s="2">
        <v>66</v>
      </c>
      <c r="B454" s="3" t="s">
        <v>26</v>
      </c>
      <c r="C454" s="3">
        <v>647</v>
      </c>
      <c r="D454" s="3">
        <v>1</v>
      </c>
      <c r="E454" s="3" t="s">
        <v>27</v>
      </c>
      <c r="F454" s="3" t="s">
        <v>28</v>
      </c>
      <c r="G454" s="3" t="str">
        <f>"2026-02-19 02:29:09.348"</f>
        <v>2026-02-19 02:29:09.348</v>
      </c>
      <c r="H454" s="3" t="s">
        <v>22</v>
      </c>
    </row>
    <row r="455" spans="1:10" s="3" customFormat="1" x14ac:dyDescent="0.25">
      <c r="A455" s="2">
        <v>67</v>
      </c>
      <c r="B455" s="3" t="s">
        <v>29</v>
      </c>
      <c r="C455" s="3">
        <v>647</v>
      </c>
      <c r="D455" s="3">
        <v>1</v>
      </c>
      <c r="E455" s="3" t="s">
        <v>27</v>
      </c>
      <c r="F455" s="3" t="s">
        <v>28</v>
      </c>
      <c r="G455" s="3" t="str">
        <f>"2026-02-19 02:29:04.848"</f>
        <v>2026-02-19 02:29:04.848</v>
      </c>
      <c r="H455" s="3" t="s">
        <v>22</v>
      </c>
      <c r="I455" s="3">
        <v>13.86</v>
      </c>
      <c r="J455" s="3" t="s">
        <v>30</v>
      </c>
    </row>
    <row r="456" spans="1:10" x14ac:dyDescent="0.25">
      <c r="A456" s="1">
        <v>68</v>
      </c>
      <c r="B456" t="s">
        <v>35</v>
      </c>
      <c r="C456">
        <v>137</v>
      </c>
      <c r="D456">
        <v>4</v>
      </c>
      <c r="E456" t="s">
        <v>65</v>
      </c>
      <c r="F456" t="s">
        <v>66</v>
      </c>
      <c r="G456" t="str">
        <f>"2026-02-19 00:08:17.627"</f>
        <v>2026-02-19 00:08:17.627</v>
      </c>
      <c r="H456" t="s">
        <v>48</v>
      </c>
    </row>
    <row r="457" spans="1:10" x14ac:dyDescent="0.25">
      <c r="A457" s="1">
        <v>69</v>
      </c>
      <c r="B457" t="s">
        <v>39</v>
      </c>
      <c r="C457">
        <v>137</v>
      </c>
      <c r="D457">
        <v>4</v>
      </c>
      <c r="E457" t="s">
        <v>65</v>
      </c>
      <c r="F457" t="s">
        <v>66</v>
      </c>
      <c r="G457" t="str">
        <f>"2026-02-19 00:08:12.570"</f>
        <v>2026-02-19 00:08:12.570</v>
      </c>
      <c r="H457" t="s">
        <v>48</v>
      </c>
      <c r="I457">
        <v>16.579999999999998</v>
      </c>
      <c r="J457" t="s">
        <v>33</v>
      </c>
    </row>
    <row r="458" spans="1:10" x14ac:dyDescent="0.25">
      <c r="A458" s="1">
        <v>70</v>
      </c>
      <c r="B458" t="s">
        <v>19</v>
      </c>
      <c r="C458">
        <v>706</v>
      </c>
      <c r="D458">
        <v>4</v>
      </c>
      <c r="E458" t="s">
        <v>20</v>
      </c>
      <c r="F458" t="s">
        <v>21</v>
      </c>
      <c r="G458" t="str">
        <f>"2026-02-18 17:20:52.362"</f>
        <v>2026-02-18 17:20:52.362</v>
      </c>
      <c r="H458" t="s">
        <v>22</v>
      </c>
      <c r="I458">
        <v>0</v>
      </c>
      <c r="J458" t="s">
        <v>23</v>
      </c>
    </row>
    <row r="459" spans="1:10" x14ac:dyDescent="0.25">
      <c r="A459" s="1">
        <v>71</v>
      </c>
      <c r="B459" t="s">
        <v>19</v>
      </c>
      <c r="C459">
        <v>700</v>
      </c>
      <c r="D459">
        <v>0</v>
      </c>
      <c r="E459" t="s">
        <v>24</v>
      </c>
      <c r="F459" t="s">
        <v>24</v>
      </c>
      <c r="G459" t="str">
        <f>"2026-02-18 17:20:34.212"</f>
        <v>2026-02-18 17:20:34.212</v>
      </c>
      <c r="H459" t="s">
        <v>22</v>
      </c>
    </row>
    <row r="460" spans="1:10" x14ac:dyDescent="0.25">
      <c r="A460" s="1">
        <v>72</v>
      </c>
      <c r="B460" t="s">
        <v>19</v>
      </c>
      <c r="C460">
        <v>700</v>
      </c>
      <c r="D460">
        <v>0</v>
      </c>
      <c r="E460" t="s">
        <v>24</v>
      </c>
      <c r="F460" t="s">
        <v>24</v>
      </c>
      <c r="G460" t="str">
        <f>"2026-02-18 16:59:13.229"</f>
        <v>2026-02-18 16:59:13.229</v>
      </c>
      <c r="H460" t="s">
        <v>22</v>
      </c>
      <c r="I460">
        <v>0</v>
      </c>
      <c r="J460" t="s">
        <v>34</v>
      </c>
    </row>
    <row r="461" spans="1:10" x14ac:dyDescent="0.25">
      <c r="A461" s="1">
        <v>73</v>
      </c>
      <c r="B461" t="s">
        <v>19</v>
      </c>
      <c r="C461">
        <v>700</v>
      </c>
      <c r="D461">
        <v>0</v>
      </c>
      <c r="E461" t="s">
        <v>24</v>
      </c>
      <c r="F461" t="s">
        <v>24</v>
      </c>
      <c r="G461" t="str">
        <f>"2026-02-18 15:54:18.478"</f>
        <v>2026-02-18 15:54:18.478</v>
      </c>
      <c r="H461" t="s">
        <v>22</v>
      </c>
      <c r="I461">
        <v>0</v>
      </c>
      <c r="J461" t="s">
        <v>34</v>
      </c>
    </row>
    <row r="462" spans="1:10" x14ac:dyDescent="0.25">
      <c r="A462" s="1">
        <v>74</v>
      </c>
      <c r="B462" t="s">
        <v>19</v>
      </c>
      <c r="C462">
        <v>700</v>
      </c>
      <c r="D462">
        <v>0</v>
      </c>
      <c r="E462" t="s">
        <v>24</v>
      </c>
      <c r="F462" t="s">
        <v>24</v>
      </c>
      <c r="G462" t="str">
        <f>"2026-02-18 15:47:19.528"</f>
        <v>2026-02-18 15:47:19.528</v>
      </c>
      <c r="H462" t="s">
        <v>22</v>
      </c>
      <c r="I462">
        <v>0</v>
      </c>
      <c r="J462" t="s">
        <v>34</v>
      </c>
    </row>
    <row r="463" spans="1:10" x14ac:dyDescent="0.25">
      <c r="A463" s="1">
        <v>75</v>
      </c>
      <c r="B463" t="s">
        <v>19</v>
      </c>
      <c r="C463">
        <v>706</v>
      </c>
      <c r="D463">
        <v>2</v>
      </c>
      <c r="E463" t="s">
        <v>20</v>
      </c>
      <c r="F463" t="s">
        <v>25</v>
      </c>
      <c r="G463" t="str">
        <f>"2026-02-17 10:17:26.246"</f>
        <v>2026-02-17 10:17:26.246</v>
      </c>
      <c r="H463" t="s">
        <v>22</v>
      </c>
      <c r="I463">
        <v>0</v>
      </c>
      <c r="J463" t="s">
        <v>23</v>
      </c>
    </row>
    <row r="464" spans="1:10" x14ac:dyDescent="0.25">
      <c r="A464" s="1">
        <v>76</v>
      </c>
      <c r="B464" t="s">
        <v>35</v>
      </c>
      <c r="C464">
        <v>137</v>
      </c>
      <c r="D464">
        <v>4</v>
      </c>
      <c r="E464" t="s">
        <v>65</v>
      </c>
      <c r="F464" t="s">
        <v>66</v>
      </c>
      <c r="G464" t="str">
        <f>"2026-02-17 04:47:30.197"</f>
        <v>2026-02-17 04:47:30.197</v>
      </c>
      <c r="H464" t="s">
        <v>48</v>
      </c>
    </row>
    <row r="465" spans="1:10" x14ac:dyDescent="0.25">
      <c r="A465" s="1">
        <v>77</v>
      </c>
      <c r="B465" t="s">
        <v>39</v>
      </c>
      <c r="C465">
        <v>137</v>
      </c>
      <c r="D465">
        <v>4</v>
      </c>
      <c r="E465" t="s">
        <v>65</v>
      </c>
      <c r="F465" t="s">
        <v>66</v>
      </c>
      <c r="G465" t="str">
        <f>"2026-02-17 04:47:25.142"</f>
        <v>2026-02-17 04:47:25.142</v>
      </c>
      <c r="H465" t="s">
        <v>48</v>
      </c>
      <c r="I465">
        <v>9.7799999999999994</v>
      </c>
      <c r="J465" t="s">
        <v>33</v>
      </c>
    </row>
    <row r="466" spans="1:10" x14ac:dyDescent="0.25">
      <c r="A466" s="1">
        <v>78</v>
      </c>
      <c r="B466" t="s">
        <v>19</v>
      </c>
      <c r="C466">
        <v>706</v>
      </c>
      <c r="D466">
        <v>2</v>
      </c>
      <c r="E466" t="s">
        <v>20</v>
      </c>
      <c r="F466" t="s">
        <v>25</v>
      </c>
      <c r="G466" t="str">
        <f>"2026-02-17 02:52:33.646"</f>
        <v>2026-02-17 02:52:33.646</v>
      </c>
      <c r="H466" t="s">
        <v>22</v>
      </c>
      <c r="I466">
        <v>0</v>
      </c>
      <c r="J466" t="s">
        <v>23</v>
      </c>
    </row>
    <row r="467" spans="1:10" x14ac:dyDescent="0.25">
      <c r="A467" s="1">
        <v>79</v>
      </c>
      <c r="B467" t="s">
        <v>26</v>
      </c>
      <c r="C467">
        <v>61</v>
      </c>
      <c r="D467">
        <v>2</v>
      </c>
      <c r="E467" t="s">
        <v>59</v>
      </c>
      <c r="F467" t="s">
        <v>60</v>
      </c>
      <c r="G467" t="str">
        <f>"2026-02-16 23:09:10.719"</f>
        <v>2026-02-16 23:09:10.719</v>
      </c>
      <c r="H467" t="s">
        <v>22</v>
      </c>
    </row>
    <row r="468" spans="1:10" x14ac:dyDescent="0.25">
      <c r="A468" s="1">
        <v>80</v>
      </c>
      <c r="B468" t="s">
        <v>39</v>
      </c>
      <c r="C468">
        <v>61</v>
      </c>
      <c r="D468">
        <v>2</v>
      </c>
      <c r="E468" t="s">
        <v>59</v>
      </c>
      <c r="F468" t="s">
        <v>60</v>
      </c>
      <c r="G468" t="str">
        <f>"2026-02-16 23:09:01.519"</f>
        <v>2026-02-16 23:09:01.519</v>
      </c>
      <c r="H468" t="s">
        <v>22</v>
      </c>
      <c r="I468">
        <v>35.549999999999997</v>
      </c>
      <c r="J468" t="s">
        <v>30</v>
      </c>
    </row>
    <row r="469" spans="1:10" x14ac:dyDescent="0.25">
      <c r="A469" s="1">
        <v>81</v>
      </c>
      <c r="B469" t="s">
        <v>19</v>
      </c>
      <c r="C469">
        <v>706</v>
      </c>
      <c r="D469">
        <v>2</v>
      </c>
      <c r="E469" t="s">
        <v>20</v>
      </c>
      <c r="F469" t="s">
        <v>25</v>
      </c>
      <c r="G469" t="str">
        <f>"2026-02-16 20:21:19.646"</f>
        <v>2026-02-16 20:21:19.646</v>
      </c>
      <c r="H469" t="s">
        <v>22</v>
      </c>
      <c r="I469">
        <v>0</v>
      </c>
      <c r="J469" t="s">
        <v>23</v>
      </c>
    </row>
    <row r="470" spans="1:10" x14ac:dyDescent="0.25">
      <c r="A470" s="1">
        <v>82</v>
      </c>
      <c r="B470" t="s">
        <v>19</v>
      </c>
      <c r="C470">
        <v>706</v>
      </c>
      <c r="D470">
        <v>2</v>
      </c>
      <c r="E470" t="s">
        <v>20</v>
      </c>
      <c r="F470" t="s">
        <v>25</v>
      </c>
      <c r="G470" t="str">
        <f>"2026-02-16 13:57:57.346"</f>
        <v>2026-02-16 13:57:57.346</v>
      </c>
      <c r="H470" t="s">
        <v>22</v>
      </c>
      <c r="I470">
        <v>0</v>
      </c>
      <c r="J470" t="s">
        <v>23</v>
      </c>
    </row>
    <row r="471" spans="1:10" x14ac:dyDescent="0.25">
      <c r="A471" s="1">
        <v>83</v>
      </c>
      <c r="B471" t="s">
        <v>26</v>
      </c>
      <c r="C471">
        <v>635</v>
      </c>
      <c r="D471">
        <v>1</v>
      </c>
      <c r="E471" t="s">
        <v>31</v>
      </c>
      <c r="F471" t="s">
        <v>32</v>
      </c>
      <c r="G471" t="str">
        <f>"2026-02-16 11:17:45.165"</f>
        <v>2026-02-16 11:17:45.165</v>
      </c>
      <c r="H471" t="s">
        <v>22</v>
      </c>
    </row>
    <row r="472" spans="1:10" x14ac:dyDescent="0.25">
      <c r="A472" s="1">
        <v>84</v>
      </c>
      <c r="B472" t="s">
        <v>29</v>
      </c>
      <c r="C472">
        <v>635</v>
      </c>
      <c r="D472">
        <v>1</v>
      </c>
      <c r="E472" t="s">
        <v>31</v>
      </c>
      <c r="F472" t="s">
        <v>32</v>
      </c>
      <c r="G472" t="str">
        <f>"2026-02-16 11:10:21.665"</f>
        <v>2026-02-16 11:10:21.665</v>
      </c>
      <c r="H472" t="s">
        <v>22</v>
      </c>
      <c r="I472">
        <v>5.8</v>
      </c>
      <c r="J472" t="s">
        <v>33</v>
      </c>
    </row>
    <row r="473" spans="1:10" x14ac:dyDescent="0.25">
      <c r="A473" s="1">
        <v>85</v>
      </c>
      <c r="B473" t="s">
        <v>35</v>
      </c>
      <c r="C473">
        <v>137</v>
      </c>
      <c r="D473">
        <v>4</v>
      </c>
      <c r="E473" t="s">
        <v>65</v>
      </c>
      <c r="F473" t="s">
        <v>66</v>
      </c>
      <c r="G473" t="str">
        <f>"2026-02-16 10:19:47.998"</f>
        <v>2026-02-16 10:19:47.998</v>
      </c>
      <c r="H473" t="s">
        <v>48</v>
      </c>
    </row>
    <row r="474" spans="1:10" x14ac:dyDescent="0.25">
      <c r="A474" s="1">
        <v>86</v>
      </c>
      <c r="B474" t="s">
        <v>39</v>
      </c>
      <c r="C474">
        <v>137</v>
      </c>
      <c r="D474">
        <v>4</v>
      </c>
      <c r="E474" t="s">
        <v>65</v>
      </c>
      <c r="F474" t="s">
        <v>66</v>
      </c>
      <c r="G474" t="str">
        <f>"2026-02-16 10:19:42.982"</f>
        <v>2026-02-16 10:19:42.982</v>
      </c>
      <c r="H474" t="s">
        <v>48</v>
      </c>
      <c r="I474">
        <v>23.21</v>
      </c>
      <c r="J474" t="s">
        <v>33</v>
      </c>
    </row>
    <row r="475" spans="1:10" x14ac:dyDescent="0.25">
      <c r="A475" s="1">
        <v>87</v>
      </c>
      <c r="B475" t="s">
        <v>19</v>
      </c>
      <c r="C475">
        <v>700</v>
      </c>
      <c r="D475">
        <v>0</v>
      </c>
      <c r="E475" t="s">
        <v>24</v>
      </c>
      <c r="F475" t="s">
        <v>24</v>
      </c>
      <c r="G475" t="str">
        <f>"2026-02-16 03:03:08.246"</f>
        <v>2026-02-16 03:03:08.246</v>
      </c>
      <c r="H475" t="s">
        <v>22</v>
      </c>
    </row>
    <row r="476" spans="1:10" x14ac:dyDescent="0.25">
      <c r="A476" s="1">
        <v>88</v>
      </c>
      <c r="B476" t="s">
        <v>53</v>
      </c>
      <c r="C476">
        <v>216</v>
      </c>
      <c r="D476">
        <v>5</v>
      </c>
      <c r="E476" t="s">
        <v>67</v>
      </c>
      <c r="F476" t="s">
        <v>68</v>
      </c>
      <c r="G476" t="str">
        <f>"2026-02-16 01:51:16.106"</f>
        <v>2026-02-16 01:51:16.106</v>
      </c>
      <c r="H476" t="s">
        <v>45</v>
      </c>
    </row>
    <row r="477" spans="1:10" x14ac:dyDescent="0.25">
      <c r="A477" s="1">
        <v>89</v>
      </c>
      <c r="B477" t="s">
        <v>39</v>
      </c>
      <c r="C477">
        <v>216</v>
      </c>
      <c r="D477">
        <v>5</v>
      </c>
      <c r="E477" t="s">
        <v>67</v>
      </c>
      <c r="F477" t="s">
        <v>68</v>
      </c>
      <c r="G477" t="str">
        <f>"2026-02-16 01:51:12.815"</f>
        <v>2026-02-16 01:51:12.815</v>
      </c>
      <c r="H477" t="s">
        <v>45</v>
      </c>
      <c r="I477">
        <v>16.010000000000002</v>
      </c>
      <c r="J477" t="s">
        <v>33</v>
      </c>
    </row>
    <row r="478" spans="1:10" x14ac:dyDescent="0.25">
      <c r="A478" s="1">
        <v>90</v>
      </c>
      <c r="B478" t="s">
        <v>35</v>
      </c>
      <c r="C478">
        <v>137</v>
      </c>
      <c r="D478">
        <v>4</v>
      </c>
      <c r="E478" t="s">
        <v>65</v>
      </c>
      <c r="F478" t="s">
        <v>66</v>
      </c>
      <c r="G478" t="str">
        <f>"2026-02-15 23:25:20.906"</f>
        <v>2026-02-15 23:25:20.906</v>
      </c>
      <c r="H478" t="s">
        <v>48</v>
      </c>
    </row>
    <row r="479" spans="1:10" x14ac:dyDescent="0.25">
      <c r="A479" s="1">
        <v>91</v>
      </c>
      <c r="B479" t="s">
        <v>39</v>
      </c>
      <c r="C479">
        <v>137</v>
      </c>
      <c r="D479">
        <v>4</v>
      </c>
      <c r="E479" t="s">
        <v>65</v>
      </c>
      <c r="F479" t="s">
        <v>66</v>
      </c>
      <c r="G479" t="str">
        <f>"2026-02-15 23:25:15.855"</f>
        <v>2026-02-15 23:25:15.855</v>
      </c>
      <c r="H479" t="s">
        <v>48</v>
      </c>
      <c r="I479">
        <v>18.420000000000002</v>
      </c>
      <c r="J479" t="s">
        <v>33</v>
      </c>
    </row>
    <row r="480" spans="1:10" x14ac:dyDescent="0.25">
      <c r="A480" s="1">
        <v>92</v>
      </c>
      <c r="B480" t="s">
        <v>35</v>
      </c>
      <c r="C480">
        <v>137</v>
      </c>
      <c r="D480">
        <v>4</v>
      </c>
      <c r="E480" t="s">
        <v>65</v>
      </c>
      <c r="F480" t="s">
        <v>66</v>
      </c>
      <c r="G480" t="str">
        <f>"2026-02-15 21:44:53.906"</f>
        <v>2026-02-15 21:44:53.906</v>
      </c>
      <c r="H480" t="s">
        <v>48</v>
      </c>
    </row>
    <row r="481" spans="1:10" x14ac:dyDescent="0.25">
      <c r="A481" s="1">
        <v>93</v>
      </c>
      <c r="B481" t="s">
        <v>39</v>
      </c>
      <c r="C481">
        <v>137</v>
      </c>
      <c r="D481">
        <v>4</v>
      </c>
      <c r="E481" t="s">
        <v>65</v>
      </c>
      <c r="F481" t="s">
        <v>66</v>
      </c>
      <c r="G481" t="str">
        <f>"2026-02-15 21:44:48.855"</f>
        <v>2026-02-15 21:44:48.855</v>
      </c>
      <c r="H481" t="s">
        <v>48</v>
      </c>
      <c r="I481">
        <v>8.1999999999999993</v>
      </c>
      <c r="J481" t="s">
        <v>33</v>
      </c>
    </row>
    <row r="482" spans="1:10" x14ac:dyDescent="0.25">
      <c r="A482" s="1">
        <v>94</v>
      </c>
      <c r="B482" t="s">
        <v>19</v>
      </c>
      <c r="C482">
        <v>706</v>
      </c>
      <c r="D482">
        <v>2</v>
      </c>
      <c r="E482" t="s">
        <v>20</v>
      </c>
      <c r="F482" t="s">
        <v>25</v>
      </c>
      <c r="G482" t="str">
        <f>"2026-02-15 13:17:03.479"</f>
        <v>2026-02-15 13:17:03.479</v>
      </c>
      <c r="H482" t="s">
        <v>22</v>
      </c>
      <c r="I482">
        <v>0</v>
      </c>
      <c r="J482" t="s">
        <v>23</v>
      </c>
    </row>
    <row r="483" spans="1:10" x14ac:dyDescent="0.25">
      <c r="A483" s="1">
        <v>95</v>
      </c>
      <c r="B483" t="s">
        <v>35</v>
      </c>
      <c r="C483">
        <v>137</v>
      </c>
      <c r="D483">
        <v>4</v>
      </c>
      <c r="E483" t="s">
        <v>65</v>
      </c>
      <c r="F483" t="s">
        <v>66</v>
      </c>
      <c r="G483" t="str">
        <f>"2026-02-15 10:43:59.005"</f>
        <v>2026-02-15 10:43:59.005</v>
      </c>
      <c r="H483" t="s">
        <v>48</v>
      </c>
    </row>
    <row r="484" spans="1:10" x14ac:dyDescent="0.25">
      <c r="A484" s="1">
        <v>96</v>
      </c>
      <c r="B484" t="s">
        <v>39</v>
      </c>
      <c r="C484">
        <v>137</v>
      </c>
      <c r="D484">
        <v>4</v>
      </c>
      <c r="E484" t="s">
        <v>65</v>
      </c>
      <c r="F484" t="s">
        <v>66</v>
      </c>
      <c r="G484" t="str">
        <f>"2026-02-15 10:43:53.975"</f>
        <v>2026-02-15 10:43:53.975</v>
      </c>
      <c r="H484" t="s">
        <v>48</v>
      </c>
      <c r="I484">
        <v>24.26</v>
      </c>
      <c r="J484" t="s">
        <v>33</v>
      </c>
    </row>
    <row r="485" spans="1:10" s="3" customFormat="1" x14ac:dyDescent="0.25">
      <c r="A485" s="2">
        <v>97</v>
      </c>
      <c r="B485" s="3" t="s">
        <v>26</v>
      </c>
      <c r="C485" s="3">
        <v>647</v>
      </c>
      <c r="D485" s="3">
        <v>1</v>
      </c>
      <c r="E485" s="3" t="s">
        <v>27</v>
      </c>
      <c r="F485" s="3" t="s">
        <v>28</v>
      </c>
      <c r="G485" s="3" t="str">
        <f>"2026-02-15 08:30:01.750"</f>
        <v>2026-02-15 08:30:01.750</v>
      </c>
      <c r="H485" s="3" t="s">
        <v>22</v>
      </c>
    </row>
    <row r="486" spans="1:10" s="3" customFormat="1" x14ac:dyDescent="0.25">
      <c r="A486" s="2">
        <v>98</v>
      </c>
      <c r="B486" s="3" t="s">
        <v>29</v>
      </c>
      <c r="C486" s="3">
        <v>647</v>
      </c>
      <c r="D486" s="3">
        <v>1</v>
      </c>
      <c r="E486" s="3" t="s">
        <v>27</v>
      </c>
      <c r="F486" s="3" t="s">
        <v>28</v>
      </c>
      <c r="G486" s="3" t="str">
        <f>"2026-02-15 08:29:56.850"</f>
        <v>2026-02-15 08:29:56.850</v>
      </c>
      <c r="H486" s="3" t="s">
        <v>22</v>
      </c>
      <c r="I486" s="3">
        <v>31.28</v>
      </c>
      <c r="J486" s="3" t="s">
        <v>30</v>
      </c>
    </row>
    <row r="487" spans="1:10" x14ac:dyDescent="0.25">
      <c r="A487" s="1">
        <v>99</v>
      </c>
      <c r="B487" t="s">
        <v>26</v>
      </c>
      <c r="C487">
        <v>61</v>
      </c>
      <c r="D487">
        <v>2</v>
      </c>
      <c r="E487" t="s">
        <v>59</v>
      </c>
      <c r="F487" t="s">
        <v>60</v>
      </c>
      <c r="G487" t="str">
        <f>"2026-02-14 19:11:21.962"</f>
        <v>2026-02-14 19:11:21.962</v>
      </c>
      <c r="H487" t="s">
        <v>22</v>
      </c>
    </row>
    <row r="488" spans="1:10" x14ac:dyDescent="0.25">
      <c r="A488" s="1">
        <v>0</v>
      </c>
      <c r="B488" t="s">
        <v>39</v>
      </c>
      <c r="C488">
        <v>61</v>
      </c>
      <c r="D488">
        <v>2</v>
      </c>
      <c r="E488" t="s">
        <v>59</v>
      </c>
      <c r="F488" t="s">
        <v>60</v>
      </c>
      <c r="G488" t="str">
        <f>"2026-02-14 19:11:11.462"</f>
        <v>2026-02-14 19:11:11.462</v>
      </c>
      <c r="H488" t="s">
        <v>22</v>
      </c>
      <c r="I488">
        <v>37.25</v>
      </c>
      <c r="J488" t="s">
        <v>30</v>
      </c>
    </row>
    <row r="489" spans="1:10" x14ac:dyDescent="0.25">
      <c r="A489" s="1">
        <v>2</v>
      </c>
      <c r="B489" t="s">
        <v>19</v>
      </c>
      <c r="C489">
        <v>706</v>
      </c>
      <c r="D489">
        <v>2</v>
      </c>
      <c r="E489" t="s">
        <v>20</v>
      </c>
      <c r="F489" t="s">
        <v>25</v>
      </c>
      <c r="G489" t="str">
        <f>"2026-02-14 08:19:08.579"</f>
        <v>2026-02-14 08:19:08.579</v>
      </c>
      <c r="H489" t="s">
        <v>22</v>
      </c>
      <c r="I489">
        <v>0</v>
      </c>
      <c r="J489" t="s">
        <v>23</v>
      </c>
    </row>
    <row r="490" spans="1:10" x14ac:dyDescent="0.25">
      <c r="A490" s="1">
        <v>3</v>
      </c>
      <c r="B490" t="s">
        <v>19</v>
      </c>
      <c r="C490">
        <v>706</v>
      </c>
      <c r="D490">
        <v>4</v>
      </c>
      <c r="E490" t="s">
        <v>20</v>
      </c>
      <c r="F490" t="s">
        <v>21</v>
      </c>
      <c r="G490" t="str">
        <f>"2026-02-13 19:57:54.909"</f>
        <v>2026-02-13 19:57:54.909</v>
      </c>
      <c r="H490" t="s">
        <v>22</v>
      </c>
      <c r="I490">
        <v>0</v>
      </c>
      <c r="J490" t="s">
        <v>23</v>
      </c>
    </row>
    <row r="491" spans="1:10" x14ac:dyDescent="0.25">
      <c r="A491" s="1">
        <v>4</v>
      </c>
      <c r="B491" t="s">
        <v>26</v>
      </c>
      <c r="C491">
        <v>635</v>
      </c>
      <c r="D491">
        <v>1</v>
      </c>
      <c r="E491" t="s">
        <v>31</v>
      </c>
      <c r="F491" t="s">
        <v>32</v>
      </c>
      <c r="G491" t="str">
        <f>"2026-02-13 15:24:24.801"</f>
        <v>2026-02-13 15:24:24.801</v>
      </c>
      <c r="H491" t="s">
        <v>22</v>
      </c>
    </row>
    <row r="492" spans="1:10" x14ac:dyDescent="0.25">
      <c r="A492" s="1">
        <v>5</v>
      </c>
      <c r="B492" t="s">
        <v>29</v>
      </c>
      <c r="C492">
        <v>635</v>
      </c>
      <c r="D492">
        <v>1</v>
      </c>
      <c r="E492" t="s">
        <v>31</v>
      </c>
      <c r="F492" t="s">
        <v>32</v>
      </c>
      <c r="G492" t="str">
        <f>"2026-02-13 15:16:27.301"</f>
        <v>2026-02-13 15:16:27.301</v>
      </c>
      <c r="H492" t="s">
        <v>22</v>
      </c>
      <c r="I492">
        <v>7.57</v>
      </c>
      <c r="J492" t="s">
        <v>30</v>
      </c>
    </row>
    <row r="493" spans="1:10" x14ac:dyDescent="0.25">
      <c r="A493" s="1">
        <v>6</v>
      </c>
      <c r="B493" t="s">
        <v>26</v>
      </c>
      <c r="C493">
        <v>635</v>
      </c>
      <c r="D493">
        <v>1</v>
      </c>
      <c r="E493" t="s">
        <v>31</v>
      </c>
      <c r="F493" t="s">
        <v>32</v>
      </c>
      <c r="G493" t="str">
        <f>"2026-02-13 11:58:05.201"</f>
        <v>2026-02-13 11:58:05.201</v>
      </c>
      <c r="H493" t="s">
        <v>22</v>
      </c>
    </row>
    <row r="494" spans="1:10" x14ac:dyDescent="0.25">
      <c r="A494" s="1">
        <v>7</v>
      </c>
      <c r="B494" t="s">
        <v>29</v>
      </c>
      <c r="C494">
        <v>635</v>
      </c>
      <c r="D494">
        <v>1</v>
      </c>
      <c r="E494" t="s">
        <v>31</v>
      </c>
      <c r="F494" t="s">
        <v>32</v>
      </c>
      <c r="G494" t="str">
        <f>"2026-02-13 11:49:46.301"</f>
        <v>2026-02-13 11:49:46.301</v>
      </c>
      <c r="H494" t="s">
        <v>22</v>
      </c>
      <c r="I494">
        <v>6.87</v>
      </c>
      <c r="J494" t="s">
        <v>52</v>
      </c>
    </row>
    <row r="495" spans="1:10" x14ac:dyDescent="0.25">
      <c r="A495" s="1">
        <v>8</v>
      </c>
      <c r="B495" t="s">
        <v>26</v>
      </c>
      <c r="C495">
        <v>635</v>
      </c>
      <c r="D495">
        <v>1</v>
      </c>
      <c r="E495" t="s">
        <v>31</v>
      </c>
      <c r="F495" t="s">
        <v>32</v>
      </c>
      <c r="G495" t="str">
        <f>"2026-02-13 11:38:59.301"</f>
        <v>2026-02-13 11:38:59.301</v>
      </c>
      <c r="H495" t="s">
        <v>22</v>
      </c>
    </row>
    <row r="496" spans="1:10" x14ac:dyDescent="0.25">
      <c r="A496" s="1">
        <v>9</v>
      </c>
      <c r="B496" t="s">
        <v>29</v>
      </c>
      <c r="C496">
        <v>635</v>
      </c>
      <c r="D496">
        <v>1</v>
      </c>
      <c r="E496" t="s">
        <v>31</v>
      </c>
      <c r="F496" t="s">
        <v>32</v>
      </c>
      <c r="G496" t="str">
        <f>"2026-02-13 11:30:17.801"</f>
        <v>2026-02-13 11:30:17.801</v>
      </c>
      <c r="H496" t="s">
        <v>22</v>
      </c>
      <c r="I496">
        <v>7.05</v>
      </c>
      <c r="J496" t="s">
        <v>30</v>
      </c>
    </row>
    <row r="497" spans="1:10" x14ac:dyDescent="0.25">
      <c r="A497" s="1">
        <v>10</v>
      </c>
      <c r="B497" t="s">
        <v>19</v>
      </c>
      <c r="C497">
        <v>706</v>
      </c>
      <c r="D497">
        <v>4</v>
      </c>
      <c r="E497" t="s">
        <v>20</v>
      </c>
      <c r="F497" t="s">
        <v>21</v>
      </c>
      <c r="G497" t="str">
        <f>"2026-02-13 09:31:19.569"</f>
        <v>2026-02-13 09:31:19.569</v>
      </c>
      <c r="H497" t="s">
        <v>22</v>
      </c>
      <c r="I497">
        <v>0</v>
      </c>
      <c r="J497" t="s">
        <v>23</v>
      </c>
    </row>
    <row r="498" spans="1:10" s="3" customFormat="1" x14ac:dyDescent="0.25">
      <c r="A498" s="2">
        <v>11</v>
      </c>
      <c r="B498" s="3" t="s">
        <v>26</v>
      </c>
      <c r="C498" s="3">
        <v>647</v>
      </c>
      <c r="D498" s="3">
        <v>1</v>
      </c>
      <c r="E498" s="3" t="s">
        <v>27</v>
      </c>
      <c r="F498" s="3" t="s">
        <v>28</v>
      </c>
      <c r="G498" s="3" t="str">
        <f>"2026-02-13 09:19:09.550"</f>
        <v>2026-02-13 09:19:09.550</v>
      </c>
      <c r="H498" s="3" t="s">
        <v>22</v>
      </c>
    </row>
    <row r="499" spans="1:10" s="3" customFormat="1" x14ac:dyDescent="0.25">
      <c r="A499" s="2">
        <v>12</v>
      </c>
      <c r="B499" s="3" t="s">
        <v>29</v>
      </c>
      <c r="C499" s="3">
        <v>647</v>
      </c>
      <c r="D499" s="3">
        <v>1</v>
      </c>
      <c r="E499" s="3" t="s">
        <v>27</v>
      </c>
      <c r="F499" s="3" t="s">
        <v>28</v>
      </c>
      <c r="G499" s="3" t="str">
        <f>"2026-02-13 09:19:01.850"</f>
        <v>2026-02-13 09:19:01.850</v>
      </c>
      <c r="H499" s="3" t="s">
        <v>22</v>
      </c>
      <c r="I499" s="3">
        <v>23.55</v>
      </c>
      <c r="J499" s="3" t="s">
        <v>30</v>
      </c>
    </row>
    <row r="500" spans="1:10" x14ac:dyDescent="0.25">
      <c r="A500" s="1">
        <v>13</v>
      </c>
      <c r="B500" t="s">
        <v>26</v>
      </c>
      <c r="C500">
        <v>61</v>
      </c>
      <c r="D500">
        <v>2</v>
      </c>
      <c r="E500" t="s">
        <v>59</v>
      </c>
      <c r="F500" t="s">
        <v>60</v>
      </c>
      <c r="G500" t="str">
        <f>"2026-02-13 07:02:41.662"</f>
        <v>2026-02-13 07:02:41.662</v>
      </c>
      <c r="H500" t="s">
        <v>22</v>
      </c>
    </row>
    <row r="501" spans="1:10" x14ac:dyDescent="0.25">
      <c r="A501" s="1">
        <v>14</v>
      </c>
      <c r="B501" t="s">
        <v>39</v>
      </c>
      <c r="C501">
        <v>61</v>
      </c>
      <c r="D501">
        <v>2</v>
      </c>
      <c r="E501" t="s">
        <v>59</v>
      </c>
      <c r="F501" t="s">
        <v>60</v>
      </c>
      <c r="G501" t="str">
        <f>"2026-02-13 07:02:33.062"</f>
        <v>2026-02-13 07:02:33.062</v>
      </c>
      <c r="H501" t="s">
        <v>22</v>
      </c>
      <c r="I501">
        <v>35.33</v>
      </c>
      <c r="J501" t="s">
        <v>30</v>
      </c>
    </row>
    <row r="502" spans="1:10" x14ac:dyDescent="0.25">
      <c r="A502" s="1">
        <v>15</v>
      </c>
      <c r="B502" t="s">
        <v>26</v>
      </c>
      <c r="C502">
        <v>635</v>
      </c>
      <c r="D502">
        <v>1</v>
      </c>
      <c r="E502" t="s">
        <v>31</v>
      </c>
      <c r="F502" t="s">
        <v>32</v>
      </c>
      <c r="G502" t="str">
        <f>"2026-02-13 04:37:32.701"</f>
        <v>2026-02-13 04:37:32.701</v>
      </c>
      <c r="H502" t="s">
        <v>22</v>
      </c>
    </row>
    <row r="503" spans="1:10" x14ac:dyDescent="0.25">
      <c r="A503" s="1">
        <v>16</v>
      </c>
      <c r="B503" t="s">
        <v>29</v>
      </c>
      <c r="C503">
        <v>635</v>
      </c>
      <c r="D503">
        <v>1</v>
      </c>
      <c r="E503" t="s">
        <v>31</v>
      </c>
      <c r="F503" t="s">
        <v>32</v>
      </c>
      <c r="G503" t="str">
        <f>"2026-02-13 04:32:00.201"</f>
        <v>2026-02-13 04:32:00.201</v>
      </c>
      <c r="H503" t="s">
        <v>22</v>
      </c>
      <c r="I503">
        <v>3.05</v>
      </c>
      <c r="J503" t="s">
        <v>33</v>
      </c>
    </row>
    <row r="504" spans="1:10" x14ac:dyDescent="0.25">
      <c r="A504" s="1">
        <v>17</v>
      </c>
      <c r="B504" t="s">
        <v>26</v>
      </c>
      <c r="C504">
        <v>61</v>
      </c>
      <c r="D504">
        <v>2</v>
      </c>
      <c r="E504" t="s">
        <v>59</v>
      </c>
      <c r="F504" t="s">
        <v>60</v>
      </c>
      <c r="G504" t="str">
        <f>"2026-02-12 17:13:12.862"</f>
        <v>2026-02-12 17:13:12.862</v>
      </c>
      <c r="H504" t="s">
        <v>22</v>
      </c>
    </row>
    <row r="505" spans="1:10" x14ac:dyDescent="0.25">
      <c r="A505" s="1">
        <v>18</v>
      </c>
      <c r="B505" t="s">
        <v>39</v>
      </c>
      <c r="C505">
        <v>61</v>
      </c>
      <c r="D505">
        <v>2</v>
      </c>
      <c r="E505" t="s">
        <v>59</v>
      </c>
      <c r="F505" t="s">
        <v>60</v>
      </c>
      <c r="G505" t="str">
        <f>"2026-02-12 17:13:03.462"</f>
        <v>2026-02-12 17:13:03.462</v>
      </c>
      <c r="H505" t="s">
        <v>22</v>
      </c>
      <c r="I505">
        <v>36.03</v>
      </c>
      <c r="J505" t="s">
        <v>30</v>
      </c>
    </row>
    <row r="506" spans="1:10" x14ac:dyDescent="0.25">
      <c r="A506" s="1">
        <v>19</v>
      </c>
      <c r="B506" t="s">
        <v>19</v>
      </c>
      <c r="C506">
        <v>706</v>
      </c>
      <c r="D506">
        <v>2</v>
      </c>
      <c r="E506" t="s">
        <v>20</v>
      </c>
      <c r="F506" t="s">
        <v>25</v>
      </c>
      <c r="G506" t="str">
        <f>"2026-02-12 13:22:01.779"</f>
        <v>2026-02-12 13:22:01.779</v>
      </c>
      <c r="H506" t="s">
        <v>22</v>
      </c>
      <c r="I506">
        <v>0</v>
      </c>
      <c r="J506" t="s">
        <v>23</v>
      </c>
    </row>
    <row r="507" spans="1:10" x14ac:dyDescent="0.25">
      <c r="A507" s="1">
        <v>20</v>
      </c>
      <c r="B507" t="s">
        <v>26</v>
      </c>
      <c r="C507">
        <v>635</v>
      </c>
      <c r="D507">
        <v>1</v>
      </c>
      <c r="E507" t="s">
        <v>31</v>
      </c>
      <c r="F507" t="s">
        <v>32</v>
      </c>
      <c r="G507" t="str">
        <f>"2026-02-11 22:59:32.101"</f>
        <v>2026-02-11 22:59:32.101</v>
      </c>
      <c r="H507" t="s">
        <v>22</v>
      </c>
    </row>
    <row r="508" spans="1:10" x14ac:dyDescent="0.25">
      <c r="A508" s="1">
        <v>21</v>
      </c>
      <c r="B508" t="s">
        <v>29</v>
      </c>
      <c r="C508">
        <v>635</v>
      </c>
      <c r="D508">
        <v>1</v>
      </c>
      <c r="E508" t="s">
        <v>31</v>
      </c>
      <c r="F508" t="s">
        <v>32</v>
      </c>
      <c r="G508" t="str">
        <f>"2026-02-11 22:54:30.101"</f>
        <v>2026-02-11 22:54:30.101</v>
      </c>
      <c r="H508" t="s">
        <v>22</v>
      </c>
      <c r="I508">
        <v>2.73</v>
      </c>
      <c r="J508" t="s">
        <v>33</v>
      </c>
    </row>
    <row r="509" spans="1:10" x14ac:dyDescent="0.25">
      <c r="A509" s="1">
        <v>22</v>
      </c>
      <c r="B509" t="s">
        <v>19</v>
      </c>
      <c r="C509">
        <v>706</v>
      </c>
      <c r="D509">
        <v>4</v>
      </c>
      <c r="E509" t="s">
        <v>20</v>
      </c>
      <c r="F509" t="s">
        <v>21</v>
      </c>
      <c r="G509" t="str">
        <f>"2026-02-11 20:07:19.169"</f>
        <v>2026-02-11 20:07:19.169</v>
      </c>
      <c r="H509" t="s">
        <v>22</v>
      </c>
      <c r="I509">
        <v>0</v>
      </c>
      <c r="J509" t="s">
        <v>23</v>
      </c>
    </row>
    <row r="510" spans="1:10" x14ac:dyDescent="0.25">
      <c r="A510" s="1">
        <v>23</v>
      </c>
      <c r="B510" t="s">
        <v>19</v>
      </c>
      <c r="C510">
        <v>706</v>
      </c>
      <c r="D510">
        <v>4</v>
      </c>
      <c r="E510" t="s">
        <v>20</v>
      </c>
      <c r="F510" t="s">
        <v>21</v>
      </c>
      <c r="G510" t="str">
        <f>"2026-02-11 13:38:10.419"</f>
        <v>2026-02-11 13:38:10.419</v>
      </c>
      <c r="H510" t="s">
        <v>22</v>
      </c>
      <c r="I510">
        <v>0</v>
      </c>
      <c r="J510" t="s">
        <v>23</v>
      </c>
    </row>
    <row r="511" spans="1:10" x14ac:dyDescent="0.25">
      <c r="A511" s="1">
        <v>24</v>
      </c>
      <c r="B511" t="s">
        <v>19</v>
      </c>
      <c r="C511">
        <v>700</v>
      </c>
      <c r="D511">
        <v>0</v>
      </c>
      <c r="E511" t="s">
        <v>24</v>
      </c>
      <c r="F511" t="s">
        <v>24</v>
      </c>
      <c r="G511" t="str">
        <f>"2026-02-11 13:37:53.209"</f>
        <v>2026-02-11 13:37:53.209</v>
      </c>
      <c r="H511" t="s">
        <v>22</v>
      </c>
      <c r="I511">
        <v>0</v>
      </c>
      <c r="J511" t="s">
        <v>34</v>
      </c>
    </row>
    <row r="512" spans="1:10" x14ac:dyDescent="0.25">
      <c r="A512" s="1">
        <v>25</v>
      </c>
      <c r="B512" t="s">
        <v>19</v>
      </c>
      <c r="C512">
        <v>700</v>
      </c>
      <c r="D512">
        <v>0</v>
      </c>
      <c r="E512" t="s">
        <v>24</v>
      </c>
      <c r="F512" t="s">
        <v>24</v>
      </c>
      <c r="G512" t="str">
        <f>"2026-02-11 09:31:21.214"</f>
        <v>2026-02-11 09:31:21.214</v>
      </c>
      <c r="H512" t="s">
        <v>22</v>
      </c>
      <c r="I512">
        <v>0</v>
      </c>
      <c r="J512" t="s">
        <v>34</v>
      </c>
    </row>
    <row r="513" spans="1:10" s="3" customFormat="1" x14ac:dyDescent="0.25">
      <c r="A513" s="2">
        <v>26</v>
      </c>
      <c r="B513" s="3" t="s">
        <v>26</v>
      </c>
      <c r="C513" s="3">
        <v>647</v>
      </c>
      <c r="D513" s="3">
        <v>1</v>
      </c>
      <c r="E513" s="3" t="s">
        <v>27</v>
      </c>
      <c r="F513" s="3" t="s">
        <v>28</v>
      </c>
      <c r="G513" s="3" t="str">
        <f>"2026-02-11 09:05:46.731"</f>
        <v>2026-02-11 09:05:46.731</v>
      </c>
      <c r="H513" s="3" t="s">
        <v>22</v>
      </c>
    </row>
    <row r="514" spans="1:10" s="3" customFormat="1" x14ac:dyDescent="0.25">
      <c r="A514" s="2">
        <v>27</v>
      </c>
      <c r="B514" s="3" t="s">
        <v>29</v>
      </c>
      <c r="C514" s="3">
        <v>647</v>
      </c>
      <c r="D514" s="3">
        <v>1</v>
      </c>
      <c r="E514" s="3" t="s">
        <v>27</v>
      </c>
      <c r="F514" s="3" t="s">
        <v>28</v>
      </c>
      <c r="G514" s="3" t="str">
        <f>"2026-02-11 09:05:43.031"</f>
        <v>2026-02-11 09:05:43.031</v>
      </c>
      <c r="H514" s="3" t="s">
        <v>22</v>
      </c>
      <c r="I514" s="3">
        <v>9.9499999999999993</v>
      </c>
      <c r="J514" s="3" t="s">
        <v>30</v>
      </c>
    </row>
    <row r="515" spans="1:10" x14ac:dyDescent="0.25">
      <c r="A515" s="1">
        <v>28</v>
      </c>
      <c r="B515" t="s">
        <v>19</v>
      </c>
      <c r="C515">
        <v>706</v>
      </c>
      <c r="D515">
        <v>4</v>
      </c>
      <c r="E515" t="s">
        <v>20</v>
      </c>
      <c r="F515" t="s">
        <v>21</v>
      </c>
      <c r="G515" t="str">
        <f>"2026-02-10 09:15:17.963"</f>
        <v>2026-02-10 09:15:17.963</v>
      </c>
      <c r="H515" t="s">
        <v>22</v>
      </c>
      <c r="I515">
        <v>0</v>
      </c>
      <c r="J515" t="s">
        <v>23</v>
      </c>
    </row>
    <row r="516" spans="1:10" s="3" customFormat="1" x14ac:dyDescent="0.25">
      <c r="A516" s="2">
        <v>29</v>
      </c>
      <c r="B516" s="3" t="s">
        <v>26</v>
      </c>
      <c r="C516" s="3">
        <v>647</v>
      </c>
      <c r="D516" s="3">
        <v>1</v>
      </c>
      <c r="E516" s="3" t="s">
        <v>27</v>
      </c>
      <c r="F516" s="3" t="s">
        <v>28</v>
      </c>
      <c r="G516" s="3" t="str">
        <f>"2026-02-09 17:49:44.231"</f>
        <v>2026-02-09 17:49:44.231</v>
      </c>
      <c r="H516" s="3" t="s">
        <v>22</v>
      </c>
    </row>
    <row r="517" spans="1:10" s="3" customFormat="1" x14ac:dyDescent="0.25">
      <c r="A517" s="2">
        <v>30</v>
      </c>
      <c r="B517" s="3" t="s">
        <v>29</v>
      </c>
      <c r="C517" s="3">
        <v>647</v>
      </c>
      <c r="D517" s="3">
        <v>1</v>
      </c>
      <c r="E517" s="3" t="s">
        <v>27</v>
      </c>
      <c r="F517" s="3" t="s">
        <v>28</v>
      </c>
      <c r="G517" s="3" t="str">
        <f>"2026-02-09 17:49:40.331"</f>
        <v>2026-02-09 17:49:40.331</v>
      </c>
      <c r="H517" s="3" t="s">
        <v>22</v>
      </c>
      <c r="I517" s="3">
        <v>11.25</v>
      </c>
      <c r="J517" s="3" t="s">
        <v>30</v>
      </c>
    </row>
    <row r="518" spans="1:10" x14ac:dyDescent="0.25">
      <c r="A518" s="1">
        <v>31</v>
      </c>
      <c r="B518" t="s">
        <v>26</v>
      </c>
      <c r="C518">
        <v>61</v>
      </c>
      <c r="D518">
        <v>2</v>
      </c>
      <c r="E518" t="s">
        <v>59</v>
      </c>
      <c r="F518" t="s">
        <v>60</v>
      </c>
      <c r="G518" t="str">
        <f>"2026-02-08 16:36:30.744"</f>
        <v>2026-02-08 16:36:30.744</v>
      </c>
      <c r="H518" t="s">
        <v>22</v>
      </c>
    </row>
    <row r="519" spans="1:10" x14ac:dyDescent="0.25">
      <c r="A519" s="1">
        <v>32</v>
      </c>
      <c r="B519" t="s">
        <v>39</v>
      </c>
      <c r="C519">
        <v>61</v>
      </c>
      <c r="D519">
        <v>2</v>
      </c>
      <c r="E519" t="s">
        <v>59</v>
      </c>
      <c r="F519" t="s">
        <v>60</v>
      </c>
      <c r="G519" t="str">
        <f>"2026-02-08 16:36:20.744"</f>
        <v>2026-02-08 16:36:20.744</v>
      </c>
      <c r="H519" t="s">
        <v>22</v>
      </c>
      <c r="I519">
        <v>36.71</v>
      </c>
      <c r="J519" t="s">
        <v>30</v>
      </c>
    </row>
    <row r="520" spans="1:10" s="3" customFormat="1" x14ac:dyDescent="0.25">
      <c r="A520" s="2">
        <v>33</v>
      </c>
      <c r="B520" s="3" t="s">
        <v>26</v>
      </c>
      <c r="C520" s="3">
        <v>647</v>
      </c>
      <c r="D520" s="3">
        <v>1</v>
      </c>
      <c r="E520" s="3" t="s">
        <v>27</v>
      </c>
      <c r="F520" s="3" t="s">
        <v>28</v>
      </c>
      <c r="G520" s="3" t="str">
        <f>"2026-02-08 15:34:31.931"</f>
        <v>2026-02-08 15:34:31.931</v>
      </c>
      <c r="H520" s="3" t="s">
        <v>22</v>
      </c>
    </row>
    <row r="521" spans="1:10" s="3" customFormat="1" x14ac:dyDescent="0.25">
      <c r="A521" s="2">
        <v>34</v>
      </c>
      <c r="B521" s="3" t="s">
        <v>29</v>
      </c>
      <c r="C521" s="3">
        <v>647</v>
      </c>
      <c r="D521" s="3">
        <v>1</v>
      </c>
      <c r="E521" s="3" t="s">
        <v>27</v>
      </c>
      <c r="F521" s="3" t="s">
        <v>28</v>
      </c>
      <c r="G521" s="3" t="str">
        <f>"2026-02-08 15:34:27.232"</f>
        <v>2026-02-08 15:34:27.232</v>
      </c>
      <c r="H521" s="3" t="s">
        <v>22</v>
      </c>
      <c r="I521" s="3">
        <v>9.89</v>
      </c>
      <c r="J521" s="3" t="s">
        <v>30</v>
      </c>
    </row>
    <row r="522" spans="1:10" x14ac:dyDescent="0.25">
      <c r="A522" s="1">
        <v>35</v>
      </c>
      <c r="B522" t="s">
        <v>19</v>
      </c>
      <c r="C522">
        <v>706</v>
      </c>
      <c r="D522">
        <v>2</v>
      </c>
      <c r="E522" t="s">
        <v>20</v>
      </c>
      <c r="F522" t="s">
        <v>25</v>
      </c>
      <c r="G522" t="str">
        <f>"2026-02-08 13:20:28.053"</f>
        <v>2026-02-08 13:20:28.053</v>
      </c>
      <c r="H522" t="s">
        <v>22</v>
      </c>
      <c r="I522">
        <v>0</v>
      </c>
      <c r="J522" t="s">
        <v>23</v>
      </c>
    </row>
    <row r="523" spans="1:10" s="3" customFormat="1" x14ac:dyDescent="0.25">
      <c r="A523" s="2">
        <v>36</v>
      </c>
      <c r="B523" s="3" t="s">
        <v>26</v>
      </c>
      <c r="C523" s="3">
        <v>647</v>
      </c>
      <c r="D523" s="3">
        <v>1</v>
      </c>
      <c r="E523" s="3" t="s">
        <v>27</v>
      </c>
      <c r="F523" s="3" t="s">
        <v>28</v>
      </c>
      <c r="G523" s="3" t="str">
        <f>"2026-02-08 07:36:00.631"</f>
        <v>2026-02-08 07:36:00.631</v>
      </c>
      <c r="H523" s="3" t="s">
        <v>22</v>
      </c>
    </row>
    <row r="524" spans="1:10" s="3" customFormat="1" x14ac:dyDescent="0.25">
      <c r="A524" s="2">
        <v>37</v>
      </c>
      <c r="B524" s="3" t="s">
        <v>29</v>
      </c>
      <c r="C524" s="3">
        <v>647</v>
      </c>
      <c r="D524" s="3">
        <v>1</v>
      </c>
      <c r="E524" s="3" t="s">
        <v>27</v>
      </c>
      <c r="F524" s="3" t="s">
        <v>28</v>
      </c>
      <c r="G524" s="3" t="str">
        <f>"2026-02-08 07:35:54.931"</f>
        <v>2026-02-08 07:35:54.931</v>
      </c>
      <c r="H524" s="3" t="s">
        <v>22</v>
      </c>
      <c r="I524" s="3">
        <v>11.31</v>
      </c>
      <c r="J524" s="3" t="s">
        <v>30</v>
      </c>
    </row>
    <row r="525" spans="1:10" s="3" customFormat="1" x14ac:dyDescent="0.25">
      <c r="A525" s="2">
        <v>38</v>
      </c>
      <c r="B525" s="3" t="s">
        <v>26</v>
      </c>
      <c r="C525" s="3">
        <v>647</v>
      </c>
      <c r="D525" s="3">
        <v>1</v>
      </c>
      <c r="E525" s="3" t="s">
        <v>27</v>
      </c>
      <c r="F525" s="3" t="s">
        <v>28</v>
      </c>
      <c r="G525" s="3" t="str">
        <f>"2026-02-07 19:05:39.331"</f>
        <v>2026-02-07 19:05:39.331</v>
      </c>
      <c r="H525" s="3" t="s">
        <v>22</v>
      </c>
    </row>
    <row r="526" spans="1:10" s="3" customFormat="1" x14ac:dyDescent="0.25">
      <c r="A526" s="2">
        <v>39</v>
      </c>
      <c r="B526" s="3" t="s">
        <v>29</v>
      </c>
      <c r="C526" s="3">
        <v>647</v>
      </c>
      <c r="D526" s="3">
        <v>1</v>
      </c>
      <c r="E526" s="3" t="s">
        <v>27</v>
      </c>
      <c r="F526" s="3" t="s">
        <v>28</v>
      </c>
      <c r="G526" s="3" t="str">
        <f>"2026-02-07 19:05:37.132"</f>
        <v>2026-02-07 19:05:37.132</v>
      </c>
      <c r="H526" s="3" t="s">
        <v>22</v>
      </c>
      <c r="I526" s="3">
        <v>8.3000000000000007</v>
      </c>
      <c r="J526" s="3" t="s">
        <v>30</v>
      </c>
    </row>
    <row r="527" spans="1:10" x14ac:dyDescent="0.25">
      <c r="A527" s="1">
        <v>40</v>
      </c>
      <c r="B527" t="s">
        <v>19</v>
      </c>
      <c r="C527">
        <v>700</v>
      </c>
      <c r="D527">
        <v>0</v>
      </c>
      <c r="E527" t="s">
        <v>24</v>
      </c>
      <c r="F527" t="s">
        <v>24</v>
      </c>
      <c r="G527" t="str">
        <f>"2026-02-07 13:52:29.183"</f>
        <v>2026-02-07 13:52:29.183</v>
      </c>
      <c r="H527" t="s">
        <v>22</v>
      </c>
    </row>
    <row r="528" spans="1:10" x14ac:dyDescent="0.25">
      <c r="A528" s="1">
        <v>41</v>
      </c>
      <c r="B528" t="s">
        <v>19</v>
      </c>
      <c r="C528">
        <v>706</v>
      </c>
      <c r="D528">
        <v>4</v>
      </c>
      <c r="E528" t="s">
        <v>20</v>
      </c>
      <c r="F528" t="s">
        <v>21</v>
      </c>
      <c r="G528" t="str">
        <f>"2026-02-07 12:23:50.757"</f>
        <v>2026-02-07 12:23:50.757</v>
      </c>
      <c r="H528" t="s">
        <v>22</v>
      </c>
      <c r="I528">
        <v>0</v>
      </c>
      <c r="J528" t="s">
        <v>23</v>
      </c>
    </row>
    <row r="529" spans="1:10" x14ac:dyDescent="0.25">
      <c r="A529" s="1">
        <v>42</v>
      </c>
      <c r="B529" t="s">
        <v>19</v>
      </c>
      <c r="C529">
        <v>700</v>
      </c>
      <c r="D529">
        <v>0</v>
      </c>
      <c r="E529" t="s">
        <v>24</v>
      </c>
      <c r="F529" t="s">
        <v>24</v>
      </c>
      <c r="G529" t="str">
        <f>"2026-02-07 12:23:01.187"</f>
        <v>2026-02-07 12:23:01.187</v>
      </c>
      <c r="H529" t="s">
        <v>22</v>
      </c>
    </row>
    <row r="530" spans="1:10" x14ac:dyDescent="0.25">
      <c r="A530" s="1">
        <v>43</v>
      </c>
      <c r="B530" t="s">
        <v>19</v>
      </c>
      <c r="C530">
        <v>700</v>
      </c>
      <c r="D530">
        <v>0</v>
      </c>
      <c r="E530" t="s">
        <v>24</v>
      </c>
      <c r="F530" t="s">
        <v>24</v>
      </c>
      <c r="G530" t="str">
        <f>"2026-02-07 11:26:06.531"</f>
        <v>2026-02-07 11:26:06.531</v>
      </c>
      <c r="H530" t="s">
        <v>22</v>
      </c>
      <c r="I530">
        <v>0</v>
      </c>
      <c r="J530" t="s">
        <v>34</v>
      </c>
    </row>
    <row r="531" spans="1:10" x14ac:dyDescent="0.25">
      <c r="A531" s="1">
        <v>44</v>
      </c>
      <c r="B531" t="s">
        <v>19</v>
      </c>
      <c r="C531">
        <v>706</v>
      </c>
      <c r="D531">
        <v>2</v>
      </c>
      <c r="E531" t="s">
        <v>20</v>
      </c>
      <c r="F531" t="s">
        <v>25</v>
      </c>
      <c r="G531" t="str">
        <f>"2026-02-07 10:24:16.171"</f>
        <v>2026-02-07 10:24:16.171</v>
      </c>
      <c r="H531" t="s">
        <v>22</v>
      </c>
      <c r="I531">
        <v>0</v>
      </c>
      <c r="J531" t="s">
        <v>23</v>
      </c>
    </row>
    <row r="532" spans="1:10" x14ac:dyDescent="0.25">
      <c r="A532" s="1">
        <v>45</v>
      </c>
      <c r="B532" t="s">
        <v>19</v>
      </c>
      <c r="C532">
        <v>700</v>
      </c>
      <c r="D532">
        <v>0</v>
      </c>
      <c r="E532" t="s">
        <v>24</v>
      </c>
      <c r="F532" t="s">
        <v>24</v>
      </c>
      <c r="G532" t="str">
        <f>"2026-02-07 09:40:37.201"</f>
        <v>2026-02-07 09:40:37.201</v>
      </c>
      <c r="H532" t="s">
        <v>22</v>
      </c>
      <c r="I532">
        <v>0</v>
      </c>
      <c r="J532" t="s">
        <v>34</v>
      </c>
    </row>
    <row r="533" spans="1:10" x14ac:dyDescent="0.25">
      <c r="A533" s="1">
        <v>47</v>
      </c>
      <c r="B533" t="s">
        <v>19</v>
      </c>
      <c r="C533">
        <v>706</v>
      </c>
      <c r="D533">
        <v>2</v>
      </c>
      <c r="E533" t="s">
        <v>20</v>
      </c>
      <c r="F533" t="s">
        <v>25</v>
      </c>
      <c r="G533" t="str">
        <f>"2026-02-06 13:12:41.033"</f>
        <v>2026-02-06 13:12:41.033</v>
      </c>
      <c r="H533" t="s">
        <v>22</v>
      </c>
      <c r="I533">
        <v>0</v>
      </c>
      <c r="J533" t="s">
        <v>23</v>
      </c>
    </row>
    <row r="534" spans="1:10" x14ac:dyDescent="0.25">
      <c r="A534" s="1">
        <v>48</v>
      </c>
      <c r="B534" t="s">
        <v>19</v>
      </c>
      <c r="C534">
        <v>706</v>
      </c>
      <c r="D534">
        <v>2</v>
      </c>
      <c r="E534" t="s">
        <v>20</v>
      </c>
      <c r="F534" t="s">
        <v>25</v>
      </c>
      <c r="G534" t="str">
        <f>"2026-02-05 22:52:51.933"</f>
        <v>2026-02-05 22:52:51.933</v>
      </c>
      <c r="H534" t="s">
        <v>22</v>
      </c>
      <c r="I534">
        <v>0</v>
      </c>
      <c r="J534" t="s">
        <v>23</v>
      </c>
    </row>
    <row r="535" spans="1:10" x14ac:dyDescent="0.25">
      <c r="A535" s="1">
        <v>49</v>
      </c>
      <c r="B535" t="s">
        <v>19</v>
      </c>
      <c r="C535">
        <v>706</v>
      </c>
      <c r="D535">
        <v>4</v>
      </c>
      <c r="E535" t="s">
        <v>20</v>
      </c>
      <c r="F535" t="s">
        <v>21</v>
      </c>
      <c r="G535" t="str">
        <f>"2026-02-05 10:41:52.613"</f>
        <v>2026-02-05 10:41:52.613</v>
      </c>
      <c r="H535" t="s">
        <v>22</v>
      </c>
      <c r="I535">
        <v>0</v>
      </c>
      <c r="J535" t="s">
        <v>23</v>
      </c>
    </row>
    <row r="536" spans="1:10" x14ac:dyDescent="0.25">
      <c r="A536" s="1">
        <v>50</v>
      </c>
      <c r="B536" t="s">
        <v>19</v>
      </c>
      <c r="C536">
        <v>700</v>
      </c>
      <c r="D536">
        <v>0</v>
      </c>
      <c r="E536" t="s">
        <v>24</v>
      </c>
      <c r="F536" t="s">
        <v>24</v>
      </c>
      <c r="G536" t="str">
        <f>"2026-02-05 10:34:36.253"</f>
        <v>2026-02-05 10:34:36.253</v>
      </c>
      <c r="H536" t="s">
        <v>22</v>
      </c>
      <c r="I536">
        <v>0</v>
      </c>
      <c r="J536" t="s">
        <v>34</v>
      </c>
    </row>
    <row r="537" spans="1:10" x14ac:dyDescent="0.25">
      <c r="A537" s="1">
        <v>51</v>
      </c>
      <c r="B537" t="s">
        <v>19</v>
      </c>
      <c r="C537">
        <v>706</v>
      </c>
      <c r="D537">
        <v>2</v>
      </c>
      <c r="E537" t="s">
        <v>20</v>
      </c>
      <c r="F537" t="s">
        <v>25</v>
      </c>
      <c r="G537" t="str">
        <f>"2026-02-04 20:14:04.049"</f>
        <v>2026-02-04 20:14:04.049</v>
      </c>
      <c r="H537" t="s">
        <v>22</v>
      </c>
      <c r="I537">
        <v>0</v>
      </c>
      <c r="J537" t="s">
        <v>23</v>
      </c>
    </row>
    <row r="538" spans="1:10" x14ac:dyDescent="0.25">
      <c r="A538" s="1">
        <v>52</v>
      </c>
      <c r="B538" t="s">
        <v>19</v>
      </c>
      <c r="C538">
        <v>706</v>
      </c>
      <c r="D538">
        <v>2</v>
      </c>
      <c r="E538" t="s">
        <v>20</v>
      </c>
      <c r="F538" t="s">
        <v>25</v>
      </c>
      <c r="G538" t="str">
        <f>"2026-02-04 13:53:22.549"</f>
        <v>2026-02-04 13:53:22.549</v>
      </c>
      <c r="H538" t="s">
        <v>22</v>
      </c>
      <c r="I538">
        <v>0</v>
      </c>
      <c r="J538" t="s">
        <v>23</v>
      </c>
    </row>
    <row r="539" spans="1:10" s="3" customFormat="1" x14ac:dyDescent="0.25">
      <c r="A539" s="2">
        <v>53</v>
      </c>
      <c r="B539" s="3" t="s">
        <v>26</v>
      </c>
      <c r="C539" s="3">
        <v>647</v>
      </c>
      <c r="D539" s="3">
        <v>1</v>
      </c>
      <c r="E539" s="3" t="s">
        <v>27</v>
      </c>
      <c r="F539" s="3" t="s">
        <v>28</v>
      </c>
      <c r="G539" s="3" t="str">
        <f>"2026-02-04 08:03:32.427"</f>
        <v>2026-02-04 08:03:32.427</v>
      </c>
      <c r="H539" s="3" t="s">
        <v>22</v>
      </c>
    </row>
    <row r="540" spans="1:10" s="3" customFormat="1" x14ac:dyDescent="0.25">
      <c r="A540" s="2">
        <v>54</v>
      </c>
      <c r="B540" s="3" t="s">
        <v>29</v>
      </c>
      <c r="C540" s="3">
        <v>647</v>
      </c>
      <c r="D540" s="3">
        <v>1</v>
      </c>
      <c r="E540" s="3" t="s">
        <v>27</v>
      </c>
      <c r="F540" s="3" t="s">
        <v>28</v>
      </c>
      <c r="G540" s="3" t="str">
        <f>"2026-02-04 08:03:31.328"</f>
        <v>2026-02-04 08:03:31.328</v>
      </c>
      <c r="H540" s="3" t="s">
        <v>22</v>
      </c>
      <c r="I540" s="3">
        <v>19.73</v>
      </c>
      <c r="J540" s="3" t="s">
        <v>30</v>
      </c>
    </row>
    <row r="541" spans="1:10" x14ac:dyDescent="0.25">
      <c r="A541" s="1">
        <v>55</v>
      </c>
      <c r="B541" t="s">
        <v>19</v>
      </c>
      <c r="C541">
        <v>700</v>
      </c>
      <c r="D541">
        <v>0</v>
      </c>
      <c r="E541" t="s">
        <v>24</v>
      </c>
      <c r="F541" t="s">
        <v>24</v>
      </c>
      <c r="G541" t="str">
        <f>"2026-02-03 11:31:16.379"</f>
        <v>2026-02-03 11:31:16.379</v>
      </c>
      <c r="H541" t="s">
        <v>22</v>
      </c>
      <c r="I541">
        <v>0</v>
      </c>
      <c r="J541" t="s">
        <v>34</v>
      </c>
    </row>
    <row r="542" spans="1:10" s="3" customFormat="1" x14ac:dyDescent="0.25">
      <c r="A542" s="2">
        <v>56</v>
      </c>
      <c r="B542" s="3" t="s">
        <v>26</v>
      </c>
      <c r="C542" s="3">
        <v>647</v>
      </c>
      <c r="D542" s="3">
        <v>1</v>
      </c>
      <c r="E542" s="3" t="s">
        <v>27</v>
      </c>
      <c r="F542" s="3" t="s">
        <v>28</v>
      </c>
      <c r="G542" s="3" t="str">
        <f>"2026-02-03 10:20:47.528"</f>
        <v>2026-02-03 10:20:47.528</v>
      </c>
      <c r="H542" s="3" t="s">
        <v>22</v>
      </c>
    </row>
    <row r="543" spans="1:10" s="3" customFormat="1" x14ac:dyDescent="0.25">
      <c r="A543" s="2">
        <v>57</v>
      </c>
      <c r="B543" s="3" t="s">
        <v>29</v>
      </c>
      <c r="C543" s="3">
        <v>647</v>
      </c>
      <c r="D543" s="3">
        <v>1</v>
      </c>
      <c r="E543" s="3" t="s">
        <v>27</v>
      </c>
      <c r="F543" s="3" t="s">
        <v>28</v>
      </c>
      <c r="G543" s="3" t="str">
        <f>"2026-02-03 10:20:32.928"</f>
        <v>2026-02-03 10:20:32.928</v>
      </c>
      <c r="H543" s="3" t="s">
        <v>22</v>
      </c>
      <c r="I543" s="3">
        <v>18.82</v>
      </c>
      <c r="J543" s="3" t="s">
        <v>30</v>
      </c>
    </row>
    <row r="544" spans="1:10" x14ac:dyDescent="0.25">
      <c r="A544" s="1">
        <v>58</v>
      </c>
      <c r="B544" t="s">
        <v>19</v>
      </c>
      <c r="C544">
        <v>706</v>
      </c>
      <c r="D544">
        <v>4</v>
      </c>
      <c r="E544" t="s">
        <v>20</v>
      </c>
      <c r="F544" t="s">
        <v>21</v>
      </c>
      <c r="G544" t="str">
        <f>"2026-02-02 11:38:44.580"</f>
        <v>2026-02-02 11:38:44.580</v>
      </c>
      <c r="H544" t="s">
        <v>22</v>
      </c>
      <c r="I544">
        <v>0</v>
      </c>
      <c r="J544" t="s">
        <v>23</v>
      </c>
    </row>
    <row r="545" spans="1:10" x14ac:dyDescent="0.25">
      <c r="A545" s="1">
        <v>59</v>
      </c>
      <c r="B545" t="s">
        <v>19</v>
      </c>
      <c r="C545">
        <v>706</v>
      </c>
      <c r="D545">
        <v>2</v>
      </c>
      <c r="E545" t="s">
        <v>20</v>
      </c>
      <c r="F545" t="s">
        <v>25</v>
      </c>
      <c r="G545" t="str">
        <f>"2026-02-02 01:35:48.370"</f>
        <v>2026-02-02 01:35:48.370</v>
      </c>
      <c r="H545" t="s">
        <v>22</v>
      </c>
      <c r="I545">
        <v>0</v>
      </c>
      <c r="J545" t="s">
        <v>23</v>
      </c>
    </row>
    <row r="546" spans="1:10" x14ac:dyDescent="0.25">
      <c r="A546" s="1">
        <v>60</v>
      </c>
      <c r="B546" t="s">
        <v>26</v>
      </c>
      <c r="C546">
        <v>635</v>
      </c>
      <c r="D546">
        <v>1</v>
      </c>
      <c r="E546" t="s">
        <v>31</v>
      </c>
      <c r="F546" t="s">
        <v>32</v>
      </c>
      <c r="G546" t="str">
        <f>"2026-02-01 23:07:33.980"</f>
        <v>2026-02-01 23:07:33.980</v>
      </c>
      <c r="H546" t="s">
        <v>22</v>
      </c>
    </row>
    <row r="547" spans="1:10" x14ac:dyDescent="0.25">
      <c r="A547" s="1">
        <v>61</v>
      </c>
      <c r="B547" t="s">
        <v>29</v>
      </c>
      <c r="C547">
        <v>635</v>
      </c>
      <c r="D547">
        <v>1</v>
      </c>
      <c r="E547" t="s">
        <v>31</v>
      </c>
      <c r="F547" t="s">
        <v>32</v>
      </c>
      <c r="G547" t="str">
        <f>"2026-02-01 22:56:50.980"</f>
        <v>2026-02-01 22:56:50.980</v>
      </c>
      <c r="H547" t="s">
        <v>22</v>
      </c>
      <c r="I547">
        <v>2.86</v>
      </c>
      <c r="J547" t="s">
        <v>52</v>
      </c>
    </row>
    <row r="548" spans="1:10" x14ac:dyDescent="0.25">
      <c r="A548" s="1">
        <v>62</v>
      </c>
      <c r="B548" t="s">
        <v>26</v>
      </c>
      <c r="C548">
        <v>635</v>
      </c>
      <c r="D548">
        <v>1</v>
      </c>
      <c r="E548" t="s">
        <v>31</v>
      </c>
      <c r="F548" t="s">
        <v>32</v>
      </c>
      <c r="G548" t="str">
        <f>"2026-02-01 16:38:32.380"</f>
        <v>2026-02-01 16:38:32.380</v>
      </c>
      <c r="H548" t="s">
        <v>22</v>
      </c>
    </row>
    <row r="549" spans="1:10" x14ac:dyDescent="0.25">
      <c r="A549" s="1">
        <v>63</v>
      </c>
      <c r="B549" t="s">
        <v>29</v>
      </c>
      <c r="C549">
        <v>635</v>
      </c>
      <c r="D549">
        <v>1</v>
      </c>
      <c r="E549" t="s">
        <v>31</v>
      </c>
      <c r="F549" t="s">
        <v>32</v>
      </c>
      <c r="G549" t="str">
        <f>"2026-02-01 16:08:43.380"</f>
        <v>2026-02-01 16:08:43.380</v>
      </c>
      <c r="H549" t="s">
        <v>22</v>
      </c>
      <c r="I549">
        <v>8.81</v>
      </c>
      <c r="J549" t="s">
        <v>33</v>
      </c>
    </row>
    <row r="550" spans="1:10" x14ac:dyDescent="0.25">
      <c r="A550" s="1">
        <v>64</v>
      </c>
      <c r="B550" t="s">
        <v>19</v>
      </c>
      <c r="C550">
        <v>706</v>
      </c>
      <c r="D550">
        <v>4</v>
      </c>
      <c r="E550" t="s">
        <v>20</v>
      </c>
      <c r="F550" t="s">
        <v>21</v>
      </c>
      <c r="G550" t="str">
        <f>"2026-02-01 13:44:36.240"</f>
        <v>2026-02-01 13:44:36.240</v>
      </c>
      <c r="H550" t="s">
        <v>22</v>
      </c>
      <c r="I550">
        <v>0</v>
      </c>
      <c r="J550" t="s">
        <v>23</v>
      </c>
    </row>
    <row r="551" spans="1:10" s="3" customFormat="1" x14ac:dyDescent="0.25">
      <c r="A551" s="2">
        <v>65</v>
      </c>
      <c r="B551" s="3" t="s">
        <v>26</v>
      </c>
      <c r="C551" s="3">
        <v>647</v>
      </c>
      <c r="D551" s="3">
        <v>1</v>
      </c>
      <c r="E551" s="3" t="s">
        <v>27</v>
      </c>
      <c r="F551" s="3" t="s">
        <v>28</v>
      </c>
      <c r="G551" s="3" t="str">
        <f>"2026-02-01 08:49:02.728"</f>
        <v>2026-02-01 08:49:02.728</v>
      </c>
      <c r="H551" s="3" t="s">
        <v>22</v>
      </c>
    </row>
    <row r="552" spans="1:10" s="3" customFormat="1" x14ac:dyDescent="0.25">
      <c r="A552" s="2">
        <v>66</v>
      </c>
      <c r="B552" s="3" t="s">
        <v>29</v>
      </c>
      <c r="C552" s="3">
        <v>647</v>
      </c>
      <c r="D552" s="3">
        <v>1</v>
      </c>
      <c r="E552" s="3" t="s">
        <v>27</v>
      </c>
      <c r="F552" s="3" t="s">
        <v>28</v>
      </c>
      <c r="G552" s="3" t="str">
        <f>"2026-02-01 08:49:00.229"</f>
        <v>2026-02-01 08:49:00.229</v>
      </c>
      <c r="H552" s="3" t="s">
        <v>22</v>
      </c>
      <c r="I552" s="3">
        <v>18.420000000000002</v>
      </c>
      <c r="J552" s="3" t="s">
        <v>30</v>
      </c>
    </row>
    <row r="553" spans="1:10" x14ac:dyDescent="0.25">
      <c r="A553" s="1">
        <v>67</v>
      </c>
      <c r="B553" t="s">
        <v>26</v>
      </c>
      <c r="C553">
        <v>61</v>
      </c>
      <c r="D553">
        <v>2</v>
      </c>
      <c r="E553" t="s">
        <v>59</v>
      </c>
      <c r="F553" t="s">
        <v>60</v>
      </c>
      <c r="G553" t="str">
        <f>"2026-01-30 11:39:34.541"</f>
        <v>2026-01-30 11:39:34.541</v>
      </c>
      <c r="H553" t="s">
        <v>22</v>
      </c>
    </row>
    <row r="554" spans="1:10" x14ac:dyDescent="0.25">
      <c r="A554" s="1">
        <v>68</v>
      </c>
      <c r="B554" t="s">
        <v>39</v>
      </c>
      <c r="C554">
        <v>61</v>
      </c>
      <c r="D554">
        <v>2</v>
      </c>
      <c r="E554" t="s">
        <v>59</v>
      </c>
      <c r="F554" t="s">
        <v>60</v>
      </c>
      <c r="G554" t="str">
        <f>"2026-01-30 11:39:22.441"</f>
        <v>2026-01-30 11:39:22.441</v>
      </c>
      <c r="H554" t="s">
        <v>22</v>
      </c>
      <c r="I554">
        <v>36.479999999999997</v>
      </c>
      <c r="J554" t="s">
        <v>30</v>
      </c>
    </row>
    <row r="555" spans="1:10" x14ac:dyDescent="0.25">
      <c r="A555" s="1">
        <v>69</v>
      </c>
      <c r="B555" t="s">
        <v>19</v>
      </c>
      <c r="C555">
        <v>700</v>
      </c>
      <c r="D555">
        <v>0</v>
      </c>
      <c r="E555" t="s">
        <v>24</v>
      </c>
      <c r="F555" t="s">
        <v>24</v>
      </c>
      <c r="G555" t="str">
        <f>"2026-01-30 10:19:45.190"</f>
        <v>2026-01-30 10:19:45.190</v>
      </c>
      <c r="H555" t="s">
        <v>22</v>
      </c>
      <c r="I555">
        <v>0</v>
      </c>
      <c r="J555" t="s">
        <v>34</v>
      </c>
    </row>
    <row r="556" spans="1:10" s="3" customFormat="1" x14ac:dyDescent="0.25">
      <c r="A556" s="2">
        <v>70</v>
      </c>
      <c r="B556" s="3" t="s">
        <v>26</v>
      </c>
      <c r="C556" s="3">
        <v>647</v>
      </c>
      <c r="D556" s="3">
        <v>1</v>
      </c>
      <c r="E556" s="3" t="s">
        <v>27</v>
      </c>
      <c r="F556" s="3" t="s">
        <v>28</v>
      </c>
      <c r="G556" s="3" t="str">
        <f>"2026-01-30 08:54:09.082"</f>
        <v>2026-01-30 08:54:09.082</v>
      </c>
      <c r="H556" s="3" t="s">
        <v>22</v>
      </c>
    </row>
    <row r="557" spans="1:10" s="3" customFormat="1" x14ac:dyDescent="0.25">
      <c r="A557" s="2">
        <v>71</v>
      </c>
      <c r="B557" s="3" t="s">
        <v>29</v>
      </c>
      <c r="C557" s="3">
        <v>647</v>
      </c>
      <c r="D557" s="3">
        <v>1</v>
      </c>
      <c r="E557" s="3" t="s">
        <v>27</v>
      </c>
      <c r="F557" s="3" t="s">
        <v>28</v>
      </c>
      <c r="G557" s="3" t="str">
        <f>"2026-01-30 08:54:04.082"</f>
        <v>2026-01-30 08:54:04.082</v>
      </c>
      <c r="H557" s="3" t="s">
        <v>22</v>
      </c>
      <c r="I557" s="3">
        <v>10.35</v>
      </c>
      <c r="J557" s="3" t="s">
        <v>30</v>
      </c>
    </row>
    <row r="558" spans="1:10" x14ac:dyDescent="0.25">
      <c r="A558" s="1">
        <v>72</v>
      </c>
      <c r="B558" t="s">
        <v>26</v>
      </c>
      <c r="C558">
        <v>635</v>
      </c>
      <c r="D558">
        <v>1</v>
      </c>
      <c r="E558" t="s">
        <v>31</v>
      </c>
      <c r="F558" t="s">
        <v>32</v>
      </c>
      <c r="G558" t="str">
        <f>"2026-01-29 18:34:23.935"</f>
        <v>2026-01-29 18:34:23.935</v>
      </c>
      <c r="H558" t="s">
        <v>22</v>
      </c>
    </row>
    <row r="559" spans="1:10" x14ac:dyDescent="0.25">
      <c r="A559" s="1">
        <v>73</v>
      </c>
      <c r="B559" t="s">
        <v>29</v>
      </c>
      <c r="C559">
        <v>635</v>
      </c>
      <c r="D559">
        <v>1</v>
      </c>
      <c r="E559" t="s">
        <v>31</v>
      </c>
      <c r="F559" t="s">
        <v>32</v>
      </c>
      <c r="G559" t="str">
        <f>"2026-01-29 18:30:39.935"</f>
        <v>2026-01-29 18:30:39.935</v>
      </c>
      <c r="H559" t="s">
        <v>22</v>
      </c>
      <c r="I559">
        <v>8.24</v>
      </c>
      <c r="J559" t="s">
        <v>30</v>
      </c>
    </row>
    <row r="560" spans="1:10" s="3" customFormat="1" x14ac:dyDescent="0.25">
      <c r="A560" s="2">
        <v>75</v>
      </c>
      <c r="B560" s="3" t="s">
        <v>26</v>
      </c>
      <c r="C560" s="3">
        <v>647</v>
      </c>
      <c r="D560" s="3">
        <v>1</v>
      </c>
      <c r="E560" s="3" t="s">
        <v>27</v>
      </c>
      <c r="F560" s="3" t="s">
        <v>28</v>
      </c>
      <c r="G560" s="3" t="str">
        <f>"2026-01-29 08:29:53.383"</f>
        <v>2026-01-29 08:29:53.383</v>
      </c>
      <c r="H560" s="3" t="s">
        <v>22</v>
      </c>
    </row>
    <row r="561" spans="1:10" s="3" customFormat="1" x14ac:dyDescent="0.25">
      <c r="A561" s="2">
        <v>76</v>
      </c>
      <c r="B561" s="3" t="s">
        <v>29</v>
      </c>
      <c r="C561" s="3">
        <v>647</v>
      </c>
      <c r="D561" s="3">
        <v>1</v>
      </c>
      <c r="E561" s="3" t="s">
        <v>27</v>
      </c>
      <c r="F561" s="3" t="s">
        <v>28</v>
      </c>
      <c r="G561" s="3" t="str">
        <f>"2026-01-29 08:29:52.083"</f>
        <v>2026-01-29 08:29:52.083</v>
      </c>
      <c r="H561" s="3" t="s">
        <v>22</v>
      </c>
      <c r="I561" s="3">
        <v>9.59</v>
      </c>
      <c r="J561" s="3" t="s">
        <v>52</v>
      </c>
    </row>
    <row r="562" spans="1:10" s="3" customFormat="1" x14ac:dyDescent="0.25">
      <c r="A562" s="2">
        <v>77</v>
      </c>
      <c r="B562" s="3" t="s">
        <v>26</v>
      </c>
      <c r="C562" s="3">
        <v>647</v>
      </c>
      <c r="D562" s="3">
        <v>1</v>
      </c>
      <c r="E562" s="3" t="s">
        <v>27</v>
      </c>
      <c r="F562" s="3" t="s">
        <v>28</v>
      </c>
      <c r="G562" s="3" t="str">
        <f>"2026-01-28 09:44:47.683"</f>
        <v>2026-01-28 09:44:47.683</v>
      </c>
      <c r="H562" s="3" t="s">
        <v>22</v>
      </c>
    </row>
    <row r="563" spans="1:10" s="3" customFormat="1" x14ac:dyDescent="0.25">
      <c r="A563" s="2">
        <v>78</v>
      </c>
      <c r="B563" s="3" t="s">
        <v>29</v>
      </c>
      <c r="C563" s="3">
        <v>647</v>
      </c>
      <c r="D563" s="3">
        <v>1</v>
      </c>
      <c r="E563" s="3" t="s">
        <v>27</v>
      </c>
      <c r="F563" s="3" t="s">
        <v>28</v>
      </c>
      <c r="G563" s="3" t="str">
        <f>"2026-01-28 09:44:45.184"</f>
        <v>2026-01-28 09:44:45.184</v>
      </c>
      <c r="H563" s="3" t="s">
        <v>22</v>
      </c>
      <c r="I563" s="3">
        <v>18.53</v>
      </c>
      <c r="J563" s="3" t="s">
        <v>30</v>
      </c>
    </row>
    <row r="564" spans="1:10" x14ac:dyDescent="0.25">
      <c r="A564" s="1">
        <v>80</v>
      </c>
      <c r="B564" t="s">
        <v>19</v>
      </c>
      <c r="C564">
        <v>700</v>
      </c>
      <c r="D564">
        <v>0</v>
      </c>
      <c r="E564" t="s">
        <v>24</v>
      </c>
      <c r="F564" t="s">
        <v>24</v>
      </c>
      <c r="G564" t="str">
        <f>"2026-01-28 08:00:50.444"</f>
        <v>2026-01-28 08:00:50.444</v>
      </c>
      <c r="H564" t="s">
        <v>22</v>
      </c>
      <c r="I564">
        <v>0</v>
      </c>
      <c r="J564" t="s">
        <v>34</v>
      </c>
    </row>
    <row r="565" spans="1:10" x14ac:dyDescent="0.25">
      <c r="A565" s="1">
        <v>81</v>
      </c>
      <c r="B565" t="s">
        <v>19</v>
      </c>
      <c r="C565">
        <v>700</v>
      </c>
      <c r="D565">
        <v>0</v>
      </c>
      <c r="E565" t="s">
        <v>24</v>
      </c>
      <c r="F565" t="s">
        <v>24</v>
      </c>
      <c r="G565" t="str">
        <f>"2026-01-27 22:43:38.183"</f>
        <v>2026-01-27 22:43:38.183</v>
      </c>
      <c r="H565" t="s">
        <v>22</v>
      </c>
    </row>
    <row r="566" spans="1:10" x14ac:dyDescent="0.25">
      <c r="A566" s="1">
        <v>82</v>
      </c>
      <c r="B566" t="s">
        <v>19</v>
      </c>
      <c r="C566">
        <v>706</v>
      </c>
      <c r="D566">
        <v>4</v>
      </c>
      <c r="E566" t="s">
        <v>20</v>
      </c>
      <c r="F566" t="s">
        <v>21</v>
      </c>
      <c r="G566" t="str">
        <f>"2026-01-27 22:17:46.323"</f>
        <v>2026-01-27 22:17:46.323</v>
      </c>
      <c r="H566" t="s">
        <v>22</v>
      </c>
      <c r="I566">
        <v>0</v>
      </c>
      <c r="J566" t="s">
        <v>23</v>
      </c>
    </row>
    <row r="567" spans="1:10" x14ac:dyDescent="0.25">
      <c r="A567" s="1">
        <v>83</v>
      </c>
      <c r="B567" t="s">
        <v>19</v>
      </c>
      <c r="C567">
        <v>700</v>
      </c>
      <c r="D567">
        <v>0</v>
      </c>
      <c r="E567" t="s">
        <v>24</v>
      </c>
      <c r="F567" t="s">
        <v>24</v>
      </c>
      <c r="G567" t="str">
        <f>"2026-01-27 22:02:48.183"</f>
        <v>2026-01-27 22:02:48.183</v>
      </c>
      <c r="H567" t="s">
        <v>22</v>
      </c>
    </row>
    <row r="568" spans="1:10" x14ac:dyDescent="0.25">
      <c r="A568" s="1">
        <v>84</v>
      </c>
      <c r="B568" t="s">
        <v>19</v>
      </c>
      <c r="C568">
        <v>700</v>
      </c>
      <c r="D568">
        <v>0</v>
      </c>
      <c r="E568" t="s">
        <v>24</v>
      </c>
      <c r="F568" t="s">
        <v>24</v>
      </c>
      <c r="G568" t="str">
        <f>"2026-01-27 21:09:38.438"</f>
        <v>2026-01-27 21:09:38.438</v>
      </c>
      <c r="H568" t="s">
        <v>22</v>
      </c>
      <c r="I568">
        <v>0</v>
      </c>
      <c r="J568" t="s">
        <v>34</v>
      </c>
    </row>
    <row r="569" spans="1:10" x14ac:dyDescent="0.25">
      <c r="A569" s="1">
        <v>85</v>
      </c>
      <c r="B569" t="s">
        <v>26</v>
      </c>
      <c r="C569">
        <v>635</v>
      </c>
      <c r="D569">
        <v>1</v>
      </c>
      <c r="E569" t="s">
        <v>31</v>
      </c>
      <c r="F569" t="s">
        <v>32</v>
      </c>
      <c r="G569" t="str">
        <f>"2026-01-27 11:09:01.781"</f>
        <v>2026-01-27 11:09:01.781</v>
      </c>
      <c r="H569" t="s">
        <v>22</v>
      </c>
    </row>
    <row r="570" spans="1:10" x14ac:dyDescent="0.25">
      <c r="A570" s="1">
        <v>86</v>
      </c>
      <c r="B570" t="s">
        <v>29</v>
      </c>
      <c r="C570">
        <v>635</v>
      </c>
      <c r="D570">
        <v>1</v>
      </c>
      <c r="E570" t="s">
        <v>31</v>
      </c>
      <c r="F570" t="s">
        <v>32</v>
      </c>
      <c r="G570" t="str">
        <f>"2026-01-27 11:07:19.281"</f>
        <v>2026-01-27 11:07:19.281</v>
      </c>
      <c r="H570" t="s">
        <v>22</v>
      </c>
      <c r="I570">
        <v>4.28</v>
      </c>
      <c r="J570" t="s">
        <v>30</v>
      </c>
    </row>
    <row r="571" spans="1:10" x14ac:dyDescent="0.25">
      <c r="A571" s="1">
        <v>88</v>
      </c>
      <c r="B571" t="s">
        <v>19</v>
      </c>
      <c r="C571">
        <v>700</v>
      </c>
      <c r="D571">
        <v>0</v>
      </c>
      <c r="E571" t="s">
        <v>24</v>
      </c>
      <c r="F571" t="s">
        <v>24</v>
      </c>
      <c r="G571" t="str">
        <f>"2026-01-26 10:46:29.231"</f>
        <v>2026-01-26 10:46:29.231</v>
      </c>
      <c r="H571" t="s">
        <v>22</v>
      </c>
      <c r="I571">
        <v>0</v>
      </c>
      <c r="J571" t="s">
        <v>34</v>
      </c>
    </row>
    <row r="572" spans="1:10" s="3" customFormat="1" x14ac:dyDescent="0.25">
      <c r="A572" s="2">
        <v>89</v>
      </c>
      <c r="B572" s="3" t="s">
        <v>26</v>
      </c>
      <c r="C572" s="3">
        <v>647</v>
      </c>
      <c r="D572" s="3">
        <v>1</v>
      </c>
      <c r="E572" s="3" t="s">
        <v>27</v>
      </c>
      <c r="F572" s="3" t="s">
        <v>28</v>
      </c>
      <c r="G572" s="3" t="str">
        <f>"2026-01-25 08:07:47.934"</f>
        <v>2026-01-25 08:07:47.934</v>
      </c>
      <c r="H572" s="3" t="s">
        <v>22</v>
      </c>
    </row>
    <row r="573" spans="1:10" s="3" customFormat="1" x14ac:dyDescent="0.25">
      <c r="A573" s="2">
        <v>90</v>
      </c>
      <c r="B573" s="3" t="s">
        <v>29</v>
      </c>
      <c r="C573" s="3">
        <v>647</v>
      </c>
      <c r="D573" s="3">
        <v>1</v>
      </c>
      <c r="E573" s="3" t="s">
        <v>27</v>
      </c>
      <c r="F573" s="3" t="s">
        <v>28</v>
      </c>
      <c r="G573" s="3" t="str">
        <f>"2026-01-25 08:07:39.834"</f>
        <v>2026-01-25 08:07:39.834</v>
      </c>
      <c r="H573" s="3" t="s">
        <v>22</v>
      </c>
      <c r="I573" s="3">
        <v>10.61</v>
      </c>
      <c r="J573" s="3" t="s">
        <v>30</v>
      </c>
    </row>
    <row r="574" spans="1:10" x14ac:dyDescent="0.25">
      <c r="A574" s="1">
        <v>91</v>
      </c>
      <c r="B574" t="s">
        <v>26</v>
      </c>
      <c r="C574">
        <v>635</v>
      </c>
      <c r="D574">
        <v>1</v>
      </c>
      <c r="E574" t="s">
        <v>31</v>
      </c>
      <c r="F574" t="s">
        <v>32</v>
      </c>
      <c r="G574" t="str">
        <f>"2026-01-24 19:38:20.934"</f>
        <v>2026-01-24 19:38:20.934</v>
      </c>
      <c r="H574" t="s">
        <v>22</v>
      </c>
    </row>
    <row r="575" spans="1:10" x14ac:dyDescent="0.25">
      <c r="A575" s="1">
        <v>92</v>
      </c>
      <c r="B575" t="s">
        <v>29</v>
      </c>
      <c r="C575">
        <v>635</v>
      </c>
      <c r="D575">
        <v>1</v>
      </c>
      <c r="E575" t="s">
        <v>31</v>
      </c>
      <c r="F575" t="s">
        <v>32</v>
      </c>
      <c r="G575" t="str">
        <f>"2026-01-24 19:31:52.434"</f>
        <v>2026-01-24 19:31:52.434</v>
      </c>
      <c r="H575" t="s">
        <v>22</v>
      </c>
      <c r="I575">
        <v>5.17</v>
      </c>
      <c r="J575" t="s">
        <v>33</v>
      </c>
    </row>
    <row r="576" spans="1:10" s="3" customFormat="1" x14ac:dyDescent="0.25">
      <c r="A576" s="2">
        <v>93</v>
      </c>
      <c r="B576" s="3" t="s">
        <v>26</v>
      </c>
      <c r="C576" s="3">
        <v>647</v>
      </c>
      <c r="D576" s="3">
        <v>1</v>
      </c>
      <c r="E576" s="3" t="s">
        <v>27</v>
      </c>
      <c r="F576" s="3" t="s">
        <v>28</v>
      </c>
      <c r="G576" s="3" t="str">
        <f>"2026-01-24 16:15:50.534"</f>
        <v>2026-01-24 16:15:50.534</v>
      </c>
      <c r="H576" s="3" t="s">
        <v>22</v>
      </c>
    </row>
    <row r="577" spans="1:10" s="3" customFormat="1" x14ac:dyDescent="0.25">
      <c r="A577" s="2">
        <v>94</v>
      </c>
      <c r="B577" s="3" t="s">
        <v>29</v>
      </c>
      <c r="C577" s="3">
        <v>647</v>
      </c>
      <c r="D577" s="3">
        <v>1</v>
      </c>
      <c r="E577" s="3" t="s">
        <v>27</v>
      </c>
      <c r="F577" s="3" t="s">
        <v>28</v>
      </c>
      <c r="G577" s="3" t="str">
        <f>"2026-01-24 16:15:41.435"</f>
        <v>2026-01-24 16:15:41.435</v>
      </c>
      <c r="H577" s="3" t="s">
        <v>22</v>
      </c>
      <c r="I577" s="3">
        <v>16.04</v>
      </c>
      <c r="J577" s="3" t="s">
        <v>30</v>
      </c>
    </row>
    <row r="578" spans="1:10" x14ac:dyDescent="0.25">
      <c r="A578" s="1">
        <v>95</v>
      </c>
      <c r="B578" t="s">
        <v>19</v>
      </c>
      <c r="C578">
        <v>700</v>
      </c>
      <c r="D578">
        <v>0</v>
      </c>
      <c r="E578" t="s">
        <v>24</v>
      </c>
      <c r="F578" t="s">
        <v>24</v>
      </c>
      <c r="G578" t="str">
        <f>"2026-01-24 13:20:02.177"</f>
        <v>2026-01-24 13:20:02.177</v>
      </c>
      <c r="H578" t="s">
        <v>22</v>
      </c>
      <c r="I578">
        <v>0</v>
      </c>
      <c r="J578" t="s">
        <v>34</v>
      </c>
    </row>
    <row r="579" spans="1:10" x14ac:dyDescent="0.25">
      <c r="A579" s="1">
        <v>96</v>
      </c>
      <c r="B579" t="s">
        <v>19</v>
      </c>
      <c r="C579">
        <v>706</v>
      </c>
      <c r="D579">
        <v>4</v>
      </c>
      <c r="E579" t="s">
        <v>20</v>
      </c>
      <c r="F579" t="s">
        <v>21</v>
      </c>
      <c r="G579" t="str">
        <f>"2026-01-24 13:01:22.214"</f>
        <v>2026-01-24 13:01:22.214</v>
      </c>
      <c r="H579" t="s">
        <v>22</v>
      </c>
      <c r="I579">
        <v>0</v>
      </c>
      <c r="J579" t="s">
        <v>23</v>
      </c>
    </row>
    <row r="580" spans="1:10" x14ac:dyDescent="0.25">
      <c r="A580" s="1">
        <v>97</v>
      </c>
      <c r="B580" t="s">
        <v>19</v>
      </c>
      <c r="C580">
        <v>700</v>
      </c>
      <c r="D580">
        <v>0</v>
      </c>
      <c r="E580" t="s">
        <v>24</v>
      </c>
      <c r="F580" t="s">
        <v>24</v>
      </c>
      <c r="G580" t="str">
        <f>"2026-01-24 13:00:26.184"</f>
        <v>2026-01-24 13:00:26.184</v>
      </c>
      <c r="H580" t="s">
        <v>22</v>
      </c>
    </row>
    <row r="581" spans="1:10" s="3" customFormat="1" x14ac:dyDescent="0.25">
      <c r="A581" s="2">
        <v>98</v>
      </c>
      <c r="B581" s="3" t="s">
        <v>26</v>
      </c>
      <c r="C581" s="3">
        <v>647</v>
      </c>
      <c r="D581" s="3">
        <v>1</v>
      </c>
      <c r="E581" s="3" t="s">
        <v>27</v>
      </c>
      <c r="F581" s="3" t="s">
        <v>28</v>
      </c>
      <c r="G581" s="3" t="str">
        <f>"2026-01-24 08:31:54.745"</f>
        <v>2026-01-24 08:31:54.745</v>
      </c>
      <c r="H581" s="3" t="s">
        <v>22</v>
      </c>
    </row>
    <row r="582" spans="1:10" s="3" customFormat="1" x14ac:dyDescent="0.25">
      <c r="A582" s="2">
        <v>99</v>
      </c>
      <c r="B582" s="3" t="s">
        <v>29</v>
      </c>
      <c r="C582" s="3">
        <v>647</v>
      </c>
      <c r="D582" s="3">
        <v>1</v>
      </c>
      <c r="E582" s="3" t="s">
        <v>27</v>
      </c>
      <c r="F582" s="3" t="s">
        <v>28</v>
      </c>
      <c r="G582" s="3" t="str">
        <f>"2026-01-24 08:31:47.345"</f>
        <v>2026-01-24 08:31:47.345</v>
      </c>
      <c r="H582" s="3" t="s">
        <v>22</v>
      </c>
      <c r="I582" s="3">
        <v>9.6199999999999992</v>
      </c>
      <c r="J582" s="3" t="s">
        <v>30</v>
      </c>
    </row>
    <row r="583" spans="1:10" x14ac:dyDescent="0.25">
      <c r="A583" s="1">
        <v>0</v>
      </c>
      <c r="B583" t="s">
        <v>19</v>
      </c>
      <c r="C583">
        <v>706</v>
      </c>
      <c r="D583">
        <v>4</v>
      </c>
      <c r="E583" t="s">
        <v>20</v>
      </c>
      <c r="F583" t="s">
        <v>21</v>
      </c>
      <c r="G583" t="str">
        <f>"2026-01-23 13:13:44.907"</f>
        <v>2026-01-23 13:13:44.907</v>
      </c>
      <c r="H583" t="s">
        <v>22</v>
      </c>
      <c r="I583">
        <v>0</v>
      </c>
      <c r="J583" t="s">
        <v>23</v>
      </c>
    </row>
    <row r="584" spans="1:10" x14ac:dyDescent="0.25">
      <c r="A584" s="1">
        <v>1</v>
      </c>
      <c r="B584" t="s">
        <v>26</v>
      </c>
      <c r="C584">
        <v>635</v>
      </c>
      <c r="D584">
        <v>1</v>
      </c>
      <c r="E584" t="s">
        <v>31</v>
      </c>
      <c r="F584" t="s">
        <v>32</v>
      </c>
      <c r="G584" t="str">
        <f>"2026-01-22 15:28:20.197"</f>
        <v>2026-01-22 15:28:20.197</v>
      </c>
      <c r="H584" t="s">
        <v>22</v>
      </c>
    </row>
    <row r="585" spans="1:10" x14ac:dyDescent="0.25">
      <c r="A585" s="1">
        <v>2</v>
      </c>
      <c r="B585" t="s">
        <v>29</v>
      </c>
      <c r="C585">
        <v>635</v>
      </c>
      <c r="D585">
        <v>1</v>
      </c>
      <c r="E585" t="s">
        <v>31</v>
      </c>
      <c r="F585" t="s">
        <v>32</v>
      </c>
      <c r="G585" t="str">
        <f>"2026-01-22 15:24:27.697"</f>
        <v>2026-01-22 15:24:27.697</v>
      </c>
      <c r="H585" t="s">
        <v>22</v>
      </c>
      <c r="I585">
        <v>8.7799999999999994</v>
      </c>
      <c r="J585" t="s">
        <v>30</v>
      </c>
    </row>
    <row r="586" spans="1:10" x14ac:dyDescent="0.25">
      <c r="A586" s="1">
        <v>3</v>
      </c>
      <c r="B586" t="s">
        <v>19</v>
      </c>
      <c r="C586">
        <v>706</v>
      </c>
      <c r="D586">
        <v>2</v>
      </c>
      <c r="E586" t="s">
        <v>20</v>
      </c>
      <c r="F586" t="s">
        <v>25</v>
      </c>
      <c r="G586" t="str">
        <f>"2026-01-22 08:08:43.657"</f>
        <v>2026-01-22 08:08:43.657</v>
      </c>
      <c r="H586" t="s">
        <v>22</v>
      </c>
      <c r="I586">
        <v>0</v>
      </c>
      <c r="J586" t="s">
        <v>23</v>
      </c>
    </row>
    <row r="587" spans="1:10" x14ac:dyDescent="0.25">
      <c r="A587" s="1">
        <v>4</v>
      </c>
      <c r="B587" t="s">
        <v>19</v>
      </c>
      <c r="C587">
        <v>706</v>
      </c>
      <c r="D587">
        <v>3</v>
      </c>
      <c r="E587" t="s">
        <v>20</v>
      </c>
      <c r="F587" t="s">
        <v>49</v>
      </c>
      <c r="G587" t="str">
        <f>"2026-01-22 08:02:29.317"</f>
        <v>2026-01-22 08:02:29.317</v>
      </c>
      <c r="H587" t="s">
        <v>22</v>
      </c>
      <c r="I587">
        <v>0</v>
      </c>
      <c r="J587" t="s">
        <v>23</v>
      </c>
    </row>
    <row r="588" spans="1:10" x14ac:dyDescent="0.25">
      <c r="A588" s="1">
        <v>5</v>
      </c>
      <c r="B588" t="s">
        <v>19</v>
      </c>
      <c r="C588">
        <v>706</v>
      </c>
      <c r="D588">
        <v>4</v>
      </c>
      <c r="E588" t="s">
        <v>20</v>
      </c>
      <c r="F588" t="s">
        <v>21</v>
      </c>
      <c r="G588" t="str">
        <f>"2026-01-21 08:08:44.757"</f>
        <v>2026-01-21 08:08:44.757</v>
      </c>
      <c r="H588" t="s">
        <v>22</v>
      </c>
      <c r="I588">
        <v>0</v>
      </c>
      <c r="J588" t="s">
        <v>23</v>
      </c>
    </row>
    <row r="589" spans="1:10" x14ac:dyDescent="0.25">
      <c r="A589" s="1">
        <v>6</v>
      </c>
      <c r="B589" t="s">
        <v>26</v>
      </c>
      <c r="C589">
        <v>98</v>
      </c>
      <c r="D589">
        <v>1</v>
      </c>
      <c r="E589" t="s">
        <v>63</v>
      </c>
      <c r="F589" t="s">
        <v>64</v>
      </c>
      <c r="G589" t="str">
        <f>"2026-01-21 01:42:44.538"</f>
        <v>2026-01-21 01:42:44.538</v>
      </c>
      <c r="H589" t="s">
        <v>22</v>
      </c>
    </row>
    <row r="590" spans="1:10" x14ac:dyDescent="0.25">
      <c r="A590" s="1">
        <v>7</v>
      </c>
      <c r="B590" t="s">
        <v>29</v>
      </c>
      <c r="C590">
        <v>98</v>
      </c>
      <c r="D590">
        <v>1</v>
      </c>
      <c r="E590" t="s">
        <v>63</v>
      </c>
      <c r="F590" t="s">
        <v>64</v>
      </c>
      <c r="G590" t="str">
        <f>"2026-01-21 01:42:43.538"</f>
        <v>2026-01-21 01:42:43.538</v>
      </c>
      <c r="H590" t="s">
        <v>22</v>
      </c>
      <c r="I590">
        <v>6.06</v>
      </c>
      <c r="J590" t="s">
        <v>52</v>
      </c>
    </row>
    <row r="591" spans="1:10" x14ac:dyDescent="0.25">
      <c r="A591" s="1">
        <v>8</v>
      </c>
      <c r="B591" t="s">
        <v>19</v>
      </c>
      <c r="C591">
        <v>706</v>
      </c>
      <c r="D591">
        <v>4</v>
      </c>
      <c r="E591" t="s">
        <v>20</v>
      </c>
      <c r="F591" t="s">
        <v>21</v>
      </c>
      <c r="G591" t="str">
        <f>"2026-01-20 12:29:09.317"</f>
        <v>2026-01-20 12:29:09.317</v>
      </c>
      <c r="H591" t="s">
        <v>22</v>
      </c>
      <c r="I591">
        <v>0</v>
      </c>
      <c r="J591" t="s">
        <v>23</v>
      </c>
    </row>
    <row r="592" spans="1:10" s="3" customFormat="1" x14ac:dyDescent="0.25">
      <c r="A592" s="2">
        <v>9</v>
      </c>
      <c r="B592" s="3" t="s">
        <v>26</v>
      </c>
      <c r="C592" s="3">
        <v>647</v>
      </c>
      <c r="D592" s="3">
        <v>1</v>
      </c>
      <c r="E592" s="3" t="s">
        <v>27</v>
      </c>
      <c r="F592" s="3" t="s">
        <v>28</v>
      </c>
      <c r="G592" s="3" t="str">
        <f>"2026-01-20 08:32:59.145"</f>
        <v>2026-01-20 08:32:59.145</v>
      </c>
      <c r="H592" s="3" t="s">
        <v>22</v>
      </c>
    </row>
    <row r="593" spans="1:10" s="3" customFormat="1" x14ac:dyDescent="0.25">
      <c r="A593" s="2">
        <v>10</v>
      </c>
      <c r="B593" s="3" t="s">
        <v>29</v>
      </c>
      <c r="C593" s="3">
        <v>647</v>
      </c>
      <c r="D593" s="3">
        <v>1</v>
      </c>
      <c r="E593" s="3" t="s">
        <v>27</v>
      </c>
      <c r="F593" s="3" t="s">
        <v>28</v>
      </c>
      <c r="G593" s="3" t="str">
        <f>"2026-01-20 08:32:57.846"</f>
        <v>2026-01-20 08:32:57.846</v>
      </c>
      <c r="H593" s="3" t="s">
        <v>22</v>
      </c>
      <c r="I593" s="3">
        <v>12.12</v>
      </c>
      <c r="J593" s="3" t="s">
        <v>30</v>
      </c>
    </row>
    <row r="594" spans="1:10" x14ac:dyDescent="0.25">
      <c r="A594" s="1">
        <v>11</v>
      </c>
      <c r="B594" t="s">
        <v>19</v>
      </c>
      <c r="C594">
        <v>700</v>
      </c>
      <c r="D594">
        <v>0</v>
      </c>
      <c r="E594" t="s">
        <v>24</v>
      </c>
      <c r="F594" t="s">
        <v>24</v>
      </c>
      <c r="G594" t="str">
        <f>"2026-01-19 14:46:53.177"</f>
        <v>2026-01-19 14:46:53.177</v>
      </c>
      <c r="H594" t="s">
        <v>22</v>
      </c>
    </row>
    <row r="595" spans="1:10" s="3" customFormat="1" x14ac:dyDescent="0.25">
      <c r="A595" s="2">
        <v>12</v>
      </c>
      <c r="B595" s="3" t="s">
        <v>26</v>
      </c>
      <c r="C595" s="3">
        <v>647</v>
      </c>
      <c r="D595" s="3">
        <v>1</v>
      </c>
      <c r="E595" s="3" t="s">
        <v>27</v>
      </c>
      <c r="F595" s="3" t="s">
        <v>28</v>
      </c>
      <c r="G595" s="3" t="str">
        <f>"2026-01-19 09:27:31.780"</f>
        <v>2026-01-19 09:27:31.780</v>
      </c>
      <c r="H595" s="3" t="s">
        <v>22</v>
      </c>
    </row>
    <row r="596" spans="1:10" s="3" customFormat="1" x14ac:dyDescent="0.25">
      <c r="A596" s="2">
        <v>13</v>
      </c>
      <c r="B596" s="3" t="s">
        <v>29</v>
      </c>
      <c r="C596" s="3">
        <v>647</v>
      </c>
      <c r="D596" s="3">
        <v>1</v>
      </c>
      <c r="E596" s="3" t="s">
        <v>27</v>
      </c>
      <c r="F596" s="3" t="s">
        <v>28</v>
      </c>
      <c r="G596" s="3" t="str">
        <f>"2026-01-19 09:27:25.479"</f>
        <v>2026-01-19 09:27:25.479</v>
      </c>
      <c r="H596" s="3" t="s">
        <v>22</v>
      </c>
      <c r="I596" s="3">
        <v>14.24</v>
      </c>
      <c r="J596" s="3" t="s">
        <v>30</v>
      </c>
    </row>
    <row r="597" spans="1:10" s="3" customFormat="1" x14ac:dyDescent="0.25">
      <c r="A597" s="2">
        <v>14</v>
      </c>
      <c r="B597" s="3" t="s">
        <v>26</v>
      </c>
      <c r="C597" s="3">
        <v>647</v>
      </c>
      <c r="D597" s="3">
        <v>1</v>
      </c>
      <c r="E597" s="3" t="s">
        <v>27</v>
      </c>
      <c r="F597" s="3" t="s">
        <v>28</v>
      </c>
      <c r="G597" s="3" t="str">
        <f>"2026-01-19 07:39:13.979"</f>
        <v>2026-01-19 07:39:13.979</v>
      </c>
      <c r="H597" s="3" t="s">
        <v>22</v>
      </c>
    </row>
    <row r="598" spans="1:10" s="3" customFormat="1" x14ac:dyDescent="0.25">
      <c r="A598" s="2">
        <v>15</v>
      </c>
      <c r="B598" s="3" t="s">
        <v>29</v>
      </c>
      <c r="C598" s="3">
        <v>647</v>
      </c>
      <c r="D598" s="3">
        <v>1</v>
      </c>
      <c r="E598" s="3" t="s">
        <v>27</v>
      </c>
      <c r="F598" s="3" t="s">
        <v>28</v>
      </c>
      <c r="G598" s="3" t="str">
        <f>"2026-01-19 07:39:06.080"</f>
        <v>2026-01-19 07:39:06.080</v>
      </c>
      <c r="H598" s="3" t="s">
        <v>22</v>
      </c>
      <c r="I598" s="3">
        <v>13.73</v>
      </c>
      <c r="J598" s="3" t="s">
        <v>30</v>
      </c>
    </row>
    <row r="599" spans="1:10" x14ac:dyDescent="0.25">
      <c r="A599" s="1">
        <v>16</v>
      </c>
      <c r="B599" t="s">
        <v>19</v>
      </c>
      <c r="C599">
        <v>700</v>
      </c>
      <c r="D599">
        <v>0</v>
      </c>
      <c r="E599" t="s">
        <v>24</v>
      </c>
      <c r="F599" t="s">
        <v>24</v>
      </c>
      <c r="G599" t="str">
        <f>"2026-01-18 20:46:50.211"</f>
        <v>2026-01-18 20:46:50.211</v>
      </c>
      <c r="H599" t="s">
        <v>22</v>
      </c>
    </row>
    <row r="600" spans="1:10" x14ac:dyDescent="0.25">
      <c r="A600" s="1">
        <v>17</v>
      </c>
      <c r="B600" t="s">
        <v>19</v>
      </c>
      <c r="C600">
        <v>700</v>
      </c>
      <c r="D600">
        <v>0</v>
      </c>
      <c r="E600" t="s">
        <v>24</v>
      </c>
      <c r="F600" t="s">
        <v>24</v>
      </c>
      <c r="G600" t="str">
        <f>"2026-01-18 13:17:57.209"</f>
        <v>2026-01-18 13:17:57.209</v>
      </c>
      <c r="H600" t="s">
        <v>22</v>
      </c>
      <c r="I600">
        <v>0</v>
      </c>
      <c r="J600" t="s">
        <v>34</v>
      </c>
    </row>
    <row r="601" spans="1:10" x14ac:dyDescent="0.25">
      <c r="A601" s="1">
        <v>18</v>
      </c>
      <c r="B601" t="s">
        <v>19</v>
      </c>
      <c r="C601">
        <v>700</v>
      </c>
      <c r="D601">
        <v>0</v>
      </c>
      <c r="E601" t="s">
        <v>24</v>
      </c>
      <c r="F601" t="s">
        <v>24</v>
      </c>
      <c r="G601" t="str">
        <f>"2026-01-17 18:22:40.176"</f>
        <v>2026-01-17 18:22:40.176</v>
      </c>
      <c r="H601" t="s">
        <v>22</v>
      </c>
      <c r="I601">
        <v>0</v>
      </c>
      <c r="J601" t="s">
        <v>34</v>
      </c>
    </row>
    <row r="602" spans="1:10" x14ac:dyDescent="0.25">
      <c r="A602" s="1">
        <v>19</v>
      </c>
      <c r="B602" t="s">
        <v>19</v>
      </c>
      <c r="C602">
        <v>706</v>
      </c>
      <c r="D602">
        <v>2</v>
      </c>
      <c r="E602" t="s">
        <v>20</v>
      </c>
      <c r="F602" t="s">
        <v>25</v>
      </c>
      <c r="G602" t="str">
        <f>"2026-01-17 17:48:45.792"</f>
        <v>2026-01-17 17:48:45.792</v>
      </c>
      <c r="H602" t="s">
        <v>22</v>
      </c>
      <c r="I602">
        <v>0</v>
      </c>
      <c r="J602" t="s">
        <v>23</v>
      </c>
    </row>
    <row r="603" spans="1:10" x14ac:dyDescent="0.25">
      <c r="A603" s="1">
        <v>20</v>
      </c>
      <c r="B603" t="s">
        <v>19</v>
      </c>
      <c r="C603">
        <v>706</v>
      </c>
      <c r="D603">
        <v>4</v>
      </c>
      <c r="E603" t="s">
        <v>20</v>
      </c>
      <c r="F603" t="s">
        <v>21</v>
      </c>
      <c r="G603" t="str">
        <f>"2026-01-17 17:42:23.332"</f>
        <v>2026-01-17 17:42:23.332</v>
      </c>
      <c r="H603" t="s">
        <v>22</v>
      </c>
      <c r="I603">
        <v>0</v>
      </c>
      <c r="J603" t="s">
        <v>23</v>
      </c>
    </row>
    <row r="604" spans="1:10" x14ac:dyDescent="0.25">
      <c r="A604" s="1">
        <v>21</v>
      </c>
      <c r="B604" t="s">
        <v>19</v>
      </c>
      <c r="C604">
        <v>700</v>
      </c>
      <c r="D604">
        <v>0</v>
      </c>
      <c r="E604" t="s">
        <v>24</v>
      </c>
      <c r="F604" t="s">
        <v>24</v>
      </c>
      <c r="G604" t="str">
        <f>"2026-01-17 17:37:07.262"</f>
        <v>2026-01-17 17:37:07.262</v>
      </c>
      <c r="H604" t="s">
        <v>22</v>
      </c>
      <c r="I604">
        <v>0</v>
      </c>
      <c r="J604" t="s">
        <v>34</v>
      </c>
    </row>
    <row r="605" spans="1:10" x14ac:dyDescent="0.25">
      <c r="A605" s="1">
        <v>22</v>
      </c>
      <c r="B605" t="s">
        <v>19</v>
      </c>
      <c r="C605">
        <v>706</v>
      </c>
      <c r="D605">
        <v>4</v>
      </c>
      <c r="E605" t="s">
        <v>20</v>
      </c>
      <c r="F605" t="s">
        <v>21</v>
      </c>
      <c r="G605" t="str">
        <f>"2026-01-17 14:41:55.609"</f>
        <v>2026-01-17 14:41:55.609</v>
      </c>
      <c r="H605" t="s">
        <v>22</v>
      </c>
      <c r="I605">
        <v>0</v>
      </c>
      <c r="J605" t="s">
        <v>23</v>
      </c>
    </row>
    <row r="606" spans="1:10" x14ac:dyDescent="0.25">
      <c r="A606" s="1">
        <v>23</v>
      </c>
      <c r="B606" t="s">
        <v>19</v>
      </c>
      <c r="C606">
        <v>700</v>
      </c>
      <c r="D606">
        <v>0</v>
      </c>
      <c r="E606" t="s">
        <v>24</v>
      </c>
      <c r="F606" t="s">
        <v>24</v>
      </c>
      <c r="G606" t="str">
        <f>"2026-01-17 14:36:46.369"</f>
        <v>2026-01-17 14:36:46.369</v>
      </c>
      <c r="H606" t="s">
        <v>22</v>
      </c>
      <c r="I606">
        <v>0</v>
      </c>
      <c r="J606" t="s">
        <v>34</v>
      </c>
    </row>
    <row r="607" spans="1:10" s="3" customFormat="1" x14ac:dyDescent="0.25">
      <c r="A607" s="2">
        <v>24</v>
      </c>
      <c r="B607" s="3" t="s">
        <v>26</v>
      </c>
      <c r="C607" s="3">
        <v>647</v>
      </c>
      <c r="D607" s="3">
        <v>1</v>
      </c>
      <c r="E607" s="3" t="s">
        <v>27</v>
      </c>
      <c r="F607" s="3" t="s">
        <v>28</v>
      </c>
      <c r="G607" s="3" t="str">
        <f>"2026-01-17 05:14:11.462"</f>
        <v>2026-01-17 05:14:11.462</v>
      </c>
      <c r="H607" s="3" t="s">
        <v>22</v>
      </c>
    </row>
    <row r="608" spans="1:10" s="3" customFormat="1" x14ac:dyDescent="0.25">
      <c r="A608" s="2">
        <v>25</v>
      </c>
      <c r="B608" s="3" t="s">
        <v>29</v>
      </c>
      <c r="C608" s="3">
        <v>647</v>
      </c>
      <c r="D608" s="3">
        <v>1</v>
      </c>
      <c r="E608" s="3" t="s">
        <v>27</v>
      </c>
      <c r="F608" s="3" t="s">
        <v>28</v>
      </c>
      <c r="G608" s="3" t="str">
        <f>"2026-01-17 05:14:08.563"</f>
        <v>2026-01-17 05:14:08.563</v>
      </c>
      <c r="H608" s="3" t="s">
        <v>22</v>
      </c>
      <c r="I608" s="3">
        <v>16.55</v>
      </c>
      <c r="J608" s="3" t="s">
        <v>30</v>
      </c>
    </row>
    <row r="609" spans="1:10" x14ac:dyDescent="0.25">
      <c r="A609" s="1">
        <v>26</v>
      </c>
      <c r="B609" t="s">
        <v>19</v>
      </c>
      <c r="C609">
        <v>706</v>
      </c>
      <c r="D609">
        <v>4</v>
      </c>
      <c r="E609" t="s">
        <v>20</v>
      </c>
      <c r="F609" t="s">
        <v>21</v>
      </c>
      <c r="G609" t="str">
        <f>"2026-01-16 21:53:59.335"</f>
        <v>2026-01-16 21:53:59.335</v>
      </c>
      <c r="H609" t="s">
        <v>22</v>
      </c>
      <c r="I609">
        <v>0</v>
      </c>
      <c r="J609" t="s">
        <v>23</v>
      </c>
    </row>
    <row r="610" spans="1:10" x14ac:dyDescent="0.25">
      <c r="A610" s="1">
        <v>27</v>
      </c>
      <c r="B610" t="s">
        <v>19</v>
      </c>
      <c r="C610">
        <v>700</v>
      </c>
      <c r="D610">
        <v>0</v>
      </c>
      <c r="E610" t="s">
        <v>24</v>
      </c>
      <c r="F610" t="s">
        <v>24</v>
      </c>
      <c r="G610" t="str">
        <f>"2026-01-16 13:31:58.185"</f>
        <v>2026-01-16 13:31:58.185</v>
      </c>
      <c r="H610" t="s">
        <v>22</v>
      </c>
      <c r="I610">
        <v>0</v>
      </c>
      <c r="J610" t="s">
        <v>34</v>
      </c>
    </row>
    <row r="611" spans="1:10" x14ac:dyDescent="0.25">
      <c r="A611" s="1">
        <v>28</v>
      </c>
      <c r="B611" t="s">
        <v>19</v>
      </c>
      <c r="C611">
        <v>700</v>
      </c>
      <c r="D611">
        <v>0</v>
      </c>
      <c r="E611" t="s">
        <v>24</v>
      </c>
      <c r="F611" t="s">
        <v>24</v>
      </c>
      <c r="G611" t="str">
        <f>"2026-01-15 11:40:07.179"</f>
        <v>2026-01-15 11:40:07.179</v>
      </c>
      <c r="H611" t="s">
        <v>22</v>
      </c>
      <c r="I611">
        <v>0</v>
      </c>
      <c r="J611" t="s">
        <v>34</v>
      </c>
    </row>
    <row r="612" spans="1:10" x14ac:dyDescent="0.25">
      <c r="A612" s="1">
        <v>29</v>
      </c>
      <c r="B612" t="s">
        <v>19</v>
      </c>
      <c r="C612">
        <v>706</v>
      </c>
      <c r="D612">
        <v>4</v>
      </c>
      <c r="E612" t="s">
        <v>20</v>
      </c>
      <c r="F612" t="s">
        <v>21</v>
      </c>
      <c r="G612" t="str">
        <f>"2026-01-14 20:04:34.154"</f>
        <v>2026-01-14 20:04:34.154</v>
      </c>
      <c r="H612" t="s">
        <v>22</v>
      </c>
      <c r="I612">
        <v>0</v>
      </c>
      <c r="J612" t="s">
        <v>23</v>
      </c>
    </row>
    <row r="613" spans="1:10" x14ac:dyDescent="0.25">
      <c r="A613" s="1">
        <v>30</v>
      </c>
      <c r="B613" t="s">
        <v>19</v>
      </c>
      <c r="C613">
        <v>706</v>
      </c>
      <c r="D613">
        <v>4</v>
      </c>
      <c r="E613" t="s">
        <v>20</v>
      </c>
      <c r="F613" t="s">
        <v>21</v>
      </c>
      <c r="G613" t="str">
        <f>"2026-01-14 10:14:02.014"</f>
        <v>2026-01-14 10:14:02.014</v>
      </c>
      <c r="H613" t="s">
        <v>22</v>
      </c>
      <c r="I613">
        <v>0</v>
      </c>
      <c r="J613" t="s">
        <v>23</v>
      </c>
    </row>
    <row r="614" spans="1:10" x14ac:dyDescent="0.25">
      <c r="A614" s="1">
        <v>31</v>
      </c>
      <c r="B614" t="s">
        <v>19</v>
      </c>
      <c r="C614">
        <v>700</v>
      </c>
      <c r="D614">
        <v>0</v>
      </c>
      <c r="E614" t="s">
        <v>24</v>
      </c>
      <c r="F614" t="s">
        <v>24</v>
      </c>
      <c r="G614" t="str">
        <f>"2026-01-14 10:13:02.164"</f>
        <v>2026-01-14 10:13:02.164</v>
      </c>
      <c r="H614" t="s">
        <v>22</v>
      </c>
    </row>
    <row r="615" spans="1:10" x14ac:dyDescent="0.25">
      <c r="A615" s="1">
        <v>32</v>
      </c>
      <c r="B615" t="s">
        <v>35</v>
      </c>
      <c r="C615">
        <v>215</v>
      </c>
      <c r="D615">
        <v>6</v>
      </c>
      <c r="E615" t="s">
        <v>36</v>
      </c>
      <c r="F615" t="s">
        <v>37</v>
      </c>
      <c r="G615" t="str">
        <f>"2026-01-14 06:17:02.739"</f>
        <v>2026-01-14 06:17:02.739</v>
      </c>
      <c r="H615" t="s">
        <v>22</v>
      </c>
    </row>
    <row r="616" spans="1:10" x14ac:dyDescent="0.25">
      <c r="A616" s="1">
        <v>33</v>
      </c>
      <c r="B616" t="s">
        <v>35</v>
      </c>
      <c r="C616">
        <v>115</v>
      </c>
      <c r="D616">
        <v>6</v>
      </c>
      <c r="E616" t="s">
        <v>38</v>
      </c>
      <c r="F616" t="s">
        <v>37</v>
      </c>
      <c r="G616" t="str">
        <f>"2026-01-14 06:17:02.639"</f>
        <v>2026-01-14 06:17:02.639</v>
      </c>
      <c r="H616" t="s">
        <v>22</v>
      </c>
    </row>
    <row r="617" spans="1:10" x14ac:dyDescent="0.25">
      <c r="A617" s="1">
        <v>34</v>
      </c>
      <c r="B617" t="s">
        <v>39</v>
      </c>
      <c r="C617">
        <v>215</v>
      </c>
      <c r="D617">
        <v>6</v>
      </c>
      <c r="E617" t="s">
        <v>36</v>
      </c>
      <c r="F617" t="s">
        <v>37</v>
      </c>
      <c r="G617" t="str">
        <f>"2026-01-14 06:16:57.605"</f>
        <v>2026-01-14 06:16:57.605</v>
      </c>
      <c r="H617" t="s">
        <v>22</v>
      </c>
      <c r="I617">
        <v>0</v>
      </c>
      <c r="J617" t="s">
        <v>23</v>
      </c>
    </row>
    <row r="618" spans="1:10" x14ac:dyDescent="0.25">
      <c r="A618" s="1">
        <v>35</v>
      </c>
      <c r="B618" t="s">
        <v>39</v>
      </c>
      <c r="C618">
        <v>115</v>
      </c>
      <c r="D618">
        <v>6</v>
      </c>
      <c r="E618" t="s">
        <v>38</v>
      </c>
      <c r="F618" t="s">
        <v>37</v>
      </c>
      <c r="G618" t="str">
        <f>"2026-01-14 06:16:57.600"</f>
        <v>2026-01-14 06:16:57.600</v>
      </c>
      <c r="H618" t="s">
        <v>22</v>
      </c>
      <c r="I618">
        <v>0</v>
      </c>
      <c r="J618" t="s">
        <v>23</v>
      </c>
    </row>
    <row r="619" spans="1:10" x14ac:dyDescent="0.25">
      <c r="A619" s="1">
        <v>36</v>
      </c>
      <c r="B619" t="s">
        <v>26</v>
      </c>
      <c r="C619">
        <v>6</v>
      </c>
      <c r="D619">
        <v>1</v>
      </c>
      <c r="E619" t="s">
        <v>40</v>
      </c>
      <c r="F619" t="s">
        <v>41</v>
      </c>
      <c r="G619" t="str">
        <f>"2026-01-14 06:16:57.479"</f>
        <v>2026-01-14 06:16:57.479</v>
      </c>
      <c r="H619" t="s">
        <v>42</v>
      </c>
    </row>
    <row r="620" spans="1:10" x14ac:dyDescent="0.25">
      <c r="A620" s="1">
        <v>37</v>
      </c>
      <c r="B620" t="s">
        <v>26</v>
      </c>
      <c r="C620">
        <v>75</v>
      </c>
      <c r="D620">
        <v>1</v>
      </c>
      <c r="E620" t="s">
        <v>43</v>
      </c>
      <c r="F620" t="s">
        <v>44</v>
      </c>
      <c r="G620" t="str">
        <f>"2026-01-14 06:16:57.477"</f>
        <v>2026-01-14 06:16:57.477</v>
      </c>
      <c r="H620" t="s">
        <v>45</v>
      </c>
    </row>
    <row r="621" spans="1:10" x14ac:dyDescent="0.25">
      <c r="A621" s="1">
        <v>38</v>
      </c>
      <c r="B621" t="s">
        <v>26</v>
      </c>
      <c r="C621">
        <v>74</v>
      </c>
      <c r="D621">
        <v>1</v>
      </c>
      <c r="E621" t="s">
        <v>46</v>
      </c>
      <c r="F621" t="s">
        <v>47</v>
      </c>
      <c r="G621" t="str">
        <f>"2026-01-14 06:16:57.475"</f>
        <v>2026-01-14 06:16:57.475</v>
      </c>
      <c r="H621" t="s">
        <v>48</v>
      </c>
    </row>
    <row r="622" spans="1:10" x14ac:dyDescent="0.25">
      <c r="A622" s="1">
        <v>39</v>
      </c>
      <c r="B622" t="s">
        <v>29</v>
      </c>
      <c r="C622">
        <v>75</v>
      </c>
      <c r="D622">
        <v>1</v>
      </c>
      <c r="E622" t="s">
        <v>43</v>
      </c>
      <c r="F622" t="s">
        <v>44</v>
      </c>
      <c r="G622" t="str">
        <f>"2026-01-14 06:16:45.887"</f>
        <v>2026-01-14 06:16:45.887</v>
      </c>
      <c r="H622" t="s">
        <v>45</v>
      </c>
      <c r="I622">
        <v>0</v>
      </c>
      <c r="J622" t="s">
        <v>23</v>
      </c>
    </row>
    <row r="623" spans="1:10" x14ac:dyDescent="0.25">
      <c r="A623" s="1">
        <v>40</v>
      </c>
      <c r="B623" t="s">
        <v>29</v>
      </c>
      <c r="C623">
        <v>74</v>
      </c>
      <c r="D623">
        <v>1</v>
      </c>
      <c r="E623" t="s">
        <v>46</v>
      </c>
      <c r="F623" t="s">
        <v>47</v>
      </c>
      <c r="G623" t="str">
        <f>"2026-01-14 06:16:45.882"</f>
        <v>2026-01-14 06:16:45.882</v>
      </c>
      <c r="H623" t="s">
        <v>48</v>
      </c>
      <c r="I623">
        <v>0</v>
      </c>
      <c r="J623" t="s">
        <v>23</v>
      </c>
    </row>
    <row r="624" spans="1:10" x14ac:dyDescent="0.25">
      <c r="A624" s="1">
        <v>41</v>
      </c>
      <c r="B624" t="s">
        <v>39</v>
      </c>
      <c r="C624">
        <v>6</v>
      </c>
      <c r="D624">
        <v>1</v>
      </c>
      <c r="E624" t="s">
        <v>40</v>
      </c>
      <c r="F624" t="s">
        <v>41</v>
      </c>
      <c r="G624" t="str">
        <f>"2026-01-14 06:16:45.876"</f>
        <v>2026-01-14 06:16:45.876</v>
      </c>
      <c r="H624" t="s">
        <v>42</v>
      </c>
      <c r="I624">
        <v>0</v>
      </c>
      <c r="J624" t="s">
        <v>23</v>
      </c>
    </row>
    <row r="625" spans="1:10" x14ac:dyDescent="0.25">
      <c r="A625" s="1">
        <v>46</v>
      </c>
      <c r="B625" t="s">
        <v>19</v>
      </c>
      <c r="C625">
        <v>700</v>
      </c>
      <c r="D625">
        <v>0</v>
      </c>
      <c r="E625" t="s">
        <v>24</v>
      </c>
      <c r="F625" t="s">
        <v>24</v>
      </c>
      <c r="G625" t="str">
        <f>"2026-01-13 16:37:09.177"</f>
        <v>2026-01-13 16:37:09.177</v>
      </c>
      <c r="H625" t="s">
        <v>22</v>
      </c>
    </row>
    <row r="626" spans="1:10" x14ac:dyDescent="0.25">
      <c r="A626" s="1">
        <v>47</v>
      </c>
      <c r="B626" t="s">
        <v>19</v>
      </c>
      <c r="C626">
        <v>700</v>
      </c>
      <c r="D626">
        <v>0</v>
      </c>
      <c r="E626" t="s">
        <v>24</v>
      </c>
      <c r="F626" t="s">
        <v>24</v>
      </c>
      <c r="G626" t="str">
        <f>"2026-01-13 10:22:25.162"</f>
        <v>2026-01-13 10:22:25.162</v>
      </c>
      <c r="H626" t="s">
        <v>22</v>
      </c>
      <c r="I626">
        <v>0</v>
      </c>
      <c r="J626" t="s">
        <v>34</v>
      </c>
    </row>
    <row r="627" spans="1:10" x14ac:dyDescent="0.25">
      <c r="A627" s="1">
        <v>48</v>
      </c>
      <c r="B627" t="s">
        <v>26</v>
      </c>
      <c r="C627">
        <v>635</v>
      </c>
      <c r="D627">
        <v>1</v>
      </c>
      <c r="E627" t="s">
        <v>31</v>
      </c>
      <c r="F627" t="s">
        <v>32</v>
      </c>
      <c r="G627" t="str">
        <f>"2026-01-13 05:50:34.687"</f>
        <v>2026-01-13 05:50:34.687</v>
      </c>
      <c r="H627" t="s">
        <v>22</v>
      </c>
    </row>
    <row r="628" spans="1:10" x14ac:dyDescent="0.25">
      <c r="A628" s="1">
        <v>49</v>
      </c>
      <c r="B628" t="s">
        <v>29</v>
      </c>
      <c r="C628">
        <v>635</v>
      </c>
      <c r="D628">
        <v>1</v>
      </c>
      <c r="E628" t="s">
        <v>31</v>
      </c>
      <c r="F628" t="s">
        <v>32</v>
      </c>
      <c r="G628" t="str">
        <f>"2026-01-13 05:47:12.687"</f>
        <v>2026-01-13 05:47:12.687</v>
      </c>
      <c r="H628" t="s">
        <v>22</v>
      </c>
      <c r="I628">
        <v>6.35</v>
      </c>
      <c r="J628" t="s">
        <v>33</v>
      </c>
    </row>
    <row r="629" spans="1:10" x14ac:dyDescent="0.25">
      <c r="A629" s="1">
        <v>51</v>
      </c>
      <c r="B629" t="s">
        <v>19</v>
      </c>
      <c r="C629">
        <v>706</v>
      </c>
      <c r="D629">
        <v>4</v>
      </c>
      <c r="E629" t="s">
        <v>20</v>
      </c>
      <c r="F629" t="s">
        <v>21</v>
      </c>
      <c r="G629" t="str">
        <f>"2026-01-12 20:19:43.117"</f>
        <v>2026-01-12 20:19:43.117</v>
      </c>
      <c r="H629" t="s">
        <v>22</v>
      </c>
      <c r="I629">
        <v>0</v>
      </c>
      <c r="J629" t="s">
        <v>23</v>
      </c>
    </row>
    <row r="630" spans="1:10" x14ac:dyDescent="0.25">
      <c r="A630" s="1">
        <v>52</v>
      </c>
      <c r="B630" t="s">
        <v>19</v>
      </c>
      <c r="C630">
        <v>706</v>
      </c>
      <c r="D630">
        <v>4</v>
      </c>
      <c r="E630" t="s">
        <v>20</v>
      </c>
      <c r="F630" t="s">
        <v>21</v>
      </c>
      <c r="G630" t="str">
        <f>"2026-01-11 14:11:54.847"</f>
        <v>2026-01-11 14:11:54.847</v>
      </c>
      <c r="H630" t="s">
        <v>22</v>
      </c>
      <c r="I630">
        <v>0</v>
      </c>
      <c r="J630" t="s">
        <v>23</v>
      </c>
    </row>
    <row r="631" spans="1:10" x14ac:dyDescent="0.25">
      <c r="A631" s="1">
        <v>53</v>
      </c>
      <c r="B631" t="s">
        <v>19</v>
      </c>
      <c r="C631">
        <v>700</v>
      </c>
      <c r="D631">
        <v>0</v>
      </c>
      <c r="E631" t="s">
        <v>24</v>
      </c>
      <c r="F631" t="s">
        <v>24</v>
      </c>
      <c r="G631" t="str">
        <f>"2026-01-11 14:11:22.167"</f>
        <v>2026-01-11 14:11:22.167</v>
      </c>
      <c r="H631" t="s">
        <v>22</v>
      </c>
      <c r="I631">
        <v>0</v>
      </c>
      <c r="J631" t="s">
        <v>34</v>
      </c>
    </row>
    <row r="632" spans="1:10" x14ac:dyDescent="0.25">
      <c r="A632" s="1">
        <v>54</v>
      </c>
      <c r="B632" t="s">
        <v>19</v>
      </c>
      <c r="C632">
        <v>706</v>
      </c>
      <c r="D632">
        <v>2</v>
      </c>
      <c r="E632" t="s">
        <v>20</v>
      </c>
      <c r="F632" t="s">
        <v>25</v>
      </c>
      <c r="G632" t="str">
        <f>"2026-01-11 13:41:54.161"</f>
        <v>2026-01-11 13:41:54.161</v>
      </c>
      <c r="H632" t="s">
        <v>22</v>
      </c>
      <c r="I632">
        <v>0</v>
      </c>
      <c r="J632" t="s">
        <v>23</v>
      </c>
    </row>
    <row r="633" spans="1:10" x14ac:dyDescent="0.25">
      <c r="A633" s="1">
        <v>55</v>
      </c>
      <c r="B633" t="s">
        <v>19</v>
      </c>
      <c r="C633">
        <v>706</v>
      </c>
      <c r="D633">
        <v>4</v>
      </c>
      <c r="E633" t="s">
        <v>20</v>
      </c>
      <c r="F633" t="s">
        <v>21</v>
      </c>
      <c r="G633" t="str">
        <f>"2026-01-11 13:41:29.660"</f>
        <v>2026-01-11 13:41:29.660</v>
      </c>
      <c r="H633" t="s">
        <v>22</v>
      </c>
      <c r="I633">
        <v>0</v>
      </c>
      <c r="J633" t="s">
        <v>23</v>
      </c>
    </row>
    <row r="634" spans="1:10" x14ac:dyDescent="0.25">
      <c r="A634" s="1">
        <v>56</v>
      </c>
      <c r="B634" t="s">
        <v>19</v>
      </c>
      <c r="C634">
        <v>706</v>
      </c>
      <c r="D634">
        <v>3</v>
      </c>
      <c r="E634" t="s">
        <v>20</v>
      </c>
      <c r="F634" t="s">
        <v>49</v>
      </c>
      <c r="G634" t="str">
        <f>"2026-01-11 10:58:41.691"</f>
        <v>2026-01-11 10:58:41.691</v>
      </c>
      <c r="H634" t="s">
        <v>22</v>
      </c>
      <c r="I634">
        <v>0</v>
      </c>
      <c r="J634" t="s">
        <v>23</v>
      </c>
    </row>
    <row r="635" spans="1:10" x14ac:dyDescent="0.25">
      <c r="A635" s="1">
        <v>57</v>
      </c>
      <c r="B635" t="s">
        <v>19</v>
      </c>
      <c r="C635">
        <v>700</v>
      </c>
      <c r="D635">
        <v>0</v>
      </c>
      <c r="E635" t="s">
        <v>24</v>
      </c>
      <c r="F635" t="s">
        <v>24</v>
      </c>
      <c r="G635" t="str">
        <f>"2026-01-11 10:55:00.161"</f>
        <v>2026-01-11 10:55:00.161</v>
      </c>
      <c r="H635" t="s">
        <v>22</v>
      </c>
      <c r="I635">
        <v>0</v>
      </c>
      <c r="J635" t="s">
        <v>34</v>
      </c>
    </row>
    <row r="636" spans="1:10" x14ac:dyDescent="0.25">
      <c r="A636" s="1">
        <v>58</v>
      </c>
      <c r="B636" t="s">
        <v>19</v>
      </c>
      <c r="C636">
        <v>706</v>
      </c>
      <c r="D636">
        <v>4</v>
      </c>
      <c r="E636" t="s">
        <v>20</v>
      </c>
      <c r="F636" t="s">
        <v>21</v>
      </c>
      <c r="G636" t="str">
        <f>"2026-01-10 20:18:35.581"</f>
        <v>2026-01-10 20:18:35.581</v>
      </c>
      <c r="H636" t="s">
        <v>22</v>
      </c>
      <c r="I636">
        <v>0</v>
      </c>
      <c r="J636" t="s">
        <v>23</v>
      </c>
    </row>
    <row r="637" spans="1:10" x14ac:dyDescent="0.25">
      <c r="A637" s="1">
        <v>59</v>
      </c>
      <c r="B637" t="s">
        <v>26</v>
      </c>
      <c r="C637">
        <v>635</v>
      </c>
      <c r="D637">
        <v>1</v>
      </c>
      <c r="E637" t="s">
        <v>31</v>
      </c>
      <c r="F637" t="s">
        <v>32</v>
      </c>
      <c r="G637" t="str">
        <f>"2026-01-10 12:15:03.590"</f>
        <v>2026-01-10 12:15:03.590</v>
      </c>
      <c r="H637" t="s">
        <v>22</v>
      </c>
    </row>
    <row r="638" spans="1:10" x14ac:dyDescent="0.25">
      <c r="A638" s="1">
        <v>60</v>
      </c>
      <c r="B638" t="s">
        <v>29</v>
      </c>
      <c r="C638">
        <v>635</v>
      </c>
      <c r="D638">
        <v>1</v>
      </c>
      <c r="E638" t="s">
        <v>31</v>
      </c>
      <c r="F638" t="s">
        <v>32</v>
      </c>
      <c r="G638" t="str">
        <f>"2026-01-10 12:12:38.590"</f>
        <v>2026-01-10 12:12:38.590</v>
      </c>
      <c r="H638" t="s">
        <v>22</v>
      </c>
      <c r="I638">
        <v>3.76</v>
      </c>
      <c r="J638" t="s">
        <v>33</v>
      </c>
    </row>
    <row r="639" spans="1:10" x14ac:dyDescent="0.25">
      <c r="A639" s="1">
        <v>61</v>
      </c>
      <c r="B639" t="s">
        <v>19</v>
      </c>
      <c r="C639">
        <v>700</v>
      </c>
      <c r="D639">
        <v>0</v>
      </c>
      <c r="E639" t="s">
        <v>24</v>
      </c>
      <c r="F639" t="s">
        <v>24</v>
      </c>
      <c r="G639" t="str">
        <f>"2026-01-10 10:29:12.151"</f>
        <v>2026-01-10 10:29:12.151</v>
      </c>
      <c r="H639" t="s">
        <v>22</v>
      </c>
    </row>
    <row r="640" spans="1:10" s="3" customFormat="1" x14ac:dyDescent="0.25">
      <c r="A640" s="2">
        <v>62</v>
      </c>
      <c r="B640" s="3" t="s">
        <v>26</v>
      </c>
      <c r="C640" s="3">
        <v>647</v>
      </c>
      <c r="D640" s="3">
        <v>1</v>
      </c>
      <c r="E640" s="3" t="s">
        <v>27</v>
      </c>
      <c r="F640" s="3" t="s">
        <v>28</v>
      </c>
      <c r="G640" s="3" t="str">
        <f>"2026-01-10 04:33:33.218"</f>
        <v>2026-01-10 04:33:33.218</v>
      </c>
      <c r="H640" s="3" t="s">
        <v>22</v>
      </c>
    </row>
    <row r="641" spans="1:10" s="3" customFormat="1" x14ac:dyDescent="0.25">
      <c r="A641" s="2">
        <v>63</v>
      </c>
      <c r="B641" s="3" t="s">
        <v>29</v>
      </c>
      <c r="C641" s="3">
        <v>647</v>
      </c>
      <c r="D641" s="3">
        <v>1</v>
      </c>
      <c r="E641" s="3" t="s">
        <v>27</v>
      </c>
      <c r="F641" s="3" t="s">
        <v>28</v>
      </c>
      <c r="G641" s="3" t="str">
        <f>"2026-01-10 04:33:21.818"</f>
        <v>2026-01-10 04:33:21.818</v>
      </c>
      <c r="H641" s="3" t="s">
        <v>22</v>
      </c>
      <c r="I641" s="3">
        <v>9.9700000000000006</v>
      </c>
      <c r="J641" s="3" t="s">
        <v>30</v>
      </c>
    </row>
    <row r="642" spans="1:10" s="3" customFormat="1" x14ac:dyDescent="0.25">
      <c r="A642" s="2">
        <v>64</v>
      </c>
      <c r="B642" s="3" t="s">
        <v>26</v>
      </c>
      <c r="C642" s="3">
        <v>647</v>
      </c>
      <c r="D642" s="3">
        <v>1</v>
      </c>
      <c r="E642" s="3" t="s">
        <v>27</v>
      </c>
      <c r="F642" s="3" t="s">
        <v>28</v>
      </c>
      <c r="G642" s="3" t="str">
        <f>"2026-01-09 22:32:25.118"</f>
        <v>2026-01-09 22:32:25.118</v>
      </c>
      <c r="H642" s="3" t="s">
        <v>22</v>
      </c>
    </row>
    <row r="643" spans="1:10" s="3" customFormat="1" x14ac:dyDescent="0.25">
      <c r="A643" s="2">
        <v>65</v>
      </c>
      <c r="B643" s="3" t="s">
        <v>29</v>
      </c>
      <c r="C643" s="3">
        <v>647</v>
      </c>
      <c r="D643" s="3">
        <v>1</v>
      </c>
      <c r="E643" s="3" t="s">
        <v>27</v>
      </c>
      <c r="F643" s="3" t="s">
        <v>28</v>
      </c>
      <c r="G643" s="3" t="str">
        <f>"2026-01-09 22:32:11.418"</f>
        <v>2026-01-09 22:32:11.418</v>
      </c>
      <c r="H643" s="3" t="s">
        <v>22</v>
      </c>
      <c r="I643" s="3">
        <v>10.14</v>
      </c>
      <c r="J643" s="3" t="s">
        <v>30</v>
      </c>
    </row>
    <row r="644" spans="1:10" x14ac:dyDescent="0.25">
      <c r="A644" s="1">
        <v>66</v>
      </c>
      <c r="B644" t="s">
        <v>19</v>
      </c>
      <c r="C644">
        <v>700</v>
      </c>
      <c r="D644">
        <v>0</v>
      </c>
      <c r="E644" t="s">
        <v>24</v>
      </c>
      <c r="F644" t="s">
        <v>24</v>
      </c>
      <c r="G644" t="str">
        <f>"2026-01-09 10:22:46.151"</f>
        <v>2026-01-09 10:22:46.151</v>
      </c>
      <c r="H644" t="s">
        <v>22</v>
      </c>
    </row>
    <row r="645" spans="1:10" x14ac:dyDescent="0.25">
      <c r="A645" s="1">
        <v>67</v>
      </c>
      <c r="B645" t="s">
        <v>26</v>
      </c>
      <c r="C645">
        <v>635</v>
      </c>
      <c r="D645">
        <v>1</v>
      </c>
      <c r="E645" t="s">
        <v>31</v>
      </c>
      <c r="F645" t="s">
        <v>32</v>
      </c>
      <c r="G645" t="str">
        <f>"2026-01-09 09:33:15.630"</f>
        <v>2026-01-09 09:33:15.630</v>
      </c>
      <c r="H645" t="s">
        <v>22</v>
      </c>
    </row>
    <row r="646" spans="1:10" x14ac:dyDescent="0.25">
      <c r="A646" s="1">
        <v>68</v>
      </c>
      <c r="B646" t="s">
        <v>29</v>
      </c>
      <c r="C646">
        <v>635</v>
      </c>
      <c r="D646">
        <v>1</v>
      </c>
      <c r="E646" t="s">
        <v>31</v>
      </c>
      <c r="F646" t="s">
        <v>32</v>
      </c>
      <c r="G646" t="str">
        <f>"2026-01-09 09:29:39.630"</f>
        <v>2026-01-09 09:29:39.630</v>
      </c>
      <c r="H646" t="s">
        <v>22</v>
      </c>
      <c r="I646">
        <v>1.73</v>
      </c>
      <c r="J646" t="s">
        <v>33</v>
      </c>
    </row>
    <row r="647" spans="1:10" x14ac:dyDescent="0.25">
      <c r="A647" s="1">
        <v>69</v>
      </c>
      <c r="B647" t="s">
        <v>26</v>
      </c>
      <c r="C647">
        <v>635</v>
      </c>
      <c r="D647">
        <v>1</v>
      </c>
      <c r="E647" t="s">
        <v>31</v>
      </c>
      <c r="F647" t="s">
        <v>32</v>
      </c>
      <c r="G647" t="str">
        <f>"2026-01-08 20:54:38.330"</f>
        <v>2026-01-08 20:54:38.330</v>
      </c>
      <c r="H647" t="s">
        <v>22</v>
      </c>
    </row>
    <row r="648" spans="1:10" x14ac:dyDescent="0.25">
      <c r="A648" s="1">
        <v>70</v>
      </c>
      <c r="B648" t="s">
        <v>29</v>
      </c>
      <c r="C648">
        <v>635</v>
      </c>
      <c r="D648">
        <v>1</v>
      </c>
      <c r="E648" t="s">
        <v>31</v>
      </c>
      <c r="F648" t="s">
        <v>32</v>
      </c>
      <c r="G648" t="str">
        <f>"2026-01-08 20:20:57.930"</f>
        <v>2026-01-08 20:20:57.930</v>
      </c>
      <c r="H648" t="s">
        <v>22</v>
      </c>
      <c r="I648">
        <v>10.74</v>
      </c>
      <c r="J648" t="s">
        <v>30</v>
      </c>
    </row>
    <row r="649" spans="1:10" x14ac:dyDescent="0.25">
      <c r="A649" s="1">
        <v>71</v>
      </c>
      <c r="B649" t="s">
        <v>19</v>
      </c>
      <c r="C649">
        <v>706</v>
      </c>
      <c r="D649">
        <v>4</v>
      </c>
      <c r="E649" t="s">
        <v>20</v>
      </c>
      <c r="F649" t="s">
        <v>21</v>
      </c>
      <c r="G649" t="str">
        <f>"2026-01-07 08:44:25.341"</f>
        <v>2026-01-07 08:44:25.341</v>
      </c>
      <c r="H649" t="s">
        <v>22</v>
      </c>
      <c r="I649">
        <v>0</v>
      </c>
      <c r="J649" t="s">
        <v>23</v>
      </c>
    </row>
    <row r="650" spans="1:10" x14ac:dyDescent="0.25">
      <c r="A650" s="1">
        <v>72</v>
      </c>
      <c r="B650" t="s">
        <v>19</v>
      </c>
      <c r="C650">
        <v>700</v>
      </c>
      <c r="D650">
        <v>0</v>
      </c>
      <c r="E650" t="s">
        <v>24</v>
      </c>
      <c r="F650" t="s">
        <v>24</v>
      </c>
      <c r="G650" t="str">
        <f>"2026-01-07 08:35:50.211"</f>
        <v>2026-01-07 08:35:50.211</v>
      </c>
      <c r="H650" t="s">
        <v>22</v>
      </c>
    </row>
    <row r="651" spans="1:10" x14ac:dyDescent="0.25">
      <c r="A651" s="1">
        <v>73</v>
      </c>
      <c r="B651" t="s">
        <v>19</v>
      </c>
      <c r="C651">
        <v>700</v>
      </c>
      <c r="D651">
        <v>0</v>
      </c>
      <c r="E651" t="s">
        <v>24</v>
      </c>
      <c r="F651" t="s">
        <v>24</v>
      </c>
      <c r="G651" t="str">
        <f>"2026-01-07 08:12:09.131"</f>
        <v>2026-01-07 08:12:09.131</v>
      </c>
      <c r="H651" t="s">
        <v>22</v>
      </c>
      <c r="I651">
        <v>0</v>
      </c>
      <c r="J651" t="s">
        <v>34</v>
      </c>
    </row>
    <row r="652" spans="1:10" x14ac:dyDescent="0.25">
      <c r="A652" s="1">
        <v>74</v>
      </c>
      <c r="B652" t="s">
        <v>19</v>
      </c>
      <c r="C652">
        <v>700</v>
      </c>
      <c r="D652">
        <v>0</v>
      </c>
      <c r="E652" t="s">
        <v>24</v>
      </c>
      <c r="F652" t="s">
        <v>24</v>
      </c>
      <c r="G652" t="str">
        <f>"2026-01-07 06:54:23.141"</f>
        <v>2026-01-07 06:54:23.141</v>
      </c>
      <c r="H652" t="s">
        <v>22</v>
      </c>
    </row>
    <row r="653" spans="1:10" x14ac:dyDescent="0.25">
      <c r="A653" s="1">
        <v>75</v>
      </c>
      <c r="B653" t="s">
        <v>19</v>
      </c>
      <c r="C653">
        <v>700</v>
      </c>
      <c r="D653">
        <v>0</v>
      </c>
      <c r="E653" t="s">
        <v>24</v>
      </c>
      <c r="F653" t="s">
        <v>24</v>
      </c>
      <c r="G653" t="str">
        <f>"2026-01-07 06:37:04.149"</f>
        <v>2026-01-07 06:37:04.149</v>
      </c>
      <c r="H653" t="s">
        <v>22</v>
      </c>
      <c r="I653">
        <v>0</v>
      </c>
      <c r="J653" t="s">
        <v>34</v>
      </c>
    </row>
    <row r="654" spans="1:10" x14ac:dyDescent="0.25">
      <c r="A654" s="1">
        <v>76</v>
      </c>
      <c r="B654" t="s">
        <v>19</v>
      </c>
      <c r="C654">
        <v>706</v>
      </c>
      <c r="D654">
        <v>2</v>
      </c>
      <c r="E654" t="s">
        <v>20</v>
      </c>
      <c r="F654" t="s">
        <v>25</v>
      </c>
      <c r="G654" t="str">
        <f>"2026-01-07 06:28:26.561"</f>
        <v>2026-01-07 06:28:26.561</v>
      </c>
      <c r="H654" t="s">
        <v>22</v>
      </c>
      <c r="I654">
        <v>0</v>
      </c>
      <c r="J654" t="s">
        <v>23</v>
      </c>
    </row>
    <row r="655" spans="1:10" x14ac:dyDescent="0.25">
      <c r="A655" s="1">
        <v>77</v>
      </c>
      <c r="B655" t="s">
        <v>19</v>
      </c>
      <c r="C655">
        <v>700</v>
      </c>
      <c r="D655">
        <v>0</v>
      </c>
      <c r="E655" t="s">
        <v>24</v>
      </c>
      <c r="F655" t="s">
        <v>24</v>
      </c>
      <c r="G655" t="str">
        <f>"2026-01-07 06:05:32.141"</f>
        <v>2026-01-07 06:05:32.141</v>
      </c>
      <c r="H655" t="s">
        <v>22</v>
      </c>
      <c r="I655">
        <v>0</v>
      </c>
      <c r="J655" t="s">
        <v>34</v>
      </c>
    </row>
    <row r="656" spans="1:10" x14ac:dyDescent="0.25">
      <c r="A656" s="1">
        <v>78</v>
      </c>
      <c r="B656" t="s">
        <v>19</v>
      </c>
      <c r="C656">
        <v>700</v>
      </c>
      <c r="D656">
        <v>0</v>
      </c>
      <c r="E656" t="s">
        <v>24</v>
      </c>
      <c r="F656" t="s">
        <v>24</v>
      </c>
      <c r="G656" t="str">
        <f>"2026-01-07 05:39:38.407"</f>
        <v>2026-01-07 05:39:38.407</v>
      </c>
      <c r="H656" t="s">
        <v>22</v>
      </c>
      <c r="I656">
        <v>0</v>
      </c>
      <c r="J656" t="s">
        <v>34</v>
      </c>
    </row>
    <row r="657" spans="1:10" x14ac:dyDescent="0.25">
      <c r="A657" s="1">
        <v>79</v>
      </c>
      <c r="B657" t="s">
        <v>19</v>
      </c>
      <c r="C657">
        <v>700</v>
      </c>
      <c r="D657">
        <v>0</v>
      </c>
      <c r="E657" t="s">
        <v>24</v>
      </c>
      <c r="F657" t="s">
        <v>24</v>
      </c>
      <c r="G657" t="str">
        <f>"2026-01-07 05:35:15.424"</f>
        <v>2026-01-07 05:35:15.424</v>
      </c>
      <c r="H657" t="s">
        <v>22</v>
      </c>
    </row>
    <row r="658" spans="1:10" s="3" customFormat="1" x14ac:dyDescent="0.25">
      <c r="A658" s="2">
        <v>80</v>
      </c>
      <c r="B658" s="3" t="s">
        <v>26</v>
      </c>
      <c r="C658" s="3">
        <v>647</v>
      </c>
      <c r="D658" s="3">
        <v>1</v>
      </c>
      <c r="E658" s="3" t="s">
        <v>27</v>
      </c>
      <c r="F658" s="3" t="s">
        <v>28</v>
      </c>
      <c r="G658" s="3" t="str">
        <f>"2026-01-06 23:20:11.152"</f>
        <v>2026-01-06 23:20:11.152</v>
      </c>
      <c r="H658" s="3" t="s">
        <v>22</v>
      </c>
    </row>
    <row r="659" spans="1:10" s="3" customFormat="1" x14ac:dyDescent="0.25">
      <c r="A659" s="2">
        <v>81</v>
      </c>
      <c r="B659" s="3" t="s">
        <v>29</v>
      </c>
      <c r="C659" s="3">
        <v>647</v>
      </c>
      <c r="D659" s="3">
        <v>1</v>
      </c>
      <c r="E659" s="3" t="s">
        <v>27</v>
      </c>
      <c r="F659" s="3" t="s">
        <v>28</v>
      </c>
      <c r="G659" s="3" t="str">
        <f>"2026-01-06 23:20:02.852"</f>
        <v>2026-01-06 23:20:02.852</v>
      </c>
      <c r="H659" s="3" t="s">
        <v>22</v>
      </c>
      <c r="I659" s="3">
        <v>20.29</v>
      </c>
      <c r="J659" s="3" t="s">
        <v>30</v>
      </c>
    </row>
    <row r="660" spans="1:10" x14ac:dyDescent="0.25">
      <c r="A660" s="1">
        <v>82</v>
      </c>
      <c r="B660" t="s">
        <v>19</v>
      </c>
      <c r="C660">
        <v>706</v>
      </c>
      <c r="D660">
        <v>4</v>
      </c>
      <c r="E660" t="s">
        <v>20</v>
      </c>
      <c r="F660" t="s">
        <v>21</v>
      </c>
      <c r="G660" t="str">
        <f>"2026-01-06 20:37:22.464"</f>
        <v>2026-01-06 20:37:22.464</v>
      </c>
      <c r="H660" t="s">
        <v>22</v>
      </c>
      <c r="I660">
        <v>0</v>
      </c>
      <c r="J660" t="s">
        <v>23</v>
      </c>
    </row>
    <row r="661" spans="1:10" x14ac:dyDescent="0.25">
      <c r="A661" s="1">
        <v>83</v>
      </c>
      <c r="B661" t="s">
        <v>19</v>
      </c>
      <c r="C661">
        <v>700</v>
      </c>
      <c r="D661">
        <v>0</v>
      </c>
      <c r="E661" t="s">
        <v>24</v>
      </c>
      <c r="F661" t="s">
        <v>24</v>
      </c>
      <c r="G661" t="str">
        <f>"2026-01-06 13:37:10.184"</f>
        <v>2026-01-06 13:37:10.184</v>
      </c>
      <c r="H661" t="s">
        <v>22</v>
      </c>
      <c r="I661">
        <v>0</v>
      </c>
      <c r="J661" t="s">
        <v>34</v>
      </c>
    </row>
    <row r="662" spans="1:10" s="3" customFormat="1" x14ac:dyDescent="0.25">
      <c r="A662" s="2">
        <v>84</v>
      </c>
      <c r="B662" s="3" t="s">
        <v>26</v>
      </c>
      <c r="C662" s="3">
        <v>647</v>
      </c>
      <c r="D662" s="3">
        <v>1</v>
      </c>
      <c r="E662" s="3" t="s">
        <v>27</v>
      </c>
      <c r="F662" s="3" t="s">
        <v>28</v>
      </c>
      <c r="G662" s="3" t="str">
        <f>"2026-01-05 23:28:33.028"</f>
        <v>2026-01-05 23:28:33.028</v>
      </c>
      <c r="H662" s="3" t="s">
        <v>22</v>
      </c>
    </row>
    <row r="663" spans="1:10" s="3" customFormat="1" x14ac:dyDescent="0.25">
      <c r="A663" s="2">
        <v>85</v>
      </c>
      <c r="B663" s="3" t="s">
        <v>29</v>
      </c>
      <c r="C663" s="3">
        <v>647</v>
      </c>
      <c r="D663" s="3">
        <v>1</v>
      </c>
      <c r="E663" s="3" t="s">
        <v>27</v>
      </c>
      <c r="F663" s="3" t="s">
        <v>28</v>
      </c>
      <c r="G663" s="3" t="str">
        <f>"2026-01-05 23:28:31.728"</f>
        <v>2026-01-05 23:28:31.728</v>
      </c>
      <c r="H663" s="3" t="s">
        <v>22</v>
      </c>
      <c r="I663" s="3">
        <v>31.3</v>
      </c>
      <c r="J663" s="3" t="s">
        <v>30</v>
      </c>
    </row>
    <row r="664" spans="1:10" x14ac:dyDescent="0.25">
      <c r="A664" s="1">
        <v>86</v>
      </c>
      <c r="B664" t="s">
        <v>26</v>
      </c>
      <c r="C664">
        <v>635</v>
      </c>
      <c r="D664">
        <v>1</v>
      </c>
      <c r="E664" t="s">
        <v>31</v>
      </c>
      <c r="F664" t="s">
        <v>32</v>
      </c>
      <c r="G664" t="str">
        <f>"2026-01-05 12:35:39.028"</f>
        <v>2026-01-05 12:35:39.028</v>
      </c>
      <c r="H664" t="s">
        <v>22</v>
      </c>
    </row>
    <row r="665" spans="1:10" x14ac:dyDescent="0.25">
      <c r="A665" s="1">
        <v>87</v>
      </c>
      <c r="B665" t="s">
        <v>29</v>
      </c>
      <c r="C665">
        <v>635</v>
      </c>
      <c r="D665">
        <v>1</v>
      </c>
      <c r="E665" t="s">
        <v>31</v>
      </c>
      <c r="F665" t="s">
        <v>32</v>
      </c>
      <c r="G665" t="str">
        <f>"2026-01-05 12:32:16.029"</f>
        <v>2026-01-05 12:32:16.029</v>
      </c>
      <c r="H665" t="s">
        <v>22</v>
      </c>
      <c r="I665">
        <v>2.33</v>
      </c>
      <c r="J665" t="s">
        <v>30</v>
      </c>
    </row>
    <row r="666" spans="1:10" x14ac:dyDescent="0.25">
      <c r="A666" s="1">
        <v>88</v>
      </c>
      <c r="B666" t="s">
        <v>19</v>
      </c>
      <c r="C666">
        <v>700</v>
      </c>
      <c r="D666">
        <v>0</v>
      </c>
      <c r="E666" t="s">
        <v>24</v>
      </c>
      <c r="F666" t="s">
        <v>24</v>
      </c>
      <c r="G666" t="str">
        <f>"2026-01-05 10:58:53.140"</f>
        <v>2026-01-05 10:58:53.140</v>
      </c>
      <c r="H666" t="s">
        <v>22</v>
      </c>
      <c r="I666">
        <v>0</v>
      </c>
      <c r="J666" t="s">
        <v>34</v>
      </c>
    </row>
    <row r="667" spans="1:10" s="3" customFormat="1" x14ac:dyDescent="0.25">
      <c r="A667" s="2">
        <v>89</v>
      </c>
      <c r="B667" s="3" t="s">
        <v>26</v>
      </c>
      <c r="C667" s="3">
        <v>647</v>
      </c>
      <c r="D667" s="3">
        <v>1</v>
      </c>
      <c r="E667" s="3" t="s">
        <v>27</v>
      </c>
      <c r="F667" s="3" t="s">
        <v>28</v>
      </c>
      <c r="G667" s="3" t="str">
        <f>"2026-01-05 04:46:33.755"</f>
        <v>2026-01-05 04:46:33.755</v>
      </c>
      <c r="H667" s="3" t="s">
        <v>22</v>
      </c>
    </row>
    <row r="668" spans="1:10" s="3" customFormat="1" x14ac:dyDescent="0.25">
      <c r="A668" s="2">
        <v>90</v>
      </c>
      <c r="B668" s="3" t="s">
        <v>29</v>
      </c>
      <c r="C668" s="3">
        <v>647</v>
      </c>
      <c r="D668" s="3">
        <v>1</v>
      </c>
      <c r="E668" s="3" t="s">
        <v>27</v>
      </c>
      <c r="F668" s="3" t="s">
        <v>28</v>
      </c>
      <c r="G668" s="3" t="str">
        <f>"2026-01-05 04:46:26.255"</f>
        <v>2026-01-05 04:46:26.255</v>
      </c>
      <c r="H668" s="3" t="s">
        <v>22</v>
      </c>
      <c r="I668" s="3">
        <v>12.63</v>
      </c>
      <c r="J668" s="3" t="s">
        <v>30</v>
      </c>
    </row>
    <row r="669" spans="1:10" s="3" customFormat="1" x14ac:dyDescent="0.25">
      <c r="A669" s="2">
        <v>91</v>
      </c>
      <c r="B669" s="3" t="s">
        <v>26</v>
      </c>
      <c r="C669" s="3">
        <v>647</v>
      </c>
      <c r="D669" s="3">
        <v>1</v>
      </c>
      <c r="E669" s="3" t="s">
        <v>27</v>
      </c>
      <c r="F669" s="3" t="s">
        <v>28</v>
      </c>
      <c r="G669" s="3" t="str">
        <f>"2026-01-05 02:44:18.855"</f>
        <v>2026-01-05 02:44:18.855</v>
      </c>
      <c r="H669" s="3" t="s">
        <v>22</v>
      </c>
    </row>
    <row r="670" spans="1:10" s="3" customFormat="1" x14ac:dyDescent="0.25">
      <c r="A670" s="2">
        <v>92</v>
      </c>
      <c r="B670" s="3" t="s">
        <v>29</v>
      </c>
      <c r="C670" s="3">
        <v>647</v>
      </c>
      <c r="D670" s="3">
        <v>1</v>
      </c>
      <c r="E670" s="3" t="s">
        <v>27</v>
      </c>
      <c r="F670" s="3" t="s">
        <v>28</v>
      </c>
      <c r="G670" s="3" t="str">
        <f>"2026-01-05 02:44:16.356"</f>
        <v>2026-01-05 02:44:16.356</v>
      </c>
      <c r="H670" s="3" t="s">
        <v>22</v>
      </c>
      <c r="I670" s="3">
        <v>9.57</v>
      </c>
      <c r="J670" s="3" t="s">
        <v>30</v>
      </c>
    </row>
    <row r="671" spans="1:10" x14ac:dyDescent="0.25">
      <c r="A671" s="1">
        <v>93</v>
      </c>
      <c r="B671" t="s">
        <v>19</v>
      </c>
      <c r="C671">
        <v>700</v>
      </c>
      <c r="D671">
        <v>0</v>
      </c>
      <c r="E671" t="s">
        <v>24</v>
      </c>
      <c r="F671" t="s">
        <v>24</v>
      </c>
      <c r="G671" t="str">
        <f>"2026-01-04 08:10:23.168"</f>
        <v>2026-01-04 08:10:23.168</v>
      </c>
      <c r="H671" t="s">
        <v>22</v>
      </c>
      <c r="I671">
        <v>0</v>
      </c>
      <c r="J671" t="s">
        <v>34</v>
      </c>
    </row>
    <row r="672" spans="1:10" s="3" customFormat="1" x14ac:dyDescent="0.25">
      <c r="A672" s="2">
        <v>94</v>
      </c>
      <c r="B672" s="3" t="s">
        <v>26</v>
      </c>
      <c r="C672" s="3">
        <v>647</v>
      </c>
      <c r="D672" s="3">
        <v>1</v>
      </c>
      <c r="E672" s="3" t="s">
        <v>27</v>
      </c>
      <c r="F672" s="3" t="s">
        <v>28</v>
      </c>
      <c r="G672" s="3" t="str">
        <f>"2026-01-04 01:30:10.255"</f>
        <v>2026-01-04 01:30:10.255</v>
      </c>
      <c r="H672" s="3" t="s">
        <v>22</v>
      </c>
    </row>
    <row r="673" spans="1:10" s="3" customFormat="1" x14ac:dyDescent="0.25">
      <c r="A673" s="2">
        <v>95</v>
      </c>
      <c r="B673" s="3" t="s">
        <v>29</v>
      </c>
      <c r="C673" s="3">
        <v>647</v>
      </c>
      <c r="D673" s="3">
        <v>1</v>
      </c>
      <c r="E673" s="3" t="s">
        <v>27</v>
      </c>
      <c r="F673" s="3" t="s">
        <v>28</v>
      </c>
      <c r="G673" s="3" t="str">
        <f>"2026-01-04 01:30:04.955"</f>
        <v>2026-01-04 01:30:04.955</v>
      </c>
      <c r="H673" s="3" t="s">
        <v>22</v>
      </c>
      <c r="I673" s="3">
        <v>17.170000000000002</v>
      </c>
      <c r="J673" s="3" t="s">
        <v>30</v>
      </c>
    </row>
    <row r="674" spans="1:10" x14ac:dyDescent="0.25">
      <c r="A674" s="1">
        <v>96</v>
      </c>
      <c r="B674" t="s">
        <v>19</v>
      </c>
      <c r="C674">
        <v>706</v>
      </c>
      <c r="D674">
        <v>4</v>
      </c>
      <c r="E674" t="s">
        <v>20</v>
      </c>
      <c r="F674" t="s">
        <v>21</v>
      </c>
      <c r="G674" t="str">
        <f>"2026-01-03 21:06:10.803"</f>
        <v>2026-01-03 21:06:10.803</v>
      </c>
      <c r="H674" t="s">
        <v>22</v>
      </c>
      <c r="I674">
        <v>0</v>
      </c>
      <c r="J674" t="s">
        <v>23</v>
      </c>
    </row>
    <row r="675" spans="1:10" x14ac:dyDescent="0.25">
      <c r="A675" s="1">
        <v>97</v>
      </c>
      <c r="B675" t="s">
        <v>19</v>
      </c>
      <c r="C675">
        <v>700</v>
      </c>
      <c r="D675">
        <v>0</v>
      </c>
      <c r="E675" t="s">
        <v>24</v>
      </c>
      <c r="F675" t="s">
        <v>24</v>
      </c>
      <c r="G675" t="str">
        <f>"2026-01-03 20:57:28.153"</f>
        <v>2026-01-03 20:57:28.153</v>
      </c>
      <c r="H675" t="s">
        <v>22</v>
      </c>
    </row>
    <row r="676" spans="1:10" x14ac:dyDescent="0.25">
      <c r="A676" s="1">
        <v>98</v>
      </c>
      <c r="B676" t="s">
        <v>19</v>
      </c>
      <c r="C676">
        <v>700</v>
      </c>
      <c r="D676">
        <v>0</v>
      </c>
      <c r="E676" t="s">
        <v>24</v>
      </c>
      <c r="F676" t="s">
        <v>24</v>
      </c>
      <c r="G676" t="str">
        <f>"2026-01-03 12:37:56.174"</f>
        <v>2026-01-03 12:37:56.174</v>
      </c>
      <c r="H676" t="s">
        <v>22</v>
      </c>
      <c r="I676">
        <v>0</v>
      </c>
      <c r="J676" t="s">
        <v>34</v>
      </c>
    </row>
    <row r="677" spans="1:10" x14ac:dyDescent="0.25">
      <c r="A677" s="1">
        <v>99</v>
      </c>
      <c r="B677" t="s">
        <v>19</v>
      </c>
      <c r="C677">
        <v>700</v>
      </c>
      <c r="D677">
        <v>0</v>
      </c>
      <c r="E677" t="s">
        <v>24</v>
      </c>
      <c r="F677" t="s">
        <v>24</v>
      </c>
      <c r="G677" t="str">
        <f>"2026-01-03 04:54:38.135"</f>
        <v>2026-01-03 04:54:38.135</v>
      </c>
      <c r="H677" t="s">
        <v>22</v>
      </c>
    </row>
    <row r="678" spans="1:10" s="3" customFormat="1" x14ac:dyDescent="0.25">
      <c r="A678" s="2">
        <v>0</v>
      </c>
      <c r="B678" s="3" t="s">
        <v>26</v>
      </c>
      <c r="C678" s="3">
        <v>647</v>
      </c>
      <c r="D678" s="3">
        <v>1</v>
      </c>
      <c r="E678" s="3" t="s">
        <v>27</v>
      </c>
      <c r="F678" s="3" t="s">
        <v>28</v>
      </c>
      <c r="G678" s="3" t="str">
        <f>"2026-01-02 23:07:18.715"</f>
        <v>2026-01-02 23:07:18.715</v>
      </c>
      <c r="H678" s="3" t="s">
        <v>22</v>
      </c>
    </row>
    <row r="679" spans="1:10" s="3" customFormat="1" x14ac:dyDescent="0.25">
      <c r="A679" s="2">
        <v>1</v>
      </c>
      <c r="B679" s="3" t="s">
        <v>29</v>
      </c>
      <c r="C679" s="3">
        <v>647</v>
      </c>
      <c r="D679" s="3">
        <v>1</v>
      </c>
      <c r="E679" s="3" t="s">
        <v>27</v>
      </c>
      <c r="F679" s="3" t="s">
        <v>28</v>
      </c>
      <c r="G679" s="3" t="str">
        <f>"2026-01-02 23:07:17.015"</f>
        <v>2026-01-02 23:07:17.015</v>
      </c>
      <c r="H679" s="3" t="s">
        <v>22</v>
      </c>
      <c r="I679" s="3">
        <v>18.84</v>
      </c>
      <c r="J679" s="3" t="s">
        <v>30</v>
      </c>
    </row>
    <row r="680" spans="1:10" x14ac:dyDescent="0.25">
      <c r="A680" s="1">
        <v>2</v>
      </c>
      <c r="B680" t="s">
        <v>19</v>
      </c>
      <c r="C680">
        <v>700</v>
      </c>
      <c r="D680">
        <v>0</v>
      </c>
      <c r="E680" t="s">
        <v>24</v>
      </c>
      <c r="F680" t="s">
        <v>24</v>
      </c>
      <c r="G680" t="str">
        <f>"2026-01-02 11:47:06.316"</f>
        <v>2026-01-02 11:47:06.316</v>
      </c>
      <c r="H680" t="s">
        <v>22</v>
      </c>
    </row>
    <row r="681" spans="1:10" s="3" customFormat="1" x14ac:dyDescent="0.25">
      <c r="A681" s="2">
        <v>3</v>
      </c>
      <c r="B681" s="3" t="s">
        <v>26</v>
      </c>
      <c r="C681" s="3">
        <v>647</v>
      </c>
      <c r="D681" s="3">
        <v>1</v>
      </c>
      <c r="E681" s="3" t="s">
        <v>27</v>
      </c>
      <c r="F681" s="3" t="s">
        <v>28</v>
      </c>
      <c r="G681" s="3" t="str">
        <f>"2026-01-02 05:24:24.644"</f>
        <v>2026-01-02 05:24:24.644</v>
      </c>
      <c r="H681" s="3" t="s">
        <v>22</v>
      </c>
    </row>
    <row r="682" spans="1:10" s="3" customFormat="1" x14ac:dyDescent="0.25">
      <c r="A682" s="2">
        <v>4</v>
      </c>
      <c r="B682" s="3" t="s">
        <v>29</v>
      </c>
      <c r="C682" s="3">
        <v>647</v>
      </c>
      <c r="D682" s="3">
        <v>1</v>
      </c>
      <c r="E682" s="3" t="s">
        <v>27</v>
      </c>
      <c r="F682" s="3" t="s">
        <v>28</v>
      </c>
      <c r="G682" s="3" t="str">
        <f>"2026-01-02 05:24:21.944"</f>
        <v>2026-01-02 05:24:21.944</v>
      </c>
      <c r="H682" s="3" t="s">
        <v>22</v>
      </c>
      <c r="I682" s="3">
        <v>15.57</v>
      </c>
      <c r="J682" s="3" t="s">
        <v>30</v>
      </c>
    </row>
    <row r="683" spans="1:10" x14ac:dyDescent="0.25">
      <c r="A683" s="1">
        <v>5</v>
      </c>
      <c r="B683" t="s">
        <v>19</v>
      </c>
      <c r="C683">
        <v>700</v>
      </c>
      <c r="D683">
        <v>0</v>
      </c>
      <c r="E683" t="s">
        <v>24</v>
      </c>
      <c r="F683" t="s">
        <v>24</v>
      </c>
      <c r="G683" t="str">
        <f>"2026-01-02 03:27:31.142"</f>
        <v>2026-01-02 03:27:31.142</v>
      </c>
      <c r="H683" t="s">
        <v>22</v>
      </c>
    </row>
    <row r="684" spans="1:10" x14ac:dyDescent="0.25">
      <c r="A684" s="1">
        <v>6</v>
      </c>
      <c r="B684" t="s">
        <v>19</v>
      </c>
      <c r="C684">
        <v>700</v>
      </c>
      <c r="D684">
        <v>0</v>
      </c>
      <c r="E684" t="s">
        <v>24</v>
      </c>
      <c r="F684" t="s">
        <v>24</v>
      </c>
      <c r="G684" t="str">
        <f>"2026-01-02 02:59:08.138"</f>
        <v>2026-01-02 02:59:08.138</v>
      </c>
      <c r="H684" t="s">
        <v>22</v>
      </c>
      <c r="I684">
        <v>0</v>
      </c>
      <c r="J684" t="s">
        <v>34</v>
      </c>
    </row>
    <row r="685" spans="1:10" x14ac:dyDescent="0.25">
      <c r="A685" s="1">
        <v>7</v>
      </c>
      <c r="B685" t="s">
        <v>19</v>
      </c>
      <c r="C685">
        <v>700</v>
      </c>
      <c r="D685">
        <v>0</v>
      </c>
      <c r="E685" t="s">
        <v>24</v>
      </c>
      <c r="F685" t="s">
        <v>24</v>
      </c>
      <c r="G685" t="str">
        <f>"2026-01-02 02:45:49.135"</f>
        <v>2026-01-02 02:45:49.135</v>
      </c>
      <c r="H685" t="s">
        <v>22</v>
      </c>
      <c r="I685">
        <v>0</v>
      </c>
      <c r="J685" t="s">
        <v>34</v>
      </c>
    </row>
    <row r="686" spans="1:10" x14ac:dyDescent="0.25">
      <c r="A686" s="1">
        <v>8</v>
      </c>
      <c r="B686" t="s">
        <v>19</v>
      </c>
      <c r="C686">
        <v>706</v>
      </c>
      <c r="D686">
        <v>3</v>
      </c>
      <c r="E686" t="s">
        <v>20</v>
      </c>
      <c r="F686" t="s">
        <v>49</v>
      </c>
      <c r="G686" t="str">
        <f>"2026-01-02 02:38:25.087"</f>
        <v>2026-01-02 02:38:25.087</v>
      </c>
      <c r="H686" t="s">
        <v>22</v>
      </c>
      <c r="I686">
        <v>0</v>
      </c>
      <c r="J686" t="s">
        <v>23</v>
      </c>
    </row>
    <row r="687" spans="1:10" x14ac:dyDescent="0.25">
      <c r="A687" s="1">
        <v>9</v>
      </c>
      <c r="B687" t="s">
        <v>19</v>
      </c>
      <c r="C687">
        <v>700</v>
      </c>
      <c r="D687">
        <v>0</v>
      </c>
      <c r="E687" t="s">
        <v>24</v>
      </c>
      <c r="F687" t="s">
        <v>24</v>
      </c>
      <c r="G687" t="str">
        <f>"2026-01-02 02:28:03.127"</f>
        <v>2026-01-02 02:28:03.127</v>
      </c>
      <c r="H687" t="s">
        <v>22</v>
      </c>
      <c r="I687">
        <v>0</v>
      </c>
      <c r="J687" t="s">
        <v>34</v>
      </c>
    </row>
    <row r="688" spans="1:10" x14ac:dyDescent="0.25">
      <c r="A688" s="1">
        <v>10</v>
      </c>
      <c r="B688" t="s">
        <v>19</v>
      </c>
      <c r="C688">
        <v>700</v>
      </c>
      <c r="D688">
        <v>0</v>
      </c>
      <c r="E688" t="s">
        <v>24</v>
      </c>
      <c r="F688" t="s">
        <v>24</v>
      </c>
      <c r="G688" t="str">
        <f>"2026-01-02 02:23:38.129"</f>
        <v>2026-01-02 02:23:38.129</v>
      </c>
      <c r="H688" t="s">
        <v>22</v>
      </c>
      <c r="I688">
        <v>0</v>
      </c>
      <c r="J688" t="s">
        <v>34</v>
      </c>
    </row>
    <row r="689" spans="1:10" x14ac:dyDescent="0.25">
      <c r="A689" s="1">
        <v>11</v>
      </c>
      <c r="B689" t="s">
        <v>19</v>
      </c>
      <c r="C689">
        <v>700</v>
      </c>
      <c r="D689">
        <v>0</v>
      </c>
      <c r="E689" t="s">
        <v>24</v>
      </c>
      <c r="F689" t="s">
        <v>24</v>
      </c>
      <c r="G689" t="str">
        <f>"2026-01-02 02:12:01.137"</f>
        <v>2026-01-02 02:12:01.137</v>
      </c>
      <c r="H689" t="s">
        <v>22</v>
      </c>
      <c r="I689">
        <v>0</v>
      </c>
      <c r="J689" t="s">
        <v>34</v>
      </c>
    </row>
    <row r="690" spans="1:10" x14ac:dyDescent="0.25">
      <c r="A690" s="1">
        <v>12</v>
      </c>
      <c r="B690" t="s">
        <v>19</v>
      </c>
      <c r="C690">
        <v>700</v>
      </c>
      <c r="D690">
        <v>0</v>
      </c>
      <c r="E690" t="s">
        <v>24</v>
      </c>
      <c r="F690" t="s">
        <v>24</v>
      </c>
      <c r="G690" t="str">
        <f>"2026-01-02 01:56:26.133"</f>
        <v>2026-01-02 01:56:26.133</v>
      </c>
      <c r="H690" t="s">
        <v>22</v>
      </c>
      <c r="I690">
        <v>0</v>
      </c>
      <c r="J690" t="s">
        <v>34</v>
      </c>
    </row>
    <row r="691" spans="1:10" x14ac:dyDescent="0.25">
      <c r="A691" s="1">
        <v>13</v>
      </c>
      <c r="B691" t="s">
        <v>19</v>
      </c>
      <c r="C691">
        <v>700</v>
      </c>
      <c r="D691">
        <v>0</v>
      </c>
      <c r="E691" t="s">
        <v>24</v>
      </c>
      <c r="F691" t="s">
        <v>24</v>
      </c>
      <c r="G691" t="str">
        <f>"2026-01-02 01:54:59.119"</f>
        <v>2026-01-02 01:54:59.119</v>
      </c>
      <c r="H691" t="s">
        <v>22</v>
      </c>
    </row>
    <row r="692" spans="1:10" x14ac:dyDescent="0.25">
      <c r="A692" s="1">
        <v>14</v>
      </c>
      <c r="B692" t="s">
        <v>19</v>
      </c>
      <c r="C692">
        <v>706</v>
      </c>
      <c r="D692">
        <v>3</v>
      </c>
      <c r="E692" t="s">
        <v>20</v>
      </c>
      <c r="F692" t="s">
        <v>49</v>
      </c>
      <c r="G692" t="str">
        <f>"2026-01-02 01:49:37.245"</f>
        <v>2026-01-02 01:49:37.245</v>
      </c>
      <c r="H692" t="s">
        <v>22</v>
      </c>
      <c r="I692">
        <v>0</v>
      </c>
      <c r="J692" t="s">
        <v>23</v>
      </c>
    </row>
    <row r="693" spans="1:10" x14ac:dyDescent="0.25">
      <c r="A693" s="1">
        <v>15</v>
      </c>
      <c r="B693" t="s">
        <v>19</v>
      </c>
      <c r="C693">
        <v>700</v>
      </c>
      <c r="D693">
        <v>0</v>
      </c>
      <c r="E693" t="s">
        <v>24</v>
      </c>
      <c r="F693" t="s">
        <v>24</v>
      </c>
      <c r="G693" t="str">
        <f>"2026-01-02 01:47:57.135"</f>
        <v>2026-01-02 01:47:57.135</v>
      </c>
      <c r="H693" t="s">
        <v>22</v>
      </c>
      <c r="I693">
        <v>0</v>
      </c>
      <c r="J693" t="s">
        <v>34</v>
      </c>
    </row>
    <row r="694" spans="1:10" x14ac:dyDescent="0.25">
      <c r="A694" s="1">
        <v>16</v>
      </c>
      <c r="B694" t="s">
        <v>19</v>
      </c>
      <c r="C694">
        <v>700</v>
      </c>
      <c r="D694">
        <v>0</v>
      </c>
      <c r="E694" t="s">
        <v>24</v>
      </c>
      <c r="F694" t="s">
        <v>24</v>
      </c>
      <c r="G694" t="str">
        <f>"2026-01-02 01:24:18.174"</f>
        <v>2026-01-02 01:24:18.174</v>
      </c>
      <c r="H694" t="s">
        <v>22</v>
      </c>
    </row>
    <row r="695" spans="1:10" x14ac:dyDescent="0.25">
      <c r="A695" s="1">
        <v>17</v>
      </c>
      <c r="B695" t="s">
        <v>19</v>
      </c>
      <c r="C695">
        <v>700</v>
      </c>
      <c r="D695">
        <v>0</v>
      </c>
      <c r="E695" t="s">
        <v>24</v>
      </c>
      <c r="F695" t="s">
        <v>24</v>
      </c>
      <c r="G695" t="str">
        <f>"2026-01-02 00:58:53.128"</f>
        <v>2026-01-02 00:58:53.128</v>
      </c>
      <c r="H695" t="s">
        <v>22</v>
      </c>
      <c r="I695">
        <v>0</v>
      </c>
      <c r="J695" t="s">
        <v>34</v>
      </c>
    </row>
    <row r="696" spans="1:10" x14ac:dyDescent="0.25">
      <c r="A696" s="1">
        <v>18</v>
      </c>
      <c r="B696" t="s">
        <v>19</v>
      </c>
      <c r="C696">
        <v>700</v>
      </c>
      <c r="D696">
        <v>0</v>
      </c>
      <c r="E696" t="s">
        <v>24</v>
      </c>
      <c r="F696" t="s">
        <v>24</v>
      </c>
      <c r="G696" t="str">
        <f>"2026-01-02 00:57:50.137"</f>
        <v>2026-01-02 00:57:50.137</v>
      </c>
      <c r="H696" t="s">
        <v>22</v>
      </c>
      <c r="I696">
        <v>0</v>
      </c>
      <c r="J696" t="s">
        <v>34</v>
      </c>
    </row>
    <row r="697" spans="1:10" x14ac:dyDescent="0.25">
      <c r="A697" s="1">
        <v>19</v>
      </c>
      <c r="B697" t="s">
        <v>19</v>
      </c>
      <c r="C697">
        <v>700</v>
      </c>
      <c r="D697">
        <v>0</v>
      </c>
      <c r="E697" t="s">
        <v>24</v>
      </c>
      <c r="F697" t="s">
        <v>24</v>
      </c>
      <c r="G697" t="str">
        <f>"2026-01-02 00:54:56.115"</f>
        <v>2026-01-02 00:54:56.115</v>
      </c>
      <c r="H697" t="s">
        <v>22</v>
      </c>
    </row>
    <row r="698" spans="1:10" x14ac:dyDescent="0.25">
      <c r="A698" s="1">
        <v>20</v>
      </c>
      <c r="B698" t="s">
        <v>19</v>
      </c>
      <c r="C698">
        <v>700</v>
      </c>
      <c r="D698">
        <v>0</v>
      </c>
      <c r="E698" t="s">
        <v>24</v>
      </c>
      <c r="F698" t="s">
        <v>24</v>
      </c>
      <c r="G698" t="str">
        <f>"2026-01-02 00:45:15.223"</f>
        <v>2026-01-02 00:45:15.223</v>
      </c>
      <c r="H698" t="s">
        <v>22</v>
      </c>
      <c r="I698">
        <v>0</v>
      </c>
      <c r="J698" t="s">
        <v>34</v>
      </c>
    </row>
    <row r="699" spans="1:10" x14ac:dyDescent="0.25">
      <c r="A699" s="1">
        <v>21</v>
      </c>
      <c r="B699" t="s">
        <v>19</v>
      </c>
      <c r="C699">
        <v>700</v>
      </c>
      <c r="D699">
        <v>0</v>
      </c>
      <c r="E699" t="s">
        <v>24</v>
      </c>
      <c r="F699" t="s">
        <v>24</v>
      </c>
      <c r="G699" t="str">
        <f>"2026-01-02 00:33:41.122"</f>
        <v>2026-01-02 00:33:41.122</v>
      </c>
      <c r="H699" t="s">
        <v>22</v>
      </c>
      <c r="I699">
        <v>0</v>
      </c>
      <c r="J699" t="s">
        <v>34</v>
      </c>
    </row>
    <row r="700" spans="1:10" x14ac:dyDescent="0.25">
      <c r="A700" s="1">
        <v>22</v>
      </c>
      <c r="B700" t="s">
        <v>19</v>
      </c>
      <c r="C700">
        <v>700</v>
      </c>
      <c r="D700">
        <v>0</v>
      </c>
      <c r="E700" t="s">
        <v>24</v>
      </c>
      <c r="F700" t="s">
        <v>24</v>
      </c>
      <c r="G700" t="str">
        <f>"2026-01-02 00:31:57.122"</f>
        <v>2026-01-02 00:31:57.122</v>
      </c>
      <c r="H700" t="s">
        <v>22</v>
      </c>
      <c r="I700">
        <v>0</v>
      </c>
      <c r="J700" t="s">
        <v>34</v>
      </c>
    </row>
    <row r="701" spans="1:10" x14ac:dyDescent="0.25">
      <c r="A701" s="1">
        <v>23</v>
      </c>
      <c r="B701" t="s">
        <v>19</v>
      </c>
      <c r="C701">
        <v>700</v>
      </c>
      <c r="D701">
        <v>0</v>
      </c>
      <c r="E701" t="s">
        <v>24</v>
      </c>
      <c r="F701" t="s">
        <v>24</v>
      </c>
      <c r="G701" t="str">
        <f>"2026-01-02 00:11:27.119"</f>
        <v>2026-01-02 00:11:27.119</v>
      </c>
      <c r="H701" t="s">
        <v>22</v>
      </c>
    </row>
    <row r="702" spans="1:10" x14ac:dyDescent="0.25">
      <c r="A702" s="1">
        <v>24</v>
      </c>
      <c r="B702" t="s">
        <v>19</v>
      </c>
      <c r="C702">
        <v>706</v>
      </c>
      <c r="D702">
        <v>3</v>
      </c>
      <c r="E702" t="s">
        <v>20</v>
      </c>
      <c r="F702" t="s">
        <v>49</v>
      </c>
      <c r="G702" t="str">
        <f>"2026-01-02 00:07:56.640"</f>
        <v>2026-01-02 00:07:56.640</v>
      </c>
      <c r="H702" t="s">
        <v>22</v>
      </c>
      <c r="I702">
        <v>0</v>
      </c>
      <c r="J702" t="s">
        <v>23</v>
      </c>
    </row>
    <row r="703" spans="1:10" x14ac:dyDescent="0.25">
      <c r="A703" s="1">
        <v>25</v>
      </c>
      <c r="B703" t="s">
        <v>19</v>
      </c>
      <c r="C703">
        <v>700</v>
      </c>
      <c r="D703">
        <v>0</v>
      </c>
      <c r="E703" t="s">
        <v>24</v>
      </c>
      <c r="F703" t="s">
        <v>24</v>
      </c>
      <c r="G703" t="str">
        <f>"2026-01-02 00:07:26.120"</f>
        <v>2026-01-02 00:07:26.120</v>
      </c>
      <c r="H703" t="s">
        <v>22</v>
      </c>
      <c r="I703">
        <v>0</v>
      </c>
      <c r="J703" t="s">
        <v>34</v>
      </c>
    </row>
    <row r="704" spans="1:10" x14ac:dyDescent="0.25">
      <c r="A704" s="1">
        <v>26</v>
      </c>
      <c r="B704" t="s">
        <v>19</v>
      </c>
      <c r="C704">
        <v>700</v>
      </c>
      <c r="D704">
        <v>0</v>
      </c>
      <c r="E704" t="s">
        <v>24</v>
      </c>
      <c r="F704" t="s">
        <v>24</v>
      </c>
      <c r="G704" t="str">
        <f>"2026-01-01 23:30:48.127"</f>
        <v>2026-01-01 23:30:48.127</v>
      </c>
      <c r="H704" t="s">
        <v>22</v>
      </c>
      <c r="I704">
        <v>0</v>
      </c>
      <c r="J704" t="s">
        <v>34</v>
      </c>
    </row>
    <row r="705" spans="1:10" x14ac:dyDescent="0.25">
      <c r="A705" s="1">
        <v>27</v>
      </c>
      <c r="B705" t="s">
        <v>19</v>
      </c>
      <c r="C705">
        <v>700</v>
      </c>
      <c r="D705">
        <v>0</v>
      </c>
      <c r="E705" t="s">
        <v>24</v>
      </c>
      <c r="F705" t="s">
        <v>24</v>
      </c>
      <c r="G705" t="str">
        <f>"2026-01-01 22:59:51.171"</f>
        <v>2026-01-01 22:59:51.171</v>
      </c>
      <c r="H705" t="s">
        <v>22</v>
      </c>
      <c r="I705">
        <v>0</v>
      </c>
      <c r="J705" t="s">
        <v>34</v>
      </c>
    </row>
    <row r="706" spans="1:10" s="3" customFormat="1" x14ac:dyDescent="0.25">
      <c r="A706" s="2">
        <v>28</v>
      </c>
      <c r="B706" s="3" t="s">
        <v>26</v>
      </c>
      <c r="C706" s="3">
        <v>647</v>
      </c>
      <c r="D706" s="3">
        <v>1</v>
      </c>
      <c r="E706" s="3" t="s">
        <v>27</v>
      </c>
      <c r="F706" s="3" t="s">
        <v>28</v>
      </c>
      <c r="G706" s="3" t="str">
        <f>"2026-01-01 21:55:14.934"</f>
        <v>2026-01-01 21:55:14.934</v>
      </c>
      <c r="H706" s="3" t="s">
        <v>22</v>
      </c>
    </row>
    <row r="707" spans="1:10" s="3" customFormat="1" x14ac:dyDescent="0.25">
      <c r="A707" s="2">
        <v>29</v>
      </c>
      <c r="B707" s="3" t="s">
        <v>29</v>
      </c>
      <c r="C707" s="3">
        <v>647</v>
      </c>
      <c r="D707" s="3">
        <v>1</v>
      </c>
      <c r="E707" s="3" t="s">
        <v>27</v>
      </c>
      <c r="F707" s="3" t="s">
        <v>28</v>
      </c>
      <c r="G707" s="3" t="str">
        <f>"2026-01-01 21:55:08.434"</f>
        <v>2026-01-01 21:55:08.434</v>
      </c>
      <c r="H707" s="3" t="s">
        <v>22</v>
      </c>
      <c r="I707" s="3">
        <v>16.100000000000001</v>
      </c>
      <c r="J707" s="3" t="s">
        <v>30</v>
      </c>
    </row>
    <row r="708" spans="1:10" x14ac:dyDescent="0.25">
      <c r="A708" s="1">
        <v>30</v>
      </c>
      <c r="B708" t="s">
        <v>19</v>
      </c>
      <c r="C708">
        <v>706</v>
      </c>
      <c r="D708">
        <v>2</v>
      </c>
      <c r="E708" t="s">
        <v>20</v>
      </c>
      <c r="F708" t="s">
        <v>25</v>
      </c>
      <c r="G708" t="str">
        <f>"2026-01-01 21:17:12.855"</f>
        <v>2026-01-01 21:17:12.855</v>
      </c>
      <c r="H708" t="s">
        <v>22</v>
      </c>
      <c r="I708">
        <v>0</v>
      </c>
      <c r="J708" t="s">
        <v>23</v>
      </c>
    </row>
    <row r="709" spans="1:10" x14ac:dyDescent="0.25">
      <c r="A709" s="1">
        <v>31</v>
      </c>
      <c r="B709" t="s">
        <v>26</v>
      </c>
      <c r="C709">
        <v>635</v>
      </c>
      <c r="D709">
        <v>1</v>
      </c>
      <c r="E709" t="s">
        <v>31</v>
      </c>
      <c r="F709" t="s">
        <v>32</v>
      </c>
      <c r="G709" t="str">
        <f>"2026-01-01 18:09:19.986"</f>
        <v>2026-01-01 18:09:19.986</v>
      </c>
      <c r="H709" t="s">
        <v>22</v>
      </c>
    </row>
    <row r="710" spans="1:10" x14ac:dyDescent="0.25">
      <c r="A710" s="1">
        <v>32</v>
      </c>
      <c r="B710" t="s">
        <v>29</v>
      </c>
      <c r="C710">
        <v>635</v>
      </c>
      <c r="D710">
        <v>1</v>
      </c>
      <c r="E710" t="s">
        <v>31</v>
      </c>
      <c r="F710" t="s">
        <v>32</v>
      </c>
      <c r="G710" t="str">
        <f>"2026-01-01 18:05:54.486"</f>
        <v>2026-01-01 18:05:54.486</v>
      </c>
      <c r="H710" t="s">
        <v>22</v>
      </c>
      <c r="I710">
        <v>3.26</v>
      </c>
      <c r="J710" t="s">
        <v>33</v>
      </c>
    </row>
    <row r="711" spans="1:10" x14ac:dyDescent="0.25">
      <c r="A711" s="1">
        <v>33</v>
      </c>
      <c r="B711" t="s">
        <v>19</v>
      </c>
      <c r="C711">
        <v>700</v>
      </c>
      <c r="D711">
        <v>0</v>
      </c>
      <c r="E711" t="s">
        <v>24</v>
      </c>
      <c r="F711" t="s">
        <v>24</v>
      </c>
      <c r="G711" t="str">
        <f>"2026-01-01 08:40:32.125"</f>
        <v>2026-01-01 08:40:32.125</v>
      </c>
      <c r="H711" t="s">
        <v>22</v>
      </c>
    </row>
    <row r="712" spans="1:10" s="3" customFormat="1" x14ac:dyDescent="0.25">
      <c r="A712" s="2">
        <v>34</v>
      </c>
      <c r="B712" s="3" t="s">
        <v>26</v>
      </c>
      <c r="C712" s="3">
        <v>647</v>
      </c>
      <c r="D712" s="3">
        <v>1</v>
      </c>
      <c r="E712" s="3" t="s">
        <v>27</v>
      </c>
      <c r="F712" s="3" t="s">
        <v>28</v>
      </c>
      <c r="G712" s="3" t="str">
        <f>"2026-01-01 03:26:37.544"</f>
        <v>2026-01-01 03:26:37.544</v>
      </c>
      <c r="H712" s="3" t="s">
        <v>22</v>
      </c>
    </row>
    <row r="713" spans="1:10" s="3" customFormat="1" x14ac:dyDescent="0.25">
      <c r="A713" s="2">
        <v>35</v>
      </c>
      <c r="B713" s="3" t="s">
        <v>29</v>
      </c>
      <c r="C713" s="3">
        <v>647</v>
      </c>
      <c r="D713" s="3">
        <v>1</v>
      </c>
      <c r="E713" s="3" t="s">
        <v>27</v>
      </c>
      <c r="F713" s="3" t="s">
        <v>28</v>
      </c>
      <c r="G713" s="3" t="str">
        <f>"2026-01-01 03:26:32.044"</f>
        <v>2026-01-01 03:26:32.044</v>
      </c>
      <c r="H713" s="3" t="s">
        <v>22</v>
      </c>
      <c r="I713" s="3">
        <v>9.61</v>
      </c>
      <c r="J713" s="3" t="s">
        <v>30</v>
      </c>
    </row>
    <row r="714" spans="1:10" s="3" customFormat="1" x14ac:dyDescent="0.25">
      <c r="A714" s="2">
        <v>36</v>
      </c>
      <c r="B714" s="3" t="s">
        <v>26</v>
      </c>
      <c r="C714" s="3">
        <v>647</v>
      </c>
      <c r="D714" s="3">
        <v>1</v>
      </c>
      <c r="E714" s="3" t="s">
        <v>27</v>
      </c>
      <c r="F714" s="3" t="s">
        <v>28</v>
      </c>
      <c r="G714" s="3" t="str">
        <f>"2025-12-31 21:42:42.544"</f>
        <v>2025-12-31 21:42:42.544</v>
      </c>
      <c r="H714" s="3" t="s">
        <v>22</v>
      </c>
    </row>
    <row r="715" spans="1:10" s="3" customFormat="1" x14ac:dyDescent="0.25">
      <c r="A715" s="2">
        <v>37</v>
      </c>
      <c r="B715" s="3" t="s">
        <v>29</v>
      </c>
      <c r="C715" s="3">
        <v>647</v>
      </c>
      <c r="D715" s="3">
        <v>1</v>
      </c>
      <c r="E715" s="3" t="s">
        <v>27</v>
      </c>
      <c r="F715" s="3" t="s">
        <v>28</v>
      </c>
      <c r="G715" s="3" t="str">
        <f>"2025-12-31 21:42:40.244"</f>
        <v>2025-12-31 21:42:40.244</v>
      </c>
      <c r="H715" s="3" t="s">
        <v>22</v>
      </c>
      <c r="I715" s="3">
        <v>16.68</v>
      </c>
      <c r="J715" s="3" t="s">
        <v>30</v>
      </c>
    </row>
    <row r="716" spans="1:10" x14ac:dyDescent="0.25">
      <c r="A716" s="1">
        <v>38</v>
      </c>
      <c r="B716" t="s">
        <v>26</v>
      </c>
      <c r="C716">
        <v>635</v>
      </c>
      <c r="D716">
        <v>1</v>
      </c>
      <c r="E716" t="s">
        <v>31</v>
      </c>
      <c r="F716" t="s">
        <v>32</v>
      </c>
      <c r="G716" t="str">
        <f>"2025-12-30 08:30:23.843"</f>
        <v>2025-12-30 08:30:23.843</v>
      </c>
      <c r="H716" t="s">
        <v>22</v>
      </c>
    </row>
    <row r="717" spans="1:10" x14ac:dyDescent="0.25">
      <c r="A717" s="1">
        <v>39</v>
      </c>
      <c r="B717" t="s">
        <v>29</v>
      </c>
      <c r="C717">
        <v>635</v>
      </c>
      <c r="D717">
        <v>1</v>
      </c>
      <c r="E717" t="s">
        <v>31</v>
      </c>
      <c r="F717" t="s">
        <v>32</v>
      </c>
      <c r="G717" t="str">
        <f>"2025-12-30 08:24:56.443"</f>
        <v>2025-12-30 08:24:56.443</v>
      </c>
      <c r="H717" t="s">
        <v>22</v>
      </c>
      <c r="I717">
        <v>2.2599999999999998</v>
      </c>
      <c r="J717" t="s">
        <v>33</v>
      </c>
    </row>
    <row r="718" spans="1:10" s="3" customFormat="1" x14ac:dyDescent="0.25">
      <c r="A718" s="2">
        <v>40</v>
      </c>
      <c r="B718" s="3" t="s">
        <v>26</v>
      </c>
      <c r="C718" s="3">
        <v>647</v>
      </c>
      <c r="D718" s="3">
        <v>1</v>
      </c>
      <c r="E718" s="3" t="s">
        <v>27</v>
      </c>
      <c r="F718" s="3" t="s">
        <v>28</v>
      </c>
      <c r="G718" s="3" t="str">
        <f>"2025-12-30 02:09:39.144"</f>
        <v>2025-12-30 02:09:39.144</v>
      </c>
      <c r="H718" s="3" t="s">
        <v>22</v>
      </c>
    </row>
    <row r="719" spans="1:10" s="3" customFormat="1" x14ac:dyDescent="0.25">
      <c r="A719" s="2">
        <v>41</v>
      </c>
      <c r="B719" s="3" t="s">
        <v>29</v>
      </c>
      <c r="C719" s="3">
        <v>647</v>
      </c>
      <c r="D719" s="3">
        <v>1</v>
      </c>
      <c r="E719" s="3" t="s">
        <v>27</v>
      </c>
      <c r="F719" s="3" t="s">
        <v>28</v>
      </c>
      <c r="G719" s="3" t="str">
        <f>"2025-12-30 02:09:35.244"</f>
        <v>2025-12-30 02:09:35.244</v>
      </c>
      <c r="H719" s="3" t="s">
        <v>22</v>
      </c>
      <c r="I719" s="3">
        <v>15.36</v>
      </c>
      <c r="J719" s="3" t="s">
        <v>30</v>
      </c>
    </row>
    <row r="720" spans="1:10" x14ac:dyDescent="0.25">
      <c r="A720" s="1">
        <v>42</v>
      </c>
      <c r="B720" t="s">
        <v>19</v>
      </c>
      <c r="C720">
        <v>700</v>
      </c>
      <c r="D720">
        <v>0</v>
      </c>
      <c r="E720" t="s">
        <v>24</v>
      </c>
      <c r="F720" t="s">
        <v>24</v>
      </c>
      <c r="G720" t="str">
        <f>"2025-12-29 10:07:25.132"</f>
        <v>2025-12-29 10:07:25.132</v>
      </c>
      <c r="H720" t="s">
        <v>22</v>
      </c>
    </row>
    <row r="721" spans="1:10" s="3" customFormat="1" x14ac:dyDescent="0.25">
      <c r="A721" s="2">
        <v>44</v>
      </c>
      <c r="B721" s="3" t="s">
        <v>26</v>
      </c>
      <c r="C721" s="3">
        <v>647</v>
      </c>
      <c r="D721" s="3">
        <v>1</v>
      </c>
      <c r="E721" s="3" t="s">
        <v>27</v>
      </c>
      <c r="F721" s="3" t="s">
        <v>28</v>
      </c>
      <c r="G721" s="3" t="str">
        <f>"2025-12-28 03:29:26.346"</f>
        <v>2025-12-28 03:29:26.346</v>
      </c>
      <c r="H721" s="3" t="s">
        <v>22</v>
      </c>
    </row>
    <row r="722" spans="1:10" s="3" customFormat="1" x14ac:dyDescent="0.25">
      <c r="A722" s="2">
        <v>45</v>
      </c>
      <c r="B722" s="3" t="s">
        <v>29</v>
      </c>
      <c r="C722" s="3">
        <v>647</v>
      </c>
      <c r="D722" s="3">
        <v>1</v>
      </c>
      <c r="E722" s="3" t="s">
        <v>27</v>
      </c>
      <c r="F722" s="3" t="s">
        <v>28</v>
      </c>
      <c r="G722" s="3" t="str">
        <f>"2025-12-28 03:29:19.647"</f>
        <v>2025-12-28 03:29:19.647</v>
      </c>
      <c r="H722" s="3" t="s">
        <v>22</v>
      </c>
      <c r="I722" s="3">
        <v>13.87</v>
      </c>
      <c r="J722" s="3" t="s">
        <v>30</v>
      </c>
    </row>
    <row r="723" spans="1:10" x14ac:dyDescent="0.25">
      <c r="A723" s="1">
        <v>46</v>
      </c>
      <c r="B723" t="s">
        <v>19</v>
      </c>
      <c r="C723">
        <v>700</v>
      </c>
      <c r="D723">
        <v>0</v>
      </c>
      <c r="E723" t="s">
        <v>24</v>
      </c>
      <c r="F723" t="s">
        <v>24</v>
      </c>
      <c r="G723" t="str">
        <f>"2025-12-28 02:02:52.139"</f>
        <v>2025-12-28 02:02:52.139</v>
      </c>
      <c r="H723" t="s">
        <v>22</v>
      </c>
    </row>
    <row r="724" spans="1:10" x14ac:dyDescent="0.25">
      <c r="A724" s="1">
        <v>47</v>
      </c>
      <c r="B724" t="s">
        <v>19</v>
      </c>
      <c r="C724">
        <v>706</v>
      </c>
      <c r="D724">
        <v>2</v>
      </c>
      <c r="E724" t="s">
        <v>20</v>
      </c>
      <c r="F724" t="s">
        <v>25</v>
      </c>
      <c r="G724" t="str">
        <f>"2025-12-28 00:40:11.913"</f>
        <v>2025-12-28 00:40:11.913</v>
      </c>
      <c r="H724" t="s">
        <v>22</v>
      </c>
      <c r="I724">
        <v>0</v>
      </c>
      <c r="J724" t="s">
        <v>23</v>
      </c>
    </row>
    <row r="725" spans="1:10" x14ac:dyDescent="0.25">
      <c r="A725" s="1">
        <v>48</v>
      </c>
      <c r="B725" t="s">
        <v>19</v>
      </c>
      <c r="C725">
        <v>700</v>
      </c>
      <c r="D725">
        <v>0</v>
      </c>
      <c r="E725" t="s">
        <v>24</v>
      </c>
      <c r="F725" t="s">
        <v>24</v>
      </c>
      <c r="G725" t="str">
        <f>"2025-12-28 00:39:31.123"</f>
        <v>2025-12-28 00:39:31.123</v>
      </c>
      <c r="H725" t="s">
        <v>22</v>
      </c>
    </row>
    <row r="726" spans="1:10" x14ac:dyDescent="0.25">
      <c r="A726" s="1">
        <v>49</v>
      </c>
      <c r="B726" t="s">
        <v>19</v>
      </c>
      <c r="C726">
        <v>700</v>
      </c>
      <c r="D726">
        <v>0</v>
      </c>
      <c r="E726" t="s">
        <v>24</v>
      </c>
      <c r="F726" t="s">
        <v>24</v>
      </c>
      <c r="G726" t="str">
        <f>"2025-12-26 21:13:05.125"</f>
        <v>2025-12-26 21:13:05.125</v>
      </c>
      <c r="H726" t="s">
        <v>22</v>
      </c>
      <c r="I726">
        <v>0</v>
      </c>
      <c r="J726" t="s">
        <v>34</v>
      </c>
    </row>
    <row r="727" spans="1:10" x14ac:dyDescent="0.25">
      <c r="A727" s="1">
        <v>50</v>
      </c>
      <c r="B727" t="s">
        <v>26</v>
      </c>
      <c r="C727">
        <v>89</v>
      </c>
      <c r="D727">
        <v>3</v>
      </c>
      <c r="E727" t="s">
        <v>69</v>
      </c>
      <c r="F727" t="s">
        <v>70</v>
      </c>
      <c r="G727" t="str">
        <f>"2025-12-26 17:56:58.418"</f>
        <v>2025-12-26 17:56:58.418</v>
      </c>
      <c r="H727" t="s">
        <v>22</v>
      </c>
    </row>
    <row r="728" spans="1:10" x14ac:dyDescent="0.25">
      <c r="A728" s="1">
        <v>51</v>
      </c>
      <c r="B728" t="s">
        <v>39</v>
      </c>
      <c r="C728">
        <v>89</v>
      </c>
      <c r="D728">
        <v>3</v>
      </c>
      <c r="E728" t="s">
        <v>69</v>
      </c>
      <c r="F728" t="s">
        <v>70</v>
      </c>
      <c r="G728" t="str">
        <f>"2025-12-26 17:56:19.318"</f>
        <v>2025-12-26 17:56:19.318</v>
      </c>
      <c r="H728" t="s">
        <v>22</v>
      </c>
      <c r="I728">
        <v>0</v>
      </c>
      <c r="J728" t="s">
        <v>52</v>
      </c>
    </row>
    <row r="729" spans="1:10" x14ac:dyDescent="0.25">
      <c r="A729" s="1">
        <v>52</v>
      </c>
      <c r="B729" t="s">
        <v>19</v>
      </c>
      <c r="C729">
        <v>706</v>
      </c>
      <c r="D729">
        <v>2</v>
      </c>
      <c r="E729" t="s">
        <v>20</v>
      </c>
      <c r="F729" t="s">
        <v>25</v>
      </c>
      <c r="G729" t="str">
        <f>"2025-12-26 17:53:20.027"</f>
        <v>2025-12-26 17:53:20.027</v>
      </c>
      <c r="H729" t="s">
        <v>22</v>
      </c>
      <c r="I729">
        <v>0</v>
      </c>
      <c r="J729" t="s">
        <v>23</v>
      </c>
    </row>
    <row r="730" spans="1:10" x14ac:dyDescent="0.25">
      <c r="A730" s="1">
        <v>53</v>
      </c>
      <c r="B730" t="s">
        <v>19</v>
      </c>
      <c r="C730">
        <v>700</v>
      </c>
      <c r="D730">
        <v>0</v>
      </c>
      <c r="E730" t="s">
        <v>24</v>
      </c>
      <c r="F730" t="s">
        <v>24</v>
      </c>
      <c r="G730" t="str">
        <f>"2025-12-26 17:53:03.127"</f>
        <v>2025-12-26 17:53:03.127</v>
      </c>
      <c r="H730" t="s">
        <v>22</v>
      </c>
      <c r="I730">
        <v>0</v>
      </c>
      <c r="J730" t="s">
        <v>34</v>
      </c>
    </row>
    <row r="731" spans="1:10" x14ac:dyDescent="0.25">
      <c r="A731" s="1">
        <v>54</v>
      </c>
      <c r="B731" t="s">
        <v>19</v>
      </c>
      <c r="C731">
        <v>700</v>
      </c>
      <c r="D731">
        <v>0</v>
      </c>
      <c r="E731" t="s">
        <v>24</v>
      </c>
      <c r="F731" t="s">
        <v>24</v>
      </c>
      <c r="G731" t="str">
        <f>"2025-12-26 11:06:44.113"</f>
        <v>2025-12-26 11:06:44.113</v>
      </c>
      <c r="H731" t="s">
        <v>22</v>
      </c>
    </row>
    <row r="732" spans="1:10" x14ac:dyDescent="0.25">
      <c r="A732" s="1">
        <v>55</v>
      </c>
      <c r="B732" t="s">
        <v>19</v>
      </c>
      <c r="C732">
        <v>700</v>
      </c>
      <c r="D732">
        <v>0</v>
      </c>
      <c r="E732" t="s">
        <v>24</v>
      </c>
      <c r="F732" t="s">
        <v>24</v>
      </c>
      <c r="G732" t="str">
        <f>"2025-12-21 14:35:13.133"</f>
        <v>2025-12-21 14:35:13.133</v>
      </c>
      <c r="H732" t="s">
        <v>22</v>
      </c>
      <c r="I732">
        <v>0</v>
      </c>
      <c r="J732" t="s">
        <v>34</v>
      </c>
    </row>
    <row r="733" spans="1:10" x14ac:dyDescent="0.25">
      <c r="A733" s="1">
        <v>56</v>
      </c>
      <c r="B733" t="s">
        <v>19</v>
      </c>
      <c r="C733">
        <v>700</v>
      </c>
      <c r="D733">
        <v>0</v>
      </c>
      <c r="E733" t="s">
        <v>24</v>
      </c>
      <c r="F733" t="s">
        <v>24</v>
      </c>
      <c r="G733" t="str">
        <f>"2025-12-20 15:32:28.127"</f>
        <v>2025-12-20 15:32:28.127</v>
      </c>
      <c r="H733" t="s">
        <v>22</v>
      </c>
    </row>
    <row r="734" spans="1:10" x14ac:dyDescent="0.25">
      <c r="A734" s="1">
        <v>57</v>
      </c>
      <c r="B734" t="s">
        <v>19</v>
      </c>
      <c r="C734">
        <v>700</v>
      </c>
      <c r="D734">
        <v>0</v>
      </c>
      <c r="E734" t="s">
        <v>24</v>
      </c>
      <c r="F734" t="s">
        <v>24</v>
      </c>
      <c r="G734" t="str">
        <f>"2025-12-20 15:20:32.133"</f>
        <v>2025-12-20 15:20:32.133</v>
      </c>
      <c r="H734" t="s">
        <v>22</v>
      </c>
    </row>
    <row r="735" spans="1:10" x14ac:dyDescent="0.25">
      <c r="A735" s="1">
        <v>58</v>
      </c>
      <c r="B735" t="s">
        <v>19</v>
      </c>
      <c r="C735">
        <v>706</v>
      </c>
      <c r="D735">
        <v>4</v>
      </c>
      <c r="E735" t="s">
        <v>20</v>
      </c>
      <c r="F735" t="s">
        <v>21</v>
      </c>
      <c r="G735" t="str">
        <f>"2025-12-20 15:09:54.704"</f>
        <v>2025-12-20 15:09:54.704</v>
      </c>
      <c r="H735" t="s">
        <v>22</v>
      </c>
      <c r="I735">
        <v>0</v>
      </c>
      <c r="J735" t="s">
        <v>23</v>
      </c>
    </row>
    <row r="736" spans="1:10" x14ac:dyDescent="0.25">
      <c r="A736" s="1">
        <v>59</v>
      </c>
      <c r="B736" t="s">
        <v>19</v>
      </c>
      <c r="C736">
        <v>700</v>
      </c>
      <c r="D736">
        <v>0</v>
      </c>
      <c r="E736" t="s">
        <v>24</v>
      </c>
      <c r="F736" t="s">
        <v>24</v>
      </c>
      <c r="G736" t="str">
        <f>"2025-12-20 14:48:27.134"</f>
        <v>2025-12-20 14:48:27.134</v>
      </c>
      <c r="H736" t="s">
        <v>22</v>
      </c>
      <c r="I736">
        <v>0</v>
      </c>
      <c r="J736" t="s">
        <v>34</v>
      </c>
    </row>
    <row r="737" spans="1:10" x14ac:dyDescent="0.25">
      <c r="A737" s="1">
        <v>60</v>
      </c>
      <c r="B737" t="s">
        <v>19</v>
      </c>
      <c r="C737">
        <v>700</v>
      </c>
      <c r="D737">
        <v>0</v>
      </c>
      <c r="E737" t="s">
        <v>24</v>
      </c>
      <c r="F737" t="s">
        <v>24</v>
      </c>
      <c r="G737" t="str">
        <f>"2025-12-20 11:22:13.122"</f>
        <v>2025-12-20 11:22:13.122</v>
      </c>
      <c r="H737" t="s">
        <v>22</v>
      </c>
      <c r="I737">
        <v>0</v>
      </c>
      <c r="J737" t="s">
        <v>34</v>
      </c>
    </row>
    <row r="738" spans="1:10" x14ac:dyDescent="0.25">
      <c r="A738" s="1">
        <v>61</v>
      </c>
      <c r="B738" t="s">
        <v>19</v>
      </c>
      <c r="C738">
        <v>700</v>
      </c>
      <c r="D738">
        <v>0</v>
      </c>
      <c r="E738" t="s">
        <v>24</v>
      </c>
      <c r="F738" t="s">
        <v>24</v>
      </c>
      <c r="G738" t="str">
        <f>"2025-12-20 09:44:29.153"</f>
        <v>2025-12-20 09:44:29.153</v>
      </c>
      <c r="H738" t="s">
        <v>22</v>
      </c>
      <c r="I738">
        <v>0</v>
      </c>
      <c r="J738" t="s">
        <v>34</v>
      </c>
    </row>
    <row r="739" spans="1:10" s="3" customFormat="1" x14ac:dyDescent="0.25">
      <c r="A739" s="2">
        <v>62</v>
      </c>
      <c r="B739" s="3" t="s">
        <v>26</v>
      </c>
      <c r="C739" s="3">
        <v>647</v>
      </c>
      <c r="D739" s="3">
        <v>1</v>
      </c>
      <c r="E739" s="3" t="s">
        <v>27</v>
      </c>
      <c r="F739" s="3" t="s">
        <v>28</v>
      </c>
      <c r="G739" s="3" t="str">
        <f>"2025-12-19 10:08:31.477"</f>
        <v>2025-12-19 10:08:31.477</v>
      </c>
      <c r="H739" s="3" t="s">
        <v>22</v>
      </c>
    </row>
    <row r="740" spans="1:10" s="3" customFormat="1" x14ac:dyDescent="0.25">
      <c r="A740" s="2">
        <v>63</v>
      </c>
      <c r="B740" s="3" t="s">
        <v>29</v>
      </c>
      <c r="C740" s="3">
        <v>647</v>
      </c>
      <c r="D740" s="3">
        <v>1</v>
      </c>
      <c r="E740" s="3" t="s">
        <v>27</v>
      </c>
      <c r="F740" s="3" t="s">
        <v>28</v>
      </c>
      <c r="G740" s="3" t="str">
        <f>"2025-12-19 10:08:29.577"</f>
        <v>2025-12-19 10:08:29.577</v>
      </c>
      <c r="H740" s="3" t="s">
        <v>22</v>
      </c>
      <c r="I740" s="3">
        <v>9.19</v>
      </c>
      <c r="J740" s="3" t="s">
        <v>30</v>
      </c>
    </row>
    <row r="741" spans="1:10" x14ac:dyDescent="0.25">
      <c r="A741" s="1">
        <v>64</v>
      </c>
      <c r="B741" t="s">
        <v>19</v>
      </c>
      <c r="C741">
        <v>700</v>
      </c>
      <c r="D741">
        <v>0</v>
      </c>
      <c r="E741" t="s">
        <v>24</v>
      </c>
      <c r="F741" t="s">
        <v>24</v>
      </c>
      <c r="G741" t="str">
        <f>"2025-12-19 08:34:48.160"</f>
        <v>2025-12-19 08:34:48.160</v>
      </c>
      <c r="H741" t="s">
        <v>22</v>
      </c>
      <c r="I741">
        <v>0</v>
      </c>
      <c r="J741" t="s">
        <v>34</v>
      </c>
    </row>
    <row r="742" spans="1:10" x14ac:dyDescent="0.25">
      <c r="A742" s="1">
        <v>65</v>
      </c>
      <c r="B742" t="s">
        <v>26</v>
      </c>
      <c r="C742">
        <v>635</v>
      </c>
      <c r="D742">
        <v>1</v>
      </c>
      <c r="E742" t="s">
        <v>31</v>
      </c>
      <c r="F742" t="s">
        <v>32</v>
      </c>
      <c r="G742" t="str">
        <f>"2025-12-18 16:03:07.909"</f>
        <v>2025-12-18 16:03:07.909</v>
      </c>
      <c r="H742" t="s">
        <v>22</v>
      </c>
    </row>
    <row r="743" spans="1:10" x14ac:dyDescent="0.25">
      <c r="A743" s="1">
        <v>66</v>
      </c>
      <c r="B743" t="s">
        <v>29</v>
      </c>
      <c r="C743">
        <v>635</v>
      </c>
      <c r="D743">
        <v>1</v>
      </c>
      <c r="E743" t="s">
        <v>31</v>
      </c>
      <c r="F743" t="s">
        <v>32</v>
      </c>
      <c r="G743" t="str">
        <f>"2025-12-18 15:59:18.909"</f>
        <v>2025-12-18 15:59:18.909</v>
      </c>
      <c r="H743" t="s">
        <v>22</v>
      </c>
      <c r="I743">
        <v>9.6</v>
      </c>
      <c r="J743" t="s">
        <v>30</v>
      </c>
    </row>
    <row r="744" spans="1:10" x14ac:dyDescent="0.25">
      <c r="A744" s="1">
        <v>67</v>
      </c>
      <c r="B744" t="s">
        <v>26</v>
      </c>
      <c r="C744">
        <v>635</v>
      </c>
      <c r="D744">
        <v>1</v>
      </c>
      <c r="E744" t="s">
        <v>31</v>
      </c>
      <c r="F744" t="s">
        <v>32</v>
      </c>
      <c r="G744" t="str">
        <f>"2025-12-18 12:57:20.809"</f>
        <v>2025-12-18 12:57:20.809</v>
      </c>
      <c r="H744" t="s">
        <v>22</v>
      </c>
    </row>
    <row r="745" spans="1:10" x14ac:dyDescent="0.25">
      <c r="A745" s="1">
        <v>68</v>
      </c>
      <c r="B745" t="s">
        <v>29</v>
      </c>
      <c r="C745">
        <v>635</v>
      </c>
      <c r="D745">
        <v>1</v>
      </c>
      <c r="E745" t="s">
        <v>31</v>
      </c>
      <c r="F745" t="s">
        <v>32</v>
      </c>
      <c r="G745" t="str">
        <f>"2025-12-18 12:42:48.409"</f>
        <v>2025-12-18 12:42:48.409</v>
      </c>
      <c r="H745" t="s">
        <v>22</v>
      </c>
      <c r="I745">
        <v>7.73</v>
      </c>
      <c r="J745" t="s">
        <v>33</v>
      </c>
    </row>
    <row r="746" spans="1:10" x14ac:dyDescent="0.25">
      <c r="A746" s="1">
        <v>69</v>
      </c>
      <c r="B746" t="s">
        <v>19</v>
      </c>
      <c r="C746">
        <v>706</v>
      </c>
      <c r="D746">
        <v>4</v>
      </c>
      <c r="E746" t="s">
        <v>20</v>
      </c>
      <c r="F746" t="s">
        <v>21</v>
      </c>
      <c r="G746" t="str">
        <f>"2025-12-18 08:51:31.768"</f>
        <v>2025-12-18 08:51:31.768</v>
      </c>
      <c r="H746" t="s">
        <v>22</v>
      </c>
      <c r="I746">
        <v>0</v>
      </c>
      <c r="J746" t="s">
        <v>23</v>
      </c>
    </row>
    <row r="747" spans="1:10" x14ac:dyDescent="0.25">
      <c r="A747" s="1">
        <v>70</v>
      </c>
      <c r="B747" t="s">
        <v>19</v>
      </c>
      <c r="C747">
        <v>700</v>
      </c>
      <c r="D747">
        <v>0</v>
      </c>
      <c r="E747" t="s">
        <v>24</v>
      </c>
      <c r="F747" t="s">
        <v>24</v>
      </c>
      <c r="G747" t="str">
        <f>"2025-12-17 21:47:37.158"</f>
        <v>2025-12-17 21:47:37.158</v>
      </c>
      <c r="H747" t="s">
        <v>22</v>
      </c>
      <c r="I747">
        <v>0</v>
      </c>
      <c r="J747" t="s">
        <v>34</v>
      </c>
    </row>
    <row r="748" spans="1:10" s="3" customFormat="1" x14ac:dyDescent="0.25">
      <c r="A748" s="2">
        <v>71</v>
      </c>
      <c r="B748" s="3" t="s">
        <v>26</v>
      </c>
      <c r="C748" s="3">
        <v>647</v>
      </c>
      <c r="D748" s="3">
        <v>1</v>
      </c>
      <c r="E748" s="3" t="s">
        <v>27</v>
      </c>
      <c r="F748" s="3" t="s">
        <v>28</v>
      </c>
      <c r="G748" s="3" t="str">
        <f>"2025-12-17 19:20:55.247"</f>
        <v>2025-12-17 19:20:55.247</v>
      </c>
      <c r="H748" s="3" t="s">
        <v>22</v>
      </c>
    </row>
    <row r="749" spans="1:10" s="3" customFormat="1" x14ac:dyDescent="0.25">
      <c r="A749" s="2">
        <v>72</v>
      </c>
      <c r="B749" s="3" t="s">
        <v>29</v>
      </c>
      <c r="C749" s="3">
        <v>647</v>
      </c>
      <c r="D749" s="3">
        <v>1</v>
      </c>
      <c r="E749" s="3" t="s">
        <v>27</v>
      </c>
      <c r="F749" s="3" t="s">
        <v>28</v>
      </c>
      <c r="G749" s="3" t="str">
        <f>"2025-12-17 19:20:49.647"</f>
        <v>2025-12-17 19:20:49.647</v>
      </c>
      <c r="H749" s="3" t="s">
        <v>22</v>
      </c>
      <c r="I749" s="3">
        <v>12.61</v>
      </c>
      <c r="J749" s="3" t="s">
        <v>30</v>
      </c>
    </row>
    <row r="750" spans="1:10" s="3" customFormat="1" x14ac:dyDescent="0.25">
      <c r="A750" s="2">
        <v>73</v>
      </c>
      <c r="B750" s="3" t="s">
        <v>26</v>
      </c>
      <c r="C750" s="3">
        <v>647</v>
      </c>
      <c r="D750" s="3">
        <v>1</v>
      </c>
      <c r="E750" s="3" t="s">
        <v>27</v>
      </c>
      <c r="F750" s="3" t="s">
        <v>28</v>
      </c>
      <c r="G750" s="3" t="str">
        <f>"2025-12-17 15:45:37.847"</f>
        <v>2025-12-17 15:45:37.847</v>
      </c>
      <c r="H750" s="3" t="s">
        <v>22</v>
      </c>
    </row>
    <row r="751" spans="1:10" s="3" customFormat="1" x14ac:dyDescent="0.25">
      <c r="A751" s="2">
        <v>74</v>
      </c>
      <c r="B751" s="3" t="s">
        <v>29</v>
      </c>
      <c r="C751" s="3">
        <v>647</v>
      </c>
      <c r="D751" s="3">
        <v>1</v>
      </c>
      <c r="E751" s="3" t="s">
        <v>27</v>
      </c>
      <c r="F751" s="3" t="s">
        <v>28</v>
      </c>
      <c r="G751" s="3" t="str">
        <f>"2025-12-17 15:45:31.347"</f>
        <v>2025-12-17 15:45:31.347</v>
      </c>
      <c r="H751" s="3" t="s">
        <v>22</v>
      </c>
      <c r="I751" s="3">
        <v>22.4</v>
      </c>
      <c r="J751" s="3" t="s">
        <v>30</v>
      </c>
    </row>
    <row r="752" spans="1:10" x14ac:dyDescent="0.25">
      <c r="A752" s="1">
        <v>75</v>
      </c>
      <c r="B752" t="s">
        <v>19</v>
      </c>
      <c r="C752">
        <v>706</v>
      </c>
      <c r="D752">
        <v>4</v>
      </c>
      <c r="E752" t="s">
        <v>20</v>
      </c>
      <c r="F752" t="s">
        <v>21</v>
      </c>
      <c r="G752" t="str">
        <f>"2025-12-17 14:28:11.313"</f>
        <v>2025-12-17 14:28:11.313</v>
      </c>
      <c r="H752" t="s">
        <v>22</v>
      </c>
      <c r="I752">
        <v>0</v>
      </c>
      <c r="J752" t="s">
        <v>23</v>
      </c>
    </row>
    <row r="753" spans="1:10" x14ac:dyDescent="0.25">
      <c r="A753" s="1">
        <v>76</v>
      </c>
      <c r="B753" t="s">
        <v>19</v>
      </c>
      <c r="C753">
        <v>706</v>
      </c>
      <c r="D753">
        <v>4</v>
      </c>
      <c r="E753" t="s">
        <v>20</v>
      </c>
      <c r="F753" t="s">
        <v>21</v>
      </c>
      <c r="G753" t="str">
        <f>"2025-12-17 13:57:29.393"</f>
        <v>2025-12-17 13:57:29.393</v>
      </c>
      <c r="H753" t="s">
        <v>22</v>
      </c>
      <c r="I753">
        <v>0</v>
      </c>
      <c r="J753" t="s">
        <v>23</v>
      </c>
    </row>
    <row r="754" spans="1:10" x14ac:dyDescent="0.25">
      <c r="A754" s="1">
        <v>77</v>
      </c>
      <c r="B754" t="s">
        <v>19</v>
      </c>
      <c r="C754">
        <v>700</v>
      </c>
      <c r="D754">
        <v>0</v>
      </c>
      <c r="E754" t="s">
        <v>24</v>
      </c>
      <c r="F754" t="s">
        <v>24</v>
      </c>
      <c r="G754" t="str">
        <f>"2025-12-16 20:36:23.143"</f>
        <v>2025-12-16 20:36:23.143</v>
      </c>
      <c r="H754" t="s">
        <v>22</v>
      </c>
      <c r="I754">
        <v>0</v>
      </c>
      <c r="J754" t="s">
        <v>34</v>
      </c>
    </row>
    <row r="755" spans="1:10" x14ac:dyDescent="0.25">
      <c r="A755" s="1">
        <v>78</v>
      </c>
      <c r="B755" t="s">
        <v>19</v>
      </c>
      <c r="C755">
        <v>706</v>
      </c>
      <c r="D755">
        <v>4</v>
      </c>
      <c r="E755" t="s">
        <v>20</v>
      </c>
      <c r="F755" t="s">
        <v>21</v>
      </c>
      <c r="G755" t="str">
        <f>"2025-12-16 11:18:08.436"</f>
        <v>2025-12-16 11:18:08.436</v>
      </c>
      <c r="H755" t="s">
        <v>22</v>
      </c>
      <c r="I755">
        <v>0</v>
      </c>
      <c r="J755" t="s">
        <v>23</v>
      </c>
    </row>
    <row r="756" spans="1:10" x14ac:dyDescent="0.25">
      <c r="A756" s="1">
        <v>79</v>
      </c>
      <c r="B756" t="s">
        <v>19</v>
      </c>
      <c r="C756">
        <v>700</v>
      </c>
      <c r="D756">
        <v>0</v>
      </c>
      <c r="E756" t="s">
        <v>24</v>
      </c>
      <c r="F756" t="s">
        <v>24</v>
      </c>
      <c r="G756" t="str">
        <f>"2025-12-15 23:04:16.106"</f>
        <v>2025-12-15 23:04:16.106</v>
      </c>
      <c r="H756" t="s">
        <v>22</v>
      </c>
      <c r="I756">
        <v>0</v>
      </c>
      <c r="J756" t="s">
        <v>34</v>
      </c>
    </row>
    <row r="757" spans="1:10" x14ac:dyDescent="0.25">
      <c r="A757" s="1">
        <v>80</v>
      </c>
      <c r="B757" t="s">
        <v>26</v>
      </c>
      <c r="C757">
        <v>635</v>
      </c>
      <c r="D757">
        <v>1</v>
      </c>
      <c r="E757" t="s">
        <v>31</v>
      </c>
      <c r="F757" t="s">
        <v>32</v>
      </c>
      <c r="G757" t="str">
        <f>"2025-12-15 20:47:58.332"</f>
        <v>2025-12-15 20:47:58.332</v>
      </c>
      <c r="H757" t="s">
        <v>22</v>
      </c>
    </row>
    <row r="758" spans="1:10" x14ac:dyDescent="0.25">
      <c r="A758" s="1">
        <v>81</v>
      </c>
      <c r="B758" t="s">
        <v>29</v>
      </c>
      <c r="C758">
        <v>635</v>
      </c>
      <c r="D758">
        <v>1</v>
      </c>
      <c r="E758" t="s">
        <v>31</v>
      </c>
      <c r="F758" t="s">
        <v>32</v>
      </c>
      <c r="G758" t="str">
        <f>"2025-12-15 20:44:13.332"</f>
        <v>2025-12-15 20:44:13.332</v>
      </c>
      <c r="H758" t="s">
        <v>22</v>
      </c>
      <c r="I758">
        <v>2.69</v>
      </c>
      <c r="J758" t="s">
        <v>52</v>
      </c>
    </row>
    <row r="759" spans="1:10" x14ac:dyDescent="0.25">
      <c r="A759" s="1">
        <v>82</v>
      </c>
      <c r="B759" t="s">
        <v>19</v>
      </c>
      <c r="C759">
        <v>706</v>
      </c>
      <c r="D759">
        <v>2</v>
      </c>
      <c r="E759" t="s">
        <v>20</v>
      </c>
      <c r="F759" t="s">
        <v>25</v>
      </c>
      <c r="G759" t="str">
        <f>"2025-12-15 13:01:04.223"</f>
        <v>2025-12-15 13:01:04.223</v>
      </c>
      <c r="H759" t="s">
        <v>22</v>
      </c>
      <c r="I759">
        <v>0</v>
      </c>
      <c r="J759" t="s">
        <v>23</v>
      </c>
    </row>
    <row r="760" spans="1:10" x14ac:dyDescent="0.25">
      <c r="A760" s="1">
        <v>83</v>
      </c>
      <c r="B760" t="s">
        <v>26</v>
      </c>
      <c r="C760">
        <v>635</v>
      </c>
      <c r="D760">
        <v>1</v>
      </c>
      <c r="E760" t="s">
        <v>31</v>
      </c>
      <c r="F760" t="s">
        <v>32</v>
      </c>
      <c r="G760" t="str">
        <f>"2025-12-15 04:20:33.931"</f>
        <v>2025-12-15 04:20:33.931</v>
      </c>
      <c r="H760" t="s">
        <v>22</v>
      </c>
    </row>
    <row r="761" spans="1:10" x14ac:dyDescent="0.25">
      <c r="A761" s="1">
        <v>84</v>
      </c>
      <c r="B761" t="s">
        <v>29</v>
      </c>
      <c r="C761">
        <v>635</v>
      </c>
      <c r="D761">
        <v>1</v>
      </c>
      <c r="E761" t="s">
        <v>31</v>
      </c>
      <c r="F761" t="s">
        <v>32</v>
      </c>
      <c r="G761" t="str">
        <f>"2025-12-15 04:17:30.932"</f>
        <v>2025-12-15 04:17:30.932</v>
      </c>
      <c r="H761" t="s">
        <v>22</v>
      </c>
      <c r="I761">
        <v>-0.03</v>
      </c>
      <c r="J761" t="s">
        <v>33</v>
      </c>
    </row>
    <row r="762" spans="1:10" x14ac:dyDescent="0.25">
      <c r="A762" s="1">
        <v>85</v>
      </c>
      <c r="B762" t="s">
        <v>19</v>
      </c>
      <c r="C762">
        <v>706</v>
      </c>
      <c r="D762">
        <v>2</v>
      </c>
      <c r="E762" t="s">
        <v>20</v>
      </c>
      <c r="F762" t="s">
        <v>25</v>
      </c>
      <c r="G762" t="str">
        <f>"2025-12-14 13:20:46.223"</f>
        <v>2025-12-14 13:20:46.223</v>
      </c>
      <c r="H762" t="s">
        <v>22</v>
      </c>
      <c r="I762">
        <v>0</v>
      </c>
      <c r="J762" t="s">
        <v>23</v>
      </c>
    </row>
    <row r="763" spans="1:10" s="3" customFormat="1" x14ac:dyDescent="0.25">
      <c r="A763" s="2">
        <v>86</v>
      </c>
      <c r="B763" s="3" t="s">
        <v>26</v>
      </c>
      <c r="C763" s="3">
        <v>647</v>
      </c>
      <c r="D763" s="3">
        <v>1</v>
      </c>
      <c r="E763" s="3" t="s">
        <v>27</v>
      </c>
      <c r="F763" s="3" t="s">
        <v>28</v>
      </c>
      <c r="G763" s="3" t="str">
        <f>"2025-12-13 16:34:12.032"</f>
        <v>2025-12-13 16:34:12.032</v>
      </c>
      <c r="H763" s="3" t="s">
        <v>22</v>
      </c>
    </row>
    <row r="764" spans="1:10" s="3" customFormat="1" x14ac:dyDescent="0.25">
      <c r="A764" s="2">
        <v>87</v>
      </c>
      <c r="B764" s="3" t="s">
        <v>29</v>
      </c>
      <c r="C764" s="3">
        <v>647</v>
      </c>
      <c r="D764" s="3">
        <v>1</v>
      </c>
      <c r="E764" s="3" t="s">
        <v>27</v>
      </c>
      <c r="F764" s="3" t="s">
        <v>28</v>
      </c>
      <c r="G764" s="3" t="str">
        <f>"2025-12-13 16:34:05.632"</f>
        <v>2025-12-13 16:34:05.632</v>
      </c>
      <c r="H764" s="3" t="s">
        <v>22</v>
      </c>
      <c r="I764" s="3">
        <v>13.34</v>
      </c>
      <c r="J764" s="3" t="s">
        <v>30</v>
      </c>
    </row>
    <row r="765" spans="1:10" x14ac:dyDescent="0.25">
      <c r="A765" s="1">
        <v>88</v>
      </c>
      <c r="B765" t="s">
        <v>26</v>
      </c>
      <c r="C765">
        <v>635</v>
      </c>
      <c r="D765">
        <v>1</v>
      </c>
      <c r="E765" t="s">
        <v>31</v>
      </c>
      <c r="F765" t="s">
        <v>32</v>
      </c>
      <c r="G765" t="str">
        <f>"2025-12-13 15:47:01.032"</f>
        <v>2025-12-13 15:47:01.032</v>
      </c>
      <c r="H765" t="s">
        <v>22</v>
      </c>
    </row>
    <row r="766" spans="1:10" x14ac:dyDescent="0.25">
      <c r="A766" s="1">
        <v>89</v>
      </c>
      <c r="B766" t="s">
        <v>29</v>
      </c>
      <c r="C766">
        <v>635</v>
      </c>
      <c r="D766">
        <v>1</v>
      </c>
      <c r="E766" t="s">
        <v>31</v>
      </c>
      <c r="F766" t="s">
        <v>32</v>
      </c>
      <c r="G766" t="str">
        <f>"2025-12-13 15:32:21.132"</f>
        <v>2025-12-13 15:32:21.132</v>
      </c>
      <c r="H766" t="s">
        <v>22</v>
      </c>
      <c r="I766">
        <v>6.83</v>
      </c>
      <c r="J766" t="s">
        <v>30</v>
      </c>
    </row>
    <row r="767" spans="1:10" x14ac:dyDescent="0.25">
      <c r="A767" s="1">
        <v>90</v>
      </c>
      <c r="B767" t="s">
        <v>19</v>
      </c>
      <c r="C767">
        <v>706</v>
      </c>
      <c r="D767">
        <v>2</v>
      </c>
      <c r="E767" t="s">
        <v>20</v>
      </c>
      <c r="F767" t="s">
        <v>25</v>
      </c>
      <c r="G767" t="str">
        <f>"2025-12-13 14:29:00.923"</f>
        <v>2025-12-13 14:29:00.923</v>
      </c>
      <c r="H767" t="s">
        <v>22</v>
      </c>
      <c r="I767">
        <v>0</v>
      </c>
      <c r="J767" t="s">
        <v>23</v>
      </c>
    </row>
    <row r="768" spans="1:10" x14ac:dyDescent="0.25">
      <c r="A768" s="1">
        <v>91</v>
      </c>
      <c r="B768" t="s">
        <v>19</v>
      </c>
      <c r="C768">
        <v>706</v>
      </c>
      <c r="D768">
        <v>4</v>
      </c>
      <c r="E768" t="s">
        <v>20</v>
      </c>
      <c r="F768" t="s">
        <v>21</v>
      </c>
      <c r="G768" t="str">
        <f>"2025-12-13 14:16:21.073"</f>
        <v>2025-12-13 14:16:21.073</v>
      </c>
      <c r="H768" t="s">
        <v>22</v>
      </c>
      <c r="I768">
        <v>0</v>
      </c>
      <c r="J768" t="s">
        <v>23</v>
      </c>
    </row>
    <row r="769" spans="1:10" x14ac:dyDescent="0.25">
      <c r="A769" s="1">
        <v>92</v>
      </c>
      <c r="B769" t="s">
        <v>26</v>
      </c>
      <c r="C769">
        <v>635</v>
      </c>
      <c r="D769">
        <v>1</v>
      </c>
      <c r="E769" t="s">
        <v>31</v>
      </c>
      <c r="F769" t="s">
        <v>32</v>
      </c>
      <c r="G769" t="str">
        <f>"2025-12-13 06:44:12.232"</f>
        <v>2025-12-13 06:44:12.232</v>
      </c>
      <c r="H769" t="s">
        <v>22</v>
      </c>
    </row>
    <row r="770" spans="1:10" x14ac:dyDescent="0.25">
      <c r="A770" s="1">
        <v>93</v>
      </c>
      <c r="B770" t="s">
        <v>29</v>
      </c>
      <c r="C770">
        <v>635</v>
      </c>
      <c r="D770">
        <v>1</v>
      </c>
      <c r="E770" t="s">
        <v>31</v>
      </c>
      <c r="F770" t="s">
        <v>32</v>
      </c>
      <c r="G770" t="str">
        <f>"2025-12-13 06:40:53.732"</f>
        <v>2025-12-13 06:40:53.732</v>
      </c>
      <c r="H770" t="s">
        <v>22</v>
      </c>
      <c r="I770">
        <v>1.25</v>
      </c>
      <c r="J770" t="s">
        <v>33</v>
      </c>
    </row>
    <row r="771" spans="1:10" x14ac:dyDescent="0.25">
      <c r="A771" s="1">
        <v>94</v>
      </c>
      <c r="B771" t="s">
        <v>19</v>
      </c>
      <c r="C771">
        <v>700</v>
      </c>
      <c r="D771">
        <v>0</v>
      </c>
      <c r="E771" t="s">
        <v>24</v>
      </c>
      <c r="F771" t="s">
        <v>24</v>
      </c>
      <c r="G771" t="str">
        <f>"2025-12-12 11:03:58.103"</f>
        <v>2025-12-12 11:03:58.103</v>
      </c>
      <c r="H771" t="s">
        <v>22</v>
      </c>
    </row>
    <row r="772" spans="1:10" x14ac:dyDescent="0.25">
      <c r="A772" s="1">
        <v>95</v>
      </c>
      <c r="B772" t="s">
        <v>19</v>
      </c>
      <c r="C772">
        <v>706</v>
      </c>
      <c r="D772">
        <v>4</v>
      </c>
      <c r="E772" t="s">
        <v>20</v>
      </c>
      <c r="F772" t="s">
        <v>21</v>
      </c>
      <c r="G772" t="str">
        <f>"2025-12-11 11:14:34.096"</f>
        <v>2025-12-11 11:14:34.096</v>
      </c>
      <c r="H772" t="s">
        <v>22</v>
      </c>
      <c r="I772">
        <v>0</v>
      </c>
      <c r="J772" t="s">
        <v>23</v>
      </c>
    </row>
    <row r="773" spans="1:10" x14ac:dyDescent="0.25">
      <c r="A773" s="1">
        <v>96</v>
      </c>
      <c r="B773" t="s">
        <v>26</v>
      </c>
      <c r="C773">
        <v>635</v>
      </c>
      <c r="D773">
        <v>1</v>
      </c>
      <c r="E773" t="s">
        <v>31</v>
      </c>
      <c r="F773" t="s">
        <v>32</v>
      </c>
      <c r="G773" t="str">
        <f>"2025-12-11 02:32:10.522"</f>
        <v>2025-12-11 02:32:10.522</v>
      </c>
      <c r="H773" t="s">
        <v>22</v>
      </c>
    </row>
    <row r="774" spans="1:10" x14ac:dyDescent="0.25">
      <c r="A774" s="1">
        <v>97</v>
      </c>
      <c r="B774" t="s">
        <v>29</v>
      </c>
      <c r="C774">
        <v>635</v>
      </c>
      <c r="D774">
        <v>1</v>
      </c>
      <c r="E774" t="s">
        <v>31</v>
      </c>
      <c r="F774" t="s">
        <v>32</v>
      </c>
      <c r="G774" t="str">
        <f>"2025-12-11 02:29:10.022"</f>
        <v>2025-12-11 02:29:10.022</v>
      </c>
      <c r="H774" t="s">
        <v>22</v>
      </c>
      <c r="I774">
        <v>4.0199999999999996</v>
      </c>
      <c r="J774" t="s">
        <v>30</v>
      </c>
    </row>
    <row r="775" spans="1:10" x14ac:dyDescent="0.25">
      <c r="A775" s="1">
        <v>98</v>
      </c>
      <c r="B775" t="s">
        <v>19</v>
      </c>
      <c r="C775">
        <v>706</v>
      </c>
      <c r="D775">
        <v>2</v>
      </c>
      <c r="E775" t="s">
        <v>20</v>
      </c>
      <c r="F775" t="s">
        <v>25</v>
      </c>
      <c r="G775" t="str">
        <f>"2025-12-10 09:29:10.616"</f>
        <v>2025-12-10 09:29:10.616</v>
      </c>
      <c r="H775" t="s">
        <v>22</v>
      </c>
      <c r="I775">
        <v>0</v>
      </c>
      <c r="J775" t="s">
        <v>23</v>
      </c>
    </row>
    <row r="776" spans="1:10" x14ac:dyDescent="0.25">
      <c r="A776" s="1">
        <v>99</v>
      </c>
      <c r="B776" t="s">
        <v>19</v>
      </c>
      <c r="C776">
        <v>700</v>
      </c>
      <c r="D776">
        <v>0</v>
      </c>
      <c r="E776" t="s">
        <v>24</v>
      </c>
      <c r="F776" t="s">
        <v>24</v>
      </c>
      <c r="G776" t="str">
        <f>"2025-12-10 04:35:06.106"</f>
        <v>2025-12-10 04:35:06.106</v>
      </c>
      <c r="H776" t="s">
        <v>22</v>
      </c>
      <c r="I776">
        <v>0</v>
      </c>
      <c r="J776" t="s">
        <v>34</v>
      </c>
    </row>
    <row r="777" spans="1:10" x14ac:dyDescent="0.25">
      <c r="A777" s="1">
        <v>0</v>
      </c>
      <c r="B777" t="s">
        <v>19</v>
      </c>
      <c r="C777">
        <v>700</v>
      </c>
      <c r="D777">
        <v>0</v>
      </c>
      <c r="E777" t="s">
        <v>24</v>
      </c>
      <c r="F777" t="s">
        <v>24</v>
      </c>
      <c r="G777" t="str">
        <f>"2025-12-10 04:27:39.094"</f>
        <v>2025-12-10 04:27:39.094</v>
      </c>
      <c r="H777" t="s">
        <v>22</v>
      </c>
      <c r="I777">
        <v>0</v>
      </c>
      <c r="J777" t="s">
        <v>34</v>
      </c>
    </row>
    <row r="778" spans="1:10" x14ac:dyDescent="0.25">
      <c r="A778" s="1">
        <v>1</v>
      </c>
      <c r="B778" t="s">
        <v>19</v>
      </c>
      <c r="C778">
        <v>700</v>
      </c>
      <c r="D778">
        <v>0</v>
      </c>
      <c r="E778" t="s">
        <v>24</v>
      </c>
      <c r="F778" t="s">
        <v>24</v>
      </c>
      <c r="G778" t="str">
        <f>"2025-12-10 04:18:49.105"</f>
        <v>2025-12-10 04:18:49.105</v>
      </c>
      <c r="H778" t="s">
        <v>22</v>
      </c>
      <c r="I778">
        <v>0</v>
      </c>
      <c r="J778" t="s">
        <v>34</v>
      </c>
    </row>
    <row r="779" spans="1:10" x14ac:dyDescent="0.25">
      <c r="A779" s="1">
        <v>2</v>
      </c>
      <c r="B779" t="s">
        <v>19</v>
      </c>
      <c r="C779">
        <v>706</v>
      </c>
      <c r="D779">
        <v>4</v>
      </c>
      <c r="E779" t="s">
        <v>20</v>
      </c>
      <c r="F779" t="s">
        <v>21</v>
      </c>
      <c r="G779" t="str">
        <f>"2025-12-10 04:13:19.491"</f>
        <v>2025-12-10 04:13:19.491</v>
      </c>
      <c r="H779" t="s">
        <v>22</v>
      </c>
      <c r="I779">
        <v>0</v>
      </c>
      <c r="J779" t="s">
        <v>23</v>
      </c>
    </row>
    <row r="780" spans="1:10" x14ac:dyDescent="0.25">
      <c r="A780" s="1">
        <v>3</v>
      </c>
      <c r="B780" t="s">
        <v>19</v>
      </c>
      <c r="C780">
        <v>700</v>
      </c>
      <c r="D780">
        <v>0</v>
      </c>
      <c r="E780" t="s">
        <v>24</v>
      </c>
      <c r="F780" t="s">
        <v>24</v>
      </c>
      <c r="G780" t="str">
        <f>"2025-12-10 03:44:27.281"</f>
        <v>2025-12-10 03:44:27.281</v>
      </c>
      <c r="H780" t="s">
        <v>22</v>
      </c>
      <c r="I780">
        <v>0</v>
      </c>
      <c r="J780" t="s">
        <v>34</v>
      </c>
    </row>
    <row r="781" spans="1:10" x14ac:dyDescent="0.25">
      <c r="A781" s="1">
        <v>4</v>
      </c>
      <c r="B781" t="s">
        <v>19</v>
      </c>
      <c r="C781">
        <v>706</v>
      </c>
      <c r="D781">
        <v>4</v>
      </c>
      <c r="E781" t="s">
        <v>20</v>
      </c>
      <c r="F781" t="s">
        <v>21</v>
      </c>
      <c r="G781" t="str">
        <f>"2025-12-09 13:16:44.474"</f>
        <v>2025-12-09 13:16:44.474</v>
      </c>
      <c r="H781" t="s">
        <v>22</v>
      </c>
      <c r="I781">
        <v>0</v>
      </c>
      <c r="J781" t="s">
        <v>23</v>
      </c>
    </row>
    <row r="782" spans="1:10" s="3" customFormat="1" x14ac:dyDescent="0.25">
      <c r="A782" s="2">
        <v>5</v>
      </c>
      <c r="B782" s="3" t="s">
        <v>26</v>
      </c>
      <c r="C782" s="3">
        <v>647</v>
      </c>
      <c r="D782" s="3">
        <v>1</v>
      </c>
      <c r="E782" s="3" t="s">
        <v>27</v>
      </c>
      <c r="F782" s="3" t="s">
        <v>28</v>
      </c>
      <c r="G782" s="3" t="str">
        <f>"2025-12-09 01:23:58.445"</f>
        <v>2025-12-09 01:23:58.445</v>
      </c>
      <c r="H782" s="3" t="s">
        <v>22</v>
      </c>
    </row>
    <row r="783" spans="1:10" s="3" customFormat="1" x14ac:dyDescent="0.25">
      <c r="A783" s="2">
        <v>6</v>
      </c>
      <c r="B783" s="3" t="s">
        <v>29</v>
      </c>
      <c r="C783" s="3">
        <v>647</v>
      </c>
      <c r="D783" s="3">
        <v>1</v>
      </c>
      <c r="E783" s="3" t="s">
        <v>27</v>
      </c>
      <c r="F783" s="3" t="s">
        <v>28</v>
      </c>
      <c r="G783" s="3" t="str">
        <f>"2025-12-09 01:23:56.746"</f>
        <v>2025-12-09 01:23:56.746</v>
      </c>
      <c r="H783" s="3" t="s">
        <v>22</v>
      </c>
      <c r="I783" s="3">
        <v>12.18</v>
      </c>
      <c r="J783" s="3" t="s">
        <v>30</v>
      </c>
    </row>
    <row r="784" spans="1:10" x14ac:dyDescent="0.25">
      <c r="A784" s="1">
        <v>7</v>
      </c>
      <c r="B784" t="s">
        <v>19</v>
      </c>
      <c r="C784">
        <v>700</v>
      </c>
      <c r="D784">
        <v>0</v>
      </c>
      <c r="E784" t="s">
        <v>24</v>
      </c>
      <c r="F784" t="s">
        <v>24</v>
      </c>
      <c r="G784" t="str">
        <f>"2025-12-08 21:45:32.134"</f>
        <v>2025-12-08 21:45:32.134</v>
      </c>
      <c r="H784" t="s">
        <v>22</v>
      </c>
      <c r="I784">
        <v>0</v>
      </c>
      <c r="J784" t="s">
        <v>34</v>
      </c>
    </row>
    <row r="785" spans="1:10" s="3" customFormat="1" x14ac:dyDescent="0.25">
      <c r="A785" s="2">
        <v>8</v>
      </c>
      <c r="B785" s="3" t="s">
        <v>26</v>
      </c>
      <c r="C785" s="3">
        <v>647</v>
      </c>
      <c r="D785" s="3">
        <v>1</v>
      </c>
      <c r="E785" s="3" t="s">
        <v>27</v>
      </c>
      <c r="F785" s="3" t="s">
        <v>28</v>
      </c>
      <c r="G785" s="3" t="str">
        <f>"2025-12-08 13:47:02.429"</f>
        <v>2025-12-08 13:47:02.429</v>
      </c>
      <c r="H785" s="3" t="s">
        <v>22</v>
      </c>
    </row>
    <row r="786" spans="1:10" s="3" customFormat="1" x14ac:dyDescent="0.25">
      <c r="A786" s="2">
        <v>9</v>
      </c>
      <c r="B786" s="3" t="s">
        <v>29</v>
      </c>
      <c r="C786" s="3">
        <v>647</v>
      </c>
      <c r="D786" s="3">
        <v>1</v>
      </c>
      <c r="E786" s="3" t="s">
        <v>27</v>
      </c>
      <c r="F786" s="3" t="s">
        <v>28</v>
      </c>
      <c r="G786" s="3" t="str">
        <f>"2025-12-08 13:46:47.929"</f>
        <v>2025-12-08 13:46:47.929</v>
      </c>
      <c r="H786" s="3" t="s">
        <v>22</v>
      </c>
      <c r="I786" s="3">
        <v>9.66</v>
      </c>
      <c r="J786" s="3" t="s">
        <v>30</v>
      </c>
    </row>
    <row r="787" spans="1:10" x14ac:dyDescent="0.25">
      <c r="A787" s="1">
        <v>10</v>
      </c>
      <c r="B787" t="s">
        <v>19</v>
      </c>
      <c r="C787">
        <v>706</v>
      </c>
      <c r="D787">
        <v>4</v>
      </c>
      <c r="E787" t="s">
        <v>20</v>
      </c>
      <c r="F787" t="s">
        <v>21</v>
      </c>
      <c r="G787" t="str">
        <f>"2025-12-08 13:40:00.026"</f>
        <v>2025-12-08 13:40:00.026</v>
      </c>
      <c r="H787" t="s">
        <v>22</v>
      </c>
      <c r="I787">
        <v>0</v>
      </c>
      <c r="J787" t="s">
        <v>23</v>
      </c>
    </row>
    <row r="788" spans="1:10" x14ac:dyDescent="0.25">
      <c r="A788" s="1">
        <v>11</v>
      </c>
      <c r="B788" t="s">
        <v>19</v>
      </c>
      <c r="C788">
        <v>700</v>
      </c>
      <c r="D788">
        <v>0</v>
      </c>
      <c r="E788" t="s">
        <v>24</v>
      </c>
      <c r="F788" t="s">
        <v>24</v>
      </c>
      <c r="G788" t="str">
        <f>"2025-12-07 21:54:56.096"</f>
        <v>2025-12-07 21:54:56.096</v>
      </c>
      <c r="H788" t="s">
        <v>22</v>
      </c>
    </row>
    <row r="789" spans="1:10" x14ac:dyDescent="0.25">
      <c r="A789" s="1">
        <v>12</v>
      </c>
      <c r="B789" t="s">
        <v>19</v>
      </c>
      <c r="C789">
        <v>706</v>
      </c>
      <c r="D789">
        <v>2</v>
      </c>
      <c r="E789" t="s">
        <v>20</v>
      </c>
      <c r="F789" t="s">
        <v>25</v>
      </c>
      <c r="G789" t="str">
        <f>"2025-12-07 13:11:25.089"</f>
        <v>2025-12-07 13:11:25.089</v>
      </c>
      <c r="H789" t="s">
        <v>22</v>
      </c>
      <c r="I789">
        <v>0</v>
      </c>
      <c r="J789" t="s">
        <v>23</v>
      </c>
    </row>
    <row r="790" spans="1:10" x14ac:dyDescent="0.25">
      <c r="A790" s="1">
        <v>13</v>
      </c>
      <c r="B790" t="s">
        <v>19</v>
      </c>
      <c r="C790">
        <v>700</v>
      </c>
      <c r="D790">
        <v>0</v>
      </c>
      <c r="E790" t="s">
        <v>24</v>
      </c>
      <c r="F790" t="s">
        <v>24</v>
      </c>
      <c r="G790" t="str">
        <f>"2025-12-07 11:25:03.289"</f>
        <v>2025-12-07 11:25:03.289</v>
      </c>
      <c r="H790" t="s">
        <v>22</v>
      </c>
      <c r="I790">
        <v>0</v>
      </c>
      <c r="J790" t="s">
        <v>34</v>
      </c>
    </row>
    <row r="791" spans="1:10" x14ac:dyDescent="0.25">
      <c r="A791" s="1">
        <v>14</v>
      </c>
      <c r="B791" t="s">
        <v>19</v>
      </c>
      <c r="C791">
        <v>700</v>
      </c>
      <c r="D791">
        <v>0</v>
      </c>
      <c r="E791" t="s">
        <v>24</v>
      </c>
      <c r="F791" t="s">
        <v>24</v>
      </c>
      <c r="G791" t="str">
        <f>"2025-12-06 20:28:42.109"</f>
        <v>2025-12-06 20:28:42.109</v>
      </c>
      <c r="H791" t="s">
        <v>22</v>
      </c>
      <c r="I791">
        <v>0</v>
      </c>
      <c r="J791" t="s">
        <v>34</v>
      </c>
    </row>
    <row r="792" spans="1:10" x14ac:dyDescent="0.25">
      <c r="A792" s="1">
        <v>15</v>
      </c>
      <c r="B792" t="s">
        <v>19</v>
      </c>
      <c r="C792">
        <v>706</v>
      </c>
      <c r="D792">
        <v>4</v>
      </c>
      <c r="E792" t="s">
        <v>20</v>
      </c>
      <c r="F792" t="s">
        <v>21</v>
      </c>
      <c r="G792" t="str">
        <f>"2025-12-06 10:29:41.796"</f>
        <v>2025-12-06 10:29:41.796</v>
      </c>
      <c r="H792" t="s">
        <v>22</v>
      </c>
      <c r="I792">
        <v>0</v>
      </c>
      <c r="J792" t="s">
        <v>23</v>
      </c>
    </row>
    <row r="793" spans="1:10" x14ac:dyDescent="0.25">
      <c r="A793" s="1">
        <v>16</v>
      </c>
      <c r="B793" t="s">
        <v>19</v>
      </c>
      <c r="C793">
        <v>706</v>
      </c>
      <c r="D793">
        <v>4</v>
      </c>
      <c r="E793" t="s">
        <v>20</v>
      </c>
      <c r="F793" t="s">
        <v>21</v>
      </c>
      <c r="G793" t="str">
        <f>"2025-12-05 11:25:41.306"</f>
        <v>2025-12-05 11:25:41.306</v>
      </c>
      <c r="H793" t="s">
        <v>22</v>
      </c>
      <c r="I793">
        <v>0</v>
      </c>
      <c r="J793" t="s">
        <v>23</v>
      </c>
    </row>
    <row r="794" spans="1:10" x14ac:dyDescent="0.25">
      <c r="A794" s="1">
        <v>17</v>
      </c>
      <c r="B794" t="s">
        <v>19</v>
      </c>
      <c r="C794">
        <v>706</v>
      </c>
      <c r="D794">
        <v>2</v>
      </c>
      <c r="E794" t="s">
        <v>20</v>
      </c>
      <c r="F794" t="s">
        <v>25</v>
      </c>
      <c r="G794" t="str">
        <f>"2025-12-05 07:58:53.006"</f>
        <v>2025-12-05 07:58:53.006</v>
      </c>
      <c r="H794" t="s">
        <v>22</v>
      </c>
      <c r="I794">
        <v>0</v>
      </c>
      <c r="J794" t="s">
        <v>23</v>
      </c>
    </row>
    <row r="795" spans="1:10" s="3" customFormat="1" x14ac:dyDescent="0.25">
      <c r="A795" s="2">
        <v>18</v>
      </c>
      <c r="B795" s="3" t="s">
        <v>26</v>
      </c>
      <c r="C795" s="3">
        <v>647</v>
      </c>
      <c r="D795" s="3">
        <v>1</v>
      </c>
      <c r="E795" s="3" t="s">
        <v>27</v>
      </c>
      <c r="F795" s="3" t="s">
        <v>28</v>
      </c>
      <c r="G795" s="3" t="str">
        <f>"2025-12-04 10:35:19.318"</f>
        <v>2025-12-04 10:35:19.318</v>
      </c>
      <c r="H795" s="3" t="s">
        <v>22</v>
      </c>
    </row>
    <row r="796" spans="1:10" s="3" customFormat="1" x14ac:dyDescent="0.25">
      <c r="A796" s="2">
        <v>19</v>
      </c>
      <c r="B796" s="3" t="s">
        <v>29</v>
      </c>
      <c r="C796" s="3">
        <v>647</v>
      </c>
      <c r="D796" s="3">
        <v>1</v>
      </c>
      <c r="E796" s="3" t="s">
        <v>27</v>
      </c>
      <c r="F796" s="3" t="s">
        <v>28</v>
      </c>
      <c r="G796" s="3" t="str">
        <f>"2025-12-04 10:35:12.718"</f>
        <v>2025-12-04 10:35:12.718</v>
      </c>
      <c r="H796" s="3" t="s">
        <v>22</v>
      </c>
      <c r="I796" s="3">
        <v>9.17</v>
      </c>
      <c r="J796" s="3" t="s">
        <v>30</v>
      </c>
    </row>
    <row r="797" spans="1:10" x14ac:dyDescent="0.25">
      <c r="A797" s="1">
        <v>20</v>
      </c>
      <c r="B797" t="s">
        <v>19</v>
      </c>
      <c r="C797">
        <v>706</v>
      </c>
      <c r="D797">
        <v>4</v>
      </c>
      <c r="E797" t="s">
        <v>20</v>
      </c>
      <c r="F797" t="s">
        <v>21</v>
      </c>
      <c r="G797" t="str">
        <f>"2025-12-04 09:29:40.596"</f>
        <v>2025-12-04 09:29:40.596</v>
      </c>
      <c r="H797" t="s">
        <v>22</v>
      </c>
      <c r="I797">
        <v>0</v>
      </c>
      <c r="J797" t="s">
        <v>23</v>
      </c>
    </row>
    <row r="798" spans="1:10" s="3" customFormat="1" x14ac:dyDescent="0.25">
      <c r="A798" s="2">
        <v>21</v>
      </c>
      <c r="B798" s="3" t="s">
        <v>26</v>
      </c>
      <c r="C798" s="3">
        <v>647</v>
      </c>
      <c r="D798" s="3">
        <v>1</v>
      </c>
      <c r="E798" s="3" t="s">
        <v>27</v>
      </c>
      <c r="F798" s="3" t="s">
        <v>28</v>
      </c>
      <c r="G798" s="3" t="str">
        <f>"2025-12-03 15:00:12.518"</f>
        <v>2025-12-03 15:00:12.518</v>
      </c>
      <c r="H798" s="3" t="s">
        <v>22</v>
      </c>
    </row>
    <row r="799" spans="1:10" s="3" customFormat="1" x14ac:dyDescent="0.25">
      <c r="A799" s="2">
        <v>22</v>
      </c>
      <c r="B799" s="3" t="s">
        <v>29</v>
      </c>
      <c r="C799" s="3">
        <v>647</v>
      </c>
      <c r="D799" s="3">
        <v>1</v>
      </c>
      <c r="E799" s="3" t="s">
        <v>27</v>
      </c>
      <c r="F799" s="3" t="s">
        <v>28</v>
      </c>
      <c r="G799" s="3" t="str">
        <f>"2025-12-03 15:00:10.818"</f>
        <v>2025-12-03 15:00:10.818</v>
      </c>
      <c r="H799" s="3" t="s">
        <v>22</v>
      </c>
      <c r="I799" s="3">
        <v>17.48</v>
      </c>
      <c r="J799" s="3" t="s">
        <v>30</v>
      </c>
    </row>
    <row r="800" spans="1:10" s="3" customFormat="1" x14ac:dyDescent="0.25">
      <c r="A800" s="2">
        <v>23</v>
      </c>
      <c r="B800" s="3" t="s">
        <v>26</v>
      </c>
      <c r="C800" s="3">
        <v>647</v>
      </c>
      <c r="D800" s="3">
        <v>1</v>
      </c>
      <c r="E800" s="3" t="s">
        <v>27</v>
      </c>
      <c r="F800" s="3" t="s">
        <v>28</v>
      </c>
      <c r="G800" s="3" t="str">
        <f>"2025-12-03 10:53:00.318"</f>
        <v>2025-12-03 10:53:00.318</v>
      </c>
      <c r="H800" s="3" t="s">
        <v>22</v>
      </c>
    </row>
    <row r="801" spans="1:10" s="3" customFormat="1" x14ac:dyDescent="0.25">
      <c r="A801" s="2">
        <v>24</v>
      </c>
      <c r="B801" s="3" t="s">
        <v>29</v>
      </c>
      <c r="C801" s="3">
        <v>647</v>
      </c>
      <c r="D801" s="3">
        <v>1</v>
      </c>
      <c r="E801" s="3" t="s">
        <v>27</v>
      </c>
      <c r="F801" s="3" t="s">
        <v>28</v>
      </c>
      <c r="G801" s="3" t="str">
        <f>"2025-12-03 10:52:57.818"</f>
        <v>2025-12-03 10:52:57.818</v>
      </c>
      <c r="H801" s="3" t="s">
        <v>22</v>
      </c>
      <c r="I801" s="3">
        <v>15</v>
      </c>
      <c r="J801" s="3" t="s">
        <v>30</v>
      </c>
    </row>
    <row r="802" spans="1:10" x14ac:dyDescent="0.25">
      <c r="A802" s="1">
        <v>25</v>
      </c>
      <c r="B802" t="s">
        <v>19</v>
      </c>
      <c r="C802">
        <v>706</v>
      </c>
      <c r="D802">
        <v>2</v>
      </c>
      <c r="E802" t="s">
        <v>20</v>
      </c>
      <c r="F802" t="s">
        <v>25</v>
      </c>
      <c r="G802" t="str">
        <f>"2025-12-03 09:41:21.106"</f>
        <v>2025-12-03 09:41:21.106</v>
      </c>
      <c r="H802" t="s">
        <v>22</v>
      </c>
      <c r="I802">
        <v>0</v>
      </c>
      <c r="J802" t="s">
        <v>23</v>
      </c>
    </row>
    <row r="803" spans="1:10" s="3" customFormat="1" x14ac:dyDescent="0.25">
      <c r="A803" s="2">
        <v>26</v>
      </c>
      <c r="B803" s="3" t="s">
        <v>26</v>
      </c>
      <c r="C803" s="3">
        <v>647</v>
      </c>
      <c r="D803" s="3">
        <v>1</v>
      </c>
      <c r="E803" s="3" t="s">
        <v>27</v>
      </c>
      <c r="F803" s="3" t="s">
        <v>28</v>
      </c>
      <c r="G803" s="3" t="str">
        <f>"2025-12-02 14:36:33.718"</f>
        <v>2025-12-02 14:36:33.718</v>
      </c>
      <c r="H803" s="3" t="s">
        <v>22</v>
      </c>
    </row>
    <row r="804" spans="1:10" s="3" customFormat="1" x14ac:dyDescent="0.25">
      <c r="A804" s="2">
        <v>27</v>
      </c>
      <c r="B804" s="3" t="s">
        <v>29</v>
      </c>
      <c r="C804" s="3">
        <v>647</v>
      </c>
      <c r="D804" s="3">
        <v>1</v>
      </c>
      <c r="E804" s="3" t="s">
        <v>27</v>
      </c>
      <c r="F804" s="3" t="s">
        <v>28</v>
      </c>
      <c r="G804" s="3" t="str">
        <f>"2025-12-02 14:36:32.018"</f>
        <v>2025-12-02 14:36:32.018</v>
      </c>
      <c r="H804" s="3" t="s">
        <v>22</v>
      </c>
      <c r="I804" s="3">
        <v>14.35</v>
      </c>
      <c r="J804" s="3" t="s">
        <v>30</v>
      </c>
    </row>
    <row r="805" spans="1:10" x14ac:dyDescent="0.25">
      <c r="A805" s="1">
        <v>28</v>
      </c>
      <c r="B805" t="s">
        <v>26</v>
      </c>
      <c r="C805">
        <v>635</v>
      </c>
      <c r="D805">
        <v>1</v>
      </c>
      <c r="E805" t="s">
        <v>31</v>
      </c>
      <c r="F805" t="s">
        <v>32</v>
      </c>
      <c r="G805" t="str">
        <f>"2025-12-02 10:44:01.917"</f>
        <v>2025-12-02 10:44:01.917</v>
      </c>
      <c r="H805" t="s">
        <v>22</v>
      </c>
    </row>
    <row r="806" spans="1:10" x14ac:dyDescent="0.25">
      <c r="A806" s="1">
        <v>29</v>
      </c>
      <c r="B806" t="s">
        <v>29</v>
      </c>
      <c r="C806">
        <v>635</v>
      </c>
      <c r="D806">
        <v>1</v>
      </c>
      <c r="E806" t="s">
        <v>31</v>
      </c>
      <c r="F806" t="s">
        <v>32</v>
      </c>
      <c r="G806" t="str">
        <f>"2025-12-02 10:42:12.917"</f>
        <v>2025-12-02 10:42:12.917</v>
      </c>
      <c r="H806" t="s">
        <v>22</v>
      </c>
      <c r="I806">
        <v>7.27</v>
      </c>
      <c r="J806" t="s">
        <v>52</v>
      </c>
    </row>
    <row r="807" spans="1:10" x14ac:dyDescent="0.25">
      <c r="A807" s="1">
        <v>30</v>
      </c>
      <c r="B807" t="s">
        <v>26</v>
      </c>
      <c r="C807">
        <v>635</v>
      </c>
      <c r="D807">
        <v>1</v>
      </c>
      <c r="E807" t="s">
        <v>31</v>
      </c>
      <c r="F807" t="s">
        <v>32</v>
      </c>
      <c r="G807" t="str">
        <f>"2025-12-02 09:19:08.517"</f>
        <v>2025-12-02 09:19:08.517</v>
      </c>
      <c r="H807" t="s">
        <v>22</v>
      </c>
    </row>
    <row r="808" spans="1:10" x14ac:dyDescent="0.25">
      <c r="A808" s="1">
        <v>31</v>
      </c>
      <c r="B808" t="s">
        <v>29</v>
      </c>
      <c r="C808">
        <v>635</v>
      </c>
      <c r="D808">
        <v>1</v>
      </c>
      <c r="E808" t="s">
        <v>31</v>
      </c>
      <c r="F808" t="s">
        <v>32</v>
      </c>
      <c r="G808" t="str">
        <f>"2025-12-02 09:15:08.117"</f>
        <v>2025-12-02 09:15:08.117</v>
      </c>
      <c r="H808" t="s">
        <v>22</v>
      </c>
      <c r="I808">
        <v>2.66</v>
      </c>
      <c r="J808" t="s">
        <v>52</v>
      </c>
    </row>
    <row r="809" spans="1:10" x14ac:dyDescent="0.25">
      <c r="A809" s="1">
        <v>32</v>
      </c>
      <c r="B809" t="s">
        <v>19</v>
      </c>
      <c r="C809">
        <v>706</v>
      </c>
      <c r="D809">
        <v>4</v>
      </c>
      <c r="E809" t="s">
        <v>20</v>
      </c>
      <c r="F809" t="s">
        <v>21</v>
      </c>
      <c r="G809" t="str">
        <f>"2025-12-02 08:23:31.986"</f>
        <v>2025-12-02 08:23:31.986</v>
      </c>
      <c r="H809" t="s">
        <v>22</v>
      </c>
      <c r="I809">
        <v>0</v>
      </c>
      <c r="J809" t="s">
        <v>23</v>
      </c>
    </row>
    <row r="810" spans="1:10" s="3" customFormat="1" x14ac:dyDescent="0.25">
      <c r="A810" s="2">
        <v>33</v>
      </c>
      <c r="B810" s="3" t="s">
        <v>26</v>
      </c>
      <c r="C810" s="3">
        <v>647</v>
      </c>
      <c r="D810" s="3">
        <v>1</v>
      </c>
      <c r="E810" s="3" t="s">
        <v>27</v>
      </c>
      <c r="F810" s="3" t="s">
        <v>28</v>
      </c>
      <c r="G810" s="3" t="str">
        <f>"2025-12-01 14:17:31.018"</f>
        <v>2025-12-01 14:17:31.018</v>
      </c>
      <c r="H810" s="3" t="s">
        <v>22</v>
      </c>
    </row>
    <row r="811" spans="1:10" s="3" customFormat="1" x14ac:dyDescent="0.25">
      <c r="A811" s="2">
        <v>34</v>
      </c>
      <c r="B811" s="3" t="s">
        <v>29</v>
      </c>
      <c r="C811" s="3">
        <v>647</v>
      </c>
      <c r="D811" s="3">
        <v>1</v>
      </c>
      <c r="E811" s="3" t="s">
        <v>27</v>
      </c>
      <c r="F811" s="3" t="s">
        <v>28</v>
      </c>
      <c r="G811" s="3" t="str">
        <f>"2025-12-01 14:17:26.718"</f>
        <v>2025-12-01 14:17:26.718</v>
      </c>
      <c r="H811" s="3" t="s">
        <v>22</v>
      </c>
      <c r="I811" s="3">
        <v>8.91</v>
      </c>
      <c r="J811" s="3" t="s">
        <v>30</v>
      </c>
    </row>
    <row r="812" spans="1:10" x14ac:dyDescent="0.25">
      <c r="A812" s="1">
        <v>35</v>
      </c>
      <c r="B812" t="s">
        <v>19</v>
      </c>
      <c r="C812">
        <v>706</v>
      </c>
      <c r="D812">
        <v>2</v>
      </c>
      <c r="E812" t="s">
        <v>20</v>
      </c>
      <c r="F812" t="s">
        <v>25</v>
      </c>
      <c r="G812" t="str">
        <f>"2025-12-01 11:36:53.406"</f>
        <v>2025-12-01 11:36:53.406</v>
      </c>
      <c r="H812" t="s">
        <v>22</v>
      </c>
      <c r="I812">
        <v>0</v>
      </c>
      <c r="J812" t="s">
        <v>23</v>
      </c>
    </row>
    <row r="813" spans="1:10" x14ac:dyDescent="0.25">
      <c r="A813" s="1">
        <v>36</v>
      </c>
      <c r="B813" t="s">
        <v>19</v>
      </c>
      <c r="C813">
        <v>700</v>
      </c>
      <c r="D813">
        <v>0</v>
      </c>
      <c r="E813" t="s">
        <v>24</v>
      </c>
      <c r="F813" t="s">
        <v>24</v>
      </c>
      <c r="G813" t="str">
        <f>"2025-12-01 00:25:04.086"</f>
        <v>2025-12-01 00:25:04.086</v>
      </c>
      <c r="H813" t="s">
        <v>22</v>
      </c>
      <c r="I813">
        <v>0</v>
      </c>
      <c r="J813" t="s">
        <v>34</v>
      </c>
    </row>
    <row r="814" spans="1:10" x14ac:dyDescent="0.25">
      <c r="A814" s="1">
        <v>37</v>
      </c>
      <c r="B814" t="s">
        <v>19</v>
      </c>
      <c r="C814">
        <v>700</v>
      </c>
      <c r="D814">
        <v>0</v>
      </c>
      <c r="E814" t="s">
        <v>24</v>
      </c>
      <c r="F814" t="s">
        <v>24</v>
      </c>
      <c r="G814" t="str">
        <f>"2025-12-01 00:12:06.087"</f>
        <v>2025-12-01 00:12:06.087</v>
      </c>
      <c r="H814" t="s">
        <v>22</v>
      </c>
      <c r="I814">
        <v>0</v>
      </c>
      <c r="J814" t="s">
        <v>34</v>
      </c>
    </row>
    <row r="815" spans="1:10" x14ac:dyDescent="0.25">
      <c r="A815" s="1">
        <v>38</v>
      </c>
      <c r="B815" t="s">
        <v>19</v>
      </c>
      <c r="C815">
        <v>700</v>
      </c>
      <c r="D815">
        <v>0</v>
      </c>
      <c r="E815" t="s">
        <v>24</v>
      </c>
      <c r="F815" t="s">
        <v>24</v>
      </c>
      <c r="G815" t="str">
        <f>"2025-11-30 22:39:03.090"</f>
        <v>2025-11-30 22:39:03.090</v>
      </c>
      <c r="H815" t="s">
        <v>22</v>
      </c>
    </row>
    <row r="816" spans="1:10" x14ac:dyDescent="0.25">
      <c r="A816" s="1">
        <v>39</v>
      </c>
      <c r="B816" t="s">
        <v>19</v>
      </c>
      <c r="C816">
        <v>700</v>
      </c>
      <c r="D816">
        <v>0</v>
      </c>
      <c r="E816" t="s">
        <v>24</v>
      </c>
      <c r="F816" t="s">
        <v>24</v>
      </c>
      <c r="G816" t="str">
        <f>"2025-11-30 22:31:54.113"</f>
        <v>2025-11-30 22:31:54.113</v>
      </c>
      <c r="H816" t="s">
        <v>22</v>
      </c>
    </row>
    <row r="817" spans="1:10" x14ac:dyDescent="0.25">
      <c r="A817" s="1">
        <v>40</v>
      </c>
      <c r="B817" t="s">
        <v>19</v>
      </c>
      <c r="C817">
        <v>706</v>
      </c>
      <c r="D817">
        <v>4</v>
      </c>
      <c r="E817" t="s">
        <v>20</v>
      </c>
      <c r="F817" t="s">
        <v>21</v>
      </c>
      <c r="G817" t="str">
        <f>"2025-11-30 13:19:12.613"</f>
        <v>2025-11-30 13:19:12.613</v>
      </c>
      <c r="H817" t="s">
        <v>22</v>
      </c>
      <c r="I817">
        <v>0</v>
      </c>
      <c r="J817" t="s">
        <v>23</v>
      </c>
    </row>
    <row r="818" spans="1:10" x14ac:dyDescent="0.25">
      <c r="A818" s="1">
        <v>41</v>
      </c>
      <c r="B818" t="s">
        <v>19</v>
      </c>
      <c r="C818">
        <v>700</v>
      </c>
      <c r="D818">
        <v>0</v>
      </c>
      <c r="E818" t="s">
        <v>24</v>
      </c>
      <c r="F818" t="s">
        <v>24</v>
      </c>
      <c r="G818" t="str">
        <f>"2025-11-29 21:48:01.123"</f>
        <v>2025-11-29 21:48:01.123</v>
      </c>
      <c r="H818" t="s">
        <v>22</v>
      </c>
      <c r="I818">
        <v>0</v>
      </c>
      <c r="J818" t="s">
        <v>34</v>
      </c>
    </row>
    <row r="819" spans="1:10" x14ac:dyDescent="0.25">
      <c r="A819" s="1">
        <v>42</v>
      </c>
      <c r="B819" t="s">
        <v>19</v>
      </c>
      <c r="C819">
        <v>706</v>
      </c>
      <c r="D819">
        <v>3</v>
      </c>
      <c r="E819" t="s">
        <v>20</v>
      </c>
      <c r="F819" t="s">
        <v>49</v>
      </c>
      <c r="G819" t="str">
        <f>"2025-11-29 21:37:51.346"</f>
        <v>2025-11-29 21:37:51.346</v>
      </c>
      <c r="H819" t="s">
        <v>22</v>
      </c>
      <c r="I819">
        <v>0</v>
      </c>
      <c r="J819" t="s">
        <v>23</v>
      </c>
    </row>
    <row r="820" spans="1:10" x14ac:dyDescent="0.25">
      <c r="A820" s="1">
        <v>43</v>
      </c>
      <c r="B820" t="s">
        <v>19</v>
      </c>
      <c r="C820">
        <v>700</v>
      </c>
      <c r="D820">
        <v>0</v>
      </c>
      <c r="E820" t="s">
        <v>24</v>
      </c>
      <c r="F820" t="s">
        <v>24</v>
      </c>
      <c r="G820" t="str">
        <f>"2025-11-29 16:37:52.186"</f>
        <v>2025-11-29 16:37:52.186</v>
      </c>
      <c r="H820" t="s">
        <v>22</v>
      </c>
      <c r="I820">
        <v>0</v>
      </c>
      <c r="J820" t="s">
        <v>34</v>
      </c>
    </row>
    <row r="821" spans="1:10" x14ac:dyDescent="0.25">
      <c r="A821" s="1">
        <v>44</v>
      </c>
      <c r="B821" t="s">
        <v>26</v>
      </c>
      <c r="C821">
        <v>42</v>
      </c>
      <c r="D821">
        <v>1</v>
      </c>
      <c r="E821" t="s">
        <v>71</v>
      </c>
      <c r="F821" t="s">
        <v>72</v>
      </c>
      <c r="G821" t="str">
        <f>"2025-11-29 16:31:22.881"</f>
        <v>2025-11-29 16:31:22.881</v>
      </c>
      <c r="H821" t="s">
        <v>73</v>
      </c>
    </row>
    <row r="822" spans="1:10" x14ac:dyDescent="0.25">
      <c r="A822" s="1">
        <v>45</v>
      </c>
      <c r="B822" t="s">
        <v>29</v>
      </c>
      <c r="C822">
        <v>42</v>
      </c>
      <c r="D822">
        <v>1</v>
      </c>
      <c r="E822" t="s">
        <v>71</v>
      </c>
      <c r="F822" t="s">
        <v>72</v>
      </c>
      <c r="G822" t="str">
        <f>"2025-11-29 16:31:13.681"</f>
        <v>2025-11-29 16:31:13.681</v>
      </c>
      <c r="H822" t="s">
        <v>73</v>
      </c>
      <c r="I822">
        <v>0</v>
      </c>
      <c r="J822" t="s">
        <v>23</v>
      </c>
    </row>
    <row r="823" spans="1:10" x14ac:dyDescent="0.25">
      <c r="A823" s="1">
        <v>46</v>
      </c>
      <c r="B823" t="s">
        <v>19</v>
      </c>
      <c r="C823">
        <v>700</v>
      </c>
      <c r="D823">
        <v>0</v>
      </c>
      <c r="E823" t="s">
        <v>24</v>
      </c>
      <c r="F823" t="s">
        <v>24</v>
      </c>
      <c r="G823" t="str">
        <f>"2025-11-29 16:26:37.160"</f>
        <v>2025-11-29 16:26:37.160</v>
      </c>
      <c r="H823" t="s">
        <v>22</v>
      </c>
    </row>
    <row r="824" spans="1:10" x14ac:dyDescent="0.25">
      <c r="A824" s="1">
        <v>47</v>
      </c>
      <c r="B824" t="s">
        <v>19</v>
      </c>
      <c r="C824">
        <v>706</v>
      </c>
      <c r="D824">
        <v>2</v>
      </c>
      <c r="E824" t="s">
        <v>20</v>
      </c>
      <c r="F824" t="s">
        <v>25</v>
      </c>
      <c r="G824" t="str">
        <f>"2025-11-29 16:12:33.955"</f>
        <v>2025-11-29 16:12:33.955</v>
      </c>
      <c r="H824" t="s">
        <v>22</v>
      </c>
      <c r="I824">
        <v>0</v>
      </c>
      <c r="J824" t="s">
        <v>23</v>
      </c>
    </row>
    <row r="825" spans="1:10" x14ac:dyDescent="0.25">
      <c r="A825" s="1">
        <v>48</v>
      </c>
      <c r="B825" t="s">
        <v>19</v>
      </c>
      <c r="C825">
        <v>700</v>
      </c>
      <c r="D825">
        <v>0</v>
      </c>
      <c r="E825" t="s">
        <v>24</v>
      </c>
      <c r="F825" t="s">
        <v>24</v>
      </c>
      <c r="G825" t="str">
        <f>"2025-11-29 15:38:05.075"</f>
        <v>2025-11-29 15:38:05.075</v>
      </c>
      <c r="H825" t="s">
        <v>22</v>
      </c>
    </row>
    <row r="826" spans="1:10" x14ac:dyDescent="0.25">
      <c r="A826" s="1">
        <v>49</v>
      </c>
      <c r="B826" t="s">
        <v>19</v>
      </c>
      <c r="C826">
        <v>700</v>
      </c>
      <c r="D826">
        <v>0</v>
      </c>
      <c r="E826" t="s">
        <v>24</v>
      </c>
      <c r="F826" t="s">
        <v>24</v>
      </c>
      <c r="G826" t="str">
        <f>"2025-11-29 14:12:57.372"</f>
        <v>2025-11-29 14:12:57.372</v>
      </c>
      <c r="H826" t="s">
        <v>22</v>
      </c>
      <c r="I826">
        <v>0</v>
      </c>
      <c r="J826" t="s">
        <v>34</v>
      </c>
    </row>
    <row r="827" spans="1:10" s="3" customFormat="1" x14ac:dyDescent="0.25">
      <c r="A827" s="2">
        <v>50</v>
      </c>
      <c r="B827" s="3" t="s">
        <v>26</v>
      </c>
      <c r="C827" s="3">
        <v>647</v>
      </c>
      <c r="D827" s="3">
        <v>1</v>
      </c>
      <c r="E827" s="3" t="s">
        <v>27</v>
      </c>
      <c r="F827" s="3" t="s">
        <v>28</v>
      </c>
      <c r="G827" s="3" t="str">
        <f>"2025-11-29 12:44:30.053"</f>
        <v>2025-11-29 12:44:30.053</v>
      </c>
      <c r="H827" s="3" t="s">
        <v>22</v>
      </c>
    </row>
    <row r="828" spans="1:10" s="3" customFormat="1" x14ac:dyDescent="0.25">
      <c r="A828" s="2">
        <v>51</v>
      </c>
      <c r="B828" s="3" t="s">
        <v>29</v>
      </c>
      <c r="C828" s="3">
        <v>647</v>
      </c>
      <c r="D828" s="3">
        <v>1</v>
      </c>
      <c r="E828" s="3" t="s">
        <v>27</v>
      </c>
      <c r="F828" s="3" t="s">
        <v>28</v>
      </c>
      <c r="G828" s="3" t="str">
        <f>"2025-11-29 12:44:26.753"</f>
        <v>2025-11-29 12:44:26.753</v>
      </c>
      <c r="H828" s="3" t="s">
        <v>22</v>
      </c>
      <c r="I828" s="3">
        <v>11.89</v>
      </c>
      <c r="J828" s="3" t="s">
        <v>30</v>
      </c>
    </row>
    <row r="829" spans="1:10" s="3" customFormat="1" x14ac:dyDescent="0.25">
      <c r="A829" s="2">
        <v>52</v>
      </c>
      <c r="B829" s="3" t="s">
        <v>26</v>
      </c>
      <c r="C829" s="3">
        <v>647</v>
      </c>
      <c r="D829" s="3">
        <v>1</v>
      </c>
      <c r="E829" s="3" t="s">
        <v>27</v>
      </c>
      <c r="F829" s="3" t="s">
        <v>28</v>
      </c>
      <c r="G829" s="3" t="str">
        <f>"2025-11-29 11:00:28.853"</f>
        <v>2025-11-29 11:00:28.853</v>
      </c>
      <c r="H829" s="3" t="s">
        <v>22</v>
      </c>
    </row>
    <row r="830" spans="1:10" s="3" customFormat="1" x14ac:dyDescent="0.25">
      <c r="A830" s="2">
        <v>53</v>
      </c>
      <c r="B830" s="3" t="s">
        <v>29</v>
      </c>
      <c r="C830" s="3">
        <v>647</v>
      </c>
      <c r="D830" s="3">
        <v>1</v>
      </c>
      <c r="E830" s="3" t="s">
        <v>27</v>
      </c>
      <c r="F830" s="3" t="s">
        <v>28</v>
      </c>
      <c r="G830" s="3" t="str">
        <f>"2025-11-29 11:00:19.354"</f>
        <v>2025-11-29 11:00:19.354</v>
      </c>
      <c r="H830" s="3" t="s">
        <v>22</v>
      </c>
      <c r="I830" s="3">
        <v>17.059999999999999</v>
      </c>
      <c r="J830" s="3" t="s">
        <v>30</v>
      </c>
    </row>
    <row r="831" spans="1:10" x14ac:dyDescent="0.25">
      <c r="A831" s="1">
        <v>54</v>
      </c>
      <c r="B831" t="s">
        <v>19</v>
      </c>
      <c r="C831">
        <v>700</v>
      </c>
      <c r="D831">
        <v>0</v>
      </c>
      <c r="E831" t="s">
        <v>24</v>
      </c>
      <c r="F831" t="s">
        <v>24</v>
      </c>
      <c r="G831" t="str">
        <f>"2025-11-28 20:37:26.114"</f>
        <v>2025-11-28 20:37:26.114</v>
      </c>
      <c r="H831" t="s">
        <v>22</v>
      </c>
    </row>
    <row r="832" spans="1:10" s="3" customFormat="1" x14ac:dyDescent="0.25">
      <c r="A832" s="2">
        <v>55</v>
      </c>
      <c r="B832" s="3" t="s">
        <v>26</v>
      </c>
      <c r="C832" s="3">
        <v>647</v>
      </c>
      <c r="D832" s="3">
        <v>1</v>
      </c>
      <c r="E832" s="3" t="s">
        <v>27</v>
      </c>
      <c r="F832" s="3" t="s">
        <v>28</v>
      </c>
      <c r="G832" s="3" t="str">
        <f>"2025-11-28 19:25:49.345"</f>
        <v>2025-11-28 19:25:49.345</v>
      </c>
      <c r="H832" s="3" t="s">
        <v>22</v>
      </c>
    </row>
    <row r="833" spans="1:10" s="3" customFormat="1" x14ac:dyDescent="0.25">
      <c r="A833" s="2">
        <v>56</v>
      </c>
      <c r="B833" s="3" t="s">
        <v>29</v>
      </c>
      <c r="C833" s="3">
        <v>647</v>
      </c>
      <c r="D833" s="3">
        <v>1</v>
      </c>
      <c r="E833" s="3" t="s">
        <v>27</v>
      </c>
      <c r="F833" s="3" t="s">
        <v>28</v>
      </c>
      <c r="G833" s="3" t="str">
        <f>"2025-11-28 19:25:42.745"</f>
        <v>2025-11-28 19:25:42.745</v>
      </c>
      <c r="H833" s="3" t="s">
        <v>22</v>
      </c>
      <c r="I833" s="3">
        <v>12.58</v>
      </c>
      <c r="J833" s="3" t="s">
        <v>30</v>
      </c>
    </row>
    <row r="834" spans="1:10" x14ac:dyDescent="0.25">
      <c r="A834" s="1">
        <v>57</v>
      </c>
      <c r="B834" t="s">
        <v>19</v>
      </c>
      <c r="C834">
        <v>706</v>
      </c>
      <c r="D834">
        <v>4</v>
      </c>
      <c r="E834" t="s">
        <v>20</v>
      </c>
      <c r="F834" t="s">
        <v>21</v>
      </c>
      <c r="G834" t="str">
        <f>"2025-11-28 11:11:57.304"</f>
        <v>2025-11-28 11:11:57.304</v>
      </c>
      <c r="H834" t="s">
        <v>22</v>
      </c>
      <c r="I834">
        <v>0</v>
      </c>
      <c r="J834" t="s">
        <v>23</v>
      </c>
    </row>
    <row r="835" spans="1:10" s="3" customFormat="1" x14ac:dyDescent="0.25">
      <c r="A835" s="2">
        <v>58</v>
      </c>
      <c r="B835" s="3" t="s">
        <v>26</v>
      </c>
      <c r="C835" s="3">
        <v>647</v>
      </c>
      <c r="D835" s="3">
        <v>1</v>
      </c>
      <c r="E835" s="3" t="s">
        <v>27</v>
      </c>
      <c r="F835" s="3" t="s">
        <v>28</v>
      </c>
      <c r="G835" s="3" t="str">
        <f>"2025-11-27 16:19:53.445"</f>
        <v>2025-11-27 16:19:53.445</v>
      </c>
      <c r="H835" s="3" t="s">
        <v>22</v>
      </c>
    </row>
    <row r="836" spans="1:10" s="3" customFormat="1" x14ac:dyDescent="0.25">
      <c r="A836" s="2">
        <v>59</v>
      </c>
      <c r="B836" s="3" t="s">
        <v>29</v>
      </c>
      <c r="C836" s="3">
        <v>647</v>
      </c>
      <c r="D836" s="3">
        <v>1</v>
      </c>
      <c r="E836" s="3" t="s">
        <v>27</v>
      </c>
      <c r="F836" s="3" t="s">
        <v>28</v>
      </c>
      <c r="G836" s="3" t="str">
        <f>"2025-11-27 16:19:51.345"</f>
        <v>2025-11-27 16:19:51.345</v>
      </c>
      <c r="H836" s="3" t="s">
        <v>22</v>
      </c>
      <c r="I836" s="3">
        <v>11.29</v>
      </c>
      <c r="J836" s="3" t="s">
        <v>30</v>
      </c>
    </row>
    <row r="837" spans="1:10" x14ac:dyDescent="0.25">
      <c r="A837" s="1">
        <v>60</v>
      </c>
      <c r="B837" t="s">
        <v>19</v>
      </c>
      <c r="C837">
        <v>706</v>
      </c>
      <c r="D837">
        <v>4</v>
      </c>
      <c r="E837" t="s">
        <v>20</v>
      </c>
      <c r="F837" t="s">
        <v>21</v>
      </c>
      <c r="G837" t="str">
        <f>"2025-11-27 10:20:18.814"</f>
        <v>2025-11-27 10:20:18.814</v>
      </c>
      <c r="H837" t="s">
        <v>22</v>
      </c>
      <c r="I837">
        <v>0</v>
      </c>
      <c r="J837" t="s">
        <v>23</v>
      </c>
    </row>
    <row r="838" spans="1:10" x14ac:dyDescent="0.25">
      <c r="A838" s="1">
        <v>61</v>
      </c>
      <c r="B838" t="s">
        <v>19</v>
      </c>
      <c r="C838">
        <v>700</v>
      </c>
      <c r="D838">
        <v>0</v>
      </c>
      <c r="E838" t="s">
        <v>24</v>
      </c>
      <c r="F838" t="s">
        <v>24</v>
      </c>
      <c r="G838" t="str">
        <f>"2025-11-26 21:22:55.124"</f>
        <v>2025-11-26 21:22:55.124</v>
      </c>
      <c r="H838" t="s">
        <v>22</v>
      </c>
      <c r="I838">
        <v>0</v>
      </c>
      <c r="J838" t="s">
        <v>34</v>
      </c>
    </row>
    <row r="839" spans="1:10" s="3" customFormat="1" x14ac:dyDescent="0.25">
      <c r="A839" s="2">
        <v>62</v>
      </c>
      <c r="B839" s="3" t="s">
        <v>26</v>
      </c>
      <c r="C839" s="3">
        <v>647</v>
      </c>
      <c r="D839" s="3">
        <v>1</v>
      </c>
      <c r="E839" s="3" t="s">
        <v>27</v>
      </c>
      <c r="F839" s="3" t="s">
        <v>28</v>
      </c>
      <c r="G839" s="3" t="str">
        <f>"2025-11-26 15:13:46.306"</f>
        <v>2025-11-26 15:13:46.306</v>
      </c>
      <c r="H839" s="3" t="s">
        <v>22</v>
      </c>
    </row>
    <row r="840" spans="1:10" s="3" customFormat="1" x14ac:dyDescent="0.25">
      <c r="A840" s="2">
        <v>63</v>
      </c>
      <c r="B840" s="3" t="s">
        <v>29</v>
      </c>
      <c r="C840" s="3">
        <v>647</v>
      </c>
      <c r="D840" s="3">
        <v>1</v>
      </c>
      <c r="E840" s="3" t="s">
        <v>27</v>
      </c>
      <c r="F840" s="3" t="s">
        <v>28</v>
      </c>
      <c r="G840" s="3" t="str">
        <f>"2025-11-26 15:13:39.606"</f>
        <v>2025-11-26 15:13:39.606</v>
      </c>
      <c r="H840" s="3" t="s">
        <v>22</v>
      </c>
      <c r="I840" s="3">
        <v>15.45</v>
      </c>
      <c r="J840" s="3" t="s">
        <v>30</v>
      </c>
    </row>
    <row r="841" spans="1:10" s="3" customFormat="1" x14ac:dyDescent="0.25">
      <c r="A841" s="2">
        <v>64</v>
      </c>
      <c r="B841" s="3" t="s">
        <v>26</v>
      </c>
      <c r="C841" s="3">
        <v>647</v>
      </c>
      <c r="D841" s="3">
        <v>1</v>
      </c>
      <c r="E841" s="3" t="s">
        <v>27</v>
      </c>
      <c r="F841" s="3" t="s">
        <v>28</v>
      </c>
      <c r="G841" s="3" t="str">
        <f>"2025-11-26 11:38:41.206"</f>
        <v>2025-11-26 11:38:41.206</v>
      </c>
      <c r="H841" s="3" t="s">
        <v>22</v>
      </c>
    </row>
    <row r="842" spans="1:10" s="3" customFormat="1" x14ac:dyDescent="0.25">
      <c r="A842" s="2">
        <v>65</v>
      </c>
      <c r="B842" s="3" t="s">
        <v>29</v>
      </c>
      <c r="C842" s="3">
        <v>647</v>
      </c>
      <c r="D842" s="3">
        <v>1</v>
      </c>
      <c r="E842" s="3" t="s">
        <v>27</v>
      </c>
      <c r="F842" s="3" t="s">
        <v>28</v>
      </c>
      <c r="G842" s="3" t="str">
        <f>"2025-11-26 11:38:38.907"</f>
        <v>2025-11-26 11:38:38.907</v>
      </c>
      <c r="H842" s="3" t="s">
        <v>22</v>
      </c>
      <c r="I842" s="3">
        <v>19.18</v>
      </c>
      <c r="J842" s="3" t="s">
        <v>30</v>
      </c>
    </row>
    <row r="843" spans="1:10" x14ac:dyDescent="0.25">
      <c r="A843" s="1">
        <v>66</v>
      </c>
      <c r="B843" t="s">
        <v>19</v>
      </c>
      <c r="C843">
        <v>706</v>
      </c>
      <c r="D843">
        <v>2</v>
      </c>
      <c r="E843" t="s">
        <v>20</v>
      </c>
      <c r="F843" t="s">
        <v>25</v>
      </c>
      <c r="G843" t="str">
        <f>"2025-11-26 09:33:10.887"</f>
        <v>2025-11-26 09:33:10.887</v>
      </c>
      <c r="H843" t="s">
        <v>22</v>
      </c>
      <c r="I843">
        <v>0</v>
      </c>
      <c r="J843" t="s">
        <v>23</v>
      </c>
    </row>
    <row r="844" spans="1:10" x14ac:dyDescent="0.25">
      <c r="A844" s="1">
        <v>67</v>
      </c>
      <c r="B844" t="s">
        <v>19</v>
      </c>
      <c r="C844">
        <v>700</v>
      </c>
      <c r="D844">
        <v>0</v>
      </c>
      <c r="E844" t="s">
        <v>24</v>
      </c>
      <c r="F844" t="s">
        <v>24</v>
      </c>
      <c r="G844" t="str">
        <f>"2025-11-25 22:03:01.077"</f>
        <v>2025-11-25 22:03:01.077</v>
      </c>
      <c r="H844" t="s">
        <v>22</v>
      </c>
      <c r="I844">
        <v>0</v>
      </c>
      <c r="J844" t="s">
        <v>34</v>
      </c>
    </row>
    <row r="845" spans="1:10" x14ac:dyDescent="0.25">
      <c r="A845" s="1">
        <v>68</v>
      </c>
      <c r="B845" t="s">
        <v>19</v>
      </c>
      <c r="C845">
        <v>706</v>
      </c>
      <c r="D845">
        <v>2</v>
      </c>
      <c r="E845" t="s">
        <v>20</v>
      </c>
      <c r="F845" t="s">
        <v>25</v>
      </c>
      <c r="G845" t="str">
        <f>"2025-11-25 14:26:19.321"</f>
        <v>2025-11-25 14:26:19.321</v>
      </c>
      <c r="H845" t="s">
        <v>22</v>
      </c>
      <c r="I845">
        <v>0</v>
      </c>
      <c r="J845" t="s">
        <v>23</v>
      </c>
    </row>
    <row r="846" spans="1:10" s="3" customFormat="1" x14ac:dyDescent="0.25">
      <c r="A846" s="2">
        <v>69</v>
      </c>
      <c r="B846" s="3" t="s">
        <v>26</v>
      </c>
      <c r="C846" s="3">
        <v>647</v>
      </c>
      <c r="D846" s="3">
        <v>1</v>
      </c>
      <c r="E846" s="3" t="s">
        <v>27</v>
      </c>
      <c r="F846" s="3" t="s">
        <v>28</v>
      </c>
      <c r="G846" s="3" t="str">
        <f>"2025-11-25 08:15:46.236"</f>
        <v>2025-11-25 08:15:46.236</v>
      </c>
      <c r="H846" s="3" t="s">
        <v>22</v>
      </c>
    </row>
    <row r="847" spans="1:10" s="3" customFormat="1" x14ac:dyDescent="0.25">
      <c r="A847" s="2">
        <v>70</v>
      </c>
      <c r="B847" s="3" t="s">
        <v>29</v>
      </c>
      <c r="C847" s="3">
        <v>647</v>
      </c>
      <c r="D847" s="3">
        <v>1</v>
      </c>
      <c r="E847" s="3" t="s">
        <v>27</v>
      </c>
      <c r="F847" s="3" t="s">
        <v>28</v>
      </c>
      <c r="G847" s="3" t="str">
        <f>"2025-11-25 08:15:41.336"</f>
        <v>2025-11-25 08:15:41.336</v>
      </c>
      <c r="H847" s="3" t="s">
        <v>22</v>
      </c>
      <c r="I847" s="3">
        <v>15.32</v>
      </c>
      <c r="J847" s="3" t="s">
        <v>30</v>
      </c>
    </row>
    <row r="848" spans="1:10" s="3" customFormat="1" x14ac:dyDescent="0.25">
      <c r="A848" s="2">
        <v>71</v>
      </c>
      <c r="B848" s="3" t="s">
        <v>26</v>
      </c>
      <c r="C848" s="3">
        <v>647</v>
      </c>
      <c r="D848" s="3">
        <v>1</v>
      </c>
      <c r="E848" s="3" t="s">
        <v>27</v>
      </c>
      <c r="F848" s="3" t="s">
        <v>28</v>
      </c>
      <c r="G848" s="3" t="str">
        <f>"2025-11-25 04:21:42.136"</f>
        <v>2025-11-25 04:21:42.136</v>
      </c>
      <c r="H848" s="3" t="s">
        <v>22</v>
      </c>
    </row>
    <row r="849" spans="1:10" s="3" customFormat="1" x14ac:dyDescent="0.25">
      <c r="A849" s="2">
        <v>72</v>
      </c>
      <c r="B849" s="3" t="s">
        <v>29</v>
      </c>
      <c r="C849" s="3">
        <v>647</v>
      </c>
      <c r="D849" s="3">
        <v>1</v>
      </c>
      <c r="E849" s="3" t="s">
        <v>27</v>
      </c>
      <c r="F849" s="3" t="s">
        <v>28</v>
      </c>
      <c r="G849" s="3" t="str">
        <f>"2025-11-25 04:21:38.636"</f>
        <v>2025-11-25 04:21:38.636</v>
      </c>
      <c r="H849" s="3" t="s">
        <v>22</v>
      </c>
      <c r="I849" s="3">
        <v>13.86</v>
      </c>
      <c r="J849" s="3" t="s">
        <v>30</v>
      </c>
    </row>
    <row r="850" spans="1:10" s="3" customFormat="1" x14ac:dyDescent="0.25">
      <c r="A850" s="2">
        <v>73</v>
      </c>
      <c r="B850" s="3" t="s">
        <v>26</v>
      </c>
      <c r="C850" s="3">
        <v>647</v>
      </c>
      <c r="D850" s="3">
        <v>1</v>
      </c>
      <c r="E850" s="3" t="s">
        <v>27</v>
      </c>
      <c r="F850" s="3" t="s">
        <v>28</v>
      </c>
      <c r="G850" s="3" t="str">
        <f>"2025-11-24 15:48:58.736"</f>
        <v>2025-11-24 15:48:58.736</v>
      </c>
      <c r="H850" s="3" t="s">
        <v>22</v>
      </c>
    </row>
    <row r="851" spans="1:10" s="3" customFormat="1" x14ac:dyDescent="0.25">
      <c r="A851" s="2">
        <v>74</v>
      </c>
      <c r="B851" s="3" t="s">
        <v>29</v>
      </c>
      <c r="C851" s="3">
        <v>647</v>
      </c>
      <c r="D851" s="3">
        <v>1</v>
      </c>
      <c r="E851" s="3" t="s">
        <v>27</v>
      </c>
      <c r="F851" s="3" t="s">
        <v>28</v>
      </c>
      <c r="G851" s="3" t="str">
        <f>"2025-11-24 15:48:55.836"</f>
        <v>2025-11-24 15:48:55.836</v>
      </c>
      <c r="H851" s="3" t="s">
        <v>22</v>
      </c>
      <c r="I851" s="3">
        <v>14.33</v>
      </c>
      <c r="J851" s="3" t="s">
        <v>30</v>
      </c>
    </row>
    <row r="852" spans="1:10" s="3" customFormat="1" x14ac:dyDescent="0.25">
      <c r="A852" s="2">
        <v>75</v>
      </c>
      <c r="B852" s="3" t="s">
        <v>26</v>
      </c>
      <c r="C852" s="3">
        <v>647</v>
      </c>
      <c r="D852" s="3">
        <v>1</v>
      </c>
      <c r="E852" s="3" t="s">
        <v>27</v>
      </c>
      <c r="F852" s="3" t="s">
        <v>28</v>
      </c>
      <c r="G852" s="3" t="str">
        <f>"2025-11-24 15:11:49.236"</f>
        <v>2025-11-24 15:11:49.236</v>
      </c>
      <c r="H852" s="3" t="s">
        <v>22</v>
      </c>
    </row>
    <row r="853" spans="1:10" s="3" customFormat="1" x14ac:dyDescent="0.25">
      <c r="A853" s="2">
        <v>76</v>
      </c>
      <c r="B853" s="3" t="s">
        <v>29</v>
      </c>
      <c r="C853" s="3">
        <v>647</v>
      </c>
      <c r="D853" s="3">
        <v>1</v>
      </c>
      <c r="E853" s="3" t="s">
        <v>27</v>
      </c>
      <c r="F853" s="3" t="s">
        <v>28</v>
      </c>
      <c r="G853" s="3" t="str">
        <f>"2025-11-24 15:11:40.636"</f>
        <v>2025-11-24 15:11:40.636</v>
      </c>
      <c r="H853" s="3" t="s">
        <v>22</v>
      </c>
      <c r="I853" s="3">
        <v>12.34</v>
      </c>
      <c r="J853" s="3" t="s">
        <v>30</v>
      </c>
    </row>
    <row r="854" spans="1:10" x14ac:dyDescent="0.25">
      <c r="A854" s="1">
        <v>77</v>
      </c>
      <c r="B854" t="s">
        <v>19</v>
      </c>
      <c r="C854">
        <v>706</v>
      </c>
      <c r="D854">
        <v>2</v>
      </c>
      <c r="E854" t="s">
        <v>20</v>
      </c>
      <c r="F854" t="s">
        <v>25</v>
      </c>
      <c r="G854" t="str">
        <f>"2025-11-24 13:16:49.121"</f>
        <v>2025-11-24 13:16:49.121</v>
      </c>
      <c r="H854" t="s">
        <v>22</v>
      </c>
      <c r="I854">
        <v>0</v>
      </c>
      <c r="J854" t="s">
        <v>23</v>
      </c>
    </row>
    <row r="855" spans="1:10" x14ac:dyDescent="0.25">
      <c r="A855" s="1">
        <v>78</v>
      </c>
      <c r="B855" t="s">
        <v>19</v>
      </c>
      <c r="C855">
        <v>706</v>
      </c>
      <c r="D855">
        <v>4</v>
      </c>
      <c r="E855" t="s">
        <v>20</v>
      </c>
      <c r="F855" t="s">
        <v>21</v>
      </c>
      <c r="G855" t="str">
        <f>"2025-11-24 13:01:57.501"</f>
        <v>2025-11-24 13:01:57.501</v>
      </c>
      <c r="H855" t="s">
        <v>22</v>
      </c>
      <c r="I855">
        <v>0</v>
      </c>
      <c r="J855" t="s">
        <v>23</v>
      </c>
    </row>
    <row r="856" spans="1:10" x14ac:dyDescent="0.25">
      <c r="A856" s="1">
        <v>79</v>
      </c>
      <c r="B856" t="s">
        <v>19</v>
      </c>
      <c r="C856">
        <v>706</v>
      </c>
      <c r="D856">
        <v>2</v>
      </c>
      <c r="E856" t="s">
        <v>20</v>
      </c>
      <c r="F856" t="s">
        <v>25</v>
      </c>
      <c r="G856" t="str">
        <f>"2025-11-24 08:48:12.721"</f>
        <v>2025-11-24 08:48:12.721</v>
      </c>
      <c r="H856" t="s">
        <v>22</v>
      </c>
      <c r="I856">
        <v>0</v>
      </c>
      <c r="J856" t="s">
        <v>23</v>
      </c>
    </row>
    <row r="857" spans="1:10" x14ac:dyDescent="0.25">
      <c r="A857" s="1">
        <v>80</v>
      </c>
      <c r="B857" t="s">
        <v>19</v>
      </c>
      <c r="C857">
        <v>706</v>
      </c>
      <c r="D857">
        <v>4</v>
      </c>
      <c r="E857" t="s">
        <v>20</v>
      </c>
      <c r="F857" t="s">
        <v>21</v>
      </c>
      <c r="G857" t="str">
        <f>"2025-11-23 09:49:18.541"</f>
        <v>2025-11-23 09:49:18.541</v>
      </c>
      <c r="H857" t="s">
        <v>22</v>
      </c>
      <c r="I857">
        <v>0</v>
      </c>
      <c r="J857" t="s">
        <v>23</v>
      </c>
    </row>
    <row r="858" spans="1:10" s="3" customFormat="1" x14ac:dyDescent="0.25">
      <c r="A858" s="2">
        <v>81</v>
      </c>
      <c r="B858" s="3" t="s">
        <v>26</v>
      </c>
      <c r="C858" s="3">
        <v>647</v>
      </c>
      <c r="D858" s="3">
        <v>1</v>
      </c>
      <c r="E858" s="3" t="s">
        <v>27</v>
      </c>
      <c r="F858" s="3" t="s">
        <v>28</v>
      </c>
      <c r="G858" s="3" t="str">
        <f>"2025-11-23 05:44:19.436"</f>
        <v>2025-11-23 05:44:19.436</v>
      </c>
      <c r="H858" s="3" t="s">
        <v>22</v>
      </c>
    </row>
    <row r="859" spans="1:10" s="3" customFormat="1" x14ac:dyDescent="0.25">
      <c r="A859" s="2">
        <v>82</v>
      </c>
      <c r="B859" s="3" t="s">
        <v>29</v>
      </c>
      <c r="C859" s="3">
        <v>647</v>
      </c>
      <c r="D859" s="3">
        <v>1</v>
      </c>
      <c r="E859" s="3" t="s">
        <v>27</v>
      </c>
      <c r="F859" s="3" t="s">
        <v>28</v>
      </c>
      <c r="G859" s="3" t="str">
        <f>"2025-11-23 05:44:16.836"</f>
        <v>2025-11-23 05:44:16.836</v>
      </c>
      <c r="H859" s="3" t="s">
        <v>22</v>
      </c>
      <c r="I859" s="3">
        <v>9.34</v>
      </c>
      <c r="J859" s="3" t="s">
        <v>30</v>
      </c>
    </row>
    <row r="860" spans="1:10" s="3" customFormat="1" x14ac:dyDescent="0.25">
      <c r="A860" s="2">
        <v>83</v>
      </c>
      <c r="B860" s="3" t="s">
        <v>26</v>
      </c>
      <c r="C860" s="3">
        <v>647</v>
      </c>
      <c r="D860" s="3">
        <v>1</v>
      </c>
      <c r="E860" s="3" t="s">
        <v>27</v>
      </c>
      <c r="F860" s="3" t="s">
        <v>28</v>
      </c>
      <c r="G860" s="3" t="str">
        <f>"2025-11-22 16:15:29.636"</f>
        <v>2025-11-22 16:15:29.636</v>
      </c>
      <c r="H860" s="3" t="s">
        <v>22</v>
      </c>
    </row>
    <row r="861" spans="1:10" s="3" customFormat="1" x14ac:dyDescent="0.25">
      <c r="A861" s="2">
        <v>84</v>
      </c>
      <c r="B861" s="3" t="s">
        <v>29</v>
      </c>
      <c r="C861" s="3">
        <v>647</v>
      </c>
      <c r="D861" s="3">
        <v>1</v>
      </c>
      <c r="E861" s="3" t="s">
        <v>27</v>
      </c>
      <c r="F861" s="3" t="s">
        <v>28</v>
      </c>
      <c r="G861" s="3" t="str">
        <f>"2025-11-22 16:15:23.936"</f>
        <v>2025-11-22 16:15:23.936</v>
      </c>
      <c r="H861" s="3" t="s">
        <v>22</v>
      </c>
      <c r="I861" s="3">
        <v>10.93</v>
      </c>
      <c r="J861" s="3" t="s">
        <v>30</v>
      </c>
    </row>
    <row r="862" spans="1:10" s="3" customFormat="1" x14ac:dyDescent="0.25">
      <c r="A862" s="2">
        <v>85</v>
      </c>
      <c r="B862" s="3" t="s">
        <v>26</v>
      </c>
      <c r="C862" s="3">
        <v>647</v>
      </c>
      <c r="D862" s="3">
        <v>1</v>
      </c>
      <c r="E862" s="3" t="s">
        <v>27</v>
      </c>
      <c r="F862" s="3" t="s">
        <v>28</v>
      </c>
      <c r="G862" s="3" t="str">
        <f>"2025-11-22 15:02:40.036"</f>
        <v>2025-11-22 15:02:40.036</v>
      </c>
      <c r="H862" s="3" t="s">
        <v>22</v>
      </c>
    </row>
    <row r="863" spans="1:10" s="3" customFormat="1" x14ac:dyDescent="0.25">
      <c r="A863" s="2">
        <v>86</v>
      </c>
      <c r="B863" s="3" t="s">
        <v>29</v>
      </c>
      <c r="C863" s="3">
        <v>647</v>
      </c>
      <c r="D863" s="3">
        <v>1</v>
      </c>
      <c r="E863" s="3" t="s">
        <v>27</v>
      </c>
      <c r="F863" s="3" t="s">
        <v>28</v>
      </c>
      <c r="G863" s="3" t="str">
        <f>"2025-11-22 15:02:36.336"</f>
        <v>2025-11-22 15:02:36.336</v>
      </c>
      <c r="H863" s="3" t="s">
        <v>22</v>
      </c>
      <c r="I863" s="3">
        <v>14.76</v>
      </c>
      <c r="J863" s="3" t="s">
        <v>30</v>
      </c>
    </row>
    <row r="864" spans="1:10" s="3" customFormat="1" x14ac:dyDescent="0.25">
      <c r="A864" s="2">
        <v>87</v>
      </c>
      <c r="B864" s="3" t="s">
        <v>26</v>
      </c>
      <c r="C864" s="3">
        <v>647</v>
      </c>
      <c r="D864" s="3">
        <v>1</v>
      </c>
      <c r="E864" s="3" t="s">
        <v>27</v>
      </c>
      <c r="F864" s="3" t="s">
        <v>28</v>
      </c>
      <c r="G864" s="3" t="str">
        <f>"2025-11-22 11:25:15.536"</f>
        <v>2025-11-22 11:25:15.536</v>
      </c>
      <c r="H864" s="3" t="s">
        <v>22</v>
      </c>
    </row>
    <row r="865" spans="1:10" s="3" customFormat="1" x14ac:dyDescent="0.25">
      <c r="A865" s="2">
        <v>88</v>
      </c>
      <c r="B865" s="3" t="s">
        <v>29</v>
      </c>
      <c r="C865" s="3">
        <v>647</v>
      </c>
      <c r="D865" s="3">
        <v>1</v>
      </c>
      <c r="E865" s="3" t="s">
        <v>27</v>
      </c>
      <c r="F865" s="3" t="s">
        <v>28</v>
      </c>
      <c r="G865" s="3" t="str">
        <f>"2025-11-22 11:25:12.036"</f>
        <v>2025-11-22 11:25:12.036</v>
      </c>
      <c r="H865" s="3" t="s">
        <v>22</v>
      </c>
      <c r="I865" s="3">
        <v>12.16</v>
      </c>
      <c r="J865" s="3" t="s">
        <v>30</v>
      </c>
    </row>
    <row r="866" spans="1:10" x14ac:dyDescent="0.25">
      <c r="A866" s="1">
        <v>89</v>
      </c>
      <c r="B866" t="s">
        <v>19</v>
      </c>
      <c r="C866">
        <v>706</v>
      </c>
      <c r="D866">
        <v>4</v>
      </c>
      <c r="E866" t="s">
        <v>20</v>
      </c>
      <c r="F866" t="s">
        <v>21</v>
      </c>
      <c r="G866" t="str">
        <f>"2025-11-22 09:10:26.641"</f>
        <v>2025-11-22 09:10:26.641</v>
      </c>
      <c r="H866" t="s">
        <v>22</v>
      </c>
      <c r="I866">
        <v>0</v>
      </c>
      <c r="J866" t="s">
        <v>23</v>
      </c>
    </row>
    <row r="867" spans="1:10" s="3" customFormat="1" x14ac:dyDescent="0.25">
      <c r="A867" s="2">
        <v>90</v>
      </c>
      <c r="B867" s="3" t="s">
        <v>26</v>
      </c>
      <c r="C867" s="3">
        <v>647</v>
      </c>
      <c r="D867" s="3">
        <v>1</v>
      </c>
      <c r="E867" s="3" t="s">
        <v>27</v>
      </c>
      <c r="F867" s="3" t="s">
        <v>28</v>
      </c>
      <c r="G867" s="3" t="str">
        <f>"2025-11-21 12:36:11.336"</f>
        <v>2025-11-21 12:36:11.336</v>
      </c>
      <c r="H867" s="3" t="s">
        <v>22</v>
      </c>
    </row>
    <row r="868" spans="1:10" s="3" customFormat="1" x14ac:dyDescent="0.25">
      <c r="A868" s="2">
        <v>91</v>
      </c>
      <c r="B868" s="3" t="s">
        <v>29</v>
      </c>
      <c r="C868" s="3">
        <v>647</v>
      </c>
      <c r="D868" s="3">
        <v>1</v>
      </c>
      <c r="E868" s="3" t="s">
        <v>27</v>
      </c>
      <c r="F868" s="3" t="s">
        <v>28</v>
      </c>
      <c r="G868" s="3" t="str">
        <f>"2025-11-21 12:36:08.636"</f>
        <v>2025-11-21 12:36:08.636</v>
      </c>
      <c r="H868" s="3" t="s">
        <v>22</v>
      </c>
      <c r="I868" s="3">
        <v>13.04</v>
      </c>
      <c r="J868" s="3" t="s">
        <v>30</v>
      </c>
    </row>
    <row r="869" spans="1:10" s="3" customFormat="1" x14ac:dyDescent="0.25">
      <c r="A869" s="2">
        <v>92</v>
      </c>
      <c r="B869" s="3" t="s">
        <v>26</v>
      </c>
      <c r="C869" s="3">
        <v>647</v>
      </c>
      <c r="D869" s="3">
        <v>1</v>
      </c>
      <c r="E869" s="3" t="s">
        <v>27</v>
      </c>
      <c r="F869" s="3" t="s">
        <v>28</v>
      </c>
      <c r="G869" s="3" t="str">
        <f>"2025-11-21 12:35:13.136"</f>
        <v>2025-11-21 12:35:13.136</v>
      </c>
      <c r="H869" s="3" t="s">
        <v>22</v>
      </c>
    </row>
    <row r="870" spans="1:10" s="3" customFormat="1" x14ac:dyDescent="0.25">
      <c r="A870" s="2">
        <v>93</v>
      </c>
      <c r="B870" s="3" t="s">
        <v>29</v>
      </c>
      <c r="C870" s="3">
        <v>647</v>
      </c>
      <c r="D870" s="3">
        <v>1</v>
      </c>
      <c r="E870" s="3" t="s">
        <v>27</v>
      </c>
      <c r="F870" s="3" t="s">
        <v>28</v>
      </c>
      <c r="G870" s="3" t="str">
        <f>"2025-11-21 12:35:10.836"</f>
        <v>2025-11-21 12:35:10.836</v>
      </c>
      <c r="H870" s="3" t="s">
        <v>22</v>
      </c>
      <c r="I870" s="3">
        <v>19.440000000000001</v>
      </c>
      <c r="J870" s="3" t="s">
        <v>30</v>
      </c>
    </row>
    <row r="871" spans="1:10" x14ac:dyDescent="0.25">
      <c r="A871" s="1">
        <v>94</v>
      </c>
      <c r="B871" t="s">
        <v>19</v>
      </c>
      <c r="C871">
        <v>700</v>
      </c>
      <c r="D871">
        <v>0</v>
      </c>
      <c r="E871" t="s">
        <v>24</v>
      </c>
      <c r="F871" t="s">
        <v>24</v>
      </c>
      <c r="G871" t="str">
        <f>"2025-11-21 11:27:49.081"</f>
        <v>2025-11-21 11:27:49.081</v>
      </c>
      <c r="H871" t="s">
        <v>22</v>
      </c>
    </row>
    <row r="872" spans="1:10" x14ac:dyDescent="0.25">
      <c r="A872" s="1">
        <v>95</v>
      </c>
      <c r="B872" t="s">
        <v>19</v>
      </c>
      <c r="C872">
        <v>706</v>
      </c>
      <c r="D872">
        <v>4</v>
      </c>
      <c r="E872" t="s">
        <v>20</v>
      </c>
      <c r="F872" t="s">
        <v>21</v>
      </c>
      <c r="G872" t="str">
        <f>"2025-11-21 08:08:53.179"</f>
        <v>2025-11-21 08:08:53.179</v>
      </c>
      <c r="H872" t="s">
        <v>22</v>
      </c>
      <c r="I872">
        <v>0</v>
      </c>
      <c r="J872" t="s">
        <v>23</v>
      </c>
    </row>
    <row r="873" spans="1:10" x14ac:dyDescent="0.25">
      <c r="A873" s="1">
        <v>96</v>
      </c>
      <c r="B873" t="s">
        <v>19</v>
      </c>
      <c r="C873">
        <v>706</v>
      </c>
      <c r="D873">
        <v>2</v>
      </c>
      <c r="E873" t="s">
        <v>20</v>
      </c>
      <c r="F873" t="s">
        <v>25</v>
      </c>
      <c r="G873" t="str">
        <f>"2025-11-20 11:18:35.979"</f>
        <v>2025-11-20 11:18:35.979</v>
      </c>
      <c r="H873" t="s">
        <v>22</v>
      </c>
      <c r="I873">
        <v>0</v>
      </c>
      <c r="J873" t="s">
        <v>23</v>
      </c>
    </row>
    <row r="874" spans="1:10" s="3" customFormat="1" x14ac:dyDescent="0.25">
      <c r="A874" s="2">
        <v>97</v>
      </c>
      <c r="B874" s="3" t="s">
        <v>26</v>
      </c>
      <c r="C874" s="3">
        <v>647</v>
      </c>
      <c r="D874" s="3">
        <v>1</v>
      </c>
      <c r="E874" s="3" t="s">
        <v>27</v>
      </c>
      <c r="F874" s="3" t="s">
        <v>28</v>
      </c>
      <c r="G874" s="3" t="str">
        <f>"2025-11-20 07:51:21.590"</f>
        <v>2025-11-20 07:51:21.590</v>
      </c>
      <c r="H874" s="3" t="s">
        <v>22</v>
      </c>
    </row>
    <row r="875" spans="1:10" s="3" customFormat="1" x14ac:dyDescent="0.25">
      <c r="A875" s="2">
        <v>98</v>
      </c>
      <c r="B875" s="3" t="s">
        <v>29</v>
      </c>
      <c r="C875" s="3">
        <v>647</v>
      </c>
      <c r="D875" s="3">
        <v>1</v>
      </c>
      <c r="E875" s="3" t="s">
        <v>27</v>
      </c>
      <c r="F875" s="3" t="s">
        <v>28</v>
      </c>
      <c r="G875" s="3" t="str">
        <f>"2025-11-20 07:51:18.090"</f>
        <v>2025-11-20 07:51:18.090</v>
      </c>
      <c r="H875" s="3" t="s">
        <v>22</v>
      </c>
      <c r="I875" s="3">
        <v>14.02</v>
      </c>
      <c r="J875" s="3" t="s">
        <v>30</v>
      </c>
    </row>
    <row r="876" spans="1:10" x14ac:dyDescent="0.25">
      <c r="A876" s="1">
        <v>99</v>
      </c>
      <c r="B876" t="s">
        <v>26</v>
      </c>
      <c r="C876">
        <v>635</v>
      </c>
      <c r="D876">
        <v>1</v>
      </c>
      <c r="E876" t="s">
        <v>31</v>
      </c>
      <c r="F876" t="s">
        <v>32</v>
      </c>
      <c r="G876" t="str">
        <f>"2025-11-20 03:23:30.589"</f>
        <v>2025-11-20 03:23:30.589</v>
      </c>
      <c r="H876" t="s">
        <v>22</v>
      </c>
    </row>
    <row r="877" spans="1:10" x14ac:dyDescent="0.25">
      <c r="A877" s="1">
        <v>0</v>
      </c>
      <c r="B877" t="s">
        <v>29</v>
      </c>
      <c r="C877">
        <v>635</v>
      </c>
      <c r="D877">
        <v>1</v>
      </c>
      <c r="E877" t="s">
        <v>31</v>
      </c>
      <c r="F877" t="s">
        <v>32</v>
      </c>
      <c r="G877" t="str">
        <f>"2025-11-20 03:15:27.089"</f>
        <v>2025-11-20 03:15:27.089</v>
      </c>
      <c r="H877" t="s">
        <v>22</v>
      </c>
      <c r="I877">
        <v>0.63</v>
      </c>
      <c r="J877" t="s">
        <v>33</v>
      </c>
    </row>
    <row r="878" spans="1:10" x14ac:dyDescent="0.25">
      <c r="A878" s="1">
        <v>1</v>
      </c>
      <c r="B878" t="s">
        <v>26</v>
      </c>
      <c r="C878">
        <v>635</v>
      </c>
      <c r="D878">
        <v>1</v>
      </c>
      <c r="E878" t="s">
        <v>31</v>
      </c>
      <c r="F878" t="s">
        <v>32</v>
      </c>
      <c r="G878" t="str">
        <f>"2025-11-19 21:30:39.789"</f>
        <v>2025-11-19 21:30:39.789</v>
      </c>
      <c r="H878" t="s">
        <v>22</v>
      </c>
    </row>
    <row r="879" spans="1:10" x14ac:dyDescent="0.25">
      <c r="A879" s="1">
        <v>2</v>
      </c>
      <c r="B879" t="s">
        <v>29</v>
      </c>
      <c r="C879">
        <v>635</v>
      </c>
      <c r="D879">
        <v>1</v>
      </c>
      <c r="E879" t="s">
        <v>31</v>
      </c>
      <c r="F879" t="s">
        <v>32</v>
      </c>
      <c r="G879" t="str">
        <f>"2025-11-19 21:24:45.289"</f>
        <v>2025-11-19 21:24:45.289</v>
      </c>
      <c r="H879" t="s">
        <v>22</v>
      </c>
      <c r="I879">
        <v>1.75</v>
      </c>
      <c r="J879" t="s">
        <v>52</v>
      </c>
    </row>
    <row r="880" spans="1:10" s="3" customFormat="1" x14ac:dyDescent="0.25">
      <c r="A880" s="2">
        <v>3</v>
      </c>
      <c r="B880" s="3" t="s">
        <v>26</v>
      </c>
      <c r="C880" s="3">
        <v>647</v>
      </c>
      <c r="D880" s="3">
        <v>1</v>
      </c>
      <c r="E880" s="3" t="s">
        <v>27</v>
      </c>
      <c r="F880" s="3" t="s">
        <v>28</v>
      </c>
      <c r="G880" s="3" t="str">
        <f>"2025-11-19 18:20:37.090"</f>
        <v>2025-11-19 18:20:37.090</v>
      </c>
      <c r="H880" s="3" t="s">
        <v>22</v>
      </c>
    </row>
    <row r="881" spans="1:10" s="3" customFormat="1" x14ac:dyDescent="0.25">
      <c r="A881" s="2">
        <v>4</v>
      </c>
      <c r="B881" s="3" t="s">
        <v>29</v>
      </c>
      <c r="C881" s="3">
        <v>647</v>
      </c>
      <c r="D881" s="3">
        <v>1</v>
      </c>
      <c r="E881" s="3" t="s">
        <v>27</v>
      </c>
      <c r="F881" s="3" t="s">
        <v>28</v>
      </c>
      <c r="G881" s="3" t="str">
        <f>"2025-11-19 18:20:32.790"</f>
        <v>2025-11-19 18:20:32.790</v>
      </c>
      <c r="H881" s="3" t="s">
        <v>22</v>
      </c>
      <c r="I881" s="3">
        <v>12.78</v>
      </c>
      <c r="J881" s="3" t="s">
        <v>30</v>
      </c>
    </row>
    <row r="882" spans="1:10" x14ac:dyDescent="0.25">
      <c r="A882" s="1">
        <v>5</v>
      </c>
      <c r="B882" t="s">
        <v>19</v>
      </c>
      <c r="C882">
        <v>706</v>
      </c>
      <c r="D882">
        <v>4</v>
      </c>
      <c r="E882" t="s">
        <v>20</v>
      </c>
      <c r="F882" t="s">
        <v>21</v>
      </c>
      <c r="G882" t="str">
        <f>"2025-11-19 12:32:30.109"</f>
        <v>2025-11-19 12:32:30.109</v>
      </c>
      <c r="H882" t="s">
        <v>22</v>
      </c>
      <c r="I882">
        <v>0</v>
      </c>
      <c r="J882" t="s">
        <v>23</v>
      </c>
    </row>
    <row r="883" spans="1:10" x14ac:dyDescent="0.25">
      <c r="A883" s="1">
        <v>6</v>
      </c>
      <c r="B883" t="s">
        <v>19</v>
      </c>
      <c r="C883">
        <v>706</v>
      </c>
      <c r="D883">
        <v>4</v>
      </c>
      <c r="E883" t="s">
        <v>20</v>
      </c>
      <c r="F883" t="s">
        <v>21</v>
      </c>
      <c r="G883" t="str">
        <f>"2025-11-19 08:19:46.879"</f>
        <v>2025-11-19 08:19:46.879</v>
      </c>
      <c r="H883" t="s">
        <v>22</v>
      </c>
      <c r="I883">
        <v>0</v>
      </c>
      <c r="J883" t="s">
        <v>23</v>
      </c>
    </row>
    <row r="884" spans="1:10" x14ac:dyDescent="0.25">
      <c r="A884" s="1">
        <v>7</v>
      </c>
      <c r="B884" t="s">
        <v>19</v>
      </c>
      <c r="C884">
        <v>700</v>
      </c>
      <c r="D884">
        <v>0</v>
      </c>
      <c r="E884" t="s">
        <v>24</v>
      </c>
      <c r="F884" t="s">
        <v>24</v>
      </c>
      <c r="G884" t="str">
        <f>"2025-11-19 03:02:29.129"</f>
        <v>2025-11-19 03:02:29.129</v>
      </c>
      <c r="H884" t="s">
        <v>22</v>
      </c>
    </row>
    <row r="885" spans="1:10" x14ac:dyDescent="0.25">
      <c r="A885" s="1">
        <v>8</v>
      </c>
      <c r="B885" t="s">
        <v>19</v>
      </c>
      <c r="C885">
        <v>700</v>
      </c>
      <c r="D885">
        <v>0</v>
      </c>
      <c r="E885" t="s">
        <v>24</v>
      </c>
      <c r="F885" t="s">
        <v>24</v>
      </c>
      <c r="G885" t="str">
        <f>"2025-11-19 02:41:28.046"</f>
        <v>2025-11-19 02:41:28.046</v>
      </c>
      <c r="H885" t="s">
        <v>22</v>
      </c>
    </row>
    <row r="886" spans="1:10" x14ac:dyDescent="0.25">
      <c r="A886" s="1">
        <v>9</v>
      </c>
      <c r="B886" t="s">
        <v>19</v>
      </c>
      <c r="C886">
        <v>706</v>
      </c>
      <c r="D886">
        <v>4</v>
      </c>
      <c r="E886" t="s">
        <v>20</v>
      </c>
      <c r="F886" t="s">
        <v>21</v>
      </c>
      <c r="G886" t="str">
        <f>"2025-11-19 02:36:20.739"</f>
        <v>2025-11-19 02:36:20.739</v>
      </c>
      <c r="H886" t="s">
        <v>22</v>
      </c>
      <c r="I886">
        <v>0</v>
      </c>
      <c r="J886" t="s">
        <v>23</v>
      </c>
    </row>
    <row r="887" spans="1:10" x14ac:dyDescent="0.25">
      <c r="A887" s="1">
        <v>10</v>
      </c>
      <c r="B887" t="s">
        <v>19</v>
      </c>
      <c r="C887">
        <v>706</v>
      </c>
      <c r="D887">
        <v>4</v>
      </c>
      <c r="E887" t="s">
        <v>20</v>
      </c>
      <c r="F887" t="s">
        <v>21</v>
      </c>
      <c r="G887" t="str">
        <f>"2025-11-19 02:35:29.039"</f>
        <v>2025-11-19 02:35:29.039</v>
      </c>
      <c r="H887" t="s">
        <v>22</v>
      </c>
      <c r="I887">
        <v>0</v>
      </c>
      <c r="J887" t="s">
        <v>23</v>
      </c>
    </row>
    <row r="888" spans="1:10" x14ac:dyDescent="0.25">
      <c r="A888" s="1">
        <v>11</v>
      </c>
      <c r="B888" t="s">
        <v>19</v>
      </c>
      <c r="C888">
        <v>700</v>
      </c>
      <c r="D888">
        <v>0</v>
      </c>
      <c r="E888" t="s">
        <v>24</v>
      </c>
      <c r="F888" t="s">
        <v>24</v>
      </c>
      <c r="G888" t="str">
        <f>"2025-11-19 02:28:10.049"</f>
        <v>2025-11-19 02:28:10.049</v>
      </c>
      <c r="H888" t="s">
        <v>22</v>
      </c>
    </row>
    <row r="889" spans="1:10" x14ac:dyDescent="0.25">
      <c r="A889" s="1">
        <v>12</v>
      </c>
      <c r="B889" t="s">
        <v>19</v>
      </c>
      <c r="C889">
        <v>706</v>
      </c>
      <c r="D889">
        <v>2</v>
      </c>
      <c r="E889" t="s">
        <v>20</v>
      </c>
      <c r="F889" t="s">
        <v>25</v>
      </c>
      <c r="G889" t="str">
        <f>"2025-11-17 21:27:24.305"</f>
        <v>2025-11-17 21:27:24.305</v>
      </c>
      <c r="H889" t="s">
        <v>22</v>
      </c>
      <c r="I889">
        <v>0</v>
      </c>
      <c r="J889" t="s">
        <v>23</v>
      </c>
    </row>
    <row r="890" spans="1:10" x14ac:dyDescent="0.25">
      <c r="A890" s="1">
        <v>13</v>
      </c>
      <c r="B890" t="s">
        <v>19</v>
      </c>
      <c r="C890">
        <v>706</v>
      </c>
      <c r="D890">
        <v>2</v>
      </c>
      <c r="E890" t="s">
        <v>20</v>
      </c>
      <c r="F890" t="s">
        <v>25</v>
      </c>
      <c r="G890" t="str">
        <f>"2025-11-17 10:50:10.504"</f>
        <v>2025-11-17 10:50:10.504</v>
      </c>
      <c r="H890" t="s">
        <v>22</v>
      </c>
      <c r="I890">
        <v>0</v>
      </c>
      <c r="J890" t="s">
        <v>23</v>
      </c>
    </row>
    <row r="891" spans="1:10" x14ac:dyDescent="0.25">
      <c r="A891" s="1">
        <v>14</v>
      </c>
      <c r="B891" t="s">
        <v>19</v>
      </c>
      <c r="C891">
        <v>706</v>
      </c>
      <c r="D891">
        <v>4</v>
      </c>
      <c r="E891" t="s">
        <v>20</v>
      </c>
      <c r="F891" t="s">
        <v>21</v>
      </c>
      <c r="G891" t="str">
        <f>"2025-11-16 21:26:16.345"</f>
        <v>2025-11-16 21:26:16.345</v>
      </c>
      <c r="H891" t="s">
        <v>22</v>
      </c>
      <c r="I891">
        <v>0</v>
      </c>
      <c r="J891" t="s">
        <v>23</v>
      </c>
    </row>
    <row r="892" spans="1:10" x14ac:dyDescent="0.25">
      <c r="A892" s="1">
        <v>15</v>
      </c>
      <c r="B892" t="s">
        <v>19</v>
      </c>
      <c r="C892">
        <v>706</v>
      </c>
      <c r="D892">
        <v>4</v>
      </c>
      <c r="E892" t="s">
        <v>20</v>
      </c>
      <c r="F892" t="s">
        <v>21</v>
      </c>
      <c r="G892" t="str">
        <f>"2025-11-15 22:28:18.745"</f>
        <v>2025-11-15 22:28:18.745</v>
      </c>
      <c r="H892" t="s">
        <v>22</v>
      </c>
      <c r="I892">
        <v>0</v>
      </c>
      <c r="J892" t="s">
        <v>23</v>
      </c>
    </row>
    <row r="893" spans="1:10" x14ac:dyDescent="0.25">
      <c r="A893" s="1">
        <v>16</v>
      </c>
      <c r="B893" t="s">
        <v>26</v>
      </c>
      <c r="C893">
        <v>635</v>
      </c>
      <c r="D893">
        <v>1</v>
      </c>
      <c r="E893" t="s">
        <v>31</v>
      </c>
      <c r="F893" t="s">
        <v>32</v>
      </c>
      <c r="G893" t="str">
        <f>"2025-11-15 21:23:49.923"</f>
        <v>2025-11-15 21:23:49.923</v>
      </c>
      <c r="H893" t="s">
        <v>22</v>
      </c>
    </row>
    <row r="894" spans="1:10" x14ac:dyDescent="0.25">
      <c r="A894" s="1">
        <v>17</v>
      </c>
      <c r="B894" t="s">
        <v>29</v>
      </c>
      <c r="C894">
        <v>635</v>
      </c>
      <c r="D894">
        <v>1</v>
      </c>
      <c r="E894" t="s">
        <v>31</v>
      </c>
      <c r="F894" t="s">
        <v>32</v>
      </c>
      <c r="G894" t="str">
        <f>"2025-11-15 21:15:53.423"</f>
        <v>2025-11-15 21:15:53.423</v>
      </c>
      <c r="H894" t="s">
        <v>22</v>
      </c>
      <c r="I894">
        <v>5.87</v>
      </c>
      <c r="J894" t="s">
        <v>33</v>
      </c>
    </row>
    <row r="895" spans="1:10" x14ac:dyDescent="0.25">
      <c r="A895" s="1">
        <v>18</v>
      </c>
      <c r="B895" t="s">
        <v>19</v>
      </c>
      <c r="C895">
        <v>706</v>
      </c>
      <c r="D895">
        <v>2</v>
      </c>
      <c r="E895" t="s">
        <v>20</v>
      </c>
      <c r="F895" t="s">
        <v>25</v>
      </c>
      <c r="G895" t="str">
        <f>"2025-11-15 08:45:03.405"</f>
        <v>2025-11-15 08:45:03.405</v>
      </c>
      <c r="H895" t="s">
        <v>22</v>
      </c>
      <c r="I895">
        <v>0</v>
      </c>
      <c r="J895" t="s">
        <v>23</v>
      </c>
    </row>
    <row r="896" spans="1:10" s="3" customFormat="1" x14ac:dyDescent="0.25">
      <c r="A896" s="2">
        <v>19</v>
      </c>
      <c r="B896" s="3" t="s">
        <v>26</v>
      </c>
      <c r="C896" s="3">
        <v>647</v>
      </c>
      <c r="D896" s="3">
        <v>1</v>
      </c>
      <c r="E896" s="3" t="s">
        <v>27</v>
      </c>
      <c r="F896" s="3" t="s">
        <v>28</v>
      </c>
      <c r="G896" s="3" t="str">
        <f>"2025-11-15 07:34:58.123"</f>
        <v>2025-11-15 07:34:58.123</v>
      </c>
      <c r="H896" s="3" t="s">
        <v>22</v>
      </c>
    </row>
    <row r="897" spans="1:10" s="3" customFormat="1" x14ac:dyDescent="0.25">
      <c r="A897" s="2">
        <v>20</v>
      </c>
      <c r="B897" s="3" t="s">
        <v>29</v>
      </c>
      <c r="C897" s="3">
        <v>647</v>
      </c>
      <c r="D897" s="3">
        <v>1</v>
      </c>
      <c r="E897" s="3" t="s">
        <v>27</v>
      </c>
      <c r="F897" s="3" t="s">
        <v>28</v>
      </c>
      <c r="G897" s="3" t="str">
        <f>"2025-11-15 07:34:55.624"</f>
        <v>2025-11-15 07:34:55.624</v>
      </c>
      <c r="H897" s="3" t="s">
        <v>22</v>
      </c>
      <c r="I897" s="3">
        <v>8.41</v>
      </c>
      <c r="J897" s="3" t="s">
        <v>30</v>
      </c>
    </row>
    <row r="898" spans="1:10" x14ac:dyDescent="0.25">
      <c r="A898" s="1">
        <v>21</v>
      </c>
      <c r="B898" t="s">
        <v>19</v>
      </c>
      <c r="C898">
        <v>700</v>
      </c>
      <c r="D898">
        <v>0</v>
      </c>
      <c r="E898" t="s">
        <v>24</v>
      </c>
      <c r="F898" t="s">
        <v>24</v>
      </c>
      <c r="G898" t="str">
        <f>"2025-11-14 22:50:19.085"</f>
        <v>2025-11-14 22:50:19.085</v>
      </c>
      <c r="H898" t="s">
        <v>22</v>
      </c>
      <c r="I898">
        <v>0</v>
      </c>
      <c r="J898" t="s">
        <v>34</v>
      </c>
    </row>
    <row r="899" spans="1:10" x14ac:dyDescent="0.25">
      <c r="A899" s="1">
        <v>22</v>
      </c>
      <c r="B899" t="s">
        <v>19</v>
      </c>
      <c r="C899">
        <v>706</v>
      </c>
      <c r="D899">
        <v>4</v>
      </c>
      <c r="E899" t="s">
        <v>20</v>
      </c>
      <c r="F899" t="s">
        <v>21</v>
      </c>
      <c r="G899" t="str">
        <f>"2025-11-14 21:00:28.987"</f>
        <v>2025-11-14 21:00:28.987</v>
      </c>
      <c r="H899" t="s">
        <v>22</v>
      </c>
      <c r="I899">
        <v>0</v>
      </c>
      <c r="J899" t="s">
        <v>23</v>
      </c>
    </row>
    <row r="900" spans="1:10" x14ac:dyDescent="0.25">
      <c r="A900" s="1">
        <v>23</v>
      </c>
      <c r="B900" t="s">
        <v>19</v>
      </c>
      <c r="C900">
        <v>706</v>
      </c>
      <c r="D900">
        <v>4</v>
      </c>
      <c r="E900" t="s">
        <v>20</v>
      </c>
      <c r="F900" t="s">
        <v>21</v>
      </c>
      <c r="G900" t="str">
        <f>"2025-11-14 20:01:30.317"</f>
        <v>2025-11-14 20:01:30.317</v>
      </c>
      <c r="H900" t="s">
        <v>22</v>
      </c>
      <c r="I900">
        <v>0</v>
      </c>
      <c r="J900" t="s">
        <v>23</v>
      </c>
    </row>
    <row r="901" spans="1:10" x14ac:dyDescent="0.25">
      <c r="A901" s="1">
        <v>24</v>
      </c>
      <c r="B901" t="s">
        <v>19</v>
      </c>
      <c r="C901">
        <v>706</v>
      </c>
      <c r="D901">
        <v>4</v>
      </c>
      <c r="E901" t="s">
        <v>20</v>
      </c>
      <c r="F901" t="s">
        <v>21</v>
      </c>
      <c r="G901" t="str">
        <f>"2025-11-14 09:50:10.827"</f>
        <v>2025-11-14 09:50:10.827</v>
      </c>
      <c r="H901" t="s">
        <v>22</v>
      </c>
      <c r="I901">
        <v>0</v>
      </c>
      <c r="J901" t="s">
        <v>23</v>
      </c>
    </row>
    <row r="902" spans="1:10" s="3" customFormat="1" x14ac:dyDescent="0.25">
      <c r="A902" s="2">
        <v>25</v>
      </c>
      <c r="B902" s="3" t="s">
        <v>26</v>
      </c>
      <c r="C902" s="3">
        <v>647</v>
      </c>
      <c r="D902" s="3">
        <v>1</v>
      </c>
      <c r="E902" s="3" t="s">
        <v>27</v>
      </c>
      <c r="F902" s="3" t="s">
        <v>28</v>
      </c>
      <c r="G902" s="3" t="str">
        <f>"2025-11-14 07:35:28.128"</f>
        <v>2025-11-14 07:35:28.128</v>
      </c>
      <c r="H902" s="3" t="s">
        <v>22</v>
      </c>
    </row>
    <row r="903" spans="1:10" s="3" customFormat="1" x14ac:dyDescent="0.25">
      <c r="A903" s="2">
        <v>26</v>
      </c>
      <c r="B903" s="3" t="s">
        <v>29</v>
      </c>
      <c r="C903" s="3">
        <v>647</v>
      </c>
      <c r="D903" s="3">
        <v>1</v>
      </c>
      <c r="E903" s="3" t="s">
        <v>27</v>
      </c>
      <c r="F903" s="3" t="s">
        <v>28</v>
      </c>
      <c r="G903" s="3" t="str">
        <f>"2025-11-14 07:35:21.228"</f>
        <v>2025-11-14 07:35:21.228</v>
      </c>
      <c r="H903" s="3" t="s">
        <v>22</v>
      </c>
      <c r="I903" s="3">
        <v>13.01</v>
      </c>
      <c r="J903" s="3" t="s">
        <v>30</v>
      </c>
    </row>
    <row r="904" spans="1:10" s="3" customFormat="1" x14ac:dyDescent="0.25">
      <c r="A904" s="2">
        <v>27</v>
      </c>
      <c r="B904" s="3" t="s">
        <v>26</v>
      </c>
      <c r="C904" s="3">
        <v>647</v>
      </c>
      <c r="D904" s="3">
        <v>1</v>
      </c>
      <c r="E904" s="3" t="s">
        <v>27</v>
      </c>
      <c r="F904" s="3" t="s">
        <v>28</v>
      </c>
      <c r="G904" s="3" t="str">
        <f>"2025-11-14 04:52:58.828"</f>
        <v>2025-11-14 04:52:58.828</v>
      </c>
      <c r="H904" s="3" t="s">
        <v>22</v>
      </c>
    </row>
    <row r="905" spans="1:10" s="3" customFormat="1" x14ac:dyDescent="0.25">
      <c r="A905" s="2">
        <v>28</v>
      </c>
      <c r="B905" s="3" t="s">
        <v>29</v>
      </c>
      <c r="C905" s="3">
        <v>647</v>
      </c>
      <c r="D905" s="3">
        <v>1</v>
      </c>
      <c r="E905" s="3" t="s">
        <v>27</v>
      </c>
      <c r="F905" s="3" t="s">
        <v>28</v>
      </c>
      <c r="G905" s="3" t="str">
        <f>"2025-11-14 04:52:54.028"</f>
        <v>2025-11-14 04:52:54.028</v>
      </c>
      <c r="H905" s="3" t="s">
        <v>22</v>
      </c>
      <c r="I905" s="3">
        <v>12.87</v>
      </c>
      <c r="J905" s="3" t="s">
        <v>30</v>
      </c>
    </row>
    <row r="906" spans="1:10" x14ac:dyDescent="0.25">
      <c r="A906" s="1">
        <v>29</v>
      </c>
      <c r="B906" t="s">
        <v>19</v>
      </c>
      <c r="C906">
        <v>706</v>
      </c>
      <c r="D906">
        <v>2</v>
      </c>
      <c r="E906" t="s">
        <v>20</v>
      </c>
      <c r="F906" t="s">
        <v>25</v>
      </c>
      <c r="G906" t="str">
        <f>"2025-11-13 21:01:03.947"</f>
        <v>2025-11-13 21:01:03.947</v>
      </c>
      <c r="H906" t="s">
        <v>22</v>
      </c>
      <c r="I906">
        <v>0</v>
      </c>
      <c r="J906" t="s">
        <v>23</v>
      </c>
    </row>
    <row r="907" spans="1:10" s="3" customFormat="1" x14ac:dyDescent="0.25">
      <c r="A907" s="2">
        <v>30</v>
      </c>
      <c r="B907" s="3" t="s">
        <v>26</v>
      </c>
      <c r="C907" s="3">
        <v>647</v>
      </c>
      <c r="D907" s="3">
        <v>1</v>
      </c>
      <c r="E907" s="3" t="s">
        <v>27</v>
      </c>
      <c r="F907" s="3" t="s">
        <v>28</v>
      </c>
      <c r="G907" s="3" t="str">
        <f>"2025-11-13 16:05:01.528"</f>
        <v>2025-11-13 16:05:01.528</v>
      </c>
      <c r="H907" s="3" t="s">
        <v>22</v>
      </c>
    </row>
    <row r="908" spans="1:10" s="3" customFormat="1" x14ac:dyDescent="0.25">
      <c r="A908" s="2">
        <v>31</v>
      </c>
      <c r="B908" s="3" t="s">
        <v>29</v>
      </c>
      <c r="C908" s="3">
        <v>647</v>
      </c>
      <c r="D908" s="3">
        <v>1</v>
      </c>
      <c r="E908" s="3" t="s">
        <v>27</v>
      </c>
      <c r="F908" s="3" t="s">
        <v>28</v>
      </c>
      <c r="G908" s="3" t="str">
        <f>"2025-11-13 16:04:59.828"</f>
        <v>2025-11-13 16:04:59.828</v>
      </c>
      <c r="H908" s="3" t="s">
        <v>22</v>
      </c>
      <c r="I908" s="3">
        <v>17.05</v>
      </c>
      <c r="J908" s="3" t="s">
        <v>30</v>
      </c>
    </row>
    <row r="909" spans="1:10" x14ac:dyDescent="0.25">
      <c r="A909" s="1">
        <v>32</v>
      </c>
      <c r="B909" t="s">
        <v>26</v>
      </c>
      <c r="C909">
        <v>75</v>
      </c>
      <c r="D909">
        <v>1</v>
      </c>
      <c r="E909" t="s">
        <v>43</v>
      </c>
      <c r="F909" t="s">
        <v>44</v>
      </c>
      <c r="G909" t="str">
        <f>"2025-11-13 11:50:08.827"</f>
        <v>2025-11-13 11:50:08.827</v>
      </c>
      <c r="H909" t="s">
        <v>45</v>
      </c>
    </row>
    <row r="910" spans="1:10" x14ac:dyDescent="0.25">
      <c r="A910" s="1">
        <v>33</v>
      </c>
      <c r="B910" t="s">
        <v>19</v>
      </c>
      <c r="C910">
        <v>700</v>
      </c>
      <c r="D910">
        <v>0</v>
      </c>
      <c r="E910" t="s">
        <v>24</v>
      </c>
      <c r="F910" t="s">
        <v>24</v>
      </c>
      <c r="G910" t="str">
        <f>"2025-11-13 11:49:56.077"</f>
        <v>2025-11-13 11:49:56.077</v>
      </c>
      <c r="H910" t="s">
        <v>22</v>
      </c>
      <c r="I910">
        <v>0</v>
      </c>
      <c r="J910" t="s">
        <v>34</v>
      </c>
    </row>
    <row r="911" spans="1:10" x14ac:dyDescent="0.25">
      <c r="A911" s="1">
        <v>34</v>
      </c>
      <c r="B911" t="s">
        <v>19</v>
      </c>
      <c r="C911">
        <v>706</v>
      </c>
      <c r="D911">
        <v>3</v>
      </c>
      <c r="E911" t="s">
        <v>20</v>
      </c>
      <c r="F911" t="s">
        <v>49</v>
      </c>
      <c r="G911" t="str">
        <f>"2025-11-13 11:42:49.922"</f>
        <v>2025-11-13 11:42:49.922</v>
      </c>
      <c r="H911" t="s">
        <v>22</v>
      </c>
      <c r="I911">
        <v>0</v>
      </c>
      <c r="J911" t="s">
        <v>23</v>
      </c>
    </row>
    <row r="912" spans="1:10" x14ac:dyDescent="0.25">
      <c r="A912" s="1">
        <v>35</v>
      </c>
      <c r="B912" t="s">
        <v>29</v>
      </c>
      <c r="C912">
        <v>75</v>
      </c>
      <c r="D912">
        <v>1</v>
      </c>
      <c r="E912" t="s">
        <v>43</v>
      </c>
      <c r="F912" t="s">
        <v>44</v>
      </c>
      <c r="G912" t="str">
        <f>"2025-11-13 11:40:19.382"</f>
        <v>2025-11-13 11:40:19.382</v>
      </c>
      <c r="H912" t="s">
        <v>45</v>
      </c>
      <c r="I912">
        <v>8.0299999999999994</v>
      </c>
      <c r="J912" t="s">
        <v>33</v>
      </c>
    </row>
    <row r="913" spans="1:10" x14ac:dyDescent="0.25">
      <c r="A913" s="1">
        <v>36</v>
      </c>
      <c r="B913" t="s">
        <v>19</v>
      </c>
      <c r="C913">
        <v>706</v>
      </c>
      <c r="D913">
        <v>2</v>
      </c>
      <c r="E913" t="s">
        <v>20</v>
      </c>
      <c r="F913" t="s">
        <v>25</v>
      </c>
      <c r="G913" t="str">
        <f>"2025-11-13 09:55:20.342"</f>
        <v>2025-11-13 09:55:20.342</v>
      </c>
      <c r="H913" t="s">
        <v>22</v>
      </c>
      <c r="I913">
        <v>0</v>
      </c>
      <c r="J913" t="s">
        <v>23</v>
      </c>
    </row>
    <row r="914" spans="1:10" s="3" customFormat="1" x14ac:dyDescent="0.25">
      <c r="A914" s="2">
        <v>37</v>
      </c>
      <c r="B914" s="3" t="s">
        <v>26</v>
      </c>
      <c r="C914" s="3">
        <v>647</v>
      </c>
      <c r="D914" s="3">
        <v>1</v>
      </c>
      <c r="E914" s="3" t="s">
        <v>27</v>
      </c>
      <c r="F914" s="3" t="s">
        <v>28</v>
      </c>
      <c r="G914" s="3" t="str">
        <f>"2025-11-13 07:00:24.883"</f>
        <v>2025-11-13 07:00:24.883</v>
      </c>
      <c r="H914" s="3" t="s">
        <v>22</v>
      </c>
    </row>
    <row r="915" spans="1:10" s="3" customFormat="1" x14ac:dyDescent="0.25">
      <c r="A915" s="2">
        <v>38</v>
      </c>
      <c r="B915" s="3" t="s">
        <v>29</v>
      </c>
      <c r="C915" s="3">
        <v>647</v>
      </c>
      <c r="D915" s="3">
        <v>1</v>
      </c>
      <c r="E915" s="3" t="s">
        <v>27</v>
      </c>
      <c r="F915" s="3" t="s">
        <v>28</v>
      </c>
      <c r="G915" s="3" t="str">
        <f>"2025-11-13 07:00:22.383"</f>
        <v>2025-11-13 07:00:22.383</v>
      </c>
      <c r="H915" s="3" t="s">
        <v>22</v>
      </c>
      <c r="I915" s="3">
        <v>8.6199999999999992</v>
      </c>
      <c r="J915" s="3" t="s">
        <v>30</v>
      </c>
    </row>
    <row r="916" spans="1:10" x14ac:dyDescent="0.25">
      <c r="A916" s="1">
        <v>39</v>
      </c>
      <c r="B916" t="s">
        <v>19</v>
      </c>
      <c r="C916">
        <v>706</v>
      </c>
      <c r="D916">
        <v>2</v>
      </c>
      <c r="E916" t="s">
        <v>20</v>
      </c>
      <c r="F916" t="s">
        <v>25</v>
      </c>
      <c r="G916" t="str">
        <f>"2025-11-12 22:38:01.142"</f>
        <v>2025-11-12 22:38:01.142</v>
      </c>
      <c r="H916" t="s">
        <v>22</v>
      </c>
      <c r="I916">
        <v>0</v>
      </c>
      <c r="J916" t="s">
        <v>23</v>
      </c>
    </row>
    <row r="917" spans="1:10" s="3" customFormat="1" x14ac:dyDescent="0.25">
      <c r="A917" s="2">
        <v>40</v>
      </c>
      <c r="B917" s="3" t="s">
        <v>26</v>
      </c>
      <c r="C917" s="3">
        <v>647</v>
      </c>
      <c r="D917" s="3">
        <v>1</v>
      </c>
      <c r="E917" s="3" t="s">
        <v>27</v>
      </c>
      <c r="F917" s="3" t="s">
        <v>28</v>
      </c>
      <c r="G917" s="3" t="str">
        <f>"2025-11-12 20:19:24.183"</f>
        <v>2025-11-12 20:19:24.183</v>
      </c>
      <c r="H917" s="3" t="s">
        <v>22</v>
      </c>
    </row>
    <row r="918" spans="1:10" s="3" customFormat="1" x14ac:dyDescent="0.25">
      <c r="A918" s="2">
        <v>41</v>
      </c>
      <c r="B918" s="3" t="s">
        <v>29</v>
      </c>
      <c r="C918" s="3">
        <v>647</v>
      </c>
      <c r="D918" s="3">
        <v>1</v>
      </c>
      <c r="E918" s="3" t="s">
        <v>27</v>
      </c>
      <c r="F918" s="3" t="s">
        <v>28</v>
      </c>
      <c r="G918" s="3" t="str">
        <f>"2025-11-12 20:19:11.883"</f>
        <v>2025-11-12 20:19:11.883</v>
      </c>
      <c r="H918" s="3" t="s">
        <v>22</v>
      </c>
      <c r="I918" s="3">
        <v>12.98</v>
      </c>
      <c r="J918" s="3" t="s">
        <v>30</v>
      </c>
    </row>
    <row r="919" spans="1:10" s="3" customFormat="1" x14ac:dyDescent="0.25">
      <c r="A919" s="2">
        <v>42</v>
      </c>
      <c r="B919" s="3" t="s">
        <v>26</v>
      </c>
      <c r="C919" s="3">
        <v>647</v>
      </c>
      <c r="D919" s="3">
        <v>1</v>
      </c>
      <c r="E919" s="3" t="s">
        <v>27</v>
      </c>
      <c r="F919" s="3" t="s">
        <v>28</v>
      </c>
      <c r="G919" s="3" t="str">
        <f>"2025-11-12 05:24:13.083"</f>
        <v>2025-11-12 05:24:13.083</v>
      </c>
      <c r="H919" s="3" t="s">
        <v>22</v>
      </c>
    </row>
    <row r="920" spans="1:10" s="3" customFormat="1" x14ac:dyDescent="0.25">
      <c r="A920" s="2">
        <v>43</v>
      </c>
      <c r="B920" s="3" t="s">
        <v>29</v>
      </c>
      <c r="C920" s="3">
        <v>647</v>
      </c>
      <c r="D920" s="3">
        <v>1</v>
      </c>
      <c r="E920" s="3" t="s">
        <v>27</v>
      </c>
      <c r="F920" s="3" t="s">
        <v>28</v>
      </c>
      <c r="G920" s="3" t="str">
        <f>"2025-11-12 05:24:07.383"</f>
        <v>2025-11-12 05:24:07.383</v>
      </c>
      <c r="H920" s="3" t="s">
        <v>22</v>
      </c>
      <c r="I920" s="3">
        <v>8.59</v>
      </c>
      <c r="J920" s="3" t="s">
        <v>30</v>
      </c>
    </row>
    <row r="921" spans="1:10" x14ac:dyDescent="0.25">
      <c r="A921" s="1">
        <v>44</v>
      </c>
      <c r="B921" t="s">
        <v>19</v>
      </c>
      <c r="C921">
        <v>706</v>
      </c>
      <c r="D921">
        <v>4</v>
      </c>
      <c r="E921" t="s">
        <v>20</v>
      </c>
      <c r="F921" t="s">
        <v>21</v>
      </c>
      <c r="G921" t="str">
        <f>"2025-11-11 22:48:45.572"</f>
        <v>2025-11-11 22:48:45.572</v>
      </c>
      <c r="H921" t="s">
        <v>22</v>
      </c>
      <c r="I921">
        <v>0</v>
      </c>
      <c r="J921" t="s">
        <v>23</v>
      </c>
    </row>
    <row r="922" spans="1:10" x14ac:dyDescent="0.25">
      <c r="A922" s="1">
        <v>45</v>
      </c>
      <c r="B922" t="s">
        <v>26</v>
      </c>
      <c r="C922">
        <v>635</v>
      </c>
      <c r="D922">
        <v>1</v>
      </c>
      <c r="E922" t="s">
        <v>31</v>
      </c>
      <c r="F922" t="s">
        <v>32</v>
      </c>
      <c r="G922" t="str">
        <f>"2025-11-11 06:36:30.882"</f>
        <v>2025-11-11 06:36:30.882</v>
      </c>
      <c r="H922" t="s">
        <v>22</v>
      </c>
    </row>
    <row r="923" spans="1:10" x14ac:dyDescent="0.25">
      <c r="A923" s="1">
        <v>46</v>
      </c>
      <c r="B923" t="s">
        <v>29</v>
      </c>
      <c r="C923">
        <v>635</v>
      </c>
      <c r="D923">
        <v>1</v>
      </c>
      <c r="E923" t="s">
        <v>31</v>
      </c>
      <c r="F923" t="s">
        <v>32</v>
      </c>
      <c r="G923" t="str">
        <f>"2025-11-11 06:29:12.982"</f>
        <v>2025-11-11 06:29:12.982</v>
      </c>
      <c r="H923" t="s">
        <v>22</v>
      </c>
      <c r="I923">
        <v>8.34</v>
      </c>
      <c r="J923" t="s">
        <v>33</v>
      </c>
    </row>
    <row r="924" spans="1:10" x14ac:dyDescent="0.25">
      <c r="A924" s="1">
        <v>47</v>
      </c>
      <c r="B924" t="s">
        <v>26</v>
      </c>
      <c r="C924">
        <v>635</v>
      </c>
      <c r="D924">
        <v>1</v>
      </c>
      <c r="E924" t="s">
        <v>31</v>
      </c>
      <c r="F924" t="s">
        <v>32</v>
      </c>
      <c r="G924" t="str">
        <f>"2025-11-11 01:35:47.082"</f>
        <v>2025-11-11 01:35:47.082</v>
      </c>
      <c r="H924" t="s">
        <v>22</v>
      </c>
    </row>
    <row r="925" spans="1:10" x14ac:dyDescent="0.25">
      <c r="A925" s="1">
        <v>48</v>
      </c>
      <c r="B925" t="s">
        <v>29</v>
      </c>
      <c r="C925">
        <v>635</v>
      </c>
      <c r="D925">
        <v>1</v>
      </c>
      <c r="E925" t="s">
        <v>31</v>
      </c>
      <c r="F925" t="s">
        <v>32</v>
      </c>
      <c r="G925" t="str">
        <f>"2025-11-11 01:29:03.582"</f>
        <v>2025-11-11 01:29:03.582</v>
      </c>
      <c r="H925" t="s">
        <v>22</v>
      </c>
      <c r="I925">
        <v>7.22</v>
      </c>
      <c r="J925" t="s">
        <v>33</v>
      </c>
    </row>
    <row r="926" spans="1:10" s="3" customFormat="1" x14ac:dyDescent="0.25">
      <c r="A926" s="2">
        <v>49</v>
      </c>
      <c r="B926" s="3" t="s">
        <v>26</v>
      </c>
      <c r="C926" s="3">
        <v>647</v>
      </c>
      <c r="D926" s="3">
        <v>1</v>
      </c>
      <c r="E926" s="3" t="s">
        <v>27</v>
      </c>
      <c r="F926" s="3" t="s">
        <v>28</v>
      </c>
      <c r="G926" s="3" t="str">
        <f>"2025-11-10 22:28:52.383"</f>
        <v>2025-11-10 22:28:52.383</v>
      </c>
      <c r="H926" s="3" t="s">
        <v>22</v>
      </c>
    </row>
    <row r="927" spans="1:10" s="3" customFormat="1" x14ac:dyDescent="0.25">
      <c r="A927" s="2">
        <v>50</v>
      </c>
      <c r="B927" s="3" t="s">
        <v>29</v>
      </c>
      <c r="C927" s="3">
        <v>647</v>
      </c>
      <c r="D927" s="3">
        <v>1</v>
      </c>
      <c r="E927" s="3" t="s">
        <v>27</v>
      </c>
      <c r="F927" s="3" t="s">
        <v>28</v>
      </c>
      <c r="G927" s="3" t="str">
        <f>"2025-11-10 22:28:49.483"</f>
        <v>2025-11-10 22:28:49.483</v>
      </c>
      <c r="H927" s="3" t="s">
        <v>22</v>
      </c>
      <c r="I927" s="3">
        <v>22.14</v>
      </c>
      <c r="J927" s="3" t="s">
        <v>30</v>
      </c>
    </row>
    <row r="928" spans="1:10" x14ac:dyDescent="0.25">
      <c r="A928" s="1">
        <v>51</v>
      </c>
      <c r="B928" t="s">
        <v>19</v>
      </c>
      <c r="C928">
        <v>706</v>
      </c>
      <c r="D928">
        <v>2</v>
      </c>
      <c r="E928" t="s">
        <v>20</v>
      </c>
      <c r="F928" t="s">
        <v>25</v>
      </c>
      <c r="G928" t="str">
        <f>"2025-11-10 21:03:11.642"</f>
        <v>2025-11-10 21:03:11.642</v>
      </c>
      <c r="H928" t="s">
        <v>22</v>
      </c>
      <c r="I928">
        <v>0</v>
      </c>
      <c r="J928" t="s">
        <v>23</v>
      </c>
    </row>
    <row r="929" spans="1:10" x14ac:dyDescent="0.25">
      <c r="A929" s="1">
        <v>52</v>
      </c>
      <c r="B929" t="s">
        <v>19</v>
      </c>
      <c r="C929">
        <v>706</v>
      </c>
      <c r="D929">
        <v>4</v>
      </c>
      <c r="E929" t="s">
        <v>20</v>
      </c>
      <c r="F929" t="s">
        <v>21</v>
      </c>
      <c r="G929" t="str">
        <f>"2025-11-10 14:27:44.242"</f>
        <v>2025-11-10 14:27:44.242</v>
      </c>
      <c r="H929" t="s">
        <v>22</v>
      </c>
      <c r="I929">
        <v>0</v>
      </c>
      <c r="J929" t="s">
        <v>23</v>
      </c>
    </row>
    <row r="930" spans="1:10" x14ac:dyDescent="0.25">
      <c r="A930" s="1">
        <v>53</v>
      </c>
      <c r="B930" t="s">
        <v>26</v>
      </c>
      <c r="C930">
        <v>635</v>
      </c>
      <c r="D930">
        <v>1</v>
      </c>
      <c r="E930" t="s">
        <v>31</v>
      </c>
      <c r="F930" t="s">
        <v>32</v>
      </c>
      <c r="G930" t="str">
        <f>"2025-11-10 08:15:03.382"</f>
        <v>2025-11-10 08:15:03.382</v>
      </c>
      <c r="H930" t="s">
        <v>22</v>
      </c>
    </row>
    <row r="931" spans="1:10" x14ac:dyDescent="0.25">
      <c r="A931" s="1">
        <v>54</v>
      </c>
      <c r="B931" t="s">
        <v>29</v>
      </c>
      <c r="C931">
        <v>635</v>
      </c>
      <c r="D931">
        <v>1</v>
      </c>
      <c r="E931" t="s">
        <v>31</v>
      </c>
      <c r="F931" t="s">
        <v>32</v>
      </c>
      <c r="G931" t="str">
        <f>"2025-11-10 08:09:28.382"</f>
        <v>2025-11-10 08:09:28.382</v>
      </c>
      <c r="H931" t="s">
        <v>22</v>
      </c>
      <c r="I931">
        <v>0</v>
      </c>
      <c r="J931" t="s">
        <v>52</v>
      </c>
    </row>
    <row r="932" spans="1:10" s="3" customFormat="1" x14ac:dyDescent="0.25">
      <c r="A932" s="2">
        <v>55</v>
      </c>
      <c r="B932" s="3" t="s">
        <v>26</v>
      </c>
      <c r="C932" s="3">
        <v>647</v>
      </c>
      <c r="D932" s="3">
        <v>1</v>
      </c>
      <c r="E932" s="3" t="s">
        <v>27</v>
      </c>
      <c r="F932" s="3" t="s">
        <v>28</v>
      </c>
      <c r="G932" s="3" t="str">
        <f>"2025-11-10 03:50:49.283"</f>
        <v>2025-11-10 03:50:49.283</v>
      </c>
      <c r="H932" s="3" t="s">
        <v>22</v>
      </c>
    </row>
    <row r="933" spans="1:10" s="3" customFormat="1" x14ac:dyDescent="0.25">
      <c r="A933" s="2">
        <v>56</v>
      </c>
      <c r="B933" s="3" t="s">
        <v>29</v>
      </c>
      <c r="C933" s="3">
        <v>647</v>
      </c>
      <c r="D933" s="3">
        <v>1</v>
      </c>
      <c r="E933" s="3" t="s">
        <v>27</v>
      </c>
      <c r="F933" s="3" t="s">
        <v>28</v>
      </c>
      <c r="G933" s="3" t="str">
        <f>"2025-11-10 03:50:43.983"</f>
        <v>2025-11-10 03:50:43.983</v>
      </c>
      <c r="H933" s="3" t="s">
        <v>22</v>
      </c>
      <c r="I933" s="3">
        <v>12.17</v>
      </c>
      <c r="J933" s="3" t="s">
        <v>30</v>
      </c>
    </row>
    <row r="934" spans="1:10" s="3" customFormat="1" x14ac:dyDescent="0.25">
      <c r="A934" s="2">
        <v>57</v>
      </c>
      <c r="B934" s="3" t="s">
        <v>26</v>
      </c>
      <c r="C934" s="3">
        <v>647</v>
      </c>
      <c r="D934" s="3">
        <v>1</v>
      </c>
      <c r="E934" s="3" t="s">
        <v>27</v>
      </c>
      <c r="F934" s="3" t="s">
        <v>28</v>
      </c>
      <c r="G934" s="3" t="str">
        <f>"2025-11-10 00:37:22.883"</f>
        <v>2025-11-10 00:37:22.883</v>
      </c>
      <c r="H934" s="3" t="s">
        <v>22</v>
      </c>
    </row>
    <row r="935" spans="1:10" s="3" customFormat="1" x14ac:dyDescent="0.25">
      <c r="A935" s="2">
        <v>58</v>
      </c>
      <c r="B935" s="3" t="s">
        <v>29</v>
      </c>
      <c r="C935" s="3">
        <v>647</v>
      </c>
      <c r="D935" s="3">
        <v>1</v>
      </c>
      <c r="E935" s="3" t="s">
        <v>27</v>
      </c>
      <c r="F935" s="3" t="s">
        <v>28</v>
      </c>
      <c r="G935" s="3" t="str">
        <f>"2025-11-10 00:37:19.183"</f>
        <v>2025-11-10 00:37:19.183</v>
      </c>
      <c r="H935" s="3" t="s">
        <v>22</v>
      </c>
      <c r="I935" s="3">
        <v>8.1</v>
      </c>
      <c r="J935" s="3" t="s">
        <v>30</v>
      </c>
    </row>
    <row r="936" spans="1:10" x14ac:dyDescent="0.25">
      <c r="A936" s="1">
        <v>59</v>
      </c>
      <c r="B936" t="s">
        <v>19</v>
      </c>
      <c r="C936">
        <v>706</v>
      </c>
      <c r="D936">
        <v>4</v>
      </c>
      <c r="E936" t="s">
        <v>20</v>
      </c>
      <c r="F936" t="s">
        <v>21</v>
      </c>
      <c r="G936" t="str">
        <f>"2025-11-09 22:56:40.472"</f>
        <v>2025-11-09 22:56:40.472</v>
      </c>
      <c r="H936" t="s">
        <v>22</v>
      </c>
      <c r="I936">
        <v>0</v>
      </c>
      <c r="J936" t="s">
        <v>23</v>
      </c>
    </row>
    <row r="937" spans="1:10" s="3" customFormat="1" x14ac:dyDescent="0.25">
      <c r="A937" s="2">
        <v>60</v>
      </c>
      <c r="B937" s="3" t="s">
        <v>26</v>
      </c>
      <c r="C937" s="3">
        <v>647</v>
      </c>
      <c r="D937" s="3">
        <v>1</v>
      </c>
      <c r="E937" s="3" t="s">
        <v>27</v>
      </c>
      <c r="F937" s="3" t="s">
        <v>28</v>
      </c>
      <c r="G937" s="3" t="str">
        <f>"2025-11-09 04:50:41.883"</f>
        <v>2025-11-09 04:50:41.883</v>
      </c>
      <c r="H937" s="3" t="s">
        <v>22</v>
      </c>
    </row>
    <row r="938" spans="1:10" s="3" customFormat="1" x14ac:dyDescent="0.25">
      <c r="A938" s="2">
        <v>61</v>
      </c>
      <c r="B938" s="3" t="s">
        <v>29</v>
      </c>
      <c r="C938" s="3">
        <v>647</v>
      </c>
      <c r="D938" s="3">
        <v>1</v>
      </c>
      <c r="E938" s="3" t="s">
        <v>27</v>
      </c>
      <c r="F938" s="3" t="s">
        <v>28</v>
      </c>
      <c r="G938" s="3" t="str">
        <f>"2025-11-09 04:50:39.783"</f>
        <v>2025-11-09 04:50:39.783</v>
      </c>
      <c r="H938" s="3" t="s">
        <v>22</v>
      </c>
      <c r="I938" s="3">
        <v>18.14</v>
      </c>
      <c r="J938" s="3" t="s">
        <v>30</v>
      </c>
    </row>
    <row r="939" spans="1:10" s="3" customFormat="1" x14ac:dyDescent="0.25">
      <c r="A939" s="2">
        <v>62</v>
      </c>
      <c r="B939" s="3" t="s">
        <v>26</v>
      </c>
      <c r="C939" s="3">
        <v>647</v>
      </c>
      <c r="D939" s="3">
        <v>1</v>
      </c>
      <c r="E939" s="3" t="s">
        <v>27</v>
      </c>
      <c r="F939" s="3" t="s">
        <v>28</v>
      </c>
      <c r="G939" s="3" t="str">
        <f>"2025-11-08 21:48:00.583"</f>
        <v>2025-11-08 21:48:00.583</v>
      </c>
      <c r="H939" s="3" t="s">
        <v>22</v>
      </c>
    </row>
    <row r="940" spans="1:10" s="3" customFormat="1" x14ac:dyDescent="0.25">
      <c r="A940" s="2">
        <v>63</v>
      </c>
      <c r="B940" s="3" t="s">
        <v>29</v>
      </c>
      <c r="C940" s="3">
        <v>647</v>
      </c>
      <c r="D940" s="3">
        <v>1</v>
      </c>
      <c r="E940" s="3" t="s">
        <v>27</v>
      </c>
      <c r="F940" s="3" t="s">
        <v>28</v>
      </c>
      <c r="G940" s="3" t="str">
        <f>"2025-11-08 21:47:59.083"</f>
        <v>2025-11-08 21:47:59.083</v>
      </c>
      <c r="H940" s="3" t="s">
        <v>22</v>
      </c>
      <c r="I940" s="3">
        <v>9.4600000000000009</v>
      </c>
      <c r="J940" s="3" t="s">
        <v>30</v>
      </c>
    </row>
    <row r="941" spans="1:10" x14ac:dyDescent="0.25">
      <c r="A941" s="1">
        <v>64</v>
      </c>
      <c r="B941" t="s">
        <v>19</v>
      </c>
      <c r="C941">
        <v>706</v>
      </c>
      <c r="D941">
        <v>2</v>
      </c>
      <c r="E941" t="s">
        <v>20</v>
      </c>
      <c r="F941" t="s">
        <v>25</v>
      </c>
      <c r="G941" t="str">
        <f>"2025-11-08 12:40:30.442"</f>
        <v>2025-11-08 12:40:30.442</v>
      </c>
      <c r="H941" t="s">
        <v>22</v>
      </c>
      <c r="I941">
        <v>0</v>
      </c>
      <c r="J941" t="s">
        <v>23</v>
      </c>
    </row>
    <row r="942" spans="1:10" x14ac:dyDescent="0.25">
      <c r="A942" s="1">
        <v>65</v>
      </c>
      <c r="B942" t="s">
        <v>19</v>
      </c>
      <c r="C942">
        <v>700</v>
      </c>
      <c r="D942">
        <v>0</v>
      </c>
      <c r="E942" t="s">
        <v>24</v>
      </c>
      <c r="F942" t="s">
        <v>24</v>
      </c>
      <c r="G942" t="str">
        <f>"2025-11-08 10:56:44.022"</f>
        <v>2025-11-08 10:56:44.022</v>
      </c>
      <c r="H942" t="s">
        <v>22</v>
      </c>
      <c r="I942">
        <v>0</v>
      </c>
      <c r="J942" t="s">
        <v>34</v>
      </c>
    </row>
    <row r="943" spans="1:10" x14ac:dyDescent="0.25">
      <c r="A943" s="1">
        <v>66</v>
      </c>
      <c r="B943" t="s">
        <v>19</v>
      </c>
      <c r="C943">
        <v>706</v>
      </c>
      <c r="D943">
        <v>4</v>
      </c>
      <c r="E943" t="s">
        <v>20</v>
      </c>
      <c r="F943" t="s">
        <v>21</v>
      </c>
      <c r="G943" t="str">
        <f>"2025-11-08 10:49:25.925"</f>
        <v>2025-11-08 10:49:25.925</v>
      </c>
      <c r="H943" t="s">
        <v>22</v>
      </c>
      <c r="I943">
        <v>0</v>
      </c>
      <c r="J943" t="s">
        <v>23</v>
      </c>
    </row>
    <row r="944" spans="1:10" x14ac:dyDescent="0.25">
      <c r="A944" s="1">
        <v>67</v>
      </c>
      <c r="B944" t="s">
        <v>19</v>
      </c>
      <c r="C944">
        <v>700</v>
      </c>
      <c r="D944">
        <v>0</v>
      </c>
      <c r="E944" t="s">
        <v>24</v>
      </c>
      <c r="F944" t="s">
        <v>24</v>
      </c>
      <c r="G944" t="str">
        <f>"2025-11-08 10:31:35.145"</f>
        <v>2025-11-08 10:31:35.145</v>
      </c>
      <c r="H944" t="s">
        <v>22</v>
      </c>
    </row>
    <row r="945" spans="1:10" x14ac:dyDescent="0.25">
      <c r="A945" s="1">
        <v>68</v>
      </c>
      <c r="B945" t="s">
        <v>19</v>
      </c>
      <c r="C945">
        <v>706</v>
      </c>
      <c r="D945">
        <v>2</v>
      </c>
      <c r="E945" t="s">
        <v>20</v>
      </c>
      <c r="F945" t="s">
        <v>25</v>
      </c>
      <c r="G945" t="str">
        <f>"2025-11-08 02:20:36.680"</f>
        <v>2025-11-08 02:20:36.680</v>
      </c>
      <c r="H945" t="s">
        <v>22</v>
      </c>
      <c r="I945">
        <v>0</v>
      </c>
      <c r="J945" t="s">
        <v>23</v>
      </c>
    </row>
    <row r="946" spans="1:10" x14ac:dyDescent="0.25">
      <c r="A946" s="1">
        <v>69</v>
      </c>
      <c r="B946" t="s">
        <v>19</v>
      </c>
      <c r="C946">
        <v>706</v>
      </c>
      <c r="D946">
        <v>2</v>
      </c>
      <c r="E946" t="s">
        <v>20</v>
      </c>
      <c r="F946" t="s">
        <v>25</v>
      </c>
      <c r="G946" t="str">
        <f>"2025-11-08 02:07:37.580"</f>
        <v>2025-11-08 02:07:37.580</v>
      </c>
      <c r="H946" t="s">
        <v>22</v>
      </c>
      <c r="I946">
        <v>0</v>
      </c>
      <c r="J946" t="s">
        <v>23</v>
      </c>
    </row>
    <row r="947" spans="1:10" x14ac:dyDescent="0.25">
      <c r="A947" s="1">
        <v>70</v>
      </c>
      <c r="B947" t="s">
        <v>19</v>
      </c>
      <c r="C947">
        <v>706</v>
      </c>
      <c r="D947">
        <v>4</v>
      </c>
      <c r="E947" t="s">
        <v>20</v>
      </c>
      <c r="F947" t="s">
        <v>21</v>
      </c>
      <c r="G947" t="str">
        <f>"2025-11-07 16:20:44.670"</f>
        <v>2025-11-07 16:20:44.670</v>
      </c>
      <c r="H947" t="s">
        <v>22</v>
      </c>
      <c r="I947">
        <v>0</v>
      </c>
      <c r="J947" t="s">
        <v>23</v>
      </c>
    </row>
    <row r="948" spans="1:10" x14ac:dyDescent="0.25">
      <c r="A948" s="1">
        <v>71</v>
      </c>
      <c r="B948" t="s">
        <v>19</v>
      </c>
      <c r="C948">
        <v>700</v>
      </c>
      <c r="D948">
        <v>0</v>
      </c>
      <c r="E948" t="s">
        <v>24</v>
      </c>
      <c r="F948" t="s">
        <v>24</v>
      </c>
      <c r="G948" t="str">
        <f>"2025-11-07 16:00:17.030"</f>
        <v>2025-11-07 16:00:17.030</v>
      </c>
      <c r="H948" t="s">
        <v>22</v>
      </c>
      <c r="I948">
        <v>0</v>
      </c>
      <c r="J948" t="s">
        <v>34</v>
      </c>
    </row>
    <row r="949" spans="1:10" x14ac:dyDescent="0.25">
      <c r="A949" s="1">
        <v>72</v>
      </c>
      <c r="B949" t="s">
        <v>19</v>
      </c>
      <c r="C949">
        <v>706</v>
      </c>
      <c r="D949">
        <v>4</v>
      </c>
      <c r="E949" t="s">
        <v>20</v>
      </c>
      <c r="F949" t="s">
        <v>21</v>
      </c>
      <c r="G949" t="str">
        <f>"2025-11-07 10:41:50.052"</f>
        <v>2025-11-07 10:41:50.052</v>
      </c>
      <c r="H949" t="s">
        <v>22</v>
      </c>
      <c r="I949">
        <v>0</v>
      </c>
      <c r="J949" t="s">
        <v>23</v>
      </c>
    </row>
    <row r="950" spans="1:10" x14ac:dyDescent="0.25">
      <c r="A950" s="1">
        <v>73</v>
      </c>
      <c r="B950" t="s">
        <v>19</v>
      </c>
      <c r="C950">
        <v>706</v>
      </c>
      <c r="D950">
        <v>4</v>
      </c>
      <c r="E950" t="s">
        <v>20</v>
      </c>
      <c r="F950" t="s">
        <v>21</v>
      </c>
      <c r="G950" t="str">
        <f>"2025-11-07 10:40:54.252"</f>
        <v>2025-11-07 10:40:54.252</v>
      </c>
      <c r="H950" t="s">
        <v>22</v>
      </c>
      <c r="I950">
        <v>0</v>
      </c>
      <c r="J950" t="s">
        <v>23</v>
      </c>
    </row>
    <row r="951" spans="1:10" s="3" customFormat="1" x14ac:dyDescent="0.25">
      <c r="A951" s="2">
        <v>74</v>
      </c>
      <c r="B951" s="3" t="s">
        <v>26</v>
      </c>
      <c r="C951" s="3">
        <v>647</v>
      </c>
      <c r="D951" s="3">
        <v>1</v>
      </c>
      <c r="E951" s="3" t="s">
        <v>27</v>
      </c>
      <c r="F951" s="3" t="s">
        <v>28</v>
      </c>
      <c r="G951" s="3" t="str">
        <f>"2025-11-07 06:18:56.183"</f>
        <v>2025-11-07 06:18:56.183</v>
      </c>
      <c r="H951" s="3" t="s">
        <v>22</v>
      </c>
    </row>
    <row r="952" spans="1:10" s="3" customFormat="1" x14ac:dyDescent="0.25">
      <c r="A952" s="2">
        <v>75</v>
      </c>
      <c r="B952" s="3" t="s">
        <v>29</v>
      </c>
      <c r="C952" s="3">
        <v>647</v>
      </c>
      <c r="D952" s="3">
        <v>1</v>
      </c>
      <c r="E952" s="3" t="s">
        <v>27</v>
      </c>
      <c r="F952" s="3" t="s">
        <v>28</v>
      </c>
      <c r="G952" s="3" t="str">
        <f>"2025-11-07 06:18:52.083"</f>
        <v>2025-11-07 06:18:52.083</v>
      </c>
      <c r="H952" s="3" t="s">
        <v>22</v>
      </c>
      <c r="I952" s="3">
        <v>21.6</v>
      </c>
      <c r="J952" s="3" t="s">
        <v>30</v>
      </c>
    </row>
    <row r="953" spans="1:10" s="3" customFormat="1" x14ac:dyDescent="0.25">
      <c r="A953" s="2">
        <v>76</v>
      </c>
      <c r="B953" s="3" t="s">
        <v>26</v>
      </c>
      <c r="C953" s="3">
        <v>647</v>
      </c>
      <c r="D953" s="3">
        <v>1</v>
      </c>
      <c r="E953" s="3" t="s">
        <v>27</v>
      </c>
      <c r="F953" s="3" t="s">
        <v>28</v>
      </c>
      <c r="G953" s="3" t="str">
        <f>"2025-11-07 05:06:25.783"</f>
        <v>2025-11-07 05:06:25.783</v>
      </c>
      <c r="H953" s="3" t="s">
        <v>22</v>
      </c>
    </row>
    <row r="954" spans="1:10" s="3" customFormat="1" x14ac:dyDescent="0.25">
      <c r="A954" s="2">
        <v>77</v>
      </c>
      <c r="B954" s="3" t="s">
        <v>29</v>
      </c>
      <c r="C954" s="3">
        <v>647</v>
      </c>
      <c r="D954" s="3">
        <v>1</v>
      </c>
      <c r="E954" s="3" t="s">
        <v>27</v>
      </c>
      <c r="F954" s="3" t="s">
        <v>28</v>
      </c>
      <c r="G954" s="3" t="str">
        <f>"2025-11-07 05:06:17.983"</f>
        <v>2025-11-07 05:06:17.983</v>
      </c>
      <c r="H954" s="3" t="s">
        <v>22</v>
      </c>
      <c r="I954" s="3">
        <v>9.77</v>
      </c>
      <c r="J954" s="3" t="s">
        <v>52</v>
      </c>
    </row>
    <row r="955" spans="1:10" s="3" customFormat="1" x14ac:dyDescent="0.25">
      <c r="A955" s="2">
        <v>78</v>
      </c>
      <c r="B955" s="3" t="s">
        <v>26</v>
      </c>
      <c r="C955" s="3">
        <v>647</v>
      </c>
      <c r="D955" s="3">
        <v>1</v>
      </c>
      <c r="E955" s="3" t="s">
        <v>27</v>
      </c>
      <c r="F955" s="3" t="s">
        <v>28</v>
      </c>
      <c r="G955" s="3" t="str">
        <f>"2025-11-07 05:02:19.583"</f>
        <v>2025-11-07 05:02:19.583</v>
      </c>
      <c r="H955" s="3" t="s">
        <v>22</v>
      </c>
    </row>
    <row r="956" spans="1:10" s="3" customFormat="1" x14ac:dyDescent="0.25">
      <c r="A956" s="2">
        <v>79</v>
      </c>
      <c r="B956" s="3" t="s">
        <v>29</v>
      </c>
      <c r="C956" s="3">
        <v>647</v>
      </c>
      <c r="D956" s="3">
        <v>1</v>
      </c>
      <c r="E956" s="3" t="s">
        <v>27</v>
      </c>
      <c r="F956" s="3" t="s">
        <v>28</v>
      </c>
      <c r="G956" s="3" t="str">
        <f>"2025-11-07 05:02:15.483"</f>
        <v>2025-11-07 05:02:15.483</v>
      </c>
      <c r="H956" s="3" t="s">
        <v>22</v>
      </c>
      <c r="I956" s="3">
        <v>19.829999999999998</v>
      </c>
      <c r="J956" s="3" t="s">
        <v>30</v>
      </c>
    </row>
    <row r="957" spans="1:10" s="3" customFormat="1" x14ac:dyDescent="0.25">
      <c r="A957" s="2">
        <v>80</v>
      </c>
      <c r="B957" s="3" t="s">
        <v>26</v>
      </c>
      <c r="C957" s="3">
        <v>647</v>
      </c>
      <c r="D957" s="3">
        <v>1</v>
      </c>
      <c r="E957" s="3" t="s">
        <v>27</v>
      </c>
      <c r="F957" s="3" t="s">
        <v>28</v>
      </c>
      <c r="G957" s="3" t="str">
        <f>"2025-11-07 04:31:57.883"</f>
        <v>2025-11-07 04:31:57.883</v>
      </c>
      <c r="H957" s="3" t="s">
        <v>22</v>
      </c>
    </row>
    <row r="958" spans="1:10" s="3" customFormat="1" x14ac:dyDescent="0.25">
      <c r="A958" s="2">
        <v>81</v>
      </c>
      <c r="B958" s="3" t="s">
        <v>29</v>
      </c>
      <c r="C958" s="3">
        <v>647</v>
      </c>
      <c r="D958" s="3">
        <v>1</v>
      </c>
      <c r="E958" s="3" t="s">
        <v>27</v>
      </c>
      <c r="F958" s="3" t="s">
        <v>28</v>
      </c>
      <c r="G958" s="3" t="str">
        <f>"2025-11-07 04:31:55.783"</f>
        <v>2025-11-07 04:31:55.783</v>
      </c>
      <c r="H958" s="3" t="s">
        <v>22</v>
      </c>
      <c r="I958" s="3">
        <v>13.36</v>
      </c>
      <c r="J958" s="3" t="s">
        <v>30</v>
      </c>
    </row>
    <row r="959" spans="1:10" s="3" customFormat="1" x14ac:dyDescent="0.25">
      <c r="A959" s="2">
        <v>82</v>
      </c>
      <c r="B959" s="3" t="s">
        <v>26</v>
      </c>
      <c r="C959" s="3">
        <v>647</v>
      </c>
      <c r="D959" s="3">
        <v>1</v>
      </c>
      <c r="E959" s="3" t="s">
        <v>27</v>
      </c>
      <c r="F959" s="3" t="s">
        <v>28</v>
      </c>
      <c r="G959" s="3" t="str">
        <f>"2025-11-07 04:31:16.783"</f>
        <v>2025-11-07 04:31:16.783</v>
      </c>
      <c r="H959" s="3" t="s">
        <v>22</v>
      </c>
    </row>
    <row r="960" spans="1:10" s="3" customFormat="1" x14ac:dyDescent="0.25">
      <c r="A960" s="2">
        <v>83</v>
      </c>
      <c r="B960" s="3" t="s">
        <v>29</v>
      </c>
      <c r="C960" s="3">
        <v>647</v>
      </c>
      <c r="D960" s="3">
        <v>1</v>
      </c>
      <c r="E960" s="3" t="s">
        <v>27</v>
      </c>
      <c r="F960" s="3" t="s">
        <v>28</v>
      </c>
      <c r="G960" s="3" t="str">
        <f>"2025-11-07 04:31:12.183"</f>
        <v>2025-11-07 04:31:12.183</v>
      </c>
      <c r="H960" s="3" t="s">
        <v>22</v>
      </c>
      <c r="I960" s="3">
        <v>13.89</v>
      </c>
      <c r="J960" s="3" t="s">
        <v>30</v>
      </c>
    </row>
    <row r="961" spans="1:10" s="3" customFormat="1" x14ac:dyDescent="0.25">
      <c r="A961" s="2">
        <v>84</v>
      </c>
      <c r="B961" s="3" t="s">
        <v>26</v>
      </c>
      <c r="C961" s="3">
        <v>647</v>
      </c>
      <c r="D961" s="3">
        <v>1</v>
      </c>
      <c r="E961" s="3" t="s">
        <v>27</v>
      </c>
      <c r="F961" s="3" t="s">
        <v>28</v>
      </c>
      <c r="G961" s="3" t="str">
        <f>"2025-11-07 03:50:53.683"</f>
        <v>2025-11-07 03:50:53.683</v>
      </c>
      <c r="H961" s="3" t="s">
        <v>22</v>
      </c>
    </row>
    <row r="962" spans="1:10" s="3" customFormat="1" x14ac:dyDescent="0.25">
      <c r="A962" s="2">
        <v>85</v>
      </c>
      <c r="B962" s="3" t="s">
        <v>29</v>
      </c>
      <c r="C962" s="3">
        <v>647</v>
      </c>
      <c r="D962" s="3">
        <v>1</v>
      </c>
      <c r="E962" s="3" t="s">
        <v>27</v>
      </c>
      <c r="F962" s="3" t="s">
        <v>28</v>
      </c>
      <c r="G962" s="3" t="str">
        <f>"2025-11-07 03:50:47.483"</f>
        <v>2025-11-07 03:50:47.483</v>
      </c>
      <c r="H962" s="3" t="s">
        <v>22</v>
      </c>
      <c r="I962" s="3">
        <v>9.32</v>
      </c>
      <c r="J962" s="3" t="s">
        <v>30</v>
      </c>
    </row>
    <row r="963" spans="1:10" x14ac:dyDescent="0.25">
      <c r="A963" s="1">
        <v>86</v>
      </c>
      <c r="B963" t="s">
        <v>19</v>
      </c>
      <c r="C963">
        <v>706</v>
      </c>
      <c r="D963">
        <v>4</v>
      </c>
      <c r="E963" t="s">
        <v>20</v>
      </c>
      <c r="F963" t="s">
        <v>21</v>
      </c>
      <c r="G963" t="str">
        <f>"2025-11-06 20:36:30.712"</f>
        <v>2025-11-06 20:36:30.712</v>
      </c>
      <c r="H963" t="s">
        <v>22</v>
      </c>
      <c r="I963">
        <v>0</v>
      </c>
      <c r="J963" t="s">
        <v>23</v>
      </c>
    </row>
    <row r="964" spans="1:10" x14ac:dyDescent="0.25">
      <c r="A964" s="1">
        <v>87</v>
      </c>
      <c r="B964" t="s">
        <v>19</v>
      </c>
      <c r="C964">
        <v>706</v>
      </c>
      <c r="D964">
        <v>2</v>
      </c>
      <c r="E964" t="s">
        <v>20</v>
      </c>
      <c r="F964" t="s">
        <v>25</v>
      </c>
      <c r="G964" t="str">
        <f>"2025-11-06 13:48:14.272"</f>
        <v>2025-11-06 13:48:14.272</v>
      </c>
      <c r="H964" t="s">
        <v>22</v>
      </c>
      <c r="I964">
        <v>0</v>
      </c>
      <c r="J964" t="s">
        <v>23</v>
      </c>
    </row>
    <row r="965" spans="1:10" x14ac:dyDescent="0.25">
      <c r="A965" s="1">
        <v>88</v>
      </c>
      <c r="B965" t="s">
        <v>19</v>
      </c>
      <c r="C965">
        <v>706</v>
      </c>
      <c r="D965">
        <v>2</v>
      </c>
      <c r="E965" t="s">
        <v>20</v>
      </c>
      <c r="F965" t="s">
        <v>25</v>
      </c>
      <c r="G965" t="str">
        <f>"2025-11-06 13:47:07.862"</f>
        <v>2025-11-06 13:47:07.862</v>
      </c>
      <c r="H965" t="s">
        <v>22</v>
      </c>
      <c r="I965">
        <v>0</v>
      </c>
      <c r="J965" t="s">
        <v>23</v>
      </c>
    </row>
    <row r="966" spans="1:10" x14ac:dyDescent="0.25">
      <c r="A966" s="1">
        <v>89</v>
      </c>
      <c r="B966" t="s">
        <v>19</v>
      </c>
      <c r="C966">
        <v>706</v>
      </c>
      <c r="D966">
        <v>4</v>
      </c>
      <c r="E966" t="s">
        <v>20</v>
      </c>
      <c r="F966" t="s">
        <v>21</v>
      </c>
      <c r="G966" t="str">
        <f>"2025-11-05 20:31:26.651"</f>
        <v>2025-11-05 20:31:26.651</v>
      </c>
      <c r="H966" t="s">
        <v>22</v>
      </c>
      <c r="I966">
        <v>0</v>
      </c>
      <c r="J966" t="s">
        <v>23</v>
      </c>
    </row>
    <row r="967" spans="1:10" x14ac:dyDescent="0.25">
      <c r="A967" s="1">
        <v>90</v>
      </c>
      <c r="B967" t="s">
        <v>19</v>
      </c>
      <c r="C967">
        <v>706</v>
      </c>
      <c r="D967">
        <v>4</v>
      </c>
      <c r="E967" t="s">
        <v>20</v>
      </c>
      <c r="F967" t="s">
        <v>21</v>
      </c>
      <c r="G967" t="str">
        <f>"2025-11-05 13:37:43.352"</f>
        <v>2025-11-05 13:37:43.352</v>
      </c>
      <c r="H967" t="s">
        <v>22</v>
      </c>
      <c r="I967">
        <v>0</v>
      </c>
      <c r="J967" t="s">
        <v>23</v>
      </c>
    </row>
    <row r="968" spans="1:10" x14ac:dyDescent="0.25">
      <c r="A968" s="1">
        <v>91</v>
      </c>
      <c r="B968" t="s">
        <v>19</v>
      </c>
      <c r="C968">
        <v>706</v>
      </c>
      <c r="D968">
        <v>4</v>
      </c>
      <c r="E968" t="s">
        <v>20</v>
      </c>
      <c r="F968" t="s">
        <v>21</v>
      </c>
      <c r="G968" t="str">
        <f>"2025-11-04 22:10:02.742"</f>
        <v>2025-11-04 22:10:02.742</v>
      </c>
      <c r="H968" t="s">
        <v>22</v>
      </c>
      <c r="I968">
        <v>0</v>
      </c>
      <c r="J968" t="s">
        <v>23</v>
      </c>
    </row>
    <row r="969" spans="1:10" x14ac:dyDescent="0.25">
      <c r="A969" s="1">
        <v>92</v>
      </c>
      <c r="B969" t="s">
        <v>19</v>
      </c>
      <c r="C969">
        <v>700</v>
      </c>
      <c r="D969">
        <v>0</v>
      </c>
      <c r="E969" t="s">
        <v>24</v>
      </c>
      <c r="F969" t="s">
        <v>24</v>
      </c>
      <c r="G969" t="str">
        <f>"2025-11-04 15:21:34.012"</f>
        <v>2025-11-04 15:21:34.012</v>
      </c>
      <c r="H969" t="s">
        <v>22</v>
      </c>
    </row>
    <row r="970" spans="1:10" x14ac:dyDescent="0.25">
      <c r="A970" s="1">
        <v>93</v>
      </c>
      <c r="B970" t="s">
        <v>19</v>
      </c>
      <c r="C970">
        <v>706</v>
      </c>
      <c r="D970">
        <v>3</v>
      </c>
      <c r="E970" t="s">
        <v>20</v>
      </c>
      <c r="F970" t="s">
        <v>49</v>
      </c>
      <c r="G970" t="str">
        <f>"2025-11-04 14:38:44.917"</f>
        <v>2025-11-04 14:38:44.917</v>
      </c>
      <c r="H970" t="s">
        <v>22</v>
      </c>
      <c r="I970">
        <v>0</v>
      </c>
      <c r="J970" t="s">
        <v>23</v>
      </c>
    </row>
    <row r="971" spans="1:10" x14ac:dyDescent="0.25">
      <c r="A971" s="1">
        <v>94</v>
      </c>
      <c r="B971" t="s">
        <v>19</v>
      </c>
      <c r="C971">
        <v>700</v>
      </c>
      <c r="D971">
        <v>0</v>
      </c>
      <c r="E971" t="s">
        <v>24</v>
      </c>
      <c r="F971" t="s">
        <v>24</v>
      </c>
      <c r="G971" t="str">
        <f>"2025-11-04 13:36:21.007"</f>
        <v>2025-11-04 13:36:21.007</v>
      </c>
      <c r="H971" t="s">
        <v>22</v>
      </c>
    </row>
    <row r="972" spans="1:10" x14ac:dyDescent="0.25">
      <c r="A972" s="1">
        <v>95</v>
      </c>
      <c r="B972" t="s">
        <v>19</v>
      </c>
      <c r="C972">
        <v>706</v>
      </c>
      <c r="D972">
        <v>4</v>
      </c>
      <c r="E972" t="s">
        <v>20</v>
      </c>
      <c r="F972" t="s">
        <v>21</v>
      </c>
      <c r="G972" t="str">
        <f>"2025-11-04 12:29:16.491"</f>
        <v>2025-11-04 12:29:16.491</v>
      </c>
      <c r="H972" t="s">
        <v>22</v>
      </c>
      <c r="I972">
        <v>0</v>
      </c>
      <c r="J972" t="s">
        <v>23</v>
      </c>
    </row>
    <row r="973" spans="1:10" s="3" customFormat="1" x14ac:dyDescent="0.25">
      <c r="A973" s="2">
        <v>96</v>
      </c>
      <c r="B973" s="3" t="s">
        <v>26</v>
      </c>
      <c r="C973" s="3">
        <v>647</v>
      </c>
      <c r="D973" s="3">
        <v>1</v>
      </c>
      <c r="E973" s="3" t="s">
        <v>27</v>
      </c>
      <c r="F973" s="3" t="s">
        <v>28</v>
      </c>
      <c r="G973" s="3" t="str">
        <f>"2025-11-04 06:48:24.763"</f>
        <v>2025-11-04 06:48:24.763</v>
      </c>
      <c r="H973" s="3" t="s">
        <v>22</v>
      </c>
    </row>
    <row r="974" spans="1:10" s="3" customFormat="1" x14ac:dyDescent="0.25">
      <c r="A974" s="2">
        <v>97</v>
      </c>
      <c r="B974" s="3" t="s">
        <v>29</v>
      </c>
      <c r="C974" s="3">
        <v>647</v>
      </c>
      <c r="D974" s="3">
        <v>1</v>
      </c>
      <c r="E974" s="3" t="s">
        <v>27</v>
      </c>
      <c r="F974" s="3" t="s">
        <v>28</v>
      </c>
      <c r="G974" s="3" t="str">
        <f>"2025-11-04 06:48:20.763"</f>
        <v>2025-11-04 06:48:20.763</v>
      </c>
      <c r="H974" s="3" t="s">
        <v>22</v>
      </c>
      <c r="I974" s="3">
        <v>9.6199999999999992</v>
      </c>
      <c r="J974" s="3" t="s">
        <v>30</v>
      </c>
    </row>
    <row r="975" spans="1:10" x14ac:dyDescent="0.25">
      <c r="A975" s="1">
        <v>98</v>
      </c>
      <c r="B975" t="s">
        <v>19</v>
      </c>
      <c r="C975">
        <v>706</v>
      </c>
      <c r="D975">
        <v>4</v>
      </c>
      <c r="E975" t="s">
        <v>20</v>
      </c>
      <c r="F975" t="s">
        <v>21</v>
      </c>
      <c r="G975" t="str">
        <f>"2025-11-04 05:23:14.631"</f>
        <v>2025-11-04 05:23:14.631</v>
      </c>
      <c r="H975" t="s">
        <v>22</v>
      </c>
      <c r="I975">
        <v>0</v>
      </c>
      <c r="J975" t="s">
        <v>23</v>
      </c>
    </row>
    <row r="976" spans="1:10" s="3" customFormat="1" x14ac:dyDescent="0.25">
      <c r="A976" s="2">
        <v>99</v>
      </c>
      <c r="B976" s="3" t="s">
        <v>26</v>
      </c>
      <c r="C976" s="3">
        <v>647</v>
      </c>
      <c r="D976" s="3">
        <v>1</v>
      </c>
      <c r="E976" s="3" t="s">
        <v>27</v>
      </c>
      <c r="F976" s="3" t="s">
        <v>28</v>
      </c>
      <c r="G976" s="3" t="str">
        <f>"2025-11-04 02:23:43.863"</f>
        <v>2025-11-04 02:23:43.863</v>
      </c>
      <c r="H976" s="3" t="s">
        <v>22</v>
      </c>
    </row>
    <row r="977" spans="1:10" s="3" customFormat="1" x14ac:dyDescent="0.25">
      <c r="A977" s="2">
        <v>0</v>
      </c>
      <c r="B977" s="3" t="s">
        <v>29</v>
      </c>
      <c r="C977" s="3">
        <v>647</v>
      </c>
      <c r="D977" s="3">
        <v>1</v>
      </c>
      <c r="E977" s="3" t="s">
        <v>27</v>
      </c>
      <c r="F977" s="3" t="s">
        <v>28</v>
      </c>
      <c r="G977" s="3" t="str">
        <f>"2025-11-04 02:23:41.363"</f>
        <v>2025-11-04 02:23:41.363</v>
      </c>
      <c r="H977" s="3" t="s">
        <v>22</v>
      </c>
      <c r="I977" s="3">
        <v>22.27</v>
      </c>
      <c r="J977" s="3" t="s">
        <v>30</v>
      </c>
    </row>
    <row r="978" spans="1:10" x14ac:dyDescent="0.25">
      <c r="A978" s="1">
        <v>1</v>
      </c>
      <c r="B978" t="s">
        <v>19</v>
      </c>
      <c r="C978">
        <v>706</v>
      </c>
      <c r="D978">
        <v>4</v>
      </c>
      <c r="E978" t="s">
        <v>20</v>
      </c>
      <c r="F978" t="s">
        <v>21</v>
      </c>
      <c r="G978" t="str">
        <f>"2025-11-03 10:25:54.061"</f>
        <v>2025-11-03 10:25:54.061</v>
      </c>
      <c r="H978" t="s">
        <v>22</v>
      </c>
      <c r="I978">
        <v>0</v>
      </c>
      <c r="J978" t="s">
        <v>23</v>
      </c>
    </row>
    <row r="979" spans="1:10" s="3" customFormat="1" x14ac:dyDescent="0.25">
      <c r="A979" s="2">
        <v>2</v>
      </c>
      <c r="B979" s="3" t="s">
        <v>26</v>
      </c>
      <c r="C979" s="3">
        <v>647</v>
      </c>
      <c r="D979" s="3">
        <v>1</v>
      </c>
      <c r="E979" s="3" t="s">
        <v>27</v>
      </c>
      <c r="F979" s="3" t="s">
        <v>28</v>
      </c>
      <c r="G979" s="3" t="str">
        <f>"2025-11-03 07:27:52.063"</f>
        <v>2025-11-03 07:27:52.063</v>
      </c>
      <c r="H979" s="3" t="s">
        <v>22</v>
      </c>
    </row>
    <row r="980" spans="1:10" s="3" customFormat="1" x14ac:dyDescent="0.25">
      <c r="A980" s="2">
        <v>3</v>
      </c>
      <c r="B980" s="3" t="s">
        <v>29</v>
      </c>
      <c r="C980" s="3">
        <v>647</v>
      </c>
      <c r="D980" s="3">
        <v>1</v>
      </c>
      <c r="E980" s="3" t="s">
        <v>27</v>
      </c>
      <c r="F980" s="3" t="s">
        <v>28</v>
      </c>
      <c r="G980" s="3" t="str">
        <f>"2025-11-03 07:27:42.163"</f>
        <v>2025-11-03 07:27:42.163</v>
      </c>
      <c r="H980" s="3" t="s">
        <v>22</v>
      </c>
      <c r="I980" s="3">
        <v>8.86</v>
      </c>
      <c r="J980" s="3" t="s">
        <v>30</v>
      </c>
    </row>
    <row r="981" spans="1:10" x14ac:dyDescent="0.25">
      <c r="A981" s="1">
        <v>4</v>
      </c>
      <c r="B981" t="s">
        <v>19</v>
      </c>
      <c r="C981">
        <v>706</v>
      </c>
      <c r="D981">
        <v>2</v>
      </c>
      <c r="E981" t="s">
        <v>20</v>
      </c>
      <c r="F981" t="s">
        <v>25</v>
      </c>
      <c r="G981" t="str">
        <f>"2025-11-02 14:08:16.341"</f>
        <v>2025-11-02 14:08:16.341</v>
      </c>
      <c r="H981" t="s">
        <v>22</v>
      </c>
      <c r="I981">
        <v>0</v>
      </c>
      <c r="J981" t="s">
        <v>23</v>
      </c>
    </row>
    <row r="982" spans="1:10" x14ac:dyDescent="0.25">
      <c r="A982" s="1">
        <v>5</v>
      </c>
      <c r="B982" t="s">
        <v>19</v>
      </c>
      <c r="C982">
        <v>706</v>
      </c>
      <c r="D982">
        <v>4</v>
      </c>
      <c r="E982" t="s">
        <v>20</v>
      </c>
      <c r="F982" t="s">
        <v>21</v>
      </c>
      <c r="G982" t="str">
        <f>"2025-11-01 23:39:43.881"</f>
        <v>2025-11-01 23:39:43.881</v>
      </c>
      <c r="H982" t="s">
        <v>22</v>
      </c>
      <c r="I982">
        <v>0</v>
      </c>
      <c r="J982" t="s">
        <v>23</v>
      </c>
    </row>
    <row r="983" spans="1:10" x14ac:dyDescent="0.25">
      <c r="A983" s="1">
        <v>6</v>
      </c>
      <c r="B983" t="s">
        <v>19</v>
      </c>
      <c r="C983">
        <v>706</v>
      </c>
      <c r="D983">
        <v>2</v>
      </c>
      <c r="E983" t="s">
        <v>20</v>
      </c>
      <c r="F983" t="s">
        <v>25</v>
      </c>
      <c r="G983" t="str">
        <f>"2025-11-01 15:39:46.941"</f>
        <v>2025-11-01 15:39:46.941</v>
      </c>
      <c r="H983" t="s">
        <v>22</v>
      </c>
      <c r="I983">
        <v>0</v>
      </c>
      <c r="J983" t="s">
        <v>23</v>
      </c>
    </row>
    <row r="984" spans="1:10" x14ac:dyDescent="0.25">
      <c r="A984" s="1">
        <v>7</v>
      </c>
      <c r="B984" t="s">
        <v>19</v>
      </c>
      <c r="C984">
        <v>706</v>
      </c>
      <c r="D984">
        <v>2</v>
      </c>
      <c r="E984" t="s">
        <v>20</v>
      </c>
      <c r="F984" t="s">
        <v>25</v>
      </c>
      <c r="G984" t="str">
        <f>"2025-11-01 08:17:44.541"</f>
        <v>2025-11-01 08:17:44.541</v>
      </c>
      <c r="H984" t="s">
        <v>22</v>
      </c>
      <c r="I984">
        <v>0</v>
      </c>
      <c r="J984" t="s">
        <v>23</v>
      </c>
    </row>
    <row r="985" spans="1:10" x14ac:dyDescent="0.25">
      <c r="A985" s="1">
        <v>8</v>
      </c>
      <c r="B985" t="s">
        <v>19</v>
      </c>
      <c r="C985">
        <v>706</v>
      </c>
      <c r="D985">
        <v>2</v>
      </c>
      <c r="E985" t="s">
        <v>20</v>
      </c>
      <c r="F985" t="s">
        <v>25</v>
      </c>
      <c r="G985" t="str">
        <f>"2025-10-31 20:08:13.641"</f>
        <v>2025-10-31 20:08:13.641</v>
      </c>
      <c r="H985" t="s">
        <v>22</v>
      </c>
      <c r="I985">
        <v>0</v>
      </c>
      <c r="J985" t="s">
        <v>23</v>
      </c>
    </row>
    <row r="986" spans="1:10" x14ac:dyDescent="0.25">
      <c r="A986" s="1">
        <v>9</v>
      </c>
      <c r="B986" t="s">
        <v>19</v>
      </c>
      <c r="C986">
        <v>706</v>
      </c>
      <c r="D986">
        <v>4</v>
      </c>
      <c r="E986" t="s">
        <v>20</v>
      </c>
      <c r="F986" t="s">
        <v>21</v>
      </c>
      <c r="G986" t="str">
        <f>"2025-10-30 21:41:54.481"</f>
        <v>2025-10-30 21:41:54.481</v>
      </c>
      <c r="H986" t="s">
        <v>22</v>
      </c>
      <c r="I986">
        <v>0</v>
      </c>
      <c r="J986" t="s">
        <v>23</v>
      </c>
    </row>
    <row r="987" spans="1:10" x14ac:dyDescent="0.25">
      <c r="A987" s="1">
        <v>10</v>
      </c>
      <c r="B987" t="s">
        <v>19</v>
      </c>
      <c r="C987">
        <v>706</v>
      </c>
      <c r="D987">
        <v>4</v>
      </c>
      <c r="E987" t="s">
        <v>20</v>
      </c>
      <c r="F987" t="s">
        <v>21</v>
      </c>
      <c r="G987" t="str">
        <f>"2025-10-30 09:57:27.581"</f>
        <v>2025-10-30 09:57:27.581</v>
      </c>
      <c r="H987" t="s">
        <v>22</v>
      </c>
      <c r="I987">
        <v>0</v>
      </c>
      <c r="J987" t="s">
        <v>23</v>
      </c>
    </row>
    <row r="988" spans="1:10" x14ac:dyDescent="0.25">
      <c r="A988" s="1">
        <v>11</v>
      </c>
      <c r="B988" t="s">
        <v>19</v>
      </c>
      <c r="C988">
        <v>706</v>
      </c>
      <c r="D988">
        <v>4</v>
      </c>
      <c r="E988" t="s">
        <v>20</v>
      </c>
      <c r="F988" t="s">
        <v>21</v>
      </c>
      <c r="G988" t="str">
        <f>"2025-10-29 21:28:25.371"</f>
        <v>2025-10-29 21:28:25.371</v>
      </c>
      <c r="H988" t="s">
        <v>22</v>
      </c>
      <c r="I988">
        <v>0</v>
      </c>
      <c r="J988" t="s">
        <v>23</v>
      </c>
    </row>
    <row r="989" spans="1:10" x14ac:dyDescent="0.25">
      <c r="A989" s="1">
        <v>12</v>
      </c>
      <c r="B989" t="s">
        <v>19</v>
      </c>
      <c r="C989">
        <v>706</v>
      </c>
      <c r="D989">
        <v>4</v>
      </c>
      <c r="E989" t="s">
        <v>20</v>
      </c>
      <c r="F989" t="s">
        <v>21</v>
      </c>
      <c r="G989" t="str">
        <f>"2025-10-28 20:32:10.331"</f>
        <v>2025-10-28 20:32:10.331</v>
      </c>
      <c r="H989" t="s">
        <v>22</v>
      </c>
      <c r="I989">
        <v>0</v>
      </c>
      <c r="J989" t="s">
        <v>23</v>
      </c>
    </row>
    <row r="990" spans="1:10" x14ac:dyDescent="0.25">
      <c r="A990" s="1">
        <v>13</v>
      </c>
      <c r="B990" t="s">
        <v>19</v>
      </c>
      <c r="C990">
        <v>700</v>
      </c>
      <c r="D990">
        <v>0</v>
      </c>
      <c r="E990" t="s">
        <v>24</v>
      </c>
      <c r="F990" t="s">
        <v>24</v>
      </c>
      <c r="G990" t="str">
        <f>"2025-10-28 15:34:19.041"</f>
        <v>2025-10-28 15:34:19.041</v>
      </c>
      <c r="H990" t="s">
        <v>22</v>
      </c>
      <c r="I990">
        <v>0</v>
      </c>
      <c r="J990" t="s">
        <v>34</v>
      </c>
    </row>
    <row r="991" spans="1:10" x14ac:dyDescent="0.25">
      <c r="A991" s="1">
        <v>14</v>
      </c>
      <c r="B991" t="s">
        <v>19</v>
      </c>
      <c r="C991">
        <v>706</v>
      </c>
      <c r="D991">
        <v>2</v>
      </c>
      <c r="E991" t="s">
        <v>20</v>
      </c>
      <c r="F991" t="s">
        <v>25</v>
      </c>
      <c r="G991" t="str">
        <f>"2025-10-28 14:47:34.061"</f>
        <v>2025-10-28 14:47:34.061</v>
      </c>
      <c r="H991" t="s">
        <v>22</v>
      </c>
      <c r="I991">
        <v>0</v>
      </c>
      <c r="J991" t="s">
        <v>23</v>
      </c>
    </row>
    <row r="992" spans="1:10" x14ac:dyDescent="0.25">
      <c r="A992" s="1">
        <v>15</v>
      </c>
      <c r="B992" t="s">
        <v>19</v>
      </c>
      <c r="C992">
        <v>700</v>
      </c>
      <c r="D992">
        <v>0</v>
      </c>
      <c r="E992" t="s">
        <v>24</v>
      </c>
      <c r="F992" t="s">
        <v>24</v>
      </c>
      <c r="G992" t="str">
        <f>"2025-10-28 11:24:27.021"</f>
        <v>2025-10-28 11:24:27.021</v>
      </c>
      <c r="H992" t="s">
        <v>22</v>
      </c>
      <c r="I992">
        <v>0</v>
      </c>
      <c r="J992" t="s">
        <v>34</v>
      </c>
    </row>
    <row r="993" spans="1:10" x14ac:dyDescent="0.25">
      <c r="A993" s="1">
        <v>16</v>
      </c>
      <c r="B993" t="s">
        <v>19</v>
      </c>
      <c r="C993">
        <v>706</v>
      </c>
      <c r="D993">
        <v>4</v>
      </c>
      <c r="E993" t="s">
        <v>20</v>
      </c>
      <c r="F993" t="s">
        <v>21</v>
      </c>
      <c r="G993" t="str">
        <f>"2025-10-28 09:13:43.162"</f>
        <v>2025-10-28 09:13:43.162</v>
      </c>
      <c r="H993" t="s">
        <v>22</v>
      </c>
      <c r="I993">
        <v>0</v>
      </c>
      <c r="J993" t="s">
        <v>23</v>
      </c>
    </row>
    <row r="994" spans="1:10" x14ac:dyDescent="0.25">
      <c r="A994" s="1">
        <v>17</v>
      </c>
      <c r="B994" t="s">
        <v>26</v>
      </c>
      <c r="C994">
        <v>635</v>
      </c>
      <c r="D994">
        <v>1</v>
      </c>
      <c r="E994" t="s">
        <v>31</v>
      </c>
      <c r="F994" t="s">
        <v>32</v>
      </c>
      <c r="G994" t="str">
        <f>"2025-10-28 08:18:03.210"</f>
        <v>2025-10-28 08:18:03.210</v>
      </c>
      <c r="H994" t="s">
        <v>22</v>
      </c>
    </row>
    <row r="995" spans="1:10" x14ac:dyDescent="0.25">
      <c r="A995" s="1">
        <v>18</v>
      </c>
      <c r="B995" t="s">
        <v>29</v>
      </c>
      <c r="C995">
        <v>635</v>
      </c>
      <c r="D995">
        <v>1</v>
      </c>
      <c r="E995" t="s">
        <v>31</v>
      </c>
      <c r="F995" t="s">
        <v>32</v>
      </c>
      <c r="G995" t="str">
        <f>"2025-10-28 08:13:55.211"</f>
        <v>2025-10-28 08:13:55.211</v>
      </c>
      <c r="H995" t="s">
        <v>22</v>
      </c>
      <c r="I995">
        <v>8.5</v>
      </c>
      <c r="J995" t="s">
        <v>30</v>
      </c>
    </row>
    <row r="996" spans="1:10" x14ac:dyDescent="0.25">
      <c r="A996" s="1">
        <v>19</v>
      </c>
      <c r="B996" t="s">
        <v>19</v>
      </c>
      <c r="C996">
        <v>706</v>
      </c>
      <c r="D996">
        <v>4</v>
      </c>
      <c r="E996" t="s">
        <v>20</v>
      </c>
      <c r="F996" t="s">
        <v>21</v>
      </c>
      <c r="G996" t="str">
        <f>"2025-10-27 10:11:13.782"</f>
        <v>2025-10-27 10:11:13.782</v>
      </c>
      <c r="H996" t="s">
        <v>22</v>
      </c>
      <c r="I996">
        <v>0</v>
      </c>
      <c r="J996" t="s">
        <v>23</v>
      </c>
    </row>
    <row r="997" spans="1:10" x14ac:dyDescent="0.25">
      <c r="A997" s="1">
        <v>20</v>
      </c>
      <c r="B997" t="s">
        <v>19</v>
      </c>
      <c r="C997">
        <v>706</v>
      </c>
      <c r="D997">
        <v>4</v>
      </c>
      <c r="E997" t="s">
        <v>20</v>
      </c>
      <c r="F997" t="s">
        <v>21</v>
      </c>
      <c r="G997" t="str">
        <f>"2025-10-26 20:04:27.382"</f>
        <v>2025-10-26 20:04:27.382</v>
      </c>
      <c r="H997" t="s">
        <v>22</v>
      </c>
      <c r="I997">
        <v>0</v>
      </c>
      <c r="J997" t="s">
        <v>23</v>
      </c>
    </row>
    <row r="998" spans="1:10" x14ac:dyDescent="0.25">
      <c r="A998" s="1">
        <v>21</v>
      </c>
      <c r="B998" t="s">
        <v>19</v>
      </c>
      <c r="C998">
        <v>700</v>
      </c>
      <c r="D998">
        <v>0</v>
      </c>
      <c r="E998" t="s">
        <v>24</v>
      </c>
      <c r="F998" t="s">
        <v>24</v>
      </c>
      <c r="G998" t="str">
        <f>"2025-10-26 19:49:52.032"</f>
        <v>2025-10-26 19:49:52.032</v>
      </c>
      <c r="H998" t="s">
        <v>22</v>
      </c>
    </row>
    <row r="999" spans="1:10" x14ac:dyDescent="0.25">
      <c r="A999" s="1">
        <v>22</v>
      </c>
      <c r="B999" t="s">
        <v>19</v>
      </c>
      <c r="C999">
        <v>706</v>
      </c>
      <c r="D999">
        <v>4</v>
      </c>
      <c r="E999" t="s">
        <v>20</v>
      </c>
      <c r="F999" t="s">
        <v>21</v>
      </c>
      <c r="G999" t="str">
        <f>"2025-10-26 10:05:39.611"</f>
        <v>2025-10-26 10:05:39.611</v>
      </c>
      <c r="H999" t="s">
        <v>22</v>
      </c>
      <c r="I999">
        <v>0</v>
      </c>
      <c r="J999" t="s">
        <v>23</v>
      </c>
    </row>
    <row r="1000" spans="1:10" x14ac:dyDescent="0.25">
      <c r="A1000" s="1">
        <v>23</v>
      </c>
      <c r="B1000" t="s">
        <v>19</v>
      </c>
      <c r="C1000">
        <v>706</v>
      </c>
      <c r="D1000">
        <v>2</v>
      </c>
      <c r="E1000" t="s">
        <v>20</v>
      </c>
      <c r="F1000" t="s">
        <v>25</v>
      </c>
      <c r="G1000" t="str">
        <f>"2025-10-26 10:04:43.641"</f>
        <v>2025-10-26 10:04:43.641</v>
      </c>
      <c r="H1000" t="s">
        <v>22</v>
      </c>
      <c r="I1000">
        <v>0</v>
      </c>
      <c r="J1000" t="s">
        <v>23</v>
      </c>
    </row>
    <row r="1001" spans="1:10" x14ac:dyDescent="0.25">
      <c r="A1001" s="1">
        <v>24</v>
      </c>
      <c r="B1001" t="s">
        <v>19</v>
      </c>
      <c r="C1001">
        <v>700</v>
      </c>
      <c r="D1001">
        <v>0</v>
      </c>
      <c r="E1001" t="s">
        <v>24</v>
      </c>
      <c r="F1001" t="s">
        <v>24</v>
      </c>
      <c r="G1001" t="str">
        <f>"2025-10-26 06:53:09.011"</f>
        <v>2025-10-26 06:53:09.011</v>
      </c>
      <c r="H1001" t="s">
        <v>22</v>
      </c>
      <c r="I1001">
        <v>0</v>
      </c>
      <c r="J1001" t="s">
        <v>34</v>
      </c>
    </row>
    <row r="1002" spans="1:10" x14ac:dyDescent="0.25">
      <c r="A1002" s="1">
        <v>25</v>
      </c>
      <c r="B1002" t="s">
        <v>19</v>
      </c>
      <c r="C1002">
        <v>706</v>
      </c>
      <c r="D1002">
        <v>4</v>
      </c>
      <c r="E1002" t="s">
        <v>20</v>
      </c>
      <c r="F1002" t="s">
        <v>21</v>
      </c>
      <c r="G1002" t="str">
        <f>"2025-10-26 02:25:37.775"</f>
        <v>2025-10-26 02:25:37.775</v>
      </c>
      <c r="H1002" t="s">
        <v>22</v>
      </c>
      <c r="I1002">
        <v>0</v>
      </c>
      <c r="J1002" t="s">
        <v>23</v>
      </c>
    </row>
    <row r="1003" spans="1:10" s="3" customFormat="1" x14ac:dyDescent="0.25">
      <c r="A1003" s="2">
        <v>26</v>
      </c>
      <c r="B1003" s="3" t="s">
        <v>26</v>
      </c>
      <c r="C1003" s="3">
        <v>647</v>
      </c>
      <c r="D1003" s="3">
        <v>1</v>
      </c>
      <c r="E1003" s="3" t="s">
        <v>27</v>
      </c>
      <c r="F1003" s="3" t="s">
        <v>28</v>
      </c>
      <c r="G1003" s="3" t="str">
        <f>"2025-10-25 23:55:12.082"</f>
        <v>2025-10-25 23:55:12.082</v>
      </c>
      <c r="H1003" s="3" t="s">
        <v>22</v>
      </c>
    </row>
    <row r="1004" spans="1:10" s="3" customFormat="1" x14ac:dyDescent="0.25">
      <c r="A1004" s="2">
        <v>27</v>
      </c>
      <c r="B1004" s="3" t="s">
        <v>29</v>
      </c>
      <c r="C1004" s="3">
        <v>647</v>
      </c>
      <c r="D1004" s="3">
        <v>1</v>
      </c>
      <c r="E1004" s="3" t="s">
        <v>27</v>
      </c>
      <c r="F1004" s="3" t="s">
        <v>28</v>
      </c>
      <c r="G1004" s="3" t="str">
        <f>"2025-10-25 23:55:07.682"</f>
        <v>2025-10-25 23:55:07.682</v>
      </c>
      <c r="H1004" s="3" t="s">
        <v>22</v>
      </c>
      <c r="I1004" s="3">
        <v>9.27</v>
      </c>
      <c r="J1004" s="3" t="s">
        <v>30</v>
      </c>
    </row>
    <row r="1005" spans="1:10" x14ac:dyDescent="0.25">
      <c r="A1005" s="1">
        <v>28</v>
      </c>
      <c r="B1005" t="s">
        <v>19</v>
      </c>
      <c r="C1005">
        <v>706</v>
      </c>
      <c r="D1005">
        <v>4</v>
      </c>
      <c r="E1005" t="s">
        <v>20</v>
      </c>
      <c r="F1005" t="s">
        <v>21</v>
      </c>
      <c r="G1005" t="str">
        <f>"2025-10-25 13:18:55.435"</f>
        <v>2025-10-25 13:18:55.435</v>
      </c>
      <c r="H1005" t="s">
        <v>22</v>
      </c>
      <c r="I1005">
        <v>0</v>
      </c>
      <c r="J1005" t="s">
        <v>23</v>
      </c>
    </row>
    <row r="1006" spans="1:10" s="3" customFormat="1" x14ac:dyDescent="0.25">
      <c r="A1006" s="2">
        <v>29</v>
      </c>
      <c r="B1006" s="3" t="s">
        <v>26</v>
      </c>
      <c r="C1006" s="3">
        <v>647</v>
      </c>
      <c r="D1006" s="3">
        <v>1</v>
      </c>
      <c r="E1006" s="3" t="s">
        <v>27</v>
      </c>
      <c r="F1006" s="3" t="s">
        <v>28</v>
      </c>
      <c r="G1006" s="3" t="str">
        <f>"2025-10-25 06:16:12.982"</f>
        <v>2025-10-25 06:16:12.982</v>
      </c>
      <c r="H1006" s="3" t="s">
        <v>22</v>
      </c>
    </row>
    <row r="1007" spans="1:10" s="3" customFormat="1" x14ac:dyDescent="0.25">
      <c r="A1007" s="2">
        <v>30</v>
      </c>
      <c r="B1007" s="3" t="s">
        <v>29</v>
      </c>
      <c r="C1007" s="3">
        <v>647</v>
      </c>
      <c r="D1007" s="3">
        <v>1</v>
      </c>
      <c r="E1007" s="3" t="s">
        <v>27</v>
      </c>
      <c r="F1007" s="3" t="s">
        <v>28</v>
      </c>
      <c r="G1007" s="3" t="str">
        <f>"2025-10-25 06:16:11.282"</f>
        <v>2025-10-25 06:16:11.282</v>
      </c>
      <c r="H1007" s="3" t="s">
        <v>22</v>
      </c>
      <c r="I1007" s="3">
        <v>17.54</v>
      </c>
      <c r="J1007" s="3" t="s">
        <v>30</v>
      </c>
    </row>
    <row r="1008" spans="1:10" x14ac:dyDescent="0.25">
      <c r="A1008" s="1">
        <v>31</v>
      </c>
      <c r="B1008" t="s">
        <v>19</v>
      </c>
      <c r="C1008">
        <v>706</v>
      </c>
      <c r="D1008">
        <v>4</v>
      </c>
      <c r="E1008" t="s">
        <v>20</v>
      </c>
      <c r="F1008" t="s">
        <v>21</v>
      </c>
      <c r="G1008" t="str">
        <f>"2025-10-25 02:11:45.465"</f>
        <v>2025-10-25 02:11:45.465</v>
      </c>
      <c r="H1008" t="s">
        <v>22</v>
      </c>
      <c r="I1008">
        <v>0</v>
      </c>
      <c r="J1008" t="s">
        <v>23</v>
      </c>
    </row>
    <row r="1009" spans="1:10" x14ac:dyDescent="0.25">
      <c r="A1009" s="1">
        <v>33</v>
      </c>
      <c r="B1009" t="s">
        <v>19</v>
      </c>
      <c r="C1009">
        <v>706</v>
      </c>
      <c r="D1009">
        <v>4</v>
      </c>
      <c r="E1009" t="s">
        <v>20</v>
      </c>
      <c r="F1009" t="s">
        <v>21</v>
      </c>
      <c r="G1009" t="str">
        <f>"2025-10-24 21:17:09.275"</f>
        <v>2025-10-24 21:17:09.275</v>
      </c>
      <c r="H1009" t="s">
        <v>22</v>
      </c>
      <c r="I1009">
        <v>0</v>
      </c>
      <c r="J1009" t="s">
        <v>23</v>
      </c>
    </row>
    <row r="1010" spans="1:10" x14ac:dyDescent="0.25">
      <c r="A1010" s="1">
        <v>34</v>
      </c>
      <c r="B1010" t="s">
        <v>19</v>
      </c>
      <c r="C1010">
        <v>706</v>
      </c>
      <c r="D1010">
        <v>4</v>
      </c>
      <c r="E1010" t="s">
        <v>20</v>
      </c>
      <c r="F1010" t="s">
        <v>21</v>
      </c>
      <c r="G1010" t="str">
        <f>"2025-10-24 21:16:14.075"</f>
        <v>2025-10-24 21:16:14.075</v>
      </c>
      <c r="H1010" t="s">
        <v>22</v>
      </c>
      <c r="I1010">
        <v>0</v>
      </c>
      <c r="J1010" t="s">
        <v>23</v>
      </c>
    </row>
    <row r="1011" spans="1:10" x14ac:dyDescent="0.25">
      <c r="A1011" s="1">
        <v>35</v>
      </c>
      <c r="B1011" t="s">
        <v>19</v>
      </c>
      <c r="C1011">
        <v>706</v>
      </c>
      <c r="D1011">
        <v>4</v>
      </c>
      <c r="E1011" t="s">
        <v>20</v>
      </c>
      <c r="F1011" t="s">
        <v>21</v>
      </c>
      <c r="G1011" t="str">
        <f>"2025-10-24 10:11:40.465"</f>
        <v>2025-10-24 10:11:40.465</v>
      </c>
      <c r="H1011" t="s">
        <v>22</v>
      </c>
      <c r="I1011">
        <v>0</v>
      </c>
      <c r="J1011" t="s">
        <v>23</v>
      </c>
    </row>
    <row r="1012" spans="1:10" s="3" customFormat="1" x14ac:dyDescent="0.25">
      <c r="A1012" s="2">
        <v>36</v>
      </c>
      <c r="B1012" s="3" t="s">
        <v>26</v>
      </c>
      <c r="C1012" s="3">
        <v>647</v>
      </c>
      <c r="D1012" s="3">
        <v>1</v>
      </c>
      <c r="E1012" s="3" t="s">
        <v>27</v>
      </c>
      <c r="F1012" s="3" t="s">
        <v>28</v>
      </c>
      <c r="G1012" s="3" t="str">
        <f>"2025-10-24 02:04:15.982"</f>
        <v>2025-10-24 02:04:15.982</v>
      </c>
      <c r="H1012" s="3" t="s">
        <v>22</v>
      </c>
    </row>
    <row r="1013" spans="1:10" s="3" customFormat="1" x14ac:dyDescent="0.25">
      <c r="A1013" s="2">
        <v>37</v>
      </c>
      <c r="B1013" s="3" t="s">
        <v>29</v>
      </c>
      <c r="C1013" s="3">
        <v>647</v>
      </c>
      <c r="D1013" s="3">
        <v>1</v>
      </c>
      <c r="E1013" s="3" t="s">
        <v>27</v>
      </c>
      <c r="F1013" s="3" t="s">
        <v>28</v>
      </c>
      <c r="G1013" s="3" t="str">
        <f>"2025-10-24 02:04:11.282"</f>
        <v>2025-10-24 02:04:11.282</v>
      </c>
      <c r="H1013" s="3" t="s">
        <v>22</v>
      </c>
      <c r="I1013" s="3">
        <v>14.77</v>
      </c>
      <c r="J1013" s="3" t="s">
        <v>30</v>
      </c>
    </row>
    <row r="1014" spans="1:10" s="3" customFormat="1" x14ac:dyDescent="0.25">
      <c r="A1014" s="2">
        <v>38</v>
      </c>
      <c r="B1014" s="3" t="s">
        <v>26</v>
      </c>
      <c r="C1014" s="3">
        <v>647</v>
      </c>
      <c r="D1014" s="3">
        <v>1</v>
      </c>
      <c r="E1014" s="3" t="s">
        <v>27</v>
      </c>
      <c r="F1014" s="3" t="s">
        <v>28</v>
      </c>
      <c r="G1014" s="3" t="str">
        <f>"2025-10-23 23:50:02.682"</f>
        <v>2025-10-23 23:50:02.682</v>
      </c>
      <c r="H1014" s="3" t="s">
        <v>22</v>
      </c>
    </row>
    <row r="1015" spans="1:10" s="3" customFormat="1" x14ac:dyDescent="0.25">
      <c r="A1015" s="2">
        <v>39</v>
      </c>
      <c r="B1015" s="3" t="s">
        <v>29</v>
      </c>
      <c r="C1015" s="3">
        <v>647</v>
      </c>
      <c r="D1015" s="3">
        <v>1</v>
      </c>
      <c r="E1015" s="3" t="s">
        <v>27</v>
      </c>
      <c r="F1015" s="3" t="s">
        <v>28</v>
      </c>
      <c r="G1015" s="3" t="str">
        <f>"2025-10-23 23:49:58.583"</f>
        <v>2025-10-23 23:49:58.583</v>
      </c>
      <c r="H1015" s="3" t="s">
        <v>22</v>
      </c>
      <c r="I1015" s="3">
        <v>15.64</v>
      </c>
      <c r="J1015" s="3" t="s">
        <v>30</v>
      </c>
    </row>
    <row r="1016" spans="1:10" x14ac:dyDescent="0.25">
      <c r="A1016" s="1">
        <v>40</v>
      </c>
      <c r="B1016" t="s">
        <v>19</v>
      </c>
      <c r="C1016">
        <v>706</v>
      </c>
      <c r="D1016">
        <v>4</v>
      </c>
      <c r="E1016" t="s">
        <v>20</v>
      </c>
      <c r="F1016" t="s">
        <v>21</v>
      </c>
      <c r="G1016" t="str">
        <f>"2025-10-23 22:58:31.275"</f>
        <v>2025-10-23 22:58:31.275</v>
      </c>
      <c r="H1016" t="s">
        <v>22</v>
      </c>
      <c r="I1016">
        <v>0</v>
      </c>
      <c r="J1016" t="s">
        <v>23</v>
      </c>
    </row>
    <row r="1017" spans="1:10" x14ac:dyDescent="0.25">
      <c r="A1017" s="1">
        <v>41</v>
      </c>
      <c r="B1017" t="s">
        <v>26</v>
      </c>
      <c r="C1017">
        <v>98</v>
      </c>
      <c r="D1017">
        <v>1</v>
      </c>
      <c r="E1017" t="s">
        <v>63</v>
      </c>
      <c r="F1017" t="s">
        <v>64</v>
      </c>
      <c r="G1017" t="str">
        <f>"2025-10-23 20:26:27.994"</f>
        <v>2025-10-23 20:26:27.994</v>
      </c>
      <c r="H1017" t="s">
        <v>22</v>
      </c>
    </row>
    <row r="1018" spans="1:10" x14ac:dyDescent="0.25">
      <c r="A1018" s="1">
        <v>42</v>
      </c>
      <c r="B1018" t="s">
        <v>29</v>
      </c>
      <c r="C1018">
        <v>98</v>
      </c>
      <c r="D1018">
        <v>1</v>
      </c>
      <c r="E1018" t="s">
        <v>63</v>
      </c>
      <c r="F1018" t="s">
        <v>64</v>
      </c>
      <c r="G1018" t="str">
        <f>"2025-10-23 20:26:26.895"</f>
        <v>2025-10-23 20:26:26.895</v>
      </c>
      <c r="H1018" t="s">
        <v>22</v>
      </c>
      <c r="I1018">
        <v>2.87</v>
      </c>
      <c r="J1018" t="s">
        <v>33</v>
      </c>
    </row>
    <row r="1019" spans="1:10" x14ac:dyDescent="0.25">
      <c r="A1019" s="1">
        <v>43</v>
      </c>
      <c r="B1019" t="s">
        <v>19</v>
      </c>
      <c r="C1019">
        <v>706</v>
      </c>
      <c r="D1019">
        <v>4</v>
      </c>
      <c r="E1019" t="s">
        <v>20</v>
      </c>
      <c r="F1019" t="s">
        <v>21</v>
      </c>
      <c r="G1019" t="str">
        <f>"2025-10-23 10:57:32.385"</f>
        <v>2025-10-23 10:57:32.385</v>
      </c>
      <c r="H1019" t="s">
        <v>22</v>
      </c>
      <c r="I1019">
        <v>0</v>
      </c>
      <c r="J1019" t="s">
        <v>23</v>
      </c>
    </row>
    <row r="1020" spans="1:10" x14ac:dyDescent="0.25">
      <c r="A1020" s="1">
        <v>44</v>
      </c>
      <c r="B1020" t="s">
        <v>19</v>
      </c>
      <c r="C1020">
        <v>700</v>
      </c>
      <c r="D1020">
        <v>0</v>
      </c>
      <c r="E1020" t="s">
        <v>24</v>
      </c>
      <c r="F1020" t="s">
        <v>24</v>
      </c>
      <c r="G1020" t="str">
        <f>"2025-10-22 23:33:18.005"</f>
        <v>2025-10-22 23:33:18.005</v>
      </c>
      <c r="H1020" t="s">
        <v>22</v>
      </c>
      <c r="I1020">
        <v>0</v>
      </c>
      <c r="J1020" t="s">
        <v>34</v>
      </c>
    </row>
    <row r="1021" spans="1:10" x14ac:dyDescent="0.25">
      <c r="A1021" s="1">
        <v>45</v>
      </c>
      <c r="B1021" t="s">
        <v>19</v>
      </c>
      <c r="C1021">
        <v>706</v>
      </c>
      <c r="D1021">
        <v>4</v>
      </c>
      <c r="E1021" t="s">
        <v>20</v>
      </c>
      <c r="F1021" t="s">
        <v>21</v>
      </c>
      <c r="G1021" t="str">
        <f>"2025-10-22 23:32:14.146"</f>
        <v>2025-10-22 23:32:14.146</v>
      </c>
      <c r="H1021" t="s">
        <v>22</v>
      </c>
      <c r="I1021">
        <v>0</v>
      </c>
      <c r="J1021" t="s">
        <v>23</v>
      </c>
    </row>
    <row r="1022" spans="1:10" x14ac:dyDescent="0.25">
      <c r="A1022" s="1">
        <v>46</v>
      </c>
      <c r="B1022" t="s">
        <v>19</v>
      </c>
      <c r="C1022">
        <v>706</v>
      </c>
      <c r="D1022">
        <v>2</v>
      </c>
      <c r="E1022" t="s">
        <v>20</v>
      </c>
      <c r="F1022" t="s">
        <v>25</v>
      </c>
      <c r="G1022" t="str">
        <f>"2025-10-22 10:56:59.656"</f>
        <v>2025-10-22 10:56:59.656</v>
      </c>
      <c r="H1022" t="s">
        <v>22</v>
      </c>
      <c r="I1022">
        <v>0</v>
      </c>
      <c r="J1022" t="s">
        <v>23</v>
      </c>
    </row>
    <row r="1023" spans="1:10" x14ac:dyDescent="0.25">
      <c r="A1023" s="1">
        <v>47</v>
      </c>
      <c r="B1023" t="s">
        <v>19</v>
      </c>
      <c r="C1023">
        <v>700</v>
      </c>
      <c r="D1023">
        <v>0</v>
      </c>
      <c r="E1023" t="s">
        <v>24</v>
      </c>
      <c r="F1023" t="s">
        <v>24</v>
      </c>
      <c r="G1023" t="str">
        <f>"2025-10-22 03:08:06.086"</f>
        <v>2025-10-22 03:08:06.086</v>
      </c>
      <c r="H1023" t="s">
        <v>22</v>
      </c>
      <c r="I1023">
        <v>0</v>
      </c>
      <c r="J1023" t="s">
        <v>34</v>
      </c>
    </row>
    <row r="1024" spans="1:10" x14ac:dyDescent="0.25">
      <c r="A1024" s="1">
        <v>48</v>
      </c>
      <c r="B1024" t="s">
        <v>19</v>
      </c>
      <c r="C1024">
        <v>700</v>
      </c>
      <c r="D1024">
        <v>0</v>
      </c>
      <c r="E1024" t="s">
        <v>24</v>
      </c>
      <c r="F1024" t="s">
        <v>24</v>
      </c>
      <c r="G1024" t="str">
        <f>"2025-10-22 02:52:03.986"</f>
        <v>2025-10-22 02:52:03.986</v>
      </c>
      <c r="H1024" t="s">
        <v>22</v>
      </c>
    </row>
    <row r="1025" spans="1:10" x14ac:dyDescent="0.25">
      <c r="A1025" s="1">
        <v>49</v>
      </c>
      <c r="B1025" t="s">
        <v>19</v>
      </c>
      <c r="C1025">
        <v>700</v>
      </c>
      <c r="D1025">
        <v>0</v>
      </c>
      <c r="E1025" t="s">
        <v>24</v>
      </c>
      <c r="F1025" t="s">
        <v>24</v>
      </c>
      <c r="G1025" t="str">
        <f>"2025-10-21 23:11:07.028"</f>
        <v>2025-10-21 23:11:07.028</v>
      </c>
      <c r="H1025" t="s">
        <v>22</v>
      </c>
      <c r="I1025">
        <v>0</v>
      </c>
      <c r="J1025" t="s">
        <v>34</v>
      </c>
    </row>
    <row r="1026" spans="1:10" x14ac:dyDescent="0.25">
      <c r="A1026" s="1">
        <v>50</v>
      </c>
      <c r="B1026" t="s">
        <v>19</v>
      </c>
      <c r="C1026">
        <v>706</v>
      </c>
      <c r="D1026">
        <v>4</v>
      </c>
      <c r="E1026" t="s">
        <v>20</v>
      </c>
      <c r="F1026" t="s">
        <v>21</v>
      </c>
      <c r="G1026" t="str">
        <f>"2025-10-21 20:05:36.822"</f>
        <v>2025-10-21 20:05:36.822</v>
      </c>
      <c r="H1026" t="s">
        <v>22</v>
      </c>
      <c r="I1026">
        <v>0</v>
      </c>
      <c r="J1026" t="s">
        <v>23</v>
      </c>
    </row>
    <row r="1027" spans="1:10" x14ac:dyDescent="0.25">
      <c r="A1027" s="1">
        <v>51</v>
      </c>
      <c r="B1027" t="s">
        <v>19</v>
      </c>
      <c r="C1027">
        <v>706</v>
      </c>
      <c r="D1027">
        <v>4</v>
      </c>
      <c r="E1027" t="s">
        <v>20</v>
      </c>
      <c r="F1027" t="s">
        <v>21</v>
      </c>
      <c r="G1027" t="str">
        <f>"2025-10-21 15:36:04.592"</f>
        <v>2025-10-21 15:36:04.592</v>
      </c>
      <c r="H1027" t="s">
        <v>22</v>
      </c>
      <c r="I1027">
        <v>0</v>
      </c>
      <c r="J1027" t="s">
        <v>23</v>
      </c>
    </row>
    <row r="1028" spans="1:10" x14ac:dyDescent="0.25">
      <c r="A1028" s="1">
        <v>52</v>
      </c>
      <c r="B1028" t="s">
        <v>19</v>
      </c>
      <c r="C1028">
        <v>700</v>
      </c>
      <c r="D1028">
        <v>0</v>
      </c>
      <c r="E1028" t="s">
        <v>24</v>
      </c>
      <c r="F1028" t="s">
        <v>24</v>
      </c>
      <c r="G1028" t="str">
        <f>"2025-10-21 15:28:13.022"</f>
        <v>2025-10-21 15:28:13.022</v>
      </c>
      <c r="H1028" t="s">
        <v>22</v>
      </c>
    </row>
    <row r="1029" spans="1:10" x14ac:dyDescent="0.25">
      <c r="A1029" s="1">
        <v>53</v>
      </c>
      <c r="B1029" t="s">
        <v>19</v>
      </c>
      <c r="C1029">
        <v>706</v>
      </c>
      <c r="D1029">
        <v>2</v>
      </c>
      <c r="E1029" t="s">
        <v>20</v>
      </c>
      <c r="F1029" t="s">
        <v>25</v>
      </c>
      <c r="G1029" t="str">
        <f>"2025-10-21 13:47:11.955"</f>
        <v>2025-10-21 13:47:11.955</v>
      </c>
      <c r="H1029" t="s">
        <v>22</v>
      </c>
      <c r="I1029">
        <v>0</v>
      </c>
      <c r="J1029" t="s">
        <v>23</v>
      </c>
    </row>
    <row r="1030" spans="1:10" x14ac:dyDescent="0.25">
      <c r="A1030" s="1">
        <v>54</v>
      </c>
      <c r="B1030" t="s">
        <v>19</v>
      </c>
      <c r="C1030">
        <v>700</v>
      </c>
      <c r="D1030">
        <v>0</v>
      </c>
      <c r="E1030" t="s">
        <v>24</v>
      </c>
      <c r="F1030" t="s">
        <v>24</v>
      </c>
      <c r="G1030" t="str">
        <f>"2025-10-20 23:59:20.995"</f>
        <v>2025-10-20 23:59:20.995</v>
      </c>
      <c r="H1030" t="s">
        <v>22</v>
      </c>
    </row>
    <row r="1031" spans="1:10" x14ac:dyDescent="0.25">
      <c r="A1031" s="1">
        <v>55</v>
      </c>
      <c r="B1031" t="s">
        <v>19</v>
      </c>
      <c r="C1031">
        <v>706</v>
      </c>
      <c r="D1031">
        <v>4</v>
      </c>
      <c r="E1031" t="s">
        <v>20</v>
      </c>
      <c r="F1031" t="s">
        <v>21</v>
      </c>
      <c r="G1031" t="str">
        <f>"2025-10-20 10:23:08.710"</f>
        <v>2025-10-20 10:23:08.710</v>
      </c>
      <c r="H1031" t="s">
        <v>22</v>
      </c>
      <c r="I1031">
        <v>0</v>
      </c>
      <c r="J1031" t="s">
        <v>23</v>
      </c>
    </row>
    <row r="1032" spans="1:10" x14ac:dyDescent="0.25">
      <c r="A1032" s="1">
        <v>56</v>
      </c>
      <c r="B1032" t="s">
        <v>19</v>
      </c>
      <c r="C1032">
        <v>706</v>
      </c>
      <c r="D1032">
        <v>2</v>
      </c>
      <c r="E1032" t="s">
        <v>20</v>
      </c>
      <c r="F1032" t="s">
        <v>25</v>
      </c>
      <c r="G1032" t="str">
        <f>"2025-10-20 00:05:35.231"</f>
        <v>2025-10-20 00:05:35.231</v>
      </c>
      <c r="H1032" t="s">
        <v>22</v>
      </c>
      <c r="I1032">
        <v>0</v>
      </c>
      <c r="J1032" t="s">
        <v>23</v>
      </c>
    </row>
    <row r="1033" spans="1:10" s="3" customFormat="1" x14ac:dyDescent="0.25">
      <c r="A1033" s="2">
        <v>57</v>
      </c>
      <c r="B1033" s="3" t="s">
        <v>26</v>
      </c>
      <c r="C1033" s="3">
        <v>647</v>
      </c>
      <c r="D1033" s="3">
        <v>1</v>
      </c>
      <c r="E1033" s="3" t="s">
        <v>27</v>
      </c>
      <c r="F1033" s="3" t="s">
        <v>28</v>
      </c>
      <c r="G1033" s="3" t="str">
        <f>"2025-10-19 13:07:22.787"</f>
        <v>2025-10-19 13:07:22.787</v>
      </c>
      <c r="H1033" s="3" t="s">
        <v>22</v>
      </c>
    </row>
    <row r="1034" spans="1:10" s="3" customFormat="1" x14ac:dyDescent="0.25">
      <c r="A1034" s="2">
        <v>58</v>
      </c>
      <c r="B1034" s="3" t="s">
        <v>29</v>
      </c>
      <c r="C1034" s="3">
        <v>647</v>
      </c>
      <c r="D1034" s="3">
        <v>1</v>
      </c>
      <c r="E1034" s="3" t="s">
        <v>27</v>
      </c>
      <c r="F1034" s="3" t="s">
        <v>28</v>
      </c>
      <c r="G1034" s="3" t="str">
        <f>"2025-10-19 13:07:21.287"</f>
        <v>2025-10-19 13:07:21.287</v>
      </c>
      <c r="H1034" s="3" t="s">
        <v>22</v>
      </c>
      <c r="I1034" s="3">
        <v>9.41</v>
      </c>
      <c r="J1034" s="3" t="s">
        <v>52</v>
      </c>
    </row>
    <row r="1035" spans="1:10" x14ac:dyDescent="0.25">
      <c r="A1035" s="1">
        <v>59</v>
      </c>
      <c r="B1035" t="s">
        <v>26</v>
      </c>
      <c r="C1035">
        <v>635</v>
      </c>
      <c r="D1035">
        <v>1</v>
      </c>
      <c r="E1035" t="s">
        <v>31</v>
      </c>
      <c r="F1035" t="s">
        <v>32</v>
      </c>
      <c r="G1035" t="str">
        <f>"2025-10-19 10:42:11.733"</f>
        <v>2025-10-19 10:42:11.733</v>
      </c>
      <c r="H1035" t="s">
        <v>22</v>
      </c>
    </row>
    <row r="1036" spans="1:10" x14ac:dyDescent="0.25">
      <c r="A1036" s="1">
        <v>60</v>
      </c>
      <c r="B1036" t="s">
        <v>29</v>
      </c>
      <c r="C1036">
        <v>635</v>
      </c>
      <c r="D1036">
        <v>1</v>
      </c>
      <c r="E1036" t="s">
        <v>31</v>
      </c>
      <c r="F1036" t="s">
        <v>32</v>
      </c>
      <c r="G1036" t="str">
        <f>"2025-10-19 10:29:56.233"</f>
        <v>2025-10-19 10:29:56.233</v>
      </c>
      <c r="H1036" t="s">
        <v>22</v>
      </c>
      <c r="I1036">
        <v>3.59</v>
      </c>
      <c r="J1036" t="s">
        <v>33</v>
      </c>
    </row>
    <row r="1037" spans="1:10" x14ac:dyDescent="0.25">
      <c r="A1037" s="1">
        <v>61</v>
      </c>
      <c r="B1037" t="s">
        <v>19</v>
      </c>
      <c r="C1037">
        <v>706</v>
      </c>
      <c r="D1037">
        <v>2</v>
      </c>
      <c r="E1037" t="s">
        <v>20</v>
      </c>
      <c r="F1037" t="s">
        <v>25</v>
      </c>
      <c r="G1037" t="str">
        <f>"2025-10-19 08:50:23.131"</f>
        <v>2025-10-19 08:50:23.131</v>
      </c>
      <c r="H1037" t="s">
        <v>22</v>
      </c>
      <c r="I1037">
        <v>0</v>
      </c>
      <c r="J1037" t="s">
        <v>23</v>
      </c>
    </row>
    <row r="1038" spans="1:10" x14ac:dyDescent="0.25">
      <c r="A1038" s="1">
        <v>62</v>
      </c>
      <c r="B1038" t="s">
        <v>19</v>
      </c>
      <c r="C1038">
        <v>706</v>
      </c>
      <c r="D1038">
        <v>2</v>
      </c>
      <c r="E1038" t="s">
        <v>20</v>
      </c>
      <c r="F1038" t="s">
        <v>25</v>
      </c>
      <c r="G1038" t="str">
        <f>"2025-10-17 23:20:57.531"</f>
        <v>2025-10-17 23:20:57.531</v>
      </c>
      <c r="H1038" t="s">
        <v>22</v>
      </c>
      <c r="I1038">
        <v>0</v>
      </c>
      <c r="J1038" t="s">
        <v>23</v>
      </c>
    </row>
    <row r="1039" spans="1:10" x14ac:dyDescent="0.25">
      <c r="A1039" s="1">
        <v>63</v>
      </c>
      <c r="B1039" t="s">
        <v>19</v>
      </c>
      <c r="C1039">
        <v>706</v>
      </c>
      <c r="D1039">
        <v>2</v>
      </c>
      <c r="E1039" t="s">
        <v>20</v>
      </c>
      <c r="F1039" t="s">
        <v>25</v>
      </c>
      <c r="G1039" t="str">
        <f>"2025-10-17 22:48:24.831"</f>
        <v>2025-10-17 22:48:24.831</v>
      </c>
      <c r="H1039" t="s">
        <v>22</v>
      </c>
      <c r="I1039">
        <v>0</v>
      </c>
      <c r="J1039" t="s">
        <v>23</v>
      </c>
    </row>
    <row r="1040" spans="1:10" x14ac:dyDescent="0.25">
      <c r="A1040" s="1">
        <v>64</v>
      </c>
      <c r="B1040" t="s">
        <v>19</v>
      </c>
      <c r="C1040">
        <v>700</v>
      </c>
      <c r="D1040">
        <v>0</v>
      </c>
      <c r="E1040" t="s">
        <v>24</v>
      </c>
      <c r="F1040" t="s">
        <v>24</v>
      </c>
      <c r="G1040" t="str">
        <f>"2025-10-17 22:06:37.001"</f>
        <v>2025-10-17 22:06:37.001</v>
      </c>
      <c r="H1040" t="s">
        <v>22</v>
      </c>
      <c r="I1040">
        <v>0</v>
      </c>
      <c r="J1040" t="s">
        <v>34</v>
      </c>
    </row>
    <row r="1041" spans="1:10" s="3" customFormat="1" x14ac:dyDescent="0.25">
      <c r="A1041" s="2">
        <v>65</v>
      </c>
      <c r="B1041" s="3" t="s">
        <v>26</v>
      </c>
      <c r="C1041" s="3">
        <v>647</v>
      </c>
      <c r="D1041" s="3">
        <v>1</v>
      </c>
      <c r="E1041" s="3" t="s">
        <v>27</v>
      </c>
      <c r="F1041" s="3" t="s">
        <v>28</v>
      </c>
      <c r="G1041" s="3" t="str">
        <f>"2025-10-17 18:43:38.499"</f>
        <v>2025-10-17 18:43:38.499</v>
      </c>
      <c r="H1041" s="3" t="s">
        <v>22</v>
      </c>
    </row>
    <row r="1042" spans="1:10" s="3" customFormat="1" x14ac:dyDescent="0.25">
      <c r="A1042" s="2">
        <v>66</v>
      </c>
      <c r="B1042" s="3" t="s">
        <v>29</v>
      </c>
      <c r="C1042" s="3">
        <v>647</v>
      </c>
      <c r="D1042" s="3">
        <v>1</v>
      </c>
      <c r="E1042" s="3" t="s">
        <v>27</v>
      </c>
      <c r="F1042" s="3" t="s">
        <v>28</v>
      </c>
      <c r="G1042" s="3" t="str">
        <f>"2025-10-17 18:43:31.199"</f>
        <v>2025-10-17 18:43:31.199</v>
      </c>
      <c r="H1042" s="3" t="s">
        <v>22</v>
      </c>
      <c r="I1042" s="3">
        <v>11.99</v>
      </c>
      <c r="J1042" s="3" t="s">
        <v>30</v>
      </c>
    </row>
    <row r="1043" spans="1:10" s="3" customFormat="1" x14ac:dyDescent="0.25">
      <c r="A1043" s="2">
        <v>67</v>
      </c>
      <c r="B1043" s="3" t="s">
        <v>26</v>
      </c>
      <c r="C1043" s="3">
        <v>647</v>
      </c>
      <c r="D1043" s="3">
        <v>1</v>
      </c>
      <c r="E1043" s="3" t="s">
        <v>27</v>
      </c>
      <c r="F1043" s="3" t="s">
        <v>28</v>
      </c>
      <c r="G1043" s="3" t="str">
        <f>"2025-10-17 13:25:08.099"</f>
        <v>2025-10-17 13:25:08.099</v>
      </c>
      <c r="H1043" s="3" t="s">
        <v>22</v>
      </c>
    </row>
    <row r="1044" spans="1:10" s="3" customFormat="1" x14ac:dyDescent="0.25">
      <c r="A1044" s="2">
        <v>68</v>
      </c>
      <c r="B1044" s="3" t="s">
        <v>29</v>
      </c>
      <c r="C1044" s="3">
        <v>647</v>
      </c>
      <c r="D1044" s="3">
        <v>1</v>
      </c>
      <c r="E1044" s="3" t="s">
        <v>27</v>
      </c>
      <c r="F1044" s="3" t="s">
        <v>28</v>
      </c>
      <c r="G1044" s="3" t="str">
        <f>"2025-10-17 13:25:04.498"</f>
        <v>2025-10-17 13:25:04.498</v>
      </c>
      <c r="H1044" s="3" t="s">
        <v>22</v>
      </c>
      <c r="I1044" s="3">
        <v>8.36</v>
      </c>
      <c r="J1044" s="3" t="s">
        <v>30</v>
      </c>
    </row>
    <row r="1045" spans="1:10" x14ac:dyDescent="0.25">
      <c r="A1045" s="1">
        <v>69</v>
      </c>
      <c r="B1045" t="s">
        <v>19</v>
      </c>
      <c r="C1045">
        <v>706</v>
      </c>
      <c r="D1045">
        <v>2</v>
      </c>
      <c r="E1045" t="s">
        <v>20</v>
      </c>
      <c r="F1045" t="s">
        <v>25</v>
      </c>
      <c r="G1045" t="str">
        <f>"2025-10-17 11:05:46.061"</f>
        <v>2025-10-17 11:05:46.061</v>
      </c>
      <c r="H1045" t="s">
        <v>22</v>
      </c>
      <c r="I1045">
        <v>0</v>
      </c>
      <c r="J1045" t="s">
        <v>23</v>
      </c>
    </row>
    <row r="1046" spans="1:10" x14ac:dyDescent="0.25">
      <c r="A1046" s="1">
        <v>70</v>
      </c>
      <c r="B1046" t="s">
        <v>19</v>
      </c>
      <c r="C1046">
        <v>706</v>
      </c>
      <c r="D1046">
        <v>4</v>
      </c>
      <c r="E1046" t="s">
        <v>20</v>
      </c>
      <c r="F1046" t="s">
        <v>21</v>
      </c>
      <c r="G1046" t="str">
        <f>"2025-10-17 01:16:21.751"</f>
        <v>2025-10-17 01:16:21.751</v>
      </c>
      <c r="H1046" t="s">
        <v>22</v>
      </c>
      <c r="I1046">
        <v>0</v>
      </c>
      <c r="J1046" t="s">
        <v>23</v>
      </c>
    </row>
    <row r="1047" spans="1:10" x14ac:dyDescent="0.25">
      <c r="A1047" s="1">
        <v>71</v>
      </c>
      <c r="B1047" t="s">
        <v>26</v>
      </c>
      <c r="C1047">
        <v>635</v>
      </c>
      <c r="D1047">
        <v>1</v>
      </c>
      <c r="E1047" t="s">
        <v>31</v>
      </c>
      <c r="F1047" t="s">
        <v>32</v>
      </c>
      <c r="G1047" t="str">
        <f>"2025-10-16 21:08:46.298"</f>
        <v>2025-10-16 21:08:46.298</v>
      </c>
      <c r="H1047" t="s">
        <v>22</v>
      </c>
    </row>
    <row r="1048" spans="1:10" x14ac:dyDescent="0.25">
      <c r="A1048" s="1">
        <v>72</v>
      </c>
      <c r="B1048" t="s">
        <v>29</v>
      </c>
      <c r="C1048">
        <v>635</v>
      </c>
      <c r="D1048">
        <v>1</v>
      </c>
      <c r="E1048" t="s">
        <v>31</v>
      </c>
      <c r="F1048" t="s">
        <v>32</v>
      </c>
      <c r="G1048" t="str">
        <f>"2025-10-16 20:57:41.298"</f>
        <v>2025-10-16 20:57:41.298</v>
      </c>
      <c r="H1048" t="s">
        <v>22</v>
      </c>
      <c r="I1048">
        <v>5.27</v>
      </c>
      <c r="J1048" t="s">
        <v>33</v>
      </c>
    </row>
    <row r="1049" spans="1:10" s="3" customFormat="1" x14ac:dyDescent="0.25">
      <c r="A1049" s="2">
        <v>73</v>
      </c>
      <c r="B1049" s="3" t="s">
        <v>26</v>
      </c>
      <c r="C1049" s="3">
        <v>647</v>
      </c>
      <c r="D1049" s="3">
        <v>1</v>
      </c>
      <c r="E1049" s="3" t="s">
        <v>27</v>
      </c>
      <c r="F1049" s="3" t="s">
        <v>28</v>
      </c>
      <c r="G1049" s="3" t="str">
        <f>"2025-10-15 10:27:47.299"</f>
        <v>2025-10-15 10:27:47.299</v>
      </c>
      <c r="H1049" s="3" t="s">
        <v>22</v>
      </c>
    </row>
    <row r="1050" spans="1:10" s="3" customFormat="1" x14ac:dyDescent="0.25">
      <c r="A1050" s="2">
        <v>74</v>
      </c>
      <c r="B1050" s="3" t="s">
        <v>29</v>
      </c>
      <c r="C1050" s="3">
        <v>647</v>
      </c>
      <c r="D1050" s="3">
        <v>1</v>
      </c>
      <c r="E1050" s="3" t="s">
        <v>27</v>
      </c>
      <c r="F1050" s="3" t="s">
        <v>28</v>
      </c>
      <c r="G1050" s="3" t="str">
        <f>"2025-10-15 10:27:44.599"</f>
        <v>2025-10-15 10:27:44.599</v>
      </c>
      <c r="H1050" s="3" t="s">
        <v>22</v>
      </c>
      <c r="I1050" s="3">
        <v>9.58</v>
      </c>
      <c r="J1050" s="3" t="s">
        <v>30</v>
      </c>
    </row>
    <row r="1051" spans="1:10" x14ac:dyDescent="0.25">
      <c r="A1051" s="1">
        <v>75</v>
      </c>
      <c r="B1051" t="s">
        <v>19</v>
      </c>
      <c r="C1051">
        <v>706</v>
      </c>
      <c r="D1051">
        <v>4</v>
      </c>
      <c r="E1051" t="s">
        <v>20</v>
      </c>
      <c r="F1051" t="s">
        <v>21</v>
      </c>
      <c r="G1051" t="str">
        <f>"2025-10-15 10:18:14.871"</f>
        <v>2025-10-15 10:18:14.871</v>
      </c>
      <c r="H1051" t="s">
        <v>22</v>
      </c>
      <c r="I1051">
        <v>0</v>
      </c>
      <c r="J1051" t="s">
        <v>23</v>
      </c>
    </row>
    <row r="1052" spans="1:10" x14ac:dyDescent="0.25">
      <c r="A1052" s="1">
        <v>77</v>
      </c>
      <c r="B1052" t="s">
        <v>19</v>
      </c>
      <c r="C1052">
        <v>706</v>
      </c>
      <c r="D1052">
        <v>2</v>
      </c>
      <c r="E1052" t="s">
        <v>20</v>
      </c>
      <c r="F1052" t="s">
        <v>25</v>
      </c>
      <c r="G1052" t="str">
        <f>"2025-10-14 21:55:43.061"</f>
        <v>2025-10-14 21:55:43.061</v>
      </c>
      <c r="H1052" t="s">
        <v>22</v>
      </c>
      <c r="I1052">
        <v>0</v>
      </c>
      <c r="J1052" t="s">
        <v>23</v>
      </c>
    </row>
    <row r="1053" spans="1:10" x14ac:dyDescent="0.25">
      <c r="A1053" s="1">
        <v>78</v>
      </c>
      <c r="B1053" t="s">
        <v>19</v>
      </c>
      <c r="C1053">
        <v>706</v>
      </c>
      <c r="D1053">
        <v>4</v>
      </c>
      <c r="E1053" t="s">
        <v>20</v>
      </c>
      <c r="F1053" t="s">
        <v>21</v>
      </c>
      <c r="G1053" t="str">
        <f>"2025-10-14 00:57:43.391"</f>
        <v>2025-10-14 00:57:43.391</v>
      </c>
      <c r="H1053" t="s">
        <v>22</v>
      </c>
      <c r="I1053">
        <v>0</v>
      </c>
      <c r="J1053" t="s">
        <v>23</v>
      </c>
    </row>
    <row r="1054" spans="1:10" x14ac:dyDescent="0.25">
      <c r="A1054" s="1">
        <v>80</v>
      </c>
      <c r="B1054" t="s">
        <v>19</v>
      </c>
      <c r="C1054">
        <v>706</v>
      </c>
      <c r="D1054">
        <v>2</v>
      </c>
      <c r="E1054" t="s">
        <v>20</v>
      </c>
      <c r="F1054" t="s">
        <v>25</v>
      </c>
      <c r="G1054" t="str">
        <f>"2025-10-13 11:45:48.661"</f>
        <v>2025-10-13 11:45:48.661</v>
      </c>
      <c r="H1054" t="s">
        <v>22</v>
      </c>
      <c r="I1054">
        <v>0</v>
      </c>
      <c r="J1054" t="s">
        <v>23</v>
      </c>
    </row>
    <row r="1055" spans="1:10" x14ac:dyDescent="0.25">
      <c r="A1055" s="1">
        <v>81</v>
      </c>
      <c r="B1055" t="s">
        <v>19</v>
      </c>
      <c r="C1055">
        <v>700</v>
      </c>
      <c r="D1055">
        <v>0</v>
      </c>
      <c r="E1055" t="s">
        <v>24</v>
      </c>
      <c r="F1055" t="s">
        <v>24</v>
      </c>
      <c r="G1055" t="str">
        <f>"2025-10-13 11:43:05.011"</f>
        <v>2025-10-13 11:43:05.011</v>
      </c>
      <c r="H1055" t="s">
        <v>22</v>
      </c>
      <c r="I1055">
        <v>0</v>
      </c>
      <c r="J1055" t="s">
        <v>34</v>
      </c>
    </row>
    <row r="1056" spans="1:10" x14ac:dyDescent="0.25">
      <c r="A1056" s="1">
        <v>82</v>
      </c>
      <c r="B1056" t="s">
        <v>19</v>
      </c>
      <c r="C1056">
        <v>706</v>
      </c>
      <c r="D1056">
        <v>4</v>
      </c>
      <c r="E1056" t="s">
        <v>20</v>
      </c>
      <c r="F1056" t="s">
        <v>21</v>
      </c>
      <c r="G1056" t="str">
        <f>"2025-10-12 21:24:33.134"</f>
        <v>2025-10-12 21:24:33.134</v>
      </c>
      <c r="H1056" t="s">
        <v>22</v>
      </c>
      <c r="I1056">
        <v>0</v>
      </c>
      <c r="J1056" t="s">
        <v>23</v>
      </c>
    </row>
    <row r="1057" spans="1:10" s="3" customFormat="1" x14ac:dyDescent="0.25">
      <c r="A1057" s="2">
        <v>83</v>
      </c>
      <c r="B1057" s="3" t="s">
        <v>26</v>
      </c>
      <c r="C1057" s="3">
        <v>647</v>
      </c>
      <c r="D1057" s="3">
        <v>1</v>
      </c>
      <c r="E1057" s="3" t="s">
        <v>27</v>
      </c>
      <c r="F1057" s="3" t="s">
        <v>28</v>
      </c>
      <c r="G1057" s="3" t="str">
        <f>"2025-10-12 09:40:26.028"</f>
        <v>2025-10-12 09:40:26.028</v>
      </c>
      <c r="H1057" s="3" t="s">
        <v>22</v>
      </c>
    </row>
    <row r="1058" spans="1:10" s="3" customFormat="1" x14ac:dyDescent="0.25">
      <c r="A1058" s="2">
        <v>84</v>
      </c>
      <c r="B1058" s="3" t="s">
        <v>29</v>
      </c>
      <c r="C1058" s="3">
        <v>647</v>
      </c>
      <c r="D1058" s="3">
        <v>1</v>
      </c>
      <c r="E1058" s="3" t="s">
        <v>27</v>
      </c>
      <c r="F1058" s="3" t="s">
        <v>28</v>
      </c>
      <c r="G1058" s="3" t="str">
        <f>"2025-10-12 09:40:21.528"</f>
        <v>2025-10-12 09:40:21.528</v>
      </c>
      <c r="H1058" s="3" t="s">
        <v>22</v>
      </c>
      <c r="I1058" s="3">
        <v>25.09</v>
      </c>
      <c r="J1058" s="3" t="s">
        <v>30</v>
      </c>
    </row>
    <row r="1059" spans="1:10" x14ac:dyDescent="0.25">
      <c r="A1059" s="1">
        <v>85</v>
      </c>
      <c r="B1059" t="s">
        <v>19</v>
      </c>
      <c r="C1059">
        <v>706</v>
      </c>
      <c r="D1059">
        <v>2</v>
      </c>
      <c r="E1059" t="s">
        <v>20</v>
      </c>
      <c r="F1059" t="s">
        <v>25</v>
      </c>
      <c r="G1059" t="str">
        <f>"2025-10-11 22:12:51.074"</f>
        <v>2025-10-11 22:12:51.074</v>
      </c>
      <c r="H1059" t="s">
        <v>22</v>
      </c>
      <c r="I1059">
        <v>0</v>
      </c>
      <c r="J1059" t="s">
        <v>23</v>
      </c>
    </row>
    <row r="1060" spans="1:10" x14ac:dyDescent="0.25">
      <c r="A1060" s="1">
        <v>86</v>
      </c>
      <c r="B1060" t="s">
        <v>19</v>
      </c>
      <c r="C1060">
        <v>706</v>
      </c>
      <c r="D1060">
        <v>4</v>
      </c>
      <c r="E1060" t="s">
        <v>20</v>
      </c>
      <c r="F1060" t="s">
        <v>21</v>
      </c>
      <c r="G1060" t="str">
        <f>"2025-10-11 13:43:20.884"</f>
        <v>2025-10-11 13:43:20.884</v>
      </c>
      <c r="H1060" t="s">
        <v>22</v>
      </c>
      <c r="I1060">
        <v>0</v>
      </c>
      <c r="J1060" t="s">
        <v>23</v>
      </c>
    </row>
    <row r="1061" spans="1:10" x14ac:dyDescent="0.25">
      <c r="A1061" s="1">
        <v>87</v>
      </c>
      <c r="B1061" t="s">
        <v>19</v>
      </c>
      <c r="C1061">
        <v>706</v>
      </c>
      <c r="D1061">
        <v>2</v>
      </c>
      <c r="E1061" t="s">
        <v>20</v>
      </c>
      <c r="F1061" t="s">
        <v>25</v>
      </c>
      <c r="G1061" t="str">
        <f>"2025-10-10 22:09:16.274"</f>
        <v>2025-10-10 22:09:16.274</v>
      </c>
      <c r="H1061" t="s">
        <v>22</v>
      </c>
      <c r="I1061">
        <v>0</v>
      </c>
      <c r="J1061" t="s">
        <v>23</v>
      </c>
    </row>
    <row r="1062" spans="1:10" x14ac:dyDescent="0.25">
      <c r="A1062" s="1">
        <v>88</v>
      </c>
      <c r="B1062" t="s">
        <v>19</v>
      </c>
      <c r="C1062">
        <v>706</v>
      </c>
      <c r="D1062">
        <v>2</v>
      </c>
      <c r="E1062" t="s">
        <v>20</v>
      </c>
      <c r="F1062" t="s">
        <v>25</v>
      </c>
      <c r="G1062" t="str">
        <f>"2025-10-10 13:52:23.274"</f>
        <v>2025-10-10 13:52:23.274</v>
      </c>
      <c r="H1062" t="s">
        <v>22</v>
      </c>
      <c r="I1062">
        <v>0</v>
      </c>
      <c r="J1062" t="s">
        <v>23</v>
      </c>
    </row>
    <row r="1063" spans="1:10" s="3" customFormat="1" x14ac:dyDescent="0.25">
      <c r="A1063" s="2">
        <v>89</v>
      </c>
      <c r="B1063" s="3" t="s">
        <v>26</v>
      </c>
      <c r="C1063" s="3">
        <v>647</v>
      </c>
      <c r="D1063" s="3">
        <v>1</v>
      </c>
      <c r="E1063" s="3" t="s">
        <v>27</v>
      </c>
      <c r="F1063" s="3" t="s">
        <v>28</v>
      </c>
      <c r="G1063" s="3" t="str">
        <f>"2025-10-10 13:02:20.328"</f>
        <v>2025-10-10 13:02:20.328</v>
      </c>
      <c r="H1063" s="3" t="s">
        <v>22</v>
      </c>
    </row>
    <row r="1064" spans="1:10" s="3" customFormat="1" x14ac:dyDescent="0.25">
      <c r="A1064" s="2">
        <v>90</v>
      </c>
      <c r="B1064" s="3" t="s">
        <v>29</v>
      </c>
      <c r="C1064" s="3">
        <v>647</v>
      </c>
      <c r="D1064" s="3">
        <v>1</v>
      </c>
      <c r="E1064" s="3" t="s">
        <v>27</v>
      </c>
      <c r="F1064" s="3" t="s">
        <v>28</v>
      </c>
      <c r="G1064" s="3" t="str">
        <f>"2025-10-10 13:02:15.428"</f>
        <v>2025-10-10 13:02:15.428</v>
      </c>
      <c r="H1064" s="3" t="s">
        <v>22</v>
      </c>
      <c r="I1064" s="3">
        <v>14.03</v>
      </c>
      <c r="J1064" s="3" t="s">
        <v>30</v>
      </c>
    </row>
    <row r="1065" spans="1:10" x14ac:dyDescent="0.25">
      <c r="A1065" s="1">
        <v>91</v>
      </c>
      <c r="B1065" t="s">
        <v>19</v>
      </c>
      <c r="C1065">
        <v>706</v>
      </c>
      <c r="D1065">
        <v>4</v>
      </c>
      <c r="E1065" t="s">
        <v>20</v>
      </c>
      <c r="F1065" t="s">
        <v>21</v>
      </c>
      <c r="G1065" t="str">
        <f>"2025-10-09 11:44:34.854"</f>
        <v>2025-10-09 11:44:34.854</v>
      </c>
      <c r="H1065" t="s">
        <v>22</v>
      </c>
      <c r="I1065">
        <v>0</v>
      </c>
      <c r="J1065" t="s">
        <v>23</v>
      </c>
    </row>
    <row r="1066" spans="1:10" x14ac:dyDescent="0.25">
      <c r="A1066" s="1">
        <v>92</v>
      </c>
      <c r="B1066" t="s">
        <v>26</v>
      </c>
      <c r="C1066">
        <v>635</v>
      </c>
      <c r="D1066">
        <v>1</v>
      </c>
      <c r="E1066" t="s">
        <v>31</v>
      </c>
      <c r="F1066" t="s">
        <v>32</v>
      </c>
      <c r="G1066" t="str">
        <f>"2025-10-09 10:57:32.628"</f>
        <v>2025-10-09 10:57:32.628</v>
      </c>
      <c r="H1066" t="s">
        <v>22</v>
      </c>
    </row>
    <row r="1067" spans="1:10" x14ac:dyDescent="0.25">
      <c r="A1067" s="1">
        <v>93</v>
      </c>
      <c r="B1067" t="s">
        <v>29</v>
      </c>
      <c r="C1067">
        <v>635</v>
      </c>
      <c r="D1067">
        <v>1</v>
      </c>
      <c r="E1067" t="s">
        <v>31</v>
      </c>
      <c r="F1067" t="s">
        <v>32</v>
      </c>
      <c r="G1067" t="str">
        <f>"2025-10-09 10:54:00.128"</f>
        <v>2025-10-09 10:54:00.128</v>
      </c>
      <c r="H1067" t="s">
        <v>22</v>
      </c>
      <c r="I1067">
        <v>7.84</v>
      </c>
      <c r="J1067" t="s">
        <v>33</v>
      </c>
    </row>
    <row r="1068" spans="1:10" x14ac:dyDescent="0.25">
      <c r="A1068" s="1">
        <v>94</v>
      </c>
      <c r="B1068" t="s">
        <v>19</v>
      </c>
      <c r="C1068">
        <v>706</v>
      </c>
      <c r="D1068">
        <v>2</v>
      </c>
      <c r="E1068" t="s">
        <v>20</v>
      </c>
      <c r="F1068" t="s">
        <v>25</v>
      </c>
      <c r="G1068" t="str">
        <f>"2025-10-09 02:24:37.474"</f>
        <v>2025-10-09 02:24:37.474</v>
      </c>
      <c r="H1068" t="s">
        <v>22</v>
      </c>
      <c r="I1068">
        <v>0</v>
      </c>
      <c r="J1068" t="s">
        <v>23</v>
      </c>
    </row>
    <row r="1069" spans="1:10" x14ac:dyDescent="0.25">
      <c r="A1069" s="1">
        <v>95</v>
      </c>
      <c r="B1069" t="s">
        <v>19</v>
      </c>
      <c r="C1069">
        <v>700</v>
      </c>
      <c r="D1069">
        <v>0</v>
      </c>
      <c r="E1069" t="s">
        <v>24</v>
      </c>
      <c r="F1069" t="s">
        <v>24</v>
      </c>
      <c r="G1069" t="str">
        <f>"2025-10-08 16:48:16.124"</f>
        <v>2025-10-08 16:48:16.124</v>
      </c>
      <c r="H1069" t="s">
        <v>22</v>
      </c>
      <c r="I1069">
        <v>0</v>
      </c>
      <c r="J1069" t="s">
        <v>34</v>
      </c>
    </row>
    <row r="1070" spans="1:10" x14ac:dyDescent="0.25">
      <c r="A1070" s="1">
        <v>96</v>
      </c>
      <c r="B1070" t="s">
        <v>19</v>
      </c>
      <c r="C1070">
        <v>700</v>
      </c>
      <c r="D1070">
        <v>0</v>
      </c>
      <c r="E1070" t="s">
        <v>24</v>
      </c>
      <c r="F1070" t="s">
        <v>24</v>
      </c>
      <c r="G1070" t="str">
        <f>"2025-10-08 15:23:24.972"</f>
        <v>2025-10-08 15:23:24.972</v>
      </c>
      <c r="H1070" t="s">
        <v>22</v>
      </c>
      <c r="I1070">
        <v>0</v>
      </c>
      <c r="J1070" t="s">
        <v>34</v>
      </c>
    </row>
    <row r="1071" spans="1:10" x14ac:dyDescent="0.25">
      <c r="A1071" s="1">
        <v>97</v>
      </c>
      <c r="B1071" t="s">
        <v>19</v>
      </c>
      <c r="C1071">
        <v>706</v>
      </c>
      <c r="D1071">
        <v>2</v>
      </c>
      <c r="E1071" t="s">
        <v>20</v>
      </c>
      <c r="F1071" t="s">
        <v>25</v>
      </c>
      <c r="G1071" t="str">
        <f>"2025-10-08 15:06:28.806"</f>
        <v>2025-10-08 15:06:28.806</v>
      </c>
      <c r="H1071" t="s">
        <v>22</v>
      </c>
      <c r="I1071">
        <v>0</v>
      </c>
      <c r="J1071" t="s">
        <v>23</v>
      </c>
    </row>
    <row r="1072" spans="1:10" x14ac:dyDescent="0.25">
      <c r="A1072" s="1">
        <v>98</v>
      </c>
      <c r="B1072" t="s">
        <v>19</v>
      </c>
      <c r="C1072">
        <v>700</v>
      </c>
      <c r="D1072">
        <v>0</v>
      </c>
      <c r="E1072" t="s">
        <v>24</v>
      </c>
      <c r="F1072" t="s">
        <v>24</v>
      </c>
      <c r="G1072" t="str">
        <f>"2025-10-08 15:06:13.976"</f>
        <v>2025-10-08 15:06:13.976</v>
      </c>
      <c r="H1072" t="s">
        <v>22</v>
      </c>
      <c r="I1072">
        <v>0</v>
      </c>
      <c r="J1072" t="s">
        <v>34</v>
      </c>
    </row>
    <row r="1073" spans="1:10" x14ac:dyDescent="0.25">
      <c r="A1073" s="1">
        <v>99</v>
      </c>
      <c r="B1073" t="s">
        <v>19</v>
      </c>
      <c r="C1073">
        <v>706</v>
      </c>
      <c r="D1073">
        <v>4</v>
      </c>
      <c r="E1073" t="s">
        <v>20</v>
      </c>
      <c r="F1073" t="s">
        <v>21</v>
      </c>
      <c r="G1073" t="str">
        <f>"2025-10-08 10:19:20.757"</f>
        <v>2025-10-08 10:19:20.757</v>
      </c>
      <c r="H1073" t="s">
        <v>22</v>
      </c>
      <c r="I1073">
        <v>0</v>
      </c>
      <c r="J1073" t="s">
        <v>23</v>
      </c>
    </row>
    <row r="1074" spans="1:10" x14ac:dyDescent="0.25">
      <c r="A1074" s="1">
        <v>100</v>
      </c>
      <c r="B1074" t="s">
        <v>19</v>
      </c>
      <c r="C1074">
        <v>700</v>
      </c>
      <c r="D1074">
        <v>0</v>
      </c>
      <c r="E1074" t="s">
        <v>24</v>
      </c>
      <c r="F1074" t="s">
        <v>24</v>
      </c>
      <c r="G1074" t="str">
        <f>"2025-10-08 10:19:05.977"</f>
        <v>2025-10-08 10:19:05.977</v>
      </c>
      <c r="H1074" t="s">
        <v>22</v>
      </c>
      <c r="I1074">
        <v>0</v>
      </c>
      <c r="J1074" t="s">
        <v>34</v>
      </c>
    </row>
    <row r="1075" spans="1:10" x14ac:dyDescent="0.25">
      <c r="A1075" s="1">
        <v>101</v>
      </c>
      <c r="B1075" t="s">
        <v>19</v>
      </c>
      <c r="C1075">
        <v>706</v>
      </c>
      <c r="D1075">
        <v>2</v>
      </c>
      <c r="E1075" t="s">
        <v>20</v>
      </c>
      <c r="F1075" t="s">
        <v>25</v>
      </c>
      <c r="G1075" t="str">
        <f>"2025-10-07 14:56:59.942"</f>
        <v>2025-10-07 14:56:59.942</v>
      </c>
      <c r="H1075" t="s">
        <v>22</v>
      </c>
      <c r="I1075">
        <v>0</v>
      </c>
      <c r="J1075" t="s">
        <v>23</v>
      </c>
    </row>
    <row r="1076" spans="1:10" s="3" customFormat="1" x14ac:dyDescent="0.25">
      <c r="A1076" s="2">
        <v>102</v>
      </c>
      <c r="B1076" s="3" t="s">
        <v>26</v>
      </c>
      <c r="C1076" s="3">
        <v>647</v>
      </c>
      <c r="D1076" s="3">
        <v>1</v>
      </c>
      <c r="E1076" s="3" t="s">
        <v>27</v>
      </c>
      <c r="F1076" s="3" t="s">
        <v>28</v>
      </c>
      <c r="G1076" s="3" t="str">
        <f>"2025-10-07 09:36:31.688"</f>
        <v>2025-10-07 09:36:31.688</v>
      </c>
      <c r="H1076" s="3" t="s">
        <v>22</v>
      </c>
    </row>
    <row r="1077" spans="1:10" s="3" customFormat="1" x14ac:dyDescent="0.25">
      <c r="A1077" s="2">
        <v>103</v>
      </c>
      <c r="B1077" s="3" t="s">
        <v>29</v>
      </c>
      <c r="C1077" s="3">
        <v>647</v>
      </c>
      <c r="D1077" s="3">
        <v>1</v>
      </c>
      <c r="E1077" s="3" t="s">
        <v>27</v>
      </c>
      <c r="F1077" s="3" t="s">
        <v>28</v>
      </c>
      <c r="G1077" s="3" t="str">
        <f>"2025-10-07 09:36:27.888"</f>
        <v>2025-10-07 09:36:27.888</v>
      </c>
      <c r="H1077" s="3" t="s">
        <v>22</v>
      </c>
      <c r="I1077" s="3">
        <v>8.9</v>
      </c>
      <c r="J1077" s="3" t="s">
        <v>30</v>
      </c>
    </row>
    <row r="1078" spans="1:10" x14ac:dyDescent="0.25">
      <c r="A1078" s="1">
        <v>104</v>
      </c>
      <c r="B1078" t="s">
        <v>19</v>
      </c>
      <c r="C1078">
        <v>700</v>
      </c>
      <c r="D1078">
        <v>0</v>
      </c>
      <c r="E1078" t="s">
        <v>24</v>
      </c>
      <c r="F1078" t="s">
        <v>24</v>
      </c>
      <c r="G1078" t="str">
        <f>"2025-10-07 01:31:42.962"</f>
        <v>2025-10-07 01:31:42.962</v>
      </c>
      <c r="H1078" t="s">
        <v>22</v>
      </c>
    </row>
    <row r="1079" spans="1:10" x14ac:dyDescent="0.25">
      <c r="A1079" s="1">
        <v>105</v>
      </c>
      <c r="B1079" t="s">
        <v>19</v>
      </c>
      <c r="C1079">
        <v>700</v>
      </c>
      <c r="D1079">
        <v>0</v>
      </c>
      <c r="E1079" t="s">
        <v>24</v>
      </c>
      <c r="F1079" t="s">
        <v>24</v>
      </c>
      <c r="G1079" t="str">
        <f>"2025-10-07 00:53:17.995"</f>
        <v>2025-10-07 00:53:17.995</v>
      </c>
      <c r="H1079" t="s">
        <v>22</v>
      </c>
    </row>
    <row r="1080" spans="1:10" x14ac:dyDescent="0.25">
      <c r="A1080" s="1">
        <v>106</v>
      </c>
      <c r="B1080" t="s">
        <v>19</v>
      </c>
      <c r="C1080">
        <v>706</v>
      </c>
      <c r="D1080">
        <v>2</v>
      </c>
      <c r="E1080" t="s">
        <v>20</v>
      </c>
      <c r="F1080" t="s">
        <v>25</v>
      </c>
      <c r="G1080" t="str">
        <f>"2025-10-07 00:40:40.270"</f>
        <v>2025-10-07 00:40:40.270</v>
      </c>
      <c r="H1080" t="s">
        <v>22</v>
      </c>
      <c r="I1080">
        <v>0</v>
      </c>
      <c r="J1080" t="s">
        <v>23</v>
      </c>
    </row>
    <row r="1081" spans="1:10" x14ac:dyDescent="0.25">
      <c r="A1081" s="1">
        <v>107</v>
      </c>
      <c r="B1081" t="s">
        <v>19</v>
      </c>
      <c r="C1081">
        <v>700</v>
      </c>
      <c r="D1081">
        <v>0</v>
      </c>
      <c r="E1081" t="s">
        <v>24</v>
      </c>
      <c r="F1081" t="s">
        <v>24</v>
      </c>
      <c r="G1081" t="str">
        <f>"2025-10-07 00:38:20.960"</f>
        <v>2025-10-07 00:38:20.960</v>
      </c>
      <c r="H1081" t="s">
        <v>22</v>
      </c>
    </row>
    <row r="1082" spans="1:10" x14ac:dyDescent="0.25">
      <c r="A1082" s="1">
        <v>108</v>
      </c>
      <c r="B1082" t="s">
        <v>19</v>
      </c>
      <c r="C1082">
        <v>706</v>
      </c>
      <c r="D1082">
        <v>4</v>
      </c>
      <c r="E1082" t="s">
        <v>20</v>
      </c>
      <c r="F1082" t="s">
        <v>21</v>
      </c>
      <c r="G1082" t="str">
        <f>"2025-10-07 00:35:09.153"</f>
        <v>2025-10-07 00:35:09.153</v>
      </c>
      <c r="H1082" t="s">
        <v>22</v>
      </c>
      <c r="I1082">
        <v>0</v>
      </c>
      <c r="J1082" t="s">
        <v>23</v>
      </c>
    </row>
    <row r="1083" spans="1:10" x14ac:dyDescent="0.25">
      <c r="A1083" s="1">
        <v>109</v>
      </c>
      <c r="B1083" t="s">
        <v>19</v>
      </c>
      <c r="C1083">
        <v>706</v>
      </c>
      <c r="D1083">
        <v>4</v>
      </c>
      <c r="E1083" t="s">
        <v>20</v>
      </c>
      <c r="F1083" t="s">
        <v>21</v>
      </c>
      <c r="G1083" t="str">
        <f>"2025-10-07 00:28:17.563"</f>
        <v>2025-10-07 00:28:17.563</v>
      </c>
      <c r="H1083" t="s">
        <v>22</v>
      </c>
      <c r="I1083">
        <v>0</v>
      </c>
      <c r="J1083" t="s">
        <v>23</v>
      </c>
    </row>
    <row r="1084" spans="1:10" x14ac:dyDescent="0.25">
      <c r="A1084" s="1">
        <v>110</v>
      </c>
      <c r="B1084" t="s">
        <v>19</v>
      </c>
      <c r="C1084">
        <v>706</v>
      </c>
      <c r="D1084">
        <v>4</v>
      </c>
      <c r="E1084" t="s">
        <v>20</v>
      </c>
      <c r="F1084" t="s">
        <v>21</v>
      </c>
      <c r="G1084" t="str">
        <f>"2025-10-07 00:22:40.393"</f>
        <v>2025-10-07 00:22:40.393</v>
      </c>
      <c r="H1084" t="s">
        <v>22</v>
      </c>
      <c r="I1084">
        <v>0</v>
      </c>
      <c r="J1084" t="s">
        <v>23</v>
      </c>
    </row>
    <row r="1085" spans="1:10" x14ac:dyDescent="0.25">
      <c r="A1085" s="1">
        <v>111</v>
      </c>
      <c r="B1085" t="s">
        <v>19</v>
      </c>
      <c r="C1085">
        <v>700</v>
      </c>
      <c r="D1085">
        <v>0</v>
      </c>
      <c r="E1085" t="s">
        <v>24</v>
      </c>
      <c r="F1085" t="s">
        <v>24</v>
      </c>
      <c r="G1085" t="str">
        <f>"2025-10-07 00:06:18.963"</f>
        <v>2025-10-07 00:06:18.963</v>
      </c>
      <c r="H1085" t="s">
        <v>22</v>
      </c>
    </row>
    <row r="1086" spans="1:10" x14ac:dyDescent="0.25">
      <c r="A1086" s="1">
        <v>112</v>
      </c>
      <c r="B1086" t="s">
        <v>19</v>
      </c>
      <c r="C1086">
        <v>706</v>
      </c>
      <c r="D1086">
        <v>4</v>
      </c>
      <c r="E1086" t="s">
        <v>20</v>
      </c>
      <c r="F1086" t="s">
        <v>21</v>
      </c>
      <c r="G1086" t="str">
        <f>"2025-10-05 21:49:15.870"</f>
        <v>2025-10-05 21:49:15.870</v>
      </c>
      <c r="H1086" t="s">
        <v>22</v>
      </c>
      <c r="I1086">
        <v>0</v>
      </c>
      <c r="J1086" t="s">
        <v>23</v>
      </c>
    </row>
    <row r="1087" spans="1:10" x14ac:dyDescent="0.25">
      <c r="A1087" s="1">
        <v>113</v>
      </c>
      <c r="B1087" t="s">
        <v>19</v>
      </c>
      <c r="C1087">
        <v>700</v>
      </c>
      <c r="D1087">
        <v>0</v>
      </c>
      <c r="E1087" t="s">
        <v>24</v>
      </c>
      <c r="F1087" t="s">
        <v>24</v>
      </c>
      <c r="G1087" t="str">
        <f>"2025-10-05 09:24:49.960"</f>
        <v>2025-10-05 09:24:49.960</v>
      </c>
      <c r="H1087" t="s">
        <v>22</v>
      </c>
      <c r="I1087">
        <v>0</v>
      </c>
      <c r="J1087" t="s">
        <v>34</v>
      </c>
    </row>
    <row r="1088" spans="1:10" x14ac:dyDescent="0.25">
      <c r="A1088" s="1">
        <v>114</v>
      </c>
      <c r="B1088" t="s">
        <v>19</v>
      </c>
      <c r="C1088">
        <v>706</v>
      </c>
      <c r="D1088">
        <v>4</v>
      </c>
      <c r="E1088" t="s">
        <v>20</v>
      </c>
      <c r="F1088" t="s">
        <v>21</v>
      </c>
      <c r="G1088" t="str">
        <f>"2025-10-04 21:31:06.263"</f>
        <v>2025-10-04 21:31:06.263</v>
      </c>
      <c r="H1088" t="s">
        <v>22</v>
      </c>
      <c r="I1088">
        <v>0</v>
      </c>
      <c r="J1088" t="s">
        <v>23</v>
      </c>
    </row>
    <row r="1089" spans="1:10" x14ac:dyDescent="0.25">
      <c r="A1089" s="1">
        <v>115</v>
      </c>
      <c r="B1089" t="s">
        <v>19</v>
      </c>
      <c r="C1089">
        <v>706</v>
      </c>
      <c r="D1089">
        <v>2</v>
      </c>
      <c r="E1089" t="s">
        <v>20</v>
      </c>
      <c r="F1089" t="s">
        <v>25</v>
      </c>
      <c r="G1089" t="str">
        <f>"2025-10-04 09:21:20.633"</f>
        <v>2025-10-04 09:21:20.633</v>
      </c>
      <c r="H1089" t="s">
        <v>22</v>
      </c>
      <c r="I1089">
        <v>0</v>
      </c>
      <c r="J1089" t="s">
        <v>23</v>
      </c>
    </row>
    <row r="1090" spans="1:10" x14ac:dyDescent="0.25">
      <c r="A1090" s="1">
        <v>116</v>
      </c>
      <c r="B1090" t="s">
        <v>19</v>
      </c>
      <c r="C1090">
        <v>706</v>
      </c>
      <c r="D1090">
        <v>2</v>
      </c>
      <c r="E1090" t="s">
        <v>20</v>
      </c>
      <c r="F1090" t="s">
        <v>25</v>
      </c>
      <c r="G1090" t="str">
        <f>"2025-10-03 21:17:01.733"</f>
        <v>2025-10-03 21:17:01.733</v>
      </c>
      <c r="H1090" t="s">
        <v>22</v>
      </c>
      <c r="I1090">
        <v>0</v>
      </c>
      <c r="J1090" t="s">
        <v>23</v>
      </c>
    </row>
    <row r="1091" spans="1:10" x14ac:dyDescent="0.25">
      <c r="A1091" s="1">
        <v>117</v>
      </c>
      <c r="B1091" t="s">
        <v>19</v>
      </c>
      <c r="C1091">
        <v>706</v>
      </c>
      <c r="D1091">
        <v>2</v>
      </c>
      <c r="E1091" t="s">
        <v>20</v>
      </c>
      <c r="F1091" t="s">
        <v>25</v>
      </c>
      <c r="G1091" t="str">
        <f>"2025-10-03 10:59:50.433"</f>
        <v>2025-10-03 10:59:50.433</v>
      </c>
      <c r="H1091" t="s">
        <v>22</v>
      </c>
      <c r="I1091">
        <v>0</v>
      </c>
      <c r="J1091" t="s">
        <v>23</v>
      </c>
    </row>
    <row r="1092" spans="1:10" x14ac:dyDescent="0.25">
      <c r="A1092" s="1">
        <v>118</v>
      </c>
      <c r="B1092" t="s">
        <v>26</v>
      </c>
      <c r="C1092">
        <v>635</v>
      </c>
      <c r="D1092">
        <v>1</v>
      </c>
      <c r="E1092" t="s">
        <v>31</v>
      </c>
      <c r="F1092" t="s">
        <v>32</v>
      </c>
      <c r="G1092" t="str">
        <f>"2025-10-02 15:50:58.456"</f>
        <v>2025-10-02 15:50:58.456</v>
      </c>
      <c r="H1092" t="s">
        <v>22</v>
      </c>
    </row>
    <row r="1093" spans="1:10" x14ac:dyDescent="0.25">
      <c r="A1093" s="1">
        <v>119</v>
      </c>
      <c r="B1093" t="s">
        <v>29</v>
      </c>
      <c r="C1093">
        <v>635</v>
      </c>
      <c r="D1093">
        <v>1</v>
      </c>
      <c r="E1093" t="s">
        <v>31</v>
      </c>
      <c r="F1093" t="s">
        <v>32</v>
      </c>
      <c r="G1093" t="str">
        <f>"2025-10-02 15:48:08.956"</f>
        <v>2025-10-02 15:48:08.956</v>
      </c>
      <c r="H1093" t="s">
        <v>22</v>
      </c>
      <c r="I1093">
        <v>6.23</v>
      </c>
      <c r="J1093" t="s">
        <v>33</v>
      </c>
    </row>
    <row r="1094" spans="1:10" x14ac:dyDescent="0.25">
      <c r="A1094" s="1">
        <v>121</v>
      </c>
      <c r="B1094" t="s">
        <v>19</v>
      </c>
      <c r="C1094">
        <v>706</v>
      </c>
      <c r="D1094">
        <v>4</v>
      </c>
      <c r="E1094" t="s">
        <v>20</v>
      </c>
      <c r="F1094" t="s">
        <v>21</v>
      </c>
      <c r="G1094" t="str">
        <f>"2025-10-01 16:51:42.473"</f>
        <v>2025-10-01 16:51:42.473</v>
      </c>
      <c r="H1094" t="s">
        <v>22</v>
      </c>
      <c r="I1094">
        <v>0</v>
      </c>
      <c r="J1094" t="s">
        <v>23</v>
      </c>
    </row>
    <row r="1095" spans="1:10" x14ac:dyDescent="0.25">
      <c r="A1095" s="1">
        <v>122</v>
      </c>
      <c r="B1095" t="s">
        <v>26</v>
      </c>
      <c r="C1095">
        <v>635</v>
      </c>
      <c r="D1095">
        <v>1</v>
      </c>
      <c r="E1095" t="s">
        <v>31</v>
      </c>
      <c r="F1095" t="s">
        <v>32</v>
      </c>
      <c r="G1095" t="str">
        <f>"2025-10-01 04:23:58.956"</f>
        <v>2025-10-01 04:23:58.956</v>
      </c>
      <c r="H1095" t="s">
        <v>22</v>
      </c>
    </row>
    <row r="1096" spans="1:10" x14ac:dyDescent="0.25">
      <c r="A1096" s="1">
        <v>123</v>
      </c>
      <c r="B1096" t="s">
        <v>29</v>
      </c>
      <c r="C1096">
        <v>635</v>
      </c>
      <c r="D1096">
        <v>1</v>
      </c>
      <c r="E1096" t="s">
        <v>31</v>
      </c>
      <c r="F1096" t="s">
        <v>32</v>
      </c>
      <c r="G1096" t="str">
        <f>"2025-10-01 04:16:40.456"</f>
        <v>2025-10-01 04:16:40.456</v>
      </c>
      <c r="H1096" t="s">
        <v>22</v>
      </c>
      <c r="I1096">
        <v>6.9</v>
      </c>
      <c r="J1096" t="s">
        <v>33</v>
      </c>
    </row>
    <row r="1097" spans="1:10" s="3" customFormat="1" x14ac:dyDescent="0.25">
      <c r="A1097" s="2">
        <v>124</v>
      </c>
      <c r="B1097" s="3" t="s">
        <v>26</v>
      </c>
      <c r="C1097" s="3">
        <v>647</v>
      </c>
      <c r="D1097" s="3">
        <v>1</v>
      </c>
      <c r="E1097" s="3" t="s">
        <v>27</v>
      </c>
      <c r="F1097" s="3" t="s">
        <v>28</v>
      </c>
      <c r="G1097" s="3" t="str">
        <f>"2025-09-30 19:28:52.856"</f>
        <v>2025-09-30 19:28:52.856</v>
      </c>
      <c r="H1097" s="3" t="s">
        <v>22</v>
      </c>
    </row>
    <row r="1098" spans="1:10" s="3" customFormat="1" x14ac:dyDescent="0.25">
      <c r="A1098" s="2">
        <v>125</v>
      </c>
      <c r="B1098" s="3" t="s">
        <v>29</v>
      </c>
      <c r="C1098" s="3">
        <v>647</v>
      </c>
      <c r="D1098" s="3">
        <v>1</v>
      </c>
      <c r="E1098" s="3" t="s">
        <v>27</v>
      </c>
      <c r="F1098" s="3" t="s">
        <v>28</v>
      </c>
      <c r="G1098" s="3" t="str">
        <f>"2025-09-30 19:28:48.956"</f>
        <v>2025-09-30 19:28:48.956</v>
      </c>
      <c r="H1098" s="3" t="s">
        <v>22</v>
      </c>
      <c r="I1098" s="3">
        <v>17.04</v>
      </c>
      <c r="J1098" s="3" t="s">
        <v>30</v>
      </c>
    </row>
    <row r="1099" spans="1:10" s="3" customFormat="1" x14ac:dyDescent="0.25">
      <c r="A1099" s="2">
        <v>126</v>
      </c>
      <c r="B1099" s="3" t="s">
        <v>26</v>
      </c>
      <c r="C1099" s="3">
        <v>647</v>
      </c>
      <c r="D1099" s="3">
        <v>1</v>
      </c>
      <c r="E1099" s="3" t="s">
        <v>27</v>
      </c>
      <c r="F1099" s="3" t="s">
        <v>28</v>
      </c>
      <c r="G1099" s="3" t="str">
        <f>"2025-09-30 08:49:21.256"</f>
        <v>2025-09-30 08:49:21.256</v>
      </c>
      <c r="H1099" s="3" t="s">
        <v>22</v>
      </c>
    </row>
    <row r="1100" spans="1:10" s="3" customFormat="1" x14ac:dyDescent="0.25">
      <c r="A1100" s="2">
        <v>127</v>
      </c>
      <c r="B1100" s="3" t="s">
        <v>29</v>
      </c>
      <c r="C1100" s="3">
        <v>647</v>
      </c>
      <c r="D1100" s="3">
        <v>1</v>
      </c>
      <c r="E1100" s="3" t="s">
        <v>27</v>
      </c>
      <c r="F1100" s="3" t="s">
        <v>28</v>
      </c>
      <c r="G1100" s="3" t="str">
        <f>"2025-09-30 08:49:17.557"</f>
        <v>2025-09-30 08:49:17.557</v>
      </c>
      <c r="H1100" s="3" t="s">
        <v>22</v>
      </c>
      <c r="I1100" s="3">
        <v>11.5</v>
      </c>
      <c r="J1100" s="3" t="s">
        <v>30</v>
      </c>
    </row>
    <row r="1101" spans="1:10" s="3" customFormat="1" x14ac:dyDescent="0.25">
      <c r="A1101" s="2">
        <v>128</v>
      </c>
      <c r="B1101" s="3" t="s">
        <v>26</v>
      </c>
      <c r="C1101" s="3">
        <v>647</v>
      </c>
      <c r="D1101" s="3">
        <v>1</v>
      </c>
      <c r="E1101" s="3" t="s">
        <v>27</v>
      </c>
      <c r="F1101" s="3" t="s">
        <v>28</v>
      </c>
      <c r="G1101" s="3" t="str">
        <f>"2025-09-29 17:14:54.956"</f>
        <v>2025-09-29 17:14:54.956</v>
      </c>
      <c r="H1101" s="3" t="s">
        <v>22</v>
      </c>
    </row>
    <row r="1102" spans="1:10" s="3" customFormat="1" x14ac:dyDescent="0.25">
      <c r="A1102" s="2">
        <v>129</v>
      </c>
      <c r="B1102" s="3" t="s">
        <v>29</v>
      </c>
      <c r="C1102" s="3">
        <v>647</v>
      </c>
      <c r="D1102" s="3">
        <v>1</v>
      </c>
      <c r="E1102" s="3" t="s">
        <v>27</v>
      </c>
      <c r="F1102" s="3" t="s">
        <v>28</v>
      </c>
      <c r="G1102" s="3" t="str">
        <f>"2025-09-29 17:14:51.157"</f>
        <v>2025-09-29 17:14:51.157</v>
      </c>
      <c r="H1102" s="3" t="s">
        <v>22</v>
      </c>
      <c r="I1102" s="3">
        <v>8.19</v>
      </c>
      <c r="J1102" s="3" t="s">
        <v>30</v>
      </c>
    </row>
    <row r="1103" spans="1:10" x14ac:dyDescent="0.25">
      <c r="A1103" s="1">
        <v>130</v>
      </c>
      <c r="B1103" t="s">
        <v>19</v>
      </c>
      <c r="C1103">
        <v>706</v>
      </c>
      <c r="D1103">
        <v>2</v>
      </c>
      <c r="E1103" t="s">
        <v>20</v>
      </c>
      <c r="F1103" t="s">
        <v>25</v>
      </c>
      <c r="G1103" t="str">
        <f>"2025-09-28 22:42:58.733"</f>
        <v>2025-09-28 22:42:58.733</v>
      </c>
      <c r="H1103" t="s">
        <v>22</v>
      </c>
      <c r="I1103">
        <v>0</v>
      </c>
      <c r="J1103" t="s">
        <v>23</v>
      </c>
    </row>
    <row r="1104" spans="1:10" x14ac:dyDescent="0.25">
      <c r="A1104" s="1">
        <v>131</v>
      </c>
      <c r="B1104" t="s">
        <v>19</v>
      </c>
      <c r="C1104">
        <v>700</v>
      </c>
      <c r="D1104">
        <v>0</v>
      </c>
      <c r="E1104" t="s">
        <v>24</v>
      </c>
      <c r="F1104" t="s">
        <v>24</v>
      </c>
      <c r="G1104" t="str">
        <f>"2025-09-28 12:57:19.143"</f>
        <v>2025-09-28 12:57:19.143</v>
      </c>
      <c r="H1104" t="s">
        <v>22</v>
      </c>
    </row>
    <row r="1105" spans="1:10" x14ac:dyDescent="0.25">
      <c r="A1105" s="1">
        <v>132</v>
      </c>
      <c r="B1105" t="s">
        <v>19</v>
      </c>
      <c r="C1105">
        <v>706</v>
      </c>
      <c r="D1105">
        <v>4</v>
      </c>
      <c r="E1105" t="s">
        <v>20</v>
      </c>
      <c r="F1105" t="s">
        <v>21</v>
      </c>
      <c r="G1105" t="str">
        <f>"2025-09-28 12:46:19.556"</f>
        <v>2025-09-28 12:46:19.556</v>
      </c>
      <c r="H1105" t="s">
        <v>22</v>
      </c>
      <c r="I1105">
        <v>0</v>
      </c>
      <c r="J1105" t="s">
        <v>23</v>
      </c>
    </row>
    <row r="1106" spans="1:10" x14ac:dyDescent="0.25">
      <c r="A1106" s="1">
        <v>133</v>
      </c>
      <c r="B1106" t="s">
        <v>19</v>
      </c>
      <c r="C1106">
        <v>700</v>
      </c>
      <c r="D1106">
        <v>0</v>
      </c>
      <c r="E1106" t="s">
        <v>24</v>
      </c>
      <c r="F1106" t="s">
        <v>24</v>
      </c>
      <c r="G1106" t="str">
        <f>"2025-09-27 00:44:49.946"</f>
        <v>2025-09-27 00:44:49.946</v>
      </c>
      <c r="H1106" t="s">
        <v>22</v>
      </c>
      <c r="I1106">
        <v>0</v>
      </c>
      <c r="J1106" t="s">
        <v>34</v>
      </c>
    </row>
    <row r="1107" spans="1:10" x14ac:dyDescent="0.25">
      <c r="A1107" s="1">
        <v>134</v>
      </c>
      <c r="B1107" t="s">
        <v>19</v>
      </c>
      <c r="C1107">
        <v>700</v>
      </c>
      <c r="D1107">
        <v>0</v>
      </c>
      <c r="E1107" t="s">
        <v>24</v>
      </c>
      <c r="F1107" t="s">
        <v>24</v>
      </c>
      <c r="G1107" t="str">
        <f>"2025-09-27 00:42:11.962"</f>
        <v>2025-09-27 00:42:11.962</v>
      </c>
      <c r="H1107" t="s">
        <v>22</v>
      </c>
      <c r="I1107">
        <v>0</v>
      </c>
      <c r="J1107" t="s">
        <v>34</v>
      </c>
    </row>
    <row r="1108" spans="1:10" x14ac:dyDescent="0.25">
      <c r="A1108" s="1">
        <v>135</v>
      </c>
      <c r="B1108" t="s">
        <v>19</v>
      </c>
      <c r="C1108">
        <v>700</v>
      </c>
      <c r="D1108">
        <v>0</v>
      </c>
      <c r="E1108" t="s">
        <v>24</v>
      </c>
      <c r="F1108" t="s">
        <v>24</v>
      </c>
      <c r="G1108" t="str">
        <f>"2025-09-26 14:31:14.945"</f>
        <v>2025-09-26 14:31:14.945</v>
      </c>
      <c r="H1108" t="s">
        <v>22</v>
      </c>
      <c r="I1108">
        <v>0</v>
      </c>
      <c r="J1108" t="s">
        <v>34</v>
      </c>
    </row>
    <row r="1109" spans="1:10" x14ac:dyDescent="0.25">
      <c r="A1109" s="1">
        <v>136</v>
      </c>
      <c r="B1109" t="s">
        <v>19</v>
      </c>
      <c r="C1109">
        <v>700</v>
      </c>
      <c r="D1109">
        <v>0</v>
      </c>
      <c r="E1109" t="s">
        <v>24</v>
      </c>
      <c r="F1109" t="s">
        <v>24</v>
      </c>
      <c r="G1109" t="str">
        <f>"2025-09-26 14:11:40.952"</f>
        <v>2025-09-26 14:11:40.952</v>
      </c>
      <c r="H1109" t="s">
        <v>22</v>
      </c>
    </row>
    <row r="1110" spans="1:10" s="3" customFormat="1" x14ac:dyDescent="0.25">
      <c r="A1110" s="2">
        <v>137</v>
      </c>
      <c r="B1110" s="3" t="s">
        <v>26</v>
      </c>
      <c r="C1110" s="3">
        <v>647</v>
      </c>
      <c r="D1110" s="3">
        <v>1</v>
      </c>
      <c r="E1110" s="3" t="s">
        <v>27</v>
      </c>
      <c r="F1110" s="3" t="s">
        <v>28</v>
      </c>
      <c r="G1110" s="3" t="str">
        <f>"2025-09-26 12:00:21.366"</f>
        <v>2025-09-26 12:00:21.366</v>
      </c>
      <c r="H1110" s="3" t="s">
        <v>22</v>
      </c>
    </row>
    <row r="1111" spans="1:10" s="3" customFormat="1" x14ac:dyDescent="0.25">
      <c r="A1111" s="2">
        <v>138</v>
      </c>
      <c r="B1111" s="3" t="s">
        <v>29</v>
      </c>
      <c r="C1111" s="3">
        <v>647</v>
      </c>
      <c r="D1111" s="3">
        <v>1</v>
      </c>
      <c r="E1111" s="3" t="s">
        <v>27</v>
      </c>
      <c r="F1111" s="3" t="s">
        <v>28</v>
      </c>
      <c r="G1111" s="3" t="str">
        <f>"2025-09-26 12:00:18.866"</f>
        <v>2025-09-26 12:00:18.866</v>
      </c>
      <c r="H1111" s="3" t="s">
        <v>22</v>
      </c>
      <c r="I1111" s="3">
        <v>28.56</v>
      </c>
      <c r="J1111" s="3" t="s">
        <v>30</v>
      </c>
    </row>
    <row r="1112" spans="1:10" x14ac:dyDescent="0.25">
      <c r="A1112" s="1">
        <v>139</v>
      </c>
      <c r="B1112" t="s">
        <v>19</v>
      </c>
      <c r="C1112">
        <v>700</v>
      </c>
      <c r="D1112">
        <v>0</v>
      </c>
      <c r="E1112" t="s">
        <v>24</v>
      </c>
      <c r="F1112" t="s">
        <v>24</v>
      </c>
      <c r="G1112" t="str">
        <f>"2025-09-26 09:53:06.951"</f>
        <v>2025-09-26 09:53:06.951</v>
      </c>
      <c r="H1112" t="s">
        <v>22</v>
      </c>
      <c r="I1112">
        <v>0</v>
      </c>
      <c r="J1112" t="s">
        <v>34</v>
      </c>
    </row>
    <row r="1113" spans="1:10" x14ac:dyDescent="0.25">
      <c r="A1113" s="1">
        <v>140</v>
      </c>
      <c r="B1113" t="s">
        <v>19</v>
      </c>
      <c r="C1113">
        <v>700</v>
      </c>
      <c r="D1113">
        <v>0</v>
      </c>
      <c r="E1113" t="s">
        <v>24</v>
      </c>
      <c r="F1113" t="s">
        <v>24</v>
      </c>
      <c r="G1113" t="str">
        <f>"2025-09-26 08:44:35.950"</f>
        <v>2025-09-26 08:44:35.950</v>
      </c>
      <c r="H1113" t="s">
        <v>22</v>
      </c>
    </row>
    <row r="1114" spans="1:10" x14ac:dyDescent="0.25">
      <c r="A1114" s="1">
        <v>141</v>
      </c>
      <c r="B1114" t="s">
        <v>19</v>
      </c>
      <c r="C1114">
        <v>700</v>
      </c>
      <c r="D1114">
        <v>0</v>
      </c>
      <c r="E1114" t="s">
        <v>24</v>
      </c>
      <c r="F1114" t="s">
        <v>24</v>
      </c>
      <c r="G1114" t="str">
        <f>"2025-09-26 06:11:09.948"</f>
        <v>2025-09-26 06:11:09.948</v>
      </c>
      <c r="H1114" t="s">
        <v>22</v>
      </c>
      <c r="I1114">
        <v>0</v>
      </c>
      <c r="J1114" t="s">
        <v>34</v>
      </c>
    </row>
    <row r="1115" spans="1:10" x14ac:dyDescent="0.25">
      <c r="A1115" s="1">
        <v>142</v>
      </c>
      <c r="B1115" t="s">
        <v>19</v>
      </c>
      <c r="C1115">
        <v>700</v>
      </c>
      <c r="D1115">
        <v>0</v>
      </c>
      <c r="E1115" t="s">
        <v>24</v>
      </c>
      <c r="F1115" t="s">
        <v>24</v>
      </c>
      <c r="G1115" t="str">
        <f>"2025-09-26 06:03:05.949"</f>
        <v>2025-09-26 06:03:05.949</v>
      </c>
      <c r="H1115" t="s">
        <v>22</v>
      </c>
      <c r="I1115">
        <v>0</v>
      </c>
      <c r="J1115" t="s">
        <v>34</v>
      </c>
    </row>
    <row r="1116" spans="1:10" x14ac:dyDescent="0.25">
      <c r="A1116" s="1">
        <v>143</v>
      </c>
      <c r="B1116" t="s">
        <v>19</v>
      </c>
      <c r="C1116">
        <v>706</v>
      </c>
      <c r="D1116">
        <v>2</v>
      </c>
      <c r="E1116" t="s">
        <v>20</v>
      </c>
      <c r="F1116" t="s">
        <v>25</v>
      </c>
      <c r="G1116" t="str">
        <f>"2025-09-26 05:40:48.172"</f>
        <v>2025-09-26 05:40:48.172</v>
      </c>
      <c r="H1116" t="s">
        <v>22</v>
      </c>
      <c r="I1116">
        <v>0</v>
      </c>
      <c r="J1116" t="s">
        <v>23</v>
      </c>
    </row>
    <row r="1117" spans="1:10" x14ac:dyDescent="0.25">
      <c r="A1117" s="1">
        <v>144</v>
      </c>
      <c r="B1117" t="s">
        <v>19</v>
      </c>
      <c r="C1117">
        <v>706</v>
      </c>
      <c r="D1117">
        <v>4</v>
      </c>
      <c r="E1117" t="s">
        <v>20</v>
      </c>
      <c r="F1117" t="s">
        <v>21</v>
      </c>
      <c r="G1117" t="str">
        <f>"2025-09-26 05:22:39.462"</f>
        <v>2025-09-26 05:22:39.462</v>
      </c>
      <c r="H1117" t="s">
        <v>22</v>
      </c>
      <c r="I1117">
        <v>0</v>
      </c>
      <c r="J1117" t="s">
        <v>23</v>
      </c>
    </row>
    <row r="1118" spans="1:10" x14ac:dyDescent="0.25">
      <c r="A1118" s="1">
        <v>145</v>
      </c>
      <c r="B1118" t="s">
        <v>19</v>
      </c>
      <c r="C1118">
        <v>706</v>
      </c>
      <c r="D1118">
        <v>4</v>
      </c>
      <c r="E1118" t="s">
        <v>20</v>
      </c>
      <c r="F1118" t="s">
        <v>21</v>
      </c>
      <c r="G1118" t="str">
        <f>"2025-09-26 05:16:27.782"</f>
        <v>2025-09-26 05:16:27.782</v>
      </c>
      <c r="H1118" t="s">
        <v>22</v>
      </c>
      <c r="I1118">
        <v>0</v>
      </c>
      <c r="J1118" t="s">
        <v>23</v>
      </c>
    </row>
    <row r="1119" spans="1:10" x14ac:dyDescent="0.25">
      <c r="A1119" s="1">
        <v>146</v>
      </c>
      <c r="B1119" t="s">
        <v>19</v>
      </c>
      <c r="C1119">
        <v>700</v>
      </c>
      <c r="D1119">
        <v>0</v>
      </c>
      <c r="E1119" t="s">
        <v>24</v>
      </c>
      <c r="F1119" t="s">
        <v>24</v>
      </c>
      <c r="G1119" t="str">
        <f>"2025-09-26 05:04:20.952"</f>
        <v>2025-09-26 05:04:20.952</v>
      </c>
      <c r="H1119" t="s">
        <v>22</v>
      </c>
    </row>
    <row r="1120" spans="1:10" x14ac:dyDescent="0.25">
      <c r="A1120" s="1">
        <v>147</v>
      </c>
      <c r="B1120" t="s">
        <v>19</v>
      </c>
      <c r="C1120">
        <v>719</v>
      </c>
      <c r="D1120">
        <v>5</v>
      </c>
      <c r="E1120" t="s">
        <v>74</v>
      </c>
      <c r="F1120" t="s">
        <v>75</v>
      </c>
      <c r="G1120" t="str">
        <f>"2025-09-26 02:58:00.158"</f>
        <v>2025-09-26 02:58:00.158</v>
      </c>
      <c r="H1120" t="s">
        <v>22</v>
      </c>
      <c r="I1120">
        <v>0</v>
      </c>
      <c r="J1120" t="s">
        <v>23</v>
      </c>
    </row>
    <row r="1121" spans="1:10" x14ac:dyDescent="0.25">
      <c r="A1121" s="1">
        <v>148</v>
      </c>
      <c r="B1121" t="s">
        <v>19</v>
      </c>
      <c r="C1121">
        <v>700</v>
      </c>
      <c r="D1121">
        <v>0</v>
      </c>
      <c r="E1121" t="s">
        <v>24</v>
      </c>
      <c r="F1121" t="s">
        <v>24</v>
      </c>
      <c r="G1121" t="str">
        <f>"2025-09-26 02:47:08.244"</f>
        <v>2025-09-26 02:47:08.244</v>
      </c>
      <c r="H1121" t="s">
        <v>22</v>
      </c>
      <c r="I1121">
        <v>0</v>
      </c>
      <c r="J1121" t="s">
        <v>34</v>
      </c>
    </row>
    <row r="1122" spans="1:10" x14ac:dyDescent="0.25">
      <c r="A1122" s="1">
        <v>149</v>
      </c>
      <c r="B1122" t="s">
        <v>19</v>
      </c>
      <c r="C1122">
        <v>706</v>
      </c>
      <c r="D1122">
        <v>4</v>
      </c>
      <c r="E1122" t="s">
        <v>20</v>
      </c>
      <c r="F1122" t="s">
        <v>21</v>
      </c>
      <c r="G1122" t="str">
        <f>"2025-09-25 14:15:40.177"</f>
        <v>2025-09-25 14:15:40.177</v>
      </c>
      <c r="H1122" t="s">
        <v>22</v>
      </c>
      <c r="I1122">
        <v>0</v>
      </c>
      <c r="J1122" t="s">
        <v>23</v>
      </c>
    </row>
    <row r="1123" spans="1:10" x14ac:dyDescent="0.25">
      <c r="A1123" s="1">
        <v>150</v>
      </c>
      <c r="B1123" t="s">
        <v>19</v>
      </c>
      <c r="C1123">
        <v>700</v>
      </c>
      <c r="D1123">
        <v>0</v>
      </c>
      <c r="E1123" t="s">
        <v>24</v>
      </c>
      <c r="F1123" t="s">
        <v>24</v>
      </c>
      <c r="G1123" t="str">
        <f>"2025-09-25 13:53:48.147"</f>
        <v>2025-09-25 13:53:48.147</v>
      </c>
      <c r="H1123" t="s">
        <v>22</v>
      </c>
      <c r="I1123">
        <v>0</v>
      </c>
      <c r="J1123" t="s">
        <v>34</v>
      </c>
    </row>
    <row r="1124" spans="1:10" x14ac:dyDescent="0.25">
      <c r="A1124" s="1">
        <v>151</v>
      </c>
      <c r="B1124" t="s">
        <v>19</v>
      </c>
      <c r="C1124">
        <v>700</v>
      </c>
      <c r="D1124">
        <v>0</v>
      </c>
      <c r="E1124" t="s">
        <v>24</v>
      </c>
      <c r="F1124" t="s">
        <v>24</v>
      </c>
      <c r="G1124" t="str">
        <f>"2025-09-24 22:25:33.954"</f>
        <v>2025-09-24 22:25:33.954</v>
      </c>
      <c r="H1124" t="s">
        <v>22</v>
      </c>
      <c r="I1124">
        <v>0</v>
      </c>
      <c r="J1124" t="s">
        <v>34</v>
      </c>
    </row>
    <row r="1125" spans="1:10" x14ac:dyDescent="0.25">
      <c r="A1125" s="1">
        <v>152</v>
      </c>
      <c r="B1125" t="s">
        <v>19</v>
      </c>
      <c r="C1125">
        <v>706</v>
      </c>
      <c r="D1125">
        <v>4</v>
      </c>
      <c r="E1125" t="s">
        <v>20</v>
      </c>
      <c r="F1125" t="s">
        <v>21</v>
      </c>
      <c r="G1125" t="str">
        <f>"2025-09-24 22:11:14.816"</f>
        <v>2025-09-24 22:11:14.816</v>
      </c>
      <c r="H1125" t="s">
        <v>22</v>
      </c>
      <c r="I1125">
        <v>0</v>
      </c>
      <c r="J1125" t="s">
        <v>23</v>
      </c>
    </row>
    <row r="1126" spans="1:10" x14ac:dyDescent="0.25">
      <c r="A1126" s="1">
        <v>153</v>
      </c>
      <c r="B1126" t="s">
        <v>19</v>
      </c>
      <c r="C1126">
        <v>700</v>
      </c>
      <c r="D1126">
        <v>0</v>
      </c>
      <c r="E1126" t="s">
        <v>24</v>
      </c>
      <c r="F1126" t="s">
        <v>24</v>
      </c>
      <c r="G1126" t="str">
        <f>"2025-09-24 22:09:46.956"</f>
        <v>2025-09-24 22:09:46.956</v>
      </c>
      <c r="H1126" t="s">
        <v>22</v>
      </c>
      <c r="I1126">
        <v>0</v>
      </c>
      <c r="J1126" t="s">
        <v>34</v>
      </c>
    </row>
    <row r="1127" spans="1:10" x14ac:dyDescent="0.25">
      <c r="A1127" s="1">
        <v>154</v>
      </c>
      <c r="B1127" t="s">
        <v>19</v>
      </c>
      <c r="C1127">
        <v>700</v>
      </c>
      <c r="D1127">
        <v>0</v>
      </c>
      <c r="E1127" t="s">
        <v>24</v>
      </c>
      <c r="F1127" t="s">
        <v>24</v>
      </c>
      <c r="G1127" t="str">
        <f>"2025-09-24 20:56:19.951"</f>
        <v>2025-09-24 20:56:19.951</v>
      </c>
      <c r="H1127" t="s">
        <v>22</v>
      </c>
    </row>
    <row r="1128" spans="1:10" x14ac:dyDescent="0.25">
      <c r="A1128" s="1">
        <v>155</v>
      </c>
      <c r="B1128" t="s">
        <v>19</v>
      </c>
      <c r="C1128">
        <v>706</v>
      </c>
      <c r="D1128">
        <v>2</v>
      </c>
      <c r="E1128" t="s">
        <v>20</v>
      </c>
      <c r="F1128" t="s">
        <v>25</v>
      </c>
      <c r="G1128" t="str">
        <f>"2025-09-24 20:37:43.046"</f>
        <v>2025-09-24 20:37:43.046</v>
      </c>
      <c r="H1128" t="s">
        <v>22</v>
      </c>
      <c r="I1128">
        <v>0</v>
      </c>
      <c r="J1128" t="s">
        <v>23</v>
      </c>
    </row>
    <row r="1129" spans="1:10" x14ac:dyDescent="0.25">
      <c r="A1129" s="1">
        <v>156</v>
      </c>
      <c r="B1129" t="s">
        <v>19</v>
      </c>
      <c r="C1129">
        <v>700</v>
      </c>
      <c r="D1129">
        <v>0</v>
      </c>
      <c r="E1129" t="s">
        <v>24</v>
      </c>
      <c r="F1129" t="s">
        <v>24</v>
      </c>
      <c r="G1129" t="str">
        <f>"2025-09-24 20:37:19.976"</f>
        <v>2025-09-24 20:37:19.976</v>
      </c>
      <c r="H1129" t="s">
        <v>22</v>
      </c>
      <c r="I1129">
        <v>0</v>
      </c>
      <c r="J1129" t="s">
        <v>34</v>
      </c>
    </row>
    <row r="1130" spans="1:10" x14ac:dyDescent="0.25">
      <c r="A1130" s="1">
        <v>157</v>
      </c>
      <c r="B1130" t="s">
        <v>19</v>
      </c>
      <c r="C1130">
        <v>706</v>
      </c>
      <c r="D1130">
        <v>4</v>
      </c>
      <c r="E1130" t="s">
        <v>20</v>
      </c>
      <c r="F1130" t="s">
        <v>21</v>
      </c>
      <c r="G1130" t="str">
        <f>"2025-09-23 13:19:55.105"</f>
        <v>2025-09-23 13:19:55.105</v>
      </c>
      <c r="H1130" t="s">
        <v>22</v>
      </c>
      <c r="I1130">
        <v>0</v>
      </c>
      <c r="J1130" t="s">
        <v>23</v>
      </c>
    </row>
    <row r="1131" spans="1:10" s="3" customFormat="1" x14ac:dyDescent="0.25">
      <c r="A1131" s="2">
        <v>158</v>
      </c>
      <c r="B1131" s="3" t="s">
        <v>26</v>
      </c>
      <c r="C1131" s="3">
        <v>647</v>
      </c>
      <c r="D1131" s="3">
        <v>1</v>
      </c>
      <c r="E1131" s="3" t="s">
        <v>27</v>
      </c>
      <c r="F1131" s="3" t="s">
        <v>28</v>
      </c>
      <c r="G1131" s="3" t="str">
        <f>"2025-09-22 13:08:38.774"</f>
        <v>2025-09-22 13:08:38.774</v>
      </c>
      <c r="H1131" s="3" t="s">
        <v>22</v>
      </c>
    </row>
    <row r="1132" spans="1:10" s="3" customFormat="1" x14ac:dyDescent="0.25">
      <c r="A1132" s="2">
        <v>159</v>
      </c>
      <c r="B1132" s="3" t="s">
        <v>29</v>
      </c>
      <c r="C1132" s="3">
        <v>647</v>
      </c>
      <c r="D1132" s="3">
        <v>1</v>
      </c>
      <c r="E1132" s="3" t="s">
        <v>27</v>
      </c>
      <c r="F1132" s="3" t="s">
        <v>28</v>
      </c>
      <c r="G1132" s="3" t="str">
        <f>"2025-09-22 13:08:36.274"</f>
        <v>2025-09-22 13:08:36.274</v>
      </c>
      <c r="H1132" s="3" t="s">
        <v>22</v>
      </c>
      <c r="I1132" s="3">
        <v>21.76</v>
      </c>
      <c r="J1132" s="3" t="s">
        <v>30</v>
      </c>
    </row>
    <row r="1133" spans="1:10" x14ac:dyDescent="0.25">
      <c r="A1133" s="1">
        <v>160</v>
      </c>
      <c r="B1133" t="s">
        <v>26</v>
      </c>
      <c r="C1133">
        <v>635</v>
      </c>
      <c r="D1133">
        <v>1</v>
      </c>
      <c r="E1133" t="s">
        <v>31</v>
      </c>
      <c r="F1133" t="s">
        <v>32</v>
      </c>
      <c r="G1133" t="str">
        <f>"2025-09-22 04:09:02.974"</f>
        <v>2025-09-22 04:09:02.974</v>
      </c>
      <c r="H1133" t="s">
        <v>22</v>
      </c>
    </row>
    <row r="1134" spans="1:10" x14ac:dyDescent="0.25">
      <c r="A1134" s="1">
        <v>161</v>
      </c>
      <c r="B1134" t="s">
        <v>29</v>
      </c>
      <c r="C1134">
        <v>635</v>
      </c>
      <c r="D1134">
        <v>1</v>
      </c>
      <c r="E1134" t="s">
        <v>31</v>
      </c>
      <c r="F1134" t="s">
        <v>32</v>
      </c>
      <c r="G1134" t="str">
        <f>"2025-09-22 04:05:38.474"</f>
        <v>2025-09-22 04:05:38.474</v>
      </c>
      <c r="H1134" t="s">
        <v>22</v>
      </c>
      <c r="I1134">
        <v>4.9000000000000004</v>
      </c>
      <c r="J1134" t="s">
        <v>33</v>
      </c>
    </row>
    <row r="1135" spans="1:10" x14ac:dyDescent="0.25">
      <c r="A1135" s="1">
        <v>162</v>
      </c>
      <c r="B1135" t="s">
        <v>26</v>
      </c>
      <c r="C1135">
        <v>635</v>
      </c>
      <c r="D1135">
        <v>1</v>
      </c>
      <c r="E1135" t="s">
        <v>31</v>
      </c>
      <c r="F1135" t="s">
        <v>32</v>
      </c>
      <c r="G1135" t="str">
        <f>"2025-09-21 15:26:23.474"</f>
        <v>2025-09-21 15:26:23.474</v>
      </c>
      <c r="H1135" t="s">
        <v>22</v>
      </c>
    </row>
    <row r="1136" spans="1:10" x14ac:dyDescent="0.25">
      <c r="A1136" s="1">
        <v>163</v>
      </c>
      <c r="B1136" t="s">
        <v>29</v>
      </c>
      <c r="C1136">
        <v>635</v>
      </c>
      <c r="D1136">
        <v>1</v>
      </c>
      <c r="E1136" t="s">
        <v>31</v>
      </c>
      <c r="F1136" t="s">
        <v>32</v>
      </c>
      <c r="G1136" t="str">
        <f>"2025-09-21 15:22:55.474"</f>
        <v>2025-09-21 15:22:55.474</v>
      </c>
      <c r="H1136" t="s">
        <v>22</v>
      </c>
      <c r="I1136">
        <v>0</v>
      </c>
      <c r="J1136" t="s">
        <v>52</v>
      </c>
    </row>
    <row r="1137" spans="1:10" x14ac:dyDescent="0.25">
      <c r="A1137" s="1">
        <v>164</v>
      </c>
      <c r="B1137" t="s">
        <v>26</v>
      </c>
      <c r="C1137">
        <v>635</v>
      </c>
      <c r="D1137">
        <v>1</v>
      </c>
      <c r="E1137" t="s">
        <v>31</v>
      </c>
      <c r="F1137" t="s">
        <v>32</v>
      </c>
      <c r="G1137" t="str">
        <f>"2025-09-21 10:41:56.974"</f>
        <v>2025-09-21 10:41:56.974</v>
      </c>
      <c r="H1137" t="s">
        <v>22</v>
      </c>
    </row>
    <row r="1138" spans="1:10" x14ac:dyDescent="0.25">
      <c r="A1138" s="1">
        <v>165</v>
      </c>
      <c r="B1138" t="s">
        <v>29</v>
      </c>
      <c r="C1138">
        <v>635</v>
      </c>
      <c r="D1138">
        <v>1</v>
      </c>
      <c r="E1138" t="s">
        <v>31</v>
      </c>
      <c r="F1138" t="s">
        <v>32</v>
      </c>
      <c r="G1138" t="str">
        <f>"2025-09-21 10:18:34.474"</f>
        <v>2025-09-21 10:18:34.474</v>
      </c>
      <c r="H1138" t="s">
        <v>22</v>
      </c>
      <c r="I1138">
        <v>6.75</v>
      </c>
      <c r="J1138" t="s">
        <v>33</v>
      </c>
    </row>
    <row r="1139" spans="1:10" s="3" customFormat="1" x14ac:dyDescent="0.25">
      <c r="A1139" s="2">
        <v>166</v>
      </c>
      <c r="B1139" s="3" t="s">
        <v>26</v>
      </c>
      <c r="C1139" s="3">
        <v>647</v>
      </c>
      <c r="D1139" s="3">
        <v>1</v>
      </c>
      <c r="E1139" s="3" t="s">
        <v>27</v>
      </c>
      <c r="F1139" s="3" t="s">
        <v>28</v>
      </c>
      <c r="G1139" s="3" t="str">
        <f>"2025-09-21 09:06:31.674"</f>
        <v>2025-09-21 09:06:31.674</v>
      </c>
      <c r="H1139" s="3" t="s">
        <v>22</v>
      </c>
    </row>
    <row r="1140" spans="1:10" s="3" customFormat="1" x14ac:dyDescent="0.25">
      <c r="A1140" s="2">
        <v>167</v>
      </c>
      <c r="B1140" s="3" t="s">
        <v>29</v>
      </c>
      <c r="C1140" s="3">
        <v>647</v>
      </c>
      <c r="D1140" s="3">
        <v>1</v>
      </c>
      <c r="E1140" s="3" t="s">
        <v>27</v>
      </c>
      <c r="F1140" s="3" t="s">
        <v>28</v>
      </c>
      <c r="G1140" s="3" t="str">
        <f>"2025-09-21 09:06:29.175"</f>
        <v>2025-09-21 09:06:29.175</v>
      </c>
      <c r="H1140" s="3" t="s">
        <v>22</v>
      </c>
      <c r="I1140" s="3">
        <v>8.82</v>
      </c>
      <c r="J1140" s="3" t="s">
        <v>30</v>
      </c>
    </row>
    <row r="1141" spans="1:10" x14ac:dyDescent="0.25">
      <c r="A1141" s="1">
        <v>168</v>
      </c>
      <c r="B1141" t="s">
        <v>19</v>
      </c>
      <c r="C1141">
        <v>706</v>
      </c>
      <c r="D1141">
        <v>4</v>
      </c>
      <c r="E1141" t="s">
        <v>20</v>
      </c>
      <c r="F1141" t="s">
        <v>21</v>
      </c>
      <c r="G1141" t="str">
        <f>"2025-09-20 21:17:36.725"</f>
        <v>2025-09-20 21:17:36.725</v>
      </c>
      <c r="H1141" t="s">
        <v>22</v>
      </c>
      <c r="I1141">
        <v>0</v>
      </c>
      <c r="J1141" t="s">
        <v>23</v>
      </c>
    </row>
    <row r="1142" spans="1:10" x14ac:dyDescent="0.25">
      <c r="A1142" s="1">
        <v>169</v>
      </c>
      <c r="B1142" t="s">
        <v>19</v>
      </c>
      <c r="C1142">
        <v>706</v>
      </c>
      <c r="D1142">
        <v>4</v>
      </c>
      <c r="E1142" t="s">
        <v>20</v>
      </c>
      <c r="F1142" t="s">
        <v>21</v>
      </c>
      <c r="G1142" t="str">
        <f>"2025-09-19 14:32:43.385"</f>
        <v>2025-09-19 14:32:43.385</v>
      </c>
      <c r="H1142" t="s">
        <v>22</v>
      </c>
      <c r="I1142">
        <v>0</v>
      </c>
      <c r="J1142" t="s">
        <v>23</v>
      </c>
    </row>
    <row r="1143" spans="1:10" x14ac:dyDescent="0.25">
      <c r="A1143" s="1">
        <v>170</v>
      </c>
      <c r="B1143" t="s">
        <v>19</v>
      </c>
      <c r="C1143">
        <v>700</v>
      </c>
      <c r="D1143">
        <v>0</v>
      </c>
      <c r="E1143" t="s">
        <v>24</v>
      </c>
      <c r="F1143" t="s">
        <v>24</v>
      </c>
      <c r="G1143" t="str">
        <f>"2025-09-19 14:18:53.955"</f>
        <v>2025-09-19 14:18:53.955</v>
      </c>
      <c r="H1143" t="s">
        <v>22</v>
      </c>
      <c r="I1143">
        <v>0</v>
      </c>
      <c r="J1143" t="s">
        <v>34</v>
      </c>
    </row>
    <row r="1144" spans="1:10" x14ac:dyDescent="0.25">
      <c r="A1144" s="1">
        <v>171</v>
      </c>
      <c r="B1144" t="s">
        <v>19</v>
      </c>
      <c r="C1144">
        <v>700</v>
      </c>
      <c r="D1144">
        <v>0</v>
      </c>
      <c r="E1144" t="s">
        <v>24</v>
      </c>
      <c r="F1144" t="s">
        <v>24</v>
      </c>
      <c r="G1144" t="str">
        <f>"2025-09-18 13:22:27.952"</f>
        <v>2025-09-18 13:22:27.952</v>
      </c>
      <c r="H1144" t="s">
        <v>22</v>
      </c>
      <c r="I1144">
        <v>0</v>
      </c>
      <c r="J1144" t="s">
        <v>34</v>
      </c>
    </row>
    <row r="1145" spans="1:10" s="3" customFormat="1" x14ac:dyDescent="0.25">
      <c r="A1145" s="2">
        <v>172</v>
      </c>
      <c r="B1145" s="3" t="s">
        <v>26</v>
      </c>
      <c r="C1145" s="3">
        <v>647</v>
      </c>
      <c r="D1145" s="3">
        <v>1</v>
      </c>
      <c r="E1145" s="3" t="s">
        <v>27</v>
      </c>
      <c r="F1145" s="3" t="s">
        <v>28</v>
      </c>
      <c r="G1145" s="3" t="str">
        <f>"2025-09-17 10:28:11.860"</f>
        <v>2025-09-17 10:28:11.860</v>
      </c>
      <c r="H1145" s="3" t="s">
        <v>22</v>
      </c>
    </row>
    <row r="1146" spans="1:10" s="3" customFormat="1" x14ac:dyDescent="0.25">
      <c r="A1146" s="2">
        <v>173</v>
      </c>
      <c r="B1146" s="3" t="s">
        <v>29</v>
      </c>
      <c r="C1146" s="3">
        <v>647</v>
      </c>
      <c r="D1146" s="3">
        <v>1</v>
      </c>
      <c r="E1146" s="3" t="s">
        <v>27</v>
      </c>
      <c r="F1146" s="3" t="s">
        <v>28</v>
      </c>
      <c r="G1146" s="3" t="str">
        <f>"2025-09-17 10:28:05.760"</f>
        <v>2025-09-17 10:28:05.760</v>
      </c>
      <c r="H1146" s="3" t="s">
        <v>22</v>
      </c>
      <c r="I1146" s="3">
        <v>11.17</v>
      </c>
      <c r="J1146" s="3" t="s">
        <v>30</v>
      </c>
    </row>
    <row r="1147" spans="1:10" x14ac:dyDescent="0.25">
      <c r="A1147" s="1">
        <v>174</v>
      </c>
      <c r="B1147" t="s">
        <v>19</v>
      </c>
      <c r="C1147">
        <v>706</v>
      </c>
      <c r="D1147">
        <v>4</v>
      </c>
      <c r="E1147" t="s">
        <v>20</v>
      </c>
      <c r="F1147" t="s">
        <v>21</v>
      </c>
      <c r="G1147" t="str">
        <f>"2025-09-17 10:21:01.108"</f>
        <v>2025-09-17 10:21:01.108</v>
      </c>
      <c r="H1147" t="s">
        <v>22</v>
      </c>
      <c r="I1147">
        <v>0</v>
      </c>
      <c r="J1147" t="s">
        <v>23</v>
      </c>
    </row>
    <row r="1148" spans="1:10" x14ac:dyDescent="0.25">
      <c r="A1148" s="1">
        <v>175</v>
      </c>
      <c r="B1148" t="s">
        <v>19</v>
      </c>
      <c r="C1148">
        <v>700</v>
      </c>
      <c r="D1148">
        <v>0</v>
      </c>
      <c r="E1148" t="s">
        <v>24</v>
      </c>
      <c r="F1148" t="s">
        <v>24</v>
      </c>
      <c r="G1148" t="str">
        <f>"2025-09-17 10:20:43.938"</f>
        <v>2025-09-17 10:20:43.938</v>
      </c>
      <c r="H1148" t="s">
        <v>22</v>
      </c>
      <c r="I1148">
        <v>0</v>
      </c>
      <c r="J1148" t="s">
        <v>34</v>
      </c>
    </row>
    <row r="1149" spans="1:10" x14ac:dyDescent="0.25">
      <c r="A1149" s="1">
        <v>176</v>
      </c>
      <c r="B1149" t="s">
        <v>19</v>
      </c>
      <c r="C1149">
        <v>700</v>
      </c>
      <c r="D1149">
        <v>0</v>
      </c>
      <c r="E1149" t="s">
        <v>24</v>
      </c>
      <c r="F1149" t="s">
        <v>24</v>
      </c>
      <c r="G1149" t="str">
        <f>"2025-09-16 13:56:41.919"</f>
        <v>2025-09-16 13:56:41.919</v>
      </c>
      <c r="H1149" t="s">
        <v>22</v>
      </c>
    </row>
    <row r="1150" spans="1:10" x14ac:dyDescent="0.25">
      <c r="A1150" s="1">
        <v>177</v>
      </c>
      <c r="B1150" t="s">
        <v>19</v>
      </c>
      <c r="C1150">
        <v>700</v>
      </c>
      <c r="D1150">
        <v>0</v>
      </c>
      <c r="E1150" t="s">
        <v>24</v>
      </c>
      <c r="F1150" t="s">
        <v>24</v>
      </c>
      <c r="G1150" t="str">
        <f>"2025-09-15 23:36:02.977"</f>
        <v>2025-09-15 23:36:02.977</v>
      </c>
      <c r="H1150" t="s">
        <v>22</v>
      </c>
      <c r="I1150">
        <v>0</v>
      </c>
      <c r="J1150" t="s">
        <v>34</v>
      </c>
    </row>
    <row r="1151" spans="1:10" x14ac:dyDescent="0.25">
      <c r="A1151" s="1">
        <v>178</v>
      </c>
      <c r="B1151" t="s">
        <v>19</v>
      </c>
      <c r="C1151">
        <v>706</v>
      </c>
      <c r="D1151">
        <v>4</v>
      </c>
      <c r="E1151" t="s">
        <v>20</v>
      </c>
      <c r="F1151" t="s">
        <v>21</v>
      </c>
      <c r="G1151" t="str">
        <f>"2025-09-15 21:23:12.568"</f>
        <v>2025-09-15 21:23:12.568</v>
      </c>
      <c r="H1151" t="s">
        <v>22</v>
      </c>
      <c r="I1151">
        <v>0</v>
      </c>
      <c r="J1151" t="s">
        <v>23</v>
      </c>
    </row>
    <row r="1152" spans="1:10" x14ac:dyDescent="0.25">
      <c r="A1152" s="1">
        <v>179</v>
      </c>
      <c r="B1152" t="s">
        <v>26</v>
      </c>
      <c r="C1152">
        <v>635</v>
      </c>
      <c r="D1152">
        <v>1</v>
      </c>
      <c r="E1152" t="s">
        <v>31</v>
      </c>
      <c r="F1152" t="s">
        <v>32</v>
      </c>
      <c r="G1152" t="str">
        <f>"2025-09-15 18:16:59.839"</f>
        <v>2025-09-15 18:16:59.839</v>
      </c>
      <c r="H1152" t="s">
        <v>22</v>
      </c>
    </row>
    <row r="1153" spans="1:10" x14ac:dyDescent="0.25">
      <c r="A1153" s="1">
        <v>180</v>
      </c>
      <c r="B1153" t="s">
        <v>29</v>
      </c>
      <c r="C1153">
        <v>635</v>
      </c>
      <c r="D1153">
        <v>1</v>
      </c>
      <c r="E1153" t="s">
        <v>31</v>
      </c>
      <c r="F1153" t="s">
        <v>32</v>
      </c>
      <c r="G1153" t="str">
        <f>"2025-09-15 18:13:50.839"</f>
        <v>2025-09-15 18:13:50.839</v>
      </c>
      <c r="H1153" t="s">
        <v>22</v>
      </c>
      <c r="I1153">
        <v>1.1200000000000001</v>
      </c>
      <c r="J1153" t="s">
        <v>33</v>
      </c>
    </row>
    <row r="1154" spans="1:10" x14ac:dyDescent="0.25">
      <c r="A1154" s="1">
        <v>181</v>
      </c>
      <c r="B1154" t="s">
        <v>19</v>
      </c>
      <c r="C1154">
        <v>700</v>
      </c>
      <c r="D1154">
        <v>0</v>
      </c>
      <c r="E1154" t="s">
        <v>24</v>
      </c>
      <c r="F1154" t="s">
        <v>24</v>
      </c>
      <c r="G1154" t="str">
        <f>"2025-09-15 14:19:50.958"</f>
        <v>2025-09-15 14:19:50.958</v>
      </c>
      <c r="H1154" t="s">
        <v>22</v>
      </c>
    </row>
    <row r="1155" spans="1:10" s="3" customFormat="1" x14ac:dyDescent="0.25">
      <c r="A1155" s="2">
        <v>182</v>
      </c>
      <c r="B1155" s="3" t="s">
        <v>26</v>
      </c>
      <c r="C1155" s="3">
        <v>647</v>
      </c>
      <c r="D1155" s="3">
        <v>1</v>
      </c>
      <c r="E1155" s="3" t="s">
        <v>27</v>
      </c>
      <c r="F1155" s="3" t="s">
        <v>28</v>
      </c>
      <c r="G1155" s="3" t="str">
        <f>"2025-09-15 02:55:59.584"</f>
        <v>2025-09-15 02:55:59.584</v>
      </c>
      <c r="H1155" s="3" t="s">
        <v>22</v>
      </c>
    </row>
    <row r="1156" spans="1:10" s="3" customFormat="1" x14ac:dyDescent="0.25">
      <c r="A1156" s="2">
        <v>183</v>
      </c>
      <c r="B1156" s="3" t="s">
        <v>29</v>
      </c>
      <c r="C1156" s="3">
        <v>647</v>
      </c>
      <c r="D1156" s="3">
        <v>1</v>
      </c>
      <c r="E1156" s="3" t="s">
        <v>27</v>
      </c>
      <c r="F1156" s="3" t="s">
        <v>28</v>
      </c>
      <c r="G1156" s="3" t="str">
        <f>"2025-09-15 02:55:57.884"</f>
        <v>2025-09-15 02:55:57.884</v>
      </c>
      <c r="H1156" s="3" t="s">
        <v>22</v>
      </c>
      <c r="I1156" s="3">
        <v>26.1</v>
      </c>
      <c r="J1156" s="3" t="s">
        <v>30</v>
      </c>
    </row>
    <row r="1157" spans="1:10" x14ac:dyDescent="0.25">
      <c r="A1157" s="1">
        <v>184</v>
      </c>
      <c r="B1157" t="s">
        <v>19</v>
      </c>
      <c r="C1157">
        <v>700</v>
      </c>
      <c r="D1157">
        <v>0</v>
      </c>
      <c r="E1157" t="s">
        <v>24</v>
      </c>
      <c r="F1157" t="s">
        <v>24</v>
      </c>
      <c r="G1157" t="str">
        <f>"2025-09-14 10:00:23.951"</f>
        <v>2025-09-14 10:00:23.951</v>
      </c>
      <c r="H1157" t="s">
        <v>22</v>
      </c>
    </row>
    <row r="1158" spans="1:10" x14ac:dyDescent="0.25">
      <c r="A1158" s="1">
        <v>185</v>
      </c>
      <c r="B1158" t="s">
        <v>26</v>
      </c>
      <c r="C1158">
        <v>635</v>
      </c>
      <c r="D1158">
        <v>1</v>
      </c>
      <c r="E1158" t="s">
        <v>31</v>
      </c>
      <c r="F1158" t="s">
        <v>32</v>
      </c>
      <c r="G1158" t="str">
        <f>"2025-09-13 19:22:42.659"</f>
        <v>2025-09-13 19:22:42.659</v>
      </c>
      <c r="H1158" t="s">
        <v>22</v>
      </c>
    </row>
    <row r="1159" spans="1:10" x14ac:dyDescent="0.25">
      <c r="A1159" s="1">
        <v>186</v>
      </c>
      <c r="B1159" t="s">
        <v>29</v>
      </c>
      <c r="C1159">
        <v>635</v>
      </c>
      <c r="D1159">
        <v>1</v>
      </c>
      <c r="E1159" t="s">
        <v>31</v>
      </c>
      <c r="F1159" t="s">
        <v>32</v>
      </c>
      <c r="G1159" t="str">
        <f>"2025-09-13 19:19:33.659"</f>
        <v>2025-09-13 19:19:33.659</v>
      </c>
      <c r="H1159" t="s">
        <v>22</v>
      </c>
      <c r="I1159">
        <v>0.51</v>
      </c>
      <c r="J1159" t="s">
        <v>33</v>
      </c>
    </row>
    <row r="1160" spans="1:10" x14ac:dyDescent="0.25">
      <c r="A1160" s="1">
        <v>187</v>
      </c>
      <c r="B1160" t="s">
        <v>35</v>
      </c>
      <c r="C1160">
        <v>215</v>
      </c>
      <c r="D1160">
        <v>6</v>
      </c>
      <c r="E1160" t="s">
        <v>36</v>
      </c>
      <c r="F1160" t="s">
        <v>37</v>
      </c>
      <c r="G1160" t="str">
        <f>"2025-09-13 17:33:11.647"</f>
        <v>2025-09-13 17:33:11.647</v>
      </c>
      <c r="H1160" t="s">
        <v>22</v>
      </c>
    </row>
    <row r="1161" spans="1:10" x14ac:dyDescent="0.25">
      <c r="A1161" s="1">
        <v>188</v>
      </c>
      <c r="B1161" t="s">
        <v>35</v>
      </c>
      <c r="C1161">
        <v>115</v>
      </c>
      <c r="D1161">
        <v>6</v>
      </c>
      <c r="E1161" t="s">
        <v>38</v>
      </c>
      <c r="F1161" t="s">
        <v>37</v>
      </c>
      <c r="G1161" t="str">
        <f>"2025-09-13 17:33:11.347"</f>
        <v>2025-09-13 17:33:11.347</v>
      </c>
      <c r="H1161" t="s">
        <v>22</v>
      </c>
    </row>
    <row r="1162" spans="1:10" x14ac:dyDescent="0.25">
      <c r="A1162" s="1">
        <v>189</v>
      </c>
      <c r="B1162" t="s">
        <v>39</v>
      </c>
      <c r="C1162">
        <v>215</v>
      </c>
      <c r="D1162">
        <v>6</v>
      </c>
      <c r="E1162" t="s">
        <v>36</v>
      </c>
      <c r="F1162" t="s">
        <v>37</v>
      </c>
      <c r="G1162" t="str">
        <f>"2025-09-13 17:33:06.300"</f>
        <v>2025-09-13 17:33:06.300</v>
      </c>
      <c r="H1162" t="s">
        <v>22</v>
      </c>
      <c r="I1162">
        <v>0</v>
      </c>
      <c r="J1162" t="s">
        <v>23</v>
      </c>
    </row>
    <row r="1163" spans="1:10" x14ac:dyDescent="0.25">
      <c r="A1163" s="1">
        <v>190</v>
      </c>
      <c r="B1163" t="s">
        <v>39</v>
      </c>
      <c r="C1163">
        <v>115</v>
      </c>
      <c r="D1163">
        <v>6</v>
      </c>
      <c r="E1163" t="s">
        <v>38</v>
      </c>
      <c r="F1163" t="s">
        <v>37</v>
      </c>
      <c r="G1163" t="str">
        <f>"2025-09-13 17:33:06.296"</f>
        <v>2025-09-13 17:33:06.296</v>
      </c>
      <c r="H1163" t="s">
        <v>22</v>
      </c>
      <c r="I1163">
        <v>0</v>
      </c>
      <c r="J1163" t="s">
        <v>23</v>
      </c>
    </row>
    <row r="1164" spans="1:10" x14ac:dyDescent="0.25">
      <c r="A1164" s="1">
        <v>191</v>
      </c>
      <c r="B1164" t="s">
        <v>26</v>
      </c>
      <c r="C1164">
        <v>6</v>
      </c>
      <c r="D1164">
        <v>1</v>
      </c>
      <c r="E1164" t="s">
        <v>40</v>
      </c>
      <c r="F1164" t="s">
        <v>41</v>
      </c>
      <c r="G1164" t="str">
        <f>"2025-09-13 17:33:06.193"</f>
        <v>2025-09-13 17:33:06.193</v>
      </c>
      <c r="H1164" t="s">
        <v>42</v>
      </c>
    </row>
    <row r="1165" spans="1:10" x14ac:dyDescent="0.25">
      <c r="A1165" s="1">
        <v>192</v>
      </c>
      <c r="B1165" t="s">
        <v>26</v>
      </c>
      <c r="C1165">
        <v>75</v>
      </c>
      <c r="D1165">
        <v>1</v>
      </c>
      <c r="E1165" t="s">
        <v>43</v>
      </c>
      <c r="F1165" t="s">
        <v>44</v>
      </c>
      <c r="G1165" t="str">
        <f>"2025-09-13 17:33:06.190"</f>
        <v>2025-09-13 17:33:06.190</v>
      </c>
      <c r="H1165" t="s">
        <v>45</v>
      </c>
    </row>
    <row r="1166" spans="1:10" x14ac:dyDescent="0.25">
      <c r="A1166" s="1">
        <v>193</v>
      </c>
      <c r="B1166" t="s">
        <v>26</v>
      </c>
      <c r="C1166">
        <v>74</v>
      </c>
      <c r="D1166">
        <v>1</v>
      </c>
      <c r="E1166" t="s">
        <v>46</v>
      </c>
      <c r="F1166" t="s">
        <v>47</v>
      </c>
      <c r="G1166" t="str">
        <f>"2025-09-13 17:33:06.188"</f>
        <v>2025-09-13 17:33:06.188</v>
      </c>
      <c r="H1166" t="s">
        <v>48</v>
      </c>
    </row>
    <row r="1167" spans="1:10" x14ac:dyDescent="0.25">
      <c r="A1167" s="1">
        <v>194</v>
      </c>
      <c r="B1167" t="s">
        <v>29</v>
      </c>
      <c r="C1167">
        <v>75</v>
      </c>
      <c r="D1167">
        <v>1</v>
      </c>
      <c r="E1167" t="s">
        <v>43</v>
      </c>
      <c r="F1167" t="s">
        <v>44</v>
      </c>
      <c r="G1167" t="str">
        <f>"2025-09-13 17:32:54.547"</f>
        <v>2025-09-13 17:32:54.547</v>
      </c>
      <c r="H1167" t="s">
        <v>45</v>
      </c>
      <c r="I1167">
        <v>0</v>
      </c>
      <c r="J1167" t="s">
        <v>23</v>
      </c>
    </row>
    <row r="1168" spans="1:10" x14ac:dyDescent="0.25">
      <c r="A1168" s="1">
        <v>195</v>
      </c>
      <c r="B1168" t="s">
        <v>29</v>
      </c>
      <c r="C1168">
        <v>74</v>
      </c>
      <c r="D1168">
        <v>1</v>
      </c>
      <c r="E1168" t="s">
        <v>46</v>
      </c>
      <c r="F1168" t="s">
        <v>47</v>
      </c>
      <c r="G1168" t="str">
        <f>"2025-09-13 17:32:54.542"</f>
        <v>2025-09-13 17:32:54.542</v>
      </c>
      <c r="H1168" t="s">
        <v>48</v>
      </c>
      <c r="I1168">
        <v>0</v>
      </c>
      <c r="J1168" t="s">
        <v>23</v>
      </c>
    </row>
    <row r="1169" spans="1:10" x14ac:dyDescent="0.25">
      <c r="A1169" s="1">
        <v>196</v>
      </c>
      <c r="B1169" t="s">
        <v>39</v>
      </c>
      <c r="C1169">
        <v>6</v>
      </c>
      <c r="D1169">
        <v>1</v>
      </c>
      <c r="E1169" t="s">
        <v>40</v>
      </c>
      <c r="F1169" t="s">
        <v>41</v>
      </c>
      <c r="G1169" t="str">
        <f>"2025-09-13 17:32:54.537"</f>
        <v>2025-09-13 17:32:54.537</v>
      </c>
      <c r="H1169" t="s">
        <v>42</v>
      </c>
      <c r="I1169">
        <v>0</v>
      </c>
      <c r="J1169" t="s">
        <v>23</v>
      </c>
    </row>
    <row r="1170" spans="1:10" x14ac:dyDescent="0.25">
      <c r="A1170" s="1">
        <v>200</v>
      </c>
      <c r="B1170" t="s">
        <v>19</v>
      </c>
      <c r="C1170">
        <v>700</v>
      </c>
      <c r="D1170">
        <v>0</v>
      </c>
      <c r="E1170" t="s">
        <v>24</v>
      </c>
      <c r="F1170" t="s">
        <v>24</v>
      </c>
      <c r="G1170" t="str">
        <f>"2025-09-13 10:00:28.939"</f>
        <v>2025-09-13 10:00:28.939</v>
      </c>
      <c r="H1170" t="s">
        <v>22</v>
      </c>
      <c r="I1170">
        <v>0</v>
      </c>
      <c r="J1170" t="s">
        <v>34</v>
      </c>
    </row>
    <row r="1171" spans="1:10" x14ac:dyDescent="0.25">
      <c r="A1171" s="1">
        <v>201</v>
      </c>
      <c r="B1171" t="s">
        <v>26</v>
      </c>
      <c r="C1171">
        <v>635</v>
      </c>
      <c r="D1171">
        <v>1</v>
      </c>
      <c r="E1171" t="s">
        <v>31</v>
      </c>
      <c r="F1171" t="s">
        <v>32</v>
      </c>
      <c r="G1171" t="str">
        <f>"2025-09-13 02:25:27.918"</f>
        <v>2025-09-13 02:25:27.918</v>
      </c>
      <c r="H1171" t="s">
        <v>22</v>
      </c>
    </row>
    <row r="1172" spans="1:10" x14ac:dyDescent="0.25">
      <c r="A1172" s="1">
        <v>202</v>
      </c>
      <c r="B1172" t="s">
        <v>29</v>
      </c>
      <c r="C1172">
        <v>635</v>
      </c>
      <c r="D1172">
        <v>1</v>
      </c>
      <c r="E1172" t="s">
        <v>31</v>
      </c>
      <c r="F1172" t="s">
        <v>32</v>
      </c>
      <c r="G1172" t="str">
        <f>"2025-09-13 02:22:04.418"</f>
        <v>2025-09-13 02:22:04.418</v>
      </c>
      <c r="H1172" t="s">
        <v>22</v>
      </c>
      <c r="I1172">
        <v>7.44</v>
      </c>
      <c r="J1172" t="s">
        <v>33</v>
      </c>
    </row>
    <row r="1173" spans="1:10" x14ac:dyDescent="0.25">
      <c r="A1173" s="1">
        <v>203</v>
      </c>
      <c r="B1173" t="s">
        <v>26</v>
      </c>
      <c r="C1173">
        <v>635</v>
      </c>
      <c r="D1173">
        <v>1</v>
      </c>
      <c r="E1173" t="s">
        <v>31</v>
      </c>
      <c r="F1173" t="s">
        <v>32</v>
      </c>
      <c r="G1173" t="str">
        <f>"2025-09-12 21:44:16.518"</f>
        <v>2025-09-12 21:44:16.518</v>
      </c>
      <c r="H1173" t="s">
        <v>22</v>
      </c>
    </row>
    <row r="1174" spans="1:10" x14ac:dyDescent="0.25">
      <c r="A1174" s="1">
        <v>204</v>
      </c>
      <c r="B1174" t="s">
        <v>29</v>
      </c>
      <c r="C1174">
        <v>635</v>
      </c>
      <c r="D1174">
        <v>1</v>
      </c>
      <c r="E1174" t="s">
        <v>31</v>
      </c>
      <c r="F1174" t="s">
        <v>32</v>
      </c>
      <c r="G1174" t="str">
        <f>"2025-09-12 21:39:21.018"</f>
        <v>2025-09-12 21:39:21.018</v>
      </c>
      <c r="H1174" t="s">
        <v>22</v>
      </c>
      <c r="I1174">
        <v>3.37</v>
      </c>
      <c r="J1174" t="s">
        <v>30</v>
      </c>
    </row>
    <row r="1175" spans="1:10" x14ac:dyDescent="0.25">
      <c r="A1175" s="1">
        <v>205</v>
      </c>
      <c r="B1175" t="s">
        <v>19</v>
      </c>
      <c r="C1175">
        <v>700</v>
      </c>
      <c r="D1175">
        <v>0</v>
      </c>
      <c r="E1175" t="s">
        <v>24</v>
      </c>
      <c r="F1175" t="s">
        <v>24</v>
      </c>
      <c r="G1175" t="str">
        <f>"2025-09-12 18:53:40.939"</f>
        <v>2025-09-12 18:53:40.939</v>
      </c>
      <c r="H1175" t="s">
        <v>22</v>
      </c>
    </row>
    <row r="1176" spans="1:10" x14ac:dyDescent="0.25">
      <c r="A1176" s="1">
        <v>206</v>
      </c>
      <c r="B1176" t="s">
        <v>26</v>
      </c>
      <c r="C1176">
        <v>635</v>
      </c>
      <c r="D1176">
        <v>1</v>
      </c>
      <c r="E1176" t="s">
        <v>31</v>
      </c>
      <c r="F1176" t="s">
        <v>32</v>
      </c>
      <c r="G1176" t="str">
        <f>"2025-09-12 14:16:10.856"</f>
        <v>2025-09-12 14:16:10.856</v>
      </c>
      <c r="H1176" t="s">
        <v>22</v>
      </c>
    </row>
    <row r="1177" spans="1:10" x14ac:dyDescent="0.25">
      <c r="A1177" s="1">
        <v>207</v>
      </c>
      <c r="B1177" t="s">
        <v>29</v>
      </c>
      <c r="C1177">
        <v>635</v>
      </c>
      <c r="D1177">
        <v>1</v>
      </c>
      <c r="E1177" t="s">
        <v>31</v>
      </c>
      <c r="F1177" t="s">
        <v>32</v>
      </c>
      <c r="G1177" t="str">
        <f>"2025-09-12 14:11:17.956"</f>
        <v>2025-09-12 14:11:17.956</v>
      </c>
      <c r="H1177" t="s">
        <v>22</v>
      </c>
      <c r="I1177">
        <v>2.34</v>
      </c>
      <c r="J1177" t="s">
        <v>33</v>
      </c>
    </row>
    <row r="1178" spans="1:10" x14ac:dyDescent="0.25">
      <c r="A1178" s="1">
        <v>208</v>
      </c>
      <c r="B1178" t="s">
        <v>26</v>
      </c>
      <c r="C1178">
        <v>635</v>
      </c>
      <c r="D1178">
        <v>1</v>
      </c>
      <c r="E1178" t="s">
        <v>31</v>
      </c>
      <c r="F1178" t="s">
        <v>32</v>
      </c>
      <c r="G1178" t="str">
        <f>"2025-09-12 08:56:45.056"</f>
        <v>2025-09-12 08:56:45.056</v>
      </c>
      <c r="H1178" t="s">
        <v>22</v>
      </c>
    </row>
    <row r="1179" spans="1:10" x14ac:dyDescent="0.25">
      <c r="A1179" s="1">
        <v>209</v>
      </c>
      <c r="B1179" t="s">
        <v>29</v>
      </c>
      <c r="C1179">
        <v>635</v>
      </c>
      <c r="D1179">
        <v>1</v>
      </c>
      <c r="E1179" t="s">
        <v>31</v>
      </c>
      <c r="F1179" t="s">
        <v>32</v>
      </c>
      <c r="G1179" t="str">
        <f>"2025-09-12 08:53:12.556"</f>
        <v>2025-09-12 08:53:12.556</v>
      </c>
      <c r="H1179" t="s">
        <v>22</v>
      </c>
      <c r="I1179">
        <v>-0.03</v>
      </c>
      <c r="J1179" t="s">
        <v>33</v>
      </c>
    </row>
    <row r="1180" spans="1:10" s="3" customFormat="1" x14ac:dyDescent="0.25">
      <c r="A1180" s="2">
        <v>210</v>
      </c>
      <c r="B1180" s="3" t="s">
        <v>26</v>
      </c>
      <c r="C1180" s="3">
        <v>647</v>
      </c>
      <c r="D1180" s="3">
        <v>1</v>
      </c>
      <c r="E1180" s="3" t="s">
        <v>27</v>
      </c>
      <c r="F1180" s="3" t="s">
        <v>28</v>
      </c>
      <c r="G1180" s="3" t="str">
        <f>"2025-09-11 23:52:13.656"</f>
        <v>2025-09-11 23:52:13.656</v>
      </c>
      <c r="H1180" s="3" t="s">
        <v>22</v>
      </c>
    </row>
    <row r="1181" spans="1:10" s="3" customFormat="1" x14ac:dyDescent="0.25">
      <c r="A1181" s="2">
        <v>211</v>
      </c>
      <c r="B1181" s="3" t="s">
        <v>29</v>
      </c>
      <c r="C1181" s="3">
        <v>647</v>
      </c>
      <c r="D1181" s="3">
        <v>1</v>
      </c>
      <c r="E1181" s="3" t="s">
        <v>27</v>
      </c>
      <c r="F1181" s="3" t="s">
        <v>28</v>
      </c>
      <c r="G1181" s="3" t="str">
        <f>"2025-09-11 23:52:12.057"</f>
        <v>2025-09-11 23:52:12.057</v>
      </c>
      <c r="H1181" s="3" t="s">
        <v>22</v>
      </c>
      <c r="I1181" s="3">
        <v>10.11</v>
      </c>
      <c r="J1181" s="3" t="s">
        <v>30</v>
      </c>
    </row>
    <row r="1182" spans="1:10" x14ac:dyDescent="0.25">
      <c r="A1182" s="1">
        <v>212</v>
      </c>
      <c r="B1182" t="s">
        <v>19</v>
      </c>
      <c r="C1182">
        <v>700</v>
      </c>
      <c r="D1182">
        <v>0</v>
      </c>
      <c r="E1182" t="s">
        <v>24</v>
      </c>
      <c r="F1182" t="s">
        <v>24</v>
      </c>
      <c r="G1182" t="str">
        <f>"2025-09-11 13:35:54.128"</f>
        <v>2025-09-11 13:35:54.128</v>
      </c>
      <c r="H1182" t="s">
        <v>22</v>
      </c>
      <c r="I1182">
        <v>0</v>
      </c>
      <c r="J1182" t="s">
        <v>34</v>
      </c>
    </row>
    <row r="1183" spans="1:10" x14ac:dyDescent="0.25">
      <c r="A1183" s="1">
        <v>213</v>
      </c>
      <c r="B1183" t="s">
        <v>26</v>
      </c>
      <c r="C1183">
        <v>635</v>
      </c>
      <c r="D1183">
        <v>1</v>
      </c>
      <c r="E1183" t="s">
        <v>31</v>
      </c>
      <c r="F1183" t="s">
        <v>32</v>
      </c>
      <c r="G1183" t="str">
        <f>"2025-09-11 01:16:40.910"</f>
        <v>2025-09-11 01:16:40.910</v>
      </c>
      <c r="H1183" t="s">
        <v>22</v>
      </c>
    </row>
    <row r="1184" spans="1:10" x14ac:dyDescent="0.25">
      <c r="A1184" s="1">
        <v>214</v>
      </c>
      <c r="B1184" t="s">
        <v>29</v>
      </c>
      <c r="C1184">
        <v>635</v>
      </c>
      <c r="D1184">
        <v>1</v>
      </c>
      <c r="E1184" t="s">
        <v>31</v>
      </c>
      <c r="F1184" t="s">
        <v>32</v>
      </c>
      <c r="G1184" t="str">
        <f>"2025-09-11 01:06:31.510"</f>
        <v>2025-09-11 01:06:31.510</v>
      </c>
      <c r="H1184" t="s">
        <v>22</v>
      </c>
      <c r="I1184">
        <v>8.42</v>
      </c>
      <c r="J1184" t="s">
        <v>33</v>
      </c>
    </row>
    <row r="1185" spans="1:10" s="3" customFormat="1" x14ac:dyDescent="0.25">
      <c r="A1185" s="2">
        <v>215</v>
      </c>
      <c r="B1185" s="3" t="s">
        <v>26</v>
      </c>
      <c r="C1185" s="3">
        <v>647</v>
      </c>
      <c r="D1185" s="3">
        <v>1</v>
      </c>
      <c r="E1185" s="3" t="s">
        <v>27</v>
      </c>
      <c r="F1185" s="3" t="s">
        <v>28</v>
      </c>
      <c r="G1185" s="3" t="str">
        <f>"2025-09-11 00:42:48.058"</f>
        <v>2025-09-11 00:42:48.058</v>
      </c>
      <c r="H1185" s="3" t="s">
        <v>22</v>
      </c>
    </row>
    <row r="1186" spans="1:10" s="3" customFormat="1" x14ac:dyDescent="0.25">
      <c r="A1186" s="2">
        <v>216</v>
      </c>
      <c r="B1186" s="3" t="s">
        <v>29</v>
      </c>
      <c r="C1186" s="3">
        <v>647</v>
      </c>
      <c r="D1186" s="3">
        <v>1</v>
      </c>
      <c r="E1186" s="3" t="s">
        <v>27</v>
      </c>
      <c r="F1186" s="3" t="s">
        <v>28</v>
      </c>
      <c r="G1186" s="3" t="str">
        <f>"2025-09-11 00:42:46.958"</f>
        <v>2025-09-11 00:42:46.958</v>
      </c>
      <c r="H1186" s="3" t="s">
        <v>22</v>
      </c>
      <c r="I1186" s="3">
        <v>10.75</v>
      </c>
      <c r="J1186" s="3" t="s">
        <v>30</v>
      </c>
    </row>
    <row r="1187" spans="1:10" x14ac:dyDescent="0.25">
      <c r="A1187" s="1">
        <v>217</v>
      </c>
      <c r="B1187" t="s">
        <v>26</v>
      </c>
      <c r="C1187">
        <v>635</v>
      </c>
      <c r="D1187">
        <v>1</v>
      </c>
      <c r="E1187" t="s">
        <v>31</v>
      </c>
      <c r="F1187" t="s">
        <v>32</v>
      </c>
      <c r="G1187" t="str">
        <f>"2025-09-11 00:04:29.610"</f>
        <v>2025-09-11 00:04:29.610</v>
      </c>
      <c r="H1187" t="s">
        <v>22</v>
      </c>
    </row>
    <row r="1188" spans="1:10" x14ac:dyDescent="0.25">
      <c r="A1188" s="1">
        <v>218</v>
      </c>
      <c r="B1188" t="s">
        <v>29</v>
      </c>
      <c r="C1188">
        <v>635</v>
      </c>
      <c r="D1188">
        <v>1</v>
      </c>
      <c r="E1188" t="s">
        <v>31</v>
      </c>
      <c r="F1188" t="s">
        <v>32</v>
      </c>
      <c r="G1188" t="str">
        <f>"2025-09-10 23:54:09.110"</f>
        <v>2025-09-10 23:54:09.110</v>
      </c>
      <c r="H1188" t="s">
        <v>22</v>
      </c>
      <c r="I1188">
        <v>7.61</v>
      </c>
      <c r="J1188" t="s">
        <v>33</v>
      </c>
    </row>
    <row r="1189" spans="1:10" x14ac:dyDescent="0.25">
      <c r="A1189" s="1">
        <v>219</v>
      </c>
      <c r="B1189" t="s">
        <v>26</v>
      </c>
      <c r="C1189">
        <v>635</v>
      </c>
      <c r="D1189">
        <v>1</v>
      </c>
      <c r="E1189" t="s">
        <v>31</v>
      </c>
      <c r="F1189" t="s">
        <v>32</v>
      </c>
      <c r="G1189" t="str">
        <f>"2025-09-09 12:39:49.310"</f>
        <v>2025-09-09 12:39:49.310</v>
      </c>
      <c r="H1189" t="s">
        <v>22</v>
      </c>
    </row>
    <row r="1190" spans="1:10" x14ac:dyDescent="0.25">
      <c r="A1190" s="1">
        <v>220</v>
      </c>
      <c r="B1190" t="s">
        <v>29</v>
      </c>
      <c r="C1190">
        <v>635</v>
      </c>
      <c r="D1190">
        <v>1</v>
      </c>
      <c r="E1190" t="s">
        <v>31</v>
      </c>
      <c r="F1190" t="s">
        <v>32</v>
      </c>
      <c r="G1190" t="str">
        <f>"2025-09-09 12:37:03.810"</f>
        <v>2025-09-09 12:37:03.810</v>
      </c>
      <c r="H1190" t="s">
        <v>22</v>
      </c>
      <c r="I1190">
        <v>4.95</v>
      </c>
      <c r="J1190" t="s">
        <v>30</v>
      </c>
    </row>
    <row r="1191" spans="1:10" x14ac:dyDescent="0.25">
      <c r="A1191" s="1">
        <v>221</v>
      </c>
      <c r="B1191" t="s">
        <v>19</v>
      </c>
      <c r="C1191">
        <v>700</v>
      </c>
      <c r="D1191">
        <v>0</v>
      </c>
      <c r="E1191" t="s">
        <v>24</v>
      </c>
      <c r="F1191" t="s">
        <v>24</v>
      </c>
      <c r="G1191" t="str">
        <f>"2025-09-09 08:15:09.930"</f>
        <v>2025-09-09 08:15:09.930</v>
      </c>
      <c r="H1191" t="s">
        <v>22</v>
      </c>
      <c r="I1191">
        <v>0</v>
      </c>
      <c r="J1191" t="s">
        <v>34</v>
      </c>
    </row>
    <row r="1192" spans="1:10" s="3" customFormat="1" x14ac:dyDescent="0.25">
      <c r="A1192" s="2">
        <v>222</v>
      </c>
      <c r="B1192" s="3" t="s">
        <v>26</v>
      </c>
      <c r="C1192" s="3">
        <v>647</v>
      </c>
      <c r="D1192" s="3">
        <v>1</v>
      </c>
      <c r="E1192" s="3" t="s">
        <v>27</v>
      </c>
      <c r="F1192" s="3" t="s">
        <v>28</v>
      </c>
      <c r="G1192" s="3" t="str">
        <f>"2025-09-08 21:26:17.363"</f>
        <v>2025-09-08 21:26:17.363</v>
      </c>
      <c r="H1192" s="3" t="s">
        <v>22</v>
      </c>
    </row>
    <row r="1193" spans="1:10" s="3" customFormat="1" x14ac:dyDescent="0.25">
      <c r="A1193" s="2">
        <v>223</v>
      </c>
      <c r="B1193" s="3" t="s">
        <v>29</v>
      </c>
      <c r="C1193" s="3">
        <v>647</v>
      </c>
      <c r="D1193" s="3">
        <v>1</v>
      </c>
      <c r="E1193" s="3" t="s">
        <v>27</v>
      </c>
      <c r="F1193" s="3" t="s">
        <v>28</v>
      </c>
      <c r="G1193" s="3" t="str">
        <f>"2025-09-08 21:26:12.564"</f>
        <v>2025-09-08 21:26:12.564</v>
      </c>
      <c r="H1193" s="3" t="s">
        <v>22</v>
      </c>
      <c r="I1193" s="3">
        <v>11.1</v>
      </c>
      <c r="J1193" s="3" t="s">
        <v>30</v>
      </c>
    </row>
    <row r="1194" spans="1:10" x14ac:dyDescent="0.25">
      <c r="A1194" s="1">
        <v>224</v>
      </c>
      <c r="B1194" t="s">
        <v>26</v>
      </c>
      <c r="C1194">
        <v>635</v>
      </c>
      <c r="D1194">
        <v>1</v>
      </c>
      <c r="E1194" t="s">
        <v>31</v>
      </c>
      <c r="F1194" t="s">
        <v>32</v>
      </c>
      <c r="G1194" t="str">
        <f>"2025-09-08 09:13:26.215"</f>
        <v>2025-09-08 09:13:26.215</v>
      </c>
      <c r="H1194" t="s">
        <v>22</v>
      </c>
    </row>
    <row r="1195" spans="1:10" x14ac:dyDescent="0.25">
      <c r="A1195" s="1">
        <v>225</v>
      </c>
      <c r="B1195" t="s">
        <v>29</v>
      </c>
      <c r="C1195">
        <v>635</v>
      </c>
      <c r="D1195">
        <v>1</v>
      </c>
      <c r="E1195" t="s">
        <v>31</v>
      </c>
      <c r="F1195" t="s">
        <v>32</v>
      </c>
      <c r="G1195" t="str">
        <f>"2025-09-08 09:07:54.715"</f>
        <v>2025-09-08 09:07:54.715</v>
      </c>
      <c r="H1195" t="s">
        <v>22</v>
      </c>
      <c r="I1195">
        <v>2.68</v>
      </c>
      <c r="J1195" t="s">
        <v>33</v>
      </c>
    </row>
    <row r="1196" spans="1:10" x14ac:dyDescent="0.25">
      <c r="A1196" s="1">
        <v>226</v>
      </c>
      <c r="B1196" t="s">
        <v>19</v>
      </c>
      <c r="C1196">
        <v>700</v>
      </c>
      <c r="D1196">
        <v>0</v>
      </c>
      <c r="E1196" t="s">
        <v>24</v>
      </c>
      <c r="F1196" t="s">
        <v>24</v>
      </c>
      <c r="G1196" t="str">
        <f>"2025-09-08 08:25:50.926"</f>
        <v>2025-09-08 08:25:50.926</v>
      </c>
      <c r="H1196" t="s">
        <v>22</v>
      </c>
    </row>
    <row r="1197" spans="1:10" s="3" customFormat="1" x14ac:dyDescent="0.25">
      <c r="A1197" s="2">
        <v>227</v>
      </c>
      <c r="B1197" s="3" t="s">
        <v>26</v>
      </c>
      <c r="C1197" s="3">
        <v>647</v>
      </c>
      <c r="D1197" s="3">
        <v>1</v>
      </c>
      <c r="E1197" s="3" t="s">
        <v>27</v>
      </c>
      <c r="F1197" s="3" t="s">
        <v>28</v>
      </c>
      <c r="G1197" s="3" t="str">
        <f>"2025-09-08 04:41:07.303"</f>
        <v>2025-09-08 04:41:07.303</v>
      </c>
      <c r="H1197" s="3" t="s">
        <v>22</v>
      </c>
    </row>
    <row r="1198" spans="1:10" s="3" customFormat="1" x14ac:dyDescent="0.25">
      <c r="A1198" s="2">
        <v>228</v>
      </c>
      <c r="B1198" s="3" t="s">
        <v>29</v>
      </c>
      <c r="C1198" s="3">
        <v>647</v>
      </c>
      <c r="D1198" s="3">
        <v>1</v>
      </c>
      <c r="E1198" s="3" t="s">
        <v>27</v>
      </c>
      <c r="F1198" s="3" t="s">
        <v>28</v>
      </c>
      <c r="G1198" s="3" t="str">
        <f>"2025-09-08 04:41:05.203"</f>
        <v>2025-09-08 04:41:05.203</v>
      </c>
      <c r="H1198" s="3" t="s">
        <v>22</v>
      </c>
      <c r="I1198" s="3">
        <v>14.73</v>
      </c>
      <c r="J1198" s="3" t="s">
        <v>30</v>
      </c>
    </row>
    <row r="1199" spans="1:10" x14ac:dyDescent="0.25">
      <c r="A1199" s="1">
        <v>229</v>
      </c>
      <c r="B1199" t="s">
        <v>19</v>
      </c>
      <c r="C1199">
        <v>706</v>
      </c>
      <c r="D1199">
        <v>2</v>
      </c>
      <c r="E1199" t="s">
        <v>20</v>
      </c>
      <c r="F1199" t="s">
        <v>25</v>
      </c>
      <c r="G1199" t="str">
        <f>"2025-09-07 21:30:15.901"</f>
        <v>2025-09-07 21:30:15.901</v>
      </c>
      <c r="H1199" t="s">
        <v>22</v>
      </c>
      <c r="I1199">
        <v>0</v>
      </c>
      <c r="J1199" t="s">
        <v>23</v>
      </c>
    </row>
    <row r="1200" spans="1:10" x14ac:dyDescent="0.25">
      <c r="A1200" s="1">
        <v>230</v>
      </c>
      <c r="B1200" t="s">
        <v>19</v>
      </c>
      <c r="C1200">
        <v>700</v>
      </c>
      <c r="D1200">
        <v>0</v>
      </c>
      <c r="E1200" t="s">
        <v>24</v>
      </c>
      <c r="F1200" t="s">
        <v>24</v>
      </c>
      <c r="G1200" t="str">
        <f>"2025-09-07 21:27:41.101"</f>
        <v>2025-09-07 21:27:41.101</v>
      </c>
      <c r="H1200" t="s">
        <v>22</v>
      </c>
    </row>
    <row r="1201" spans="1:10" s="3" customFormat="1" x14ac:dyDescent="0.25">
      <c r="A1201" s="2">
        <v>231</v>
      </c>
      <c r="B1201" s="3" t="s">
        <v>26</v>
      </c>
      <c r="C1201" s="3">
        <v>647</v>
      </c>
      <c r="D1201" s="3">
        <v>1</v>
      </c>
      <c r="E1201" s="3" t="s">
        <v>27</v>
      </c>
      <c r="F1201" s="3" t="s">
        <v>28</v>
      </c>
      <c r="G1201" s="3" t="str">
        <f>"2025-09-07 17:33:34.587"</f>
        <v>2025-09-07 17:33:34.587</v>
      </c>
      <c r="H1201" s="3" t="s">
        <v>22</v>
      </c>
    </row>
    <row r="1202" spans="1:10" s="3" customFormat="1" x14ac:dyDescent="0.25">
      <c r="A1202" s="2">
        <v>232</v>
      </c>
      <c r="B1202" s="3" t="s">
        <v>29</v>
      </c>
      <c r="C1202" s="3">
        <v>647</v>
      </c>
      <c r="D1202" s="3">
        <v>1</v>
      </c>
      <c r="E1202" s="3" t="s">
        <v>27</v>
      </c>
      <c r="F1202" s="3" t="s">
        <v>28</v>
      </c>
      <c r="G1202" s="3" t="str">
        <f>"2025-09-07 17:33:32.688"</f>
        <v>2025-09-07 17:33:32.688</v>
      </c>
      <c r="H1202" s="3" t="s">
        <v>22</v>
      </c>
      <c r="I1202" s="3">
        <v>17.82</v>
      </c>
      <c r="J1202" s="3" t="s">
        <v>30</v>
      </c>
    </row>
    <row r="1203" spans="1:10" x14ac:dyDescent="0.25">
      <c r="A1203" s="1">
        <v>233</v>
      </c>
      <c r="B1203" t="s">
        <v>19</v>
      </c>
      <c r="C1203">
        <v>700</v>
      </c>
      <c r="D1203">
        <v>0</v>
      </c>
      <c r="E1203" t="s">
        <v>24</v>
      </c>
      <c r="F1203" t="s">
        <v>24</v>
      </c>
      <c r="G1203" t="str">
        <f>"2025-09-07 13:36:00.952"</f>
        <v>2025-09-07 13:36:00.952</v>
      </c>
      <c r="H1203" t="s">
        <v>22</v>
      </c>
      <c r="I1203">
        <v>0</v>
      </c>
      <c r="J1203" t="s">
        <v>34</v>
      </c>
    </row>
    <row r="1204" spans="1:10" x14ac:dyDescent="0.25">
      <c r="A1204" s="1">
        <v>234</v>
      </c>
      <c r="B1204" t="s">
        <v>26</v>
      </c>
      <c r="C1204">
        <v>635</v>
      </c>
      <c r="D1204">
        <v>1</v>
      </c>
      <c r="E1204" t="s">
        <v>31</v>
      </c>
      <c r="F1204" t="s">
        <v>32</v>
      </c>
      <c r="G1204" t="str">
        <f>"2025-09-07 05:59:04.601"</f>
        <v>2025-09-07 05:59:04.601</v>
      </c>
      <c r="H1204" t="s">
        <v>22</v>
      </c>
    </row>
    <row r="1205" spans="1:10" x14ac:dyDescent="0.25">
      <c r="A1205" s="1">
        <v>235</v>
      </c>
      <c r="B1205" t="s">
        <v>29</v>
      </c>
      <c r="C1205">
        <v>635</v>
      </c>
      <c r="D1205">
        <v>1</v>
      </c>
      <c r="E1205" t="s">
        <v>31</v>
      </c>
      <c r="F1205" t="s">
        <v>32</v>
      </c>
      <c r="G1205" t="str">
        <f>"2025-09-07 05:33:34.701"</f>
        <v>2025-09-07 05:33:34.701</v>
      </c>
      <c r="H1205" t="s">
        <v>22</v>
      </c>
      <c r="I1205">
        <v>8.1999999999999993</v>
      </c>
      <c r="J1205" t="s">
        <v>33</v>
      </c>
    </row>
    <row r="1206" spans="1:10" x14ac:dyDescent="0.25">
      <c r="A1206" s="1">
        <v>236</v>
      </c>
      <c r="B1206" t="s">
        <v>26</v>
      </c>
      <c r="C1206">
        <v>635</v>
      </c>
      <c r="D1206">
        <v>1</v>
      </c>
      <c r="E1206" t="s">
        <v>31</v>
      </c>
      <c r="F1206" t="s">
        <v>32</v>
      </c>
      <c r="G1206" t="str">
        <f>"2025-09-07 01:53:43.601"</f>
        <v>2025-09-07 01:53:43.601</v>
      </c>
      <c r="H1206" t="s">
        <v>22</v>
      </c>
    </row>
    <row r="1207" spans="1:10" x14ac:dyDescent="0.25">
      <c r="A1207" s="1">
        <v>237</v>
      </c>
      <c r="B1207" t="s">
        <v>29</v>
      </c>
      <c r="C1207">
        <v>635</v>
      </c>
      <c r="D1207">
        <v>1</v>
      </c>
      <c r="E1207" t="s">
        <v>31</v>
      </c>
      <c r="F1207" t="s">
        <v>32</v>
      </c>
      <c r="G1207" t="str">
        <f>"2025-09-07 01:50:10.101"</f>
        <v>2025-09-07 01:50:10.101</v>
      </c>
      <c r="H1207" t="s">
        <v>22</v>
      </c>
      <c r="I1207">
        <v>2.3199999999999998</v>
      </c>
      <c r="J1207" t="s">
        <v>33</v>
      </c>
    </row>
    <row r="1208" spans="1:10" s="3" customFormat="1" x14ac:dyDescent="0.25">
      <c r="A1208" s="2">
        <v>238</v>
      </c>
      <c r="B1208" s="3" t="s">
        <v>26</v>
      </c>
      <c r="C1208" s="3">
        <v>647</v>
      </c>
      <c r="D1208" s="3">
        <v>1</v>
      </c>
      <c r="E1208" s="3" t="s">
        <v>27</v>
      </c>
      <c r="F1208" s="3" t="s">
        <v>28</v>
      </c>
      <c r="G1208" s="3" t="str">
        <f>"2025-09-06 22:56:01.349"</f>
        <v>2025-09-06 22:56:01.349</v>
      </c>
      <c r="H1208" s="3" t="s">
        <v>22</v>
      </c>
    </row>
    <row r="1209" spans="1:10" s="3" customFormat="1" x14ac:dyDescent="0.25">
      <c r="A1209" s="2">
        <v>239</v>
      </c>
      <c r="B1209" s="3" t="s">
        <v>29</v>
      </c>
      <c r="C1209" s="3">
        <v>647</v>
      </c>
      <c r="D1209" s="3">
        <v>1</v>
      </c>
      <c r="E1209" s="3" t="s">
        <v>27</v>
      </c>
      <c r="F1209" s="3" t="s">
        <v>28</v>
      </c>
      <c r="G1209" s="3" t="str">
        <f>"2025-09-06 22:55:59.249"</f>
        <v>2025-09-06 22:55:59.249</v>
      </c>
      <c r="H1209" s="3" t="s">
        <v>22</v>
      </c>
      <c r="I1209" s="3">
        <v>12.93</v>
      </c>
      <c r="J1209" s="3" t="s">
        <v>30</v>
      </c>
    </row>
    <row r="1210" spans="1:10" s="3" customFormat="1" x14ac:dyDescent="0.25">
      <c r="A1210" s="2">
        <v>240</v>
      </c>
      <c r="B1210" s="3" t="s">
        <v>26</v>
      </c>
      <c r="C1210" s="3">
        <v>647</v>
      </c>
      <c r="D1210" s="3">
        <v>1</v>
      </c>
      <c r="E1210" s="3" t="s">
        <v>27</v>
      </c>
      <c r="F1210" s="3" t="s">
        <v>28</v>
      </c>
      <c r="G1210" s="3" t="str">
        <f>"2025-09-06 22:24:58.749"</f>
        <v>2025-09-06 22:24:58.749</v>
      </c>
      <c r="H1210" s="3" t="s">
        <v>22</v>
      </c>
    </row>
    <row r="1211" spans="1:10" s="3" customFormat="1" x14ac:dyDescent="0.25">
      <c r="A1211" s="2">
        <v>241</v>
      </c>
      <c r="B1211" s="3" t="s">
        <v>29</v>
      </c>
      <c r="C1211" s="3">
        <v>647</v>
      </c>
      <c r="D1211" s="3">
        <v>1</v>
      </c>
      <c r="E1211" s="3" t="s">
        <v>27</v>
      </c>
      <c r="F1211" s="3" t="s">
        <v>28</v>
      </c>
      <c r="G1211" s="3" t="str">
        <f>"2025-09-06 22:24:54.750"</f>
        <v>2025-09-06 22:24:54.750</v>
      </c>
      <c r="H1211" s="3" t="s">
        <v>22</v>
      </c>
      <c r="I1211" s="3">
        <v>8.6199999999999992</v>
      </c>
      <c r="J1211" s="3" t="s">
        <v>30</v>
      </c>
    </row>
    <row r="1212" spans="1:10" x14ac:dyDescent="0.25">
      <c r="A1212" s="1">
        <v>242</v>
      </c>
      <c r="B1212" t="s">
        <v>19</v>
      </c>
      <c r="C1212">
        <v>700</v>
      </c>
      <c r="D1212">
        <v>0</v>
      </c>
      <c r="E1212" t="s">
        <v>24</v>
      </c>
      <c r="F1212" t="s">
        <v>24</v>
      </c>
      <c r="G1212" t="str">
        <f>"2025-09-06 15:47:13.912"</f>
        <v>2025-09-06 15:47:13.912</v>
      </c>
      <c r="H1212" t="s">
        <v>22</v>
      </c>
      <c r="I1212">
        <v>0</v>
      </c>
      <c r="J1212" t="s">
        <v>34</v>
      </c>
    </row>
    <row r="1213" spans="1:10" x14ac:dyDescent="0.25">
      <c r="A1213" s="1">
        <v>243</v>
      </c>
      <c r="B1213" t="s">
        <v>19</v>
      </c>
      <c r="C1213">
        <v>706</v>
      </c>
      <c r="D1213">
        <v>3</v>
      </c>
      <c r="E1213" t="s">
        <v>20</v>
      </c>
      <c r="F1213" t="s">
        <v>49</v>
      </c>
      <c r="G1213" t="str">
        <f>"2025-09-06 15:30:19.840"</f>
        <v>2025-09-06 15:30:19.840</v>
      </c>
      <c r="H1213" t="s">
        <v>22</v>
      </c>
      <c r="I1213">
        <v>0</v>
      </c>
      <c r="J1213" t="s">
        <v>23</v>
      </c>
    </row>
    <row r="1214" spans="1:10" x14ac:dyDescent="0.25">
      <c r="A1214" s="1">
        <v>244</v>
      </c>
      <c r="B1214" t="s">
        <v>19</v>
      </c>
      <c r="C1214">
        <v>706</v>
      </c>
      <c r="D1214">
        <v>2</v>
      </c>
      <c r="E1214" t="s">
        <v>20</v>
      </c>
      <c r="F1214" t="s">
        <v>25</v>
      </c>
      <c r="G1214" t="str">
        <f>"2025-09-05 20:03:11.970"</f>
        <v>2025-09-05 20:03:11.970</v>
      </c>
      <c r="H1214" t="s">
        <v>22</v>
      </c>
      <c r="I1214">
        <v>0</v>
      </c>
      <c r="J1214" t="s">
        <v>23</v>
      </c>
    </row>
    <row r="1215" spans="1:10" x14ac:dyDescent="0.25">
      <c r="A1215" s="1">
        <v>245</v>
      </c>
      <c r="B1215" t="s">
        <v>19</v>
      </c>
      <c r="C1215">
        <v>706</v>
      </c>
      <c r="D1215">
        <v>4</v>
      </c>
      <c r="E1215" t="s">
        <v>20</v>
      </c>
      <c r="F1215" t="s">
        <v>21</v>
      </c>
      <c r="G1215" t="str">
        <f>"2025-09-05 14:43:43.960"</f>
        <v>2025-09-05 14:43:43.960</v>
      </c>
      <c r="H1215" t="s">
        <v>22</v>
      </c>
      <c r="I1215">
        <v>0</v>
      </c>
      <c r="J1215" t="s">
        <v>23</v>
      </c>
    </row>
    <row r="1216" spans="1:10" x14ac:dyDescent="0.25">
      <c r="A1216" s="1">
        <v>246</v>
      </c>
      <c r="B1216" t="s">
        <v>19</v>
      </c>
      <c r="C1216">
        <v>700</v>
      </c>
      <c r="D1216">
        <v>0</v>
      </c>
      <c r="E1216" t="s">
        <v>24</v>
      </c>
      <c r="F1216" t="s">
        <v>24</v>
      </c>
      <c r="G1216" t="str">
        <f>"2025-09-05 14:43:29.920"</f>
        <v>2025-09-05 14:43:29.920</v>
      </c>
      <c r="H1216" t="s">
        <v>22</v>
      </c>
      <c r="I1216">
        <v>0</v>
      </c>
      <c r="J1216" t="s">
        <v>34</v>
      </c>
    </row>
    <row r="1217" spans="1:10" x14ac:dyDescent="0.25">
      <c r="A1217" s="1">
        <v>247</v>
      </c>
      <c r="B1217" t="s">
        <v>26</v>
      </c>
      <c r="C1217">
        <v>98</v>
      </c>
      <c r="D1217">
        <v>1</v>
      </c>
      <c r="E1217" t="s">
        <v>63</v>
      </c>
      <c r="F1217" t="s">
        <v>64</v>
      </c>
      <c r="G1217" t="str">
        <f>"2025-09-05 14:07:08.254"</f>
        <v>2025-09-05 14:07:08.254</v>
      </c>
      <c r="H1217" t="s">
        <v>22</v>
      </c>
    </row>
    <row r="1218" spans="1:10" x14ac:dyDescent="0.25">
      <c r="A1218" s="1">
        <v>248</v>
      </c>
      <c r="B1218" t="s">
        <v>29</v>
      </c>
      <c r="C1218">
        <v>98</v>
      </c>
      <c r="D1218">
        <v>1</v>
      </c>
      <c r="E1218" t="s">
        <v>63</v>
      </c>
      <c r="F1218" t="s">
        <v>64</v>
      </c>
      <c r="G1218" t="str">
        <f>"2025-09-05 14:07:07.255"</f>
        <v>2025-09-05 14:07:07.255</v>
      </c>
      <c r="H1218" t="s">
        <v>22</v>
      </c>
      <c r="I1218">
        <v>14.73</v>
      </c>
      <c r="J1218" t="s">
        <v>33</v>
      </c>
    </row>
    <row r="1219" spans="1:10" x14ac:dyDescent="0.25">
      <c r="A1219" s="1">
        <v>249</v>
      </c>
      <c r="B1219" t="s">
        <v>19</v>
      </c>
      <c r="C1219">
        <v>700</v>
      </c>
      <c r="D1219">
        <v>0</v>
      </c>
      <c r="E1219" t="s">
        <v>24</v>
      </c>
      <c r="F1219" t="s">
        <v>24</v>
      </c>
      <c r="G1219" t="str">
        <f>"2025-09-05 13:59:49.913"</f>
        <v>2025-09-05 13:59:49.913</v>
      </c>
      <c r="H1219" t="s">
        <v>22</v>
      </c>
      <c r="I1219">
        <v>0</v>
      </c>
      <c r="J1219" t="s">
        <v>34</v>
      </c>
    </row>
    <row r="1220" spans="1:10" x14ac:dyDescent="0.25">
      <c r="A1220" s="1">
        <v>250</v>
      </c>
      <c r="B1220" t="s">
        <v>19</v>
      </c>
      <c r="C1220">
        <v>700</v>
      </c>
      <c r="D1220">
        <v>0</v>
      </c>
      <c r="E1220" t="s">
        <v>24</v>
      </c>
      <c r="F1220" t="s">
        <v>24</v>
      </c>
      <c r="G1220" t="str">
        <f>"2025-09-05 12:18:17.907"</f>
        <v>2025-09-05 12:18:17.907</v>
      </c>
      <c r="H1220" t="s">
        <v>22</v>
      </c>
    </row>
    <row r="1221" spans="1:10" x14ac:dyDescent="0.25">
      <c r="A1221" s="1">
        <v>251</v>
      </c>
      <c r="B1221" t="s">
        <v>19</v>
      </c>
      <c r="C1221">
        <v>706</v>
      </c>
      <c r="D1221">
        <v>2</v>
      </c>
      <c r="E1221" t="s">
        <v>20</v>
      </c>
      <c r="F1221" t="s">
        <v>25</v>
      </c>
      <c r="G1221" t="str">
        <f>"2025-09-05 11:25:06.869"</f>
        <v>2025-09-05 11:25:06.869</v>
      </c>
      <c r="H1221" t="s">
        <v>22</v>
      </c>
      <c r="I1221">
        <v>0</v>
      </c>
      <c r="J1221" t="s">
        <v>23</v>
      </c>
    </row>
    <row r="1222" spans="1:10" x14ac:dyDescent="0.25">
      <c r="A1222" s="1">
        <v>252</v>
      </c>
      <c r="B1222" t="s">
        <v>19</v>
      </c>
      <c r="C1222">
        <v>700</v>
      </c>
      <c r="D1222">
        <v>0</v>
      </c>
      <c r="E1222" t="s">
        <v>24</v>
      </c>
      <c r="F1222" t="s">
        <v>24</v>
      </c>
      <c r="G1222" t="str">
        <f>"2025-09-05 11:24:51.919"</f>
        <v>2025-09-05 11:24:51.919</v>
      </c>
      <c r="H1222" t="s">
        <v>22</v>
      </c>
    </row>
    <row r="1223" spans="1:10" x14ac:dyDescent="0.25">
      <c r="A1223" s="1">
        <v>253</v>
      </c>
      <c r="B1223" t="s">
        <v>19</v>
      </c>
      <c r="C1223">
        <v>706</v>
      </c>
      <c r="D1223">
        <v>2</v>
      </c>
      <c r="E1223" t="s">
        <v>20</v>
      </c>
      <c r="F1223" t="s">
        <v>25</v>
      </c>
      <c r="G1223" t="str">
        <f>"2025-09-05 10:23:26.425"</f>
        <v>2025-09-05 10:23:26.425</v>
      </c>
      <c r="H1223" t="s">
        <v>22</v>
      </c>
      <c r="I1223">
        <v>0</v>
      </c>
      <c r="J1223" t="s">
        <v>23</v>
      </c>
    </row>
    <row r="1224" spans="1:10" x14ac:dyDescent="0.25">
      <c r="A1224" s="1">
        <v>254</v>
      </c>
      <c r="B1224" t="s">
        <v>19</v>
      </c>
      <c r="C1224">
        <v>700</v>
      </c>
      <c r="D1224">
        <v>0</v>
      </c>
      <c r="E1224" t="s">
        <v>24</v>
      </c>
      <c r="F1224" t="s">
        <v>24</v>
      </c>
      <c r="G1224" t="str">
        <f>"2025-09-05 10:23:03.895"</f>
        <v>2025-09-05 10:23:03.895</v>
      </c>
      <c r="H1224" t="s">
        <v>22</v>
      </c>
    </row>
    <row r="1225" spans="1:10" x14ac:dyDescent="0.25">
      <c r="A1225" s="1">
        <v>255</v>
      </c>
      <c r="B1225" t="s">
        <v>19</v>
      </c>
      <c r="C1225">
        <v>700</v>
      </c>
      <c r="D1225">
        <v>0</v>
      </c>
      <c r="E1225" t="s">
        <v>24</v>
      </c>
      <c r="F1225" t="s">
        <v>24</v>
      </c>
      <c r="G1225" t="str">
        <f>"2025-09-05 08:38:01.923"</f>
        <v>2025-09-05 08:38:01.923</v>
      </c>
      <c r="H1225" t="s">
        <v>22</v>
      </c>
    </row>
    <row r="1226" spans="1:10" x14ac:dyDescent="0.25">
      <c r="A1226" s="1">
        <v>256</v>
      </c>
      <c r="B1226" t="s">
        <v>19</v>
      </c>
      <c r="C1226">
        <v>706</v>
      </c>
      <c r="D1226">
        <v>4</v>
      </c>
      <c r="E1226" t="s">
        <v>20</v>
      </c>
      <c r="F1226" t="s">
        <v>21</v>
      </c>
      <c r="G1226" t="str">
        <f>"2025-09-05 06:29:32.489"</f>
        <v>2025-09-05 06:29:32.489</v>
      </c>
      <c r="H1226" t="s">
        <v>22</v>
      </c>
      <c r="I1226">
        <v>0</v>
      </c>
      <c r="J1226" t="s">
        <v>23</v>
      </c>
    </row>
    <row r="1227" spans="1:10" x14ac:dyDescent="0.25">
      <c r="A1227" s="1">
        <v>257</v>
      </c>
      <c r="B1227" t="s">
        <v>19</v>
      </c>
      <c r="C1227">
        <v>706</v>
      </c>
      <c r="D1227">
        <v>2</v>
      </c>
      <c r="E1227" t="s">
        <v>20</v>
      </c>
      <c r="F1227" t="s">
        <v>25</v>
      </c>
      <c r="G1227" t="str">
        <f>"2025-09-05 06:26:28.979"</f>
        <v>2025-09-05 06:26:28.979</v>
      </c>
      <c r="H1227" t="s">
        <v>22</v>
      </c>
      <c r="I1227">
        <v>0</v>
      </c>
      <c r="J1227" t="s">
        <v>23</v>
      </c>
    </row>
    <row r="1228" spans="1:10" x14ac:dyDescent="0.25">
      <c r="A1228" s="1">
        <v>258</v>
      </c>
      <c r="B1228" t="s">
        <v>19</v>
      </c>
      <c r="C1228">
        <v>700</v>
      </c>
      <c r="D1228">
        <v>0</v>
      </c>
      <c r="E1228" t="s">
        <v>24</v>
      </c>
      <c r="F1228" t="s">
        <v>24</v>
      </c>
      <c r="G1228" t="str">
        <f>"2025-09-05 04:26:27.919"</f>
        <v>2025-09-05 04:26:27.919</v>
      </c>
      <c r="H1228" t="s">
        <v>22</v>
      </c>
      <c r="I1228">
        <v>0</v>
      </c>
      <c r="J1228" t="s">
        <v>34</v>
      </c>
    </row>
    <row r="1229" spans="1:10" x14ac:dyDescent="0.25">
      <c r="A1229" s="1">
        <v>259</v>
      </c>
      <c r="B1229" t="s">
        <v>19</v>
      </c>
      <c r="C1229">
        <v>706</v>
      </c>
      <c r="D1229">
        <v>3</v>
      </c>
      <c r="E1229" t="s">
        <v>20</v>
      </c>
      <c r="F1229" t="s">
        <v>49</v>
      </c>
      <c r="G1229" t="str">
        <f>"2025-09-05 03:34:31.607"</f>
        <v>2025-09-05 03:34:31.607</v>
      </c>
      <c r="H1229" t="s">
        <v>22</v>
      </c>
      <c r="I1229">
        <v>0</v>
      </c>
      <c r="J1229" t="s">
        <v>23</v>
      </c>
    </row>
    <row r="1230" spans="1:10" x14ac:dyDescent="0.25">
      <c r="A1230" s="1">
        <v>260</v>
      </c>
      <c r="B1230" t="s">
        <v>19</v>
      </c>
      <c r="C1230">
        <v>700</v>
      </c>
      <c r="D1230">
        <v>0</v>
      </c>
      <c r="E1230" t="s">
        <v>24</v>
      </c>
      <c r="F1230" t="s">
        <v>24</v>
      </c>
      <c r="G1230" t="str">
        <f>"2025-09-05 03:32:15.917"</f>
        <v>2025-09-05 03:32:15.917</v>
      </c>
      <c r="H1230" t="s">
        <v>22</v>
      </c>
    </row>
    <row r="1231" spans="1:10" s="3" customFormat="1" x14ac:dyDescent="0.25">
      <c r="A1231" s="2">
        <v>261</v>
      </c>
      <c r="B1231" s="3" t="s">
        <v>26</v>
      </c>
      <c r="C1231" s="3">
        <v>647</v>
      </c>
      <c r="D1231" s="3">
        <v>1</v>
      </c>
      <c r="E1231" s="3" t="s">
        <v>27</v>
      </c>
      <c r="F1231" s="3" t="s">
        <v>28</v>
      </c>
      <c r="G1231" s="3" t="str">
        <f>"2025-09-03 20:44:21.204"</f>
        <v>2025-09-03 20:44:21.204</v>
      </c>
      <c r="H1231" s="3" t="s">
        <v>22</v>
      </c>
    </row>
    <row r="1232" spans="1:10" s="3" customFormat="1" x14ac:dyDescent="0.25">
      <c r="A1232" s="2">
        <v>262</v>
      </c>
      <c r="B1232" s="3" t="s">
        <v>29</v>
      </c>
      <c r="C1232" s="3">
        <v>647</v>
      </c>
      <c r="D1232" s="3">
        <v>1</v>
      </c>
      <c r="E1232" s="3" t="s">
        <v>27</v>
      </c>
      <c r="F1232" s="3" t="s">
        <v>28</v>
      </c>
      <c r="G1232" s="3" t="str">
        <f>"2025-09-03 20:44:14.304"</f>
        <v>2025-09-03 20:44:14.304</v>
      </c>
      <c r="H1232" s="3" t="s">
        <v>22</v>
      </c>
      <c r="I1232" s="3">
        <v>9.09</v>
      </c>
      <c r="J1232" s="3" t="s">
        <v>30</v>
      </c>
    </row>
    <row r="1233" spans="1:10" x14ac:dyDescent="0.25">
      <c r="A1233" s="1">
        <v>263</v>
      </c>
      <c r="B1233" t="s">
        <v>19</v>
      </c>
      <c r="C1233">
        <v>700</v>
      </c>
      <c r="D1233">
        <v>0</v>
      </c>
      <c r="E1233" t="s">
        <v>24</v>
      </c>
      <c r="F1233" t="s">
        <v>24</v>
      </c>
      <c r="G1233" t="str">
        <f>"2025-09-02 17:35:06.951"</f>
        <v>2025-09-02 17:35:06.951</v>
      </c>
      <c r="H1233" t="s">
        <v>22</v>
      </c>
      <c r="I1233">
        <v>0</v>
      </c>
      <c r="J1233" t="s">
        <v>34</v>
      </c>
    </row>
    <row r="1234" spans="1:10" x14ac:dyDescent="0.25">
      <c r="A1234" s="1">
        <v>264</v>
      </c>
      <c r="B1234" t="s">
        <v>19</v>
      </c>
      <c r="C1234">
        <v>700</v>
      </c>
      <c r="D1234">
        <v>0</v>
      </c>
      <c r="E1234" t="s">
        <v>24</v>
      </c>
      <c r="F1234" t="s">
        <v>24</v>
      </c>
      <c r="G1234" t="str">
        <f>"2025-09-02 08:16:23.926"</f>
        <v>2025-09-02 08:16:23.926</v>
      </c>
      <c r="H1234" t="s">
        <v>22</v>
      </c>
      <c r="I1234">
        <v>0</v>
      </c>
      <c r="J1234" t="s">
        <v>34</v>
      </c>
    </row>
    <row r="1235" spans="1:10" s="3" customFormat="1" x14ac:dyDescent="0.25">
      <c r="A1235" s="2">
        <v>265</v>
      </c>
      <c r="B1235" s="3" t="s">
        <v>26</v>
      </c>
      <c r="C1235" s="3">
        <v>647</v>
      </c>
      <c r="D1235" s="3">
        <v>1</v>
      </c>
      <c r="E1235" s="3" t="s">
        <v>27</v>
      </c>
      <c r="F1235" s="3" t="s">
        <v>28</v>
      </c>
      <c r="G1235" s="3" t="str">
        <f>"2025-09-01 23:37:05.985"</f>
        <v>2025-09-01 23:37:05.985</v>
      </c>
      <c r="H1235" s="3" t="s">
        <v>22</v>
      </c>
    </row>
    <row r="1236" spans="1:10" s="3" customFormat="1" x14ac:dyDescent="0.25">
      <c r="A1236" s="2">
        <v>266</v>
      </c>
      <c r="B1236" s="3" t="s">
        <v>29</v>
      </c>
      <c r="C1236" s="3">
        <v>647</v>
      </c>
      <c r="D1236" s="3">
        <v>1</v>
      </c>
      <c r="E1236" s="3" t="s">
        <v>27</v>
      </c>
      <c r="F1236" s="3" t="s">
        <v>28</v>
      </c>
      <c r="G1236" s="3" t="str">
        <f>"2025-09-01 23:37:01.786"</f>
        <v>2025-09-01 23:37:01.786</v>
      </c>
      <c r="H1236" s="3" t="s">
        <v>22</v>
      </c>
      <c r="I1236" s="3">
        <v>9.09</v>
      </c>
      <c r="J1236" s="3" t="s">
        <v>30</v>
      </c>
    </row>
    <row r="1237" spans="1:10" x14ac:dyDescent="0.25">
      <c r="A1237" s="1">
        <v>267</v>
      </c>
      <c r="B1237" t="s">
        <v>19</v>
      </c>
      <c r="C1237">
        <v>700</v>
      </c>
      <c r="D1237">
        <v>0</v>
      </c>
      <c r="E1237" t="s">
        <v>24</v>
      </c>
      <c r="F1237" t="s">
        <v>24</v>
      </c>
      <c r="G1237" t="str">
        <f>"2025-09-01 10:23:06.938"</f>
        <v>2025-09-01 10:23:06.938</v>
      </c>
      <c r="H1237" t="s">
        <v>22</v>
      </c>
      <c r="I1237">
        <v>0</v>
      </c>
      <c r="J1237" t="s">
        <v>34</v>
      </c>
    </row>
    <row r="1238" spans="1:10" x14ac:dyDescent="0.25">
      <c r="A1238" s="1">
        <v>269</v>
      </c>
      <c r="B1238" t="s">
        <v>19</v>
      </c>
      <c r="C1238">
        <v>700</v>
      </c>
      <c r="D1238">
        <v>0</v>
      </c>
      <c r="E1238" t="s">
        <v>24</v>
      </c>
      <c r="F1238" t="s">
        <v>24</v>
      </c>
      <c r="G1238" t="str">
        <f>"2025-08-31 14:16:52.930"</f>
        <v>2025-08-31 14:16:52.930</v>
      </c>
      <c r="H1238" t="s">
        <v>22</v>
      </c>
      <c r="I1238">
        <v>0</v>
      </c>
      <c r="J1238" t="s">
        <v>34</v>
      </c>
    </row>
    <row r="1239" spans="1:10" x14ac:dyDescent="0.25">
      <c r="A1239" s="1">
        <v>270</v>
      </c>
      <c r="B1239" t="s">
        <v>19</v>
      </c>
      <c r="C1239">
        <v>700</v>
      </c>
      <c r="D1239">
        <v>0</v>
      </c>
      <c r="E1239" t="s">
        <v>24</v>
      </c>
      <c r="F1239" t="s">
        <v>24</v>
      </c>
      <c r="G1239" t="str">
        <f>"2025-08-31 09:26:44.898"</f>
        <v>2025-08-31 09:26:44.898</v>
      </c>
      <c r="H1239" t="s">
        <v>22</v>
      </c>
    </row>
    <row r="1240" spans="1:10" s="3" customFormat="1" x14ac:dyDescent="0.25">
      <c r="A1240" s="2">
        <v>271</v>
      </c>
      <c r="B1240" s="3" t="s">
        <v>26</v>
      </c>
      <c r="C1240" s="3">
        <v>647</v>
      </c>
      <c r="D1240" s="3">
        <v>1</v>
      </c>
      <c r="E1240" s="3" t="s">
        <v>27</v>
      </c>
      <c r="F1240" s="3" t="s">
        <v>28</v>
      </c>
      <c r="G1240" s="3" t="str">
        <f>"2025-08-30 21:00:03.682"</f>
        <v>2025-08-30 21:00:03.682</v>
      </c>
      <c r="H1240" s="3" t="s">
        <v>22</v>
      </c>
    </row>
    <row r="1241" spans="1:10" s="3" customFormat="1" x14ac:dyDescent="0.25">
      <c r="A1241" s="2">
        <v>272</v>
      </c>
      <c r="B1241" s="3" t="s">
        <v>29</v>
      </c>
      <c r="C1241" s="3">
        <v>647</v>
      </c>
      <c r="D1241" s="3">
        <v>1</v>
      </c>
      <c r="E1241" s="3" t="s">
        <v>27</v>
      </c>
      <c r="F1241" s="3" t="s">
        <v>28</v>
      </c>
      <c r="G1241" s="3" t="str">
        <f>"2025-08-30 21:00:02.182"</f>
        <v>2025-08-30 21:00:02.182</v>
      </c>
      <c r="H1241" s="3" t="s">
        <v>22</v>
      </c>
      <c r="I1241" s="3">
        <v>17.100000000000001</v>
      </c>
      <c r="J1241" s="3" t="s">
        <v>30</v>
      </c>
    </row>
    <row r="1242" spans="1:10" x14ac:dyDescent="0.25">
      <c r="A1242" s="1">
        <v>273</v>
      </c>
      <c r="B1242" t="s">
        <v>26</v>
      </c>
      <c r="C1242">
        <v>61</v>
      </c>
      <c r="D1242">
        <v>2</v>
      </c>
      <c r="E1242" t="s">
        <v>59</v>
      </c>
      <c r="F1242" t="s">
        <v>60</v>
      </c>
      <c r="G1242" t="str">
        <f>"2025-08-30 20:58:29.881"</f>
        <v>2025-08-30 20:58:29.881</v>
      </c>
      <c r="H1242" t="s">
        <v>22</v>
      </c>
    </row>
    <row r="1243" spans="1:10" x14ac:dyDescent="0.25">
      <c r="A1243" s="1">
        <v>274</v>
      </c>
      <c r="B1243" t="s">
        <v>39</v>
      </c>
      <c r="C1243">
        <v>61</v>
      </c>
      <c r="D1243">
        <v>2</v>
      </c>
      <c r="E1243" t="s">
        <v>59</v>
      </c>
      <c r="F1243" t="s">
        <v>60</v>
      </c>
      <c r="G1243" t="str">
        <f>"2025-08-30 20:58:12.281"</f>
        <v>2025-08-30 20:58:12.281</v>
      </c>
      <c r="H1243" t="s">
        <v>22</v>
      </c>
      <c r="I1243">
        <v>35.83</v>
      </c>
      <c r="J1243" t="s">
        <v>30</v>
      </c>
    </row>
    <row r="1244" spans="1:10" x14ac:dyDescent="0.25">
      <c r="A1244" s="1">
        <v>275</v>
      </c>
      <c r="B1244" t="s">
        <v>26</v>
      </c>
      <c r="C1244">
        <v>635</v>
      </c>
      <c r="D1244">
        <v>1</v>
      </c>
      <c r="E1244" t="s">
        <v>31</v>
      </c>
      <c r="F1244" t="s">
        <v>32</v>
      </c>
      <c r="G1244" t="str">
        <f>"2025-08-30 06:12:18.028"</f>
        <v>2025-08-30 06:12:18.028</v>
      </c>
      <c r="H1244" t="s">
        <v>22</v>
      </c>
    </row>
    <row r="1245" spans="1:10" x14ac:dyDescent="0.25">
      <c r="A1245" s="1">
        <v>276</v>
      </c>
      <c r="B1245" t="s">
        <v>29</v>
      </c>
      <c r="C1245">
        <v>635</v>
      </c>
      <c r="D1245">
        <v>1</v>
      </c>
      <c r="E1245" t="s">
        <v>31</v>
      </c>
      <c r="F1245" t="s">
        <v>32</v>
      </c>
      <c r="G1245" t="str">
        <f>"2025-08-30 06:08:19.528"</f>
        <v>2025-08-30 06:08:19.528</v>
      </c>
      <c r="H1245" t="s">
        <v>22</v>
      </c>
      <c r="I1245">
        <v>5.74</v>
      </c>
      <c r="J1245" t="s">
        <v>33</v>
      </c>
    </row>
    <row r="1246" spans="1:10" x14ac:dyDescent="0.25">
      <c r="A1246" s="1">
        <v>277</v>
      </c>
      <c r="B1246" t="s">
        <v>26</v>
      </c>
      <c r="C1246">
        <v>61</v>
      </c>
      <c r="D1246">
        <v>2</v>
      </c>
      <c r="E1246" t="s">
        <v>59</v>
      </c>
      <c r="F1246" t="s">
        <v>60</v>
      </c>
      <c r="G1246" t="str">
        <f>"2025-08-29 07:15:36.882"</f>
        <v>2025-08-29 07:15:36.882</v>
      </c>
      <c r="H1246" t="s">
        <v>22</v>
      </c>
    </row>
    <row r="1247" spans="1:10" x14ac:dyDescent="0.25">
      <c r="A1247" s="1">
        <v>278</v>
      </c>
      <c r="B1247" t="s">
        <v>39</v>
      </c>
      <c r="C1247">
        <v>61</v>
      </c>
      <c r="D1247">
        <v>2</v>
      </c>
      <c r="E1247" t="s">
        <v>59</v>
      </c>
      <c r="F1247" t="s">
        <v>60</v>
      </c>
      <c r="G1247" t="str">
        <f>"2025-08-29 07:15:22.982"</f>
        <v>2025-08-29 07:15:22.982</v>
      </c>
      <c r="H1247" t="s">
        <v>22</v>
      </c>
      <c r="I1247">
        <v>35.6</v>
      </c>
      <c r="J1247" t="s">
        <v>30</v>
      </c>
    </row>
    <row r="1248" spans="1:10" s="3" customFormat="1" x14ac:dyDescent="0.25">
      <c r="A1248" s="2">
        <v>279</v>
      </c>
      <c r="B1248" s="3" t="s">
        <v>26</v>
      </c>
      <c r="C1248" s="3">
        <v>647</v>
      </c>
      <c r="D1248" s="3">
        <v>1</v>
      </c>
      <c r="E1248" s="3" t="s">
        <v>27</v>
      </c>
      <c r="F1248" s="3" t="s">
        <v>28</v>
      </c>
      <c r="G1248" s="3" t="str">
        <f>"2025-08-29 04:25:36.382"</f>
        <v>2025-08-29 04:25:36.382</v>
      </c>
      <c r="H1248" s="3" t="s">
        <v>22</v>
      </c>
    </row>
    <row r="1249" spans="1:10" s="3" customFormat="1" x14ac:dyDescent="0.25">
      <c r="A1249" s="2">
        <v>280</v>
      </c>
      <c r="B1249" s="3" t="s">
        <v>29</v>
      </c>
      <c r="C1249" s="3">
        <v>647</v>
      </c>
      <c r="D1249" s="3">
        <v>1</v>
      </c>
      <c r="E1249" s="3" t="s">
        <v>27</v>
      </c>
      <c r="F1249" s="3" t="s">
        <v>28</v>
      </c>
      <c r="G1249" s="3" t="str">
        <f>"2025-08-29 04:25:30.582"</f>
        <v>2025-08-29 04:25:30.582</v>
      </c>
      <c r="H1249" s="3" t="s">
        <v>22</v>
      </c>
      <c r="I1249" s="3">
        <v>11.21</v>
      </c>
      <c r="J1249" s="3" t="s">
        <v>30</v>
      </c>
    </row>
    <row r="1250" spans="1:10" x14ac:dyDescent="0.25">
      <c r="A1250" s="1">
        <v>281</v>
      </c>
      <c r="B1250" t="s">
        <v>26</v>
      </c>
      <c r="C1250">
        <v>635</v>
      </c>
      <c r="D1250">
        <v>1</v>
      </c>
      <c r="E1250" t="s">
        <v>31</v>
      </c>
      <c r="F1250" t="s">
        <v>32</v>
      </c>
      <c r="G1250" t="str">
        <f>"2025-08-29 03:05:02.228"</f>
        <v>2025-08-29 03:05:02.228</v>
      </c>
      <c r="H1250" t="s">
        <v>22</v>
      </c>
    </row>
    <row r="1251" spans="1:10" x14ac:dyDescent="0.25">
      <c r="A1251" s="1">
        <v>282</v>
      </c>
      <c r="B1251" t="s">
        <v>29</v>
      </c>
      <c r="C1251">
        <v>635</v>
      </c>
      <c r="D1251">
        <v>1</v>
      </c>
      <c r="E1251" t="s">
        <v>31</v>
      </c>
      <c r="F1251" t="s">
        <v>32</v>
      </c>
      <c r="G1251" t="str">
        <f>"2025-08-29 02:46:46.828"</f>
        <v>2025-08-29 02:46:46.828</v>
      </c>
      <c r="H1251" t="s">
        <v>22</v>
      </c>
      <c r="I1251">
        <v>4.0999999999999996</v>
      </c>
      <c r="J1251" t="s">
        <v>33</v>
      </c>
    </row>
    <row r="1252" spans="1:10" s="3" customFormat="1" x14ac:dyDescent="0.25">
      <c r="A1252" s="2">
        <v>283</v>
      </c>
      <c r="B1252" s="3" t="s">
        <v>26</v>
      </c>
      <c r="C1252" s="3">
        <v>647</v>
      </c>
      <c r="D1252" s="3">
        <v>1</v>
      </c>
      <c r="E1252" s="3" t="s">
        <v>27</v>
      </c>
      <c r="F1252" s="3" t="s">
        <v>28</v>
      </c>
      <c r="G1252" s="3" t="str">
        <f>"2025-08-29 02:34:05.582"</f>
        <v>2025-08-29 02:34:05.582</v>
      </c>
      <c r="H1252" s="3" t="s">
        <v>22</v>
      </c>
    </row>
    <row r="1253" spans="1:10" s="3" customFormat="1" x14ac:dyDescent="0.25">
      <c r="A1253" s="2">
        <v>284</v>
      </c>
      <c r="B1253" s="3" t="s">
        <v>29</v>
      </c>
      <c r="C1253" s="3">
        <v>647</v>
      </c>
      <c r="D1253" s="3">
        <v>1</v>
      </c>
      <c r="E1253" s="3" t="s">
        <v>27</v>
      </c>
      <c r="F1253" s="3" t="s">
        <v>28</v>
      </c>
      <c r="G1253" s="3" t="str">
        <f>"2025-08-29 02:34:04.382"</f>
        <v>2025-08-29 02:34:04.382</v>
      </c>
      <c r="H1253" s="3" t="s">
        <v>22</v>
      </c>
      <c r="I1253" s="3">
        <v>14.68</v>
      </c>
      <c r="J1253" s="3" t="s">
        <v>30</v>
      </c>
    </row>
    <row r="1254" spans="1:10" x14ac:dyDescent="0.25">
      <c r="A1254" s="1">
        <v>285</v>
      </c>
      <c r="B1254" t="s">
        <v>19</v>
      </c>
      <c r="C1254">
        <v>700</v>
      </c>
      <c r="D1254">
        <v>0</v>
      </c>
      <c r="E1254" t="s">
        <v>24</v>
      </c>
      <c r="F1254" t="s">
        <v>24</v>
      </c>
      <c r="G1254" t="str">
        <f>"2025-08-28 09:30:21.921"</f>
        <v>2025-08-28 09:30:21.921</v>
      </c>
      <c r="H1254" t="s">
        <v>22</v>
      </c>
    </row>
    <row r="1255" spans="1:10" x14ac:dyDescent="0.25">
      <c r="A1255" s="1">
        <v>286</v>
      </c>
      <c r="B1255" t="s">
        <v>19</v>
      </c>
      <c r="C1255">
        <v>700</v>
      </c>
      <c r="D1255">
        <v>0</v>
      </c>
      <c r="E1255" t="s">
        <v>24</v>
      </c>
      <c r="F1255" t="s">
        <v>24</v>
      </c>
      <c r="G1255" t="str">
        <f>"2025-08-27 14:25:26.056"</f>
        <v>2025-08-27 14:25:26.056</v>
      </c>
      <c r="H1255" t="s">
        <v>22</v>
      </c>
      <c r="I1255">
        <v>0</v>
      </c>
      <c r="J1255" t="s">
        <v>34</v>
      </c>
    </row>
    <row r="1256" spans="1:10" s="3" customFormat="1" x14ac:dyDescent="0.25">
      <c r="A1256" s="2">
        <v>287</v>
      </c>
      <c r="B1256" s="3" t="s">
        <v>26</v>
      </c>
      <c r="C1256" s="3">
        <v>647</v>
      </c>
      <c r="D1256" s="3">
        <v>1</v>
      </c>
      <c r="E1256" s="3" t="s">
        <v>27</v>
      </c>
      <c r="F1256" s="3" t="s">
        <v>28</v>
      </c>
      <c r="G1256" s="3" t="str">
        <f>"2025-08-27 02:23:08.883"</f>
        <v>2025-08-27 02:23:08.883</v>
      </c>
      <c r="H1256" s="3" t="s">
        <v>22</v>
      </c>
    </row>
    <row r="1257" spans="1:10" s="3" customFormat="1" x14ac:dyDescent="0.25">
      <c r="A1257" s="2">
        <v>288</v>
      </c>
      <c r="B1257" s="3" t="s">
        <v>29</v>
      </c>
      <c r="C1257" s="3">
        <v>647</v>
      </c>
      <c r="D1257" s="3">
        <v>1</v>
      </c>
      <c r="E1257" s="3" t="s">
        <v>27</v>
      </c>
      <c r="F1257" s="3" t="s">
        <v>28</v>
      </c>
      <c r="G1257" s="3" t="str">
        <f>"2025-08-27 02:23:06.883"</f>
        <v>2025-08-27 02:23:06.883</v>
      </c>
      <c r="H1257" s="3" t="s">
        <v>22</v>
      </c>
      <c r="I1257" s="3">
        <v>10.29</v>
      </c>
      <c r="J1257" s="3" t="s">
        <v>30</v>
      </c>
    </row>
    <row r="1258" spans="1:10" x14ac:dyDescent="0.25">
      <c r="A1258" s="1">
        <v>289</v>
      </c>
      <c r="B1258" t="s">
        <v>19</v>
      </c>
      <c r="C1258">
        <v>706</v>
      </c>
      <c r="D1258">
        <v>4</v>
      </c>
      <c r="E1258" t="s">
        <v>20</v>
      </c>
      <c r="F1258" t="s">
        <v>21</v>
      </c>
      <c r="G1258" t="str">
        <f>"2025-08-26 13:33:59.701"</f>
        <v>2025-08-26 13:33:59.701</v>
      </c>
      <c r="H1258" t="s">
        <v>22</v>
      </c>
      <c r="I1258">
        <v>0</v>
      </c>
      <c r="J1258" t="s">
        <v>23</v>
      </c>
    </row>
    <row r="1259" spans="1:10" x14ac:dyDescent="0.25">
      <c r="A1259" s="1">
        <v>290</v>
      </c>
      <c r="B1259" t="s">
        <v>19</v>
      </c>
      <c r="C1259">
        <v>700</v>
      </c>
      <c r="D1259">
        <v>0</v>
      </c>
      <c r="E1259" t="s">
        <v>24</v>
      </c>
      <c r="F1259" t="s">
        <v>24</v>
      </c>
      <c r="G1259" t="str">
        <f>"2025-08-26 13:29:54.931"</f>
        <v>2025-08-26 13:29:54.931</v>
      </c>
      <c r="H1259" t="s">
        <v>22</v>
      </c>
      <c r="I1259">
        <v>0</v>
      </c>
      <c r="J1259" t="s">
        <v>34</v>
      </c>
    </row>
    <row r="1260" spans="1:10" x14ac:dyDescent="0.25">
      <c r="A1260" s="1">
        <v>291</v>
      </c>
      <c r="B1260" t="s">
        <v>19</v>
      </c>
      <c r="C1260">
        <v>700</v>
      </c>
      <c r="D1260">
        <v>0</v>
      </c>
      <c r="E1260" t="s">
        <v>24</v>
      </c>
      <c r="F1260" t="s">
        <v>24</v>
      </c>
      <c r="G1260" t="str">
        <f>"2025-08-25 13:57:15.883"</f>
        <v>2025-08-25 13:57:15.883</v>
      </c>
      <c r="H1260" t="s">
        <v>22</v>
      </c>
    </row>
    <row r="1261" spans="1:10" x14ac:dyDescent="0.25">
      <c r="A1261" s="1">
        <v>292</v>
      </c>
      <c r="B1261" t="s">
        <v>19</v>
      </c>
      <c r="C1261">
        <v>700</v>
      </c>
      <c r="D1261">
        <v>0</v>
      </c>
      <c r="E1261" t="s">
        <v>24</v>
      </c>
      <c r="F1261" t="s">
        <v>24</v>
      </c>
      <c r="G1261" t="str">
        <f>"2025-08-24 23:46:23.887"</f>
        <v>2025-08-24 23:46:23.887</v>
      </c>
      <c r="H1261" t="s">
        <v>22</v>
      </c>
    </row>
    <row r="1262" spans="1:10" x14ac:dyDescent="0.25">
      <c r="A1262" s="1">
        <v>293</v>
      </c>
      <c r="B1262" t="s">
        <v>19</v>
      </c>
      <c r="C1262">
        <v>700</v>
      </c>
      <c r="D1262">
        <v>0</v>
      </c>
      <c r="E1262" t="s">
        <v>24</v>
      </c>
      <c r="F1262" t="s">
        <v>24</v>
      </c>
      <c r="G1262" t="str">
        <f>"2025-08-24 23:42:16.884"</f>
        <v>2025-08-24 23:42:16.884</v>
      </c>
      <c r="H1262" t="s">
        <v>22</v>
      </c>
      <c r="I1262">
        <v>0</v>
      </c>
      <c r="J1262" t="s">
        <v>34</v>
      </c>
    </row>
    <row r="1263" spans="1:10" x14ac:dyDescent="0.25">
      <c r="A1263" s="1">
        <v>294</v>
      </c>
      <c r="B1263" t="s">
        <v>19</v>
      </c>
      <c r="C1263">
        <v>700</v>
      </c>
      <c r="D1263">
        <v>0</v>
      </c>
      <c r="E1263" t="s">
        <v>24</v>
      </c>
      <c r="F1263" t="s">
        <v>24</v>
      </c>
      <c r="G1263" t="str">
        <f>"2025-08-24 22:38:46.886"</f>
        <v>2025-08-24 22:38:46.886</v>
      </c>
      <c r="H1263" t="s">
        <v>22</v>
      </c>
    </row>
    <row r="1264" spans="1:10" x14ac:dyDescent="0.25">
      <c r="A1264" s="1">
        <v>295</v>
      </c>
      <c r="B1264" t="s">
        <v>19</v>
      </c>
      <c r="C1264">
        <v>706</v>
      </c>
      <c r="D1264">
        <v>2</v>
      </c>
      <c r="E1264" t="s">
        <v>20</v>
      </c>
      <c r="F1264" t="s">
        <v>25</v>
      </c>
      <c r="G1264" t="str">
        <f>"2025-08-24 22:35:17.304"</f>
        <v>2025-08-24 22:35:17.304</v>
      </c>
      <c r="H1264" t="s">
        <v>22</v>
      </c>
      <c r="I1264">
        <v>0</v>
      </c>
      <c r="J1264" t="s">
        <v>23</v>
      </c>
    </row>
    <row r="1265" spans="1:10" x14ac:dyDescent="0.25">
      <c r="A1265" s="1">
        <v>296</v>
      </c>
      <c r="B1265" t="s">
        <v>19</v>
      </c>
      <c r="C1265">
        <v>706</v>
      </c>
      <c r="D1265">
        <v>2</v>
      </c>
      <c r="E1265" t="s">
        <v>20</v>
      </c>
      <c r="F1265" t="s">
        <v>25</v>
      </c>
      <c r="G1265" t="str">
        <f>"2025-08-24 22:34:49.504"</f>
        <v>2025-08-24 22:34:49.504</v>
      </c>
      <c r="H1265" t="s">
        <v>22</v>
      </c>
      <c r="I1265">
        <v>0</v>
      </c>
      <c r="J1265" t="s">
        <v>23</v>
      </c>
    </row>
    <row r="1266" spans="1:10" x14ac:dyDescent="0.25">
      <c r="A1266" s="1">
        <v>297</v>
      </c>
      <c r="B1266" t="s">
        <v>26</v>
      </c>
      <c r="C1266">
        <v>630</v>
      </c>
      <c r="D1266">
        <v>5</v>
      </c>
      <c r="E1266" t="s">
        <v>76</v>
      </c>
      <c r="F1266" t="s">
        <v>77</v>
      </c>
      <c r="G1266" t="str">
        <f>"2025-08-24 22:11:20.776"</f>
        <v>2025-08-24 22:11:20.776</v>
      </c>
      <c r="H1266" t="s">
        <v>78</v>
      </c>
    </row>
    <row r="1267" spans="1:10" x14ac:dyDescent="0.25">
      <c r="A1267" s="1">
        <v>298</v>
      </c>
      <c r="B1267" t="s">
        <v>39</v>
      </c>
      <c r="C1267">
        <v>630</v>
      </c>
      <c r="D1267">
        <v>5</v>
      </c>
      <c r="E1267" t="s">
        <v>76</v>
      </c>
      <c r="F1267" t="s">
        <v>77</v>
      </c>
      <c r="G1267" t="str">
        <f>"2025-08-24 22:05:38.676"</f>
        <v>2025-08-24 22:05:38.676</v>
      </c>
      <c r="H1267" t="s">
        <v>78</v>
      </c>
      <c r="I1267">
        <v>0</v>
      </c>
      <c r="J1267" t="s">
        <v>23</v>
      </c>
    </row>
    <row r="1268" spans="1:10" x14ac:dyDescent="0.25">
      <c r="A1268" s="1">
        <v>299</v>
      </c>
      <c r="B1268" t="s">
        <v>19</v>
      </c>
      <c r="C1268">
        <v>700</v>
      </c>
      <c r="D1268">
        <v>0</v>
      </c>
      <c r="E1268" t="s">
        <v>24</v>
      </c>
      <c r="F1268" t="s">
        <v>24</v>
      </c>
      <c r="G1268" t="str">
        <f>"2025-08-24 22:00:35.884"</f>
        <v>2025-08-24 22:00:35.884</v>
      </c>
      <c r="H1268" t="s">
        <v>22</v>
      </c>
      <c r="I1268">
        <v>0</v>
      </c>
      <c r="J1268" t="s">
        <v>34</v>
      </c>
    </row>
    <row r="1269" spans="1:10" x14ac:dyDescent="0.25">
      <c r="A1269" s="1">
        <v>300</v>
      </c>
      <c r="B1269" t="s">
        <v>19</v>
      </c>
      <c r="C1269">
        <v>700</v>
      </c>
      <c r="D1269">
        <v>0</v>
      </c>
      <c r="E1269" t="s">
        <v>24</v>
      </c>
      <c r="F1269" t="s">
        <v>24</v>
      </c>
      <c r="G1269" t="str">
        <f>"2025-08-24 20:52:25.925"</f>
        <v>2025-08-24 20:52:25.925</v>
      </c>
      <c r="H1269" t="s">
        <v>22</v>
      </c>
    </row>
    <row r="1270" spans="1:10" x14ac:dyDescent="0.25">
      <c r="A1270" s="1">
        <v>301</v>
      </c>
      <c r="B1270" t="s">
        <v>26</v>
      </c>
      <c r="C1270">
        <v>635</v>
      </c>
      <c r="D1270">
        <v>1</v>
      </c>
      <c r="E1270" t="s">
        <v>31</v>
      </c>
      <c r="F1270" t="s">
        <v>32</v>
      </c>
      <c r="G1270" t="str">
        <f>"2025-08-24 16:37:26.212"</f>
        <v>2025-08-24 16:37:26.212</v>
      </c>
      <c r="H1270" t="s">
        <v>22</v>
      </c>
    </row>
    <row r="1271" spans="1:10" x14ac:dyDescent="0.25">
      <c r="A1271" s="1">
        <v>302</v>
      </c>
      <c r="B1271" t="s">
        <v>29</v>
      </c>
      <c r="C1271">
        <v>635</v>
      </c>
      <c r="D1271">
        <v>1</v>
      </c>
      <c r="E1271" t="s">
        <v>31</v>
      </c>
      <c r="F1271" t="s">
        <v>32</v>
      </c>
      <c r="G1271" t="str">
        <f>"2025-08-24 16:30:10.712"</f>
        <v>2025-08-24 16:30:10.712</v>
      </c>
      <c r="H1271" t="s">
        <v>22</v>
      </c>
      <c r="I1271">
        <v>2.06</v>
      </c>
      <c r="J1271" t="s">
        <v>33</v>
      </c>
    </row>
    <row r="1272" spans="1:10" x14ac:dyDescent="0.25">
      <c r="A1272" s="1">
        <v>303</v>
      </c>
      <c r="B1272" t="s">
        <v>19</v>
      </c>
      <c r="C1272">
        <v>700</v>
      </c>
      <c r="D1272">
        <v>0</v>
      </c>
      <c r="E1272" t="s">
        <v>24</v>
      </c>
      <c r="F1272" t="s">
        <v>24</v>
      </c>
      <c r="G1272" t="str">
        <f>"2025-08-24 11:13:45.903"</f>
        <v>2025-08-24 11:13:45.903</v>
      </c>
      <c r="H1272" t="s">
        <v>22</v>
      </c>
      <c r="I1272">
        <v>0</v>
      </c>
      <c r="J1272" t="s">
        <v>34</v>
      </c>
    </row>
    <row r="1273" spans="1:10" x14ac:dyDescent="0.25">
      <c r="A1273" s="1">
        <v>304</v>
      </c>
      <c r="B1273" t="s">
        <v>26</v>
      </c>
      <c r="C1273">
        <v>635</v>
      </c>
      <c r="D1273">
        <v>1</v>
      </c>
      <c r="E1273" t="s">
        <v>31</v>
      </c>
      <c r="F1273" t="s">
        <v>32</v>
      </c>
      <c r="G1273" t="str">
        <f>"2025-08-23 21:54:28.046"</f>
        <v>2025-08-23 21:54:28.046</v>
      </c>
      <c r="H1273" t="s">
        <v>22</v>
      </c>
    </row>
    <row r="1274" spans="1:10" x14ac:dyDescent="0.25">
      <c r="A1274" s="1">
        <v>305</v>
      </c>
      <c r="B1274" t="s">
        <v>29</v>
      </c>
      <c r="C1274">
        <v>635</v>
      </c>
      <c r="D1274">
        <v>1</v>
      </c>
      <c r="E1274" t="s">
        <v>31</v>
      </c>
      <c r="F1274" t="s">
        <v>32</v>
      </c>
      <c r="G1274" t="str">
        <f>"2025-08-23 21:49:31.546"</f>
        <v>2025-08-23 21:49:31.546</v>
      </c>
      <c r="H1274" t="s">
        <v>22</v>
      </c>
      <c r="I1274">
        <v>7.92</v>
      </c>
      <c r="J1274" t="s">
        <v>33</v>
      </c>
    </row>
    <row r="1275" spans="1:10" x14ac:dyDescent="0.25">
      <c r="A1275" s="1">
        <v>306</v>
      </c>
      <c r="B1275" t="s">
        <v>19</v>
      </c>
      <c r="C1275">
        <v>700</v>
      </c>
      <c r="D1275">
        <v>0</v>
      </c>
      <c r="E1275" t="s">
        <v>24</v>
      </c>
      <c r="F1275" t="s">
        <v>24</v>
      </c>
      <c r="G1275" t="str">
        <f>"2025-08-23 10:50:23.885"</f>
        <v>2025-08-23 10:50:23.885</v>
      </c>
      <c r="H1275" t="s">
        <v>22</v>
      </c>
      <c r="I1275">
        <v>0</v>
      </c>
      <c r="J1275" t="s">
        <v>34</v>
      </c>
    </row>
    <row r="1276" spans="1:10" s="3" customFormat="1" x14ac:dyDescent="0.25">
      <c r="A1276" s="2">
        <v>307</v>
      </c>
      <c r="B1276" s="3" t="s">
        <v>26</v>
      </c>
      <c r="C1276" s="3">
        <v>647</v>
      </c>
      <c r="D1276" s="3">
        <v>1</v>
      </c>
      <c r="E1276" s="3" t="s">
        <v>27</v>
      </c>
      <c r="F1276" s="3" t="s">
        <v>28</v>
      </c>
      <c r="G1276" s="3" t="str">
        <f>"2025-08-23 02:48:43.963"</f>
        <v>2025-08-23 02:48:43.963</v>
      </c>
      <c r="H1276" s="3" t="s">
        <v>22</v>
      </c>
    </row>
    <row r="1277" spans="1:10" s="3" customFormat="1" x14ac:dyDescent="0.25">
      <c r="A1277" s="2">
        <v>308</v>
      </c>
      <c r="B1277" s="3" t="s">
        <v>29</v>
      </c>
      <c r="C1277" s="3">
        <v>647</v>
      </c>
      <c r="D1277" s="3">
        <v>1</v>
      </c>
      <c r="E1277" s="3" t="s">
        <v>27</v>
      </c>
      <c r="F1277" s="3" t="s">
        <v>28</v>
      </c>
      <c r="G1277" s="3" t="str">
        <f>"2025-08-23 02:48:42.664"</f>
        <v>2025-08-23 02:48:42.664</v>
      </c>
      <c r="H1277" s="3" t="s">
        <v>22</v>
      </c>
      <c r="I1277" s="3">
        <v>19.03</v>
      </c>
      <c r="J1277" s="3" t="s">
        <v>30</v>
      </c>
    </row>
    <row r="1278" spans="1:10" x14ac:dyDescent="0.25">
      <c r="A1278" s="1">
        <v>310</v>
      </c>
      <c r="B1278" t="s">
        <v>19</v>
      </c>
      <c r="C1278">
        <v>700</v>
      </c>
      <c r="D1278">
        <v>0</v>
      </c>
      <c r="E1278" t="s">
        <v>24</v>
      </c>
      <c r="F1278" t="s">
        <v>24</v>
      </c>
      <c r="G1278" t="str">
        <f>"2025-08-21 10:50:44.885"</f>
        <v>2025-08-21 10:50:44.885</v>
      </c>
      <c r="H1278" t="s">
        <v>22</v>
      </c>
    </row>
    <row r="1279" spans="1:10" x14ac:dyDescent="0.25">
      <c r="A1279" s="1">
        <v>311</v>
      </c>
      <c r="B1279" t="s">
        <v>19</v>
      </c>
      <c r="C1279">
        <v>706</v>
      </c>
      <c r="D1279">
        <v>2</v>
      </c>
      <c r="E1279" t="s">
        <v>20</v>
      </c>
      <c r="F1279" t="s">
        <v>25</v>
      </c>
      <c r="G1279" t="str">
        <f>"2025-08-21 04:56:28.690"</f>
        <v>2025-08-21 04:56:28.690</v>
      </c>
      <c r="H1279" t="s">
        <v>22</v>
      </c>
      <c r="I1279">
        <v>0</v>
      </c>
      <c r="J1279" t="s">
        <v>23</v>
      </c>
    </row>
    <row r="1280" spans="1:10" x14ac:dyDescent="0.25">
      <c r="A1280" s="1">
        <v>312</v>
      </c>
      <c r="B1280" t="s">
        <v>19</v>
      </c>
      <c r="C1280">
        <v>700</v>
      </c>
      <c r="D1280">
        <v>0</v>
      </c>
      <c r="E1280" t="s">
        <v>24</v>
      </c>
      <c r="F1280" t="s">
        <v>24</v>
      </c>
      <c r="G1280" t="str">
        <f>"2025-08-21 04:54:08.880"</f>
        <v>2025-08-21 04:54:08.880</v>
      </c>
      <c r="H1280" t="s">
        <v>22</v>
      </c>
    </row>
    <row r="1281" spans="1:10" x14ac:dyDescent="0.25">
      <c r="A1281" s="1">
        <v>313</v>
      </c>
      <c r="B1281" t="s">
        <v>53</v>
      </c>
      <c r="C1281">
        <v>625</v>
      </c>
      <c r="D1281">
        <v>1</v>
      </c>
      <c r="E1281" t="s">
        <v>79</v>
      </c>
      <c r="F1281" t="s">
        <v>32</v>
      </c>
      <c r="G1281" t="str">
        <f>"2025-08-21 01:30:53.006"</f>
        <v>2025-08-21 01:30:53.006</v>
      </c>
      <c r="H1281" t="s">
        <v>22</v>
      </c>
    </row>
    <row r="1282" spans="1:10" x14ac:dyDescent="0.25">
      <c r="A1282" s="1">
        <v>314</v>
      </c>
      <c r="B1282" t="s">
        <v>39</v>
      </c>
      <c r="C1282">
        <v>625</v>
      </c>
      <c r="D1282">
        <v>1</v>
      </c>
      <c r="E1282" t="s">
        <v>79</v>
      </c>
      <c r="F1282" t="s">
        <v>32</v>
      </c>
      <c r="G1282" t="str">
        <f>"2025-08-21 01:27:34.425"</f>
        <v>2025-08-21 01:27:34.425</v>
      </c>
      <c r="H1282" t="s">
        <v>22</v>
      </c>
      <c r="I1282">
        <v>7.47</v>
      </c>
      <c r="J1282" t="s">
        <v>33</v>
      </c>
    </row>
    <row r="1283" spans="1:10" x14ac:dyDescent="0.25">
      <c r="A1283" s="1">
        <v>316</v>
      </c>
      <c r="B1283" t="s">
        <v>26</v>
      </c>
      <c r="C1283">
        <v>635</v>
      </c>
      <c r="D1283">
        <v>1</v>
      </c>
      <c r="E1283" t="s">
        <v>31</v>
      </c>
      <c r="F1283" t="s">
        <v>32</v>
      </c>
      <c r="G1283" t="str">
        <f>"2025-08-20 00:35:32.357"</f>
        <v>2025-08-20 00:35:32.357</v>
      </c>
      <c r="H1283" t="s">
        <v>22</v>
      </c>
    </row>
    <row r="1284" spans="1:10" x14ac:dyDescent="0.25">
      <c r="A1284" s="1">
        <v>317</v>
      </c>
      <c r="B1284" t="s">
        <v>29</v>
      </c>
      <c r="C1284">
        <v>635</v>
      </c>
      <c r="D1284">
        <v>1</v>
      </c>
      <c r="E1284" t="s">
        <v>31</v>
      </c>
      <c r="F1284" t="s">
        <v>32</v>
      </c>
      <c r="G1284" t="str">
        <f>"2025-08-20 00:13:44.957"</f>
        <v>2025-08-20 00:13:44.957</v>
      </c>
      <c r="H1284" t="s">
        <v>22</v>
      </c>
      <c r="I1284">
        <v>2.9</v>
      </c>
      <c r="J1284" t="s">
        <v>33</v>
      </c>
    </row>
    <row r="1285" spans="1:10" x14ac:dyDescent="0.25">
      <c r="A1285" s="1">
        <v>318</v>
      </c>
      <c r="B1285" t="s">
        <v>19</v>
      </c>
      <c r="C1285">
        <v>700</v>
      </c>
      <c r="D1285">
        <v>0</v>
      </c>
      <c r="E1285" t="s">
        <v>24</v>
      </c>
      <c r="F1285" t="s">
        <v>24</v>
      </c>
      <c r="G1285" t="str">
        <f>"2025-08-19 16:58:55.037"</f>
        <v>2025-08-19 16:58:55.037</v>
      </c>
      <c r="H1285" t="s">
        <v>22</v>
      </c>
    </row>
    <row r="1286" spans="1:10" x14ac:dyDescent="0.25">
      <c r="A1286" s="1">
        <v>319</v>
      </c>
      <c r="B1286" t="s">
        <v>26</v>
      </c>
      <c r="C1286">
        <v>635</v>
      </c>
      <c r="D1286">
        <v>1</v>
      </c>
      <c r="E1286" t="s">
        <v>31</v>
      </c>
      <c r="F1286" t="s">
        <v>32</v>
      </c>
      <c r="G1286" t="str">
        <f>"2025-08-18 18:52:26.055"</f>
        <v>2025-08-18 18:52:26.055</v>
      </c>
      <c r="H1286" t="s">
        <v>22</v>
      </c>
    </row>
    <row r="1287" spans="1:10" x14ac:dyDescent="0.25">
      <c r="A1287" s="1">
        <v>320</v>
      </c>
      <c r="B1287" t="s">
        <v>29</v>
      </c>
      <c r="C1287">
        <v>635</v>
      </c>
      <c r="D1287">
        <v>1</v>
      </c>
      <c r="E1287" t="s">
        <v>31</v>
      </c>
      <c r="F1287" t="s">
        <v>32</v>
      </c>
      <c r="G1287" t="str">
        <f>"2025-08-18 18:48:35.655"</f>
        <v>2025-08-18 18:48:35.655</v>
      </c>
      <c r="H1287" t="s">
        <v>22</v>
      </c>
      <c r="I1287">
        <v>-0.21</v>
      </c>
      <c r="J1287" t="s">
        <v>33</v>
      </c>
    </row>
    <row r="1288" spans="1:10" x14ac:dyDescent="0.25">
      <c r="A1288" s="1">
        <v>321</v>
      </c>
      <c r="B1288" t="s">
        <v>26</v>
      </c>
      <c r="C1288">
        <v>630</v>
      </c>
      <c r="D1288">
        <v>5</v>
      </c>
      <c r="E1288" t="s">
        <v>76</v>
      </c>
      <c r="F1288" t="s">
        <v>77</v>
      </c>
      <c r="G1288" t="str">
        <f>"2025-08-18 11:36:34.355"</f>
        <v>2025-08-18 11:36:34.355</v>
      </c>
      <c r="H1288" t="s">
        <v>78</v>
      </c>
    </row>
    <row r="1289" spans="1:10" x14ac:dyDescent="0.25">
      <c r="A1289" s="1">
        <v>322</v>
      </c>
      <c r="B1289" t="s">
        <v>19</v>
      </c>
      <c r="C1289">
        <v>706</v>
      </c>
      <c r="D1289">
        <v>2</v>
      </c>
      <c r="E1289" t="s">
        <v>20</v>
      </c>
      <c r="F1289" t="s">
        <v>25</v>
      </c>
      <c r="G1289" t="str">
        <f>"2025-08-18 11:36:04.241"</f>
        <v>2025-08-18 11:36:04.241</v>
      </c>
      <c r="H1289" t="s">
        <v>22</v>
      </c>
      <c r="I1289">
        <v>0</v>
      </c>
      <c r="J1289" t="s">
        <v>23</v>
      </c>
    </row>
    <row r="1290" spans="1:10" x14ac:dyDescent="0.25">
      <c r="A1290" s="1">
        <v>323</v>
      </c>
      <c r="B1290" t="s">
        <v>39</v>
      </c>
      <c r="C1290">
        <v>630</v>
      </c>
      <c r="D1290">
        <v>5</v>
      </c>
      <c r="E1290" t="s">
        <v>76</v>
      </c>
      <c r="F1290" t="s">
        <v>77</v>
      </c>
      <c r="G1290" t="str">
        <f>"2025-08-18 11:31:44.856"</f>
        <v>2025-08-18 11:31:44.856</v>
      </c>
      <c r="H1290" t="s">
        <v>78</v>
      </c>
      <c r="I1290">
        <v>0</v>
      </c>
      <c r="J1290" t="s">
        <v>23</v>
      </c>
    </row>
    <row r="1291" spans="1:10" x14ac:dyDescent="0.25">
      <c r="A1291" s="1">
        <v>324</v>
      </c>
      <c r="B1291" t="s">
        <v>19</v>
      </c>
      <c r="C1291">
        <v>706</v>
      </c>
      <c r="D1291">
        <v>2</v>
      </c>
      <c r="E1291" t="s">
        <v>20</v>
      </c>
      <c r="F1291" t="s">
        <v>25</v>
      </c>
      <c r="G1291" t="str">
        <f>"2025-08-17 15:05:30.241"</f>
        <v>2025-08-17 15:05:30.241</v>
      </c>
      <c r="H1291" t="s">
        <v>22</v>
      </c>
      <c r="I1291">
        <v>0</v>
      </c>
      <c r="J1291" t="s">
        <v>23</v>
      </c>
    </row>
    <row r="1292" spans="1:10" x14ac:dyDescent="0.25">
      <c r="A1292" s="1">
        <v>325</v>
      </c>
      <c r="B1292" t="s">
        <v>19</v>
      </c>
      <c r="C1292">
        <v>706</v>
      </c>
      <c r="D1292">
        <v>2</v>
      </c>
      <c r="E1292" t="s">
        <v>20</v>
      </c>
      <c r="F1292" t="s">
        <v>25</v>
      </c>
      <c r="G1292" t="str">
        <f>"2025-08-16 16:07:59.141"</f>
        <v>2025-08-16 16:07:59.141</v>
      </c>
      <c r="H1292" t="s">
        <v>22</v>
      </c>
      <c r="I1292">
        <v>0</v>
      </c>
      <c r="J1292" t="s">
        <v>23</v>
      </c>
    </row>
    <row r="1293" spans="1:10" x14ac:dyDescent="0.25">
      <c r="A1293" s="1">
        <v>326</v>
      </c>
      <c r="B1293" t="s">
        <v>26</v>
      </c>
      <c r="C1293">
        <v>630</v>
      </c>
      <c r="D1293">
        <v>5</v>
      </c>
      <c r="E1293" t="s">
        <v>76</v>
      </c>
      <c r="F1293" t="s">
        <v>77</v>
      </c>
      <c r="G1293" t="str">
        <f>"2025-08-16 16:03:44.156"</f>
        <v>2025-08-16 16:03:44.156</v>
      </c>
      <c r="H1293" t="s">
        <v>78</v>
      </c>
    </row>
    <row r="1294" spans="1:10" x14ac:dyDescent="0.25">
      <c r="A1294" s="1">
        <v>327</v>
      </c>
      <c r="B1294" t="s">
        <v>39</v>
      </c>
      <c r="C1294">
        <v>630</v>
      </c>
      <c r="D1294">
        <v>5</v>
      </c>
      <c r="E1294" t="s">
        <v>76</v>
      </c>
      <c r="F1294" t="s">
        <v>77</v>
      </c>
      <c r="G1294" t="str">
        <f>"2025-08-16 16:00:10.656"</f>
        <v>2025-08-16 16:00:10.656</v>
      </c>
      <c r="H1294" t="s">
        <v>78</v>
      </c>
      <c r="I1294">
        <v>0</v>
      </c>
      <c r="J1294" t="s">
        <v>23</v>
      </c>
    </row>
    <row r="1295" spans="1:10" x14ac:dyDescent="0.25">
      <c r="A1295" s="1">
        <v>329</v>
      </c>
      <c r="B1295" t="s">
        <v>19</v>
      </c>
      <c r="C1295">
        <v>706</v>
      </c>
      <c r="D1295">
        <v>4</v>
      </c>
      <c r="E1295" t="s">
        <v>20</v>
      </c>
      <c r="F1295" t="s">
        <v>21</v>
      </c>
      <c r="G1295" t="str">
        <f>"2025-08-14 08:12:47.951"</f>
        <v>2025-08-14 08:12:47.951</v>
      </c>
      <c r="H1295" t="s">
        <v>22</v>
      </c>
      <c r="I1295">
        <v>0</v>
      </c>
      <c r="J1295" t="s">
        <v>23</v>
      </c>
    </row>
    <row r="1296" spans="1:10" x14ac:dyDescent="0.25">
      <c r="A1296" s="1">
        <v>330</v>
      </c>
      <c r="B1296" t="s">
        <v>19</v>
      </c>
      <c r="C1296">
        <v>700</v>
      </c>
      <c r="D1296">
        <v>0</v>
      </c>
      <c r="E1296" t="s">
        <v>24</v>
      </c>
      <c r="F1296" t="s">
        <v>24</v>
      </c>
      <c r="G1296" t="str">
        <f>"2025-08-14 08:09:58.861"</f>
        <v>2025-08-14 08:09:58.861</v>
      </c>
      <c r="H1296" t="s">
        <v>22</v>
      </c>
      <c r="I1296">
        <v>0</v>
      </c>
      <c r="J1296" t="s">
        <v>34</v>
      </c>
    </row>
    <row r="1297" spans="1:10" x14ac:dyDescent="0.25">
      <c r="A1297" s="1">
        <v>331</v>
      </c>
      <c r="B1297" t="s">
        <v>19</v>
      </c>
      <c r="C1297">
        <v>706</v>
      </c>
      <c r="D1297">
        <v>4</v>
      </c>
      <c r="E1297" t="s">
        <v>20</v>
      </c>
      <c r="F1297" t="s">
        <v>21</v>
      </c>
      <c r="G1297" t="str">
        <f>"2025-08-14 06:06:13.952"</f>
        <v>2025-08-14 06:06:13.952</v>
      </c>
      <c r="H1297" t="s">
        <v>22</v>
      </c>
      <c r="I1297">
        <v>0</v>
      </c>
      <c r="J1297" t="s">
        <v>23</v>
      </c>
    </row>
    <row r="1298" spans="1:10" x14ac:dyDescent="0.25">
      <c r="A1298" s="1">
        <v>332</v>
      </c>
      <c r="B1298" t="s">
        <v>19</v>
      </c>
      <c r="C1298">
        <v>700</v>
      </c>
      <c r="D1298">
        <v>0</v>
      </c>
      <c r="E1298" t="s">
        <v>24</v>
      </c>
      <c r="F1298" t="s">
        <v>24</v>
      </c>
      <c r="G1298" t="str">
        <f>"2025-08-14 06:05:54.862"</f>
        <v>2025-08-14 06:05:54.862</v>
      </c>
      <c r="H1298" t="s">
        <v>22</v>
      </c>
      <c r="I1298">
        <v>0</v>
      </c>
      <c r="J1298" t="s">
        <v>34</v>
      </c>
    </row>
    <row r="1299" spans="1:10" x14ac:dyDescent="0.25">
      <c r="A1299" s="1">
        <v>333</v>
      </c>
      <c r="B1299" t="s">
        <v>19</v>
      </c>
      <c r="C1299">
        <v>700</v>
      </c>
      <c r="D1299">
        <v>0</v>
      </c>
      <c r="E1299" t="s">
        <v>24</v>
      </c>
      <c r="F1299" t="s">
        <v>24</v>
      </c>
      <c r="G1299" t="str">
        <f>"2025-08-14 05:32:20.170"</f>
        <v>2025-08-14 05:32:20.170</v>
      </c>
      <c r="H1299" t="s">
        <v>22</v>
      </c>
      <c r="I1299">
        <v>0</v>
      </c>
      <c r="J1299" t="s">
        <v>34</v>
      </c>
    </row>
    <row r="1300" spans="1:10" x14ac:dyDescent="0.25">
      <c r="A1300" s="1">
        <v>334</v>
      </c>
      <c r="B1300" t="s">
        <v>19</v>
      </c>
      <c r="C1300">
        <v>700</v>
      </c>
      <c r="D1300">
        <v>0</v>
      </c>
      <c r="E1300" t="s">
        <v>24</v>
      </c>
      <c r="F1300" t="s">
        <v>24</v>
      </c>
      <c r="G1300" t="str">
        <f>"2025-08-14 05:29:48.863"</f>
        <v>2025-08-14 05:29:48.863</v>
      </c>
      <c r="H1300" t="s">
        <v>22</v>
      </c>
      <c r="I1300">
        <v>0</v>
      </c>
      <c r="J1300" t="s">
        <v>34</v>
      </c>
    </row>
    <row r="1301" spans="1:10" x14ac:dyDescent="0.25">
      <c r="A1301" s="1">
        <v>335</v>
      </c>
      <c r="B1301" t="s">
        <v>19</v>
      </c>
      <c r="C1301">
        <v>706</v>
      </c>
      <c r="D1301">
        <v>4</v>
      </c>
      <c r="E1301" t="s">
        <v>20</v>
      </c>
      <c r="F1301" t="s">
        <v>21</v>
      </c>
      <c r="G1301" t="str">
        <f>"2025-08-14 05:24:07.973"</f>
        <v>2025-08-14 05:24:07.973</v>
      </c>
      <c r="H1301" t="s">
        <v>22</v>
      </c>
      <c r="I1301">
        <v>0</v>
      </c>
      <c r="J1301" t="s">
        <v>23</v>
      </c>
    </row>
    <row r="1302" spans="1:10" x14ac:dyDescent="0.25">
      <c r="A1302" s="1">
        <v>336</v>
      </c>
      <c r="B1302" t="s">
        <v>19</v>
      </c>
      <c r="C1302">
        <v>700</v>
      </c>
      <c r="D1302">
        <v>0</v>
      </c>
      <c r="E1302" t="s">
        <v>24</v>
      </c>
      <c r="F1302" t="s">
        <v>24</v>
      </c>
      <c r="G1302" t="str">
        <f>"2025-08-14 05:01:37.863"</f>
        <v>2025-08-14 05:01:37.863</v>
      </c>
      <c r="H1302" t="s">
        <v>22</v>
      </c>
    </row>
    <row r="1303" spans="1:10" x14ac:dyDescent="0.25">
      <c r="A1303" s="1">
        <v>337</v>
      </c>
      <c r="B1303" t="s">
        <v>19</v>
      </c>
      <c r="C1303">
        <v>706</v>
      </c>
      <c r="D1303">
        <v>4</v>
      </c>
      <c r="E1303" t="s">
        <v>20</v>
      </c>
      <c r="F1303" t="s">
        <v>21</v>
      </c>
      <c r="G1303" t="str">
        <f>"2025-08-14 04:59:20.534"</f>
        <v>2025-08-14 04:59:20.534</v>
      </c>
      <c r="H1303" t="s">
        <v>22</v>
      </c>
      <c r="I1303">
        <v>0</v>
      </c>
      <c r="J1303" t="s">
        <v>23</v>
      </c>
    </row>
    <row r="1304" spans="1:10" x14ac:dyDescent="0.25">
      <c r="A1304" s="1">
        <v>338</v>
      </c>
      <c r="B1304" t="s">
        <v>19</v>
      </c>
      <c r="C1304">
        <v>700</v>
      </c>
      <c r="D1304">
        <v>0</v>
      </c>
      <c r="E1304" t="s">
        <v>24</v>
      </c>
      <c r="F1304" t="s">
        <v>24</v>
      </c>
      <c r="G1304" t="str">
        <f>"2025-08-14 04:24:42.874"</f>
        <v>2025-08-14 04:24:42.874</v>
      </c>
      <c r="H1304" t="s">
        <v>22</v>
      </c>
      <c r="I1304">
        <v>0</v>
      </c>
      <c r="J1304" t="s">
        <v>34</v>
      </c>
    </row>
    <row r="1305" spans="1:10" x14ac:dyDescent="0.25">
      <c r="A1305" s="1">
        <v>339</v>
      </c>
      <c r="B1305" t="s">
        <v>19</v>
      </c>
      <c r="C1305">
        <v>700</v>
      </c>
      <c r="D1305">
        <v>0</v>
      </c>
      <c r="E1305" t="s">
        <v>24</v>
      </c>
      <c r="F1305" t="s">
        <v>24</v>
      </c>
      <c r="G1305" t="str">
        <f>"2025-08-14 04:14:16.869"</f>
        <v>2025-08-14 04:14:16.869</v>
      </c>
      <c r="H1305" t="s">
        <v>22</v>
      </c>
    </row>
    <row r="1306" spans="1:10" x14ac:dyDescent="0.25">
      <c r="A1306" s="1">
        <v>340</v>
      </c>
      <c r="B1306" t="s">
        <v>19</v>
      </c>
      <c r="C1306">
        <v>700</v>
      </c>
      <c r="D1306">
        <v>0</v>
      </c>
      <c r="E1306" t="s">
        <v>24</v>
      </c>
      <c r="F1306" t="s">
        <v>24</v>
      </c>
      <c r="G1306" t="str">
        <f>"2025-08-14 04:08:17.871"</f>
        <v>2025-08-14 04:08:17.871</v>
      </c>
      <c r="H1306" t="s">
        <v>22</v>
      </c>
      <c r="I1306">
        <v>0</v>
      </c>
      <c r="J1306" t="s">
        <v>34</v>
      </c>
    </row>
    <row r="1307" spans="1:10" x14ac:dyDescent="0.25">
      <c r="A1307" s="1">
        <v>341</v>
      </c>
      <c r="B1307" t="s">
        <v>19</v>
      </c>
      <c r="C1307">
        <v>700</v>
      </c>
      <c r="D1307">
        <v>0</v>
      </c>
      <c r="E1307" t="s">
        <v>24</v>
      </c>
      <c r="F1307" t="s">
        <v>24</v>
      </c>
      <c r="G1307" t="str">
        <f>"2025-08-14 03:59:24.865"</f>
        <v>2025-08-14 03:59:24.865</v>
      </c>
      <c r="H1307" t="s">
        <v>22</v>
      </c>
    </row>
    <row r="1308" spans="1:10" x14ac:dyDescent="0.25">
      <c r="A1308" s="1">
        <v>342</v>
      </c>
      <c r="B1308" t="s">
        <v>19</v>
      </c>
      <c r="C1308">
        <v>700</v>
      </c>
      <c r="D1308">
        <v>0</v>
      </c>
      <c r="E1308" t="s">
        <v>24</v>
      </c>
      <c r="F1308" t="s">
        <v>24</v>
      </c>
      <c r="G1308" t="str">
        <f>"2025-08-14 03:48:53.863"</f>
        <v>2025-08-14 03:48:53.863</v>
      </c>
      <c r="H1308" t="s">
        <v>22</v>
      </c>
    </row>
    <row r="1309" spans="1:10" x14ac:dyDescent="0.25">
      <c r="A1309" s="1">
        <v>343</v>
      </c>
      <c r="B1309" t="s">
        <v>19</v>
      </c>
      <c r="C1309">
        <v>706</v>
      </c>
      <c r="D1309">
        <v>4</v>
      </c>
      <c r="E1309" t="s">
        <v>20</v>
      </c>
      <c r="F1309" t="s">
        <v>21</v>
      </c>
      <c r="G1309" t="str">
        <f>"2025-08-14 03:45:40.215"</f>
        <v>2025-08-14 03:45:40.215</v>
      </c>
      <c r="H1309" t="s">
        <v>22</v>
      </c>
      <c r="I1309">
        <v>0</v>
      </c>
      <c r="J1309" t="s">
        <v>23</v>
      </c>
    </row>
    <row r="1310" spans="1:10" x14ac:dyDescent="0.25">
      <c r="A1310" s="1">
        <v>344</v>
      </c>
      <c r="B1310" t="s">
        <v>19</v>
      </c>
      <c r="C1310">
        <v>700</v>
      </c>
      <c r="D1310">
        <v>0</v>
      </c>
      <c r="E1310" t="s">
        <v>24</v>
      </c>
      <c r="F1310" t="s">
        <v>24</v>
      </c>
      <c r="G1310" t="str">
        <f>"2025-08-14 03:45:24.885"</f>
        <v>2025-08-14 03:45:24.885</v>
      </c>
      <c r="H1310" t="s">
        <v>22</v>
      </c>
      <c r="I1310">
        <v>0</v>
      </c>
      <c r="J1310" t="s">
        <v>34</v>
      </c>
    </row>
    <row r="1311" spans="1:10" x14ac:dyDescent="0.25">
      <c r="A1311" s="1">
        <v>345</v>
      </c>
      <c r="B1311" t="s">
        <v>19</v>
      </c>
      <c r="C1311">
        <v>706</v>
      </c>
      <c r="D1311">
        <v>2</v>
      </c>
      <c r="E1311" t="s">
        <v>20</v>
      </c>
      <c r="F1311" t="s">
        <v>25</v>
      </c>
      <c r="G1311" t="str">
        <f>"2025-08-14 03:35:31.450"</f>
        <v>2025-08-14 03:35:31.450</v>
      </c>
      <c r="H1311" t="s">
        <v>22</v>
      </c>
      <c r="I1311">
        <v>0</v>
      </c>
      <c r="J1311" t="s">
        <v>23</v>
      </c>
    </row>
    <row r="1312" spans="1:10" x14ac:dyDescent="0.25">
      <c r="A1312" s="1">
        <v>346</v>
      </c>
      <c r="B1312" t="s">
        <v>19</v>
      </c>
      <c r="C1312">
        <v>700</v>
      </c>
      <c r="D1312">
        <v>0</v>
      </c>
      <c r="E1312" t="s">
        <v>24</v>
      </c>
      <c r="F1312" t="s">
        <v>24</v>
      </c>
      <c r="G1312" t="str">
        <f>"2025-08-14 03:35:10.870"</f>
        <v>2025-08-14 03:35:10.870</v>
      </c>
      <c r="H1312" t="s">
        <v>22</v>
      </c>
    </row>
    <row r="1313" spans="1:10" x14ac:dyDescent="0.25">
      <c r="A1313" s="1">
        <v>347</v>
      </c>
      <c r="B1313" t="s">
        <v>26</v>
      </c>
      <c r="C1313">
        <v>4</v>
      </c>
      <c r="D1313">
        <v>1</v>
      </c>
      <c r="E1313" t="s">
        <v>80</v>
      </c>
      <c r="F1313" t="s">
        <v>81</v>
      </c>
      <c r="G1313" t="str">
        <f>"2025-08-14 03:11:31.124"</f>
        <v>2025-08-14 03:11:31.124</v>
      </c>
      <c r="H1313" t="s">
        <v>82</v>
      </c>
    </row>
    <row r="1314" spans="1:10" x14ac:dyDescent="0.25">
      <c r="A1314" s="1">
        <v>348</v>
      </c>
      <c r="B1314" t="s">
        <v>29</v>
      </c>
      <c r="C1314">
        <v>4</v>
      </c>
      <c r="D1314">
        <v>1</v>
      </c>
      <c r="E1314" t="s">
        <v>80</v>
      </c>
      <c r="F1314" t="s">
        <v>81</v>
      </c>
      <c r="G1314" t="str">
        <f>"2025-08-14 03:06:27.004"</f>
        <v>2025-08-14 03:06:27.004</v>
      </c>
      <c r="H1314" t="s">
        <v>82</v>
      </c>
      <c r="I1314">
        <v>0</v>
      </c>
      <c r="J1314" t="s">
        <v>23</v>
      </c>
    </row>
    <row r="1315" spans="1:10" x14ac:dyDescent="0.25">
      <c r="A1315" s="1">
        <v>349</v>
      </c>
      <c r="B1315" t="s">
        <v>19</v>
      </c>
      <c r="C1315">
        <v>700</v>
      </c>
      <c r="D1315">
        <v>0</v>
      </c>
      <c r="E1315" t="s">
        <v>24</v>
      </c>
      <c r="F1315" t="s">
        <v>24</v>
      </c>
      <c r="G1315" t="str">
        <f>"2025-08-14 03:04:06.866"</f>
        <v>2025-08-14 03:04:06.866</v>
      </c>
      <c r="H1315" t="s">
        <v>22</v>
      </c>
      <c r="I1315">
        <v>0</v>
      </c>
      <c r="J1315" t="s">
        <v>34</v>
      </c>
    </row>
    <row r="1316" spans="1:10" x14ac:dyDescent="0.25">
      <c r="A1316" s="1">
        <v>350</v>
      </c>
      <c r="B1316" t="s">
        <v>19</v>
      </c>
      <c r="C1316">
        <v>700</v>
      </c>
      <c r="D1316">
        <v>0</v>
      </c>
      <c r="E1316" t="s">
        <v>24</v>
      </c>
      <c r="F1316" t="s">
        <v>24</v>
      </c>
      <c r="G1316" t="str">
        <f>"2025-08-14 02:52:23.856"</f>
        <v>2025-08-14 02:52:23.856</v>
      </c>
      <c r="H1316" t="s">
        <v>22</v>
      </c>
    </row>
    <row r="1317" spans="1:10" x14ac:dyDescent="0.25">
      <c r="A1317" s="1">
        <v>351</v>
      </c>
      <c r="B1317" t="s">
        <v>19</v>
      </c>
      <c r="C1317">
        <v>700</v>
      </c>
      <c r="D1317">
        <v>0</v>
      </c>
      <c r="E1317" t="s">
        <v>24</v>
      </c>
      <c r="F1317" t="s">
        <v>24</v>
      </c>
      <c r="G1317" t="str">
        <f>"2025-08-14 02:33:24.204"</f>
        <v>2025-08-14 02:33:24.204</v>
      </c>
      <c r="H1317" t="s">
        <v>22</v>
      </c>
      <c r="I1317">
        <v>0</v>
      </c>
      <c r="J1317" t="s">
        <v>34</v>
      </c>
    </row>
    <row r="1318" spans="1:10" x14ac:dyDescent="0.25">
      <c r="A1318" s="1">
        <v>352</v>
      </c>
      <c r="B1318" t="s">
        <v>39</v>
      </c>
      <c r="C1318">
        <v>630</v>
      </c>
      <c r="D1318">
        <v>5</v>
      </c>
      <c r="E1318" t="s">
        <v>76</v>
      </c>
      <c r="F1318" t="s">
        <v>77</v>
      </c>
      <c r="G1318" t="str">
        <f>"2025-08-13 20:51:02.898"</f>
        <v>2025-08-13 20:51:02.898</v>
      </c>
      <c r="H1318" t="s">
        <v>78</v>
      </c>
      <c r="I1318">
        <v>0</v>
      </c>
      <c r="J1318" t="s">
        <v>23</v>
      </c>
    </row>
    <row r="1319" spans="1:10" x14ac:dyDescent="0.25">
      <c r="A1319" s="1">
        <v>353</v>
      </c>
      <c r="B1319" t="s">
        <v>26</v>
      </c>
      <c r="C1319">
        <v>635</v>
      </c>
      <c r="D1319">
        <v>1</v>
      </c>
      <c r="E1319" t="s">
        <v>31</v>
      </c>
      <c r="F1319" t="s">
        <v>32</v>
      </c>
      <c r="G1319" t="str">
        <f>"2025-08-13 18:46:04.750"</f>
        <v>2025-08-13 18:46:04.750</v>
      </c>
      <c r="H1319" t="s">
        <v>22</v>
      </c>
    </row>
    <row r="1320" spans="1:10" x14ac:dyDescent="0.25">
      <c r="A1320" s="1">
        <v>354</v>
      </c>
      <c r="B1320" t="s">
        <v>29</v>
      </c>
      <c r="C1320">
        <v>635</v>
      </c>
      <c r="D1320">
        <v>1</v>
      </c>
      <c r="E1320" t="s">
        <v>31</v>
      </c>
      <c r="F1320" t="s">
        <v>32</v>
      </c>
      <c r="G1320" t="str">
        <f>"2025-08-13 18:40:36.850"</f>
        <v>2025-08-13 18:40:36.850</v>
      </c>
      <c r="H1320" t="s">
        <v>22</v>
      </c>
      <c r="I1320">
        <v>-0.33</v>
      </c>
      <c r="J1320" t="s">
        <v>33</v>
      </c>
    </row>
    <row r="1321" spans="1:10" x14ac:dyDescent="0.25">
      <c r="A1321" s="1">
        <v>355</v>
      </c>
      <c r="B1321" t="s">
        <v>19</v>
      </c>
      <c r="C1321">
        <v>700</v>
      </c>
      <c r="D1321">
        <v>0</v>
      </c>
      <c r="E1321" t="s">
        <v>24</v>
      </c>
      <c r="F1321" t="s">
        <v>24</v>
      </c>
      <c r="G1321" t="str">
        <f>"2025-08-13 18:25:24.921"</f>
        <v>2025-08-13 18:25:24.921</v>
      </c>
      <c r="H1321" t="s">
        <v>22</v>
      </c>
    </row>
    <row r="1322" spans="1:10" x14ac:dyDescent="0.25">
      <c r="A1322" s="1">
        <v>356</v>
      </c>
      <c r="B1322" t="s">
        <v>19</v>
      </c>
      <c r="C1322">
        <v>700</v>
      </c>
      <c r="D1322">
        <v>0</v>
      </c>
      <c r="E1322" t="s">
        <v>24</v>
      </c>
      <c r="F1322" t="s">
        <v>24</v>
      </c>
      <c r="G1322" t="str">
        <f>"2025-08-13 17:52:30.870"</f>
        <v>2025-08-13 17:52:30.870</v>
      </c>
      <c r="H1322" t="s">
        <v>22</v>
      </c>
      <c r="I1322">
        <v>0</v>
      </c>
      <c r="J1322" t="s">
        <v>34</v>
      </c>
    </row>
    <row r="1323" spans="1:10" x14ac:dyDescent="0.25">
      <c r="A1323" s="1">
        <v>357</v>
      </c>
      <c r="B1323" t="s">
        <v>19</v>
      </c>
      <c r="C1323">
        <v>700</v>
      </c>
      <c r="D1323">
        <v>0</v>
      </c>
      <c r="E1323" t="s">
        <v>24</v>
      </c>
      <c r="F1323" t="s">
        <v>24</v>
      </c>
      <c r="G1323" t="str">
        <f>"2025-08-13 17:38:47.861"</f>
        <v>2025-08-13 17:38:47.861</v>
      </c>
      <c r="H1323" t="s">
        <v>22</v>
      </c>
    </row>
    <row r="1324" spans="1:10" x14ac:dyDescent="0.25">
      <c r="A1324" s="1">
        <v>358</v>
      </c>
      <c r="B1324" t="s">
        <v>26</v>
      </c>
      <c r="C1324">
        <v>630</v>
      </c>
      <c r="D1324">
        <v>5</v>
      </c>
      <c r="E1324" t="s">
        <v>76</v>
      </c>
      <c r="F1324" t="s">
        <v>77</v>
      </c>
      <c r="G1324" t="str">
        <f>"2025-08-12 16:06:37.730"</f>
        <v>2025-08-12 16:06:37.730</v>
      </c>
      <c r="H1324" t="s">
        <v>78</v>
      </c>
    </row>
    <row r="1325" spans="1:10" x14ac:dyDescent="0.25">
      <c r="A1325" s="1">
        <v>359</v>
      </c>
      <c r="B1325" t="s">
        <v>19</v>
      </c>
      <c r="C1325">
        <v>706</v>
      </c>
      <c r="D1325">
        <v>2</v>
      </c>
      <c r="E1325" t="s">
        <v>20</v>
      </c>
      <c r="F1325" t="s">
        <v>25</v>
      </c>
      <c r="G1325" t="str">
        <f>"2025-08-12 16:06:07.553"</f>
        <v>2025-08-12 16:06:07.553</v>
      </c>
      <c r="H1325" t="s">
        <v>22</v>
      </c>
      <c r="I1325">
        <v>0</v>
      </c>
      <c r="J1325" t="s">
        <v>23</v>
      </c>
    </row>
    <row r="1326" spans="1:10" x14ac:dyDescent="0.25">
      <c r="A1326" s="1">
        <v>360</v>
      </c>
      <c r="B1326" t="s">
        <v>39</v>
      </c>
      <c r="C1326">
        <v>630</v>
      </c>
      <c r="D1326">
        <v>5</v>
      </c>
      <c r="E1326" t="s">
        <v>76</v>
      </c>
      <c r="F1326" t="s">
        <v>77</v>
      </c>
      <c r="G1326" t="str">
        <f>"2025-08-12 16:04:20.030"</f>
        <v>2025-08-12 16:04:20.030</v>
      </c>
      <c r="H1326" t="s">
        <v>78</v>
      </c>
      <c r="I1326">
        <v>0</v>
      </c>
      <c r="J1326" t="s">
        <v>23</v>
      </c>
    </row>
    <row r="1327" spans="1:10" x14ac:dyDescent="0.25">
      <c r="A1327" s="1">
        <v>361</v>
      </c>
      <c r="B1327" t="s">
        <v>19</v>
      </c>
      <c r="C1327">
        <v>706</v>
      </c>
      <c r="D1327">
        <v>4</v>
      </c>
      <c r="E1327" t="s">
        <v>20</v>
      </c>
      <c r="F1327" t="s">
        <v>21</v>
      </c>
      <c r="G1327" t="str">
        <f>"2025-08-12 13:13:47.623"</f>
        <v>2025-08-12 13:13:47.623</v>
      </c>
      <c r="H1327" t="s">
        <v>22</v>
      </c>
      <c r="I1327">
        <v>0</v>
      </c>
      <c r="J1327" t="s">
        <v>23</v>
      </c>
    </row>
    <row r="1328" spans="1:10" x14ac:dyDescent="0.25">
      <c r="A1328" s="1">
        <v>362</v>
      </c>
      <c r="B1328" t="s">
        <v>26</v>
      </c>
      <c r="C1328">
        <v>630</v>
      </c>
      <c r="D1328">
        <v>5</v>
      </c>
      <c r="E1328" t="s">
        <v>76</v>
      </c>
      <c r="F1328" t="s">
        <v>77</v>
      </c>
      <c r="G1328" t="str">
        <f>"2025-08-12 08:03:13.830"</f>
        <v>2025-08-12 08:03:13.830</v>
      </c>
      <c r="H1328" t="s">
        <v>78</v>
      </c>
    </row>
    <row r="1329" spans="1:10" x14ac:dyDescent="0.25">
      <c r="A1329" s="1">
        <v>363</v>
      </c>
      <c r="B1329" t="s">
        <v>19</v>
      </c>
      <c r="C1329">
        <v>706</v>
      </c>
      <c r="D1329">
        <v>4</v>
      </c>
      <c r="E1329" t="s">
        <v>20</v>
      </c>
      <c r="F1329" t="s">
        <v>21</v>
      </c>
      <c r="G1329" t="str">
        <f>"2025-08-12 08:02:43.743"</f>
        <v>2025-08-12 08:02:43.743</v>
      </c>
      <c r="H1329" t="s">
        <v>22</v>
      </c>
      <c r="I1329">
        <v>0</v>
      </c>
      <c r="J1329" t="s">
        <v>23</v>
      </c>
    </row>
    <row r="1330" spans="1:10" x14ac:dyDescent="0.25">
      <c r="A1330" s="1">
        <v>364</v>
      </c>
      <c r="B1330" t="s">
        <v>39</v>
      </c>
      <c r="C1330">
        <v>630</v>
      </c>
      <c r="D1330">
        <v>5</v>
      </c>
      <c r="E1330" t="s">
        <v>76</v>
      </c>
      <c r="F1330" t="s">
        <v>77</v>
      </c>
      <c r="G1330" t="str">
        <f>"2025-08-12 07:53:28.231"</f>
        <v>2025-08-12 07:53:28.231</v>
      </c>
      <c r="H1330" t="s">
        <v>78</v>
      </c>
      <c r="I1330">
        <v>0</v>
      </c>
      <c r="J1330" t="s">
        <v>23</v>
      </c>
    </row>
    <row r="1331" spans="1:10" x14ac:dyDescent="0.25">
      <c r="A1331" s="1">
        <v>365</v>
      </c>
      <c r="B1331" t="s">
        <v>19</v>
      </c>
      <c r="C1331">
        <v>700</v>
      </c>
      <c r="D1331">
        <v>0</v>
      </c>
      <c r="E1331" t="s">
        <v>24</v>
      </c>
      <c r="F1331" t="s">
        <v>24</v>
      </c>
      <c r="G1331" t="str">
        <f>"2025-08-11 20:33:11.873"</f>
        <v>2025-08-11 20:33:11.873</v>
      </c>
      <c r="H1331" t="s">
        <v>22</v>
      </c>
      <c r="I1331">
        <v>0</v>
      </c>
      <c r="J1331" t="s">
        <v>34</v>
      </c>
    </row>
    <row r="1332" spans="1:10" x14ac:dyDescent="0.25">
      <c r="A1332" s="1">
        <v>366</v>
      </c>
      <c r="B1332" t="s">
        <v>26</v>
      </c>
      <c r="C1332">
        <v>630</v>
      </c>
      <c r="D1332">
        <v>5</v>
      </c>
      <c r="E1332" t="s">
        <v>76</v>
      </c>
      <c r="F1332" t="s">
        <v>77</v>
      </c>
      <c r="G1332" t="str">
        <f>"2025-08-11 17:18:52.747"</f>
        <v>2025-08-11 17:18:52.747</v>
      </c>
      <c r="H1332" t="s">
        <v>78</v>
      </c>
    </row>
    <row r="1333" spans="1:10" x14ac:dyDescent="0.25">
      <c r="A1333" s="1">
        <v>367</v>
      </c>
      <c r="B1333" t="s">
        <v>19</v>
      </c>
      <c r="C1333">
        <v>706</v>
      </c>
      <c r="D1333">
        <v>2</v>
      </c>
      <c r="E1333" t="s">
        <v>20</v>
      </c>
      <c r="F1333" t="s">
        <v>25</v>
      </c>
      <c r="G1333" t="str">
        <f>"2025-08-11 17:18:22.580"</f>
        <v>2025-08-11 17:18:22.580</v>
      </c>
      <c r="H1333" t="s">
        <v>22</v>
      </c>
      <c r="I1333">
        <v>0</v>
      </c>
      <c r="J1333" t="s">
        <v>23</v>
      </c>
    </row>
    <row r="1334" spans="1:10" x14ac:dyDescent="0.25">
      <c r="A1334" s="1">
        <v>368</v>
      </c>
      <c r="B1334" t="s">
        <v>39</v>
      </c>
      <c r="C1334">
        <v>630</v>
      </c>
      <c r="D1334">
        <v>5</v>
      </c>
      <c r="E1334" t="s">
        <v>76</v>
      </c>
      <c r="F1334" t="s">
        <v>77</v>
      </c>
      <c r="G1334" t="str">
        <f>"2025-08-11 17:02:51.447"</f>
        <v>2025-08-11 17:02:51.447</v>
      </c>
      <c r="H1334" t="s">
        <v>78</v>
      </c>
      <c r="I1334">
        <v>0</v>
      </c>
      <c r="J1334" t="s">
        <v>23</v>
      </c>
    </row>
    <row r="1335" spans="1:10" x14ac:dyDescent="0.25">
      <c r="A1335" s="1">
        <v>370</v>
      </c>
      <c r="B1335" t="s">
        <v>26</v>
      </c>
      <c r="C1335">
        <v>630</v>
      </c>
      <c r="D1335">
        <v>5</v>
      </c>
      <c r="E1335" t="s">
        <v>76</v>
      </c>
      <c r="F1335" t="s">
        <v>77</v>
      </c>
      <c r="G1335" t="str">
        <f>"2025-08-10 09:07:00.347"</f>
        <v>2025-08-10 09:07:00.347</v>
      </c>
      <c r="H1335" t="s">
        <v>78</v>
      </c>
    </row>
    <row r="1336" spans="1:10" x14ac:dyDescent="0.25">
      <c r="A1336" s="1">
        <v>371</v>
      </c>
      <c r="B1336" t="s">
        <v>19</v>
      </c>
      <c r="C1336">
        <v>706</v>
      </c>
      <c r="D1336">
        <v>4</v>
      </c>
      <c r="E1336" t="s">
        <v>20</v>
      </c>
      <c r="F1336" t="s">
        <v>21</v>
      </c>
      <c r="G1336" t="str">
        <f>"2025-08-10 09:06:30.320"</f>
        <v>2025-08-10 09:06:30.320</v>
      </c>
      <c r="H1336" t="s">
        <v>22</v>
      </c>
      <c r="I1336">
        <v>0</v>
      </c>
      <c r="J1336" t="s">
        <v>23</v>
      </c>
    </row>
    <row r="1337" spans="1:10" x14ac:dyDescent="0.25">
      <c r="A1337" s="1">
        <v>372</v>
      </c>
      <c r="B1337" t="s">
        <v>39</v>
      </c>
      <c r="C1337">
        <v>630</v>
      </c>
      <c r="D1337">
        <v>5</v>
      </c>
      <c r="E1337" t="s">
        <v>76</v>
      </c>
      <c r="F1337" t="s">
        <v>77</v>
      </c>
      <c r="G1337" t="str">
        <f>"2025-08-10 09:01:19.548"</f>
        <v>2025-08-10 09:01:19.548</v>
      </c>
      <c r="H1337" t="s">
        <v>78</v>
      </c>
      <c r="I1337">
        <v>0</v>
      </c>
      <c r="J1337" t="s">
        <v>23</v>
      </c>
    </row>
    <row r="1338" spans="1:10" x14ac:dyDescent="0.25">
      <c r="A1338" s="1">
        <v>373</v>
      </c>
      <c r="B1338" t="s">
        <v>19</v>
      </c>
      <c r="C1338">
        <v>700</v>
      </c>
      <c r="D1338">
        <v>0</v>
      </c>
      <c r="E1338" t="s">
        <v>24</v>
      </c>
      <c r="F1338" t="s">
        <v>24</v>
      </c>
      <c r="G1338" t="str">
        <f>"2025-08-09 20:13:07.890"</f>
        <v>2025-08-09 20:13:07.890</v>
      </c>
      <c r="H1338" t="s">
        <v>22</v>
      </c>
      <c r="I1338">
        <v>0</v>
      </c>
      <c r="J1338" t="s">
        <v>34</v>
      </c>
    </row>
    <row r="1339" spans="1:10" x14ac:dyDescent="0.25">
      <c r="A1339" s="1">
        <v>374</v>
      </c>
      <c r="B1339" t="s">
        <v>26</v>
      </c>
      <c r="C1339">
        <v>630</v>
      </c>
      <c r="D1339">
        <v>5</v>
      </c>
      <c r="E1339" t="s">
        <v>76</v>
      </c>
      <c r="F1339" t="s">
        <v>77</v>
      </c>
      <c r="G1339" t="str">
        <f>"2025-08-09 15:11:36.147"</f>
        <v>2025-08-09 15:11:36.147</v>
      </c>
      <c r="H1339" t="s">
        <v>78</v>
      </c>
    </row>
    <row r="1340" spans="1:10" x14ac:dyDescent="0.25">
      <c r="A1340" s="1">
        <v>375</v>
      </c>
      <c r="B1340" t="s">
        <v>19</v>
      </c>
      <c r="C1340">
        <v>706</v>
      </c>
      <c r="D1340">
        <v>4</v>
      </c>
      <c r="E1340" t="s">
        <v>20</v>
      </c>
      <c r="F1340" t="s">
        <v>21</v>
      </c>
      <c r="G1340" t="str">
        <f>"2025-08-09 15:11:06.110"</f>
        <v>2025-08-09 15:11:06.110</v>
      </c>
      <c r="H1340" t="s">
        <v>22</v>
      </c>
      <c r="I1340">
        <v>0</v>
      </c>
      <c r="J1340" t="s">
        <v>23</v>
      </c>
    </row>
    <row r="1341" spans="1:10" x14ac:dyDescent="0.25">
      <c r="A1341" s="1">
        <v>376</v>
      </c>
      <c r="B1341" t="s">
        <v>39</v>
      </c>
      <c r="C1341">
        <v>630</v>
      </c>
      <c r="D1341">
        <v>5</v>
      </c>
      <c r="E1341" t="s">
        <v>76</v>
      </c>
      <c r="F1341" t="s">
        <v>77</v>
      </c>
      <c r="G1341" t="str">
        <f>"2025-08-09 15:05:37.648"</f>
        <v>2025-08-09 15:05:37.648</v>
      </c>
      <c r="H1341" t="s">
        <v>78</v>
      </c>
      <c r="I1341">
        <v>0</v>
      </c>
      <c r="J1341" t="s">
        <v>23</v>
      </c>
    </row>
    <row r="1342" spans="1:10" x14ac:dyDescent="0.25">
      <c r="A1342" s="1">
        <v>377</v>
      </c>
      <c r="B1342" t="s">
        <v>19</v>
      </c>
      <c r="C1342">
        <v>700</v>
      </c>
      <c r="D1342">
        <v>0</v>
      </c>
      <c r="E1342" t="s">
        <v>24</v>
      </c>
      <c r="F1342" t="s">
        <v>24</v>
      </c>
      <c r="G1342" t="str">
        <f>"2025-08-09 10:40:59.870"</f>
        <v>2025-08-09 10:40:59.870</v>
      </c>
      <c r="H1342" t="s">
        <v>22</v>
      </c>
      <c r="I1342">
        <v>0</v>
      </c>
      <c r="J1342" t="s">
        <v>34</v>
      </c>
    </row>
    <row r="1343" spans="1:10" x14ac:dyDescent="0.25">
      <c r="A1343" s="1">
        <v>378</v>
      </c>
      <c r="B1343" t="s">
        <v>19</v>
      </c>
      <c r="C1343">
        <v>700</v>
      </c>
      <c r="D1343">
        <v>0</v>
      </c>
      <c r="E1343" t="s">
        <v>24</v>
      </c>
      <c r="F1343" t="s">
        <v>24</v>
      </c>
      <c r="G1343" t="str">
        <f>"2025-08-09 10:25:11.856"</f>
        <v>2025-08-09 10:25:11.856</v>
      </c>
      <c r="H1343" t="s">
        <v>22</v>
      </c>
      <c r="I1343">
        <v>0</v>
      </c>
      <c r="J1343" t="s">
        <v>34</v>
      </c>
    </row>
    <row r="1344" spans="1:10" x14ac:dyDescent="0.25">
      <c r="A1344" s="1">
        <v>379</v>
      </c>
      <c r="B1344" t="s">
        <v>26</v>
      </c>
      <c r="C1344">
        <v>630</v>
      </c>
      <c r="D1344">
        <v>5</v>
      </c>
      <c r="E1344" t="s">
        <v>76</v>
      </c>
      <c r="F1344" t="s">
        <v>77</v>
      </c>
      <c r="G1344" t="str">
        <f>"2025-08-08 14:14:24.244"</f>
        <v>2025-08-08 14:14:24.244</v>
      </c>
      <c r="H1344" t="s">
        <v>78</v>
      </c>
    </row>
    <row r="1345" spans="1:10" x14ac:dyDescent="0.25">
      <c r="A1345" s="1">
        <v>380</v>
      </c>
      <c r="B1345" t="s">
        <v>19</v>
      </c>
      <c r="C1345">
        <v>706</v>
      </c>
      <c r="D1345">
        <v>4</v>
      </c>
      <c r="E1345" t="s">
        <v>20</v>
      </c>
      <c r="F1345" t="s">
        <v>21</v>
      </c>
      <c r="G1345" t="str">
        <f>"2025-08-08 14:13:54.137"</f>
        <v>2025-08-08 14:13:54.137</v>
      </c>
      <c r="H1345" t="s">
        <v>22</v>
      </c>
      <c r="I1345">
        <v>0</v>
      </c>
      <c r="J1345" t="s">
        <v>23</v>
      </c>
    </row>
    <row r="1346" spans="1:10" x14ac:dyDescent="0.25">
      <c r="A1346" s="1">
        <v>381</v>
      </c>
      <c r="B1346" t="s">
        <v>39</v>
      </c>
      <c r="C1346">
        <v>630</v>
      </c>
      <c r="D1346">
        <v>5</v>
      </c>
      <c r="E1346" t="s">
        <v>76</v>
      </c>
      <c r="F1346" t="s">
        <v>77</v>
      </c>
      <c r="G1346" t="str">
        <f>"2025-08-08 13:49:54.344"</f>
        <v>2025-08-08 13:49:54.344</v>
      </c>
      <c r="H1346" t="s">
        <v>78</v>
      </c>
      <c r="I1346">
        <v>0</v>
      </c>
      <c r="J1346" t="s">
        <v>23</v>
      </c>
    </row>
    <row r="1347" spans="1:10" s="3" customFormat="1" x14ac:dyDescent="0.25">
      <c r="A1347" s="2">
        <v>383</v>
      </c>
      <c r="B1347" s="3" t="s">
        <v>26</v>
      </c>
      <c r="C1347" s="3">
        <v>647</v>
      </c>
      <c r="D1347" s="3">
        <v>1</v>
      </c>
      <c r="E1347" s="3" t="s">
        <v>27</v>
      </c>
      <c r="F1347" s="3" t="s">
        <v>28</v>
      </c>
      <c r="G1347" s="3" t="str">
        <f>"2025-08-08 02:34:51.934"</f>
        <v>2025-08-08 02:34:51.934</v>
      </c>
      <c r="H1347" s="3" t="s">
        <v>22</v>
      </c>
    </row>
    <row r="1348" spans="1:10" s="3" customFormat="1" x14ac:dyDescent="0.25">
      <c r="A1348" s="2">
        <v>384</v>
      </c>
      <c r="B1348" s="3" t="s">
        <v>29</v>
      </c>
      <c r="C1348" s="3">
        <v>647</v>
      </c>
      <c r="D1348" s="3">
        <v>1</v>
      </c>
      <c r="E1348" s="3" t="s">
        <v>27</v>
      </c>
      <c r="F1348" s="3" t="s">
        <v>28</v>
      </c>
      <c r="G1348" s="3" t="str">
        <f>"2025-08-08 02:34:50.434"</f>
        <v>2025-08-08 02:34:50.434</v>
      </c>
      <c r="H1348" s="3" t="s">
        <v>22</v>
      </c>
      <c r="I1348" s="3">
        <v>24.45</v>
      </c>
      <c r="J1348" s="3" t="s">
        <v>30</v>
      </c>
    </row>
    <row r="1349" spans="1:10" x14ac:dyDescent="0.25">
      <c r="A1349" s="1">
        <v>385</v>
      </c>
      <c r="B1349" t="s">
        <v>26</v>
      </c>
      <c r="C1349">
        <v>635</v>
      </c>
      <c r="D1349">
        <v>1</v>
      </c>
      <c r="E1349" t="s">
        <v>31</v>
      </c>
      <c r="F1349" t="s">
        <v>32</v>
      </c>
      <c r="G1349" t="str">
        <f>"2025-08-08 02:01:29.034"</f>
        <v>2025-08-08 02:01:29.034</v>
      </c>
      <c r="H1349" t="s">
        <v>22</v>
      </c>
    </row>
    <row r="1350" spans="1:10" x14ac:dyDescent="0.25">
      <c r="A1350" s="1">
        <v>386</v>
      </c>
      <c r="B1350" t="s">
        <v>29</v>
      </c>
      <c r="C1350">
        <v>635</v>
      </c>
      <c r="D1350">
        <v>1</v>
      </c>
      <c r="E1350" t="s">
        <v>31</v>
      </c>
      <c r="F1350" t="s">
        <v>32</v>
      </c>
      <c r="G1350" t="str">
        <f>"2025-08-08 01:53:00.034"</f>
        <v>2025-08-08 01:53:00.034</v>
      </c>
      <c r="H1350" t="s">
        <v>22</v>
      </c>
      <c r="I1350">
        <v>2.61</v>
      </c>
      <c r="J1350" t="s">
        <v>33</v>
      </c>
    </row>
    <row r="1351" spans="1:10" s="3" customFormat="1" x14ac:dyDescent="0.25">
      <c r="A1351" s="2">
        <v>387</v>
      </c>
      <c r="B1351" s="3" t="s">
        <v>26</v>
      </c>
      <c r="C1351" s="3">
        <v>647</v>
      </c>
      <c r="D1351" s="3">
        <v>1</v>
      </c>
      <c r="E1351" s="3" t="s">
        <v>27</v>
      </c>
      <c r="F1351" s="3" t="s">
        <v>28</v>
      </c>
      <c r="G1351" s="3" t="str">
        <f>"2025-08-07 23:03:46.734"</f>
        <v>2025-08-07 23:03:46.734</v>
      </c>
      <c r="H1351" s="3" t="s">
        <v>22</v>
      </c>
    </row>
    <row r="1352" spans="1:10" s="3" customFormat="1" x14ac:dyDescent="0.25">
      <c r="A1352" s="2">
        <v>388</v>
      </c>
      <c r="B1352" s="3" t="s">
        <v>29</v>
      </c>
      <c r="C1352" s="3">
        <v>647</v>
      </c>
      <c r="D1352" s="3">
        <v>1</v>
      </c>
      <c r="E1352" s="3" t="s">
        <v>27</v>
      </c>
      <c r="F1352" s="3" t="s">
        <v>28</v>
      </c>
      <c r="G1352" s="3" t="str">
        <f>"2025-08-07 23:03:40.834"</f>
        <v>2025-08-07 23:03:40.834</v>
      </c>
      <c r="H1352" s="3" t="s">
        <v>22</v>
      </c>
      <c r="I1352" s="3">
        <v>8.81</v>
      </c>
      <c r="J1352" s="3" t="s">
        <v>30</v>
      </c>
    </row>
    <row r="1353" spans="1:10" s="3" customFormat="1" x14ac:dyDescent="0.25">
      <c r="A1353" s="2">
        <v>389</v>
      </c>
      <c r="B1353" s="3" t="s">
        <v>26</v>
      </c>
      <c r="C1353" s="3">
        <v>647</v>
      </c>
      <c r="D1353" s="3">
        <v>1</v>
      </c>
      <c r="E1353" s="3" t="s">
        <v>27</v>
      </c>
      <c r="F1353" s="3" t="s">
        <v>28</v>
      </c>
      <c r="G1353" s="3" t="str">
        <f>"2025-08-07 19:26:43.134"</f>
        <v>2025-08-07 19:26:43.134</v>
      </c>
      <c r="H1353" s="3" t="s">
        <v>22</v>
      </c>
    </row>
    <row r="1354" spans="1:10" s="3" customFormat="1" x14ac:dyDescent="0.25">
      <c r="A1354" s="2">
        <v>390</v>
      </c>
      <c r="B1354" s="3" t="s">
        <v>29</v>
      </c>
      <c r="C1354" s="3">
        <v>647</v>
      </c>
      <c r="D1354" s="3">
        <v>1</v>
      </c>
      <c r="E1354" s="3" t="s">
        <v>27</v>
      </c>
      <c r="F1354" s="3" t="s">
        <v>28</v>
      </c>
      <c r="G1354" s="3" t="str">
        <f>"2025-08-07 19:26:39.834"</f>
        <v>2025-08-07 19:26:39.834</v>
      </c>
      <c r="H1354" s="3" t="s">
        <v>22</v>
      </c>
      <c r="I1354" s="3">
        <v>18.8</v>
      </c>
      <c r="J1354" s="3" t="s">
        <v>30</v>
      </c>
    </row>
    <row r="1355" spans="1:10" s="3" customFormat="1" x14ac:dyDescent="0.25">
      <c r="A1355" s="2">
        <v>391</v>
      </c>
      <c r="B1355" s="3" t="s">
        <v>26</v>
      </c>
      <c r="C1355" s="3">
        <v>647</v>
      </c>
      <c r="D1355" s="3">
        <v>1</v>
      </c>
      <c r="E1355" s="3" t="s">
        <v>27</v>
      </c>
      <c r="F1355" s="3" t="s">
        <v>28</v>
      </c>
      <c r="G1355" s="3" t="str">
        <f>"2025-08-07 16:35:03.234"</f>
        <v>2025-08-07 16:35:03.234</v>
      </c>
      <c r="H1355" s="3" t="s">
        <v>22</v>
      </c>
    </row>
    <row r="1356" spans="1:10" s="3" customFormat="1" x14ac:dyDescent="0.25">
      <c r="A1356" s="2">
        <v>392</v>
      </c>
      <c r="B1356" s="3" t="s">
        <v>29</v>
      </c>
      <c r="C1356" s="3">
        <v>647</v>
      </c>
      <c r="D1356" s="3">
        <v>1</v>
      </c>
      <c r="E1356" s="3" t="s">
        <v>27</v>
      </c>
      <c r="F1356" s="3" t="s">
        <v>28</v>
      </c>
      <c r="G1356" s="3" t="str">
        <f>"2025-08-07 16:35:00.934"</f>
        <v>2025-08-07 16:35:00.934</v>
      </c>
      <c r="H1356" s="3" t="s">
        <v>22</v>
      </c>
      <c r="I1356" s="3">
        <v>14.28</v>
      </c>
      <c r="J1356" s="3" t="s">
        <v>30</v>
      </c>
    </row>
    <row r="1357" spans="1:10" s="3" customFormat="1" x14ac:dyDescent="0.25">
      <c r="A1357" s="2">
        <v>393</v>
      </c>
      <c r="B1357" s="3" t="s">
        <v>26</v>
      </c>
      <c r="C1357" s="3">
        <v>647</v>
      </c>
      <c r="D1357" s="3">
        <v>1</v>
      </c>
      <c r="E1357" s="3" t="s">
        <v>27</v>
      </c>
      <c r="F1357" s="3" t="s">
        <v>28</v>
      </c>
      <c r="G1357" s="3" t="str">
        <f>"2025-08-07 09:38:55.234"</f>
        <v>2025-08-07 09:38:55.234</v>
      </c>
      <c r="H1357" s="3" t="s">
        <v>22</v>
      </c>
    </row>
    <row r="1358" spans="1:10" s="3" customFormat="1" x14ac:dyDescent="0.25">
      <c r="A1358" s="2">
        <v>394</v>
      </c>
      <c r="B1358" s="3" t="s">
        <v>29</v>
      </c>
      <c r="C1358" s="3">
        <v>647</v>
      </c>
      <c r="D1358" s="3">
        <v>1</v>
      </c>
      <c r="E1358" s="3" t="s">
        <v>27</v>
      </c>
      <c r="F1358" s="3" t="s">
        <v>28</v>
      </c>
      <c r="G1358" s="3" t="str">
        <f>"2025-08-07 09:38:53.334"</f>
        <v>2025-08-07 09:38:53.334</v>
      </c>
      <c r="H1358" s="3" t="s">
        <v>22</v>
      </c>
      <c r="I1358" s="3">
        <v>15</v>
      </c>
      <c r="J1358" s="3" t="s">
        <v>30</v>
      </c>
    </row>
    <row r="1359" spans="1:10" x14ac:dyDescent="0.25">
      <c r="A1359" s="1">
        <v>395</v>
      </c>
      <c r="B1359" t="s">
        <v>26</v>
      </c>
      <c r="C1359">
        <v>635</v>
      </c>
      <c r="D1359">
        <v>1</v>
      </c>
      <c r="E1359" t="s">
        <v>31</v>
      </c>
      <c r="F1359" t="s">
        <v>32</v>
      </c>
      <c r="G1359" t="str">
        <f>"2025-08-06 21:56:59.734"</f>
        <v>2025-08-06 21:56:59.734</v>
      </c>
      <c r="H1359" t="s">
        <v>22</v>
      </c>
    </row>
    <row r="1360" spans="1:10" x14ac:dyDescent="0.25">
      <c r="A1360" s="1">
        <v>396</v>
      </c>
      <c r="B1360" t="s">
        <v>29</v>
      </c>
      <c r="C1360">
        <v>635</v>
      </c>
      <c r="D1360">
        <v>1</v>
      </c>
      <c r="E1360" t="s">
        <v>31</v>
      </c>
      <c r="F1360" t="s">
        <v>32</v>
      </c>
      <c r="G1360" t="str">
        <f>"2025-08-06 21:53:15.334"</f>
        <v>2025-08-06 21:53:15.334</v>
      </c>
      <c r="H1360" t="s">
        <v>22</v>
      </c>
      <c r="I1360">
        <v>3.79</v>
      </c>
      <c r="J1360" t="s">
        <v>30</v>
      </c>
    </row>
    <row r="1361" spans="1:10" x14ac:dyDescent="0.25">
      <c r="A1361" s="1">
        <v>397</v>
      </c>
      <c r="B1361" t="s">
        <v>19</v>
      </c>
      <c r="C1361">
        <v>700</v>
      </c>
      <c r="D1361">
        <v>0</v>
      </c>
      <c r="E1361" t="s">
        <v>24</v>
      </c>
      <c r="F1361" t="s">
        <v>24</v>
      </c>
      <c r="G1361" t="str">
        <f>"2025-08-06 21:39:09.857"</f>
        <v>2025-08-06 21:39:09.857</v>
      </c>
      <c r="H1361" t="s">
        <v>22</v>
      </c>
      <c r="I1361">
        <v>0</v>
      </c>
      <c r="J1361" t="s">
        <v>34</v>
      </c>
    </row>
    <row r="1362" spans="1:10" x14ac:dyDescent="0.25">
      <c r="A1362" s="1">
        <v>398</v>
      </c>
      <c r="B1362" t="s">
        <v>26</v>
      </c>
      <c r="C1362">
        <v>630</v>
      </c>
      <c r="D1362">
        <v>5</v>
      </c>
      <c r="E1362" t="s">
        <v>76</v>
      </c>
      <c r="F1362" t="s">
        <v>77</v>
      </c>
      <c r="G1362" t="str">
        <f>"2025-08-06 09:52:12.549"</f>
        <v>2025-08-06 09:52:12.549</v>
      </c>
      <c r="H1362" t="s">
        <v>78</v>
      </c>
    </row>
    <row r="1363" spans="1:10" x14ac:dyDescent="0.25">
      <c r="A1363" s="1">
        <v>399</v>
      </c>
      <c r="B1363" t="s">
        <v>19</v>
      </c>
      <c r="C1363">
        <v>706</v>
      </c>
      <c r="D1363">
        <v>2</v>
      </c>
      <c r="E1363" t="s">
        <v>20</v>
      </c>
      <c r="F1363" t="s">
        <v>25</v>
      </c>
      <c r="G1363" t="str">
        <f>"2025-08-06 09:51:42.458"</f>
        <v>2025-08-06 09:51:42.458</v>
      </c>
      <c r="H1363" t="s">
        <v>22</v>
      </c>
      <c r="I1363">
        <v>0</v>
      </c>
      <c r="J1363" t="s">
        <v>23</v>
      </c>
    </row>
    <row r="1364" spans="1:10" x14ac:dyDescent="0.25">
      <c r="A1364" s="1">
        <v>400</v>
      </c>
      <c r="B1364" t="s">
        <v>39</v>
      </c>
      <c r="C1364">
        <v>630</v>
      </c>
      <c r="D1364">
        <v>5</v>
      </c>
      <c r="E1364" t="s">
        <v>76</v>
      </c>
      <c r="F1364" t="s">
        <v>77</v>
      </c>
      <c r="G1364" t="str">
        <f>"2025-08-06 09:44:41.749"</f>
        <v>2025-08-06 09:44:41.749</v>
      </c>
      <c r="H1364" t="s">
        <v>78</v>
      </c>
      <c r="I1364">
        <v>0</v>
      </c>
      <c r="J1364" t="s">
        <v>23</v>
      </c>
    </row>
    <row r="1365" spans="1:10" x14ac:dyDescent="0.25">
      <c r="A1365" s="1">
        <v>401</v>
      </c>
      <c r="B1365" t="s">
        <v>26</v>
      </c>
      <c r="C1365">
        <v>630</v>
      </c>
      <c r="D1365">
        <v>5</v>
      </c>
      <c r="E1365" t="s">
        <v>76</v>
      </c>
      <c r="F1365" t="s">
        <v>77</v>
      </c>
      <c r="G1365" t="str">
        <f>"2025-08-05 10:54:21.049"</f>
        <v>2025-08-05 10:54:21.049</v>
      </c>
      <c r="H1365" t="s">
        <v>78</v>
      </c>
    </row>
    <row r="1366" spans="1:10" x14ac:dyDescent="0.25">
      <c r="A1366" s="1">
        <v>402</v>
      </c>
      <c r="B1366" t="s">
        <v>19</v>
      </c>
      <c r="C1366">
        <v>706</v>
      </c>
      <c r="D1366">
        <v>4</v>
      </c>
      <c r="E1366" t="s">
        <v>20</v>
      </c>
      <c r="F1366" t="s">
        <v>21</v>
      </c>
      <c r="G1366" t="str">
        <f>"2025-08-05 10:53:51.038"</f>
        <v>2025-08-05 10:53:51.038</v>
      </c>
      <c r="H1366" t="s">
        <v>22</v>
      </c>
      <c r="I1366">
        <v>0</v>
      </c>
      <c r="J1366" t="s">
        <v>23</v>
      </c>
    </row>
    <row r="1367" spans="1:10" x14ac:dyDescent="0.25">
      <c r="A1367" s="1">
        <v>403</v>
      </c>
      <c r="B1367" t="s">
        <v>19</v>
      </c>
      <c r="C1367">
        <v>706</v>
      </c>
      <c r="D1367">
        <v>4</v>
      </c>
      <c r="E1367" t="s">
        <v>20</v>
      </c>
      <c r="F1367" t="s">
        <v>21</v>
      </c>
      <c r="G1367" t="str">
        <f>"2025-08-05 10:53:21.638"</f>
        <v>2025-08-05 10:53:21.638</v>
      </c>
      <c r="H1367" t="s">
        <v>22</v>
      </c>
      <c r="I1367">
        <v>0</v>
      </c>
      <c r="J1367" t="s">
        <v>23</v>
      </c>
    </row>
    <row r="1368" spans="1:10" x14ac:dyDescent="0.25">
      <c r="A1368" s="1">
        <v>404</v>
      </c>
      <c r="B1368" t="s">
        <v>39</v>
      </c>
      <c r="C1368">
        <v>630</v>
      </c>
      <c r="D1368">
        <v>5</v>
      </c>
      <c r="E1368" t="s">
        <v>76</v>
      </c>
      <c r="F1368" t="s">
        <v>77</v>
      </c>
      <c r="G1368" t="str">
        <f>"2025-08-05 10:46:48.549"</f>
        <v>2025-08-05 10:46:48.549</v>
      </c>
      <c r="H1368" t="s">
        <v>78</v>
      </c>
      <c r="I1368">
        <v>0</v>
      </c>
      <c r="J1368" t="s">
        <v>23</v>
      </c>
    </row>
    <row r="1369" spans="1:10" x14ac:dyDescent="0.25">
      <c r="A1369" s="1">
        <v>405</v>
      </c>
      <c r="B1369" t="s">
        <v>26</v>
      </c>
      <c r="C1369">
        <v>630</v>
      </c>
      <c r="D1369">
        <v>5</v>
      </c>
      <c r="E1369" t="s">
        <v>76</v>
      </c>
      <c r="F1369" t="s">
        <v>77</v>
      </c>
      <c r="G1369" t="str">
        <f>"2025-08-04 17:39:09.849"</f>
        <v>2025-08-04 17:39:09.849</v>
      </c>
      <c r="H1369" t="s">
        <v>78</v>
      </c>
    </row>
    <row r="1370" spans="1:10" x14ac:dyDescent="0.25">
      <c r="A1370" s="1">
        <v>406</v>
      </c>
      <c r="B1370" t="s">
        <v>19</v>
      </c>
      <c r="C1370">
        <v>706</v>
      </c>
      <c r="D1370">
        <v>4</v>
      </c>
      <c r="E1370" t="s">
        <v>20</v>
      </c>
      <c r="F1370" t="s">
        <v>21</v>
      </c>
      <c r="G1370" t="str">
        <f>"2025-08-04 17:38:39.858"</f>
        <v>2025-08-04 17:38:39.858</v>
      </c>
      <c r="H1370" t="s">
        <v>22</v>
      </c>
      <c r="I1370">
        <v>0</v>
      </c>
      <c r="J1370" t="s">
        <v>23</v>
      </c>
    </row>
    <row r="1371" spans="1:10" x14ac:dyDescent="0.25">
      <c r="A1371" s="1">
        <v>407</v>
      </c>
      <c r="B1371" t="s">
        <v>39</v>
      </c>
      <c r="C1371">
        <v>630</v>
      </c>
      <c r="D1371">
        <v>5</v>
      </c>
      <c r="E1371" t="s">
        <v>76</v>
      </c>
      <c r="F1371" t="s">
        <v>77</v>
      </c>
      <c r="G1371" t="str">
        <f>"2025-08-04 17:14:43.449"</f>
        <v>2025-08-04 17:14:43.449</v>
      </c>
      <c r="H1371" t="s">
        <v>78</v>
      </c>
      <c r="I1371">
        <v>0</v>
      </c>
      <c r="J1371" t="s">
        <v>23</v>
      </c>
    </row>
    <row r="1372" spans="1:10" s="3" customFormat="1" x14ac:dyDescent="0.25">
      <c r="A1372" s="2">
        <v>408</v>
      </c>
      <c r="B1372" s="3" t="s">
        <v>26</v>
      </c>
      <c r="C1372" s="3">
        <v>647</v>
      </c>
      <c r="D1372" s="3">
        <v>1</v>
      </c>
      <c r="E1372" s="3" t="s">
        <v>27</v>
      </c>
      <c r="F1372" s="3" t="s">
        <v>28</v>
      </c>
      <c r="G1372" s="3" t="str">
        <f>"2025-08-04 01:59:11.549"</f>
        <v>2025-08-04 01:59:11.549</v>
      </c>
      <c r="H1372" s="3" t="s">
        <v>22</v>
      </c>
    </row>
    <row r="1373" spans="1:10" s="3" customFormat="1" x14ac:dyDescent="0.25">
      <c r="A1373" s="2">
        <v>409</v>
      </c>
      <c r="B1373" s="3" t="s">
        <v>29</v>
      </c>
      <c r="C1373" s="3">
        <v>647</v>
      </c>
      <c r="D1373" s="3">
        <v>1</v>
      </c>
      <c r="E1373" s="3" t="s">
        <v>27</v>
      </c>
      <c r="F1373" s="3" t="s">
        <v>28</v>
      </c>
      <c r="G1373" s="3" t="str">
        <f>"2025-08-04 01:59:09.449"</f>
        <v>2025-08-04 01:59:09.449</v>
      </c>
      <c r="H1373" s="3" t="s">
        <v>22</v>
      </c>
      <c r="I1373" s="3">
        <v>11.57</v>
      </c>
      <c r="J1373" s="3" t="s">
        <v>30</v>
      </c>
    </row>
    <row r="1374" spans="1:10" x14ac:dyDescent="0.25">
      <c r="A1374" s="1">
        <v>410</v>
      </c>
      <c r="B1374" t="s">
        <v>19</v>
      </c>
      <c r="C1374">
        <v>706</v>
      </c>
      <c r="D1374">
        <v>4</v>
      </c>
      <c r="E1374" t="s">
        <v>20</v>
      </c>
      <c r="F1374" t="s">
        <v>21</v>
      </c>
      <c r="G1374" t="str">
        <f>"2025-08-03 13:25:43.348"</f>
        <v>2025-08-03 13:25:43.348</v>
      </c>
      <c r="H1374" t="s">
        <v>22</v>
      </c>
      <c r="I1374">
        <v>0</v>
      </c>
      <c r="J1374" t="s">
        <v>23</v>
      </c>
    </row>
    <row r="1375" spans="1:10" x14ac:dyDescent="0.25">
      <c r="A1375" s="1">
        <v>411</v>
      </c>
      <c r="B1375" t="s">
        <v>26</v>
      </c>
      <c r="C1375">
        <v>630</v>
      </c>
      <c r="D1375">
        <v>5</v>
      </c>
      <c r="E1375" t="s">
        <v>76</v>
      </c>
      <c r="F1375" t="s">
        <v>77</v>
      </c>
      <c r="G1375" t="str">
        <f>"2025-08-03 13:17:14.649"</f>
        <v>2025-08-03 13:17:14.649</v>
      </c>
      <c r="H1375" t="s">
        <v>78</v>
      </c>
    </row>
    <row r="1376" spans="1:10" x14ac:dyDescent="0.25">
      <c r="A1376" s="1">
        <v>412</v>
      </c>
      <c r="B1376" t="s">
        <v>39</v>
      </c>
      <c r="C1376">
        <v>630</v>
      </c>
      <c r="D1376">
        <v>5</v>
      </c>
      <c r="E1376" t="s">
        <v>76</v>
      </c>
      <c r="F1376" t="s">
        <v>77</v>
      </c>
      <c r="G1376" t="str">
        <f>"2025-08-03 13:08:51.249"</f>
        <v>2025-08-03 13:08:51.249</v>
      </c>
      <c r="H1376" t="s">
        <v>78</v>
      </c>
      <c r="I1376">
        <v>0</v>
      </c>
      <c r="J1376" t="s">
        <v>23</v>
      </c>
    </row>
    <row r="1377" spans="1:10" x14ac:dyDescent="0.25">
      <c r="A1377" s="1">
        <v>413</v>
      </c>
      <c r="B1377" t="s">
        <v>19</v>
      </c>
      <c r="C1377">
        <v>700</v>
      </c>
      <c r="D1377">
        <v>0</v>
      </c>
      <c r="E1377" t="s">
        <v>24</v>
      </c>
      <c r="F1377" t="s">
        <v>24</v>
      </c>
      <c r="G1377" t="str">
        <f>"2025-08-03 08:15:05.848"</f>
        <v>2025-08-03 08:15:05.848</v>
      </c>
      <c r="H1377" t="s">
        <v>22</v>
      </c>
    </row>
    <row r="1378" spans="1:10" x14ac:dyDescent="0.25">
      <c r="A1378" s="1">
        <v>414</v>
      </c>
      <c r="B1378" t="s">
        <v>19</v>
      </c>
      <c r="C1378">
        <v>700</v>
      </c>
      <c r="D1378">
        <v>0</v>
      </c>
      <c r="E1378" t="s">
        <v>24</v>
      </c>
      <c r="F1378" t="s">
        <v>24</v>
      </c>
      <c r="G1378" t="str">
        <f>"2025-08-03 02:52:20.834"</f>
        <v>2025-08-03 02:52:20.834</v>
      </c>
      <c r="H1378" t="s">
        <v>22</v>
      </c>
    </row>
    <row r="1379" spans="1:10" x14ac:dyDescent="0.25">
      <c r="A1379" s="1">
        <v>415</v>
      </c>
      <c r="B1379" t="s">
        <v>19</v>
      </c>
      <c r="C1379">
        <v>700</v>
      </c>
      <c r="D1379">
        <v>0</v>
      </c>
      <c r="E1379" t="s">
        <v>24</v>
      </c>
      <c r="F1379" t="s">
        <v>24</v>
      </c>
      <c r="G1379" t="str">
        <f>"2025-08-03 02:04:27.831"</f>
        <v>2025-08-03 02:04:27.831</v>
      </c>
      <c r="H1379" t="s">
        <v>22</v>
      </c>
      <c r="I1379">
        <v>0</v>
      </c>
      <c r="J1379" t="s">
        <v>34</v>
      </c>
    </row>
    <row r="1380" spans="1:10" x14ac:dyDescent="0.25">
      <c r="A1380" s="1">
        <v>416</v>
      </c>
      <c r="B1380" t="s">
        <v>19</v>
      </c>
      <c r="C1380">
        <v>706</v>
      </c>
      <c r="D1380">
        <v>4</v>
      </c>
      <c r="E1380" t="s">
        <v>20</v>
      </c>
      <c r="F1380" t="s">
        <v>21</v>
      </c>
      <c r="G1380" t="str">
        <f>"2025-08-03 01:40:34.783"</f>
        <v>2025-08-03 01:40:34.783</v>
      </c>
      <c r="H1380" t="s">
        <v>22</v>
      </c>
      <c r="I1380">
        <v>0</v>
      </c>
      <c r="J1380" t="s">
        <v>23</v>
      </c>
    </row>
    <row r="1381" spans="1:10" x14ac:dyDescent="0.25">
      <c r="A1381" s="1">
        <v>417</v>
      </c>
      <c r="B1381" t="s">
        <v>19</v>
      </c>
      <c r="C1381">
        <v>700</v>
      </c>
      <c r="D1381">
        <v>0</v>
      </c>
      <c r="E1381" t="s">
        <v>24</v>
      </c>
      <c r="F1381" t="s">
        <v>24</v>
      </c>
      <c r="G1381" t="str">
        <f>"2025-08-03 01:19:09.923"</f>
        <v>2025-08-03 01:19:09.923</v>
      </c>
      <c r="H1381" t="s">
        <v>22</v>
      </c>
    </row>
    <row r="1382" spans="1:10" x14ac:dyDescent="0.25">
      <c r="A1382" s="1">
        <v>418</v>
      </c>
      <c r="B1382" t="s">
        <v>39</v>
      </c>
      <c r="C1382">
        <v>630</v>
      </c>
      <c r="D1382">
        <v>5</v>
      </c>
      <c r="E1382" t="s">
        <v>76</v>
      </c>
      <c r="F1382" t="s">
        <v>77</v>
      </c>
      <c r="G1382" t="str">
        <f>"2025-08-03 00:36:23.476"</f>
        <v>2025-08-03 00:36:23.476</v>
      </c>
      <c r="H1382" t="s">
        <v>78</v>
      </c>
      <c r="I1382">
        <v>0</v>
      </c>
      <c r="J1382" t="s">
        <v>23</v>
      </c>
    </row>
    <row r="1383" spans="1:10" x14ac:dyDescent="0.25">
      <c r="A1383" s="1">
        <v>419</v>
      </c>
      <c r="B1383" t="s">
        <v>26</v>
      </c>
      <c r="C1383">
        <v>630</v>
      </c>
      <c r="D1383">
        <v>5</v>
      </c>
      <c r="E1383" t="s">
        <v>76</v>
      </c>
      <c r="F1383" t="s">
        <v>77</v>
      </c>
      <c r="G1383" t="str">
        <f>"2025-08-02 15:50:11.776"</f>
        <v>2025-08-02 15:50:11.776</v>
      </c>
      <c r="H1383" t="s">
        <v>78</v>
      </c>
    </row>
    <row r="1384" spans="1:10" x14ac:dyDescent="0.25">
      <c r="A1384" s="1">
        <v>420</v>
      </c>
      <c r="B1384" t="s">
        <v>19</v>
      </c>
      <c r="C1384">
        <v>706</v>
      </c>
      <c r="D1384">
        <v>2</v>
      </c>
      <c r="E1384" t="s">
        <v>20</v>
      </c>
      <c r="F1384" t="s">
        <v>25</v>
      </c>
      <c r="G1384" t="str">
        <f>"2025-08-02 15:49:41.790"</f>
        <v>2025-08-02 15:49:41.790</v>
      </c>
      <c r="H1384" t="s">
        <v>22</v>
      </c>
      <c r="I1384">
        <v>0</v>
      </c>
      <c r="J1384" t="s">
        <v>23</v>
      </c>
    </row>
    <row r="1385" spans="1:10" x14ac:dyDescent="0.25">
      <c r="A1385" s="1">
        <v>421</v>
      </c>
      <c r="B1385" t="s">
        <v>39</v>
      </c>
      <c r="C1385">
        <v>630</v>
      </c>
      <c r="D1385">
        <v>5</v>
      </c>
      <c r="E1385" t="s">
        <v>76</v>
      </c>
      <c r="F1385" t="s">
        <v>77</v>
      </c>
      <c r="G1385" t="str">
        <f>"2025-08-02 15:43:19.576"</f>
        <v>2025-08-02 15:43:19.576</v>
      </c>
      <c r="H1385" t="s">
        <v>78</v>
      </c>
      <c r="I1385">
        <v>0</v>
      </c>
      <c r="J1385" t="s">
        <v>23</v>
      </c>
    </row>
    <row r="1386" spans="1:10" x14ac:dyDescent="0.25">
      <c r="A1386" s="1">
        <v>422</v>
      </c>
      <c r="B1386" t="s">
        <v>26</v>
      </c>
      <c r="C1386">
        <v>630</v>
      </c>
      <c r="D1386">
        <v>5</v>
      </c>
      <c r="E1386" t="s">
        <v>76</v>
      </c>
      <c r="F1386" t="s">
        <v>77</v>
      </c>
      <c r="G1386" t="str">
        <f>"2025-08-01 10:58:42.676"</f>
        <v>2025-08-01 10:58:42.676</v>
      </c>
      <c r="H1386" t="s">
        <v>78</v>
      </c>
    </row>
    <row r="1387" spans="1:10" x14ac:dyDescent="0.25">
      <c r="A1387" s="1">
        <v>423</v>
      </c>
      <c r="B1387" t="s">
        <v>19</v>
      </c>
      <c r="C1387">
        <v>706</v>
      </c>
      <c r="D1387">
        <v>4</v>
      </c>
      <c r="E1387" t="s">
        <v>20</v>
      </c>
      <c r="F1387" t="s">
        <v>21</v>
      </c>
      <c r="G1387" t="str">
        <f>"2025-08-01 10:58:12.690"</f>
        <v>2025-08-01 10:58:12.690</v>
      </c>
      <c r="H1387" t="s">
        <v>22</v>
      </c>
      <c r="I1387">
        <v>0</v>
      </c>
      <c r="J1387" t="s">
        <v>23</v>
      </c>
    </row>
    <row r="1388" spans="1:10" x14ac:dyDescent="0.25">
      <c r="A1388" s="1">
        <v>424</v>
      </c>
      <c r="B1388" t="s">
        <v>39</v>
      </c>
      <c r="C1388">
        <v>630</v>
      </c>
      <c r="D1388">
        <v>5</v>
      </c>
      <c r="E1388" t="s">
        <v>76</v>
      </c>
      <c r="F1388" t="s">
        <v>77</v>
      </c>
      <c r="G1388" t="str">
        <f>"2025-08-01 10:53:45.276"</f>
        <v>2025-08-01 10:53:45.276</v>
      </c>
      <c r="H1388" t="s">
        <v>78</v>
      </c>
      <c r="I1388">
        <v>0</v>
      </c>
      <c r="J1388" t="s">
        <v>23</v>
      </c>
    </row>
    <row r="1389" spans="1:10" x14ac:dyDescent="0.25">
      <c r="A1389" s="1">
        <v>425</v>
      </c>
      <c r="B1389" t="s">
        <v>26</v>
      </c>
      <c r="C1389">
        <v>635</v>
      </c>
      <c r="D1389">
        <v>1</v>
      </c>
      <c r="E1389" t="s">
        <v>31</v>
      </c>
      <c r="F1389" t="s">
        <v>32</v>
      </c>
      <c r="G1389" t="str">
        <f>"2025-08-01 06:23:04.422"</f>
        <v>2025-08-01 06:23:04.422</v>
      </c>
      <c r="H1389" t="s">
        <v>22</v>
      </c>
    </row>
    <row r="1390" spans="1:10" x14ac:dyDescent="0.25">
      <c r="A1390" s="1">
        <v>426</v>
      </c>
      <c r="B1390" t="s">
        <v>29</v>
      </c>
      <c r="C1390">
        <v>635</v>
      </c>
      <c r="D1390">
        <v>1</v>
      </c>
      <c r="E1390" t="s">
        <v>31</v>
      </c>
      <c r="F1390" t="s">
        <v>32</v>
      </c>
      <c r="G1390" t="str">
        <f>"2025-08-01 06:19:47.422"</f>
        <v>2025-08-01 06:19:47.422</v>
      </c>
      <c r="H1390" t="s">
        <v>22</v>
      </c>
      <c r="I1390">
        <v>2.4500000000000002</v>
      </c>
      <c r="J1390" t="s">
        <v>52</v>
      </c>
    </row>
    <row r="1391" spans="1:10" x14ac:dyDescent="0.25">
      <c r="A1391" s="1">
        <v>427</v>
      </c>
      <c r="B1391" t="s">
        <v>26</v>
      </c>
      <c r="C1391">
        <v>630</v>
      </c>
      <c r="D1391">
        <v>5</v>
      </c>
      <c r="E1391" t="s">
        <v>76</v>
      </c>
      <c r="F1391" t="s">
        <v>77</v>
      </c>
      <c r="G1391" t="str">
        <f>"2025-07-31 11:20:22.476"</f>
        <v>2025-07-31 11:20:22.476</v>
      </c>
      <c r="H1391" t="s">
        <v>78</v>
      </c>
    </row>
    <row r="1392" spans="1:10" x14ac:dyDescent="0.25">
      <c r="A1392" s="1">
        <v>428</v>
      </c>
      <c r="B1392" t="s">
        <v>19</v>
      </c>
      <c r="C1392">
        <v>706</v>
      </c>
      <c r="D1392">
        <v>2</v>
      </c>
      <c r="E1392" t="s">
        <v>20</v>
      </c>
      <c r="F1392" t="s">
        <v>25</v>
      </c>
      <c r="G1392" t="str">
        <f>"2025-07-31 11:19:52.490"</f>
        <v>2025-07-31 11:19:52.490</v>
      </c>
      <c r="H1392" t="s">
        <v>22</v>
      </c>
      <c r="I1392">
        <v>0</v>
      </c>
      <c r="J1392" t="s">
        <v>23</v>
      </c>
    </row>
    <row r="1393" spans="1:10" x14ac:dyDescent="0.25">
      <c r="A1393" s="1">
        <v>429</v>
      </c>
      <c r="B1393" t="s">
        <v>39</v>
      </c>
      <c r="C1393">
        <v>630</v>
      </c>
      <c r="D1393">
        <v>5</v>
      </c>
      <c r="E1393" t="s">
        <v>76</v>
      </c>
      <c r="F1393" t="s">
        <v>77</v>
      </c>
      <c r="G1393" t="str">
        <f>"2025-07-31 11:15:07.876"</f>
        <v>2025-07-31 11:15:07.876</v>
      </c>
      <c r="H1393" t="s">
        <v>78</v>
      </c>
      <c r="I1393">
        <v>0</v>
      </c>
      <c r="J1393" t="s">
        <v>23</v>
      </c>
    </row>
    <row r="1394" spans="1:10" x14ac:dyDescent="0.25">
      <c r="A1394" s="1">
        <v>430</v>
      </c>
      <c r="B1394" t="s">
        <v>26</v>
      </c>
      <c r="C1394">
        <v>630</v>
      </c>
      <c r="D1394">
        <v>5</v>
      </c>
      <c r="E1394" t="s">
        <v>76</v>
      </c>
      <c r="F1394" t="s">
        <v>77</v>
      </c>
      <c r="G1394" t="str">
        <f>"2025-07-30 14:38:04.676"</f>
        <v>2025-07-30 14:38:04.676</v>
      </c>
      <c r="H1394" t="s">
        <v>78</v>
      </c>
    </row>
    <row r="1395" spans="1:10" x14ac:dyDescent="0.25">
      <c r="A1395" s="1">
        <v>431</v>
      </c>
      <c r="B1395" t="s">
        <v>19</v>
      </c>
      <c r="C1395">
        <v>706</v>
      </c>
      <c r="D1395">
        <v>4</v>
      </c>
      <c r="E1395" t="s">
        <v>20</v>
      </c>
      <c r="F1395" t="s">
        <v>21</v>
      </c>
      <c r="G1395" t="str">
        <f>"2025-07-30 14:37:34.610"</f>
        <v>2025-07-30 14:37:34.610</v>
      </c>
      <c r="H1395" t="s">
        <v>22</v>
      </c>
      <c r="I1395">
        <v>0</v>
      </c>
      <c r="J1395" t="s">
        <v>23</v>
      </c>
    </row>
    <row r="1396" spans="1:10" x14ac:dyDescent="0.25">
      <c r="A1396" s="1">
        <v>432</v>
      </c>
      <c r="B1396" t="s">
        <v>39</v>
      </c>
      <c r="C1396">
        <v>630</v>
      </c>
      <c r="D1396">
        <v>5</v>
      </c>
      <c r="E1396" t="s">
        <v>76</v>
      </c>
      <c r="F1396" t="s">
        <v>77</v>
      </c>
      <c r="G1396" t="str">
        <f>"2025-07-30 14:18:36.976"</f>
        <v>2025-07-30 14:18:36.976</v>
      </c>
      <c r="H1396" t="s">
        <v>78</v>
      </c>
      <c r="I1396">
        <v>0</v>
      </c>
      <c r="J1396" t="s">
        <v>23</v>
      </c>
    </row>
    <row r="1397" spans="1:10" x14ac:dyDescent="0.25">
      <c r="A1397" s="1">
        <v>433</v>
      </c>
      <c r="B1397" t="s">
        <v>26</v>
      </c>
      <c r="C1397">
        <v>630</v>
      </c>
      <c r="D1397">
        <v>5</v>
      </c>
      <c r="E1397" t="s">
        <v>76</v>
      </c>
      <c r="F1397" t="s">
        <v>77</v>
      </c>
      <c r="G1397" t="str">
        <f>"2025-07-30 11:46:44.176"</f>
        <v>2025-07-30 11:46:44.176</v>
      </c>
      <c r="H1397" t="s">
        <v>78</v>
      </c>
    </row>
    <row r="1398" spans="1:10" x14ac:dyDescent="0.25">
      <c r="A1398" s="1">
        <v>434</v>
      </c>
      <c r="B1398" t="s">
        <v>19</v>
      </c>
      <c r="C1398">
        <v>706</v>
      </c>
      <c r="D1398">
        <v>4</v>
      </c>
      <c r="E1398" t="s">
        <v>20</v>
      </c>
      <c r="F1398" t="s">
        <v>21</v>
      </c>
      <c r="G1398" t="str">
        <f>"2025-07-30 11:46:14.140"</f>
        <v>2025-07-30 11:46:14.140</v>
      </c>
      <c r="H1398" t="s">
        <v>22</v>
      </c>
      <c r="I1398">
        <v>0</v>
      </c>
      <c r="J1398" t="s">
        <v>23</v>
      </c>
    </row>
    <row r="1399" spans="1:10" x14ac:dyDescent="0.25">
      <c r="A1399" s="1">
        <v>435</v>
      </c>
      <c r="B1399" t="s">
        <v>39</v>
      </c>
      <c r="C1399">
        <v>630</v>
      </c>
      <c r="D1399">
        <v>5</v>
      </c>
      <c r="E1399" t="s">
        <v>76</v>
      </c>
      <c r="F1399" t="s">
        <v>77</v>
      </c>
      <c r="G1399" t="str">
        <f>"2025-07-30 11:38:25.576"</f>
        <v>2025-07-30 11:38:25.576</v>
      </c>
      <c r="H1399" t="s">
        <v>78</v>
      </c>
      <c r="I1399">
        <v>0</v>
      </c>
      <c r="J1399" t="s">
        <v>23</v>
      </c>
    </row>
    <row r="1400" spans="1:10" x14ac:dyDescent="0.25">
      <c r="A1400" s="1">
        <v>436</v>
      </c>
      <c r="B1400" t="s">
        <v>19</v>
      </c>
      <c r="C1400">
        <v>700</v>
      </c>
      <c r="D1400">
        <v>0</v>
      </c>
      <c r="E1400" t="s">
        <v>24</v>
      </c>
      <c r="F1400" t="s">
        <v>24</v>
      </c>
      <c r="G1400" t="str">
        <f>"2025-07-30 07:37:30.860"</f>
        <v>2025-07-30 07:37:30.860</v>
      </c>
      <c r="H1400" t="s">
        <v>22</v>
      </c>
    </row>
    <row r="1401" spans="1:10" x14ac:dyDescent="0.25">
      <c r="A1401" s="1">
        <v>437</v>
      </c>
      <c r="B1401" t="s">
        <v>26</v>
      </c>
      <c r="C1401">
        <v>630</v>
      </c>
      <c r="D1401">
        <v>5</v>
      </c>
      <c r="E1401" t="s">
        <v>76</v>
      </c>
      <c r="F1401" t="s">
        <v>77</v>
      </c>
      <c r="G1401" t="str">
        <f>"2025-07-29 11:06:54.133"</f>
        <v>2025-07-29 11:06:54.133</v>
      </c>
      <c r="H1401" t="s">
        <v>78</v>
      </c>
    </row>
    <row r="1402" spans="1:10" x14ac:dyDescent="0.25">
      <c r="A1402" s="1">
        <v>438</v>
      </c>
      <c r="B1402" t="s">
        <v>19</v>
      </c>
      <c r="C1402">
        <v>706</v>
      </c>
      <c r="D1402">
        <v>4</v>
      </c>
      <c r="E1402" t="s">
        <v>20</v>
      </c>
      <c r="F1402" t="s">
        <v>21</v>
      </c>
      <c r="G1402" t="str">
        <f>"2025-07-29 11:06:24.015"</f>
        <v>2025-07-29 11:06:24.015</v>
      </c>
      <c r="H1402" t="s">
        <v>22</v>
      </c>
      <c r="I1402">
        <v>0</v>
      </c>
      <c r="J1402" t="s">
        <v>23</v>
      </c>
    </row>
    <row r="1403" spans="1:10" x14ac:dyDescent="0.25">
      <c r="A1403" s="1">
        <v>439</v>
      </c>
      <c r="B1403" t="s">
        <v>39</v>
      </c>
      <c r="C1403">
        <v>630</v>
      </c>
      <c r="D1403">
        <v>5</v>
      </c>
      <c r="E1403" t="s">
        <v>76</v>
      </c>
      <c r="F1403" t="s">
        <v>77</v>
      </c>
      <c r="G1403" t="str">
        <f>"2025-07-29 11:00:02.434"</f>
        <v>2025-07-29 11:00:02.434</v>
      </c>
      <c r="H1403" t="s">
        <v>78</v>
      </c>
      <c r="I1403">
        <v>0</v>
      </c>
      <c r="J1403" t="s">
        <v>23</v>
      </c>
    </row>
    <row r="1404" spans="1:10" x14ac:dyDescent="0.25">
      <c r="A1404" s="1">
        <v>440</v>
      </c>
      <c r="B1404" t="s">
        <v>19</v>
      </c>
      <c r="C1404">
        <v>700</v>
      </c>
      <c r="D1404">
        <v>0</v>
      </c>
      <c r="E1404" t="s">
        <v>24</v>
      </c>
      <c r="F1404" t="s">
        <v>24</v>
      </c>
      <c r="G1404" t="str">
        <f>"2025-07-29 07:38:13.835"</f>
        <v>2025-07-29 07:38:13.835</v>
      </c>
      <c r="H1404" t="s">
        <v>22</v>
      </c>
      <c r="I1404">
        <v>0</v>
      </c>
      <c r="J1404" t="s">
        <v>34</v>
      </c>
    </row>
    <row r="1405" spans="1:10" x14ac:dyDescent="0.25">
      <c r="A1405" s="1">
        <v>442</v>
      </c>
      <c r="B1405" t="s">
        <v>19</v>
      </c>
      <c r="C1405">
        <v>700</v>
      </c>
      <c r="D1405">
        <v>0</v>
      </c>
      <c r="E1405" t="s">
        <v>24</v>
      </c>
      <c r="F1405" t="s">
        <v>24</v>
      </c>
      <c r="G1405" t="str">
        <f>"2025-07-28 21:33:35.047"</f>
        <v>2025-07-28 21:33:35.047</v>
      </c>
      <c r="H1405" t="s">
        <v>22</v>
      </c>
    </row>
    <row r="1406" spans="1:10" x14ac:dyDescent="0.25">
      <c r="A1406" s="1">
        <v>443</v>
      </c>
      <c r="B1406" t="s">
        <v>26</v>
      </c>
      <c r="C1406">
        <v>630</v>
      </c>
      <c r="D1406">
        <v>5</v>
      </c>
      <c r="E1406" t="s">
        <v>76</v>
      </c>
      <c r="F1406" t="s">
        <v>77</v>
      </c>
      <c r="G1406" t="str">
        <f>"2025-07-28 08:16:16.034"</f>
        <v>2025-07-28 08:16:16.034</v>
      </c>
      <c r="H1406" t="s">
        <v>78</v>
      </c>
    </row>
    <row r="1407" spans="1:10" x14ac:dyDescent="0.25">
      <c r="A1407" s="1">
        <v>444</v>
      </c>
      <c r="B1407" t="s">
        <v>19</v>
      </c>
      <c r="C1407">
        <v>706</v>
      </c>
      <c r="D1407">
        <v>4</v>
      </c>
      <c r="E1407" t="s">
        <v>20</v>
      </c>
      <c r="F1407" t="s">
        <v>21</v>
      </c>
      <c r="G1407" t="str">
        <f>"2025-07-28 08:15:46.049"</f>
        <v>2025-07-28 08:15:46.049</v>
      </c>
      <c r="H1407" t="s">
        <v>22</v>
      </c>
      <c r="I1407">
        <v>0</v>
      </c>
      <c r="J1407" t="s">
        <v>23</v>
      </c>
    </row>
    <row r="1408" spans="1:10" x14ac:dyDescent="0.25">
      <c r="A1408" s="1">
        <v>445</v>
      </c>
      <c r="B1408" t="s">
        <v>39</v>
      </c>
      <c r="C1408">
        <v>630</v>
      </c>
      <c r="D1408">
        <v>5</v>
      </c>
      <c r="E1408" t="s">
        <v>76</v>
      </c>
      <c r="F1408" t="s">
        <v>77</v>
      </c>
      <c r="G1408" t="str">
        <f>"2025-07-28 08:08:59.934"</f>
        <v>2025-07-28 08:08:59.934</v>
      </c>
      <c r="H1408" t="s">
        <v>78</v>
      </c>
      <c r="I1408">
        <v>0</v>
      </c>
      <c r="J1408" t="s">
        <v>23</v>
      </c>
    </row>
    <row r="1409" spans="1:10" x14ac:dyDescent="0.25">
      <c r="A1409" s="1">
        <v>446</v>
      </c>
      <c r="B1409" t="s">
        <v>19</v>
      </c>
      <c r="C1409">
        <v>700</v>
      </c>
      <c r="D1409">
        <v>0</v>
      </c>
      <c r="E1409" t="s">
        <v>24</v>
      </c>
      <c r="F1409" t="s">
        <v>24</v>
      </c>
      <c r="G1409" t="str">
        <f>"2025-07-28 07:42:40.819"</f>
        <v>2025-07-28 07:42:40.819</v>
      </c>
      <c r="H1409" t="s">
        <v>22</v>
      </c>
    </row>
    <row r="1410" spans="1:10" s="3" customFormat="1" x14ac:dyDescent="0.25">
      <c r="A1410" s="2">
        <v>447</v>
      </c>
      <c r="B1410" s="3" t="s">
        <v>26</v>
      </c>
      <c r="C1410" s="3">
        <v>647</v>
      </c>
      <c r="D1410" s="3">
        <v>1</v>
      </c>
      <c r="E1410" s="3" t="s">
        <v>27</v>
      </c>
      <c r="F1410" s="3" t="s">
        <v>28</v>
      </c>
      <c r="G1410" s="3" t="str">
        <f>"2025-07-28 03:29:50.569"</f>
        <v>2025-07-28 03:29:50.569</v>
      </c>
      <c r="H1410" s="3" t="s">
        <v>22</v>
      </c>
    </row>
    <row r="1411" spans="1:10" s="3" customFormat="1" x14ac:dyDescent="0.25">
      <c r="A1411" s="2">
        <v>448</v>
      </c>
      <c r="B1411" s="3" t="s">
        <v>29</v>
      </c>
      <c r="C1411" s="3">
        <v>647</v>
      </c>
      <c r="D1411" s="3">
        <v>1</v>
      </c>
      <c r="E1411" s="3" t="s">
        <v>27</v>
      </c>
      <c r="F1411" s="3" t="s">
        <v>28</v>
      </c>
      <c r="G1411" s="3" t="str">
        <f>"2025-07-28 03:29:49.469"</f>
        <v>2025-07-28 03:29:49.469</v>
      </c>
      <c r="H1411" s="3" t="s">
        <v>22</v>
      </c>
      <c r="I1411" s="3">
        <v>16.260000000000002</v>
      </c>
      <c r="J1411" s="3" t="s">
        <v>30</v>
      </c>
    </row>
    <row r="1412" spans="1:10" x14ac:dyDescent="0.25">
      <c r="A1412" s="1">
        <v>449</v>
      </c>
      <c r="B1412" t="s">
        <v>19</v>
      </c>
      <c r="C1412">
        <v>700</v>
      </c>
      <c r="D1412">
        <v>0</v>
      </c>
      <c r="E1412" t="s">
        <v>24</v>
      </c>
      <c r="F1412" t="s">
        <v>24</v>
      </c>
      <c r="G1412" t="str">
        <f>"2025-07-26 20:54:58.852"</f>
        <v>2025-07-26 20:54:58.852</v>
      </c>
      <c r="H1412" t="s">
        <v>22</v>
      </c>
    </row>
    <row r="1413" spans="1:10" x14ac:dyDescent="0.25">
      <c r="A1413" s="1">
        <v>450</v>
      </c>
      <c r="B1413" t="s">
        <v>26</v>
      </c>
      <c r="C1413">
        <v>635</v>
      </c>
      <c r="D1413">
        <v>1</v>
      </c>
      <c r="E1413" t="s">
        <v>31</v>
      </c>
      <c r="F1413" t="s">
        <v>32</v>
      </c>
      <c r="G1413" t="str">
        <f>"2025-07-25 23:51:21.316"</f>
        <v>2025-07-25 23:51:21.316</v>
      </c>
      <c r="H1413" t="s">
        <v>22</v>
      </c>
    </row>
    <row r="1414" spans="1:10" x14ac:dyDescent="0.25">
      <c r="A1414" s="1">
        <v>451</v>
      </c>
      <c r="B1414" t="s">
        <v>29</v>
      </c>
      <c r="C1414">
        <v>635</v>
      </c>
      <c r="D1414">
        <v>1</v>
      </c>
      <c r="E1414" t="s">
        <v>31</v>
      </c>
      <c r="F1414" t="s">
        <v>32</v>
      </c>
      <c r="G1414" t="str">
        <f>"2025-07-25 23:48:39.316"</f>
        <v>2025-07-25 23:48:39.316</v>
      </c>
      <c r="H1414" t="s">
        <v>22</v>
      </c>
      <c r="I1414">
        <v>2.59</v>
      </c>
      <c r="J1414" t="s">
        <v>30</v>
      </c>
    </row>
    <row r="1415" spans="1:10" s="3" customFormat="1" x14ac:dyDescent="0.25">
      <c r="A1415" s="2">
        <v>452</v>
      </c>
      <c r="B1415" s="3" t="s">
        <v>26</v>
      </c>
      <c r="C1415" s="3">
        <v>647</v>
      </c>
      <c r="D1415" s="3">
        <v>1</v>
      </c>
      <c r="E1415" s="3" t="s">
        <v>27</v>
      </c>
      <c r="F1415" s="3" t="s">
        <v>28</v>
      </c>
      <c r="G1415" s="3" t="str">
        <f>"2025-07-25 21:41:26.570"</f>
        <v>2025-07-25 21:41:26.570</v>
      </c>
      <c r="H1415" s="3" t="s">
        <v>22</v>
      </c>
    </row>
    <row r="1416" spans="1:10" s="3" customFormat="1" x14ac:dyDescent="0.25">
      <c r="A1416" s="2">
        <v>453</v>
      </c>
      <c r="B1416" s="3" t="s">
        <v>29</v>
      </c>
      <c r="C1416" s="3">
        <v>647</v>
      </c>
      <c r="D1416" s="3">
        <v>1</v>
      </c>
      <c r="E1416" s="3" t="s">
        <v>27</v>
      </c>
      <c r="F1416" s="3" t="s">
        <v>28</v>
      </c>
      <c r="G1416" s="3" t="str">
        <f>"2025-07-25 21:41:13.070"</f>
        <v>2025-07-25 21:41:13.070</v>
      </c>
      <c r="H1416" s="3" t="s">
        <v>22</v>
      </c>
      <c r="I1416" s="3">
        <v>12.18</v>
      </c>
      <c r="J1416" s="3" t="s">
        <v>30</v>
      </c>
    </row>
    <row r="1417" spans="1:10" x14ac:dyDescent="0.25">
      <c r="A1417" s="1">
        <v>454</v>
      </c>
      <c r="B1417" t="s">
        <v>19</v>
      </c>
      <c r="C1417">
        <v>706</v>
      </c>
      <c r="D1417">
        <v>2</v>
      </c>
      <c r="E1417" t="s">
        <v>20</v>
      </c>
      <c r="F1417" t="s">
        <v>25</v>
      </c>
      <c r="G1417" t="str">
        <f>"2025-07-25 09:32:32.577"</f>
        <v>2025-07-25 09:32:32.577</v>
      </c>
      <c r="H1417" t="s">
        <v>22</v>
      </c>
      <c r="I1417">
        <v>0</v>
      </c>
      <c r="J1417" t="s">
        <v>23</v>
      </c>
    </row>
    <row r="1418" spans="1:10" x14ac:dyDescent="0.25">
      <c r="A1418" s="1">
        <v>455</v>
      </c>
      <c r="B1418" t="s">
        <v>19</v>
      </c>
      <c r="C1418">
        <v>706</v>
      </c>
      <c r="D1418">
        <v>4</v>
      </c>
      <c r="E1418" t="s">
        <v>20</v>
      </c>
      <c r="F1418" t="s">
        <v>21</v>
      </c>
      <c r="G1418" t="str">
        <f>"2025-07-25 06:58:59.187"</f>
        <v>2025-07-25 06:58:59.187</v>
      </c>
      <c r="H1418" t="s">
        <v>22</v>
      </c>
      <c r="I1418">
        <v>0</v>
      </c>
      <c r="J1418" t="s">
        <v>23</v>
      </c>
    </row>
    <row r="1419" spans="1:10" x14ac:dyDescent="0.25">
      <c r="A1419" s="1">
        <v>456</v>
      </c>
      <c r="B1419" t="s">
        <v>19</v>
      </c>
      <c r="C1419">
        <v>706</v>
      </c>
      <c r="D1419">
        <v>3</v>
      </c>
      <c r="E1419" t="s">
        <v>20</v>
      </c>
      <c r="F1419" t="s">
        <v>49</v>
      </c>
      <c r="G1419" t="str">
        <f>"2025-07-25 06:58:48.667"</f>
        <v>2025-07-25 06:58:48.667</v>
      </c>
      <c r="H1419" t="s">
        <v>22</v>
      </c>
      <c r="I1419">
        <v>0</v>
      </c>
      <c r="J1419" t="s">
        <v>23</v>
      </c>
    </row>
    <row r="1420" spans="1:10" x14ac:dyDescent="0.25">
      <c r="A1420" s="1">
        <v>457</v>
      </c>
      <c r="B1420" t="s">
        <v>19</v>
      </c>
      <c r="C1420">
        <v>700</v>
      </c>
      <c r="D1420">
        <v>0</v>
      </c>
      <c r="E1420" t="s">
        <v>24</v>
      </c>
      <c r="F1420" t="s">
        <v>24</v>
      </c>
      <c r="G1420" t="str">
        <f>"2025-07-25 06:45:03.857"</f>
        <v>2025-07-25 06:45:03.857</v>
      </c>
      <c r="H1420" t="s">
        <v>22</v>
      </c>
      <c r="I1420">
        <v>0</v>
      </c>
      <c r="J1420" t="s">
        <v>34</v>
      </c>
    </row>
    <row r="1421" spans="1:10" s="3" customFormat="1" x14ac:dyDescent="0.25">
      <c r="A1421" s="2">
        <v>458</v>
      </c>
      <c r="B1421" s="3" t="s">
        <v>26</v>
      </c>
      <c r="C1421" s="3">
        <v>647</v>
      </c>
      <c r="D1421" s="3">
        <v>1</v>
      </c>
      <c r="E1421" s="3" t="s">
        <v>27</v>
      </c>
      <c r="F1421" s="3" t="s">
        <v>28</v>
      </c>
      <c r="G1421" s="3" t="str">
        <f>"2025-07-24 14:47:12.428"</f>
        <v>2025-07-24 14:47:12.428</v>
      </c>
      <c r="H1421" s="3" t="s">
        <v>22</v>
      </c>
    </row>
    <row r="1422" spans="1:10" s="3" customFormat="1" x14ac:dyDescent="0.25">
      <c r="A1422" s="2">
        <v>459</v>
      </c>
      <c r="B1422" s="3" t="s">
        <v>29</v>
      </c>
      <c r="C1422" s="3">
        <v>647</v>
      </c>
      <c r="D1422" s="3">
        <v>1</v>
      </c>
      <c r="E1422" s="3" t="s">
        <v>27</v>
      </c>
      <c r="F1422" s="3" t="s">
        <v>28</v>
      </c>
      <c r="G1422" s="3" t="str">
        <f>"2025-07-24 14:47:06.828"</f>
        <v>2025-07-24 14:47:06.828</v>
      </c>
      <c r="H1422" s="3" t="s">
        <v>22</v>
      </c>
      <c r="I1422" s="3">
        <v>9.98</v>
      </c>
      <c r="J1422" s="3" t="s">
        <v>30</v>
      </c>
    </row>
    <row r="1423" spans="1:10" x14ac:dyDescent="0.25">
      <c r="A1423" s="1">
        <v>460</v>
      </c>
      <c r="B1423" t="s">
        <v>26</v>
      </c>
      <c r="C1423">
        <v>635</v>
      </c>
      <c r="D1423">
        <v>1</v>
      </c>
      <c r="E1423" t="s">
        <v>31</v>
      </c>
      <c r="F1423" t="s">
        <v>32</v>
      </c>
      <c r="G1423" t="str">
        <f>"2025-07-24 09:09:28.074"</f>
        <v>2025-07-24 09:09:28.074</v>
      </c>
      <c r="H1423" t="s">
        <v>22</v>
      </c>
    </row>
    <row r="1424" spans="1:10" x14ac:dyDescent="0.25">
      <c r="A1424" s="1">
        <v>461</v>
      </c>
      <c r="B1424" t="s">
        <v>29</v>
      </c>
      <c r="C1424">
        <v>635</v>
      </c>
      <c r="D1424">
        <v>1</v>
      </c>
      <c r="E1424" t="s">
        <v>31</v>
      </c>
      <c r="F1424" t="s">
        <v>32</v>
      </c>
      <c r="G1424" t="str">
        <f>"2025-07-24 08:45:00.574"</f>
        <v>2025-07-24 08:45:00.574</v>
      </c>
      <c r="H1424" t="s">
        <v>22</v>
      </c>
      <c r="I1424">
        <v>6.56</v>
      </c>
      <c r="J1424" t="s">
        <v>33</v>
      </c>
    </row>
    <row r="1425" spans="1:10" x14ac:dyDescent="0.25">
      <c r="A1425" s="1">
        <v>462</v>
      </c>
      <c r="B1425" t="s">
        <v>19</v>
      </c>
      <c r="C1425">
        <v>700</v>
      </c>
      <c r="D1425">
        <v>0</v>
      </c>
      <c r="E1425" t="s">
        <v>24</v>
      </c>
      <c r="F1425" t="s">
        <v>24</v>
      </c>
      <c r="G1425" t="str">
        <f>"2025-07-23 13:52:07.811"</f>
        <v>2025-07-23 13:52:07.811</v>
      </c>
      <c r="H1425" t="s">
        <v>22</v>
      </c>
      <c r="I1425">
        <v>0</v>
      </c>
      <c r="J1425" t="s">
        <v>34</v>
      </c>
    </row>
    <row r="1426" spans="1:10" x14ac:dyDescent="0.25">
      <c r="A1426" s="1">
        <v>463</v>
      </c>
      <c r="B1426" t="s">
        <v>19</v>
      </c>
      <c r="C1426">
        <v>700</v>
      </c>
      <c r="D1426">
        <v>0</v>
      </c>
      <c r="E1426" t="s">
        <v>24</v>
      </c>
      <c r="F1426" t="s">
        <v>24</v>
      </c>
      <c r="G1426" t="str">
        <f>"2025-07-23 13:22:53.888"</f>
        <v>2025-07-23 13:22:53.888</v>
      </c>
      <c r="H1426" t="s">
        <v>22</v>
      </c>
      <c r="I1426">
        <v>0</v>
      </c>
      <c r="J1426" t="s">
        <v>34</v>
      </c>
    </row>
    <row r="1427" spans="1:10" x14ac:dyDescent="0.25">
      <c r="A1427" s="1">
        <v>464</v>
      </c>
      <c r="B1427" t="s">
        <v>19</v>
      </c>
      <c r="C1427">
        <v>700</v>
      </c>
      <c r="D1427">
        <v>0</v>
      </c>
      <c r="E1427" t="s">
        <v>24</v>
      </c>
      <c r="F1427" t="s">
        <v>24</v>
      </c>
      <c r="G1427" t="str">
        <f>"2025-07-23 09:45:07.917"</f>
        <v>2025-07-23 09:45:07.917</v>
      </c>
      <c r="H1427" t="s">
        <v>22</v>
      </c>
      <c r="I1427">
        <v>0</v>
      </c>
      <c r="J1427" t="s">
        <v>34</v>
      </c>
    </row>
    <row r="1428" spans="1:10" x14ac:dyDescent="0.25">
      <c r="A1428" s="1">
        <v>465</v>
      </c>
      <c r="B1428" t="s">
        <v>19</v>
      </c>
      <c r="C1428">
        <v>700</v>
      </c>
      <c r="D1428">
        <v>0</v>
      </c>
      <c r="E1428" t="s">
        <v>24</v>
      </c>
      <c r="F1428" t="s">
        <v>24</v>
      </c>
      <c r="G1428" t="str">
        <f>"2025-07-23 09:18:59.026"</f>
        <v>2025-07-23 09:18:59.026</v>
      </c>
      <c r="H1428" t="s">
        <v>22</v>
      </c>
      <c r="I1428">
        <v>0</v>
      </c>
      <c r="J1428" t="s">
        <v>34</v>
      </c>
    </row>
    <row r="1429" spans="1:10" x14ac:dyDescent="0.25">
      <c r="A1429" s="1">
        <v>466</v>
      </c>
      <c r="B1429" t="s">
        <v>19</v>
      </c>
      <c r="C1429">
        <v>706</v>
      </c>
      <c r="D1429">
        <v>4</v>
      </c>
      <c r="E1429" t="s">
        <v>20</v>
      </c>
      <c r="F1429" t="s">
        <v>21</v>
      </c>
      <c r="G1429" t="str">
        <f>"2025-07-23 09:00:15.032"</f>
        <v>2025-07-23 09:00:15.032</v>
      </c>
      <c r="H1429" t="s">
        <v>22</v>
      </c>
      <c r="I1429">
        <v>0</v>
      </c>
      <c r="J1429" t="s">
        <v>23</v>
      </c>
    </row>
    <row r="1430" spans="1:10" x14ac:dyDescent="0.25">
      <c r="A1430" s="1">
        <v>467</v>
      </c>
      <c r="B1430" t="s">
        <v>19</v>
      </c>
      <c r="C1430">
        <v>700</v>
      </c>
      <c r="D1430">
        <v>0</v>
      </c>
      <c r="E1430" t="s">
        <v>24</v>
      </c>
      <c r="F1430" t="s">
        <v>24</v>
      </c>
      <c r="G1430" t="str">
        <f>"2025-07-23 07:58:57.812"</f>
        <v>2025-07-23 07:58:57.812</v>
      </c>
      <c r="H1430" t="s">
        <v>22</v>
      </c>
      <c r="I1430">
        <v>0</v>
      </c>
      <c r="J1430" t="s">
        <v>34</v>
      </c>
    </row>
    <row r="1431" spans="1:10" x14ac:dyDescent="0.25">
      <c r="A1431" s="1">
        <v>468</v>
      </c>
      <c r="B1431" t="s">
        <v>19</v>
      </c>
      <c r="C1431">
        <v>706</v>
      </c>
      <c r="D1431">
        <v>4</v>
      </c>
      <c r="E1431" t="s">
        <v>20</v>
      </c>
      <c r="F1431" t="s">
        <v>21</v>
      </c>
      <c r="G1431" t="str">
        <f>"2025-07-23 06:47:14.743"</f>
        <v>2025-07-23 06:47:14.743</v>
      </c>
      <c r="H1431" t="s">
        <v>22</v>
      </c>
      <c r="I1431">
        <v>0</v>
      </c>
      <c r="J1431" t="s">
        <v>23</v>
      </c>
    </row>
    <row r="1432" spans="1:10" x14ac:dyDescent="0.25">
      <c r="A1432" s="1">
        <v>469</v>
      </c>
      <c r="B1432" t="s">
        <v>19</v>
      </c>
      <c r="C1432">
        <v>700</v>
      </c>
      <c r="D1432">
        <v>0</v>
      </c>
      <c r="E1432" t="s">
        <v>24</v>
      </c>
      <c r="F1432" t="s">
        <v>24</v>
      </c>
      <c r="G1432" t="str">
        <f>"2025-07-23 06:43:55.803"</f>
        <v>2025-07-23 06:43:55.803</v>
      </c>
      <c r="H1432" t="s">
        <v>22</v>
      </c>
    </row>
    <row r="1433" spans="1:10" x14ac:dyDescent="0.25">
      <c r="A1433" s="1">
        <v>470</v>
      </c>
      <c r="B1433" t="s">
        <v>19</v>
      </c>
      <c r="C1433">
        <v>700</v>
      </c>
      <c r="D1433">
        <v>0</v>
      </c>
      <c r="E1433" t="s">
        <v>24</v>
      </c>
      <c r="F1433" t="s">
        <v>24</v>
      </c>
      <c r="G1433" t="str">
        <f>"2025-07-23 05:45:56.825"</f>
        <v>2025-07-23 05:45:56.825</v>
      </c>
      <c r="H1433" t="s">
        <v>22</v>
      </c>
      <c r="I1433">
        <v>0</v>
      </c>
      <c r="J1433" t="s">
        <v>34</v>
      </c>
    </row>
    <row r="1434" spans="1:10" x14ac:dyDescent="0.25">
      <c r="A1434" s="1">
        <v>471</v>
      </c>
      <c r="B1434" t="s">
        <v>26</v>
      </c>
      <c r="C1434">
        <v>630</v>
      </c>
      <c r="D1434">
        <v>5</v>
      </c>
      <c r="E1434" t="s">
        <v>76</v>
      </c>
      <c r="F1434" t="s">
        <v>77</v>
      </c>
      <c r="G1434" t="str">
        <f>"2025-07-22 09:50:03.651"</f>
        <v>2025-07-22 09:50:03.651</v>
      </c>
      <c r="H1434" t="s">
        <v>78</v>
      </c>
    </row>
    <row r="1435" spans="1:10" x14ac:dyDescent="0.25">
      <c r="A1435" s="1">
        <v>472</v>
      </c>
      <c r="B1435" t="s">
        <v>19</v>
      </c>
      <c r="C1435">
        <v>706</v>
      </c>
      <c r="D1435">
        <v>2</v>
      </c>
      <c r="E1435" t="s">
        <v>20</v>
      </c>
      <c r="F1435" t="s">
        <v>25</v>
      </c>
      <c r="G1435" t="str">
        <f>"2025-07-22 09:49:33.567"</f>
        <v>2025-07-22 09:49:33.567</v>
      </c>
      <c r="H1435" t="s">
        <v>22</v>
      </c>
      <c r="I1435">
        <v>0</v>
      </c>
      <c r="J1435" t="s">
        <v>23</v>
      </c>
    </row>
    <row r="1436" spans="1:10" x14ac:dyDescent="0.25">
      <c r="A1436" s="1">
        <v>473</v>
      </c>
      <c r="B1436" t="s">
        <v>39</v>
      </c>
      <c r="C1436">
        <v>630</v>
      </c>
      <c r="D1436">
        <v>5</v>
      </c>
      <c r="E1436" t="s">
        <v>76</v>
      </c>
      <c r="F1436" t="s">
        <v>77</v>
      </c>
      <c r="G1436" t="str">
        <f>"2025-07-22 09:46:39.751"</f>
        <v>2025-07-22 09:46:39.751</v>
      </c>
      <c r="H1436" t="s">
        <v>78</v>
      </c>
      <c r="I1436">
        <v>0</v>
      </c>
      <c r="J1436" t="s">
        <v>23</v>
      </c>
    </row>
    <row r="1437" spans="1:10" x14ac:dyDescent="0.25">
      <c r="A1437" s="1">
        <v>474</v>
      </c>
      <c r="B1437" t="s">
        <v>26</v>
      </c>
      <c r="C1437">
        <v>630</v>
      </c>
      <c r="D1437">
        <v>5</v>
      </c>
      <c r="E1437" t="s">
        <v>76</v>
      </c>
      <c r="F1437" t="s">
        <v>77</v>
      </c>
      <c r="G1437" t="str">
        <f>"2025-07-21 08:49:50.251"</f>
        <v>2025-07-21 08:49:50.251</v>
      </c>
      <c r="H1437" t="s">
        <v>78</v>
      </c>
    </row>
    <row r="1438" spans="1:10" x14ac:dyDescent="0.25">
      <c r="A1438" s="1">
        <v>475</v>
      </c>
      <c r="B1438" t="s">
        <v>19</v>
      </c>
      <c r="C1438">
        <v>706</v>
      </c>
      <c r="D1438">
        <v>4</v>
      </c>
      <c r="E1438" t="s">
        <v>20</v>
      </c>
      <c r="F1438" t="s">
        <v>21</v>
      </c>
      <c r="G1438" t="str">
        <f>"2025-07-21 08:49:20.157"</f>
        <v>2025-07-21 08:49:20.157</v>
      </c>
      <c r="H1438" t="s">
        <v>22</v>
      </c>
      <c r="I1438">
        <v>0</v>
      </c>
      <c r="J1438" t="s">
        <v>23</v>
      </c>
    </row>
    <row r="1439" spans="1:10" x14ac:dyDescent="0.25">
      <c r="A1439" s="1">
        <v>476</v>
      </c>
      <c r="B1439" t="s">
        <v>39</v>
      </c>
      <c r="C1439">
        <v>630</v>
      </c>
      <c r="D1439">
        <v>5</v>
      </c>
      <c r="E1439" t="s">
        <v>76</v>
      </c>
      <c r="F1439" t="s">
        <v>77</v>
      </c>
      <c r="G1439" t="str">
        <f>"2025-07-21 08:43:25.951"</f>
        <v>2025-07-21 08:43:25.951</v>
      </c>
      <c r="H1439" t="s">
        <v>78</v>
      </c>
      <c r="I1439">
        <v>0</v>
      </c>
      <c r="J1439" t="s">
        <v>23</v>
      </c>
    </row>
    <row r="1440" spans="1:10" x14ac:dyDescent="0.25">
      <c r="A1440" s="1">
        <v>477</v>
      </c>
      <c r="B1440" t="s">
        <v>26</v>
      </c>
      <c r="C1440">
        <v>635</v>
      </c>
      <c r="D1440">
        <v>1</v>
      </c>
      <c r="E1440" t="s">
        <v>31</v>
      </c>
      <c r="F1440" t="s">
        <v>32</v>
      </c>
      <c r="G1440" t="str">
        <f>"2025-07-21 03:44:58.097"</f>
        <v>2025-07-21 03:44:58.097</v>
      </c>
      <c r="H1440" t="s">
        <v>22</v>
      </c>
    </row>
    <row r="1441" spans="1:10" x14ac:dyDescent="0.25">
      <c r="A1441" s="1">
        <v>478</v>
      </c>
      <c r="B1441" t="s">
        <v>29</v>
      </c>
      <c r="C1441">
        <v>635</v>
      </c>
      <c r="D1441">
        <v>1</v>
      </c>
      <c r="E1441" t="s">
        <v>31</v>
      </c>
      <c r="F1441" t="s">
        <v>32</v>
      </c>
      <c r="G1441" t="str">
        <f>"2025-07-21 03:42:07.597"</f>
        <v>2025-07-21 03:42:07.597</v>
      </c>
      <c r="H1441" t="s">
        <v>22</v>
      </c>
      <c r="I1441">
        <v>3.6</v>
      </c>
      <c r="J1441" t="s">
        <v>52</v>
      </c>
    </row>
    <row r="1442" spans="1:10" x14ac:dyDescent="0.25">
      <c r="A1442" s="1">
        <v>479</v>
      </c>
      <c r="B1442" t="s">
        <v>53</v>
      </c>
      <c r="C1442">
        <v>33</v>
      </c>
      <c r="D1442">
        <v>1</v>
      </c>
      <c r="E1442" t="s">
        <v>54</v>
      </c>
      <c r="F1442" t="s">
        <v>55</v>
      </c>
      <c r="G1442" t="str">
        <f>"2025-07-21 02:16:45.050"</f>
        <v>2025-07-21 02:16:45.050</v>
      </c>
      <c r="H1442" t="s">
        <v>56</v>
      </c>
    </row>
    <row r="1443" spans="1:10" x14ac:dyDescent="0.25">
      <c r="A1443" s="1">
        <v>480</v>
      </c>
      <c r="B1443" t="s">
        <v>39</v>
      </c>
      <c r="C1443">
        <v>33</v>
      </c>
      <c r="D1443">
        <v>1</v>
      </c>
      <c r="E1443" t="s">
        <v>54</v>
      </c>
      <c r="F1443" t="s">
        <v>55</v>
      </c>
      <c r="G1443" t="str">
        <f>"2025-07-21 02:16:27.929"</f>
        <v>2025-07-21 02:16:27.929</v>
      </c>
      <c r="H1443" t="s">
        <v>56</v>
      </c>
      <c r="I1443">
        <v>9.86</v>
      </c>
      <c r="J1443" t="s">
        <v>33</v>
      </c>
    </row>
    <row r="1444" spans="1:10" x14ac:dyDescent="0.25">
      <c r="A1444" s="1">
        <v>481</v>
      </c>
      <c r="B1444" t="s">
        <v>26</v>
      </c>
      <c r="C1444">
        <v>630</v>
      </c>
      <c r="D1444">
        <v>5</v>
      </c>
      <c r="E1444" t="s">
        <v>76</v>
      </c>
      <c r="F1444" t="s">
        <v>77</v>
      </c>
      <c r="G1444" t="str">
        <f>"2025-07-20 09:45:38.051"</f>
        <v>2025-07-20 09:45:38.051</v>
      </c>
      <c r="H1444" t="s">
        <v>78</v>
      </c>
    </row>
    <row r="1445" spans="1:10" x14ac:dyDescent="0.25">
      <c r="A1445" s="1">
        <v>482</v>
      </c>
      <c r="B1445" t="s">
        <v>19</v>
      </c>
      <c r="C1445">
        <v>706</v>
      </c>
      <c r="D1445">
        <v>4</v>
      </c>
      <c r="E1445" t="s">
        <v>20</v>
      </c>
      <c r="F1445" t="s">
        <v>21</v>
      </c>
      <c r="G1445" t="str">
        <f>"2025-07-20 09:45:07.977"</f>
        <v>2025-07-20 09:45:07.977</v>
      </c>
      <c r="H1445" t="s">
        <v>22</v>
      </c>
      <c r="I1445">
        <v>0</v>
      </c>
      <c r="J1445" t="s">
        <v>23</v>
      </c>
    </row>
    <row r="1446" spans="1:10" x14ac:dyDescent="0.25">
      <c r="A1446" s="1">
        <v>483</v>
      </c>
      <c r="B1446" t="s">
        <v>39</v>
      </c>
      <c r="C1446">
        <v>630</v>
      </c>
      <c r="D1446">
        <v>5</v>
      </c>
      <c r="E1446" t="s">
        <v>76</v>
      </c>
      <c r="F1446" t="s">
        <v>77</v>
      </c>
      <c r="G1446" t="str">
        <f>"2025-07-20 09:40:21.851"</f>
        <v>2025-07-20 09:40:21.851</v>
      </c>
      <c r="H1446" t="s">
        <v>78</v>
      </c>
      <c r="I1446">
        <v>0</v>
      </c>
      <c r="J1446" t="s">
        <v>23</v>
      </c>
    </row>
    <row r="1447" spans="1:10" x14ac:dyDescent="0.25">
      <c r="A1447" s="1">
        <v>484</v>
      </c>
      <c r="B1447" t="s">
        <v>19</v>
      </c>
      <c r="C1447">
        <v>700</v>
      </c>
      <c r="D1447">
        <v>0</v>
      </c>
      <c r="E1447" t="s">
        <v>24</v>
      </c>
      <c r="F1447" t="s">
        <v>24</v>
      </c>
      <c r="G1447" t="str">
        <f>"2025-07-20 07:44:16.827"</f>
        <v>2025-07-20 07:44:16.827</v>
      </c>
      <c r="H1447" t="s">
        <v>22</v>
      </c>
    </row>
    <row r="1448" spans="1:10" x14ac:dyDescent="0.25">
      <c r="A1448" s="1">
        <v>485</v>
      </c>
      <c r="B1448" t="s">
        <v>26</v>
      </c>
      <c r="C1448">
        <v>630</v>
      </c>
      <c r="D1448">
        <v>5</v>
      </c>
      <c r="E1448" t="s">
        <v>76</v>
      </c>
      <c r="F1448" t="s">
        <v>77</v>
      </c>
      <c r="G1448" t="str">
        <f>"2025-07-19 13:49:32.929"</f>
        <v>2025-07-19 13:49:32.929</v>
      </c>
      <c r="H1448" t="s">
        <v>78</v>
      </c>
    </row>
    <row r="1449" spans="1:10" x14ac:dyDescent="0.25">
      <c r="A1449" s="1">
        <v>486</v>
      </c>
      <c r="B1449" t="s">
        <v>19</v>
      </c>
      <c r="C1449">
        <v>706</v>
      </c>
      <c r="D1449">
        <v>4</v>
      </c>
      <c r="E1449" t="s">
        <v>20</v>
      </c>
      <c r="F1449" t="s">
        <v>21</v>
      </c>
      <c r="G1449" t="str">
        <f>"2025-07-19 13:49:02.835"</f>
        <v>2025-07-19 13:49:02.835</v>
      </c>
      <c r="H1449" t="s">
        <v>22</v>
      </c>
      <c r="I1449">
        <v>0</v>
      </c>
      <c r="J1449" t="s">
        <v>23</v>
      </c>
    </row>
    <row r="1450" spans="1:10" x14ac:dyDescent="0.25">
      <c r="A1450" s="1">
        <v>487</v>
      </c>
      <c r="B1450" t="s">
        <v>39</v>
      </c>
      <c r="C1450">
        <v>630</v>
      </c>
      <c r="D1450">
        <v>5</v>
      </c>
      <c r="E1450" t="s">
        <v>76</v>
      </c>
      <c r="F1450" t="s">
        <v>77</v>
      </c>
      <c r="G1450" t="str">
        <f>"2025-07-19 13:18:59.329"</f>
        <v>2025-07-19 13:18:59.329</v>
      </c>
      <c r="H1450" t="s">
        <v>78</v>
      </c>
      <c r="I1450">
        <v>0</v>
      </c>
      <c r="J1450" t="s">
        <v>23</v>
      </c>
    </row>
    <row r="1451" spans="1:10" x14ac:dyDescent="0.25">
      <c r="A1451" s="1">
        <v>488</v>
      </c>
      <c r="B1451" t="s">
        <v>19</v>
      </c>
      <c r="C1451">
        <v>700</v>
      </c>
      <c r="D1451">
        <v>0</v>
      </c>
      <c r="E1451" t="s">
        <v>24</v>
      </c>
      <c r="F1451" t="s">
        <v>24</v>
      </c>
      <c r="G1451" t="str">
        <f>"2025-07-18 21:01:55.805"</f>
        <v>2025-07-18 21:01:55.805</v>
      </c>
      <c r="H1451" t="s">
        <v>22</v>
      </c>
    </row>
    <row r="1452" spans="1:10" x14ac:dyDescent="0.25">
      <c r="A1452" s="1">
        <v>489</v>
      </c>
      <c r="B1452" t="s">
        <v>26</v>
      </c>
      <c r="C1452">
        <v>630</v>
      </c>
      <c r="D1452">
        <v>5</v>
      </c>
      <c r="E1452" t="s">
        <v>76</v>
      </c>
      <c r="F1452" t="s">
        <v>77</v>
      </c>
      <c r="G1452" t="str">
        <f>"2025-07-18 13:13:59.030"</f>
        <v>2025-07-18 13:13:59.030</v>
      </c>
      <c r="H1452" t="s">
        <v>78</v>
      </c>
    </row>
    <row r="1453" spans="1:10" x14ac:dyDescent="0.25">
      <c r="A1453" s="1">
        <v>490</v>
      </c>
      <c r="B1453" t="s">
        <v>19</v>
      </c>
      <c r="C1453">
        <v>706</v>
      </c>
      <c r="D1453">
        <v>4</v>
      </c>
      <c r="E1453" t="s">
        <v>20</v>
      </c>
      <c r="F1453" t="s">
        <v>21</v>
      </c>
      <c r="G1453" t="str">
        <f>"2025-07-18 13:13:28.977"</f>
        <v>2025-07-18 13:13:28.977</v>
      </c>
      <c r="H1453" t="s">
        <v>22</v>
      </c>
      <c r="I1453">
        <v>0</v>
      </c>
      <c r="J1453" t="s">
        <v>23</v>
      </c>
    </row>
    <row r="1454" spans="1:10" x14ac:dyDescent="0.25">
      <c r="A1454" s="1">
        <v>491</v>
      </c>
      <c r="B1454" t="s">
        <v>39</v>
      </c>
      <c r="C1454">
        <v>630</v>
      </c>
      <c r="D1454">
        <v>5</v>
      </c>
      <c r="E1454" t="s">
        <v>76</v>
      </c>
      <c r="F1454" t="s">
        <v>77</v>
      </c>
      <c r="G1454" t="str">
        <f>"2025-07-18 13:12:16.230"</f>
        <v>2025-07-18 13:12:16.230</v>
      </c>
      <c r="H1454" t="s">
        <v>78</v>
      </c>
      <c r="I1454">
        <v>0</v>
      </c>
      <c r="J1454" t="s">
        <v>23</v>
      </c>
    </row>
    <row r="1455" spans="1:10" s="3" customFormat="1" x14ac:dyDescent="0.25">
      <c r="A1455" s="2">
        <v>492</v>
      </c>
      <c r="B1455" s="3" t="s">
        <v>26</v>
      </c>
      <c r="C1455" s="3">
        <v>647</v>
      </c>
      <c r="D1455" s="3">
        <v>1</v>
      </c>
      <c r="E1455" s="3" t="s">
        <v>27</v>
      </c>
      <c r="F1455" s="3" t="s">
        <v>28</v>
      </c>
      <c r="G1455" s="3" t="str">
        <f>"2025-07-18 04:24:36.830"</f>
        <v>2025-07-18 04:24:36.830</v>
      </c>
      <c r="H1455" s="3" t="s">
        <v>22</v>
      </c>
    </row>
    <row r="1456" spans="1:10" s="3" customFormat="1" x14ac:dyDescent="0.25">
      <c r="A1456" s="2">
        <v>493</v>
      </c>
      <c r="B1456" s="3" t="s">
        <v>29</v>
      </c>
      <c r="C1456" s="3">
        <v>647</v>
      </c>
      <c r="D1456" s="3">
        <v>1</v>
      </c>
      <c r="E1456" s="3" t="s">
        <v>27</v>
      </c>
      <c r="F1456" s="3" t="s">
        <v>28</v>
      </c>
      <c r="G1456" s="3" t="str">
        <f>"2025-07-18 04:24:32.130"</f>
        <v>2025-07-18 04:24:32.130</v>
      </c>
      <c r="H1456" s="3" t="s">
        <v>22</v>
      </c>
      <c r="I1456" s="3">
        <v>10.41</v>
      </c>
      <c r="J1456" s="3" t="s">
        <v>30</v>
      </c>
    </row>
    <row r="1457" spans="1:10" x14ac:dyDescent="0.25">
      <c r="A1457" s="1">
        <v>494</v>
      </c>
      <c r="B1457" t="s">
        <v>26</v>
      </c>
      <c r="C1457">
        <v>630</v>
      </c>
      <c r="D1457">
        <v>5</v>
      </c>
      <c r="E1457" t="s">
        <v>76</v>
      </c>
      <c r="F1457" t="s">
        <v>77</v>
      </c>
      <c r="G1457" t="str">
        <f>"2025-07-17 22:23:12.630"</f>
        <v>2025-07-17 22:23:12.630</v>
      </c>
      <c r="H1457" t="s">
        <v>78</v>
      </c>
    </row>
    <row r="1458" spans="1:10" x14ac:dyDescent="0.25">
      <c r="A1458" s="1">
        <v>495</v>
      </c>
      <c r="B1458" t="s">
        <v>19</v>
      </c>
      <c r="C1458">
        <v>706</v>
      </c>
      <c r="D1458">
        <v>2</v>
      </c>
      <c r="E1458" t="s">
        <v>20</v>
      </c>
      <c r="F1458" t="s">
        <v>25</v>
      </c>
      <c r="G1458" t="str">
        <f>"2025-07-17 22:22:42.537"</f>
        <v>2025-07-17 22:22:42.537</v>
      </c>
      <c r="H1458" t="s">
        <v>22</v>
      </c>
      <c r="I1458">
        <v>0</v>
      </c>
      <c r="J1458" t="s">
        <v>23</v>
      </c>
    </row>
    <row r="1459" spans="1:10" x14ac:dyDescent="0.25">
      <c r="A1459" s="1">
        <v>496</v>
      </c>
      <c r="B1459" t="s">
        <v>39</v>
      </c>
      <c r="C1459">
        <v>630</v>
      </c>
      <c r="D1459">
        <v>5</v>
      </c>
      <c r="E1459" t="s">
        <v>76</v>
      </c>
      <c r="F1459" t="s">
        <v>77</v>
      </c>
      <c r="G1459" t="str">
        <f>"2025-07-17 22:16:23.330"</f>
        <v>2025-07-17 22:16:23.330</v>
      </c>
      <c r="H1459" t="s">
        <v>78</v>
      </c>
      <c r="I1459">
        <v>0</v>
      </c>
      <c r="J1459" t="s">
        <v>23</v>
      </c>
    </row>
    <row r="1460" spans="1:10" x14ac:dyDescent="0.25">
      <c r="A1460" s="1">
        <v>497</v>
      </c>
      <c r="B1460" t="s">
        <v>19</v>
      </c>
      <c r="C1460">
        <v>700</v>
      </c>
      <c r="D1460">
        <v>0</v>
      </c>
      <c r="E1460" t="s">
        <v>24</v>
      </c>
      <c r="F1460" t="s">
        <v>24</v>
      </c>
      <c r="G1460" t="str">
        <f>"2025-07-17 19:40:11.007"</f>
        <v>2025-07-17 19:40:11.007</v>
      </c>
      <c r="H1460" t="s">
        <v>22</v>
      </c>
    </row>
    <row r="1461" spans="1:10" x14ac:dyDescent="0.25">
      <c r="A1461" s="1">
        <v>498</v>
      </c>
      <c r="B1461" t="s">
        <v>19</v>
      </c>
      <c r="C1461">
        <v>706</v>
      </c>
      <c r="D1461">
        <v>4</v>
      </c>
      <c r="E1461" t="s">
        <v>20</v>
      </c>
      <c r="F1461" t="s">
        <v>21</v>
      </c>
      <c r="G1461" t="str">
        <f>"2025-07-17 02:58:01.943"</f>
        <v>2025-07-17 02:58:01.943</v>
      </c>
      <c r="H1461" t="s">
        <v>22</v>
      </c>
      <c r="I1461">
        <v>0</v>
      </c>
      <c r="J1461" t="s">
        <v>23</v>
      </c>
    </row>
    <row r="1462" spans="1:10" x14ac:dyDescent="0.25">
      <c r="A1462" s="1">
        <v>499</v>
      </c>
      <c r="B1462" t="s">
        <v>19</v>
      </c>
      <c r="C1462">
        <v>700</v>
      </c>
      <c r="D1462">
        <v>0</v>
      </c>
      <c r="E1462" t="s">
        <v>24</v>
      </c>
      <c r="F1462" t="s">
        <v>24</v>
      </c>
      <c r="G1462" t="str">
        <f>"2025-07-16 19:40:19.833"</f>
        <v>2025-07-16 19:40:19.833</v>
      </c>
      <c r="H1462" t="s">
        <v>22</v>
      </c>
      <c r="I1462">
        <v>0</v>
      </c>
      <c r="J1462" t="s">
        <v>34</v>
      </c>
    </row>
    <row r="1463" spans="1:10" x14ac:dyDescent="0.25">
      <c r="A1463" s="1">
        <v>500</v>
      </c>
      <c r="B1463" t="s">
        <v>19</v>
      </c>
      <c r="C1463">
        <v>700</v>
      </c>
      <c r="D1463">
        <v>0</v>
      </c>
      <c r="E1463" t="s">
        <v>24</v>
      </c>
      <c r="F1463" t="s">
        <v>24</v>
      </c>
      <c r="G1463" t="str">
        <f>"2025-07-15 19:43:20.825"</f>
        <v>2025-07-15 19:43:20.825</v>
      </c>
      <c r="H1463" t="s">
        <v>22</v>
      </c>
      <c r="I1463">
        <v>0</v>
      </c>
      <c r="J1463" t="s">
        <v>34</v>
      </c>
    </row>
    <row r="1464" spans="1:10" x14ac:dyDescent="0.25">
      <c r="A1464" s="1">
        <v>501</v>
      </c>
      <c r="B1464" t="s">
        <v>26</v>
      </c>
      <c r="C1464">
        <v>630</v>
      </c>
      <c r="D1464">
        <v>5</v>
      </c>
      <c r="E1464" t="s">
        <v>76</v>
      </c>
      <c r="F1464" t="s">
        <v>77</v>
      </c>
      <c r="G1464" t="str">
        <f>"2025-07-15 10:18:09.836"</f>
        <v>2025-07-15 10:18:09.836</v>
      </c>
      <c r="H1464" t="s">
        <v>78</v>
      </c>
    </row>
    <row r="1465" spans="1:10" x14ac:dyDescent="0.25">
      <c r="A1465" s="1">
        <v>502</v>
      </c>
      <c r="B1465" t="s">
        <v>19</v>
      </c>
      <c r="C1465">
        <v>706</v>
      </c>
      <c r="D1465">
        <v>2</v>
      </c>
      <c r="E1465" t="s">
        <v>20</v>
      </c>
      <c r="F1465" t="s">
        <v>25</v>
      </c>
      <c r="G1465" t="str">
        <f>"2025-07-15 10:17:39.738"</f>
        <v>2025-07-15 10:17:39.738</v>
      </c>
      <c r="H1465" t="s">
        <v>22</v>
      </c>
      <c r="I1465">
        <v>0</v>
      </c>
      <c r="J1465" t="s">
        <v>23</v>
      </c>
    </row>
    <row r="1466" spans="1:10" x14ac:dyDescent="0.25">
      <c r="A1466" s="1">
        <v>503</v>
      </c>
      <c r="B1466" t="s">
        <v>39</v>
      </c>
      <c r="C1466">
        <v>630</v>
      </c>
      <c r="D1466">
        <v>5</v>
      </c>
      <c r="E1466" t="s">
        <v>76</v>
      </c>
      <c r="F1466" t="s">
        <v>77</v>
      </c>
      <c r="G1466" t="str">
        <f>"2025-07-15 10:13:13.236"</f>
        <v>2025-07-15 10:13:13.236</v>
      </c>
      <c r="H1466" t="s">
        <v>78</v>
      </c>
      <c r="I1466">
        <v>0</v>
      </c>
      <c r="J1466" t="s">
        <v>23</v>
      </c>
    </row>
    <row r="1467" spans="1:10" x14ac:dyDescent="0.25">
      <c r="A1467" s="1">
        <v>504</v>
      </c>
      <c r="B1467" t="s">
        <v>26</v>
      </c>
      <c r="C1467">
        <v>635</v>
      </c>
      <c r="D1467">
        <v>1</v>
      </c>
      <c r="E1467" t="s">
        <v>31</v>
      </c>
      <c r="F1467" t="s">
        <v>32</v>
      </c>
      <c r="G1467" t="str">
        <f>"2025-07-15 09:10:05.736"</f>
        <v>2025-07-15 09:10:05.736</v>
      </c>
      <c r="H1467" t="s">
        <v>22</v>
      </c>
    </row>
    <row r="1468" spans="1:10" x14ac:dyDescent="0.25">
      <c r="A1468" s="1">
        <v>505</v>
      </c>
      <c r="B1468" t="s">
        <v>29</v>
      </c>
      <c r="C1468">
        <v>635</v>
      </c>
      <c r="D1468">
        <v>1</v>
      </c>
      <c r="E1468" t="s">
        <v>31</v>
      </c>
      <c r="F1468" t="s">
        <v>32</v>
      </c>
      <c r="G1468" t="str">
        <f>"2025-07-15 09:07:38.236"</f>
        <v>2025-07-15 09:07:38.236</v>
      </c>
      <c r="H1468" t="s">
        <v>22</v>
      </c>
      <c r="I1468">
        <v>2.08</v>
      </c>
      <c r="J1468" t="s">
        <v>33</v>
      </c>
    </row>
    <row r="1469" spans="1:10" x14ac:dyDescent="0.25">
      <c r="A1469" s="1">
        <v>506</v>
      </c>
      <c r="B1469" t="s">
        <v>19</v>
      </c>
      <c r="C1469">
        <v>700</v>
      </c>
      <c r="D1469">
        <v>0</v>
      </c>
      <c r="E1469" t="s">
        <v>24</v>
      </c>
      <c r="F1469" t="s">
        <v>24</v>
      </c>
      <c r="G1469" t="str">
        <f>"2025-07-14 19:41:37.808"</f>
        <v>2025-07-14 19:41:37.808</v>
      </c>
      <c r="H1469" t="s">
        <v>22</v>
      </c>
    </row>
    <row r="1470" spans="1:10" x14ac:dyDescent="0.25">
      <c r="A1470" s="1">
        <v>507</v>
      </c>
      <c r="B1470" t="s">
        <v>19</v>
      </c>
      <c r="C1470">
        <v>700</v>
      </c>
      <c r="D1470">
        <v>0</v>
      </c>
      <c r="E1470" t="s">
        <v>24</v>
      </c>
      <c r="F1470" t="s">
        <v>24</v>
      </c>
      <c r="G1470" t="str">
        <f>"2025-07-13 19:40:20.792"</f>
        <v>2025-07-13 19:40:20.792</v>
      </c>
      <c r="H1470" t="s">
        <v>22</v>
      </c>
    </row>
    <row r="1471" spans="1:10" x14ac:dyDescent="0.25">
      <c r="A1471" s="1">
        <v>508</v>
      </c>
      <c r="B1471" t="s">
        <v>19</v>
      </c>
      <c r="C1471">
        <v>706</v>
      </c>
      <c r="D1471">
        <v>4</v>
      </c>
      <c r="E1471" t="s">
        <v>20</v>
      </c>
      <c r="F1471" t="s">
        <v>21</v>
      </c>
      <c r="G1471" t="str">
        <f>"2025-07-13 13:42:03.200"</f>
        <v>2025-07-13 13:42:03.200</v>
      </c>
      <c r="H1471" t="s">
        <v>22</v>
      </c>
      <c r="I1471">
        <v>0</v>
      </c>
      <c r="J1471" t="s">
        <v>23</v>
      </c>
    </row>
    <row r="1472" spans="1:10" x14ac:dyDescent="0.25">
      <c r="A1472" s="1">
        <v>509</v>
      </c>
      <c r="B1472" t="s">
        <v>19</v>
      </c>
      <c r="C1472">
        <v>700</v>
      </c>
      <c r="D1472">
        <v>0</v>
      </c>
      <c r="E1472" t="s">
        <v>24</v>
      </c>
      <c r="F1472" t="s">
        <v>24</v>
      </c>
      <c r="G1472" t="str">
        <f>"2025-07-13 13:39:01.800"</f>
        <v>2025-07-13 13:39:01.800</v>
      </c>
      <c r="H1472" t="s">
        <v>22</v>
      </c>
      <c r="I1472">
        <v>0</v>
      </c>
      <c r="J1472" t="s">
        <v>34</v>
      </c>
    </row>
    <row r="1473" spans="1:10" x14ac:dyDescent="0.25">
      <c r="A1473" s="1">
        <v>510</v>
      </c>
      <c r="B1473" t="s">
        <v>19</v>
      </c>
      <c r="C1473">
        <v>700</v>
      </c>
      <c r="D1473">
        <v>0</v>
      </c>
      <c r="E1473" t="s">
        <v>24</v>
      </c>
      <c r="F1473" t="s">
        <v>24</v>
      </c>
      <c r="G1473" t="str">
        <f>"2025-07-12 23:11:12.787"</f>
        <v>2025-07-12 23:11:12.787</v>
      </c>
      <c r="H1473" t="s">
        <v>22</v>
      </c>
    </row>
    <row r="1474" spans="1:10" x14ac:dyDescent="0.25">
      <c r="A1474" s="1">
        <v>511</v>
      </c>
      <c r="B1474" t="s">
        <v>19</v>
      </c>
      <c r="C1474">
        <v>706</v>
      </c>
      <c r="D1474">
        <v>4</v>
      </c>
      <c r="E1474" t="s">
        <v>20</v>
      </c>
      <c r="F1474" t="s">
        <v>21</v>
      </c>
      <c r="G1474" t="str">
        <f>"2025-07-12 22:43:12.497"</f>
        <v>2025-07-12 22:43:12.497</v>
      </c>
      <c r="H1474" t="s">
        <v>22</v>
      </c>
      <c r="I1474">
        <v>0</v>
      </c>
      <c r="J1474" t="s">
        <v>23</v>
      </c>
    </row>
    <row r="1475" spans="1:10" x14ac:dyDescent="0.25">
      <c r="A1475" s="1">
        <v>512</v>
      </c>
      <c r="B1475" t="s">
        <v>19</v>
      </c>
      <c r="C1475">
        <v>700</v>
      </c>
      <c r="D1475">
        <v>0</v>
      </c>
      <c r="E1475" t="s">
        <v>24</v>
      </c>
      <c r="F1475" t="s">
        <v>24</v>
      </c>
      <c r="G1475" t="str">
        <f>"2025-07-12 21:44:00.787"</f>
        <v>2025-07-12 21:44:00.787</v>
      </c>
      <c r="H1475" t="s">
        <v>22</v>
      </c>
    </row>
    <row r="1476" spans="1:10" x14ac:dyDescent="0.25">
      <c r="A1476" s="1">
        <v>513</v>
      </c>
      <c r="B1476" t="s">
        <v>19</v>
      </c>
      <c r="C1476">
        <v>700</v>
      </c>
      <c r="D1476">
        <v>0</v>
      </c>
      <c r="E1476" t="s">
        <v>24</v>
      </c>
      <c r="F1476" t="s">
        <v>24</v>
      </c>
      <c r="G1476" t="str">
        <f>"2025-07-12 20:52:48.790"</f>
        <v>2025-07-12 20:52:48.790</v>
      </c>
      <c r="H1476" t="s">
        <v>22</v>
      </c>
    </row>
    <row r="1477" spans="1:10" x14ac:dyDescent="0.25">
      <c r="A1477" s="1">
        <v>514</v>
      </c>
      <c r="B1477" t="s">
        <v>19</v>
      </c>
      <c r="C1477">
        <v>706</v>
      </c>
      <c r="D1477">
        <v>2</v>
      </c>
      <c r="E1477" t="s">
        <v>20</v>
      </c>
      <c r="F1477" t="s">
        <v>25</v>
      </c>
      <c r="G1477" t="str">
        <f>"2025-07-12 08:17:14.388"</f>
        <v>2025-07-12 08:17:14.388</v>
      </c>
      <c r="H1477" t="s">
        <v>22</v>
      </c>
      <c r="I1477">
        <v>0</v>
      </c>
      <c r="J1477" t="s">
        <v>23</v>
      </c>
    </row>
    <row r="1478" spans="1:10" x14ac:dyDescent="0.25">
      <c r="A1478" s="1">
        <v>515</v>
      </c>
      <c r="B1478" t="s">
        <v>19</v>
      </c>
      <c r="C1478">
        <v>706</v>
      </c>
      <c r="D1478">
        <v>4</v>
      </c>
      <c r="E1478" t="s">
        <v>20</v>
      </c>
      <c r="F1478" t="s">
        <v>21</v>
      </c>
      <c r="G1478" t="str">
        <f>"2025-07-11 21:37:51.568"</f>
        <v>2025-07-11 21:37:51.568</v>
      </c>
      <c r="H1478" t="s">
        <v>22</v>
      </c>
      <c r="I1478">
        <v>0</v>
      </c>
      <c r="J1478" t="s">
        <v>23</v>
      </c>
    </row>
    <row r="1479" spans="1:10" x14ac:dyDescent="0.25">
      <c r="A1479" s="1">
        <v>516</v>
      </c>
      <c r="B1479" t="s">
        <v>26</v>
      </c>
      <c r="C1479">
        <v>635</v>
      </c>
      <c r="D1479">
        <v>1</v>
      </c>
      <c r="E1479" t="s">
        <v>31</v>
      </c>
      <c r="F1479" t="s">
        <v>32</v>
      </c>
      <c r="G1479" t="str">
        <f>"2025-07-11 15:01:49.798"</f>
        <v>2025-07-11 15:01:49.798</v>
      </c>
      <c r="H1479" t="s">
        <v>22</v>
      </c>
    </row>
    <row r="1480" spans="1:10" x14ac:dyDescent="0.25">
      <c r="A1480" s="1">
        <v>517</v>
      </c>
      <c r="B1480" t="s">
        <v>29</v>
      </c>
      <c r="C1480">
        <v>635</v>
      </c>
      <c r="D1480">
        <v>1</v>
      </c>
      <c r="E1480" t="s">
        <v>31</v>
      </c>
      <c r="F1480" t="s">
        <v>32</v>
      </c>
      <c r="G1480" t="str">
        <f>"2025-07-11 14:56:28.798"</f>
        <v>2025-07-11 14:56:28.798</v>
      </c>
      <c r="H1480" t="s">
        <v>22</v>
      </c>
      <c r="I1480">
        <v>4.72</v>
      </c>
      <c r="J1480" t="s">
        <v>33</v>
      </c>
    </row>
    <row r="1481" spans="1:10" s="3" customFormat="1" x14ac:dyDescent="0.25">
      <c r="A1481" s="2">
        <v>518</v>
      </c>
      <c r="B1481" s="3" t="s">
        <v>26</v>
      </c>
      <c r="C1481" s="3">
        <v>647</v>
      </c>
      <c r="D1481" s="3">
        <v>1</v>
      </c>
      <c r="E1481" s="3" t="s">
        <v>27</v>
      </c>
      <c r="F1481" s="3" t="s">
        <v>28</v>
      </c>
      <c r="G1481" s="3" t="str">
        <f>"2025-07-11 00:02:04.299"</f>
        <v>2025-07-11 00:02:04.299</v>
      </c>
      <c r="H1481" s="3" t="s">
        <v>22</v>
      </c>
    </row>
    <row r="1482" spans="1:10" s="3" customFormat="1" x14ac:dyDescent="0.25">
      <c r="A1482" s="2">
        <v>519</v>
      </c>
      <c r="B1482" s="3" t="s">
        <v>29</v>
      </c>
      <c r="C1482" s="3">
        <v>647</v>
      </c>
      <c r="D1482" s="3">
        <v>1</v>
      </c>
      <c r="E1482" s="3" t="s">
        <v>27</v>
      </c>
      <c r="F1482" s="3" t="s">
        <v>28</v>
      </c>
      <c r="G1482" s="3" t="str">
        <f>"2025-07-11 00:02:03.199"</f>
        <v>2025-07-11 00:02:03.199</v>
      </c>
      <c r="H1482" s="3" t="s">
        <v>22</v>
      </c>
      <c r="I1482" s="3">
        <v>10.51</v>
      </c>
      <c r="J1482" s="3" t="s">
        <v>30</v>
      </c>
    </row>
    <row r="1483" spans="1:10" x14ac:dyDescent="0.25">
      <c r="A1483" s="1">
        <v>520</v>
      </c>
      <c r="B1483" t="s">
        <v>26</v>
      </c>
      <c r="C1483">
        <v>630</v>
      </c>
      <c r="D1483">
        <v>5</v>
      </c>
      <c r="E1483" t="s">
        <v>76</v>
      </c>
      <c r="F1483" t="s">
        <v>77</v>
      </c>
      <c r="G1483" t="str">
        <f>"2025-07-10 22:08:36.099"</f>
        <v>2025-07-10 22:08:36.099</v>
      </c>
      <c r="H1483" t="s">
        <v>78</v>
      </c>
    </row>
    <row r="1484" spans="1:10" x14ac:dyDescent="0.25">
      <c r="A1484" s="1">
        <v>521</v>
      </c>
      <c r="B1484" t="s">
        <v>19</v>
      </c>
      <c r="C1484">
        <v>706</v>
      </c>
      <c r="D1484">
        <v>2</v>
      </c>
      <c r="E1484" t="s">
        <v>20</v>
      </c>
      <c r="F1484" t="s">
        <v>25</v>
      </c>
      <c r="G1484" t="str">
        <f>"2025-07-10 22:08:05.988"</f>
        <v>2025-07-10 22:08:05.988</v>
      </c>
      <c r="H1484" t="s">
        <v>22</v>
      </c>
      <c r="I1484">
        <v>0</v>
      </c>
      <c r="J1484" t="s">
        <v>23</v>
      </c>
    </row>
    <row r="1485" spans="1:10" x14ac:dyDescent="0.25">
      <c r="A1485" s="1">
        <v>522</v>
      </c>
      <c r="B1485" t="s">
        <v>39</v>
      </c>
      <c r="C1485">
        <v>630</v>
      </c>
      <c r="D1485">
        <v>5</v>
      </c>
      <c r="E1485" t="s">
        <v>76</v>
      </c>
      <c r="F1485" t="s">
        <v>77</v>
      </c>
      <c r="G1485" t="str">
        <f>"2025-07-10 22:04:12.599"</f>
        <v>2025-07-10 22:04:12.599</v>
      </c>
      <c r="H1485" t="s">
        <v>78</v>
      </c>
      <c r="I1485">
        <v>0</v>
      </c>
      <c r="J1485" t="s">
        <v>23</v>
      </c>
    </row>
    <row r="1486" spans="1:10" x14ac:dyDescent="0.25">
      <c r="A1486" s="1">
        <v>523</v>
      </c>
      <c r="B1486" t="s">
        <v>26</v>
      </c>
      <c r="C1486">
        <v>630</v>
      </c>
      <c r="D1486">
        <v>5</v>
      </c>
      <c r="E1486" t="s">
        <v>76</v>
      </c>
      <c r="F1486" t="s">
        <v>77</v>
      </c>
      <c r="G1486" t="str">
        <f>"2025-07-10 11:17:32.399"</f>
        <v>2025-07-10 11:17:32.399</v>
      </c>
      <c r="H1486" t="s">
        <v>78</v>
      </c>
    </row>
    <row r="1487" spans="1:10" x14ac:dyDescent="0.25">
      <c r="A1487" s="1">
        <v>524</v>
      </c>
      <c r="B1487" t="s">
        <v>19</v>
      </c>
      <c r="C1487">
        <v>706</v>
      </c>
      <c r="D1487">
        <v>2</v>
      </c>
      <c r="E1487" t="s">
        <v>20</v>
      </c>
      <c r="F1487" t="s">
        <v>25</v>
      </c>
      <c r="G1487" t="str">
        <f>"2025-07-10 11:17:02.288"</f>
        <v>2025-07-10 11:17:02.288</v>
      </c>
      <c r="H1487" t="s">
        <v>22</v>
      </c>
      <c r="I1487">
        <v>0</v>
      </c>
      <c r="J1487" t="s">
        <v>23</v>
      </c>
    </row>
    <row r="1488" spans="1:10" x14ac:dyDescent="0.25">
      <c r="A1488" s="1">
        <v>525</v>
      </c>
      <c r="B1488" t="s">
        <v>19</v>
      </c>
      <c r="C1488">
        <v>706</v>
      </c>
      <c r="D1488">
        <v>2</v>
      </c>
      <c r="E1488" t="s">
        <v>20</v>
      </c>
      <c r="F1488" t="s">
        <v>25</v>
      </c>
      <c r="G1488" t="str">
        <f>"2025-07-10 11:16:26.688"</f>
        <v>2025-07-10 11:16:26.688</v>
      </c>
      <c r="H1488" t="s">
        <v>22</v>
      </c>
      <c r="I1488">
        <v>0</v>
      </c>
      <c r="J1488" t="s">
        <v>23</v>
      </c>
    </row>
    <row r="1489" spans="1:10" x14ac:dyDescent="0.25">
      <c r="A1489" s="1">
        <v>526</v>
      </c>
      <c r="B1489" t="s">
        <v>39</v>
      </c>
      <c r="C1489">
        <v>630</v>
      </c>
      <c r="D1489">
        <v>5</v>
      </c>
      <c r="E1489" t="s">
        <v>76</v>
      </c>
      <c r="F1489" t="s">
        <v>77</v>
      </c>
      <c r="G1489" t="str">
        <f>"2025-07-10 11:15:20.099"</f>
        <v>2025-07-10 11:15:20.099</v>
      </c>
      <c r="H1489" t="s">
        <v>78</v>
      </c>
      <c r="I1489">
        <v>0</v>
      </c>
      <c r="J1489" t="s">
        <v>23</v>
      </c>
    </row>
    <row r="1490" spans="1:10" s="3" customFormat="1" x14ac:dyDescent="0.25">
      <c r="A1490" s="2">
        <v>527</v>
      </c>
      <c r="B1490" s="3" t="s">
        <v>26</v>
      </c>
      <c r="C1490" s="3">
        <v>647</v>
      </c>
      <c r="D1490" s="3">
        <v>1</v>
      </c>
      <c r="E1490" s="3" t="s">
        <v>27</v>
      </c>
      <c r="F1490" s="3" t="s">
        <v>28</v>
      </c>
      <c r="G1490" s="3" t="str">
        <f>"2025-07-10 05:52:52.399"</f>
        <v>2025-07-10 05:52:52.399</v>
      </c>
      <c r="H1490" s="3" t="s">
        <v>22</v>
      </c>
    </row>
    <row r="1491" spans="1:10" s="3" customFormat="1" x14ac:dyDescent="0.25">
      <c r="A1491" s="2">
        <v>528</v>
      </c>
      <c r="B1491" s="3" t="s">
        <v>29</v>
      </c>
      <c r="C1491" s="3">
        <v>647</v>
      </c>
      <c r="D1491" s="3">
        <v>1</v>
      </c>
      <c r="E1491" s="3" t="s">
        <v>27</v>
      </c>
      <c r="F1491" s="3" t="s">
        <v>28</v>
      </c>
      <c r="G1491" s="3" t="str">
        <f>"2025-07-10 05:52:47.699"</f>
        <v>2025-07-10 05:52:47.699</v>
      </c>
      <c r="H1491" s="3" t="s">
        <v>22</v>
      </c>
      <c r="I1491" s="3">
        <v>8.8000000000000007</v>
      </c>
      <c r="J1491" s="3" t="s">
        <v>30</v>
      </c>
    </row>
    <row r="1492" spans="1:10" x14ac:dyDescent="0.25">
      <c r="A1492" s="1">
        <v>529</v>
      </c>
      <c r="B1492" t="s">
        <v>19</v>
      </c>
      <c r="C1492">
        <v>706</v>
      </c>
      <c r="D1492">
        <v>2</v>
      </c>
      <c r="E1492" t="s">
        <v>20</v>
      </c>
      <c r="F1492" t="s">
        <v>25</v>
      </c>
      <c r="G1492" t="str">
        <f>"2025-07-09 13:13:27.588"</f>
        <v>2025-07-09 13:13:27.588</v>
      </c>
      <c r="H1492" t="s">
        <v>22</v>
      </c>
      <c r="I1492">
        <v>0</v>
      </c>
      <c r="J1492" t="s">
        <v>23</v>
      </c>
    </row>
    <row r="1493" spans="1:10" x14ac:dyDescent="0.25">
      <c r="A1493" s="1">
        <v>530</v>
      </c>
      <c r="B1493" t="s">
        <v>26</v>
      </c>
      <c r="C1493">
        <v>635</v>
      </c>
      <c r="D1493">
        <v>1</v>
      </c>
      <c r="E1493" t="s">
        <v>31</v>
      </c>
      <c r="F1493" t="s">
        <v>32</v>
      </c>
      <c r="G1493" t="str">
        <f>"2025-07-09 06:42:38.398"</f>
        <v>2025-07-09 06:42:38.398</v>
      </c>
      <c r="H1493" t="s">
        <v>22</v>
      </c>
    </row>
    <row r="1494" spans="1:10" x14ac:dyDescent="0.25">
      <c r="A1494" s="1">
        <v>531</v>
      </c>
      <c r="B1494" t="s">
        <v>29</v>
      </c>
      <c r="C1494">
        <v>635</v>
      </c>
      <c r="D1494">
        <v>1</v>
      </c>
      <c r="E1494" t="s">
        <v>31</v>
      </c>
      <c r="F1494" t="s">
        <v>32</v>
      </c>
      <c r="G1494" t="str">
        <f>"2025-07-09 06:36:55.397"</f>
        <v>2025-07-09 06:36:55.397</v>
      </c>
      <c r="H1494" t="s">
        <v>22</v>
      </c>
      <c r="I1494">
        <v>4.26</v>
      </c>
      <c r="J1494" t="s">
        <v>33</v>
      </c>
    </row>
    <row r="1495" spans="1:10" x14ac:dyDescent="0.25">
      <c r="A1495" s="1">
        <v>532</v>
      </c>
      <c r="B1495" t="s">
        <v>26</v>
      </c>
      <c r="C1495">
        <v>630</v>
      </c>
      <c r="D1495">
        <v>5</v>
      </c>
      <c r="E1495" t="s">
        <v>76</v>
      </c>
      <c r="F1495" t="s">
        <v>77</v>
      </c>
      <c r="G1495" t="str">
        <f>"2025-07-08 22:59:08.299"</f>
        <v>2025-07-08 22:59:08.299</v>
      </c>
      <c r="H1495" t="s">
        <v>78</v>
      </c>
    </row>
    <row r="1496" spans="1:10" x14ac:dyDescent="0.25">
      <c r="A1496" s="1">
        <v>533</v>
      </c>
      <c r="B1496" t="s">
        <v>19</v>
      </c>
      <c r="C1496">
        <v>706</v>
      </c>
      <c r="D1496">
        <v>2</v>
      </c>
      <c r="E1496" t="s">
        <v>20</v>
      </c>
      <c r="F1496" t="s">
        <v>25</v>
      </c>
      <c r="G1496" t="str">
        <f>"2025-07-08 22:58:38.288"</f>
        <v>2025-07-08 22:58:38.288</v>
      </c>
      <c r="H1496" t="s">
        <v>22</v>
      </c>
      <c r="I1496">
        <v>0</v>
      </c>
      <c r="J1496" t="s">
        <v>23</v>
      </c>
    </row>
    <row r="1497" spans="1:10" x14ac:dyDescent="0.25">
      <c r="A1497" s="1">
        <v>534</v>
      </c>
      <c r="B1497" t="s">
        <v>39</v>
      </c>
      <c r="C1497">
        <v>630</v>
      </c>
      <c r="D1497">
        <v>5</v>
      </c>
      <c r="E1497" t="s">
        <v>76</v>
      </c>
      <c r="F1497" t="s">
        <v>77</v>
      </c>
      <c r="G1497" t="str">
        <f>"2025-07-08 22:57:36.299"</f>
        <v>2025-07-08 22:57:36.299</v>
      </c>
      <c r="H1497" t="s">
        <v>78</v>
      </c>
      <c r="I1497">
        <v>0</v>
      </c>
      <c r="J1497" t="s">
        <v>23</v>
      </c>
    </row>
    <row r="1498" spans="1:10" x14ac:dyDescent="0.25">
      <c r="A1498" s="1">
        <v>535</v>
      </c>
      <c r="B1498" t="s">
        <v>26</v>
      </c>
      <c r="C1498">
        <v>630</v>
      </c>
      <c r="D1498">
        <v>5</v>
      </c>
      <c r="E1498" t="s">
        <v>76</v>
      </c>
      <c r="F1498" t="s">
        <v>77</v>
      </c>
      <c r="G1498" t="str">
        <f>"2025-07-07 20:52:52.899"</f>
        <v>2025-07-07 20:52:52.899</v>
      </c>
      <c r="H1498" t="s">
        <v>78</v>
      </c>
    </row>
    <row r="1499" spans="1:10" x14ac:dyDescent="0.25">
      <c r="A1499" s="1">
        <v>536</v>
      </c>
      <c r="B1499" t="s">
        <v>19</v>
      </c>
      <c r="C1499">
        <v>706</v>
      </c>
      <c r="D1499">
        <v>4</v>
      </c>
      <c r="E1499" t="s">
        <v>20</v>
      </c>
      <c r="F1499" t="s">
        <v>21</v>
      </c>
      <c r="G1499" t="str">
        <f>"2025-07-07 20:52:22.838"</f>
        <v>2025-07-07 20:52:22.838</v>
      </c>
      <c r="H1499" t="s">
        <v>22</v>
      </c>
      <c r="I1499">
        <v>0</v>
      </c>
      <c r="J1499" t="s">
        <v>23</v>
      </c>
    </row>
    <row r="1500" spans="1:10" x14ac:dyDescent="0.25">
      <c r="A1500" s="1">
        <v>537</v>
      </c>
      <c r="B1500" t="s">
        <v>39</v>
      </c>
      <c r="C1500">
        <v>630</v>
      </c>
      <c r="D1500">
        <v>5</v>
      </c>
      <c r="E1500" t="s">
        <v>76</v>
      </c>
      <c r="F1500" t="s">
        <v>77</v>
      </c>
      <c r="G1500" t="str">
        <f>"2025-07-07 20:46:32.399"</f>
        <v>2025-07-07 20:46:32.399</v>
      </c>
      <c r="H1500" t="s">
        <v>78</v>
      </c>
      <c r="I1500">
        <v>0</v>
      </c>
      <c r="J1500" t="s">
        <v>23</v>
      </c>
    </row>
    <row r="1501" spans="1:10" x14ac:dyDescent="0.25">
      <c r="A1501" s="1">
        <v>538</v>
      </c>
      <c r="B1501" t="s">
        <v>26</v>
      </c>
      <c r="C1501">
        <v>630</v>
      </c>
      <c r="D1501">
        <v>5</v>
      </c>
      <c r="E1501" t="s">
        <v>76</v>
      </c>
      <c r="F1501" t="s">
        <v>77</v>
      </c>
      <c r="G1501" t="str">
        <f>"2025-07-07 16:12:34.299"</f>
        <v>2025-07-07 16:12:34.299</v>
      </c>
      <c r="H1501" t="s">
        <v>78</v>
      </c>
    </row>
    <row r="1502" spans="1:10" x14ac:dyDescent="0.25">
      <c r="A1502" s="1">
        <v>539</v>
      </c>
      <c r="B1502" t="s">
        <v>19</v>
      </c>
      <c r="C1502">
        <v>706</v>
      </c>
      <c r="D1502">
        <v>4</v>
      </c>
      <c r="E1502" t="s">
        <v>20</v>
      </c>
      <c r="F1502" t="s">
        <v>21</v>
      </c>
      <c r="G1502" t="str">
        <f>"2025-07-07 16:12:04.278"</f>
        <v>2025-07-07 16:12:04.278</v>
      </c>
      <c r="H1502" t="s">
        <v>22</v>
      </c>
      <c r="I1502">
        <v>0</v>
      </c>
      <c r="J1502" t="s">
        <v>23</v>
      </c>
    </row>
    <row r="1503" spans="1:10" x14ac:dyDescent="0.25">
      <c r="A1503" s="1">
        <v>540</v>
      </c>
      <c r="B1503" t="s">
        <v>39</v>
      </c>
      <c r="C1503">
        <v>630</v>
      </c>
      <c r="D1503">
        <v>5</v>
      </c>
      <c r="E1503" t="s">
        <v>76</v>
      </c>
      <c r="F1503" t="s">
        <v>77</v>
      </c>
      <c r="G1503" t="str">
        <f>"2025-07-07 16:08:11.599"</f>
        <v>2025-07-07 16:08:11.599</v>
      </c>
      <c r="H1503" t="s">
        <v>78</v>
      </c>
      <c r="I1503">
        <v>0</v>
      </c>
      <c r="J1503" t="s">
        <v>23</v>
      </c>
    </row>
    <row r="1504" spans="1:10" x14ac:dyDescent="0.25">
      <c r="A1504" s="1">
        <v>541</v>
      </c>
      <c r="B1504" t="s">
        <v>19</v>
      </c>
      <c r="C1504">
        <v>706</v>
      </c>
      <c r="D1504">
        <v>2</v>
      </c>
      <c r="E1504" t="s">
        <v>20</v>
      </c>
      <c r="F1504" t="s">
        <v>25</v>
      </c>
      <c r="G1504" t="str">
        <f>"2025-07-07 08:24:46.988"</f>
        <v>2025-07-07 08:24:46.988</v>
      </c>
      <c r="H1504" t="s">
        <v>22</v>
      </c>
      <c r="I1504">
        <v>0</v>
      </c>
      <c r="J1504" t="s">
        <v>23</v>
      </c>
    </row>
    <row r="1505" spans="1:10" x14ac:dyDescent="0.25">
      <c r="A1505" s="1">
        <v>542</v>
      </c>
      <c r="B1505" t="s">
        <v>26</v>
      </c>
      <c r="C1505">
        <v>630</v>
      </c>
      <c r="D1505">
        <v>5</v>
      </c>
      <c r="E1505" t="s">
        <v>76</v>
      </c>
      <c r="F1505" t="s">
        <v>77</v>
      </c>
      <c r="G1505" t="str">
        <f>"2025-07-07 08:21:46.499"</f>
        <v>2025-07-07 08:21:46.499</v>
      </c>
      <c r="H1505" t="s">
        <v>78</v>
      </c>
    </row>
    <row r="1506" spans="1:10" x14ac:dyDescent="0.25">
      <c r="A1506" s="1">
        <v>543</v>
      </c>
      <c r="B1506" t="s">
        <v>39</v>
      </c>
      <c r="C1506">
        <v>630</v>
      </c>
      <c r="D1506">
        <v>5</v>
      </c>
      <c r="E1506" t="s">
        <v>76</v>
      </c>
      <c r="F1506" t="s">
        <v>77</v>
      </c>
      <c r="G1506" t="str">
        <f>"2025-07-07 08:18:09.799"</f>
        <v>2025-07-07 08:18:09.799</v>
      </c>
      <c r="H1506" t="s">
        <v>78</v>
      </c>
      <c r="I1506">
        <v>0</v>
      </c>
      <c r="J1506" t="s">
        <v>23</v>
      </c>
    </row>
    <row r="1507" spans="1:10" x14ac:dyDescent="0.25">
      <c r="A1507" s="1">
        <v>544</v>
      </c>
      <c r="B1507" t="s">
        <v>26</v>
      </c>
      <c r="C1507">
        <v>630</v>
      </c>
      <c r="D1507">
        <v>5</v>
      </c>
      <c r="E1507" t="s">
        <v>76</v>
      </c>
      <c r="F1507" t="s">
        <v>77</v>
      </c>
      <c r="G1507" t="str">
        <f>"2025-07-06 21:32:16.799"</f>
        <v>2025-07-06 21:32:16.799</v>
      </c>
      <c r="H1507" t="s">
        <v>78</v>
      </c>
    </row>
    <row r="1508" spans="1:10" x14ac:dyDescent="0.25">
      <c r="A1508" s="1">
        <v>545</v>
      </c>
      <c r="B1508" t="s">
        <v>19</v>
      </c>
      <c r="C1508">
        <v>706</v>
      </c>
      <c r="D1508">
        <v>2</v>
      </c>
      <c r="E1508" t="s">
        <v>20</v>
      </c>
      <c r="F1508" t="s">
        <v>25</v>
      </c>
      <c r="G1508" t="str">
        <f>"2025-07-06 21:31:46.688"</f>
        <v>2025-07-06 21:31:46.688</v>
      </c>
      <c r="H1508" t="s">
        <v>22</v>
      </c>
      <c r="I1508">
        <v>0</v>
      </c>
      <c r="J1508" t="s">
        <v>23</v>
      </c>
    </row>
    <row r="1509" spans="1:10" x14ac:dyDescent="0.25">
      <c r="A1509" s="1">
        <v>546</v>
      </c>
      <c r="B1509" t="s">
        <v>39</v>
      </c>
      <c r="C1509">
        <v>630</v>
      </c>
      <c r="D1509">
        <v>5</v>
      </c>
      <c r="E1509" t="s">
        <v>76</v>
      </c>
      <c r="F1509" t="s">
        <v>77</v>
      </c>
      <c r="G1509" t="str">
        <f>"2025-07-06 21:29:14.599"</f>
        <v>2025-07-06 21:29:14.599</v>
      </c>
      <c r="H1509" t="s">
        <v>78</v>
      </c>
      <c r="I1509">
        <v>0</v>
      </c>
      <c r="J1509" t="s">
        <v>23</v>
      </c>
    </row>
    <row r="1510" spans="1:10" x14ac:dyDescent="0.25">
      <c r="A1510" s="1">
        <v>547</v>
      </c>
      <c r="B1510" t="s">
        <v>26</v>
      </c>
      <c r="C1510">
        <v>630</v>
      </c>
      <c r="D1510">
        <v>5</v>
      </c>
      <c r="E1510" t="s">
        <v>76</v>
      </c>
      <c r="F1510" t="s">
        <v>77</v>
      </c>
      <c r="G1510" t="str">
        <f>"2025-07-05 22:35:27.799"</f>
        <v>2025-07-05 22:35:27.799</v>
      </c>
      <c r="H1510" t="s">
        <v>78</v>
      </c>
    </row>
    <row r="1511" spans="1:10" x14ac:dyDescent="0.25">
      <c r="A1511" s="1">
        <v>548</v>
      </c>
      <c r="B1511" t="s">
        <v>19</v>
      </c>
      <c r="C1511">
        <v>706</v>
      </c>
      <c r="D1511">
        <v>4</v>
      </c>
      <c r="E1511" t="s">
        <v>20</v>
      </c>
      <c r="F1511" t="s">
        <v>21</v>
      </c>
      <c r="G1511" t="str">
        <f>"2025-07-05 22:34:57.678"</f>
        <v>2025-07-05 22:34:57.678</v>
      </c>
      <c r="H1511" t="s">
        <v>22</v>
      </c>
      <c r="I1511">
        <v>0</v>
      </c>
      <c r="J1511" t="s">
        <v>23</v>
      </c>
    </row>
    <row r="1512" spans="1:10" x14ac:dyDescent="0.25">
      <c r="A1512" s="1">
        <v>549</v>
      </c>
      <c r="B1512" t="s">
        <v>39</v>
      </c>
      <c r="C1512">
        <v>630</v>
      </c>
      <c r="D1512">
        <v>5</v>
      </c>
      <c r="E1512" t="s">
        <v>76</v>
      </c>
      <c r="F1512" t="s">
        <v>77</v>
      </c>
      <c r="G1512" t="str">
        <f>"2025-07-05 22:28:29.799"</f>
        <v>2025-07-05 22:28:29.799</v>
      </c>
      <c r="H1512" t="s">
        <v>78</v>
      </c>
      <c r="I1512">
        <v>0</v>
      </c>
      <c r="J1512" t="s">
        <v>23</v>
      </c>
    </row>
    <row r="1513" spans="1:10" x14ac:dyDescent="0.25">
      <c r="A1513" s="1">
        <v>550</v>
      </c>
      <c r="B1513" t="s">
        <v>26</v>
      </c>
      <c r="C1513">
        <v>630</v>
      </c>
      <c r="D1513">
        <v>5</v>
      </c>
      <c r="E1513" t="s">
        <v>76</v>
      </c>
      <c r="F1513" t="s">
        <v>77</v>
      </c>
      <c r="G1513" t="str">
        <f>"2025-07-04 20:22:27.199"</f>
        <v>2025-07-04 20:22:27.199</v>
      </c>
      <c r="H1513" t="s">
        <v>78</v>
      </c>
    </row>
    <row r="1514" spans="1:10" x14ac:dyDescent="0.25">
      <c r="A1514" s="1">
        <v>551</v>
      </c>
      <c r="B1514" t="s">
        <v>19</v>
      </c>
      <c r="C1514">
        <v>706</v>
      </c>
      <c r="D1514">
        <v>4</v>
      </c>
      <c r="E1514" t="s">
        <v>20</v>
      </c>
      <c r="F1514" t="s">
        <v>21</v>
      </c>
      <c r="G1514" t="str">
        <f>"2025-07-04 20:21:57.138"</f>
        <v>2025-07-04 20:21:57.138</v>
      </c>
      <c r="H1514" t="s">
        <v>22</v>
      </c>
      <c r="I1514">
        <v>0</v>
      </c>
      <c r="J1514" t="s">
        <v>23</v>
      </c>
    </row>
    <row r="1515" spans="1:10" x14ac:dyDescent="0.25">
      <c r="A1515" s="1">
        <v>552</v>
      </c>
      <c r="B1515" t="s">
        <v>39</v>
      </c>
      <c r="C1515">
        <v>630</v>
      </c>
      <c r="D1515">
        <v>5</v>
      </c>
      <c r="E1515" t="s">
        <v>76</v>
      </c>
      <c r="F1515" t="s">
        <v>77</v>
      </c>
      <c r="G1515" t="str">
        <f>"2025-07-04 20:16:41.999"</f>
        <v>2025-07-04 20:16:41.999</v>
      </c>
      <c r="H1515" t="s">
        <v>78</v>
      </c>
      <c r="I1515">
        <v>0</v>
      </c>
      <c r="J1515" t="s">
        <v>23</v>
      </c>
    </row>
    <row r="1516" spans="1:10" x14ac:dyDescent="0.25">
      <c r="A1516" s="1">
        <v>553</v>
      </c>
      <c r="B1516" t="s">
        <v>26</v>
      </c>
      <c r="C1516">
        <v>635</v>
      </c>
      <c r="D1516">
        <v>1</v>
      </c>
      <c r="E1516" t="s">
        <v>31</v>
      </c>
      <c r="F1516" t="s">
        <v>32</v>
      </c>
      <c r="G1516" t="str">
        <f>"2025-07-04 20:04:44.898"</f>
        <v>2025-07-04 20:04:44.898</v>
      </c>
      <c r="H1516" t="s">
        <v>22</v>
      </c>
    </row>
    <row r="1517" spans="1:10" x14ac:dyDescent="0.25">
      <c r="A1517" s="1">
        <v>554</v>
      </c>
      <c r="B1517" t="s">
        <v>29</v>
      </c>
      <c r="C1517">
        <v>635</v>
      </c>
      <c r="D1517">
        <v>1</v>
      </c>
      <c r="E1517" t="s">
        <v>31</v>
      </c>
      <c r="F1517" t="s">
        <v>32</v>
      </c>
      <c r="G1517" t="str">
        <f>"2025-07-04 19:57:45.398"</f>
        <v>2025-07-04 19:57:45.398</v>
      </c>
      <c r="H1517" t="s">
        <v>22</v>
      </c>
      <c r="I1517">
        <v>3.29</v>
      </c>
      <c r="J1517" t="s">
        <v>33</v>
      </c>
    </row>
    <row r="1518" spans="1:10" x14ac:dyDescent="0.25">
      <c r="A1518" s="1">
        <v>555</v>
      </c>
      <c r="B1518" t="s">
        <v>26</v>
      </c>
      <c r="C1518">
        <v>630</v>
      </c>
      <c r="D1518">
        <v>5</v>
      </c>
      <c r="E1518" t="s">
        <v>76</v>
      </c>
      <c r="F1518" t="s">
        <v>77</v>
      </c>
      <c r="G1518" t="str">
        <f>"2025-07-04 09:38:04.499"</f>
        <v>2025-07-04 09:38:04.499</v>
      </c>
      <c r="H1518" t="s">
        <v>78</v>
      </c>
    </row>
    <row r="1519" spans="1:10" x14ac:dyDescent="0.25">
      <c r="A1519" s="1">
        <v>556</v>
      </c>
      <c r="B1519" t="s">
        <v>19</v>
      </c>
      <c r="C1519">
        <v>706</v>
      </c>
      <c r="D1519">
        <v>2</v>
      </c>
      <c r="E1519" t="s">
        <v>20</v>
      </c>
      <c r="F1519" t="s">
        <v>25</v>
      </c>
      <c r="G1519" t="str">
        <f>"2025-07-04 09:37:34.488"</f>
        <v>2025-07-04 09:37:34.488</v>
      </c>
      <c r="H1519" t="s">
        <v>22</v>
      </c>
      <c r="I1519">
        <v>0</v>
      </c>
      <c r="J1519" t="s">
        <v>23</v>
      </c>
    </row>
    <row r="1520" spans="1:10" x14ac:dyDescent="0.25">
      <c r="A1520" s="1">
        <v>557</v>
      </c>
      <c r="B1520" t="s">
        <v>39</v>
      </c>
      <c r="C1520">
        <v>630</v>
      </c>
      <c r="D1520">
        <v>5</v>
      </c>
      <c r="E1520" t="s">
        <v>76</v>
      </c>
      <c r="F1520" t="s">
        <v>77</v>
      </c>
      <c r="G1520" t="str">
        <f>"2025-07-04 09:32:59.599"</f>
        <v>2025-07-04 09:32:59.599</v>
      </c>
      <c r="H1520" t="s">
        <v>78</v>
      </c>
      <c r="I1520">
        <v>0</v>
      </c>
      <c r="J1520" t="s">
        <v>23</v>
      </c>
    </row>
    <row r="1521" spans="1:10" s="3" customFormat="1" x14ac:dyDescent="0.25">
      <c r="A1521" s="2">
        <v>558</v>
      </c>
      <c r="B1521" s="3" t="s">
        <v>26</v>
      </c>
      <c r="C1521" s="3">
        <v>647</v>
      </c>
      <c r="D1521" s="3">
        <v>1</v>
      </c>
      <c r="E1521" s="3" t="s">
        <v>27</v>
      </c>
      <c r="F1521" s="3" t="s">
        <v>28</v>
      </c>
      <c r="G1521" s="3" t="str">
        <f>"2025-07-03 22:40:49.099"</f>
        <v>2025-07-03 22:40:49.099</v>
      </c>
      <c r="H1521" s="3" t="s">
        <v>22</v>
      </c>
    </row>
    <row r="1522" spans="1:10" s="3" customFormat="1" x14ac:dyDescent="0.25">
      <c r="A1522" s="2">
        <v>559</v>
      </c>
      <c r="B1522" s="3" t="s">
        <v>29</v>
      </c>
      <c r="C1522" s="3">
        <v>647</v>
      </c>
      <c r="D1522" s="3">
        <v>1</v>
      </c>
      <c r="E1522" s="3" t="s">
        <v>27</v>
      </c>
      <c r="F1522" s="3" t="s">
        <v>28</v>
      </c>
      <c r="G1522" s="3" t="str">
        <f>"2025-07-03 22:40:44.199"</f>
        <v>2025-07-03 22:40:44.199</v>
      </c>
      <c r="H1522" s="3" t="s">
        <v>22</v>
      </c>
      <c r="I1522" s="3">
        <v>9.84</v>
      </c>
      <c r="J1522" s="3" t="s">
        <v>30</v>
      </c>
    </row>
    <row r="1523" spans="1:10" x14ac:dyDescent="0.25">
      <c r="A1523" s="1">
        <v>560</v>
      </c>
      <c r="B1523" t="s">
        <v>19</v>
      </c>
      <c r="C1523">
        <v>700</v>
      </c>
      <c r="D1523">
        <v>0</v>
      </c>
      <c r="E1523" t="s">
        <v>24</v>
      </c>
      <c r="F1523" t="s">
        <v>24</v>
      </c>
      <c r="G1523" t="str">
        <f>"2025-07-03 06:27:02.758"</f>
        <v>2025-07-03 06:27:02.758</v>
      </c>
      <c r="H1523" t="s">
        <v>22</v>
      </c>
      <c r="I1523">
        <v>0</v>
      </c>
      <c r="J1523" t="s">
        <v>34</v>
      </c>
    </row>
    <row r="1524" spans="1:10" x14ac:dyDescent="0.25">
      <c r="A1524" s="1">
        <v>561</v>
      </c>
      <c r="B1524" t="s">
        <v>19</v>
      </c>
      <c r="C1524">
        <v>700</v>
      </c>
      <c r="D1524">
        <v>0</v>
      </c>
      <c r="E1524" t="s">
        <v>24</v>
      </c>
      <c r="F1524" t="s">
        <v>24</v>
      </c>
      <c r="G1524" t="str">
        <f>"2025-07-03 06:24:49.952"</f>
        <v>2025-07-03 06:24:49.952</v>
      </c>
      <c r="H1524" t="s">
        <v>22</v>
      </c>
      <c r="I1524">
        <v>0</v>
      </c>
      <c r="J1524" t="s">
        <v>34</v>
      </c>
    </row>
    <row r="1525" spans="1:10" x14ac:dyDescent="0.25">
      <c r="A1525" s="1">
        <v>562</v>
      </c>
      <c r="B1525" t="s">
        <v>19</v>
      </c>
      <c r="C1525">
        <v>700</v>
      </c>
      <c r="D1525">
        <v>0</v>
      </c>
      <c r="E1525" t="s">
        <v>24</v>
      </c>
      <c r="F1525" t="s">
        <v>24</v>
      </c>
      <c r="G1525" t="str">
        <f>"2025-07-02 20:56:25.782"</f>
        <v>2025-07-02 20:56:25.782</v>
      </c>
      <c r="H1525" t="s">
        <v>22</v>
      </c>
      <c r="I1525">
        <v>0</v>
      </c>
      <c r="J1525" t="s">
        <v>34</v>
      </c>
    </row>
    <row r="1526" spans="1:10" x14ac:dyDescent="0.25">
      <c r="A1526" s="1">
        <v>563</v>
      </c>
      <c r="B1526" t="s">
        <v>19</v>
      </c>
      <c r="C1526">
        <v>700</v>
      </c>
      <c r="D1526">
        <v>0</v>
      </c>
      <c r="E1526" t="s">
        <v>24</v>
      </c>
      <c r="F1526" t="s">
        <v>24</v>
      </c>
      <c r="G1526" t="str">
        <f>"2025-07-02 13:38:16.760"</f>
        <v>2025-07-02 13:38:16.760</v>
      </c>
      <c r="H1526" t="s">
        <v>22</v>
      </c>
    </row>
    <row r="1527" spans="1:10" x14ac:dyDescent="0.25">
      <c r="A1527" s="1">
        <v>564</v>
      </c>
      <c r="B1527" t="s">
        <v>19</v>
      </c>
      <c r="C1527">
        <v>706</v>
      </c>
      <c r="D1527">
        <v>4</v>
      </c>
      <c r="E1527" t="s">
        <v>20</v>
      </c>
      <c r="F1527" t="s">
        <v>21</v>
      </c>
      <c r="G1527" t="str">
        <f>"2025-07-02 10:59:31.145"</f>
        <v>2025-07-02 10:59:31.145</v>
      </c>
      <c r="H1527" t="s">
        <v>22</v>
      </c>
      <c r="I1527">
        <v>0</v>
      </c>
      <c r="J1527" t="s">
        <v>23</v>
      </c>
    </row>
    <row r="1528" spans="1:10" x14ac:dyDescent="0.25">
      <c r="A1528" s="1">
        <v>565</v>
      </c>
      <c r="B1528" t="s">
        <v>19</v>
      </c>
      <c r="C1528">
        <v>700</v>
      </c>
      <c r="D1528">
        <v>0</v>
      </c>
      <c r="E1528" t="s">
        <v>24</v>
      </c>
      <c r="F1528" t="s">
        <v>24</v>
      </c>
      <c r="G1528" t="str">
        <f>"2025-07-02 10:54:47.755"</f>
        <v>2025-07-02 10:54:47.755</v>
      </c>
      <c r="H1528" t="s">
        <v>22</v>
      </c>
      <c r="I1528">
        <v>0</v>
      </c>
      <c r="J1528" t="s">
        <v>34</v>
      </c>
    </row>
    <row r="1529" spans="1:10" x14ac:dyDescent="0.25">
      <c r="A1529" s="1">
        <v>566</v>
      </c>
      <c r="B1529" t="s">
        <v>19</v>
      </c>
      <c r="C1529">
        <v>700</v>
      </c>
      <c r="D1529">
        <v>0</v>
      </c>
      <c r="E1529" t="s">
        <v>24</v>
      </c>
      <c r="F1529" t="s">
        <v>24</v>
      </c>
      <c r="G1529" t="str">
        <f>"2025-07-02 09:40:45.755"</f>
        <v>2025-07-02 09:40:45.755</v>
      </c>
      <c r="H1529" t="s">
        <v>22</v>
      </c>
      <c r="I1529">
        <v>0</v>
      </c>
      <c r="J1529" t="s">
        <v>34</v>
      </c>
    </row>
    <row r="1530" spans="1:10" x14ac:dyDescent="0.25">
      <c r="A1530" s="1">
        <v>567</v>
      </c>
      <c r="B1530" t="s">
        <v>19</v>
      </c>
      <c r="C1530">
        <v>700</v>
      </c>
      <c r="D1530">
        <v>0</v>
      </c>
      <c r="E1530" t="s">
        <v>24</v>
      </c>
      <c r="F1530" t="s">
        <v>24</v>
      </c>
      <c r="G1530" t="str">
        <f>"2025-07-02 09:39:17.749"</f>
        <v>2025-07-02 09:39:17.749</v>
      </c>
      <c r="H1530" t="s">
        <v>22</v>
      </c>
    </row>
    <row r="1531" spans="1:10" x14ac:dyDescent="0.25">
      <c r="A1531" s="1">
        <v>568</v>
      </c>
      <c r="B1531" t="s">
        <v>39</v>
      </c>
      <c r="C1531">
        <v>630</v>
      </c>
      <c r="D1531">
        <v>5</v>
      </c>
      <c r="E1531" t="s">
        <v>76</v>
      </c>
      <c r="F1531" t="s">
        <v>77</v>
      </c>
      <c r="G1531" t="str">
        <f>"2025-07-02 09:38:33.441"</f>
        <v>2025-07-02 09:38:33.441</v>
      </c>
      <c r="H1531" t="s">
        <v>78</v>
      </c>
      <c r="I1531">
        <v>0</v>
      </c>
      <c r="J1531" t="s">
        <v>23</v>
      </c>
    </row>
    <row r="1532" spans="1:10" x14ac:dyDescent="0.25">
      <c r="A1532" s="1">
        <v>569</v>
      </c>
      <c r="B1532" t="s">
        <v>19</v>
      </c>
      <c r="C1532">
        <v>700</v>
      </c>
      <c r="D1532">
        <v>0</v>
      </c>
      <c r="E1532" t="s">
        <v>24</v>
      </c>
      <c r="F1532" t="s">
        <v>24</v>
      </c>
      <c r="G1532" t="str">
        <f>"2025-07-02 09:33:30.790"</f>
        <v>2025-07-02 09:33:30.790</v>
      </c>
      <c r="H1532" t="s">
        <v>22</v>
      </c>
    </row>
    <row r="1533" spans="1:10" s="3" customFormat="1" x14ac:dyDescent="0.25">
      <c r="A1533" s="2">
        <v>570</v>
      </c>
      <c r="B1533" s="3" t="s">
        <v>26</v>
      </c>
      <c r="C1533" s="3">
        <v>647</v>
      </c>
      <c r="D1533" s="3">
        <v>1</v>
      </c>
      <c r="E1533" s="3" t="s">
        <v>27</v>
      </c>
      <c r="F1533" s="3" t="s">
        <v>28</v>
      </c>
      <c r="G1533" s="3" t="str">
        <f>"2025-07-02 05:08:42.031"</f>
        <v>2025-07-02 05:08:42.031</v>
      </c>
      <c r="H1533" s="3" t="s">
        <v>22</v>
      </c>
    </row>
    <row r="1534" spans="1:10" s="3" customFormat="1" x14ac:dyDescent="0.25">
      <c r="A1534" s="2">
        <v>571</v>
      </c>
      <c r="B1534" s="3" t="s">
        <v>29</v>
      </c>
      <c r="C1534" s="3">
        <v>647</v>
      </c>
      <c r="D1534" s="3">
        <v>1</v>
      </c>
      <c r="E1534" s="3" t="s">
        <v>27</v>
      </c>
      <c r="F1534" s="3" t="s">
        <v>28</v>
      </c>
      <c r="G1534" s="3" t="str">
        <f>"2025-07-02 05:08:36.632"</f>
        <v>2025-07-02 05:08:36.632</v>
      </c>
      <c r="H1534" s="3" t="s">
        <v>22</v>
      </c>
      <c r="I1534" s="3">
        <v>9.93</v>
      </c>
      <c r="J1534" s="3" t="s">
        <v>30</v>
      </c>
    </row>
    <row r="1535" spans="1:10" x14ac:dyDescent="0.25">
      <c r="A1535" s="1">
        <v>572</v>
      </c>
      <c r="B1535" t="s">
        <v>19</v>
      </c>
      <c r="C1535">
        <v>700</v>
      </c>
      <c r="D1535">
        <v>0</v>
      </c>
      <c r="E1535" t="s">
        <v>24</v>
      </c>
      <c r="F1535" t="s">
        <v>24</v>
      </c>
      <c r="G1535" t="str">
        <f>"2025-07-01 20:12:35.983"</f>
        <v>2025-07-01 20:12:35.983</v>
      </c>
      <c r="H1535" t="s">
        <v>22</v>
      </c>
    </row>
    <row r="1536" spans="1:10" x14ac:dyDescent="0.25">
      <c r="A1536" s="1">
        <v>573</v>
      </c>
      <c r="B1536" t="s">
        <v>19</v>
      </c>
      <c r="C1536">
        <v>700</v>
      </c>
      <c r="D1536">
        <v>0</v>
      </c>
      <c r="E1536" t="s">
        <v>24</v>
      </c>
      <c r="F1536" t="s">
        <v>24</v>
      </c>
      <c r="G1536" t="str">
        <f>"2025-06-30 22:07:59.938"</f>
        <v>2025-06-30 22:07:59.938</v>
      </c>
      <c r="H1536" t="s">
        <v>22</v>
      </c>
    </row>
    <row r="1537" spans="1:10" x14ac:dyDescent="0.25">
      <c r="A1537" s="1">
        <v>574</v>
      </c>
      <c r="B1537" t="s">
        <v>19</v>
      </c>
      <c r="C1537">
        <v>706</v>
      </c>
      <c r="D1537">
        <v>4</v>
      </c>
      <c r="E1537" t="s">
        <v>20</v>
      </c>
      <c r="F1537" t="s">
        <v>21</v>
      </c>
      <c r="G1537" t="str">
        <f>"2025-06-29 21:36:44.189"</f>
        <v>2025-06-29 21:36:44.189</v>
      </c>
      <c r="H1537" t="s">
        <v>22</v>
      </c>
      <c r="I1537">
        <v>0</v>
      </c>
      <c r="J1537" t="s">
        <v>23</v>
      </c>
    </row>
    <row r="1538" spans="1:10" s="3" customFormat="1" x14ac:dyDescent="0.25">
      <c r="A1538" s="2">
        <v>575</v>
      </c>
      <c r="B1538" s="3" t="s">
        <v>26</v>
      </c>
      <c r="C1538" s="3">
        <v>647</v>
      </c>
      <c r="D1538" s="3">
        <v>1</v>
      </c>
      <c r="E1538" s="3" t="s">
        <v>27</v>
      </c>
      <c r="F1538" s="3" t="s">
        <v>28</v>
      </c>
      <c r="G1538" s="3" t="str">
        <f>"2025-06-29 20:26:17.682"</f>
        <v>2025-06-29 20:26:17.682</v>
      </c>
      <c r="H1538" s="3" t="s">
        <v>22</v>
      </c>
    </row>
    <row r="1539" spans="1:10" s="3" customFormat="1" x14ac:dyDescent="0.25">
      <c r="A1539" s="2">
        <v>576</v>
      </c>
      <c r="B1539" s="3" t="s">
        <v>29</v>
      </c>
      <c r="C1539" s="3">
        <v>647</v>
      </c>
      <c r="D1539" s="3">
        <v>1</v>
      </c>
      <c r="E1539" s="3" t="s">
        <v>27</v>
      </c>
      <c r="F1539" s="3" t="s">
        <v>28</v>
      </c>
      <c r="G1539" s="3" t="str">
        <f>"2025-06-29 20:26:11.782"</f>
        <v>2025-06-29 20:26:11.782</v>
      </c>
      <c r="H1539" s="3" t="s">
        <v>22</v>
      </c>
      <c r="I1539" s="3">
        <v>10.73</v>
      </c>
      <c r="J1539" s="3" t="s">
        <v>30</v>
      </c>
    </row>
    <row r="1540" spans="1:10" x14ac:dyDescent="0.25">
      <c r="A1540" s="1">
        <v>577</v>
      </c>
      <c r="B1540" t="s">
        <v>19</v>
      </c>
      <c r="C1540">
        <v>700</v>
      </c>
      <c r="D1540">
        <v>0</v>
      </c>
      <c r="E1540" t="s">
        <v>24</v>
      </c>
      <c r="F1540" t="s">
        <v>24</v>
      </c>
      <c r="G1540" t="str">
        <f>"2025-06-29 19:41:29.929"</f>
        <v>2025-06-29 19:41:29.929</v>
      </c>
      <c r="H1540" t="s">
        <v>22</v>
      </c>
    </row>
    <row r="1541" spans="1:10" x14ac:dyDescent="0.25">
      <c r="A1541" s="1">
        <v>578</v>
      </c>
      <c r="B1541" t="s">
        <v>19</v>
      </c>
      <c r="C1541">
        <v>706</v>
      </c>
      <c r="D1541">
        <v>4</v>
      </c>
      <c r="E1541" t="s">
        <v>20</v>
      </c>
      <c r="F1541" t="s">
        <v>21</v>
      </c>
      <c r="G1541" t="str">
        <f>"2025-06-29 11:10:37.092"</f>
        <v>2025-06-29 11:10:37.092</v>
      </c>
      <c r="H1541" t="s">
        <v>22</v>
      </c>
      <c r="I1541">
        <v>0</v>
      </c>
      <c r="J1541" t="s">
        <v>23</v>
      </c>
    </row>
    <row r="1542" spans="1:10" x14ac:dyDescent="0.25">
      <c r="A1542" s="1">
        <v>579</v>
      </c>
      <c r="B1542" t="s">
        <v>26</v>
      </c>
      <c r="C1542">
        <v>630</v>
      </c>
      <c r="D1542">
        <v>5</v>
      </c>
      <c r="E1542" t="s">
        <v>76</v>
      </c>
      <c r="F1542" t="s">
        <v>77</v>
      </c>
      <c r="G1542" t="str">
        <f>"2025-06-28 20:44:46.503"</f>
        <v>2025-06-28 20:44:46.503</v>
      </c>
      <c r="H1542" t="s">
        <v>78</v>
      </c>
    </row>
    <row r="1543" spans="1:10" x14ac:dyDescent="0.25">
      <c r="A1543" s="1">
        <v>580</v>
      </c>
      <c r="B1543" t="s">
        <v>19</v>
      </c>
      <c r="C1543">
        <v>706</v>
      </c>
      <c r="D1543">
        <v>4</v>
      </c>
      <c r="E1543" t="s">
        <v>20</v>
      </c>
      <c r="F1543" t="s">
        <v>21</v>
      </c>
      <c r="G1543" t="str">
        <f>"2025-06-28 20:44:16.392"</f>
        <v>2025-06-28 20:44:16.392</v>
      </c>
      <c r="H1543" t="s">
        <v>22</v>
      </c>
      <c r="I1543">
        <v>0</v>
      </c>
      <c r="J1543" t="s">
        <v>23</v>
      </c>
    </row>
    <row r="1544" spans="1:10" x14ac:dyDescent="0.25">
      <c r="A1544" s="1">
        <v>581</v>
      </c>
      <c r="B1544" t="s">
        <v>39</v>
      </c>
      <c r="C1544">
        <v>630</v>
      </c>
      <c r="D1544">
        <v>5</v>
      </c>
      <c r="E1544" t="s">
        <v>76</v>
      </c>
      <c r="F1544" t="s">
        <v>77</v>
      </c>
      <c r="G1544" t="str">
        <f>"2025-06-28 20:41:03.903"</f>
        <v>2025-06-28 20:41:03.903</v>
      </c>
      <c r="H1544" t="s">
        <v>78</v>
      </c>
      <c r="I1544">
        <v>0</v>
      </c>
      <c r="J1544" t="s">
        <v>23</v>
      </c>
    </row>
    <row r="1545" spans="1:10" s="3" customFormat="1" x14ac:dyDescent="0.25">
      <c r="A1545" s="2">
        <v>582</v>
      </c>
      <c r="B1545" s="3" t="s">
        <v>26</v>
      </c>
      <c r="C1545" s="3">
        <v>647</v>
      </c>
      <c r="D1545" s="3">
        <v>1</v>
      </c>
      <c r="E1545" s="3" t="s">
        <v>27</v>
      </c>
      <c r="F1545" s="3" t="s">
        <v>28</v>
      </c>
      <c r="G1545" s="3" t="str">
        <f>"2025-06-28 04:36:30.003"</f>
        <v>2025-06-28 04:36:30.003</v>
      </c>
      <c r="H1545" s="3" t="s">
        <v>22</v>
      </c>
    </row>
    <row r="1546" spans="1:10" s="3" customFormat="1" x14ac:dyDescent="0.25">
      <c r="A1546" s="2">
        <v>583</v>
      </c>
      <c r="B1546" s="3" t="s">
        <v>29</v>
      </c>
      <c r="C1546" s="3">
        <v>647</v>
      </c>
      <c r="D1546" s="3">
        <v>1</v>
      </c>
      <c r="E1546" s="3" t="s">
        <v>27</v>
      </c>
      <c r="F1546" s="3" t="s">
        <v>28</v>
      </c>
      <c r="G1546" s="3" t="str">
        <f>"2025-06-28 04:36:26.603"</f>
        <v>2025-06-28 04:36:26.603</v>
      </c>
      <c r="H1546" s="3" t="s">
        <v>22</v>
      </c>
      <c r="I1546" s="3">
        <v>11.18</v>
      </c>
      <c r="J1546" s="3" t="s">
        <v>30</v>
      </c>
    </row>
    <row r="1547" spans="1:10" x14ac:dyDescent="0.25">
      <c r="A1547" s="1">
        <v>584</v>
      </c>
      <c r="B1547" t="s">
        <v>19</v>
      </c>
      <c r="C1547">
        <v>700</v>
      </c>
      <c r="D1547">
        <v>0</v>
      </c>
      <c r="E1547" t="s">
        <v>24</v>
      </c>
      <c r="F1547" t="s">
        <v>24</v>
      </c>
      <c r="G1547" t="str">
        <f>"2025-06-27 20:41:08.752"</f>
        <v>2025-06-27 20:41:08.752</v>
      </c>
      <c r="H1547" t="s">
        <v>22</v>
      </c>
    </row>
    <row r="1548" spans="1:10" x14ac:dyDescent="0.25">
      <c r="A1548" s="1">
        <v>585</v>
      </c>
      <c r="B1548" t="s">
        <v>19</v>
      </c>
      <c r="C1548">
        <v>700</v>
      </c>
      <c r="D1548">
        <v>0</v>
      </c>
      <c r="E1548" t="s">
        <v>24</v>
      </c>
      <c r="F1548" t="s">
        <v>24</v>
      </c>
      <c r="G1548" t="str">
        <f>"2025-06-27 19:41:52.755"</f>
        <v>2025-06-27 19:41:52.755</v>
      </c>
      <c r="H1548" t="s">
        <v>22</v>
      </c>
      <c r="I1548">
        <v>0</v>
      </c>
      <c r="J1548" t="s">
        <v>34</v>
      </c>
    </row>
    <row r="1549" spans="1:10" x14ac:dyDescent="0.25">
      <c r="A1549" s="1">
        <v>586</v>
      </c>
      <c r="B1549" t="s">
        <v>26</v>
      </c>
      <c r="C1549">
        <v>635</v>
      </c>
      <c r="D1549">
        <v>1</v>
      </c>
      <c r="E1549" t="s">
        <v>31</v>
      </c>
      <c r="F1549" t="s">
        <v>32</v>
      </c>
      <c r="G1549" t="str">
        <f>"2025-06-27 15:14:07.185"</f>
        <v>2025-06-27 15:14:07.185</v>
      </c>
      <c r="H1549" t="s">
        <v>22</v>
      </c>
    </row>
    <row r="1550" spans="1:10" x14ac:dyDescent="0.25">
      <c r="A1550" s="1">
        <v>587</v>
      </c>
      <c r="B1550" t="s">
        <v>29</v>
      </c>
      <c r="C1550">
        <v>635</v>
      </c>
      <c r="D1550">
        <v>1</v>
      </c>
      <c r="E1550" t="s">
        <v>31</v>
      </c>
      <c r="F1550" t="s">
        <v>32</v>
      </c>
      <c r="G1550" t="str">
        <f>"2025-06-27 15:10:19.185"</f>
        <v>2025-06-27 15:10:19.185</v>
      </c>
      <c r="H1550" t="s">
        <v>22</v>
      </c>
      <c r="I1550">
        <v>4</v>
      </c>
      <c r="J1550" t="s">
        <v>30</v>
      </c>
    </row>
    <row r="1551" spans="1:10" x14ac:dyDescent="0.25">
      <c r="A1551" s="1">
        <v>588</v>
      </c>
      <c r="B1551" t="s">
        <v>26</v>
      </c>
      <c r="C1551">
        <v>630</v>
      </c>
      <c r="D1551">
        <v>5</v>
      </c>
      <c r="E1551" t="s">
        <v>76</v>
      </c>
      <c r="F1551" t="s">
        <v>77</v>
      </c>
      <c r="G1551" t="str">
        <f>"2025-06-27 14:03:23.985"</f>
        <v>2025-06-27 14:03:23.985</v>
      </c>
      <c r="H1551" t="s">
        <v>78</v>
      </c>
    </row>
    <row r="1552" spans="1:10" x14ac:dyDescent="0.25">
      <c r="A1552" s="1">
        <v>589</v>
      </c>
      <c r="B1552" t="s">
        <v>19</v>
      </c>
      <c r="C1552">
        <v>706</v>
      </c>
      <c r="D1552">
        <v>2</v>
      </c>
      <c r="E1552" t="s">
        <v>20</v>
      </c>
      <c r="F1552" t="s">
        <v>25</v>
      </c>
      <c r="G1552" t="str">
        <f>"2025-06-27 14:02:53.856"</f>
        <v>2025-06-27 14:02:53.856</v>
      </c>
      <c r="H1552" t="s">
        <v>22</v>
      </c>
      <c r="I1552">
        <v>0</v>
      </c>
      <c r="J1552" t="s">
        <v>23</v>
      </c>
    </row>
    <row r="1553" spans="1:10" x14ac:dyDescent="0.25">
      <c r="A1553" s="1">
        <v>590</v>
      </c>
      <c r="B1553" t="s">
        <v>39</v>
      </c>
      <c r="C1553">
        <v>630</v>
      </c>
      <c r="D1553">
        <v>5</v>
      </c>
      <c r="E1553" t="s">
        <v>76</v>
      </c>
      <c r="F1553" t="s">
        <v>77</v>
      </c>
      <c r="G1553" t="str">
        <f>"2025-06-27 13:11:37.685"</f>
        <v>2025-06-27 13:11:37.685</v>
      </c>
      <c r="H1553" t="s">
        <v>78</v>
      </c>
      <c r="I1553">
        <v>0</v>
      </c>
      <c r="J1553" t="s">
        <v>23</v>
      </c>
    </row>
    <row r="1554" spans="1:10" x14ac:dyDescent="0.25">
      <c r="A1554" s="1">
        <v>591</v>
      </c>
      <c r="B1554" t="s">
        <v>26</v>
      </c>
      <c r="C1554">
        <v>635</v>
      </c>
      <c r="D1554">
        <v>1</v>
      </c>
      <c r="E1554" t="s">
        <v>31</v>
      </c>
      <c r="F1554" t="s">
        <v>32</v>
      </c>
      <c r="G1554" t="str">
        <f>"2025-06-27 05:12:36.385"</f>
        <v>2025-06-27 05:12:36.385</v>
      </c>
      <c r="H1554" t="s">
        <v>22</v>
      </c>
    </row>
    <row r="1555" spans="1:10" x14ac:dyDescent="0.25">
      <c r="A1555" s="1">
        <v>592</v>
      </c>
      <c r="B1555" t="s">
        <v>29</v>
      </c>
      <c r="C1555">
        <v>635</v>
      </c>
      <c r="D1555">
        <v>1</v>
      </c>
      <c r="E1555" t="s">
        <v>31</v>
      </c>
      <c r="F1555" t="s">
        <v>32</v>
      </c>
      <c r="G1555" t="str">
        <f>"2025-06-27 05:08:39.385"</f>
        <v>2025-06-27 05:08:39.385</v>
      </c>
      <c r="H1555" t="s">
        <v>22</v>
      </c>
      <c r="I1555">
        <v>1.57</v>
      </c>
      <c r="J1555" t="s">
        <v>33</v>
      </c>
    </row>
    <row r="1556" spans="1:10" x14ac:dyDescent="0.25">
      <c r="A1556" s="1">
        <v>593</v>
      </c>
      <c r="B1556" t="s">
        <v>26</v>
      </c>
      <c r="C1556">
        <v>635</v>
      </c>
      <c r="D1556">
        <v>1</v>
      </c>
      <c r="E1556" t="s">
        <v>31</v>
      </c>
      <c r="F1556" t="s">
        <v>32</v>
      </c>
      <c r="G1556" t="str">
        <f>"2025-06-26 21:29:09.285"</f>
        <v>2025-06-26 21:29:09.285</v>
      </c>
      <c r="H1556" t="s">
        <v>22</v>
      </c>
    </row>
    <row r="1557" spans="1:10" x14ac:dyDescent="0.25">
      <c r="A1557" s="1">
        <v>594</v>
      </c>
      <c r="B1557" t="s">
        <v>29</v>
      </c>
      <c r="C1557">
        <v>635</v>
      </c>
      <c r="D1557">
        <v>1</v>
      </c>
      <c r="E1557" t="s">
        <v>31</v>
      </c>
      <c r="F1557" t="s">
        <v>32</v>
      </c>
      <c r="G1557" t="str">
        <f>"2025-06-26 21:26:07.285"</f>
        <v>2025-06-26 21:26:07.285</v>
      </c>
      <c r="H1557" t="s">
        <v>22</v>
      </c>
      <c r="I1557">
        <v>1.54</v>
      </c>
      <c r="J1557" t="s">
        <v>30</v>
      </c>
    </row>
    <row r="1558" spans="1:10" x14ac:dyDescent="0.25">
      <c r="A1558" s="1">
        <v>595</v>
      </c>
      <c r="B1558" t="s">
        <v>26</v>
      </c>
      <c r="C1558">
        <v>635</v>
      </c>
      <c r="D1558">
        <v>1</v>
      </c>
      <c r="E1558" t="s">
        <v>31</v>
      </c>
      <c r="F1558" t="s">
        <v>32</v>
      </c>
      <c r="G1558" t="str">
        <f>"2025-06-26 21:00:50.285"</f>
        <v>2025-06-26 21:00:50.285</v>
      </c>
      <c r="H1558" t="s">
        <v>22</v>
      </c>
    </row>
    <row r="1559" spans="1:10" x14ac:dyDescent="0.25">
      <c r="A1559" s="1">
        <v>596</v>
      </c>
      <c r="B1559" t="s">
        <v>29</v>
      </c>
      <c r="C1559">
        <v>635</v>
      </c>
      <c r="D1559">
        <v>1</v>
      </c>
      <c r="E1559" t="s">
        <v>31</v>
      </c>
      <c r="F1559" t="s">
        <v>32</v>
      </c>
      <c r="G1559" t="str">
        <f>"2025-06-26 20:57:52.785"</f>
        <v>2025-06-26 20:57:52.785</v>
      </c>
      <c r="H1559" t="s">
        <v>22</v>
      </c>
      <c r="I1559">
        <v>2.19</v>
      </c>
      <c r="J1559" t="s">
        <v>33</v>
      </c>
    </row>
    <row r="1560" spans="1:10" x14ac:dyDescent="0.25">
      <c r="A1560" s="1">
        <v>597</v>
      </c>
      <c r="B1560" t="s">
        <v>19</v>
      </c>
      <c r="C1560">
        <v>700</v>
      </c>
      <c r="D1560">
        <v>0</v>
      </c>
      <c r="E1560" t="s">
        <v>24</v>
      </c>
      <c r="F1560" t="s">
        <v>24</v>
      </c>
      <c r="G1560" t="str">
        <f>"2025-06-26 20:51:39.756"</f>
        <v>2025-06-26 20:51:39.756</v>
      </c>
      <c r="H1560" t="s">
        <v>22</v>
      </c>
      <c r="I1560">
        <v>0</v>
      </c>
      <c r="J1560" t="s">
        <v>34</v>
      </c>
    </row>
    <row r="1561" spans="1:10" x14ac:dyDescent="0.25">
      <c r="A1561" s="1">
        <v>598</v>
      </c>
      <c r="B1561" t="s">
        <v>26</v>
      </c>
      <c r="C1561">
        <v>635</v>
      </c>
      <c r="D1561">
        <v>1</v>
      </c>
      <c r="E1561" t="s">
        <v>31</v>
      </c>
      <c r="F1561" t="s">
        <v>32</v>
      </c>
      <c r="G1561" t="str">
        <f>"2025-06-26 20:48:09.340"</f>
        <v>2025-06-26 20:48:09.340</v>
      </c>
      <c r="H1561" t="s">
        <v>22</v>
      </c>
    </row>
    <row r="1562" spans="1:10" x14ac:dyDescent="0.25">
      <c r="A1562" s="1">
        <v>599</v>
      </c>
      <c r="B1562" t="s">
        <v>29</v>
      </c>
      <c r="C1562">
        <v>635</v>
      </c>
      <c r="D1562">
        <v>1</v>
      </c>
      <c r="E1562" t="s">
        <v>31</v>
      </c>
      <c r="F1562" t="s">
        <v>32</v>
      </c>
      <c r="G1562" t="str">
        <f>"2025-06-26 20:45:26.340"</f>
        <v>2025-06-26 20:45:26.340</v>
      </c>
      <c r="H1562" t="s">
        <v>22</v>
      </c>
      <c r="I1562">
        <v>2.2599999999999998</v>
      </c>
      <c r="J1562" t="s">
        <v>33</v>
      </c>
    </row>
    <row r="1563" spans="1:10" x14ac:dyDescent="0.25">
      <c r="A1563" s="1">
        <v>600</v>
      </c>
      <c r="B1563" t="s">
        <v>26</v>
      </c>
      <c r="C1563">
        <v>630</v>
      </c>
      <c r="D1563">
        <v>5</v>
      </c>
      <c r="E1563" t="s">
        <v>76</v>
      </c>
      <c r="F1563" t="s">
        <v>77</v>
      </c>
      <c r="G1563" t="str">
        <f>"2025-06-26 09:39:39.488"</f>
        <v>2025-06-26 09:39:39.488</v>
      </c>
      <c r="H1563" t="s">
        <v>78</v>
      </c>
    </row>
    <row r="1564" spans="1:10" x14ac:dyDescent="0.25">
      <c r="A1564" s="1">
        <v>601</v>
      </c>
      <c r="B1564" t="s">
        <v>19</v>
      </c>
      <c r="C1564">
        <v>706</v>
      </c>
      <c r="D1564">
        <v>4</v>
      </c>
      <c r="E1564" t="s">
        <v>20</v>
      </c>
      <c r="F1564" t="s">
        <v>21</v>
      </c>
      <c r="G1564" t="str">
        <f>"2025-06-26 09:39:09.371"</f>
        <v>2025-06-26 09:39:09.371</v>
      </c>
      <c r="H1564" t="s">
        <v>22</v>
      </c>
      <c r="I1564">
        <v>0</v>
      </c>
      <c r="J1564" t="s">
        <v>23</v>
      </c>
    </row>
    <row r="1565" spans="1:10" x14ac:dyDescent="0.25">
      <c r="A1565" s="1">
        <v>602</v>
      </c>
      <c r="B1565" t="s">
        <v>39</v>
      </c>
      <c r="C1565">
        <v>630</v>
      </c>
      <c r="D1565">
        <v>5</v>
      </c>
      <c r="E1565" t="s">
        <v>76</v>
      </c>
      <c r="F1565" t="s">
        <v>77</v>
      </c>
      <c r="G1565" t="str">
        <f>"2025-06-26 09:35:44.288"</f>
        <v>2025-06-26 09:35:44.288</v>
      </c>
      <c r="H1565" t="s">
        <v>78</v>
      </c>
      <c r="I1565">
        <v>0</v>
      </c>
      <c r="J1565" t="s">
        <v>23</v>
      </c>
    </row>
    <row r="1566" spans="1:10" x14ac:dyDescent="0.25">
      <c r="A1566" s="1">
        <v>603</v>
      </c>
      <c r="B1566" t="s">
        <v>26</v>
      </c>
      <c r="C1566">
        <v>635</v>
      </c>
      <c r="D1566">
        <v>1</v>
      </c>
      <c r="E1566" t="s">
        <v>31</v>
      </c>
      <c r="F1566" t="s">
        <v>32</v>
      </c>
      <c r="G1566" t="str">
        <f>"2025-06-25 23:56:08.840"</f>
        <v>2025-06-25 23:56:08.840</v>
      </c>
      <c r="H1566" t="s">
        <v>22</v>
      </c>
    </row>
    <row r="1567" spans="1:10" x14ac:dyDescent="0.25">
      <c r="A1567" s="1">
        <v>604</v>
      </c>
      <c r="B1567" t="s">
        <v>29</v>
      </c>
      <c r="C1567">
        <v>635</v>
      </c>
      <c r="D1567">
        <v>1</v>
      </c>
      <c r="E1567" t="s">
        <v>31</v>
      </c>
      <c r="F1567" t="s">
        <v>32</v>
      </c>
      <c r="G1567" t="str">
        <f>"2025-06-25 23:53:12.340"</f>
        <v>2025-06-25 23:53:12.340</v>
      </c>
      <c r="H1567" t="s">
        <v>22</v>
      </c>
      <c r="I1567">
        <v>1.93</v>
      </c>
      <c r="J1567" t="s">
        <v>33</v>
      </c>
    </row>
    <row r="1568" spans="1:10" x14ac:dyDescent="0.25">
      <c r="A1568" s="1">
        <v>605</v>
      </c>
      <c r="B1568" t="s">
        <v>19</v>
      </c>
      <c r="C1568">
        <v>700</v>
      </c>
      <c r="D1568">
        <v>0</v>
      </c>
      <c r="E1568" t="s">
        <v>24</v>
      </c>
      <c r="F1568" t="s">
        <v>24</v>
      </c>
      <c r="G1568" t="str">
        <f>"2025-06-25 19:42:45.751"</f>
        <v>2025-06-25 19:42:45.751</v>
      </c>
      <c r="H1568" t="s">
        <v>22</v>
      </c>
      <c r="I1568">
        <v>0</v>
      </c>
      <c r="J1568" t="s">
        <v>34</v>
      </c>
    </row>
    <row r="1569" spans="1:10" x14ac:dyDescent="0.25">
      <c r="A1569" s="1">
        <v>606</v>
      </c>
      <c r="B1569" t="s">
        <v>19</v>
      </c>
      <c r="C1569">
        <v>706</v>
      </c>
      <c r="D1569">
        <v>2</v>
      </c>
      <c r="E1569" t="s">
        <v>20</v>
      </c>
      <c r="F1569" t="s">
        <v>25</v>
      </c>
      <c r="G1569" t="str">
        <f>"2025-06-24 20:17:00.043"</f>
        <v>2025-06-24 20:17:00.043</v>
      </c>
      <c r="H1569" t="s">
        <v>22</v>
      </c>
      <c r="I1569">
        <v>0</v>
      </c>
      <c r="J1569" t="s">
        <v>23</v>
      </c>
    </row>
    <row r="1570" spans="1:10" x14ac:dyDescent="0.25">
      <c r="A1570" s="1">
        <v>607</v>
      </c>
      <c r="B1570" t="s">
        <v>19</v>
      </c>
      <c r="C1570">
        <v>700</v>
      </c>
      <c r="D1570">
        <v>0</v>
      </c>
      <c r="E1570" t="s">
        <v>24</v>
      </c>
      <c r="F1570" t="s">
        <v>24</v>
      </c>
      <c r="G1570" t="str">
        <f>"2025-06-24 19:43:44.773"</f>
        <v>2025-06-24 19:43:44.773</v>
      </c>
      <c r="H1570" t="s">
        <v>22</v>
      </c>
      <c r="I1570">
        <v>0</v>
      </c>
      <c r="J1570" t="s">
        <v>34</v>
      </c>
    </row>
    <row r="1571" spans="1:10" x14ac:dyDescent="0.25">
      <c r="A1571" s="1">
        <v>608</v>
      </c>
      <c r="B1571" t="s">
        <v>19</v>
      </c>
      <c r="C1571">
        <v>706</v>
      </c>
      <c r="D1571">
        <v>4</v>
      </c>
      <c r="E1571" t="s">
        <v>20</v>
      </c>
      <c r="F1571" t="s">
        <v>21</v>
      </c>
      <c r="G1571" t="str">
        <f>"2025-06-24 13:08:51.472"</f>
        <v>2025-06-24 13:08:51.472</v>
      </c>
      <c r="H1571" t="s">
        <v>22</v>
      </c>
      <c r="I1571">
        <v>0</v>
      </c>
      <c r="J1571" t="s">
        <v>23</v>
      </c>
    </row>
    <row r="1572" spans="1:10" x14ac:dyDescent="0.25">
      <c r="A1572" s="1">
        <v>609</v>
      </c>
      <c r="B1572" t="s">
        <v>19</v>
      </c>
      <c r="C1572">
        <v>706</v>
      </c>
      <c r="D1572">
        <v>4</v>
      </c>
      <c r="E1572" t="s">
        <v>20</v>
      </c>
      <c r="F1572" t="s">
        <v>21</v>
      </c>
      <c r="G1572" t="str">
        <f>"2025-06-24 12:54:38.202"</f>
        <v>2025-06-24 12:54:38.202</v>
      </c>
      <c r="H1572" t="s">
        <v>22</v>
      </c>
      <c r="I1572">
        <v>0</v>
      </c>
      <c r="J1572" t="s">
        <v>23</v>
      </c>
    </row>
    <row r="1573" spans="1:10" x14ac:dyDescent="0.25">
      <c r="A1573" s="1">
        <v>610</v>
      </c>
      <c r="B1573" t="s">
        <v>19</v>
      </c>
      <c r="C1573">
        <v>700</v>
      </c>
      <c r="D1573">
        <v>0</v>
      </c>
      <c r="E1573" t="s">
        <v>24</v>
      </c>
      <c r="F1573" t="s">
        <v>24</v>
      </c>
      <c r="G1573" t="str">
        <f>"2025-06-23 19:55:30.752"</f>
        <v>2025-06-23 19:55:30.752</v>
      </c>
      <c r="H1573" t="s">
        <v>22</v>
      </c>
      <c r="I1573">
        <v>0</v>
      </c>
      <c r="J1573" t="s">
        <v>34</v>
      </c>
    </row>
    <row r="1574" spans="1:10" x14ac:dyDescent="0.25">
      <c r="A1574" s="1">
        <v>611</v>
      </c>
      <c r="B1574" t="s">
        <v>26</v>
      </c>
      <c r="C1574">
        <v>635</v>
      </c>
      <c r="D1574">
        <v>1</v>
      </c>
      <c r="E1574" t="s">
        <v>31</v>
      </c>
      <c r="F1574" t="s">
        <v>32</v>
      </c>
      <c r="G1574" t="str">
        <f>"2025-06-23 03:08:46.540"</f>
        <v>2025-06-23 03:08:46.540</v>
      </c>
      <c r="H1574" t="s">
        <v>22</v>
      </c>
    </row>
    <row r="1575" spans="1:10" x14ac:dyDescent="0.25">
      <c r="A1575" s="1">
        <v>612</v>
      </c>
      <c r="B1575" t="s">
        <v>29</v>
      </c>
      <c r="C1575">
        <v>635</v>
      </c>
      <c r="D1575">
        <v>1</v>
      </c>
      <c r="E1575" t="s">
        <v>31</v>
      </c>
      <c r="F1575" t="s">
        <v>32</v>
      </c>
      <c r="G1575" t="str">
        <f>"2025-06-23 03:05:20.541"</f>
        <v>2025-06-23 03:05:20.541</v>
      </c>
      <c r="H1575" t="s">
        <v>22</v>
      </c>
      <c r="I1575">
        <v>0</v>
      </c>
      <c r="J1575" t="s">
        <v>52</v>
      </c>
    </row>
    <row r="1576" spans="1:10" x14ac:dyDescent="0.25">
      <c r="A1576" s="1">
        <v>613</v>
      </c>
      <c r="B1576" t="s">
        <v>19</v>
      </c>
      <c r="C1576">
        <v>700</v>
      </c>
      <c r="D1576">
        <v>0</v>
      </c>
      <c r="E1576" t="s">
        <v>24</v>
      </c>
      <c r="F1576" t="s">
        <v>24</v>
      </c>
      <c r="G1576" t="str">
        <f>"2025-06-22 20:21:43.782"</f>
        <v>2025-06-22 20:21:43.782</v>
      </c>
      <c r="H1576" t="s">
        <v>22</v>
      </c>
    </row>
    <row r="1577" spans="1:10" x14ac:dyDescent="0.25">
      <c r="A1577" s="1">
        <v>614</v>
      </c>
      <c r="B1577" t="s">
        <v>26</v>
      </c>
      <c r="C1577">
        <v>635</v>
      </c>
      <c r="D1577">
        <v>1</v>
      </c>
      <c r="E1577" t="s">
        <v>31</v>
      </c>
      <c r="F1577" t="s">
        <v>32</v>
      </c>
      <c r="G1577" t="str">
        <f>"2025-06-22 02:01:00.091"</f>
        <v>2025-06-22 02:01:00.091</v>
      </c>
      <c r="H1577" t="s">
        <v>22</v>
      </c>
    </row>
    <row r="1578" spans="1:10" x14ac:dyDescent="0.25">
      <c r="A1578" s="1">
        <v>615</v>
      </c>
      <c r="B1578" t="s">
        <v>29</v>
      </c>
      <c r="C1578">
        <v>635</v>
      </c>
      <c r="D1578">
        <v>1</v>
      </c>
      <c r="E1578" t="s">
        <v>31</v>
      </c>
      <c r="F1578" t="s">
        <v>32</v>
      </c>
      <c r="G1578" t="str">
        <f>"2025-06-22 01:55:28.091"</f>
        <v>2025-06-22 01:55:28.091</v>
      </c>
      <c r="H1578" t="s">
        <v>22</v>
      </c>
      <c r="I1578">
        <v>5.79</v>
      </c>
      <c r="J1578" t="s">
        <v>33</v>
      </c>
    </row>
    <row r="1579" spans="1:10" x14ac:dyDescent="0.25">
      <c r="A1579" s="1">
        <v>616</v>
      </c>
      <c r="B1579" t="s">
        <v>26</v>
      </c>
      <c r="C1579">
        <v>630</v>
      </c>
      <c r="D1579">
        <v>5</v>
      </c>
      <c r="E1579" t="s">
        <v>76</v>
      </c>
      <c r="F1579" t="s">
        <v>77</v>
      </c>
      <c r="G1579" t="str">
        <f>"2025-06-21 22:19:55.691"</f>
        <v>2025-06-21 22:19:55.691</v>
      </c>
      <c r="H1579" t="s">
        <v>78</v>
      </c>
    </row>
    <row r="1580" spans="1:10" x14ac:dyDescent="0.25">
      <c r="A1580" s="1">
        <v>617</v>
      </c>
      <c r="B1580" t="s">
        <v>19</v>
      </c>
      <c r="C1580">
        <v>706</v>
      </c>
      <c r="D1580">
        <v>2</v>
      </c>
      <c r="E1580" t="s">
        <v>20</v>
      </c>
      <c r="F1580" t="s">
        <v>25</v>
      </c>
      <c r="G1580" t="str">
        <f>"2025-06-21 22:19:25.534"</f>
        <v>2025-06-21 22:19:25.534</v>
      </c>
      <c r="H1580" t="s">
        <v>22</v>
      </c>
      <c r="I1580">
        <v>0</v>
      </c>
      <c r="J1580" t="s">
        <v>23</v>
      </c>
    </row>
    <row r="1581" spans="1:10" x14ac:dyDescent="0.25">
      <c r="A1581" s="1">
        <v>618</v>
      </c>
      <c r="B1581" t="s">
        <v>39</v>
      </c>
      <c r="C1581">
        <v>630</v>
      </c>
      <c r="D1581">
        <v>5</v>
      </c>
      <c r="E1581" t="s">
        <v>76</v>
      </c>
      <c r="F1581" t="s">
        <v>77</v>
      </c>
      <c r="G1581" t="str">
        <f>"2025-06-21 22:18:21.292"</f>
        <v>2025-06-21 22:18:21.292</v>
      </c>
      <c r="H1581" t="s">
        <v>78</v>
      </c>
      <c r="I1581">
        <v>0</v>
      </c>
      <c r="J1581" t="s">
        <v>23</v>
      </c>
    </row>
    <row r="1582" spans="1:10" x14ac:dyDescent="0.25">
      <c r="A1582" s="1">
        <v>619</v>
      </c>
      <c r="B1582" t="s">
        <v>19</v>
      </c>
      <c r="C1582">
        <v>700</v>
      </c>
      <c r="D1582">
        <v>0</v>
      </c>
      <c r="E1582" t="s">
        <v>24</v>
      </c>
      <c r="F1582" t="s">
        <v>24</v>
      </c>
      <c r="G1582" t="str">
        <f>"2025-06-21 19:41:09.754"</f>
        <v>2025-06-21 19:41:09.754</v>
      </c>
      <c r="H1582" t="s">
        <v>22</v>
      </c>
      <c r="I1582">
        <v>0</v>
      </c>
      <c r="J1582" t="s">
        <v>34</v>
      </c>
    </row>
    <row r="1583" spans="1:10" x14ac:dyDescent="0.25">
      <c r="A1583" s="1">
        <v>620</v>
      </c>
      <c r="B1583" t="s">
        <v>19</v>
      </c>
      <c r="C1583">
        <v>706</v>
      </c>
      <c r="D1583">
        <v>2</v>
      </c>
      <c r="E1583" t="s">
        <v>20</v>
      </c>
      <c r="F1583" t="s">
        <v>25</v>
      </c>
      <c r="G1583" t="str">
        <f>"2025-06-21 11:34:16.472"</f>
        <v>2025-06-21 11:34:16.472</v>
      </c>
      <c r="H1583" t="s">
        <v>22</v>
      </c>
      <c r="I1583">
        <v>0</v>
      </c>
      <c r="J1583" t="s">
        <v>23</v>
      </c>
    </row>
    <row r="1584" spans="1:10" x14ac:dyDescent="0.25">
      <c r="A1584" s="1">
        <v>621</v>
      </c>
      <c r="B1584" t="s">
        <v>19</v>
      </c>
      <c r="C1584">
        <v>700</v>
      </c>
      <c r="D1584">
        <v>0</v>
      </c>
      <c r="E1584" t="s">
        <v>24</v>
      </c>
      <c r="F1584" t="s">
        <v>24</v>
      </c>
      <c r="G1584" t="str">
        <f>"2025-06-21 11:29:56.742"</f>
        <v>2025-06-21 11:29:56.742</v>
      </c>
      <c r="H1584" t="s">
        <v>22</v>
      </c>
    </row>
    <row r="1585" spans="1:10" x14ac:dyDescent="0.25">
      <c r="A1585" s="1">
        <v>622</v>
      </c>
      <c r="B1585" t="s">
        <v>19</v>
      </c>
      <c r="C1585">
        <v>706</v>
      </c>
      <c r="D1585">
        <v>2</v>
      </c>
      <c r="E1585" t="s">
        <v>20</v>
      </c>
      <c r="F1585" t="s">
        <v>25</v>
      </c>
      <c r="G1585" t="str">
        <f>"2025-06-21 10:19:58.491"</f>
        <v>2025-06-21 10:19:58.491</v>
      </c>
      <c r="H1585" t="s">
        <v>22</v>
      </c>
      <c r="I1585">
        <v>0</v>
      </c>
      <c r="J1585" t="s">
        <v>23</v>
      </c>
    </row>
    <row r="1586" spans="1:10" x14ac:dyDescent="0.25">
      <c r="A1586" s="1">
        <v>623</v>
      </c>
      <c r="B1586" t="s">
        <v>19</v>
      </c>
      <c r="C1586">
        <v>700</v>
      </c>
      <c r="D1586">
        <v>0</v>
      </c>
      <c r="E1586" t="s">
        <v>24</v>
      </c>
      <c r="F1586" t="s">
        <v>24</v>
      </c>
      <c r="G1586" t="str">
        <f>"2025-06-21 10:16:11.741"</f>
        <v>2025-06-21 10:16:11.741</v>
      </c>
      <c r="H1586" t="s">
        <v>22</v>
      </c>
      <c r="I1586">
        <v>0</v>
      </c>
      <c r="J1586" t="s">
        <v>34</v>
      </c>
    </row>
    <row r="1587" spans="1:10" x14ac:dyDescent="0.25">
      <c r="A1587" s="1">
        <v>624</v>
      </c>
      <c r="B1587" t="s">
        <v>19</v>
      </c>
      <c r="C1587">
        <v>706</v>
      </c>
      <c r="D1587">
        <v>4</v>
      </c>
      <c r="E1587" t="s">
        <v>20</v>
      </c>
      <c r="F1587" t="s">
        <v>21</v>
      </c>
      <c r="G1587" t="str">
        <f>"2025-06-21 10:13:24.218"</f>
        <v>2025-06-21 10:13:24.218</v>
      </c>
      <c r="H1587" t="s">
        <v>22</v>
      </c>
      <c r="I1587">
        <v>0</v>
      </c>
      <c r="J1587" t="s">
        <v>23</v>
      </c>
    </row>
    <row r="1588" spans="1:10" x14ac:dyDescent="0.25">
      <c r="A1588" s="1">
        <v>625</v>
      </c>
      <c r="B1588" t="s">
        <v>19</v>
      </c>
      <c r="C1588">
        <v>700</v>
      </c>
      <c r="D1588">
        <v>0</v>
      </c>
      <c r="E1588" t="s">
        <v>24</v>
      </c>
      <c r="F1588" t="s">
        <v>24</v>
      </c>
      <c r="G1588" t="str">
        <f>"2025-06-21 09:27:33.738"</f>
        <v>2025-06-21 09:27:33.738</v>
      </c>
      <c r="H1588" t="s">
        <v>22</v>
      </c>
    </row>
    <row r="1589" spans="1:10" x14ac:dyDescent="0.25">
      <c r="A1589" s="1">
        <v>626</v>
      </c>
      <c r="B1589" t="s">
        <v>19</v>
      </c>
      <c r="C1589">
        <v>706</v>
      </c>
      <c r="D1589">
        <v>3</v>
      </c>
      <c r="E1589" t="s">
        <v>20</v>
      </c>
      <c r="F1589" t="s">
        <v>49</v>
      </c>
      <c r="G1589" t="str">
        <f>"2025-06-21 09:26:09.879"</f>
        <v>2025-06-21 09:26:09.879</v>
      </c>
      <c r="H1589" t="s">
        <v>22</v>
      </c>
      <c r="I1589">
        <v>0</v>
      </c>
      <c r="J1589" t="s">
        <v>23</v>
      </c>
    </row>
    <row r="1590" spans="1:10" x14ac:dyDescent="0.25">
      <c r="A1590" s="1">
        <v>627</v>
      </c>
      <c r="B1590" t="s">
        <v>19</v>
      </c>
      <c r="C1590">
        <v>700</v>
      </c>
      <c r="D1590">
        <v>0</v>
      </c>
      <c r="E1590" t="s">
        <v>24</v>
      </c>
      <c r="F1590" t="s">
        <v>24</v>
      </c>
      <c r="G1590" t="str">
        <f>"2025-06-21 09:23:41.799"</f>
        <v>2025-06-21 09:23:41.799</v>
      </c>
      <c r="H1590" t="s">
        <v>22</v>
      </c>
      <c r="I1590">
        <v>0</v>
      </c>
      <c r="J1590" t="s">
        <v>34</v>
      </c>
    </row>
    <row r="1591" spans="1:10" x14ac:dyDescent="0.25">
      <c r="A1591" s="1">
        <v>628</v>
      </c>
      <c r="B1591" t="s">
        <v>19</v>
      </c>
      <c r="C1591">
        <v>700</v>
      </c>
      <c r="D1591">
        <v>0</v>
      </c>
      <c r="E1591" t="s">
        <v>24</v>
      </c>
      <c r="F1591" t="s">
        <v>24</v>
      </c>
      <c r="G1591" t="str">
        <f>"2025-06-21 08:50:12.738"</f>
        <v>2025-06-21 08:50:12.738</v>
      </c>
      <c r="H1591" t="s">
        <v>22</v>
      </c>
      <c r="I1591">
        <v>0</v>
      </c>
      <c r="J1591" t="s">
        <v>34</v>
      </c>
    </row>
    <row r="1592" spans="1:10" x14ac:dyDescent="0.25">
      <c r="A1592" s="1">
        <v>629</v>
      </c>
      <c r="B1592" t="s">
        <v>19</v>
      </c>
      <c r="C1592">
        <v>700</v>
      </c>
      <c r="D1592">
        <v>0</v>
      </c>
      <c r="E1592" t="s">
        <v>24</v>
      </c>
      <c r="F1592" t="s">
        <v>24</v>
      </c>
      <c r="G1592" t="str">
        <f>"2025-06-21 08:43:02.757"</f>
        <v>2025-06-21 08:43:02.757</v>
      </c>
      <c r="H1592" t="s">
        <v>22</v>
      </c>
      <c r="I1592">
        <v>0</v>
      </c>
      <c r="J1592" t="s">
        <v>34</v>
      </c>
    </row>
    <row r="1593" spans="1:10" x14ac:dyDescent="0.25">
      <c r="A1593" s="1">
        <v>630</v>
      </c>
      <c r="B1593" t="s">
        <v>26</v>
      </c>
      <c r="C1593">
        <v>635</v>
      </c>
      <c r="D1593">
        <v>1</v>
      </c>
      <c r="E1593" t="s">
        <v>31</v>
      </c>
      <c r="F1593" t="s">
        <v>32</v>
      </c>
      <c r="G1593" t="str">
        <f>"2025-06-19 18:02:55.874"</f>
        <v>2025-06-19 18:02:55.874</v>
      </c>
      <c r="H1593" t="s">
        <v>22</v>
      </c>
    </row>
    <row r="1594" spans="1:10" x14ac:dyDescent="0.25">
      <c r="A1594" s="1">
        <v>631</v>
      </c>
      <c r="B1594" t="s">
        <v>29</v>
      </c>
      <c r="C1594">
        <v>635</v>
      </c>
      <c r="D1594">
        <v>1</v>
      </c>
      <c r="E1594" t="s">
        <v>31</v>
      </c>
      <c r="F1594" t="s">
        <v>32</v>
      </c>
      <c r="G1594" t="str">
        <f>"2025-06-19 17:58:57.374"</f>
        <v>2025-06-19 17:58:57.374</v>
      </c>
      <c r="H1594" t="s">
        <v>22</v>
      </c>
      <c r="I1594">
        <v>3.92</v>
      </c>
      <c r="J1594" t="s">
        <v>33</v>
      </c>
    </row>
    <row r="1595" spans="1:10" x14ac:dyDescent="0.25">
      <c r="A1595" s="1">
        <v>632</v>
      </c>
      <c r="B1595" t="s">
        <v>26</v>
      </c>
      <c r="C1595">
        <v>630</v>
      </c>
      <c r="D1595">
        <v>5</v>
      </c>
      <c r="E1595" t="s">
        <v>76</v>
      </c>
      <c r="F1595" t="s">
        <v>77</v>
      </c>
      <c r="G1595" t="str">
        <f>"2025-06-19 16:39:44.475"</f>
        <v>2025-06-19 16:39:44.475</v>
      </c>
      <c r="H1595" t="s">
        <v>78</v>
      </c>
    </row>
    <row r="1596" spans="1:10" x14ac:dyDescent="0.25">
      <c r="A1596" s="1">
        <v>633</v>
      </c>
      <c r="B1596" t="s">
        <v>19</v>
      </c>
      <c r="C1596">
        <v>706</v>
      </c>
      <c r="D1596">
        <v>4</v>
      </c>
      <c r="E1596" t="s">
        <v>20</v>
      </c>
      <c r="F1596" t="s">
        <v>21</v>
      </c>
      <c r="G1596" t="str">
        <f>"2025-06-19 16:39:14.381"</f>
        <v>2025-06-19 16:39:14.381</v>
      </c>
      <c r="H1596" t="s">
        <v>22</v>
      </c>
      <c r="I1596">
        <v>0</v>
      </c>
      <c r="J1596" t="s">
        <v>23</v>
      </c>
    </row>
    <row r="1597" spans="1:10" x14ac:dyDescent="0.25">
      <c r="A1597" s="1">
        <v>634</v>
      </c>
      <c r="B1597" t="s">
        <v>39</v>
      </c>
      <c r="C1597">
        <v>630</v>
      </c>
      <c r="D1597">
        <v>5</v>
      </c>
      <c r="E1597" t="s">
        <v>76</v>
      </c>
      <c r="F1597" t="s">
        <v>77</v>
      </c>
      <c r="G1597" t="str">
        <f>"2025-06-19 16:36:36.275"</f>
        <v>2025-06-19 16:36:36.275</v>
      </c>
      <c r="H1597" t="s">
        <v>78</v>
      </c>
      <c r="I1597">
        <v>0</v>
      </c>
      <c r="J1597" t="s">
        <v>23</v>
      </c>
    </row>
    <row r="1598" spans="1:10" x14ac:dyDescent="0.25">
      <c r="A1598" s="1">
        <v>635</v>
      </c>
      <c r="B1598" t="s">
        <v>26</v>
      </c>
      <c r="C1598">
        <v>635</v>
      </c>
      <c r="D1598">
        <v>1</v>
      </c>
      <c r="E1598" t="s">
        <v>31</v>
      </c>
      <c r="F1598" t="s">
        <v>32</v>
      </c>
      <c r="G1598" t="str">
        <f>"2025-06-19 10:37:34.273"</f>
        <v>2025-06-19 10:37:34.273</v>
      </c>
      <c r="H1598" t="s">
        <v>22</v>
      </c>
    </row>
    <row r="1599" spans="1:10" x14ac:dyDescent="0.25">
      <c r="A1599" s="1">
        <v>636</v>
      </c>
      <c r="B1599" t="s">
        <v>29</v>
      </c>
      <c r="C1599">
        <v>635</v>
      </c>
      <c r="D1599">
        <v>1</v>
      </c>
      <c r="E1599" t="s">
        <v>31</v>
      </c>
      <c r="F1599" t="s">
        <v>32</v>
      </c>
      <c r="G1599" t="str">
        <f>"2025-06-19 10:30:49.274"</f>
        <v>2025-06-19 10:30:49.274</v>
      </c>
      <c r="H1599" t="s">
        <v>22</v>
      </c>
      <c r="I1599">
        <v>1.38</v>
      </c>
      <c r="J1599" t="s">
        <v>33</v>
      </c>
    </row>
    <row r="1600" spans="1:10" s="3" customFormat="1" x14ac:dyDescent="0.25">
      <c r="A1600" s="2">
        <v>637</v>
      </c>
      <c r="B1600" s="3" t="s">
        <v>26</v>
      </c>
      <c r="C1600" s="3">
        <v>647</v>
      </c>
      <c r="D1600" s="3">
        <v>1</v>
      </c>
      <c r="E1600" s="3" t="s">
        <v>27</v>
      </c>
      <c r="F1600" s="3" t="s">
        <v>28</v>
      </c>
      <c r="G1600" s="3" t="str">
        <f>"2025-06-19 04:31:41.175"</f>
        <v>2025-06-19 04:31:41.175</v>
      </c>
      <c r="H1600" s="3" t="s">
        <v>22</v>
      </c>
    </row>
    <row r="1601" spans="1:10" s="3" customFormat="1" x14ac:dyDescent="0.25">
      <c r="A1601" s="2">
        <v>638</v>
      </c>
      <c r="B1601" s="3" t="s">
        <v>29</v>
      </c>
      <c r="C1601" s="3">
        <v>647</v>
      </c>
      <c r="D1601" s="3">
        <v>1</v>
      </c>
      <c r="E1601" s="3" t="s">
        <v>27</v>
      </c>
      <c r="F1601" s="3" t="s">
        <v>28</v>
      </c>
      <c r="G1601" s="3" t="str">
        <f>"2025-06-19 04:31:39.575"</f>
        <v>2025-06-19 04:31:39.575</v>
      </c>
      <c r="H1601" s="3" t="s">
        <v>22</v>
      </c>
      <c r="I1601" s="3">
        <v>10.33</v>
      </c>
      <c r="J1601" s="3" t="s">
        <v>52</v>
      </c>
    </row>
    <row r="1602" spans="1:10" x14ac:dyDescent="0.25">
      <c r="A1602" s="1">
        <v>639</v>
      </c>
      <c r="B1602" t="s">
        <v>26</v>
      </c>
      <c r="C1602">
        <v>630</v>
      </c>
      <c r="D1602">
        <v>5</v>
      </c>
      <c r="E1602" t="s">
        <v>76</v>
      </c>
      <c r="F1602" t="s">
        <v>77</v>
      </c>
      <c r="G1602" t="str">
        <f>"2025-06-18 21:38:11.675"</f>
        <v>2025-06-18 21:38:11.675</v>
      </c>
      <c r="H1602" t="s">
        <v>78</v>
      </c>
    </row>
    <row r="1603" spans="1:10" x14ac:dyDescent="0.25">
      <c r="A1603" s="1">
        <v>640</v>
      </c>
      <c r="B1603" t="s">
        <v>19</v>
      </c>
      <c r="C1603">
        <v>706</v>
      </c>
      <c r="D1603">
        <v>4</v>
      </c>
      <c r="E1603" t="s">
        <v>20</v>
      </c>
      <c r="F1603" t="s">
        <v>21</v>
      </c>
      <c r="G1603" t="str">
        <f>"2025-06-18 21:37:41.531"</f>
        <v>2025-06-18 21:37:41.531</v>
      </c>
      <c r="H1603" t="s">
        <v>22</v>
      </c>
      <c r="I1603">
        <v>0</v>
      </c>
      <c r="J1603" t="s">
        <v>23</v>
      </c>
    </row>
    <row r="1604" spans="1:10" x14ac:dyDescent="0.25">
      <c r="A1604" s="1">
        <v>641</v>
      </c>
      <c r="B1604" t="s">
        <v>39</v>
      </c>
      <c r="C1604">
        <v>630</v>
      </c>
      <c r="D1604">
        <v>5</v>
      </c>
      <c r="E1604" t="s">
        <v>76</v>
      </c>
      <c r="F1604" t="s">
        <v>77</v>
      </c>
      <c r="G1604" t="str">
        <f>"2025-06-18 21:33:48.775"</f>
        <v>2025-06-18 21:33:48.775</v>
      </c>
      <c r="H1604" t="s">
        <v>78</v>
      </c>
      <c r="I1604">
        <v>0</v>
      </c>
      <c r="J1604" t="s">
        <v>23</v>
      </c>
    </row>
    <row r="1605" spans="1:10" s="3" customFormat="1" x14ac:dyDescent="0.25">
      <c r="A1605" s="2">
        <v>642</v>
      </c>
      <c r="B1605" s="3" t="s">
        <v>26</v>
      </c>
      <c r="C1605" s="3">
        <v>647</v>
      </c>
      <c r="D1605" s="3">
        <v>1</v>
      </c>
      <c r="E1605" s="3" t="s">
        <v>27</v>
      </c>
      <c r="F1605" s="3" t="s">
        <v>28</v>
      </c>
      <c r="G1605" s="3" t="str">
        <f>"2025-06-18 08:01:38.975"</f>
        <v>2025-06-18 08:01:38.975</v>
      </c>
      <c r="H1605" s="3" t="s">
        <v>22</v>
      </c>
    </row>
    <row r="1606" spans="1:10" s="3" customFormat="1" x14ac:dyDescent="0.25">
      <c r="A1606" s="2">
        <v>643</v>
      </c>
      <c r="B1606" s="3" t="s">
        <v>29</v>
      </c>
      <c r="C1606" s="3">
        <v>647</v>
      </c>
      <c r="D1606" s="3">
        <v>1</v>
      </c>
      <c r="E1606" s="3" t="s">
        <v>27</v>
      </c>
      <c r="F1606" s="3" t="s">
        <v>28</v>
      </c>
      <c r="G1606" s="3" t="str">
        <f>"2025-06-18 08:01:26.775"</f>
        <v>2025-06-18 08:01:26.775</v>
      </c>
      <c r="H1606" s="3" t="s">
        <v>22</v>
      </c>
      <c r="I1606" s="3">
        <v>11.83</v>
      </c>
      <c r="J1606" s="3" t="s">
        <v>30</v>
      </c>
    </row>
    <row r="1607" spans="1:10" x14ac:dyDescent="0.25">
      <c r="A1607" s="1">
        <v>644</v>
      </c>
      <c r="B1607" t="s">
        <v>26</v>
      </c>
      <c r="C1607">
        <v>630</v>
      </c>
      <c r="D1607">
        <v>5</v>
      </c>
      <c r="E1607" t="s">
        <v>76</v>
      </c>
      <c r="F1607" t="s">
        <v>77</v>
      </c>
      <c r="G1607" t="str">
        <f>"2025-06-17 20:36:29.875"</f>
        <v>2025-06-17 20:36:29.875</v>
      </c>
      <c r="H1607" t="s">
        <v>78</v>
      </c>
    </row>
    <row r="1608" spans="1:10" x14ac:dyDescent="0.25">
      <c r="A1608" s="1">
        <v>645</v>
      </c>
      <c r="B1608" t="s">
        <v>19</v>
      </c>
      <c r="C1608">
        <v>706</v>
      </c>
      <c r="D1608">
        <v>2</v>
      </c>
      <c r="E1608" t="s">
        <v>20</v>
      </c>
      <c r="F1608" t="s">
        <v>25</v>
      </c>
      <c r="G1608" t="str">
        <f>"2025-06-17 20:35:59.851"</f>
        <v>2025-06-17 20:35:59.851</v>
      </c>
      <c r="H1608" t="s">
        <v>22</v>
      </c>
      <c r="I1608">
        <v>0</v>
      </c>
      <c r="J1608" t="s">
        <v>23</v>
      </c>
    </row>
    <row r="1609" spans="1:10" x14ac:dyDescent="0.25">
      <c r="A1609" s="1">
        <v>646</v>
      </c>
      <c r="B1609" t="s">
        <v>39</v>
      </c>
      <c r="C1609">
        <v>630</v>
      </c>
      <c r="D1609">
        <v>5</v>
      </c>
      <c r="E1609" t="s">
        <v>76</v>
      </c>
      <c r="F1609" t="s">
        <v>77</v>
      </c>
      <c r="G1609" t="str">
        <f>"2025-06-17 20:31:51.875"</f>
        <v>2025-06-17 20:31:51.875</v>
      </c>
      <c r="H1609" t="s">
        <v>78</v>
      </c>
      <c r="I1609">
        <v>0</v>
      </c>
      <c r="J1609" t="s">
        <v>23</v>
      </c>
    </row>
    <row r="1610" spans="1:10" x14ac:dyDescent="0.25">
      <c r="A1610" s="1">
        <v>647</v>
      </c>
      <c r="B1610" t="s">
        <v>19</v>
      </c>
      <c r="C1610">
        <v>706</v>
      </c>
      <c r="D1610">
        <v>2</v>
      </c>
      <c r="E1610" t="s">
        <v>20</v>
      </c>
      <c r="F1610" t="s">
        <v>25</v>
      </c>
      <c r="G1610" t="str">
        <f>"2025-06-17 13:31:42.751"</f>
        <v>2025-06-17 13:31:42.751</v>
      </c>
      <c r="H1610" t="s">
        <v>22</v>
      </c>
      <c r="I1610">
        <v>0</v>
      </c>
      <c r="J1610" t="s">
        <v>23</v>
      </c>
    </row>
    <row r="1611" spans="1:10" x14ac:dyDescent="0.25">
      <c r="A1611" s="1">
        <v>648</v>
      </c>
      <c r="B1611" t="s">
        <v>26</v>
      </c>
      <c r="C1611">
        <v>630</v>
      </c>
      <c r="D1611">
        <v>5</v>
      </c>
      <c r="E1611" t="s">
        <v>76</v>
      </c>
      <c r="F1611" t="s">
        <v>77</v>
      </c>
      <c r="G1611" t="str">
        <f>"2025-06-17 13:07:41.475"</f>
        <v>2025-06-17 13:07:41.475</v>
      </c>
      <c r="H1611" t="s">
        <v>78</v>
      </c>
    </row>
    <row r="1612" spans="1:10" x14ac:dyDescent="0.25">
      <c r="A1612" s="1">
        <v>649</v>
      </c>
      <c r="B1612" t="s">
        <v>39</v>
      </c>
      <c r="C1612">
        <v>630</v>
      </c>
      <c r="D1612">
        <v>5</v>
      </c>
      <c r="E1612" t="s">
        <v>76</v>
      </c>
      <c r="F1612" t="s">
        <v>77</v>
      </c>
      <c r="G1612" t="str">
        <f>"2025-06-17 13:04:36.775"</f>
        <v>2025-06-17 13:04:36.775</v>
      </c>
      <c r="H1612" t="s">
        <v>78</v>
      </c>
      <c r="I1612">
        <v>0</v>
      </c>
      <c r="J1612" t="s">
        <v>23</v>
      </c>
    </row>
    <row r="1613" spans="1:10" x14ac:dyDescent="0.25">
      <c r="A1613" s="1">
        <v>650</v>
      </c>
      <c r="B1613" t="s">
        <v>19</v>
      </c>
      <c r="C1613">
        <v>706</v>
      </c>
      <c r="D1613">
        <v>4</v>
      </c>
      <c r="E1613" t="s">
        <v>20</v>
      </c>
      <c r="F1613" t="s">
        <v>21</v>
      </c>
      <c r="G1613" t="str">
        <f>"2025-06-16 20:44:03.341"</f>
        <v>2025-06-16 20:44:03.341</v>
      </c>
      <c r="H1613" t="s">
        <v>22</v>
      </c>
      <c r="I1613">
        <v>0</v>
      </c>
      <c r="J1613" t="s">
        <v>23</v>
      </c>
    </row>
    <row r="1614" spans="1:10" x14ac:dyDescent="0.25">
      <c r="A1614" s="1">
        <v>651</v>
      </c>
      <c r="B1614" t="s">
        <v>26</v>
      </c>
      <c r="C1614">
        <v>630</v>
      </c>
      <c r="D1614">
        <v>5</v>
      </c>
      <c r="E1614" t="s">
        <v>76</v>
      </c>
      <c r="F1614" t="s">
        <v>77</v>
      </c>
      <c r="G1614" t="str">
        <f>"2025-06-16 20:43:13.975"</f>
        <v>2025-06-16 20:43:13.975</v>
      </c>
      <c r="H1614" t="s">
        <v>78</v>
      </c>
    </row>
    <row r="1615" spans="1:10" x14ac:dyDescent="0.25">
      <c r="A1615" s="1">
        <v>652</v>
      </c>
      <c r="B1615" t="s">
        <v>39</v>
      </c>
      <c r="C1615">
        <v>630</v>
      </c>
      <c r="D1615">
        <v>5</v>
      </c>
      <c r="E1615" t="s">
        <v>76</v>
      </c>
      <c r="F1615" t="s">
        <v>77</v>
      </c>
      <c r="G1615" t="str">
        <f>"2025-06-16 20:37:49.675"</f>
        <v>2025-06-16 20:37:49.675</v>
      </c>
      <c r="H1615" t="s">
        <v>78</v>
      </c>
      <c r="I1615">
        <v>0</v>
      </c>
      <c r="J1615" t="s">
        <v>23</v>
      </c>
    </row>
    <row r="1616" spans="1:10" x14ac:dyDescent="0.25">
      <c r="A1616" s="1">
        <v>653</v>
      </c>
      <c r="B1616" t="s">
        <v>26</v>
      </c>
      <c r="C1616">
        <v>635</v>
      </c>
      <c r="D1616">
        <v>1</v>
      </c>
      <c r="E1616" t="s">
        <v>31</v>
      </c>
      <c r="F1616" t="s">
        <v>32</v>
      </c>
      <c r="G1616" t="str">
        <f>"2025-06-16 16:04:10.674"</f>
        <v>2025-06-16 16:04:10.674</v>
      </c>
      <c r="H1616" t="s">
        <v>22</v>
      </c>
    </row>
    <row r="1617" spans="1:10" x14ac:dyDescent="0.25">
      <c r="A1617" s="1">
        <v>654</v>
      </c>
      <c r="B1617" t="s">
        <v>29</v>
      </c>
      <c r="C1617">
        <v>635</v>
      </c>
      <c r="D1617">
        <v>1</v>
      </c>
      <c r="E1617" t="s">
        <v>31</v>
      </c>
      <c r="F1617" t="s">
        <v>32</v>
      </c>
      <c r="G1617" t="str">
        <f>"2025-06-16 15:56:48.674"</f>
        <v>2025-06-16 15:56:48.674</v>
      </c>
      <c r="H1617" t="s">
        <v>22</v>
      </c>
      <c r="I1617">
        <v>6.42</v>
      </c>
      <c r="J1617" t="s">
        <v>33</v>
      </c>
    </row>
    <row r="1618" spans="1:10" x14ac:dyDescent="0.25">
      <c r="A1618" s="1">
        <v>656</v>
      </c>
      <c r="B1618" t="s">
        <v>26</v>
      </c>
      <c r="C1618">
        <v>635</v>
      </c>
      <c r="D1618">
        <v>1</v>
      </c>
      <c r="E1618" t="s">
        <v>31</v>
      </c>
      <c r="F1618" t="s">
        <v>32</v>
      </c>
      <c r="G1618" t="str">
        <f>"2025-06-16 10:22:37.374"</f>
        <v>2025-06-16 10:22:37.374</v>
      </c>
      <c r="H1618" t="s">
        <v>22</v>
      </c>
    </row>
    <row r="1619" spans="1:10" x14ac:dyDescent="0.25">
      <c r="A1619" s="1">
        <v>657</v>
      </c>
      <c r="B1619" t="s">
        <v>29</v>
      </c>
      <c r="C1619">
        <v>635</v>
      </c>
      <c r="D1619">
        <v>1</v>
      </c>
      <c r="E1619" t="s">
        <v>31</v>
      </c>
      <c r="F1619" t="s">
        <v>32</v>
      </c>
      <c r="G1619" t="str">
        <f>"2025-06-16 10:15:56.874"</f>
        <v>2025-06-16 10:15:56.874</v>
      </c>
      <c r="H1619" t="s">
        <v>22</v>
      </c>
      <c r="I1619">
        <v>9.36</v>
      </c>
      <c r="J1619" t="s">
        <v>33</v>
      </c>
    </row>
    <row r="1620" spans="1:10" x14ac:dyDescent="0.25">
      <c r="A1620" s="1">
        <v>658</v>
      </c>
      <c r="B1620" t="s">
        <v>26</v>
      </c>
      <c r="C1620">
        <v>630</v>
      </c>
      <c r="D1620">
        <v>5</v>
      </c>
      <c r="E1620" t="s">
        <v>76</v>
      </c>
      <c r="F1620" t="s">
        <v>77</v>
      </c>
      <c r="G1620" t="str">
        <f>"2025-06-14 19:50:55.275"</f>
        <v>2025-06-14 19:50:55.275</v>
      </c>
      <c r="H1620" t="s">
        <v>78</v>
      </c>
    </row>
    <row r="1621" spans="1:10" x14ac:dyDescent="0.25">
      <c r="A1621" s="1">
        <v>659</v>
      </c>
      <c r="B1621" t="s">
        <v>19</v>
      </c>
      <c r="C1621">
        <v>706</v>
      </c>
      <c r="D1621">
        <v>4</v>
      </c>
      <c r="E1621" t="s">
        <v>20</v>
      </c>
      <c r="F1621" t="s">
        <v>21</v>
      </c>
      <c r="G1621" t="str">
        <f>"2025-06-14 19:50:25.251"</f>
        <v>2025-06-14 19:50:25.251</v>
      </c>
      <c r="H1621" t="s">
        <v>22</v>
      </c>
      <c r="I1621">
        <v>0</v>
      </c>
      <c r="J1621" t="s">
        <v>23</v>
      </c>
    </row>
    <row r="1622" spans="1:10" x14ac:dyDescent="0.25">
      <c r="A1622" s="1">
        <v>660</v>
      </c>
      <c r="B1622" t="s">
        <v>39</v>
      </c>
      <c r="C1622">
        <v>630</v>
      </c>
      <c r="D1622">
        <v>5</v>
      </c>
      <c r="E1622" t="s">
        <v>76</v>
      </c>
      <c r="F1622" t="s">
        <v>77</v>
      </c>
      <c r="G1622" t="str">
        <f>"2025-06-14 19:45:30.075"</f>
        <v>2025-06-14 19:45:30.075</v>
      </c>
      <c r="H1622" t="s">
        <v>78</v>
      </c>
      <c r="I1622">
        <v>0</v>
      </c>
      <c r="J1622" t="s">
        <v>23</v>
      </c>
    </row>
    <row r="1623" spans="1:10" x14ac:dyDescent="0.25">
      <c r="A1623" s="1">
        <v>661</v>
      </c>
      <c r="B1623" t="s">
        <v>26</v>
      </c>
      <c r="C1623">
        <v>635</v>
      </c>
      <c r="D1623">
        <v>1</v>
      </c>
      <c r="E1623" t="s">
        <v>31</v>
      </c>
      <c r="F1623" t="s">
        <v>32</v>
      </c>
      <c r="G1623" t="str">
        <f>"2025-06-14 14:36:10.574"</f>
        <v>2025-06-14 14:36:10.574</v>
      </c>
      <c r="H1623" t="s">
        <v>22</v>
      </c>
    </row>
    <row r="1624" spans="1:10" x14ac:dyDescent="0.25">
      <c r="A1624" s="1">
        <v>662</v>
      </c>
      <c r="B1624" t="s">
        <v>29</v>
      </c>
      <c r="C1624">
        <v>635</v>
      </c>
      <c r="D1624">
        <v>1</v>
      </c>
      <c r="E1624" t="s">
        <v>31</v>
      </c>
      <c r="F1624" t="s">
        <v>32</v>
      </c>
      <c r="G1624" t="str">
        <f>"2025-06-14 14:28:52.074"</f>
        <v>2025-06-14 14:28:52.074</v>
      </c>
      <c r="H1624" t="s">
        <v>22</v>
      </c>
      <c r="I1624">
        <v>4.37</v>
      </c>
      <c r="J1624" t="s">
        <v>33</v>
      </c>
    </row>
    <row r="1625" spans="1:10" x14ac:dyDescent="0.25">
      <c r="A1625" s="1">
        <v>663</v>
      </c>
      <c r="B1625" t="s">
        <v>26</v>
      </c>
      <c r="C1625">
        <v>630</v>
      </c>
      <c r="D1625">
        <v>5</v>
      </c>
      <c r="E1625" t="s">
        <v>76</v>
      </c>
      <c r="F1625" t="s">
        <v>77</v>
      </c>
      <c r="G1625" t="str">
        <f>"2025-06-13 22:16:13.775"</f>
        <v>2025-06-13 22:16:13.775</v>
      </c>
      <c r="H1625" t="s">
        <v>78</v>
      </c>
    </row>
    <row r="1626" spans="1:10" x14ac:dyDescent="0.25">
      <c r="A1626" s="1">
        <v>664</v>
      </c>
      <c r="B1626" t="s">
        <v>19</v>
      </c>
      <c r="C1626">
        <v>706</v>
      </c>
      <c r="D1626">
        <v>2</v>
      </c>
      <c r="E1626" t="s">
        <v>20</v>
      </c>
      <c r="F1626" t="s">
        <v>25</v>
      </c>
      <c r="G1626" t="str">
        <f>"2025-06-13 22:15:43.651"</f>
        <v>2025-06-13 22:15:43.651</v>
      </c>
      <c r="H1626" t="s">
        <v>22</v>
      </c>
      <c r="I1626">
        <v>0</v>
      </c>
      <c r="J1626" t="s">
        <v>23</v>
      </c>
    </row>
    <row r="1627" spans="1:10" x14ac:dyDescent="0.25">
      <c r="A1627" s="1">
        <v>665</v>
      </c>
      <c r="B1627" t="s">
        <v>39</v>
      </c>
      <c r="C1627">
        <v>630</v>
      </c>
      <c r="D1627">
        <v>5</v>
      </c>
      <c r="E1627" t="s">
        <v>76</v>
      </c>
      <c r="F1627" t="s">
        <v>77</v>
      </c>
      <c r="G1627" t="str">
        <f>"2025-06-13 22:11:07.575"</f>
        <v>2025-06-13 22:11:07.575</v>
      </c>
      <c r="H1627" t="s">
        <v>78</v>
      </c>
      <c r="I1627">
        <v>0</v>
      </c>
      <c r="J1627" t="s">
        <v>23</v>
      </c>
    </row>
    <row r="1628" spans="1:10" x14ac:dyDescent="0.25">
      <c r="A1628" s="1">
        <v>666</v>
      </c>
      <c r="B1628" t="s">
        <v>26</v>
      </c>
      <c r="C1628">
        <v>61</v>
      </c>
      <c r="D1628">
        <v>2</v>
      </c>
      <c r="E1628" t="s">
        <v>59</v>
      </c>
      <c r="F1628" t="s">
        <v>60</v>
      </c>
      <c r="G1628" t="str">
        <f>"2025-06-13 22:00:56.575"</f>
        <v>2025-06-13 22:00:56.575</v>
      </c>
      <c r="H1628" t="s">
        <v>22</v>
      </c>
    </row>
    <row r="1629" spans="1:10" x14ac:dyDescent="0.25">
      <c r="A1629" s="1">
        <v>667</v>
      </c>
      <c r="B1629" t="s">
        <v>39</v>
      </c>
      <c r="C1629">
        <v>61</v>
      </c>
      <c r="D1629">
        <v>2</v>
      </c>
      <c r="E1629" t="s">
        <v>59</v>
      </c>
      <c r="F1629" t="s">
        <v>60</v>
      </c>
      <c r="G1629" t="str">
        <f>"2025-06-13 22:00:49.775"</f>
        <v>2025-06-13 22:00:49.775</v>
      </c>
      <c r="H1629" t="s">
        <v>22</v>
      </c>
      <c r="I1629">
        <v>35.15</v>
      </c>
      <c r="J1629" t="s">
        <v>30</v>
      </c>
    </row>
    <row r="1630" spans="1:10" x14ac:dyDescent="0.25">
      <c r="A1630" s="1">
        <v>668</v>
      </c>
      <c r="B1630" t="s">
        <v>19</v>
      </c>
      <c r="C1630">
        <v>706</v>
      </c>
      <c r="D1630">
        <v>2</v>
      </c>
      <c r="E1630" t="s">
        <v>20</v>
      </c>
      <c r="F1630" t="s">
        <v>25</v>
      </c>
      <c r="G1630" t="str">
        <f>"2025-06-13 13:42:49.851"</f>
        <v>2025-06-13 13:42:49.851</v>
      </c>
      <c r="H1630" t="s">
        <v>22</v>
      </c>
      <c r="I1630">
        <v>0</v>
      </c>
      <c r="J1630" t="s">
        <v>23</v>
      </c>
    </row>
    <row r="1631" spans="1:10" x14ac:dyDescent="0.25">
      <c r="A1631" s="1">
        <v>669</v>
      </c>
      <c r="B1631" t="s">
        <v>26</v>
      </c>
      <c r="C1631">
        <v>630</v>
      </c>
      <c r="D1631">
        <v>5</v>
      </c>
      <c r="E1631" t="s">
        <v>76</v>
      </c>
      <c r="F1631" t="s">
        <v>77</v>
      </c>
      <c r="G1631" t="str">
        <f>"2025-06-12 21:02:49.375"</f>
        <v>2025-06-12 21:02:49.375</v>
      </c>
      <c r="H1631" t="s">
        <v>78</v>
      </c>
    </row>
    <row r="1632" spans="1:10" x14ac:dyDescent="0.25">
      <c r="A1632" s="1">
        <v>670</v>
      </c>
      <c r="B1632" t="s">
        <v>19</v>
      </c>
      <c r="C1632">
        <v>706</v>
      </c>
      <c r="D1632">
        <v>2</v>
      </c>
      <c r="E1632" t="s">
        <v>20</v>
      </c>
      <c r="F1632" t="s">
        <v>25</v>
      </c>
      <c r="G1632" t="str">
        <f>"2025-06-12 21:02:19.251"</f>
        <v>2025-06-12 21:02:19.251</v>
      </c>
      <c r="H1632" t="s">
        <v>22</v>
      </c>
      <c r="I1632">
        <v>0</v>
      </c>
      <c r="J1632" t="s">
        <v>23</v>
      </c>
    </row>
    <row r="1633" spans="1:10" x14ac:dyDescent="0.25">
      <c r="A1633" s="1">
        <v>671</v>
      </c>
      <c r="B1633" t="s">
        <v>39</v>
      </c>
      <c r="C1633">
        <v>630</v>
      </c>
      <c r="D1633">
        <v>5</v>
      </c>
      <c r="E1633" t="s">
        <v>76</v>
      </c>
      <c r="F1633" t="s">
        <v>77</v>
      </c>
      <c r="G1633" t="str">
        <f>"2025-06-12 20:57:27.475"</f>
        <v>2025-06-12 20:57:27.475</v>
      </c>
      <c r="H1633" t="s">
        <v>78</v>
      </c>
      <c r="I1633">
        <v>0</v>
      </c>
      <c r="J1633" t="s">
        <v>23</v>
      </c>
    </row>
    <row r="1634" spans="1:10" x14ac:dyDescent="0.25">
      <c r="A1634" s="1">
        <v>672</v>
      </c>
      <c r="B1634" t="s">
        <v>26</v>
      </c>
      <c r="C1634">
        <v>630</v>
      </c>
      <c r="D1634">
        <v>5</v>
      </c>
      <c r="E1634" t="s">
        <v>76</v>
      </c>
      <c r="F1634" t="s">
        <v>77</v>
      </c>
      <c r="G1634" t="str">
        <f>"2025-06-12 09:56:55.375"</f>
        <v>2025-06-12 09:56:55.375</v>
      </c>
      <c r="H1634" t="s">
        <v>78</v>
      </c>
    </row>
    <row r="1635" spans="1:10" x14ac:dyDescent="0.25">
      <c r="A1635" s="1">
        <v>673</v>
      </c>
      <c r="B1635" t="s">
        <v>19</v>
      </c>
      <c r="C1635">
        <v>706</v>
      </c>
      <c r="D1635">
        <v>4</v>
      </c>
      <c r="E1635" t="s">
        <v>20</v>
      </c>
      <c r="F1635" t="s">
        <v>21</v>
      </c>
      <c r="G1635" t="str">
        <f>"2025-06-12 09:56:25.271"</f>
        <v>2025-06-12 09:56:25.271</v>
      </c>
      <c r="H1635" t="s">
        <v>22</v>
      </c>
      <c r="I1635">
        <v>0</v>
      </c>
      <c r="J1635" t="s">
        <v>23</v>
      </c>
    </row>
    <row r="1636" spans="1:10" x14ac:dyDescent="0.25">
      <c r="A1636" s="1">
        <v>674</v>
      </c>
      <c r="B1636" t="s">
        <v>39</v>
      </c>
      <c r="C1636">
        <v>630</v>
      </c>
      <c r="D1636">
        <v>5</v>
      </c>
      <c r="E1636" t="s">
        <v>76</v>
      </c>
      <c r="F1636" t="s">
        <v>77</v>
      </c>
      <c r="G1636" t="str">
        <f>"2025-06-12 09:54:50.775"</f>
        <v>2025-06-12 09:54:50.775</v>
      </c>
      <c r="H1636" t="s">
        <v>78</v>
      </c>
      <c r="I1636">
        <v>0</v>
      </c>
      <c r="J1636" t="s">
        <v>23</v>
      </c>
    </row>
    <row r="1637" spans="1:10" x14ac:dyDescent="0.25">
      <c r="A1637" s="1">
        <v>675</v>
      </c>
      <c r="B1637" t="s">
        <v>19</v>
      </c>
      <c r="C1637">
        <v>700</v>
      </c>
      <c r="D1637">
        <v>0</v>
      </c>
      <c r="E1637" t="s">
        <v>24</v>
      </c>
      <c r="F1637" t="s">
        <v>24</v>
      </c>
      <c r="G1637" t="str">
        <f>"2025-06-10 19:57:45.691"</f>
        <v>2025-06-10 19:57:45.691</v>
      </c>
      <c r="H1637" t="s">
        <v>22</v>
      </c>
    </row>
    <row r="1638" spans="1:10" x14ac:dyDescent="0.25">
      <c r="A1638" s="1">
        <v>676</v>
      </c>
      <c r="B1638" t="s">
        <v>19</v>
      </c>
      <c r="C1638">
        <v>700</v>
      </c>
      <c r="D1638">
        <v>0</v>
      </c>
      <c r="E1638" t="s">
        <v>24</v>
      </c>
      <c r="F1638" t="s">
        <v>24</v>
      </c>
      <c r="G1638" t="str">
        <f>"2025-06-10 18:00:42.705"</f>
        <v>2025-06-10 18:00:42.705</v>
      </c>
      <c r="H1638" t="s">
        <v>22</v>
      </c>
    </row>
    <row r="1639" spans="1:10" x14ac:dyDescent="0.25">
      <c r="A1639" s="1">
        <v>677</v>
      </c>
      <c r="B1639" t="s">
        <v>19</v>
      </c>
      <c r="C1639">
        <v>700</v>
      </c>
      <c r="D1639">
        <v>0</v>
      </c>
      <c r="E1639" t="s">
        <v>24</v>
      </c>
      <c r="F1639" t="s">
        <v>24</v>
      </c>
      <c r="G1639" t="str">
        <f>"2025-06-10 16:49:29.701"</f>
        <v>2025-06-10 16:49:29.701</v>
      </c>
      <c r="H1639" t="s">
        <v>22</v>
      </c>
      <c r="I1639">
        <v>0</v>
      </c>
      <c r="J1639" t="s">
        <v>34</v>
      </c>
    </row>
    <row r="1640" spans="1:10" x14ac:dyDescent="0.25">
      <c r="A1640" s="1">
        <v>678</v>
      </c>
      <c r="B1640" t="s">
        <v>19</v>
      </c>
      <c r="C1640">
        <v>706</v>
      </c>
      <c r="D1640">
        <v>2</v>
      </c>
      <c r="E1640" t="s">
        <v>20</v>
      </c>
      <c r="F1640" t="s">
        <v>25</v>
      </c>
      <c r="G1640" t="str">
        <f>"2025-06-10 16:46:49.220"</f>
        <v>2025-06-10 16:46:49.220</v>
      </c>
      <c r="H1640" t="s">
        <v>22</v>
      </c>
      <c r="I1640">
        <v>0</v>
      </c>
      <c r="J1640" t="s">
        <v>23</v>
      </c>
    </row>
    <row r="1641" spans="1:10" x14ac:dyDescent="0.25">
      <c r="A1641" s="1">
        <v>679</v>
      </c>
      <c r="B1641" t="s">
        <v>19</v>
      </c>
      <c r="C1641">
        <v>700</v>
      </c>
      <c r="D1641">
        <v>0</v>
      </c>
      <c r="E1641" t="s">
        <v>24</v>
      </c>
      <c r="F1641" t="s">
        <v>24</v>
      </c>
      <c r="G1641" t="str">
        <f>"2025-06-10 16:42:55.730"</f>
        <v>2025-06-10 16:42:55.730</v>
      </c>
      <c r="H1641" t="s">
        <v>22</v>
      </c>
    </row>
    <row r="1642" spans="1:10" x14ac:dyDescent="0.25">
      <c r="A1642" s="1">
        <v>680</v>
      </c>
      <c r="B1642" t="s">
        <v>19</v>
      </c>
      <c r="C1642">
        <v>706</v>
      </c>
      <c r="D1642">
        <v>4</v>
      </c>
      <c r="E1642" t="s">
        <v>20</v>
      </c>
      <c r="F1642" t="s">
        <v>21</v>
      </c>
      <c r="G1642" t="str">
        <f>"2025-06-10 15:15:59.442"</f>
        <v>2025-06-10 15:15:59.442</v>
      </c>
      <c r="H1642" t="s">
        <v>22</v>
      </c>
      <c r="I1642">
        <v>0</v>
      </c>
      <c r="J1642" t="s">
        <v>23</v>
      </c>
    </row>
    <row r="1643" spans="1:10" x14ac:dyDescent="0.25">
      <c r="A1643" s="1">
        <v>681</v>
      </c>
      <c r="B1643" t="s">
        <v>26</v>
      </c>
      <c r="C1643">
        <v>635</v>
      </c>
      <c r="D1643">
        <v>1</v>
      </c>
      <c r="E1643" t="s">
        <v>31</v>
      </c>
      <c r="F1643" t="s">
        <v>32</v>
      </c>
      <c r="G1643" t="str">
        <f>"2025-06-10 09:29:18.793"</f>
        <v>2025-06-10 09:29:18.793</v>
      </c>
      <c r="H1643" t="s">
        <v>22</v>
      </c>
    </row>
    <row r="1644" spans="1:10" x14ac:dyDescent="0.25">
      <c r="A1644" s="1">
        <v>682</v>
      </c>
      <c r="B1644" t="s">
        <v>29</v>
      </c>
      <c r="C1644">
        <v>635</v>
      </c>
      <c r="D1644">
        <v>1</v>
      </c>
      <c r="E1644" t="s">
        <v>31</v>
      </c>
      <c r="F1644" t="s">
        <v>32</v>
      </c>
      <c r="G1644" t="str">
        <f>"2025-06-10 09:22:44.793"</f>
        <v>2025-06-10 09:22:44.793</v>
      </c>
      <c r="H1644" t="s">
        <v>22</v>
      </c>
      <c r="I1644">
        <v>4.8</v>
      </c>
      <c r="J1644" t="s">
        <v>33</v>
      </c>
    </row>
    <row r="1645" spans="1:10" x14ac:dyDescent="0.25">
      <c r="A1645" s="1">
        <v>683</v>
      </c>
      <c r="B1645" t="s">
        <v>19</v>
      </c>
      <c r="C1645">
        <v>700</v>
      </c>
      <c r="D1645">
        <v>0</v>
      </c>
      <c r="E1645" t="s">
        <v>24</v>
      </c>
      <c r="F1645" t="s">
        <v>24</v>
      </c>
      <c r="G1645" t="str">
        <f>"2025-06-09 15:44:40.712"</f>
        <v>2025-06-09 15:44:40.712</v>
      </c>
      <c r="H1645" t="s">
        <v>22</v>
      </c>
    </row>
    <row r="1646" spans="1:10" x14ac:dyDescent="0.25">
      <c r="A1646" s="1">
        <v>684</v>
      </c>
      <c r="B1646" t="s">
        <v>19</v>
      </c>
      <c r="C1646">
        <v>706</v>
      </c>
      <c r="D1646">
        <v>2</v>
      </c>
      <c r="E1646" t="s">
        <v>20</v>
      </c>
      <c r="F1646" t="s">
        <v>25</v>
      </c>
      <c r="G1646" t="str">
        <f>"2025-06-09 08:11:27.767"</f>
        <v>2025-06-09 08:11:27.767</v>
      </c>
      <c r="H1646" t="s">
        <v>22</v>
      </c>
      <c r="I1646">
        <v>0</v>
      </c>
      <c r="J1646" t="s">
        <v>23</v>
      </c>
    </row>
    <row r="1647" spans="1:10" x14ac:dyDescent="0.25">
      <c r="A1647" s="1">
        <v>685</v>
      </c>
      <c r="B1647" t="s">
        <v>19</v>
      </c>
      <c r="C1647">
        <v>706</v>
      </c>
      <c r="D1647">
        <v>4</v>
      </c>
      <c r="E1647" t="s">
        <v>20</v>
      </c>
      <c r="F1647" t="s">
        <v>21</v>
      </c>
      <c r="G1647" t="str">
        <f>"2025-06-08 20:51:02.677"</f>
        <v>2025-06-08 20:51:02.677</v>
      </c>
      <c r="H1647" t="s">
        <v>22</v>
      </c>
      <c r="I1647">
        <v>0</v>
      </c>
      <c r="J1647" t="s">
        <v>23</v>
      </c>
    </row>
    <row r="1648" spans="1:10" s="3" customFormat="1" x14ac:dyDescent="0.25">
      <c r="A1648" s="2">
        <v>686</v>
      </c>
      <c r="B1648" s="3" t="s">
        <v>26</v>
      </c>
      <c r="C1648" s="3">
        <v>647</v>
      </c>
      <c r="D1648" s="3">
        <v>1</v>
      </c>
      <c r="E1648" s="3" t="s">
        <v>27</v>
      </c>
      <c r="F1648" s="3" t="s">
        <v>28</v>
      </c>
      <c r="G1648" s="3" t="str">
        <f>"2025-06-07 15:40:57.498"</f>
        <v>2025-06-07 15:40:57.498</v>
      </c>
      <c r="H1648" s="3" t="s">
        <v>22</v>
      </c>
    </row>
    <row r="1649" spans="1:10" s="3" customFormat="1" x14ac:dyDescent="0.25">
      <c r="A1649" s="2">
        <v>687</v>
      </c>
      <c r="B1649" s="3" t="s">
        <v>29</v>
      </c>
      <c r="C1649" s="3">
        <v>647</v>
      </c>
      <c r="D1649" s="3">
        <v>1</v>
      </c>
      <c r="E1649" s="3" t="s">
        <v>27</v>
      </c>
      <c r="F1649" s="3" t="s">
        <v>28</v>
      </c>
      <c r="G1649" s="3" t="str">
        <f>"2025-06-07 15:40:56.198"</f>
        <v>2025-06-07 15:40:56.198</v>
      </c>
      <c r="H1649" s="3" t="s">
        <v>22</v>
      </c>
      <c r="I1649" s="3">
        <v>16.02</v>
      </c>
      <c r="J1649" s="3" t="s">
        <v>30</v>
      </c>
    </row>
    <row r="1650" spans="1:10" s="3" customFormat="1" x14ac:dyDescent="0.25">
      <c r="A1650" s="2">
        <v>688</v>
      </c>
      <c r="B1650" s="3" t="s">
        <v>26</v>
      </c>
      <c r="C1650" s="3">
        <v>647</v>
      </c>
      <c r="D1650" s="3">
        <v>1</v>
      </c>
      <c r="E1650" s="3" t="s">
        <v>27</v>
      </c>
      <c r="F1650" s="3" t="s">
        <v>28</v>
      </c>
      <c r="G1650" s="3" t="str">
        <f>"2025-06-07 10:56:05.798"</f>
        <v>2025-06-07 10:56:05.798</v>
      </c>
      <c r="H1650" s="3" t="s">
        <v>22</v>
      </c>
    </row>
    <row r="1651" spans="1:10" s="3" customFormat="1" x14ac:dyDescent="0.25">
      <c r="A1651" s="2">
        <v>689</v>
      </c>
      <c r="B1651" s="3" t="s">
        <v>29</v>
      </c>
      <c r="C1651" s="3">
        <v>647</v>
      </c>
      <c r="D1651" s="3">
        <v>1</v>
      </c>
      <c r="E1651" s="3" t="s">
        <v>27</v>
      </c>
      <c r="F1651" s="3" t="s">
        <v>28</v>
      </c>
      <c r="G1651" s="3" t="str">
        <f>"2025-06-07 10:56:01.598"</f>
        <v>2025-06-07 10:56:01.598</v>
      </c>
      <c r="H1651" s="3" t="s">
        <v>22</v>
      </c>
      <c r="I1651" s="3">
        <v>9.64</v>
      </c>
      <c r="J1651" s="3" t="s">
        <v>30</v>
      </c>
    </row>
    <row r="1652" spans="1:10" x14ac:dyDescent="0.25">
      <c r="A1652" s="1">
        <v>690</v>
      </c>
      <c r="B1652" t="s">
        <v>19</v>
      </c>
      <c r="C1652">
        <v>700</v>
      </c>
      <c r="D1652">
        <v>0</v>
      </c>
      <c r="E1652" t="s">
        <v>24</v>
      </c>
      <c r="F1652" t="s">
        <v>24</v>
      </c>
      <c r="G1652" t="str">
        <f>"2025-06-06 15:25:32.727"</f>
        <v>2025-06-06 15:25:32.727</v>
      </c>
      <c r="H1652" t="s">
        <v>22</v>
      </c>
      <c r="I1652">
        <v>0</v>
      </c>
      <c r="J1652" t="s">
        <v>34</v>
      </c>
    </row>
    <row r="1653" spans="1:10" x14ac:dyDescent="0.25">
      <c r="A1653" s="1">
        <v>691</v>
      </c>
      <c r="B1653" t="s">
        <v>26</v>
      </c>
      <c r="C1653">
        <v>635</v>
      </c>
      <c r="D1653">
        <v>1</v>
      </c>
      <c r="E1653" t="s">
        <v>31</v>
      </c>
      <c r="F1653" t="s">
        <v>32</v>
      </c>
      <c r="G1653" t="str">
        <f>"2025-06-06 13:17:06.356"</f>
        <v>2025-06-06 13:17:06.356</v>
      </c>
      <c r="H1653" t="s">
        <v>22</v>
      </c>
    </row>
    <row r="1654" spans="1:10" x14ac:dyDescent="0.25">
      <c r="A1654" s="1">
        <v>692</v>
      </c>
      <c r="B1654" t="s">
        <v>29</v>
      </c>
      <c r="C1654">
        <v>635</v>
      </c>
      <c r="D1654">
        <v>1</v>
      </c>
      <c r="E1654" t="s">
        <v>31</v>
      </c>
      <c r="F1654" t="s">
        <v>32</v>
      </c>
      <c r="G1654" t="str">
        <f>"2025-06-06 13:14:47.356"</f>
        <v>2025-06-06 13:14:47.356</v>
      </c>
      <c r="H1654" t="s">
        <v>22</v>
      </c>
      <c r="I1654">
        <v>7.86</v>
      </c>
      <c r="J1654" t="s">
        <v>33</v>
      </c>
    </row>
    <row r="1655" spans="1:10" x14ac:dyDescent="0.25">
      <c r="A1655" s="1">
        <v>693</v>
      </c>
      <c r="B1655" t="s">
        <v>26</v>
      </c>
      <c r="C1655">
        <v>630</v>
      </c>
      <c r="D1655">
        <v>5</v>
      </c>
      <c r="E1655" t="s">
        <v>76</v>
      </c>
      <c r="F1655" t="s">
        <v>77</v>
      </c>
      <c r="G1655" t="str">
        <f>"2025-06-05 22:23:34.357"</f>
        <v>2025-06-05 22:23:34.357</v>
      </c>
      <c r="H1655" t="s">
        <v>78</v>
      </c>
    </row>
    <row r="1656" spans="1:10" x14ac:dyDescent="0.25">
      <c r="A1656" s="1">
        <v>694</v>
      </c>
      <c r="B1656" t="s">
        <v>19</v>
      </c>
      <c r="C1656">
        <v>706</v>
      </c>
      <c r="D1656">
        <v>2</v>
      </c>
      <c r="E1656" t="s">
        <v>20</v>
      </c>
      <c r="F1656" t="s">
        <v>25</v>
      </c>
      <c r="G1656" t="str">
        <f>"2025-06-05 22:23:04.225"</f>
        <v>2025-06-05 22:23:04.225</v>
      </c>
      <c r="H1656" t="s">
        <v>22</v>
      </c>
      <c r="I1656">
        <v>0</v>
      </c>
      <c r="J1656" t="s">
        <v>23</v>
      </c>
    </row>
    <row r="1657" spans="1:10" x14ac:dyDescent="0.25">
      <c r="A1657" s="1">
        <v>695</v>
      </c>
      <c r="B1657" t="s">
        <v>39</v>
      </c>
      <c r="C1657">
        <v>630</v>
      </c>
      <c r="D1657">
        <v>5</v>
      </c>
      <c r="E1657" t="s">
        <v>76</v>
      </c>
      <c r="F1657" t="s">
        <v>77</v>
      </c>
      <c r="G1657" t="str">
        <f>"2025-06-05 22:16:56.957"</f>
        <v>2025-06-05 22:16:56.957</v>
      </c>
      <c r="H1657" t="s">
        <v>78</v>
      </c>
      <c r="I1657">
        <v>0</v>
      </c>
      <c r="J1657" t="s">
        <v>23</v>
      </c>
    </row>
    <row r="1658" spans="1:10" x14ac:dyDescent="0.25">
      <c r="A1658" s="1">
        <v>696</v>
      </c>
      <c r="B1658" t="s">
        <v>26</v>
      </c>
      <c r="C1658">
        <v>635</v>
      </c>
      <c r="D1658">
        <v>1</v>
      </c>
      <c r="E1658" t="s">
        <v>31</v>
      </c>
      <c r="F1658" t="s">
        <v>32</v>
      </c>
      <c r="G1658" t="str">
        <f>"2025-06-05 08:28:14.256"</f>
        <v>2025-06-05 08:28:14.256</v>
      </c>
      <c r="H1658" t="s">
        <v>22</v>
      </c>
    </row>
    <row r="1659" spans="1:10" x14ac:dyDescent="0.25">
      <c r="A1659" s="1">
        <v>697</v>
      </c>
      <c r="B1659" t="s">
        <v>29</v>
      </c>
      <c r="C1659">
        <v>635</v>
      </c>
      <c r="D1659">
        <v>1</v>
      </c>
      <c r="E1659" t="s">
        <v>31</v>
      </c>
      <c r="F1659" t="s">
        <v>32</v>
      </c>
      <c r="G1659" t="str">
        <f>"2025-06-05 08:21:13.256"</f>
        <v>2025-06-05 08:21:13.256</v>
      </c>
      <c r="H1659" t="s">
        <v>22</v>
      </c>
      <c r="I1659">
        <v>9.5299999999999994</v>
      </c>
      <c r="J1659" t="s">
        <v>30</v>
      </c>
    </row>
    <row r="1660" spans="1:10" x14ac:dyDescent="0.25">
      <c r="A1660" s="1">
        <v>698</v>
      </c>
      <c r="B1660" t="s">
        <v>19</v>
      </c>
      <c r="C1660">
        <v>700</v>
      </c>
      <c r="D1660">
        <v>0</v>
      </c>
      <c r="E1660" t="s">
        <v>24</v>
      </c>
      <c r="F1660" t="s">
        <v>24</v>
      </c>
      <c r="G1660" t="str">
        <f>"2025-06-04 15:23:18.685"</f>
        <v>2025-06-04 15:23:18.685</v>
      </c>
      <c r="H1660" t="s">
        <v>22</v>
      </c>
      <c r="I1660">
        <v>0</v>
      </c>
      <c r="J1660" t="s">
        <v>34</v>
      </c>
    </row>
    <row r="1661" spans="1:10" x14ac:dyDescent="0.25">
      <c r="A1661" s="1">
        <v>700</v>
      </c>
      <c r="B1661" t="s">
        <v>26</v>
      </c>
      <c r="C1661">
        <v>635</v>
      </c>
      <c r="D1661">
        <v>1</v>
      </c>
      <c r="E1661" t="s">
        <v>31</v>
      </c>
      <c r="F1661" t="s">
        <v>32</v>
      </c>
      <c r="G1661" t="str">
        <f>"2025-06-03 02:42:26.564"</f>
        <v>2025-06-03 02:42:26.564</v>
      </c>
      <c r="H1661" t="s">
        <v>22</v>
      </c>
    </row>
    <row r="1662" spans="1:10" x14ac:dyDescent="0.25">
      <c r="A1662" s="1">
        <v>701</v>
      </c>
      <c r="B1662" t="s">
        <v>29</v>
      </c>
      <c r="C1662">
        <v>635</v>
      </c>
      <c r="D1662">
        <v>1</v>
      </c>
      <c r="E1662" t="s">
        <v>31</v>
      </c>
      <c r="F1662" t="s">
        <v>32</v>
      </c>
      <c r="G1662" t="str">
        <f>"2025-06-03 02:32:35.064"</f>
        <v>2025-06-03 02:32:35.064</v>
      </c>
      <c r="H1662" t="s">
        <v>22</v>
      </c>
      <c r="I1662">
        <v>3.65</v>
      </c>
      <c r="J1662" t="s">
        <v>33</v>
      </c>
    </row>
    <row r="1663" spans="1:10" x14ac:dyDescent="0.25">
      <c r="A1663" s="1">
        <v>702</v>
      </c>
      <c r="B1663" t="s">
        <v>19</v>
      </c>
      <c r="C1663">
        <v>700</v>
      </c>
      <c r="D1663">
        <v>0</v>
      </c>
      <c r="E1663" t="s">
        <v>24</v>
      </c>
      <c r="F1663" t="s">
        <v>24</v>
      </c>
      <c r="G1663" t="str">
        <f>"2025-06-03 00:37:38.687"</f>
        <v>2025-06-03 00:37:38.687</v>
      </c>
      <c r="H1663" t="s">
        <v>22</v>
      </c>
      <c r="I1663">
        <v>0</v>
      </c>
      <c r="J1663" t="s">
        <v>34</v>
      </c>
    </row>
    <row r="1664" spans="1:10" x14ac:dyDescent="0.25">
      <c r="A1664" s="1">
        <v>703</v>
      </c>
      <c r="B1664" t="s">
        <v>19</v>
      </c>
      <c r="C1664">
        <v>700</v>
      </c>
      <c r="D1664">
        <v>0</v>
      </c>
      <c r="E1664" t="s">
        <v>24</v>
      </c>
      <c r="F1664" t="s">
        <v>24</v>
      </c>
      <c r="G1664" t="str">
        <f>"2025-06-03 00:30:46.704"</f>
        <v>2025-06-03 00:30:46.704</v>
      </c>
      <c r="H1664" t="s">
        <v>22</v>
      </c>
    </row>
    <row r="1665" spans="1:10" x14ac:dyDescent="0.25">
      <c r="A1665" s="1">
        <v>704</v>
      </c>
      <c r="B1665" t="s">
        <v>19</v>
      </c>
      <c r="C1665">
        <v>706</v>
      </c>
      <c r="D1665">
        <v>2</v>
      </c>
      <c r="E1665" t="s">
        <v>20</v>
      </c>
      <c r="F1665" t="s">
        <v>25</v>
      </c>
      <c r="G1665" t="str">
        <f>"2025-06-03 00:02:57.428"</f>
        <v>2025-06-03 00:02:57.428</v>
      </c>
      <c r="H1665" t="s">
        <v>22</v>
      </c>
      <c r="I1665">
        <v>0</v>
      </c>
      <c r="J1665" t="s">
        <v>23</v>
      </c>
    </row>
    <row r="1666" spans="1:10" x14ac:dyDescent="0.25">
      <c r="A1666" s="1">
        <v>705</v>
      </c>
      <c r="B1666" t="s">
        <v>19</v>
      </c>
      <c r="C1666">
        <v>706</v>
      </c>
      <c r="D1666">
        <v>2</v>
      </c>
      <c r="E1666" t="s">
        <v>20</v>
      </c>
      <c r="F1666" t="s">
        <v>25</v>
      </c>
      <c r="G1666" t="str">
        <f>"2025-06-03 00:01:05.428"</f>
        <v>2025-06-03 00:01:05.428</v>
      </c>
      <c r="H1666" t="s">
        <v>22</v>
      </c>
      <c r="I1666">
        <v>0</v>
      </c>
      <c r="J1666" t="s">
        <v>23</v>
      </c>
    </row>
    <row r="1667" spans="1:10" x14ac:dyDescent="0.25">
      <c r="A1667" s="1">
        <v>706</v>
      </c>
      <c r="B1667" t="s">
        <v>26</v>
      </c>
      <c r="C1667">
        <v>630</v>
      </c>
      <c r="D1667">
        <v>5</v>
      </c>
      <c r="E1667" t="s">
        <v>76</v>
      </c>
      <c r="F1667" t="s">
        <v>77</v>
      </c>
      <c r="G1667" t="str">
        <f>"2025-06-01 23:48:26.960"</f>
        <v>2025-06-01 23:48:26.960</v>
      </c>
      <c r="H1667" t="s">
        <v>78</v>
      </c>
    </row>
    <row r="1668" spans="1:10" x14ac:dyDescent="0.25">
      <c r="A1668" s="1">
        <v>707</v>
      </c>
      <c r="B1668" t="s">
        <v>19</v>
      </c>
      <c r="C1668">
        <v>706</v>
      </c>
      <c r="D1668">
        <v>4</v>
      </c>
      <c r="E1668" t="s">
        <v>20</v>
      </c>
      <c r="F1668" t="s">
        <v>21</v>
      </c>
      <c r="G1668" t="str">
        <f>"2025-06-01 23:47:56.838"</f>
        <v>2025-06-01 23:47:56.838</v>
      </c>
      <c r="H1668" t="s">
        <v>22</v>
      </c>
      <c r="I1668">
        <v>0</v>
      </c>
      <c r="J1668" t="s">
        <v>23</v>
      </c>
    </row>
    <row r="1669" spans="1:10" x14ac:dyDescent="0.25">
      <c r="A1669" s="1">
        <v>708</v>
      </c>
      <c r="B1669" t="s">
        <v>39</v>
      </c>
      <c r="C1669">
        <v>630</v>
      </c>
      <c r="D1669">
        <v>5</v>
      </c>
      <c r="E1669" t="s">
        <v>76</v>
      </c>
      <c r="F1669" t="s">
        <v>77</v>
      </c>
      <c r="G1669" t="str">
        <f>"2025-06-01 23:42:15.660"</f>
        <v>2025-06-01 23:42:15.660</v>
      </c>
      <c r="H1669" t="s">
        <v>78</v>
      </c>
      <c r="I1669">
        <v>0</v>
      </c>
      <c r="J1669" t="s">
        <v>23</v>
      </c>
    </row>
    <row r="1670" spans="1:10" x14ac:dyDescent="0.25">
      <c r="A1670" s="1">
        <v>709</v>
      </c>
      <c r="B1670" t="s">
        <v>26</v>
      </c>
      <c r="C1670">
        <v>635</v>
      </c>
      <c r="D1670">
        <v>1</v>
      </c>
      <c r="E1670" t="s">
        <v>31</v>
      </c>
      <c r="F1670" t="s">
        <v>32</v>
      </c>
      <c r="G1670" t="str">
        <f>"2025-06-01 18:41:42.159"</f>
        <v>2025-06-01 18:41:42.159</v>
      </c>
      <c r="H1670" t="s">
        <v>22</v>
      </c>
    </row>
    <row r="1671" spans="1:10" x14ac:dyDescent="0.25">
      <c r="A1671" s="1">
        <v>710</v>
      </c>
      <c r="B1671" t="s">
        <v>29</v>
      </c>
      <c r="C1671">
        <v>635</v>
      </c>
      <c r="D1671">
        <v>1</v>
      </c>
      <c r="E1671" t="s">
        <v>31</v>
      </c>
      <c r="F1671" t="s">
        <v>32</v>
      </c>
      <c r="G1671" t="str">
        <f>"2025-06-01 18:33:24.160"</f>
        <v>2025-06-01 18:33:24.160</v>
      </c>
      <c r="H1671" t="s">
        <v>22</v>
      </c>
      <c r="I1671">
        <v>3.43</v>
      </c>
      <c r="J1671" t="s">
        <v>30</v>
      </c>
    </row>
    <row r="1672" spans="1:10" x14ac:dyDescent="0.25">
      <c r="A1672" s="1">
        <v>711</v>
      </c>
      <c r="B1672" t="s">
        <v>19</v>
      </c>
      <c r="C1672">
        <v>700</v>
      </c>
      <c r="D1672">
        <v>0</v>
      </c>
      <c r="E1672" t="s">
        <v>24</v>
      </c>
      <c r="F1672" t="s">
        <v>24</v>
      </c>
      <c r="G1672" t="str">
        <f>"2025-06-01 17:45:18.668"</f>
        <v>2025-06-01 17:45:18.668</v>
      </c>
      <c r="H1672" t="s">
        <v>22</v>
      </c>
    </row>
    <row r="1673" spans="1:10" x14ac:dyDescent="0.25">
      <c r="A1673" s="1">
        <v>712</v>
      </c>
      <c r="B1673" t="s">
        <v>19</v>
      </c>
      <c r="C1673">
        <v>700</v>
      </c>
      <c r="D1673">
        <v>0</v>
      </c>
      <c r="E1673" t="s">
        <v>24</v>
      </c>
      <c r="F1673" t="s">
        <v>24</v>
      </c>
      <c r="G1673" t="str">
        <f>"2025-06-01 17:10:54.681"</f>
        <v>2025-06-01 17:10:54.681</v>
      </c>
      <c r="H1673" t="s">
        <v>22</v>
      </c>
    </row>
    <row r="1674" spans="1:10" x14ac:dyDescent="0.25">
      <c r="A1674" s="1">
        <v>713</v>
      </c>
      <c r="B1674" t="s">
        <v>19</v>
      </c>
      <c r="C1674">
        <v>700</v>
      </c>
      <c r="D1674">
        <v>0</v>
      </c>
      <c r="E1674" t="s">
        <v>24</v>
      </c>
      <c r="F1674" t="s">
        <v>24</v>
      </c>
      <c r="G1674" t="str">
        <f>"2025-06-01 17:07:53.665"</f>
        <v>2025-06-01 17:07:53.665</v>
      </c>
      <c r="H1674" t="s">
        <v>22</v>
      </c>
    </row>
    <row r="1675" spans="1:10" x14ac:dyDescent="0.25">
      <c r="A1675" s="1">
        <v>714</v>
      </c>
      <c r="B1675" t="s">
        <v>19</v>
      </c>
      <c r="C1675">
        <v>700</v>
      </c>
      <c r="D1675">
        <v>0</v>
      </c>
      <c r="E1675" t="s">
        <v>24</v>
      </c>
      <c r="F1675" t="s">
        <v>24</v>
      </c>
      <c r="G1675" t="str">
        <f>"2025-06-01 17:04:20.685"</f>
        <v>2025-06-01 17:04:20.685</v>
      </c>
      <c r="H1675" t="s">
        <v>22</v>
      </c>
    </row>
    <row r="1676" spans="1:10" x14ac:dyDescent="0.25">
      <c r="A1676" s="1">
        <v>715</v>
      </c>
      <c r="B1676" t="s">
        <v>39</v>
      </c>
      <c r="C1676">
        <v>630</v>
      </c>
      <c r="D1676">
        <v>5</v>
      </c>
      <c r="E1676" t="s">
        <v>76</v>
      </c>
      <c r="F1676" t="s">
        <v>77</v>
      </c>
      <c r="G1676" t="str">
        <f>"2025-06-01 09:44:06.460"</f>
        <v>2025-06-01 09:44:06.460</v>
      </c>
      <c r="H1676" t="s">
        <v>78</v>
      </c>
      <c r="I1676">
        <v>0</v>
      </c>
      <c r="J1676" t="s">
        <v>23</v>
      </c>
    </row>
    <row r="1677" spans="1:10" x14ac:dyDescent="0.25">
      <c r="A1677" s="1">
        <v>716</v>
      </c>
      <c r="B1677" t="s">
        <v>19</v>
      </c>
      <c r="C1677">
        <v>700</v>
      </c>
      <c r="D1677">
        <v>0</v>
      </c>
      <c r="E1677" t="s">
        <v>24</v>
      </c>
      <c r="F1677" t="s">
        <v>24</v>
      </c>
      <c r="G1677" t="str">
        <f>"2025-06-01 09:39:03.679"</f>
        <v>2025-06-01 09:39:03.679</v>
      </c>
      <c r="H1677" t="s">
        <v>22</v>
      </c>
    </row>
    <row r="1678" spans="1:10" x14ac:dyDescent="0.25">
      <c r="A1678" s="1">
        <v>717</v>
      </c>
      <c r="B1678" t="s">
        <v>19</v>
      </c>
      <c r="C1678">
        <v>700</v>
      </c>
      <c r="D1678">
        <v>0</v>
      </c>
      <c r="E1678" t="s">
        <v>24</v>
      </c>
      <c r="F1678" t="s">
        <v>24</v>
      </c>
      <c r="G1678" t="str">
        <f>"2025-06-01 05:49:50.675"</f>
        <v>2025-06-01 05:49:50.675</v>
      </c>
      <c r="H1678" t="s">
        <v>22</v>
      </c>
    </row>
    <row r="1679" spans="1:10" x14ac:dyDescent="0.25">
      <c r="A1679" s="1">
        <v>718</v>
      </c>
      <c r="B1679" t="s">
        <v>39</v>
      </c>
      <c r="C1679">
        <v>630</v>
      </c>
      <c r="D1679">
        <v>5</v>
      </c>
      <c r="E1679" t="s">
        <v>76</v>
      </c>
      <c r="F1679" t="s">
        <v>77</v>
      </c>
      <c r="G1679" t="str">
        <f>"2025-06-01 03:53:33.467"</f>
        <v>2025-06-01 03:53:33.467</v>
      </c>
      <c r="H1679" t="s">
        <v>78</v>
      </c>
      <c r="I1679">
        <v>0</v>
      </c>
      <c r="J1679" t="s">
        <v>23</v>
      </c>
    </row>
    <row r="1680" spans="1:10" x14ac:dyDescent="0.25">
      <c r="A1680" s="1">
        <v>719</v>
      </c>
      <c r="B1680" t="s">
        <v>19</v>
      </c>
      <c r="C1680">
        <v>700</v>
      </c>
      <c r="D1680">
        <v>0</v>
      </c>
      <c r="E1680" t="s">
        <v>24</v>
      </c>
      <c r="F1680" t="s">
        <v>24</v>
      </c>
      <c r="G1680" t="str">
        <f>"2025-06-01 03:48:30.685"</f>
        <v>2025-06-01 03:48:30.685</v>
      </c>
      <c r="H1680" t="s">
        <v>22</v>
      </c>
    </row>
    <row r="1681" spans="1:10" x14ac:dyDescent="0.25">
      <c r="A1681" s="1">
        <v>720</v>
      </c>
      <c r="B1681" t="s">
        <v>35</v>
      </c>
      <c r="C1681">
        <v>77</v>
      </c>
      <c r="D1681">
        <v>1</v>
      </c>
      <c r="E1681" t="s">
        <v>50</v>
      </c>
      <c r="F1681" t="s">
        <v>51</v>
      </c>
      <c r="G1681" t="str">
        <f>"2025-06-01 03:11:50.936"</f>
        <v>2025-06-01 03:11:50.936</v>
      </c>
      <c r="H1681" t="s">
        <v>42</v>
      </c>
    </row>
    <row r="1682" spans="1:10" x14ac:dyDescent="0.25">
      <c r="A1682" s="1">
        <v>721</v>
      </c>
      <c r="B1682" t="s">
        <v>39</v>
      </c>
      <c r="C1682">
        <v>77</v>
      </c>
      <c r="D1682">
        <v>1</v>
      </c>
      <c r="E1682" t="s">
        <v>50</v>
      </c>
      <c r="F1682" t="s">
        <v>51</v>
      </c>
      <c r="G1682" t="str">
        <f>"2025-06-01 03:11:45.910"</f>
        <v>2025-06-01 03:11:45.910</v>
      </c>
      <c r="H1682" t="s">
        <v>42</v>
      </c>
      <c r="I1682">
        <v>0</v>
      </c>
      <c r="J1682" t="s">
        <v>23</v>
      </c>
    </row>
    <row r="1683" spans="1:10" x14ac:dyDescent="0.25">
      <c r="A1683" s="1">
        <v>722</v>
      </c>
      <c r="B1683" t="s">
        <v>19</v>
      </c>
      <c r="C1683">
        <v>700</v>
      </c>
      <c r="D1683">
        <v>0</v>
      </c>
      <c r="E1683" t="s">
        <v>24</v>
      </c>
      <c r="F1683" t="s">
        <v>24</v>
      </c>
      <c r="G1683" t="str">
        <f>"2025-06-01 03:11:09.673"</f>
        <v>2025-06-01 03:11:09.673</v>
      </c>
      <c r="H1683" t="s">
        <v>22</v>
      </c>
      <c r="I1683">
        <v>0</v>
      </c>
      <c r="J1683" t="s">
        <v>34</v>
      </c>
    </row>
    <row r="1684" spans="1:10" x14ac:dyDescent="0.25">
      <c r="A1684" s="1">
        <v>723</v>
      </c>
      <c r="B1684" t="s">
        <v>19</v>
      </c>
      <c r="C1684">
        <v>700</v>
      </c>
      <c r="D1684">
        <v>0</v>
      </c>
      <c r="E1684" t="s">
        <v>24</v>
      </c>
      <c r="F1684" t="s">
        <v>24</v>
      </c>
      <c r="G1684" t="str">
        <f>"2025-06-01 02:44:31.725"</f>
        <v>2025-06-01 02:44:31.725</v>
      </c>
      <c r="H1684" t="s">
        <v>22</v>
      </c>
    </row>
    <row r="1685" spans="1:10" x14ac:dyDescent="0.25">
      <c r="A1685" s="1">
        <v>724</v>
      </c>
      <c r="B1685" t="s">
        <v>19</v>
      </c>
      <c r="C1685">
        <v>700</v>
      </c>
      <c r="D1685">
        <v>0</v>
      </c>
      <c r="E1685" t="s">
        <v>24</v>
      </c>
      <c r="F1685" t="s">
        <v>24</v>
      </c>
      <c r="G1685" t="str">
        <f>"2025-06-01 02:13:45.680"</f>
        <v>2025-06-01 02:13:45.680</v>
      </c>
      <c r="H1685" t="s">
        <v>22</v>
      </c>
    </row>
    <row r="1686" spans="1:10" x14ac:dyDescent="0.25">
      <c r="A1686" s="1">
        <v>725</v>
      </c>
      <c r="B1686" t="s">
        <v>19</v>
      </c>
      <c r="C1686">
        <v>700</v>
      </c>
      <c r="D1686">
        <v>0</v>
      </c>
      <c r="E1686" t="s">
        <v>24</v>
      </c>
      <c r="F1686" t="s">
        <v>24</v>
      </c>
      <c r="G1686" t="str">
        <f>"2025-06-01 02:03:09.679"</f>
        <v>2025-06-01 02:03:09.679</v>
      </c>
      <c r="H1686" t="s">
        <v>22</v>
      </c>
      <c r="I1686">
        <v>0</v>
      </c>
      <c r="J1686" t="s">
        <v>34</v>
      </c>
    </row>
    <row r="1687" spans="1:10" x14ac:dyDescent="0.25">
      <c r="A1687" s="1">
        <v>726</v>
      </c>
      <c r="B1687" t="s">
        <v>19</v>
      </c>
      <c r="C1687">
        <v>700</v>
      </c>
      <c r="D1687">
        <v>0</v>
      </c>
      <c r="E1687" t="s">
        <v>24</v>
      </c>
      <c r="F1687" t="s">
        <v>24</v>
      </c>
      <c r="G1687" t="str">
        <f>"2025-06-01 01:57:58.675"</f>
        <v>2025-06-01 01:57:58.675</v>
      </c>
      <c r="H1687" t="s">
        <v>22</v>
      </c>
      <c r="I1687">
        <v>0</v>
      </c>
      <c r="J1687" t="s">
        <v>34</v>
      </c>
    </row>
    <row r="1688" spans="1:10" x14ac:dyDescent="0.25">
      <c r="A1688" s="1">
        <v>727</v>
      </c>
      <c r="B1688" t="s">
        <v>39</v>
      </c>
      <c r="C1688">
        <v>630</v>
      </c>
      <c r="D1688">
        <v>5</v>
      </c>
      <c r="E1688" t="s">
        <v>76</v>
      </c>
      <c r="F1688" t="s">
        <v>77</v>
      </c>
      <c r="G1688" t="str">
        <f>"2025-06-01 00:56:44.500"</f>
        <v>2025-06-01 00:56:44.500</v>
      </c>
      <c r="H1688" t="s">
        <v>78</v>
      </c>
      <c r="I1688">
        <v>0</v>
      </c>
      <c r="J1688" t="s">
        <v>23</v>
      </c>
    </row>
    <row r="1689" spans="1:10" x14ac:dyDescent="0.25">
      <c r="A1689" s="1">
        <v>728</v>
      </c>
      <c r="B1689" t="s">
        <v>19</v>
      </c>
      <c r="C1689">
        <v>700</v>
      </c>
      <c r="D1689">
        <v>0</v>
      </c>
      <c r="E1689" t="s">
        <v>24</v>
      </c>
      <c r="F1689" t="s">
        <v>24</v>
      </c>
      <c r="G1689" t="str">
        <f>"2025-06-01 00:51:41.771"</f>
        <v>2025-06-01 00:51:41.771</v>
      </c>
      <c r="H1689" t="s">
        <v>22</v>
      </c>
    </row>
    <row r="1690" spans="1:10" x14ac:dyDescent="0.25">
      <c r="A1690" s="1">
        <v>729</v>
      </c>
      <c r="B1690" t="s">
        <v>19</v>
      </c>
      <c r="C1690">
        <v>700</v>
      </c>
      <c r="D1690">
        <v>0</v>
      </c>
      <c r="E1690" t="s">
        <v>24</v>
      </c>
      <c r="F1690" t="s">
        <v>24</v>
      </c>
      <c r="G1690" t="str">
        <f>"2025-06-01 00:46:15.678"</f>
        <v>2025-06-01 00:46:15.678</v>
      </c>
      <c r="H1690" t="s">
        <v>22</v>
      </c>
      <c r="I1690">
        <v>0</v>
      </c>
      <c r="J1690" t="s">
        <v>34</v>
      </c>
    </row>
    <row r="1691" spans="1:10" x14ac:dyDescent="0.25">
      <c r="A1691" s="1">
        <v>730</v>
      </c>
      <c r="B1691" t="s">
        <v>19</v>
      </c>
      <c r="C1691">
        <v>700</v>
      </c>
      <c r="D1691">
        <v>0</v>
      </c>
      <c r="E1691" t="s">
        <v>24</v>
      </c>
      <c r="F1691" t="s">
        <v>24</v>
      </c>
      <c r="G1691" t="str">
        <f>"2025-06-01 00:11:06.665"</f>
        <v>2025-06-01 00:11:06.665</v>
      </c>
      <c r="H1691" t="s">
        <v>22</v>
      </c>
      <c r="I1691">
        <v>0</v>
      </c>
      <c r="J1691" t="s">
        <v>34</v>
      </c>
    </row>
    <row r="1692" spans="1:10" x14ac:dyDescent="0.25">
      <c r="A1692" s="1">
        <v>731</v>
      </c>
      <c r="B1692" t="s">
        <v>19</v>
      </c>
      <c r="C1692">
        <v>700</v>
      </c>
      <c r="D1692">
        <v>0</v>
      </c>
      <c r="E1692" t="s">
        <v>24</v>
      </c>
      <c r="F1692" t="s">
        <v>24</v>
      </c>
      <c r="G1692" t="str">
        <f>"2025-05-31 23:35:29.675"</f>
        <v>2025-05-31 23:35:29.675</v>
      </c>
      <c r="H1692" t="s">
        <v>22</v>
      </c>
    </row>
    <row r="1693" spans="1:10" x14ac:dyDescent="0.25">
      <c r="A1693" s="1">
        <v>732</v>
      </c>
      <c r="B1693" t="s">
        <v>26</v>
      </c>
      <c r="C1693">
        <v>630</v>
      </c>
      <c r="D1693">
        <v>5</v>
      </c>
      <c r="E1693" t="s">
        <v>76</v>
      </c>
      <c r="F1693" t="s">
        <v>77</v>
      </c>
      <c r="G1693" t="str">
        <f>"2025-05-31 20:01:46.054"</f>
        <v>2025-05-31 20:01:46.054</v>
      </c>
      <c r="H1693" t="s">
        <v>78</v>
      </c>
    </row>
    <row r="1694" spans="1:10" x14ac:dyDescent="0.25">
      <c r="A1694" s="1">
        <v>733</v>
      </c>
      <c r="B1694" t="s">
        <v>19</v>
      </c>
      <c r="C1694">
        <v>706</v>
      </c>
      <c r="D1694">
        <v>4</v>
      </c>
      <c r="E1694" t="s">
        <v>20</v>
      </c>
      <c r="F1694" t="s">
        <v>21</v>
      </c>
      <c r="G1694" t="str">
        <f>"2025-05-31 20:01:15.972"</f>
        <v>2025-05-31 20:01:15.972</v>
      </c>
      <c r="H1694" t="s">
        <v>22</v>
      </c>
      <c r="I1694">
        <v>0</v>
      </c>
      <c r="J1694" t="s">
        <v>23</v>
      </c>
    </row>
    <row r="1695" spans="1:10" x14ac:dyDescent="0.25">
      <c r="A1695" s="1">
        <v>734</v>
      </c>
      <c r="B1695" t="s">
        <v>39</v>
      </c>
      <c r="C1695">
        <v>630</v>
      </c>
      <c r="D1695">
        <v>5</v>
      </c>
      <c r="E1695" t="s">
        <v>76</v>
      </c>
      <c r="F1695" t="s">
        <v>77</v>
      </c>
      <c r="G1695" t="str">
        <f>"2025-05-31 19:55:57.554"</f>
        <v>2025-05-31 19:55:57.554</v>
      </c>
      <c r="H1695" t="s">
        <v>78</v>
      </c>
      <c r="I1695">
        <v>0</v>
      </c>
      <c r="J1695" t="s">
        <v>23</v>
      </c>
    </row>
    <row r="1696" spans="1:10" x14ac:dyDescent="0.25">
      <c r="A1696" s="1">
        <v>735</v>
      </c>
      <c r="B1696" t="s">
        <v>26</v>
      </c>
      <c r="C1696">
        <v>630</v>
      </c>
      <c r="D1696">
        <v>5</v>
      </c>
      <c r="E1696" t="s">
        <v>76</v>
      </c>
      <c r="F1696" t="s">
        <v>77</v>
      </c>
      <c r="G1696" t="str">
        <f>"2025-05-31 15:15:47.854"</f>
        <v>2025-05-31 15:15:47.854</v>
      </c>
      <c r="H1696" t="s">
        <v>78</v>
      </c>
    </row>
    <row r="1697" spans="1:10" x14ac:dyDescent="0.25">
      <c r="A1697" s="1">
        <v>736</v>
      </c>
      <c r="B1697" t="s">
        <v>19</v>
      </c>
      <c r="C1697">
        <v>706</v>
      </c>
      <c r="D1697">
        <v>4</v>
      </c>
      <c r="E1697" t="s">
        <v>20</v>
      </c>
      <c r="F1697" t="s">
        <v>21</v>
      </c>
      <c r="G1697" t="str">
        <f>"2025-05-31 15:15:17.712"</f>
        <v>2025-05-31 15:15:17.712</v>
      </c>
      <c r="H1697" t="s">
        <v>22</v>
      </c>
      <c r="I1697">
        <v>0</v>
      </c>
      <c r="J1697" t="s">
        <v>23</v>
      </c>
    </row>
    <row r="1698" spans="1:10" x14ac:dyDescent="0.25">
      <c r="A1698" s="1">
        <v>737</v>
      </c>
      <c r="B1698" t="s">
        <v>39</v>
      </c>
      <c r="C1698">
        <v>630</v>
      </c>
      <c r="D1698">
        <v>5</v>
      </c>
      <c r="E1698" t="s">
        <v>76</v>
      </c>
      <c r="F1698" t="s">
        <v>77</v>
      </c>
      <c r="G1698" t="str">
        <f>"2025-05-31 15:10:58.754"</f>
        <v>2025-05-31 15:10:58.754</v>
      </c>
      <c r="H1698" t="s">
        <v>78</v>
      </c>
      <c r="I1698">
        <v>0</v>
      </c>
      <c r="J1698" t="s">
        <v>23</v>
      </c>
    </row>
    <row r="1699" spans="1:10" x14ac:dyDescent="0.25">
      <c r="A1699" s="1">
        <v>738</v>
      </c>
      <c r="B1699" t="s">
        <v>26</v>
      </c>
      <c r="C1699">
        <v>630</v>
      </c>
      <c r="D1699">
        <v>5</v>
      </c>
      <c r="E1699" t="s">
        <v>76</v>
      </c>
      <c r="F1699" t="s">
        <v>77</v>
      </c>
      <c r="G1699" t="str">
        <f>"2025-05-30 23:22:53.054"</f>
        <v>2025-05-30 23:22:53.054</v>
      </c>
      <c r="H1699" t="s">
        <v>78</v>
      </c>
    </row>
    <row r="1700" spans="1:10" x14ac:dyDescent="0.25">
      <c r="A1700" s="1">
        <v>739</v>
      </c>
      <c r="B1700" t="s">
        <v>19</v>
      </c>
      <c r="C1700">
        <v>706</v>
      </c>
      <c r="D1700">
        <v>4</v>
      </c>
      <c r="E1700" t="s">
        <v>20</v>
      </c>
      <c r="F1700" t="s">
        <v>21</v>
      </c>
      <c r="G1700" t="str">
        <f>"2025-05-30 23:22:22.972"</f>
        <v>2025-05-30 23:22:22.972</v>
      </c>
      <c r="H1700" t="s">
        <v>22</v>
      </c>
      <c r="I1700">
        <v>0</v>
      </c>
      <c r="J1700" t="s">
        <v>23</v>
      </c>
    </row>
    <row r="1701" spans="1:10" x14ac:dyDescent="0.25">
      <c r="A1701" s="1">
        <v>740</v>
      </c>
      <c r="B1701" t="s">
        <v>39</v>
      </c>
      <c r="C1701">
        <v>630</v>
      </c>
      <c r="D1701">
        <v>5</v>
      </c>
      <c r="E1701" t="s">
        <v>76</v>
      </c>
      <c r="F1701" t="s">
        <v>77</v>
      </c>
      <c r="G1701" t="str">
        <f>"2025-05-30 23:18:36.254"</f>
        <v>2025-05-30 23:18:36.254</v>
      </c>
      <c r="H1701" t="s">
        <v>78</v>
      </c>
      <c r="I1701">
        <v>0</v>
      </c>
      <c r="J1701" t="s">
        <v>23</v>
      </c>
    </row>
    <row r="1702" spans="1:10" x14ac:dyDescent="0.25">
      <c r="A1702" s="1">
        <v>741</v>
      </c>
      <c r="B1702" t="s">
        <v>26</v>
      </c>
      <c r="C1702">
        <v>630</v>
      </c>
      <c r="D1702">
        <v>5</v>
      </c>
      <c r="E1702" t="s">
        <v>76</v>
      </c>
      <c r="F1702" t="s">
        <v>77</v>
      </c>
      <c r="G1702" t="str">
        <f>"2025-05-30 03:25:36.454"</f>
        <v>2025-05-30 03:25:36.454</v>
      </c>
      <c r="H1702" t="s">
        <v>78</v>
      </c>
    </row>
    <row r="1703" spans="1:10" x14ac:dyDescent="0.25">
      <c r="A1703" s="1">
        <v>742</v>
      </c>
      <c r="B1703" t="s">
        <v>19</v>
      </c>
      <c r="C1703">
        <v>706</v>
      </c>
      <c r="D1703">
        <v>4</v>
      </c>
      <c r="E1703" t="s">
        <v>20</v>
      </c>
      <c r="F1703" t="s">
        <v>21</v>
      </c>
      <c r="G1703" t="str">
        <f>"2025-05-30 03:25:06.412"</f>
        <v>2025-05-30 03:25:06.412</v>
      </c>
      <c r="H1703" t="s">
        <v>22</v>
      </c>
      <c r="I1703">
        <v>0</v>
      </c>
      <c r="J1703" t="s">
        <v>23</v>
      </c>
    </row>
    <row r="1704" spans="1:10" x14ac:dyDescent="0.25">
      <c r="A1704" s="1">
        <v>743</v>
      </c>
      <c r="B1704" t="s">
        <v>39</v>
      </c>
      <c r="C1704">
        <v>630</v>
      </c>
      <c r="D1704">
        <v>5</v>
      </c>
      <c r="E1704" t="s">
        <v>76</v>
      </c>
      <c r="F1704" t="s">
        <v>77</v>
      </c>
      <c r="G1704" t="str">
        <f>"2025-05-30 03:21:28.454"</f>
        <v>2025-05-30 03:21:28.454</v>
      </c>
      <c r="H1704" t="s">
        <v>78</v>
      </c>
      <c r="I1704">
        <v>0</v>
      </c>
      <c r="J1704" t="s">
        <v>23</v>
      </c>
    </row>
    <row r="1705" spans="1:10" x14ac:dyDescent="0.25">
      <c r="A1705" s="1">
        <v>744</v>
      </c>
      <c r="B1705" t="s">
        <v>26</v>
      </c>
      <c r="C1705">
        <v>630</v>
      </c>
      <c r="D1705">
        <v>5</v>
      </c>
      <c r="E1705" t="s">
        <v>76</v>
      </c>
      <c r="F1705" t="s">
        <v>77</v>
      </c>
      <c r="G1705" t="str">
        <f>"2025-05-29 22:01:30.154"</f>
        <v>2025-05-29 22:01:30.154</v>
      </c>
      <c r="H1705" t="s">
        <v>78</v>
      </c>
    </row>
    <row r="1706" spans="1:10" x14ac:dyDescent="0.25">
      <c r="A1706" s="1">
        <v>745</v>
      </c>
      <c r="B1706" t="s">
        <v>19</v>
      </c>
      <c r="C1706">
        <v>706</v>
      </c>
      <c r="D1706">
        <v>2</v>
      </c>
      <c r="E1706" t="s">
        <v>20</v>
      </c>
      <c r="F1706" t="s">
        <v>25</v>
      </c>
      <c r="G1706" t="str">
        <f>"2025-05-29 22:01:00.022"</f>
        <v>2025-05-29 22:01:00.022</v>
      </c>
      <c r="H1706" t="s">
        <v>22</v>
      </c>
      <c r="I1706">
        <v>0</v>
      </c>
      <c r="J1706" t="s">
        <v>23</v>
      </c>
    </row>
    <row r="1707" spans="1:10" x14ac:dyDescent="0.25">
      <c r="A1707" s="1">
        <v>746</v>
      </c>
      <c r="B1707" t="s">
        <v>19</v>
      </c>
      <c r="C1707">
        <v>706</v>
      </c>
      <c r="D1707">
        <v>2</v>
      </c>
      <c r="E1707" t="s">
        <v>20</v>
      </c>
      <c r="F1707" t="s">
        <v>25</v>
      </c>
      <c r="G1707" t="str">
        <f>"2025-05-29 22:00:36.822"</f>
        <v>2025-05-29 22:00:36.822</v>
      </c>
      <c r="H1707" t="s">
        <v>22</v>
      </c>
      <c r="I1707">
        <v>0</v>
      </c>
      <c r="J1707" t="s">
        <v>23</v>
      </c>
    </row>
    <row r="1708" spans="1:10" x14ac:dyDescent="0.25">
      <c r="A1708" s="1">
        <v>747</v>
      </c>
      <c r="B1708" t="s">
        <v>39</v>
      </c>
      <c r="C1708">
        <v>630</v>
      </c>
      <c r="D1708">
        <v>5</v>
      </c>
      <c r="E1708" t="s">
        <v>76</v>
      </c>
      <c r="F1708" t="s">
        <v>77</v>
      </c>
      <c r="G1708" t="str">
        <f>"2025-05-29 21:59:10.854"</f>
        <v>2025-05-29 21:59:10.854</v>
      </c>
      <c r="H1708" t="s">
        <v>78</v>
      </c>
      <c r="I1708">
        <v>0</v>
      </c>
      <c r="J1708" t="s">
        <v>23</v>
      </c>
    </row>
    <row r="1709" spans="1:10" x14ac:dyDescent="0.25">
      <c r="A1709" s="1">
        <v>748</v>
      </c>
      <c r="B1709" t="s">
        <v>26</v>
      </c>
      <c r="C1709">
        <v>630</v>
      </c>
      <c r="D1709">
        <v>5</v>
      </c>
      <c r="E1709" t="s">
        <v>76</v>
      </c>
      <c r="F1709" t="s">
        <v>77</v>
      </c>
      <c r="G1709" t="str">
        <f>"2025-05-29 15:09:06.254"</f>
        <v>2025-05-29 15:09:06.254</v>
      </c>
      <c r="H1709" t="s">
        <v>78</v>
      </c>
    </row>
    <row r="1710" spans="1:10" x14ac:dyDescent="0.25">
      <c r="A1710" s="1">
        <v>749</v>
      </c>
      <c r="B1710" t="s">
        <v>19</v>
      </c>
      <c r="C1710">
        <v>706</v>
      </c>
      <c r="D1710">
        <v>4</v>
      </c>
      <c r="E1710" t="s">
        <v>20</v>
      </c>
      <c r="F1710" t="s">
        <v>21</v>
      </c>
      <c r="G1710" t="str">
        <f>"2025-05-29 15:08:36.162"</f>
        <v>2025-05-29 15:08:36.162</v>
      </c>
      <c r="H1710" t="s">
        <v>22</v>
      </c>
      <c r="I1710">
        <v>0</v>
      </c>
      <c r="J1710" t="s">
        <v>23</v>
      </c>
    </row>
    <row r="1711" spans="1:10" x14ac:dyDescent="0.25">
      <c r="A1711" s="1">
        <v>750</v>
      </c>
      <c r="B1711" t="s">
        <v>39</v>
      </c>
      <c r="C1711">
        <v>630</v>
      </c>
      <c r="D1711">
        <v>5</v>
      </c>
      <c r="E1711" t="s">
        <v>76</v>
      </c>
      <c r="F1711" t="s">
        <v>77</v>
      </c>
      <c r="G1711" t="str">
        <f>"2025-05-29 14:45:35.455"</f>
        <v>2025-05-29 14:45:35.455</v>
      </c>
      <c r="H1711" t="s">
        <v>78</v>
      </c>
      <c r="I1711">
        <v>0</v>
      </c>
      <c r="J1711" t="s">
        <v>23</v>
      </c>
    </row>
    <row r="1712" spans="1:10" x14ac:dyDescent="0.25">
      <c r="A1712" s="1">
        <v>751</v>
      </c>
      <c r="B1712" t="s">
        <v>19</v>
      </c>
      <c r="C1712">
        <v>700</v>
      </c>
      <c r="D1712">
        <v>0</v>
      </c>
      <c r="E1712" t="s">
        <v>24</v>
      </c>
      <c r="F1712" t="s">
        <v>24</v>
      </c>
      <c r="G1712" t="str">
        <f>"2025-05-29 14:40:32.652"</f>
        <v>2025-05-29 14:40:32.652</v>
      </c>
      <c r="H1712" t="s">
        <v>22</v>
      </c>
      <c r="I1712">
        <v>0</v>
      </c>
      <c r="J1712" t="s">
        <v>34</v>
      </c>
    </row>
    <row r="1713" spans="1:10" x14ac:dyDescent="0.25">
      <c r="A1713" s="1">
        <v>752</v>
      </c>
      <c r="B1713" t="s">
        <v>26</v>
      </c>
      <c r="C1713">
        <v>630</v>
      </c>
      <c r="D1713">
        <v>5</v>
      </c>
      <c r="E1713" t="s">
        <v>76</v>
      </c>
      <c r="F1713" t="s">
        <v>77</v>
      </c>
      <c r="G1713" t="str">
        <f>"2025-05-29 14:22:39.552"</f>
        <v>2025-05-29 14:22:39.552</v>
      </c>
      <c r="H1713" t="s">
        <v>78</v>
      </c>
    </row>
    <row r="1714" spans="1:10" x14ac:dyDescent="0.25">
      <c r="A1714" s="1">
        <v>753</v>
      </c>
      <c r="B1714" t="s">
        <v>19</v>
      </c>
      <c r="C1714">
        <v>706</v>
      </c>
      <c r="D1714">
        <v>2</v>
      </c>
      <c r="E1714" t="s">
        <v>20</v>
      </c>
      <c r="F1714" t="s">
        <v>25</v>
      </c>
      <c r="G1714" t="str">
        <f>"2025-05-29 14:22:09.403"</f>
        <v>2025-05-29 14:22:09.403</v>
      </c>
      <c r="H1714" t="s">
        <v>22</v>
      </c>
      <c r="I1714">
        <v>0</v>
      </c>
      <c r="J1714" t="s">
        <v>23</v>
      </c>
    </row>
    <row r="1715" spans="1:10" x14ac:dyDescent="0.25">
      <c r="A1715" s="1">
        <v>754</v>
      </c>
      <c r="B1715" t="s">
        <v>39</v>
      </c>
      <c r="C1715">
        <v>630</v>
      </c>
      <c r="D1715">
        <v>5</v>
      </c>
      <c r="E1715" t="s">
        <v>76</v>
      </c>
      <c r="F1715" t="s">
        <v>77</v>
      </c>
      <c r="G1715" t="str">
        <f>"2025-05-29 14:06:24.453"</f>
        <v>2025-05-29 14:06:24.453</v>
      </c>
      <c r="H1715" t="s">
        <v>78</v>
      </c>
      <c r="I1715">
        <v>0</v>
      </c>
      <c r="J1715" t="s">
        <v>23</v>
      </c>
    </row>
    <row r="1716" spans="1:10" x14ac:dyDescent="0.25">
      <c r="A1716" s="1">
        <v>755</v>
      </c>
      <c r="B1716" t="s">
        <v>19</v>
      </c>
      <c r="C1716">
        <v>700</v>
      </c>
      <c r="D1716">
        <v>0</v>
      </c>
      <c r="E1716" t="s">
        <v>24</v>
      </c>
      <c r="F1716" t="s">
        <v>24</v>
      </c>
      <c r="G1716" t="str">
        <f>"2025-05-29 14:01:21.663"</f>
        <v>2025-05-29 14:01:21.663</v>
      </c>
      <c r="H1716" t="s">
        <v>22</v>
      </c>
      <c r="I1716">
        <v>0</v>
      </c>
      <c r="J1716" t="s">
        <v>34</v>
      </c>
    </row>
    <row r="1717" spans="1:10" x14ac:dyDescent="0.25">
      <c r="A1717" s="1">
        <v>756</v>
      </c>
      <c r="B1717" t="s">
        <v>26</v>
      </c>
      <c r="C1717">
        <v>630</v>
      </c>
      <c r="D1717">
        <v>5</v>
      </c>
      <c r="E1717" t="s">
        <v>76</v>
      </c>
      <c r="F1717" t="s">
        <v>77</v>
      </c>
      <c r="G1717" t="str">
        <f>"2025-05-29 10:24:09.485"</f>
        <v>2025-05-29 10:24:09.485</v>
      </c>
      <c r="H1717" t="s">
        <v>78</v>
      </c>
    </row>
    <row r="1718" spans="1:10" x14ac:dyDescent="0.25">
      <c r="A1718" s="1">
        <v>757</v>
      </c>
      <c r="B1718" t="s">
        <v>19</v>
      </c>
      <c r="C1718">
        <v>706</v>
      </c>
      <c r="D1718">
        <v>4</v>
      </c>
      <c r="E1718" t="s">
        <v>20</v>
      </c>
      <c r="F1718" t="s">
        <v>21</v>
      </c>
      <c r="G1718" t="str">
        <f>"2025-05-29 10:23:39.424"</f>
        <v>2025-05-29 10:23:39.424</v>
      </c>
      <c r="H1718" t="s">
        <v>22</v>
      </c>
      <c r="I1718">
        <v>0</v>
      </c>
      <c r="J1718" t="s">
        <v>23</v>
      </c>
    </row>
    <row r="1719" spans="1:10" x14ac:dyDescent="0.25">
      <c r="A1719" s="1">
        <v>758</v>
      </c>
      <c r="B1719" t="s">
        <v>39</v>
      </c>
      <c r="C1719">
        <v>630</v>
      </c>
      <c r="D1719">
        <v>5</v>
      </c>
      <c r="E1719" t="s">
        <v>76</v>
      </c>
      <c r="F1719" t="s">
        <v>77</v>
      </c>
      <c r="G1719" t="str">
        <f>"2025-05-29 10:19:05.185"</f>
        <v>2025-05-29 10:19:05.185</v>
      </c>
      <c r="H1719" t="s">
        <v>78</v>
      </c>
      <c r="I1719">
        <v>0</v>
      </c>
      <c r="J1719" t="s">
        <v>23</v>
      </c>
    </row>
    <row r="1720" spans="1:10" x14ac:dyDescent="0.25">
      <c r="A1720" s="1">
        <v>759</v>
      </c>
      <c r="B1720" t="s">
        <v>19</v>
      </c>
      <c r="C1720">
        <v>706</v>
      </c>
      <c r="D1720">
        <v>3</v>
      </c>
      <c r="E1720" t="s">
        <v>20</v>
      </c>
      <c r="F1720" t="s">
        <v>49</v>
      </c>
      <c r="G1720" t="str">
        <f>"2025-05-28 23:50:45.884"</f>
        <v>2025-05-28 23:50:45.884</v>
      </c>
      <c r="H1720" t="s">
        <v>22</v>
      </c>
      <c r="I1720">
        <v>0</v>
      </c>
      <c r="J1720" t="s">
        <v>52</v>
      </c>
    </row>
    <row r="1721" spans="1:10" x14ac:dyDescent="0.25">
      <c r="A1721" s="1">
        <v>760</v>
      </c>
      <c r="B1721" t="s">
        <v>26</v>
      </c>
      <c r="C1721">
        <v>630</v>
      </c>
      <c r="D1721">
        <v>5</v>
      </c>
      <c r="E1721" t="s">
        <v>76</v>
      </c>
      <c r="F1721" t="s">
        <v>77</v>
      </c>
      <c r="G1721" t="str">
        <f>"2025-05-28 20:53:37.585"</f>
        <v>2025-05-28 20:53:37.585</v>
      </c>
      <c r="H1721" t="s">
        <v>78</v>
      </c>
    </row>
    <row r="1722" spans="1:10" x14ac:dyDescent="0.25">
      <c r="A1722" s="1">
        <v>761</v>
      </c>
      <c r="B1722" t="s">
        <v>19</v>
      </c>
      <c r="C1722">
        <v>706</v>
      </c>
      <c r="D1722">
        <v>4</v>
      </c>
      <c r="E1722" t="s">
        <v>20</v>
      </c>
      <c r="F1722" t="s">
        <v>21</v>
      </c>
      <c r="G1722" t="str">
        <f>"2025-05-28 20:53:07.534"</f>
        <v>2025-05-28 20:53:07.534</v>
      </c>
      <c r="H1722" t="s">
        <v>22</v>
      </c>
      <c r="I1722">
        <v>0</v>
      </c>
      <c r="J1722" t="s">
        <v>23</v>
      </c>
    </row>
    <row r="1723" spans="1:10" x14ac:dyDescent="0.25">
      <c r="A1723" s="1">
        <v>762</v>
      </c>
      <c r="B1723" t="s">
        <v>39</v>
      </c>
      <c r="C1723">
        <v>630</v>
      </c>
      <c r="D1723">
        <v>5</v>
      </c>
      <c r="E1723" t="s">
        <v>76</v>
      </c>
      <c r="F1723" t="s">
        <v>77</v>
      </c>
      <c r="G1723" t="str">
        <f>"2025-05-28 20:49:34.585"</f>
        <v>2025-05-28 20:49:34.585</v>
      </c>
      <c r="H1723" t="s">
        <v>78</v>
      </c>
      <c r="I1723">
        <v>0</v>
      </c>
      <c r="J1723" t="s">
        <v>23</v>
      </c>
    </row>
    <row r="1724" spans="1:10" s="3" customFormat="1" x14ac:dyDescent="0.25">
      <c r="A1724" s="2">
        <v>763</v>
      </c>
      <c r="B1724" s="3" t="s">
        <v>26</v>
      </c>
      <c r="C1724" s="3">
        <v>647</v>
      </c>
      <c r="D1724" s="3">
        <v>1</v>
      </c>
      <c r="E1724" s="3" t="s">
        <v>27</v>
      </c>
      <c r="F1724" s="3" t="s">
        <v>28</v>
      </c>
      <c r="G1724" s="3" t="str">
        <f>"2025-05-28 19:22:22.185"</f>
        <v>2025-05-28 19:22:22.185</v>
      </c>
      <c r="H1724" s="3" t="s">
        <v>22</v>
      </c>
    </row>
    <row r="1725" spans="1:10" s="3" customFormat="1" x14ac:dyDescent="0.25">
      <c r="A1725" s="2">
        <v>764</v>
      </c>
      <c r="B1725" s="3" t="s">
        <v>29</v>
      </c>
      <c r="C1725" s="3">
        <v>647</v>
      </c>
      <c r="D1725" s="3">
        <v>1</v>
      </c>
      <c r="E1725" s="3" t="s">
        <v>27</v>
      </c>
      <c r="F1725" s="3" t="s">
        <v>28</v>
      </c>
      <c r="G1725" s="3" t="str">
        <f>"2025-05-28 19:22:21.085"</f>
        <v>2025-05-28 19:22:21.085</v>
      </c>
      <c r="H1725" s="3" t="s">
        <v>22</v>
      </c>
      <c r="I1725" s="3">
        <v>18</v>
      </c>
      <c r="J1725" s="3" t="s">
        <v>30</v>
      </c>
    </row>
    <row r="1726" spans="1:10" x14ac:dyDescent="0.25">
      <c r="A1726" s="1">
        <v>765</v>
      </c>
      <c r="B1726" t="s">
        <v>19</v>
      </c>
      <c r="C1726">
        <v>706</v>
      </c>
      <c r="D1726">
        <v>4</v>
      </c>
      <c r="E1726" t="s">
        <v>20</v>
      </c>
      <c r="F1726" t="s">
        <v>21</v>
      </c>
      <c r="G1726" t="str">
        <f>"2025-05-28 14:12:38.934"</f>
        <v>2025-05-28 14:12:38.934</v>
      </c>
      <c r="H1726" t="s">
        <v>22</v>
      </c>
      <c r="I1726">
        <v>0</v>
      </c>
      <c r="J1726" t="s">
        <v>23</v>
      </c>
    </row>
    <row r="1727" spans="1:10" x14ac:dyDescent="0.25">
      <c r="A1727" s="1">
        <v>766</v>
      </c>
      <c r="B1727" t="s">
        <v>26</v>
      </c>
      <c r="C1727">
        <v>630</v>
      </c>
      <c r="D1727">
        <v>5</v>
      </c>
      <c r="E1727" t="s">
        <v>76</v>
      </c>
      <c r="F1727" t="s">
        <v>77</v>
      </c>
      <c r="G1727" t="str">
        <f>"2025-05-28 13:52:21.685"</f>
        <v>2025-05-28 13:52:21.685</v>
      </c>
      <c r="H1727" t="s">
        <v>78</v>
      </c>
    </row>
    <row r="1728" spans="1:10" x14ac:dyDescent="0.25">
      <c r="A1728" s="1">
        <v>767</v>
      </c>
      <c r="B1728" t="s">
        <v>39</v>
      </c>
      <c r="C1728">
        <v>630</v>
      </c>
      <c r="D1728">
        <v>5</v>
      </c>
      <c r="E1728" t="s">
        <v>76</v>
      </c>
      <c r="F1728" t="s">
        <v>77</v>
      </c>
      <c r="G1728" t="str">
        <f>"2025-05-28 13:35:14.585"</f>
        <v>2025-05-28 13:35:14.585</v>
      </c>
      <c r="H1728" t="s">
        <v>78</v>
      </c>
      <c r="I1728">
        <v>0</v>
      </c>
      <c r="J1728" t="s">
        <v>23</v>
      </c>
    </row>
    <row r="1729" spans="1:10" x14ac:dyDescent="0.25">
      <c r="A1729" s="1">
        <v>768</v>
      </c>
      <c r="B1729" t="s">
        <v>19</v>
      </c>
      <c r="C1729">
        <v>700</v>
      </c>
      <c r="D1729">
        <v>0</v>
      </c>
      <c r="E1729" t="s">
        <v>24</v>
      </c>
      <c r="F1729" t="s">
        <v>24</v>
      </c>
      <c r="G1729" t="str">
        <f>"2025-05-28 13:30:11.794"</f>
        <v>2025-05-28 13:30:11.794</v>
      </c>
      <c r="H1729" t="s">
        <v>22</v>
      </c>
      <c r="I1729">
        <v>0</v>
      </c>
      <c r="J1729" t="s">
        <v>34</v>
      </c>
    </row>
    <row r="1730" spans="1:10" x14ac:dyDescent="0.25">
      <c r="A1730" s="1">
        <v>769</v>
      </c>
      <c r="B1730" t="s">
        <v>26</v>
      </c>
      <c r="C1730">
        <v>630</v>
      </c>
      <c r="D1730">
        <v>5</v>
      </c>
      <c r="E1730" t="s">
        <v>76</v>
      </c>
      <c r="F1730" t="s">
        <v>77</v>
      </c>
      <c r="G1730" t="str">
        <f>"2025-05-28 11:00:57.539"</f>
        <v>2025-05-28 11:00:57.539</v>
      </c>
      <c r="H1730" t="s">
        <v>78</v>
      </c>
    </row>
    <row r="1731" spans="1:10" x14ac:dyDescent="0.25">
      <c r="A1731" s="1">
        <v>770</v>
      </c>
      <c r="B1731" t="s">
        <v>19</v>
      </c>
      <c r="C1731">
        <v>706</v>
      </c>
      <c r="D1731">
        <v>2</v>
      </c>
      <c r="E1731" t="s">
        <v>20</v>
      </c>
      <c r="F1731" t="s">
        <v>25</v>
      </c>
      <c r="G1731" t="str">
        <f>"2025-05-28 11:00:27.467"</f>
        <v>2025-05-28 11:00:27.467</v>
      </c>
      <c r="H1731" t="s">
        <v>22</v>
      </c>
      <c r="I1731">
        <v>0</v>
      </c>
      <c r="J1731" t="s">
        <v>23</v>
      </c>
    </row>
    <row r="1732" spans="1:10" x14ac:dyDescent="0.25">
      <c r="A1732" s="1">
        <v>771</v>
      </c>
      <c r="B1732" t="s">
        <v>39</v>
      </c>
      <c r="C1732">
        <v>630</v>
      </c>
      <c r="D1732">
        <v>5</v>
      </c>
      <c r="E1732" t="s">
        <v>76</v>
      </c>
      <c r="F1732" t="s">
        <v>77</v>
      </c>
      <c r="G1732" t="str">
        <f>"2025-05-28 10:56:34.239"</f>
        <v>2025-05-28 10:56:34.239</v>
      </c>
      <c r="H1732" t="s">
        <v>78</v>
      </c>
      <c r="I1732">
        <v>0</v>
      </c>
      <c r="J1732" t="s">
        <v>23</v>
      </c>
    </row>
    <row r="1733" spans="1:10" x14ac:dyDescent="0.25">
      <c r="A1733" s="1">
        <v>772</v>
      </c>
      <c r="B1733" t="s">
        <v>26</v>
      </c>
      <c r="C1733">
        <v>635</v>
      </c>
      <c r="D1733">
        <v>1</v>
      </c>
      <c r="E1733" t="s">
        <v>31</v>
      </c>
      <c r="F1733" t="s">
        <v>32</v>
      </c>
      <c r="G1733" t="str">
        <f>"2025-05-28 10:42:44.391"</f>
        <v>2025-05-28 10:42:44.391</v>
      </c>
      <c r="H1733" t="s">
        <v>22</v>
      </c>
    </row>
    <row r="1734" spans="1:10" x14ac:dyDescent="0.25">
      <c r="A1734" s="1">
        <v>773</v>
      </c>
      <c r="B1734" t="s">
        <v>29</v>
      </c>
      <c r="C1734">
        <v>635</v>
      </c>
      <c r="D1734">
        <v>1</v>
      </c>
      <c r="E1734" t="s">
        <v>31</v>
      </c>
      <c r="F1734" t="s">
        <v>32</v>
      </c>
      <c r="G1734" t="str">
        <f>"2025-05-28 10:39:21.391"</f>
        <v>2025-05-28 10:39:21.391</v>
      </c>
      <c r="H1734" t="s">
        <v>22</v>
      </c>
      <c r="I1734">
        <v>7.77</v>
      </c>
      <c r="J1734" t="s">
        <v>33</v>
      </c>
    </row>
    <row r="1735" spans="1:10" x14ac:dyDescent="0.25">
      <c r="A1735" s="1">
        <v>775</v>
      </c>
      <c r="B1735" t="s">
        <v>26</v>
      </c>
      <c r="C1735">
        <v>630</v>
      </c>
      <c r="D1735">
        <v>5</v>
      </c>
      <c r="E1735" t="s">
        <v>76</v>
      </c>
      <c r="F1735" t="s">
        <v>77</v>
      </c>
      <c r="G1735" t="str">
        <f>"2025-05-27 22:28:10.939"</f>
        <v>2025-05-27 22:28:10.939</v>
      </c>
      <c r="H1735" t="s">
        <v>78</v>
      </c>
    </row>
    <row r="1736" spans="1:10" x14ac:dyDescent="0.25">
      <c r="A1736" s="1">
        <v>776</v>
      </c>
      <c r="B1736" t="s">
        <v>19</v>
      </c>
      <c r="C1736">
        <v>706</v>
      </c>
      <c r="D1736">
        <v>4</v>
      </c>
      <c r="E1736" t="s">
        <v>20</v>
      </c>
      <c r="F1736" t="s">
        <v>21</v>
      </c>
      <c r="G1736" t="str">
        <f>"2025-05-27 22:27:40.847"</f>
        <v>2025-05-27 22:27:40.847</v>
      </c>
      <c r="H1736" t="s">
        <v>22</v>
      </c>
      <c r="I1736">
        <v>0</v>
      </c>
      <c r="J1736" t="s">
        <v>23</v>
      </c>
    </row>
    <row r="1737" spans="1:10" x14ac:dyDescent="0.25">
      <c r="A1737" s="1">
        <v>777</v>
      </c>
      <c r="B1737" t="s">
        <v>39</v>
      </c>
      <c r="C1737">
        <v>630</v>
      </c>
      <c r="D1737">
        <v>5</v>
      </c>
      <c r="E1737" t="s">
        <v>76</v>
      </c>
      <c r="F1737" t="s">
        <v>77</v>
      </c>
      <c r="G1737" t="str">
        <f>"2025-05-27 22:24:11.239"</f>
        <v>2025-05-27 22:24:11.239</v>
      </c>
      <c r="H1737" t="s">
        <v>78</v>
      </c>
      <c r="I1737">
        <v>0</v>
      </c>
      <c r="J1737" t="s">
        <v>23</v>
      </c>
    </row>
    <row r="1738" spans="1:10" x14ac:dyDescent="0.25">
      <c r="A1738" s="1">
        <v>778</v>
      </c>
      <c r="B1738" t="s">
        <v>26</v>
      </c>
      <c r="C1738">
        <v>630</v>
      </c>
      <c r="D1738">
        <v>5</v>
      </c>
      <c r="E1738" t="s">
        <v>76</v>
      </c>
      <c r="F1738" t="s">
        <v>77</v>
      </c>
      <c r="G1738" t="str">
        <f>"2025-05-27 14:34:32.939"</f>
        <v>2025-05-27 14:34:32.939</v>
      </c>
      <c r="H1738" t="s">
        <v>78</v>
      </c>
    </row>
    <row r="1739" spans="1:10" x14ac:dyDescent="0.25">
      <c r="A1739" s="1">
        <v>779</v>
      </c>
      <c r="B1739" t="s">
        <v>19</v>
      </c>
      <c r="C1739">
        <v>706</v>
      </c>
      <c r="D1739">
        <v>2</v>
      </c>
      <c r="E1739" t="s">
        <v>20</v>
      </c>
      <c r="F1739" t="s">
        <v>25</v>
      </c>
      <c r="G1739" t="str">
        <f>"2025-05-27 14:34:02.867"</f>
        <v>2025-05-27 14:34:02.867</v>
      </c>
      <c r="H1739" t="s">
        <v>22</v>
      </c>
      <c r="I1739">
        <v>0</v>
      </c>
      <c r="J1739" t="s">
        <v>23</v>
      </c>
    </row>
    <row r="1740" spans="1:10" x14ac:dyDescent="0.25">
      <c r="A1740" s="1">
        <v>780</v>
      </c>
      <c r="B1740" t="s">
        <v>39</v>
      </c>
      <c r="C1740">
        <v>630</v>
      </c>
      <c r="D1740">
        <v>5</v>
      </c>
      <c r="E1740" t="s">
        <v>76</v>
      </c>
      <c r="F1740" t="s">
        <v>77</v>
      </c>
      <c r="G1740" t="str">
        <f>"2025-05-27 14:28:12.540"</f>
        <v>2025-05-27 14:28:12.540</v>
      </c>
      <c r="H1740" t="s">
        <v>78</v>
      </c>
      <c r="I1740">
        <v>0</v>
      </c>
      <c r="J1740" t="s">
        <v>23</v>
      </c>
    </row>
    <row r="1741" spans="1:10" x14ac:dyDescent="0.25">
      <c r="A1741" s="1">
        <v>781</v>
      </c>
      <c r="B1741" t="s">
        <v>19</v>
      </c>
      <c r="C1741">
        <v>700</v>
      </c>
      <c r="D1741">
        <v>0</v>
      </c>
      <c r="E1741" t="s">
        <v>24</v>
      </c>
      <c r="F1741" t="s">
        <v>24</v>
      </c>
      <c r="G1741" t="str">
        <f>"2025-05-27 14:23:09.647"</f>
        <v>2025-05-27 14:23:09.647</v>
      </c>
      <c r="H1741" t="s">
        <v>22</v>
      </c>
      <c r="I1741">
        <v>0</v>
      </c>
      <c r="J1741" t="s">
        <v>34</v>
      </c>
    </row>
    <row r="1742" spans="1:10" x14ac:dyDescent="0.25">
      <c r="A1742" s="1">
        <v>782</v>
      </c>
      <c r="B1742" t="s">
        <v>39</v>
      </c>
      <c r="C1742">
        <v>630</v>
      </c>
      <c r="D1742">
        <v>5</v>
      </c>
      <c r="E1742" t="s">
        <v>76</v>
      </c>
      <c r="F1742" t="s">
        <v>77</v>
      </c>
      <c r="G1742" t="str">
        <f>"2025-05-27 11:57:00.478"</f>
        <v>2025-05-27 11:57:00.478</v>
      </c>
      <c r="H1742" t="s">
        <v>78</v>
      </c>
      <c r="I1742">
        <v>0</v>
      </c>
      <c r="J1742" t="s">
        <v>23</v>
      </c>
    </row>
    <row r="1743" spans="1:10" s="3" customFormat="1" x14ac:dyDescent="0.25">
      <c r="A1743" s="2">
        <v>783</v>
      </c>
      <c r="B1743" s="3" t="s">
        <v>26</v>
      </c>
      <c r="C1743" s="3">
        <v>647</v>
      </c>
      <c r="D1743" s="3">
        <v>1</v>
      </c>
      <c r="E1743" s="3" t="s">
        <v>27</v>
      </c>
      <c r="F1743" s="3" t="s">
        <v>28</v>
      </c>
      <c r="G1743" s="3" t="str">
        <f>"2025-05-27 09:48:04.978"</f>
        <v>2025-05-27 09:48:04.978</v>
      </c>
      <c r="H1743" s="3" t="s">
        <v>22</v>
      </c>
    </row>
    <row r="1744" spans="1:10" s="3" customFormat="1" x14ac:dyDescent="0.25">
      <c r="A1744" s="2">
        <v>784</v>
      </c>
      <c r="B1744" s="3" t="s">
        <v>29</v>
      </c>
      <c r="C1744" s="3">
        <v>647</v>
      </c>
      <c r="D1744" s="3">
        <v>1</v>
      </c>
      <c r="E1744" s="3" t="s">
        <v>27</v>
      </c>
      <c r="F1744" s="3" t="s">
        <v>28</v>
      </c>
      <c r="G1744" s="3" t="str">
        <f>"2025-05-27 09:48:01.978"</f>
        <v>2025-05-27 09:48:01.978</v>
      </c>
      <c r="H1744" s="3" t="s">
        <v>22</v>
      </c>
      <c r="I1744" s="3">
        <v>8.58</v>
      </c>
      <c r="J1744" s="3" t="s">
        <v>30</v>
      </c>
    </row>
    <row r="1745" spans="1:10" s="3" customFormat="1" x14ac:dyDescent="0.25">
      <c r="A1745" s="2">
        <v>785</v>
      </c>
      <c r="B1745" s="3" t="s">
        <v>26</v>
      </c>
      <c r="C1745" s="3">
        <v>647</v>
      </c>
      <c r="D1745" s="3">
        <v>1</v>
      </c>
      <c r="E1745" s="3" t="s">
        <v>27</v>
      </c>
      <c r="F1745" s="3" t="s">
        <v>28</v>
      </c>
      <c r="G1745" s="3" t="str">
        <f>"2025-05-27 09:44:18.778"</f>
        <v>2025-05-27 09:44:18.778</v>
      </c>
      <c r="H1745" s="3" t="s">
        <v>22</v>
      </c>
    </row>
    <row r="1746" spans="1:10" s="3" customFormat="1" x14ac:dyDescent="0.25">
      <c r="A1746" s="2">
        <v>786</v>
      </c>
      <c r="B1746" s="3" t="s">
        <v>29</v>
      </c>
      <c r="C1746" s="3">
        <v>647</v>
      </c>
      <c r="D1746" s="3">
        <v>1</v>
      </c>
      <c r="E1746" s="3" t="s">
        <v>27</v>
      </c>
      <c r="F1746" s="3" t="s">
        <v>28</v>
      </c>
      <c r="G1746" s="3" t="str">
        <f>"2025-05-27 09:44:14.478"</f>
        <v>2025-05-27 09:44:14.478</v>
      </c>
      <c r="H1746" s="3" t="s">
        <v>22</v>
      </c>
      <c r="I1746" s="3">
        <v>8.5399999999999991</v>
      </c>
      <c r="J1746" s="3" t="s">
        <v>30</v>
      </c>
    </row>
    <row r="1747" spans="1:10" x14ac:dyDescent="0.25">
      <c r="A1747" s="1">
        <v>787</v>
      </c>
      <c r="B1747" t="s">
        <v>26</v>
      </c>
      <c r="C1747">
        <v>630</v>
      </c>
      <c r="D1747">
        <v>5</v>
      </c>
      <c r="E1747" t="s">
        <v>76</v>
      </c>
      <c r="F1747" t="s">
        <v>77</v>
      </c>
      <c r="G1747" t="str">
        <f>"2025-05-26 21:23:32.578"</f>
        <v>2025-05-26 21:23:32.578</v>
      </c>
      <c r="H1747" t="s">
        <v>78</v>
      </c>
    </row>
    <row r="1748" spans="1:10" x14ac:dyDescent="0.25">
      <c r="A1748" s="1">
        <v>788</v>
      </c>
      <c r="B1748" t="s">
        <v>19</v>
      </c>
      <c r="C1748">
        <v>706</v>
      </c>
      <c r="D1748">
        <v>4</v>
      </c>
      <c r="E1748" t="s">
        <v>20</v>
      </c>
      <c r="F1748" t="s">
        <v>21</v>
      </c>
      <c r="G1748" t="str">
        <f>"2025-05-26 21:23:02.462"</f>
        <v>2025-05-26 21:23:02.462</v>
      </c>
      <c r="H1748" t="s">
        <v>22</v>
      </c>
      <c r="I1748">
        <v>0</v>
      </c>
      <c r="J1748" t="s">
        <v>23</v>
      </c>
    </row>
    <row r="1749" spans="1:10" x14ac:dyDescent="0.25">
      <c r="A1749" s="1">
        <v>789</v>
      </c>
      <c r="B1749" t="s">
        <v>19</v>
      </c>
      <c r="C1749">
        <v>706</v>
      </c>
      <c r="D1749">
        <v>2</v>
      </c>
      <c r="E1749" t="s">
        <v>20</v>
      </c>
      <c r="F1749" t="s">
        <v>25</v>
      </c>
      <c r="G1749" t="str">
        <f>"2025-05-26 21:22:08.322"</f>
        <v>2025-05-26 21:22:08.322</v>
      </c>
      <c r="H1749" t="s">
        <v>22</v>
      </c>
      <c r="I1749">
        <v>0</v>
      </c>
      <c r="J1749" t="s">
        <v>23</v>
      </c>
    </row>
    <row r="1750" spans="1:10" x14ac:dyDescent="0.25">
      <c r="A1750" s="1">
        <v>790</v>
      </c>
      <c r="B1750" t="s">
        <v>39</v>
      </c>
      <c r="C1750">
        <v>630</v>
      </c>
      <c r="D1750">
        <v>5</v>
      </c>
      <c r="E1750" t="s">
        <v>76</v>
      </c>
      <c r="F1750" t="s">
        <v>77</v>
      </c>
      <c r="G1750" t="str">
        <f>"2025-05-26 21:18:11.578"</f>
        <v>2025-05-26 21:18:11.578</v>
      </c>
      <c r="H1750" t="s">
        <v>78</v>
      </c>
      <c r="I1750">
        <v>0</v>
      </c>
      <c r="J1750" t="s">
        <v>23</v>
      </c>
    </row>
    <row r="1751" spans="1:10" x14ac:dyDescent="0.25">
      <c r="A1751" s="1">
        <v>791</v>
      </c>
      <c r="B1751" t="s">
        <v>26</v>
      </c>
      <c r="C1751">
        <v>635</v>
      </c>
      <c r="D1751">
        <v>1</v>
      </c>
      <c r="E1751" t="s">
        <v>31</v>
      </c>
      <c r="F1751" t="s">
        <v>32</v>
      </c>
      <c r="G1751" t="str">
        <f>"2025-05-26 15:28:09.977"</f>
        <v>2025-05-26 15:28:09.977</v>
      </c>
      <c r="H1751" t="s">
        <v>22</v>
      </c>
    </row>
    <row r="1752" spans="1:10" x14ac:dyDescent="0.25">
      <c r="A1752" s="1">
        <v>792</v>
      </c>
      <c r="B1752" t="s">
        <v>29</v>
      </c>
      <c r="C1752">
        <v>635</v>
      </c>
      <c r="D1752">
        <v>1</v>
      </c>
      <c r="E1752" t="s">
        <v>31</v>
      </c>
      <c r="F1752" t="s">
        <v>32</v>
      </c>
      <c r="G1752" t="str">
        <f>"2025-05-26 15:24:58.477"</f>
        <v>2025-05-26 15:24:58.477</v>
      </c>
      <c r="H1752" t="s">
        <v>22</v>
      </c>
      <c r="I1752">
        <v>10.130000000000001</v>
      </c>
      <c r="J1752" t="s">
        <v>30</v>
      </c>
    </row>
    <row r="1753" spans="1:10" x14ac:dyDescent="0.25">
      <c r="A1753" s="1">
        <v>793</v>
      </c>
      <c r="B1753" t="s">
        <v>26</v>
      </c>
      <c r="C1753">
        <v>630</v>
      </c>
      <c r="D1753">
        <v>5</v>
      </c>
      <c r="E1753" t="s">
        <v>76</v>
      </c>
      <c r="F1753" t="s">
        <v>77</v>
      </c>
      <c r="G1753" t="str">
        <f>"2025-05-26 00:00:13.778"</f>
        <v>2025-05-26 00:00:13.778</v>
      </c>
      <c r="H1753" t="s">
        <v>78</v>
      </c>
    </row>
    <row r="1754" spans="1:10" x14ac:dyDescent="0.25">
      <c r="A1754" s="1">
        <v>794</v>
      </c>
      <c r="B1754" t="s">
        <v>19</v>
      </c>
      <c r="C1754">
        <v>706</v>
      </c>
      <c r="D1754">
        <v>4</v>
      </c>
      <c r="E1754" t="s">
        <v>20</v>
      </c>
      <c r="F1754" t="s">
        <v>21</v>
      </c>
      <c r="G1754" t="str">
        <f>"2025-05-25 23:59:43.832"</f>
        <v>2025-05-25 23:59:43.832</v>
      </c>
      <c r="H1754" t="s">
        <v>22</v>
      </c>
      <c r="I1754">
        <v>0</v>
      </c>
      <c r="J1754" t="s">
        <v>23</v>
      </c>
    </row>
    <row r="1755" spans="1:10" x14ac:dyDescent="0.25">
      <c r="A1755" s="1">
        <v>795</v>
      </c>
      <c r="B1755" t="s">
        <v>39</v>
      </c>
      <c r="C1755">
        <v>630</v>
      </c>
      <c r="D1755">
        <v>5</v>
      </c>
      <c r="E1755" t="s">
        <v>76</v>
      </c>
      <c r="F1755" t="s">
        <v>77</v>
      </c>
      <c r="G1755" t="str">
        <f>"2025-05-25 23:52:12.478"</f>
        <v>2025-05-25 23:52:12.478</v>
      </c>
      <c r="H1755" t="s">
        <v>78</v>
      </c>
      <c r="I1755">
        <v>0</v>
      </c>
      <c r="J1755" t="s">
        <v>23</v>
      </c>
    </row>
    <row r="1756" spans="1:10" x14ac:dyDescent="0.25">
      <c r="A1756" s="1">
        <v>796</v>
      </c>
      <c r="B1756" t="s">
        <v>26</v>
      </c>
      <c r="C1756">
        <v>630</v>
      </c>
      <c r="D1756">
        <v>5</v>
      </c>
      <c r="E1756" t="s">
        <v>76</v>
      </c>
      <c r="F1756" t="s">
        <v>77</v>
      </c>
      <c r="G1756" t="str">
        <f>"2025-05-25 23:08:08.978"</f>
        <v>2025-05-25 23:08:08.978</v>
      </c>
      <c r="H1756" t="s">
        <v>78</v>
      </c>
    </row>
    <row r="1757" spans="1:10" x14ac:dyDescent="0.25">
      <c r="A1757" s="1">
        <v>797</v>
      </c>
      <c r="B1757" t="s">
        <v>19</v>
      </c>
      <c r="C1757">
        <v>706</v>
      </c>
      <c r="D1757">
        <v>4</v>
      </c>
      <c r="E1757" t="s">
        <v>20</v>
      </c>
      <c r="F1757" t="s">
        <v>21</v>
      </c>
      <c r="G1757" t="str">
        <f>"2025-05-25 23:07:38.922"</f>
        <v>2025-05-25 23:07:38.922</v>
      </c>
      <c r="H1757" t="s">
        <v>22</v>
      </c>
      <c r="I1757">
        <v>0</v>
      </c>
      <c r="J1757" t="s">
        <v>23</v>
      </c>
    </row>
    <row r="1758" spans="1:10" x14ac:dyDescent="0.25">
      <c r="A1758" s="1">
        <v>798</v>
      </c>
      <c r="B1758" t="s">
        <v>19</v>
      </c>
      <c r="C1758">
        <v>706</v>
      </c>
      <c r="D1758">
        <v>2</v>
      </c>
      <c r="E1758" t="s">
        <v>20</v>
      </c>
      <c r="F1758" t="s">
        <v>25</v>
      </c>
      <c r="G1758" t="str">
        <f>"2025-05-25 23:07:08.822"</f>
        <v>2025-05-25 23:07:08.822</v>
      </c>
      <c r="H1758" t="s">
        <v>22</v>
      </c>
      <c r="I1758">
        <v>0</v>
      </c>
      <c r="J1758" t="s">
        <v>23</v>
      </c>
    </row>
    <row r="1759" spans="1:10" x14ac:dyDescent="0.25">
      <c r="A1759" s="1">
        <v>799</v>
      </c>
      <c r="B1759" t="s">
        <v>39</v>
      </c>
      <c r="C1759">
        <v>630</v>
      </c>
      <c r="D1759">
        <v>5</v>
      </c>
      <c r="E1759" t="s">
        <v>76</v>
      </c>
      <c r="F1759" t="s">
        <v>77</v>
      </c>
      <c r="G1759" t="str">
        <f>"2025-05-25 23:02:55.178"</f>
        <v>2025-05-25 23:02:55.178</v>
      </c>
      <c r="H1759" t="s">
        <v>78</v>
      </c>
      <c r="I1759">
        <v>0</v>
      </c>
      <c r="J1759" t="s">
        <v>23</v>
      </c>
    </row>
    <row r="1760" spans="1:10" x14ac:dyDescent="0.25">
      <c r="A1760" s="1">
        <v>800</v>
      </c>
      <c r="B1760" t="s">
        <v>26</v>
      </c>
      <c r="C1760">
        <v>635</v>
      </c>
      <c r="D1760">
        <v>1</v>
      </c>
      <c r="E1760" t="s">
        <v>31</v>
      </c>
      <c r="F1760" t="s">
        <v>32</v>
      </c>
      <c r="G1760" t="str">
        <f>"2025-05-24 21:38:50.977"</f>
        <v>2025-05-24 21:38:50.977</v>
      </c>
      <c r="H1760" t="s">
        <v>22</v>
      </c>
    </row>
    <row r="1761" spans="1:10" x14ac:dyDescent="0.25">
      <c r="A1761" s="1">
        <v>801</v>
      </c>
      <c r="B1761" t="s">
        <v>29</v>
      </c>
      <c r="C1761">
        <v>635</v>
      </c>
      <c r="D1761">
        <v>1</v>
      </c>
      <c r="E1761" t="s">
        <v>31</v>
      </c>
      <c r="F1761" t="s">
        <v>32</v>
      </c>
      <c r="G1761" t="str">
        <f>"2025-05-24 21:37:14.477"</f>
        <v>2025-05-24 21:37:14.477</v>
      </c>
      <c r="H1761" t="s">
        <v>22</v>
      </c>
      <c r="I1761">
        <v>2.35</v>
      </c>
      <c r="J1761" t="s">
        <v>33</v>
      </c>
    </row>
    <row r="1762" spans="1:10" s="3" customFormat="1" x14ac:dyDescent="0.25">
      <c r="A1762" s="2">
        <v>802</v>
      </c>
      <c r="B1762" s="3" t="s">
        <v>26</v>
      </c>
      <c r="C1762" s="3">
        <v>647</v>
      </c>
      <c r="D1762" s="3">
        <v>1</v>
      </c>
      <c r="E1762" s="3" t="s">
        <v>27</v>
      </c>
      <c r="F1762" s="3" t="s">
        <v>28</v>
      </c>
      <c r="G1762" s="3" t="str">
        <f>"2025-05-24 16:54:09.578"</f>
        <v>2025-05-24 16:54:09.578</v>
      </c>
      <c r="H1762" s="3" t="s">
        <v>22</v>
      </c>
    </row>
    <row r="1763" spans="1:10" s="3" customFormat="1" x14ac:dyDescent="0.25">
      <c r="A1763" s="2">
        <v>803</v>
      </c>
      <c r="B1763" s="3" t="s">
        <v>29</v>
      </c>
      <c r="C1763" s="3">
        <v>647</v>
      </c>
      <c r="D1763" s="3">
        <v>1</v>
      </c>
      <c r="E1763" s="3" t="s">
        <v>27</v>
      </c>
      <c r="F1763" s="3" t="s">
        <v>28</v>
      </c>
      <c r="G1763" s="3" t="str">
        <f>"2025-05-24 16:54:06.878"</f>
        <v>2025-05-24 16:54:06.878</v>
      </c>
      <c r="H1763" s="3" t="s">
        <v>22</v>
      </c>
      <c r="I1763" s="3">
        <v>10.26</v>
      </c>
      <c r="J1763" s="3" t="s">
        <v>30</v>
      </c>
    </row>
    <row r="1764" spans="1:10" x14ac:dyDescent="0.25">
      <c r="A1764" s="1">
        <v>804</v>
      </c>
      <c r="B1764" t="s">
        <v>26</v>
      </c>
      <c r="C1764">
        <v>630</v>
      </c>
      <c r="D1764">
        <v>5</v>
      </c>
      <c r="E1764" t="s">
        <v>76</v>
      </c>
      <c r="F1764" t="s">
        <v>77</v>
      </c>
      <c r="G1764" t="str">
        <f>"2025-05-24 15:12:06.078"</f>
        <v>2025-05-24 15:12:06.078</v>
      </c>
      <c r="H1764" t="s">
        <v>78</v>
      </c>
    </row>
    <row r="1765" spans="1:10" x14ac:dyDescent="0.25">
      <c r="A1765" s="1">
        <v>805</v>
      </c>
      <c r="B1765" t="s">
        <v>19</v>
      </c>
      <c r="C1765">
        <v>706</v>
      </c>
      <c r="D1765">
        <v>2</v>
      </c>
      <c r="E1765" t="s">
        <v>20</v>
      </c>
      <c r="F1765" t="s">
        <v>25</v>
      </c>
      <c r="G1765" t="str">
        <f>"2025-05-24 15:11:36.022"</f>
        <v>2025-05-24 15:11:36.022</v>
      </c>
      <c r="H1765" t="s">
        <v>22</v>
      </c>
      <c r="I1765">
        <v>0</v>
      </c>
      <c r="J1765" t="s">
        <v>23</v>
      </c>
    </row>
    <row r="1766" spans="1:10" x14ac:dyDescent="0.25">
      <c r="A1766" s="1">
        <v>806</v>
      </c>
      <c r="B1766" t="s">
        <v>39</v>
      </c>
      <c r="C1766">
        <v>630</v>
      </c>
      <c r="D1766">
        <v>5</v>
      </c>
      <c r="E1766" t="s">
        <v>76</v>
      </c>
      <c r="F1766" t="s">
        <v>77</v>
      </c>
      <c r="G1766" t="str">
        <f>"2025-05-24 14:34:05.478"</f>
        <v>2025-05-24 14:34:05.478</v>
      </c>
      <c r="H1766" t="s">
        <v>78</v>
      </c>
      <c r="I1766">
        <v>0</v>
      </c>
      <c r="J1766" t="s">
        <v>23</v>
      </c>
    </row>
    <row r="1767" spans="1:10" x14ac:dyDescent="0.25">
      <c r="A1767" s="1">
        <v>807</v>
      </c>
      <c r="B1767" t="s">
        <v>19</v>
      </c>
      <c r="C1767">
        <v>700</v>
      </c>
      <c r="D1767">
        <v>0</v>
      </c>
      <c r="E1767" t="s">
        <v>24</v>
      </c>
      <c r="F1767" t="s">
        <v>24</v>
      </c>
      <c r="G1767" t="str">
        <f>"2025-05-24 14:29:02.662"</f>
        <v>2025-05-24 14:29:02.662</v>
      </c>
      <c r="H1767" t="s">
        <v>22</v>
      </c>
      <c r="I1767">
        <v>0</v>
      </c>
      <c r="J1767" t="s">
        <v>34</v>
      </c>
    </row>
    <row r="1768" spans="1:10" x14ac:dyDescent="0.25">
      <c r="A1768" s="1">
        <v>808</v>
      </c>
      <c r="B1768" t="s">
        <v>26</v>
      </c>
      <c r="C1768">
        <v>635</v>
      </c>
      <c r="D1768">
        <v>1</v>
      </c>
      <c r="E1768" t="s">
        <v>31</v>
      </c>
      <c r="F1768" t="s">
        <v>32</v>
      </c>
      <c r="G1768" t="str">
        <f>"2025-05-24 10:54:12.127"</f>
        <v>2025-05-24 10:54:12.127</v>
      </c>
      <c r="H1768" t="s">
        <v>22</v>
      </c>
    </row>
    <row r="1769" spans="1:10" x14ac:dyDescent="0.25">
      <c r="A1769" s="1">
        <v>809</v>
      </c>
      <c r="B1769" t="s">
        <v>29</v>
      </c>
      <c r="C1769">
        <v>635</v>
      </c>
      <c r="D1769">
        <v>1</v>
      </c>
      <c r="E1769" t="s">
        <v>31</v>
      </c>
      <c r="F1769" t="s">
        <v>32</v>
      </c>
      <c r="G1769" t="str">
        <f>"2025-05-24 10:38:50.127"</f>
        <v>2025-05-24 10:38:50.127</v>
      </c>
      <c r="H1769" t="s">
        <v>22</v>
      </c>
      <c r="I1769">
        <v>4.8899999999999997</v>
      </c>
      <c r="J1769" t="s">
        <v>33</v>
      </c>
    </row>
    <row r="1770" spans="1:10" x14ac:dyDescent="0.25">
      <c r="A1770" s="1">
        <v>810</v>
      </c>
      <c r="B1770" t="s">
        <v>26</v>
      </c>
      <c r="C1770">
        <v>630</v>
      </c>
      <c r="D1770">
        <v>5</v>
      </c>
      <c r="E1770" t="s">
        <v>76</v>
      </c>
      <c r="F1770" t="s">
        <v>77</v>
      </c>
      <c r="G1770" t="str">
        <f>"2025-05-24 03:07:58.928"</f>
        <v>2025-05-24 03:07:58.928</v>
      </c>
      <c r="H1770" t="s">
        <v>78</v>
      </c>
    </row>
    <row r="1771" spans="1:10" x14ac:dyDescent="0.25">
      <c r="A1771" s="1">
        <v>811</v>
      </c>
      <c r="B1771" t="s">
        <v>19</v>
      </c>
      <c r="C1771">
        <v>706</v>
      </c>
      <c r="D1771">
        <v>2</v>
      </c>
      <c r="E1771" t="s">
        <v>20</v>
      </c>
      <c r="F1771" t="s">
        <v>25</v>
      </c>
      <c r="G1771" t="str">
        <f>"2025-05-24 03:07:28.886"</f>
        <v>2025-05-24 03:07:28.886</v>
      </c>
      <c r="H1771" t="s">
        <v>22</v>
      </c>
      <c r="I1771">
        <v>0</v>
      </c>
      <c r="J1771" t="s">
        <v>23</v>
      </c>
    </row>
    <row r="1772" spans="1:10" x14ac:dyDescent="0.25">
      <c r="A1772" s="1">
        <v>812</v>
      </c>
      <c r="B1772" t="s">
        <v>39</v>
      </c>
      <c r="C1772">
        <v>630</v>
      </c>
      <c r="D1772">
        <v>5</v>
      </c>
      <c r="E1772" t="s">
        <v>76</v>
      </c>
      <c r="F1772" t="s">
        <v>77</v>
      </c>
      <c r="G1772" t="str">
        <f>"2025-05-24 02:57:58.228"</f>
        <v>2025-05-24 02:57:58.228</v>
      </c>
      <c r="H1772" t="s">
        <v>78</v>
      </c>
      <c r="I1772">
        <v>0</v>
      </c>
      <c r="J1772" t="s">
        <v>23</v>
      </c>
    </row>
    <row r="1773" spans="1:10" x14ac:dyDescent="0.25">
      <c r="A1773" s="1">
        <v>813</v>
      </c>
      <c r="B1773" t="s">
        <v>26</v>
      </c>
      <c r="C1773">
        <v>635</v>
      </c>
      <c r="D1773">
        <v>1</v>
      </c>
      <c r="E1773" t="s">
        <v>31</v>
      </c>
      <c r="F1773" t="s">
        <v>32</v>
      </c>
      <c r="G1773" t="str">
        <f>"2025-05-22 21:18:36.127"</f>
        <v>2025-05-22 21:18:36.127</v>
      </c>
      <c r="H1773" t="s">
        <v>22</v>
      </c>
    </row>
    <row r="1774" spans="1:10" x14ac:dyDescent="0.25">
      <c r="A1774" s="1">
        <v>814</v>
      </c>
      <c r="B1774" t="s">
        <v>29</v>
      </c>
      <c r="C1774">
        <v>635</v>
      </c>
      <c r="D1774">
        <v>1</v>
      </c>
      <c r="E1774" t="s">
        <v>31</v>
      </c>
      <c r="F1774" t="s">
        <v>32</v>
      </c>
      <c r="G1774" t="str">
        <f>"2025-05-22 21:14:03.627"</f>
        <v>2025-05-22 21:14:03.627</v>
      </c>
      <c r="H1774" t="s">
        <v>22</v>
      </c>
      <c r="I1774">
        <v>3.56</v>
      </c>
      <c r="J1774" t="s">
        <v>33</v>
      </c>
    </row>
    <row r="1775" spans="1:10" x14ac:dyDescent="0.25">
      <c r="A1775" s="1">
        <v>815</v>
      </c>
      <c r="B1775" t="s">
        <v>26</v>
      </c>
      <c r="C1775">
        <v>630</v>
      </c>
      <c r="D1775">
        <v>5</v>
      </c>
      <c r="E1775" t="s">
        <v>76</v>
      </c>
      <c r="F1775" t="s">
        <v>77</v>
      </c>
      <c r="G1775" t="str">
        <f>"2025-05-22 20:17:07.228"</f>
        <v>2025-05-22 20:17:07.228</v>
      </c>
      <c r="H1775" t="s">
        <v>78</v>
      </c>
    </row>
    <row r="1776" spans="1:10" x14ac:dyDescent="0.25">
      <c r="A1776" s="1">
        <v>816</v>
      </c>
      <c r="B1776" t="s">
        <v>19</v>
      </c>
      <c r="C1776">
        <v>706</v>
      </c>
      <c r="D1776">
        <v>4</v>
      </c>
      <c r="E1776" t="s">
        <v>20</v>
      </c>
      <c r="F1776" t="s">
        <v>21</v>
      </c>
      <c r="G1776" t="str">
        <f>"2025-05-22 20:16:37.116"</f>
        <v>2025-05-22 20:16:37.116</v>
      </c>
      <c r="H1776" t="s">
        <v>22</v>
      </c>
      <c r="I1776">
        <v>0</v>
      </c>
      <c r="J1776" t="s">
        <v>23</v>
      </c>
    </row>
    <row r="1777" spans="1:10" x14ac:dyDescent="0.25">
      <c r="A1777" s="1">
        <v>817</v>
      </c>
      <c r="B1777" t="s">
        <v>39</v>
      </c>
      <c r="C1777">
        <v>630</v>
      </c>
      <c r="D1777">
        <v>5</v>
      </c>
      <c r="E1777" t="s">
        <v>76</v>
      </c>
      <c r="F1777" t="s">
        <v>77</v>
      </c>
      <c r="G1777" t="str">
        <f>"2025-05-22 20:10:40.528"</f>
        <v>2025-05-22 20:10:40.528</v>
      </c>
      <c r="H1777" t="s">
        <v>78</v>
      </c>
      <c r="I1777">
        <v>0</v>
      </c>
      <c r="J1777" t="s">
        <v>23</v>
      </c>
    </row>
    <row r="1778" spans="1:10" x14ac:dyDescent="0.25">
      <c r="A1778" s="1">
        <v>818</v>
      </c>
      <c r="B1778" t="s">
        <v>26</v>
      </c>
      <c r="C1778">
        <v>635</v>
      </c>
      <c r="D1778">
        <v>1</v>
      </c>
      <c r="E1778" t="s">
        <v>31</v>
      </c>
      <c r="F1778" t="s">
        <v>32</v>
      </c>
      <c r="G1778" t="str">
        <f>"2025-05-20 08:50:33.327"</f>
        <v>2025-05-20 08:50:33.327</v>
      </c>
      <c r="H1778" t="s">
        <v>22</v>
      </c>
    </row>
    <row r="1779" spans="1:10" x14ac:dyDescent="0.25">
      <c r="A1779" s="1">
        <v>819</v>
      </c>
      <c r="B1779" t="s">
        <v>29</v>
      </c>
      <c r="C1779">
        <v>635</v>
      </c>
      <c r="D1779">
        <v>1</v>
      </c>
      <c r="E1779" t="s">
        <v>31</v>
      </c>
      <c r="F1779" t="s">
        <v>32</v>
      </c>
      <c r="G1779" t="str">
        <f>"2025-05-20 08:47:35.827"</f>
        <v>2025-05-20 08:47:35.827</v>
      </c>
      <c r="H1779" t="s">
        <v>22</v>
      </c>
      <c r="I1779">
        <v>6.92</v>
      </c>
      <c r="J1779" t="s">
        <v>33</v>
      </c>
    </row>
    <row r="1780" spans="1:10" s="3" customFormat="1" x14ac:dyDescent="0.25">
      <c r="A1780" s="2">
        <v>820</v>
      </c>
      <c r="B1780" s="3" t="s">
        <v>26</v>
      </c>
      <c r="C1780" s="3">
        <v>647</v>
      </c>
      <c r="D1780" s="3">
        <v>1</v>
      </c>
      <c r="E1780" s="3" t="s">
        <v>27</v>
      </c>
      <c r="F1780" s="3" t="s">
        <v>28</v>
      </c>
      <c r="G1780" s="3" t="str">
        <f>"2025-05-20 08:35:13.628"</f>
        <v>2025-05-20 08:35:13.628</v>
      </c>
      <c r="H1780" s="3" t="s">
        <v>22</v>
      </c>
    </row>
    <row r="1781" spans="1:10" s="3" customFormat="1" x14ac:dyDescent="0.25">
      <c r="A1781" s="2">
        <v>821</v>
      </c>
      <c r="B1781" s="3" t="s">
        <v>29</v>
      </c>
      <c r="C1781" s="3">
        <v>647</v>
      </c>
      <c r="D1781" s="3">
        <v>1</v>
      </c>
      <c r="E1781" s="3" t="s">
        <v>27</v>
      </c>
      <c r="F1781" s="3" t="s">
        <v>28</v>
      </c>
      <c r="G1781" s="3" t="str">
        <f>"2025-05-20 08:35:11.528"</f>
        <v>2025-05-20 08:35:11.528</v>
      </c>
      <c r="H1781" s="3" t="s">
        <v>22</v>
      </c>
      <c r="I1781" s="3">
        <v>11.49</v>
      </c>
      <c r="J1781" s="3" t="s">
        <v>30</v>
      </c>
    </row>
    <row r="1782" spans="1:10" x14ac:dyDescent="0.25">
      <c r="A1782" s="1">
        <v>822</v>
      </c>
      <c r="B1782" t="s">
        <v>26</v>
      </c>
      <c r="C1782">
        <v>630</v>
      </c>
      <c r="D1782">
        <v>5</v>
      </c>
      <c r="E1782" t="s">
        <v>76</v>
      </c>
      <c r="F1782" t="s">
        <v>77</v>
      </c>
      <c r="G1782" t="str">
        <f>"2025-05-19 21:45:57.128"</f>
        <v>2025-05-19 21:45:57.128</v>
      </c>
      <c r="H1782" t="s">
        <v>78</v>
      </c>
    </row>
    <row r="1783" spans="1:10" x14ac:dyDescent="0.25">
      <c r="A1783" s="1">
        <v>823</v>
      </c>
      <c r="B1783" t="s">
        <v>19</v>
      </c>
      <c r="C1783">
        <v>706</v>
      </c>
      <c r="D1783">
        <v>4</v>
      </c>
      <c r="E1783" t="s">
        <v>20</v>
      </c>
      <c r="F1783" t="s">
        <v>21</v>
      </c>
      <c r="G1783" t="str">
        <f>"2025-05-19 21:45:27.096"</f>
        <v>2025-05-19 21:45:27.096</v>
      </c>
      <c r="H1783" t="s">
        <v>22</v>
      </c>
      <c r="I1783">
        <v>0</v>
      </c>
      <c r="J1783" t="s">
        <v>23</v>
      </c>
    </row>
    <row r="1784" spans="1:10" x14ac:dyDescent="0.25">
      <c r="A1784" s="1">
        <v>824</v>
      </c>
      <c r="B1784" t="s">
        <v>39</v>
      </c>
      <c r="C1784">
        <v>630</v>
      </c>
      <c r="D1784">
        <v>5</v>
      </c>
      <c r="E1784" t="s">
        <v>76</v>
      </c>
      <c r="F1784" t="s">
        <v>77</v>
      </c>
      <c r="G1784" t="str">
        <f>"2025-05-19 21:42:25.228"</f>
        <v>2025-05-19 21:42:25.228</v>
      </c>
      <c r="H1784" t="s">
        <v>78</v>
      </c>
      <c r="I1784">
        <v>0</v>
      </c>
      <c r="J1784" t="s">
        <v>23</v>
      </c>
    </row>
    <row r="1785" spans="1:10" s="3" customFormat="1" x14ac:dyDescent="0.25">
      <c r="A1785" s="2">
        <v>825</v>
      </c>
      <c r="B1785" s="3" t="s">
        <v>26</v>
      </c>
      <c r="C1785" s="3">
        <v>647</v>
      </c>
      <c r="D1785" s="3">
        <v>1</v>
      </c>
      <c r="E1785" s="3" t="s">
        <v>27</v>
      </c>
      <c r="F1785" s="3" t="s">
        <v>28</v>
      </c>
      <c r="G1785" s="3" t="str">
        <f>"2025-05-19 16:19:19.928"</f>
        <v>2025-05-19 16:19:19.928</v>
      </c>
      <c r="H1785" s="3" t="s">
        <v>22</v>
      </c>
    </row>
    <row r="1786" spans="1:10" s="3" customFormat="1" x14ac:dyDescent="0.25">
      <c r="A1786" s="2">
        <v>826</v>
      </c>
      <c r="B1786" s="3" t="s">
        <v>29</v>
      </c>
      <c r="C1786" s="3">
        <v>647</v>
      </c>
      <c r="D1786" s="3">
        <v>1</v>
      </c>
      <c r="E1786" s="3" t="s">
        <v>27</v>
      </c>
      <c r="F1786" s="3" t="s">
        <v>28</v>
      </c>
      <c r="G1786" s="3" t="str">
        <f>"2025-05-19 16:19:18.028"</f>
        <v>2025-05-19 16:19:18.028</v>
      </c>
      <c r="H1786" s="3" t="s">
        <v>22</v>
      </c>
      <c r="I1786" s="3">
        <v>12.82</v>
      </c>
      <c r="J1786" s="3" t="s">
        <v>30</v>
      </c>
    </row>
    <row r="1787" spans="1:10" x14ac:dyDescent="0.25">
      <c r="A1787" s="1">
        <v>827</v>
      </c>
      <c r="B1787" t="s">
        <v>19</v>
      </c>
      <c r="C1787">
        <v>706</v>
      </c>
      <c r="D1787">
        <v>2</v>
      </c>
      <c r="E1787" t="s">
        <v>20</v>
      </c>
      <c r="F1787" t="s">
        <v>25</v>
      </c>
      <c r="G1787" t="str">
        <f>"2025-05-19 16:13:47.386"</f>
        <v>2025-05-19 16:13:47.386</v>
      </c>
      <c r="H1787" t="s">
        <v>22</v>
      </c>
      <c r="I1787">
        <v>0</v>
      </c>
      <c r="J1787" t="s">
        <v>23</v>
      </c>
    </row>
    <row r="1788" spans="1:10" x14ac:dyDescent="0.25">
      <c r="A1788" s="1">
        <v>828</v>
      </c>
      <c r="B1788" t="s">
        <v>19</v>
      </c>
      <c r="C1788">
        <v>706</v>
      </c>
      <c r="D1788">
        <v>2</v>
      </c>
      <c r="E1788" t="s">
        <v>20</v>
      </c>
      <c r="F1788" t="s">
        <v>25</v>
      </c>
      <c r="G1788" t="str">
        <f>"2025-05-19 15:52:20.686"</f>
        <v>2025-05-19 15:52:20.686</v>
      </c>
      <c r="H1788" t="s">
        <v>22</v>
      </c>
      <c r="I1788">
        <v>0</v>
      </c>
      <c r="J1788" t="s">
        <v>23</v>
      </c>
    </row>
    <row r="1789" spans="1:10" x14ac:dyDescent="0.25">
      <c r="A1789" s="1">
        <v>829</v>
      </c>
      <c r="B1789" t="s">
        <v>19</v>
      </c>
      <c r="C1789">
        <v>706</v>
      </c>
      <c r="D1789">
        <v>2</v>
      </c>
      <c r="E1789" t="s">
        <v>20</v>
      </c>
      <c r="F1789" t="s">
        <v>25</v>
      </c>
      <c r="G1789" t="str">
        <f>"2025-05-19 15:50:02.486"</f>
        <v>2025-05-19 15:50:02.486</v>
      </c>
      <c r="H1789" t="s">
        <v>22</v>
      </c>
      <c r="I1789">
        <v>0</v>
      </c>
      <c r="J1789" t="s">
        <v>23</v>
      </c>
    </row>
    <row r="1790" spans="1:10" x14ac:dyDescent="0.25">
      <c r="A1790" s="1">
        <v>830</v>
      </c>
      <c r="B1790" t="s">
        <v>19</v>
      </c>
      <c r="C1790">
        <v>700</v>
      </c>
      <c r="D1790">
        <v>0</v>
      </c>
      <c r="E1790" t="s">
        <v>24</v>
      </c>
      <c r="F1790" t="s">
        <v>24</v>
      </c>
      <c r="G1790" t="str">
        <f>"2025-05-19 15:42:42.606"</f>
        <v>2025-05-19 15:42:42.606</v>
      </c>
      <c r="H1790" t="s">
        <v>22</v>
      </c>
    </row>
    <row r="1791" spans="1:10" x14ac:dyDescent="0.25">
      <c r="A1791" s="1">
        <v>831</v>
      </c>
      <c r="B1791" t="s">
        <v>19</v>
      </c>
      <c r="C1791">
        <v>700</v>
      </c>
      <c r="D1791">
        <v>0</v>
      </c>
      <c r="E1791" t="s">
        <v>24</v>
      </c>
      <c r="F1791" t="s">
        <v>24</v>
      </c>
      <c r="G1791" t="str">
        <f>"2025-05-19 15:33:28.637"</f>
        <v>2025-05-19 15:33:28.637</v>
      </c>
      <c r="H1791" t="s">
        <v>22</v>
      </c>
    </row>
    <row r="1792" spans="1:10" s="3" customFormat="1" x14ac:dyDescent="0.25">
      <c r="A1792" s="2">
        <v>832</v>
      </c>
      <c r="B1792" s="3" t="s">
        <v>26</v>
      </c>
      <c r="C1792" s="3">
        <v>647</v>
      </c>
      <c r="D1792" s="3">
        <v>1</v>
      </c>
      <c r="E1792" s="3" t="s">
        <v>27</v>
      </c>
      <c r="F1792" s="3" t="s">
        <v>28</v>
      </c>
      <c r="G1792" s="3" t="str">
        <f>"2025-05-19 08:22:23.436"</f>
        <v>2025-05-19 08:22:23.436</v>
      </c>
      <c r="H1792" s="3" t="s">
        <v>22</v>
      </c>
    </row>
    <row r="1793" spans="1:10" s="3" customFormat="1" x14ac:dyDescent="0.25">
      <c r="A1793" s="2">
        <v>833</v>
      </c>
      <c r="B1793" s="3" t="s">
        <v>29</v>
      </c>
      <c r="C1793" s="3">
        <v>647</v>
      </c>
      <c r="D1793" s="3">
        <v>1</v>
      </c>
      <c r="E1793" s="3" t="s">
        <v>27</v>
      </c>
      <c r="F1793" s="3" t="s">
        <v>28</v>
      </c>
      <c r="G1793" s="3" t="str">
        <f>"2025-05-19 08:22:21.136"</f>
        <v>2025-05-19 08:22:21.136</v>
      </c>
      <c r="H1793" s="3" t="s">
        <v>22</v>
      </c>
      <c r="I1793" s="3">
        <v>10.67</v>
      </c>
      <c r="J1793" s="3" t="s">
        <v>52</v>
      </c>
    </row>
    <row r="1794" spans="1:10" x14ac:dyDescent="0.25">
      <c r="A1794" s="1">
        <v>834</v>
      </c>
      <c r="B1794" t="s">
        <v>26</v>
      </c>
      <c r="C1794">
        <v>635</v>
      </c>
      <c r="D1794">
        <v>1</v>
      </c>
      <c r="E1794" t="s">
        <v>31</v>
      </c>
      <c r="F1794" t="s">
        <v>32</v>
      </c>
      <c r="G1794" t="str">
        <f>"2025-05-18 23:00:51.888"</f>
        <v>2025-05-18 23:00:51.888</v>
      </c>
      <c r="H1794" t="s">
        <v>22</v>
      </c>
    </row>
    <row r="1795" spans="1:10" x14ac:dyDescent="0.25">
      <c r="A1795" s="1">
        <v>835</v>
      </c>
      <c r="B1795" t="s">
        <v>29</v>
      </c>
      <c r="C1795">
        <v>635</v>
      </c>
      <c r="D1795">
        <v>1</v>
      </c>
      <c r="E1795" t="s">
        <v>31</v>
      </c>
      <c r="F1795" t="s">
        <v>32</v>
      </c>
      <c r="G1795" t="str">
        <f>"2025-05-18 22:50:23.488"</f>
        <v>2025-05-18 22:50:23.488</v>
      </c>
      <c r="H1795" t="s">
        <v>22</v>
      </c>
      <c r="I1795">
        <v>1.0900000000000001</v>
      </c>
      <c r="J1795" t="s">
        <v>33</v>
      </c>
    </row>
    <row r="1796" spans="1:10" x14ac:dyDescent="0.25">
      <c r="A1796" s="1">
        <v>836</v>
      </c>
      <c r="B1796" t="s">
        <v>19</v>
      </c>
      <c r="C1796">
        <v>706</v>
      </c>
      <c r="D1796">
        <v>2</v>
      </c>
      <c r="E1796" t="s">
        <v>20</v>
      </c>
      <c r="F1796" t="s">
        <v>25</v>
      </c>
      <c r="G1796" t="str">
        <f>"2025-05-18 20:39:30.978"</f>
        <v>2025-05-18 20:39:30.978</v>
      </c>
      <c r="H1796" t="s">
        <v>22</v>
      </c>
      <c r="I1796">
        <v>0</v>
      </c>
      <c r="J1796" t="s">
        <v>23</v>
      </c>
    </row>
    <row r="1797" spans="1:10" x14ac:dyDescent="0.25">
      <c r="A1797" s="1">
        <v>837</v>
      </c>
      <c r="B1797" t="s">
        <v>19</v>
      </c>
      <c r="C1797">
        <v>700</v>
      </c>
      <c r="D1797">
        <v>0</v>
      </c>
      <c r="E1797" t="s">
        <v>24</v>
      </c>
      <c r="F1797" t="s">
        <v>24</v>
      </c>
      <c r="G1797" t="str">
        <f>"2025-05-18 19:56:05.618"</f>
        <v>2025-05-18 19:56:05.618</v>
      </c>
      <c r="H1797" t="s">
        <v>22</v>
      </c>
    </row>
    <row r="1798" spans="1:10" x14ac:dyDescent="0.25">
      <c r="A1798" s="1">
        <v>838</v>
      </c>
      <c r="B1798" t="s">
        <v>19</v>
      </c>
      <c r="C1798">
        <v>706</v>
      </c>
      <c r="D1798">
        <v>2</v>
      </c>
      <c r="E1798" t="s">
        <v>20</v>
      </c>
      <c r="F1798" t="s">
        <v>25</v>
      </c>
      <c r="G1798" t="str">
        <f>"2025-05-18 17:17:01.039"</f>
        <v>2025-05-18 17:17:01.039</v>
      </c>
      <c r="H1798" t="s">
        <v>22</v>
      </c>
      <c r="I1798">
        <v>0</v>
      </c>
      <c r="J1798" t="s">
        <v>23</v>
      </c>
    </row>
    <row r="1799" spans="1:10" x14ac:dyDescent="0.25">
      <c r="A1799" s="1">
        <v>839</v>
      </c>
      <c r="B1799" t="s">
        <v>19</v>
      </c>
      <c r="C1799">
        <v>700</v>
      </c>
      <c r="D1799">
        <v>0</v>
      </c>
      <c r="E1799" t="s">
        <v>24</v>
      </c>
      <c r="F1799" t="s">
        <v>24</v>
      </c>
      <c r="G1799" t="str">
        <f>"2025-05-18 17:15:42.639"</f>
        <v>2025-05-18 17:15:42.639</v>
      </c>
      <c r="H1799" t="s">
        <v>22</v>
      </c>
    </row>
    <row r="1800" spans="1:10" x14ac:dyDescent="0.25">
      <c r="A1800" s="1">
        <v>840</v>
      </c>
      <c r="B1800" t="s">
        <v>26</v>
      </c>
      <c r="C1800">
        <v>630</v>
      </c>
      <c r="D1800">
        <v>5</v>
      </c>
      <c r="E1800" t="s">
        <v>76</v>
      </c>
      <c r="F1800" t="s">
        <v>77</v>
      </c>
      <c r="G1800" t="str">
        <f>"2025-05-18 17:15:17.926"</f>
        <v>2025-05-18 17:15:17.926</v>
      </c>
      <c r="H1800" t="s">
        <v>78</v>
      </c>
    </row>
    <row r="1801" spans="1:10" x14ac:dyDescent="0.25">
      <c r="A1801" s="1">
        <v>841</v>
      </c>
      <c r="B1801" t="s">
        <v>39</v>
      </c>
      <c r="C1801">
        <v>630</v>
      </c>
      <c r="D1801">
        <v>5</v>
      </c>
      <c r="E1801" t="s">
        <v>76</v>
      </c>
      <c r="F1801" t="s">
        <v>77</v>
      </c>
      <c r="G1801" t="str">
        <f>"2025-05-18 17:14:01.126"</f>
        <v>2025-05-18 17:14:01.126</v>
      </c>
      <c r="H1801" t="s">
        <v>78</v>
      </c>
      <c r="I1801">
        <v>0</v>
      </c>
      <c r="J1801" t="s">
        <v>23</v>
      </c>
    </row>
    <row r="1802" spans="1:10" x14ac:dyDescent="0.25">
      <c r="A1802" s="1">
        <v>842</v>
      </c>
      <c r="B1802" t="s">
        <v>26</v>
      </c>
      <c r="C1802">
        <v>619</v>
      </c>
      <c r="D1802">
        <v>1</v>
      </c>
      <c r="E1802" t="s">
        <v>83</v>
      </c>
      <c r="F1802" t="s">
        <v>32</v>
      </c>
      <c r="G1802" t="str">
        <f>"2025-05-18 16:16:39.477"</f>
        <v>2025-05-18 16:16:39.477</v>
      </c>
      <c r="H1802" t="s">
        <v>84</v>
      </c>
    </row>
    <row r="1803" spans="1:10" x14ac:dyDescent="0.25">
      <c r="A1803" s="1">
        <v>843</v>
      </c>
      <c r="B1803" t="s">
        <v>29</v>
      </c>
      <c r="C1803">
        <v>619</v>
      </c>
      <c r="D1803">
        <v>1</v>
      </c>
      <c r="E1803" t="s">
        <v>83</v>
      </c>
      <c r="F1803" t="s">
        <v>32</v>
      </c>
      <c r="G1803" t="str">
        <f>"2025-05-18 16:16:21.377"</f>
        <v>2025-05-18 16:16:21.377</v>
      </c>
      <c r="H1803" t="s">
        <v>84</v>
      </c>
      <c r="I1803">
        <v>4.59</v>
      </c>
      <c r="J1803" t="s">
        <v>33</v>
      </c>
    </row>
    <row r="1804" spans="1:10" x14ac:dyDescent="0.25">
      <c r="A1804" s="1">
        <v>844</v>
      </c>
      <c r="B1804" t="s">
        <v>26</v>
      </c>
      <c r="C1804">
        <v>635</v>
      </c>
      <c r="D1804">
        <v>1</v>
      </c>
      <c r="E1804" t="s">
        <v>31</v>
      </c>
      <c r="F1804" t="s">
        <v>32</v>
      </c>
      <c r="G1804" t="str">
        <f>"2025-05-18 10:05:19.225"</f>
        <v>2025-05-18 10:05:19.225</v>
      </c>
      <c r="H1804" t="s">
        <v>22</v>
      </c>
    </row>
    <row r="1805" spans="1:10" x14ac:dyDescent="0.25">
      <c r="A1805" s="1">
        <v>845</v>
      </c>
      <c r="B1805" t="s">
        <v>29</v>
      </c>
      <c r="C1805">
        <v>635</v>
      </c>
      <c r="D1805">
        <v>1</v>
      </c>
      <c r="E1805" t="s">
        <v>31</v>
      </c>
      <c r="F1805" t="s">
        <v>32</v>
      </c>
      <c r="G1805" t="str">
        <f>"2025-05-18 10:01:22.725"</f>
        <v>2025-05-18 10:01:22.725</v>
      </c>
      <c r="H1805" t="s">
        <v>22</v>
      </c>
      <c r="I1805">
        <v>3.26</v>
      </c>
      <c r="J1805" t="s">
        <v>33</v>
      </c>
    </row>
    <row r="1806" spans="1:10" x14ac:dyDescent="0.25">
      <c r="A1806" s="1">
        <v>846</v>
      </c>
      <c r="B1806" t="s">
        <v>26</v>
      </c>
      <c r="C1806">
        <v>635</v>
      </c>
      <c r="D1806">
        <v>1</v>
      </c>
      <c r="E1806" t="s">
        <v>31</v>
      </c>
      <c r="F1806" t="s">
        <v>32</v>
      </c>
      <c r="G1806" t="str">
        <f>"2025-05-17 17:54:24.625"</f>
        <v>2025-05-17 17:54:24.625</v>
      </c>
      <c r="H1806" t="s">
        <v>22</v>
      </c>
    </row>
    <row r="1807" spans="1:10" x14ac:dyDescent="0.25">
      <c r="A1807" s="1">
        <v>847</v>
      </c>
      <c r="B1807" t="s">
        <v>29</v>
      </c>
      <c r="C1807">
        <v>635</v>
      </c>
      <c r="D1807">
        <v>1</v>
      </c>
      <c r="E1807" t="s">
        <v>31</v>
      </c>
      <c r="F1807" t="s">
        <v>32</v>
      </c>
      <c r="G1807" t="str">
        <f>"2025-05-17 17:50:59.125"</f>
        <v>2025-05-17 17:50:59.125</v>
      </c>
      <c r="H1807" t="s">
        <v>22</v>
      </c>
      <c r="I1807">
        <v>1.66</v>
      </c>
      <c r="J1807" t="s">
        <v>33</v>
      </c>
    </row>
    <row r="1808" spans="1:10" x14ac:dyDescent="0.25">
      <c r="A1808" s="1">
        <v>848</v>
      </c>
      <c r="B1808" t="s">
        <v>26</v>
      </c>
      <c r="C1808">
        <v>635</v>
      </c>
      <c r="D1808">
        <v>1</v>
      </c>
      <c r="E1808" t="s">
        <v>31</v>
      </c>
      <c r="F1808" t="s">
        <v>32</v>
      </c>
      <c r="G1808" t="str">
        <f>"2025-05-17 15:53:07.325"</f>
        <v>2025-05-17 15:53:07.325</v>
      </c>
      <c r="H1808" t="s">
        <v>22</v>
      </c>
    </row>
    <row r="1809" spans="1:10" x14ac:dyDescent="0.25">
      <c r="A1809" s="1">
        <v>849</v>
      </c>
      <c r="B1809" t="s">
        <v>29</v>
      </c>
      <c r="C1809">
        <v>635</v>
      </c>
      <c r="D1809">
        <v>1</v>
      </c>
      <c r="E1809" t="s">
        <v>31</v>
      </c>
      <c r="F1809" t="s">
        <v>32</v>
      </c>
      <c r="G1809" t="str">
        <f>"2025-05-17 15:49:51.326"</f>
        <v>2025-05-17 15:49:51.326</v>
      </c>
      <c r="H1809" t="s">
        <v>22</v>
      </c>
      <c r="I1809">
        <v>2.13</v>
      </c>
      <c r="J1809" t="s">
        <v>33</v>
      </c>
    </row>
    <row r="1810" spans="1:10" x14ac:dyDescent="0.25">
      <c r="A1810" s="1">
        <v>850</v>
      </c>
      <c r="B1810" t="s">
        <v>19</v>
      </c>
      <c r="C1810">
        <v>700</v>
      </c>
      <c r="D1810">
        <v>0</v>
      </c>
      <c r="E1810" t="s">
        <v>24</v>
      </c>
      <c r="F1810" t="s">
        <v>24</v>
      </c>
      <c r="G1810" t="str">
        <f>"2025-05-17 12:17:25.594"</f>
        <v>2025-05-17 12:17:25.594</v>
      </c>
      <c r="H1810" t="s">
        <v>22</v>
      </c>
      <c r="I1810">
        <v>0</v>
      </c>
      <c r="J1810" t="s">
        <v>34</v>
      </c>
    </row>
    <row r="1811" spans="1:10" x14ac:dyDescent="0.25">
      <c r="A1811" s="1">
        <v>851</v>
      </c>
      <c r="B1811" t="s">
        <v>19</v>
      </c>
      <c r="C1811">
        <v>700</v>
      </c>
      <c r="D1811">
        <v>0</v>
      </c>
      <c r="E1811" t="s">
        <v>24</v>
      </c>
      <c r="F1811" t="s">
        <v>24</v>
      </c>
      <c r="G1811" t="str">
        <f>"2025-05-16 14:28:42.601"</f>
        <v>2025-05-16 14:28:42.601</v>
      </c>
      <c r="H1811" t="s">
        <v>22</v>
      </c>
      <c r="I1811">
        <v>0</v>
      </c>
      <c r="J1811" t="s">
        <v>34</v>
      </c>
    </row>
    <row r="1812" spans="1:10" x14ac:dyDescent="0.25">
      <c r="A1812" s="1">
        <v>852</v>
      </c>
      <c r="B1812" t="s">
        <v>19</v>
      </c>
      <c r="C1812">
        <v>700</v>
      </c>
      <c r="D1812">
        <v>0</v>
      </c>
      <c r="E1812" t="s">
        <v>24</v>
      </c>
      <c r="F1812" t="s">
        <v>24</v>
      </c>
      <c r="G1812" t="str">
        <f>"2025-05-15 09:27:23.588"</f>
        <v>2025-05-15 09:27:23.588</v>
      </c>
      <c r="H1812" t="s">
        <v>22</v>
      </c>
    </row>
    <row r="1813" spans="1:10" s="3" customFormat="1" x14ac:dyDescent="0.25">
      <c r="A1813" s="2">
        <v>853</v>
      </c>
      <c r="B1813" s="3" t="s">
        <v>26</v>
      </c>
      <c r="C1813" s="3">
        <v>647</v>
      </c>
      <c r="D1813" s="3">
        <v>1</v>
      </c>
      <c r="E1813" s="3" t="s">
        <v>27</v>
      </c>
      <c r="F1813" s="3" t="s">
        <v>28</v>
      </c>
      <c r="G1813" s="3" t="str">
        <f>"2025-05-14 00:20:06.557"</f>
        <v>2025-05-14 00:20:06.557</v>
      </c>
      <c r="H1813" s="3" t="s">
        <v>22</v>
      </c>
    </row>
    <row r="1814" spans="1:10" s="3" customFormat="1" x14ac:dyDescent="0.25">
      <c r="A1814" s="2">
        <v>854</v>
      </c>
      <c r="B1814" s="3" t="s">
        <v>29</v>
      </c>
      <c r="C1814" s="3">
        <v>647</v>
      </c>
      <c r="D1814" s="3">
        <v>1</v>
      </c>
      <c r="E1814" s="3" t="s">
        <v>27</v>
      </c>
      <c r="F1814" s="3" t="s">
        <v>28</v>
      </c>
      <c r="G1814" s="3" t="str">
        <f>"2025-05-14 00:20:05.058"</f>
        <v>2025-05-14 00:20:05.058</v>
      </c>
      <c r="H1814" s="3" t="s">
        <v>22</v>
      </c>
      <c r="I1814" s="3">
        <v>26.57</v>
      </c>
      <c r="J1814" s="3" t="s">
        <v>30</v>
      </c>
    </row>
    <row r="1815" spans="1:10" x14ac:dyDescent="0.25">
      <c r="A1815" s="1">
        <v>855</v>
      </c>
      <c r="B1815" t="s">
        <v>19</v>
      </c>
      <c r="C1815">
        <v>700</v>
      </c>
      <c r="D1815">
        <v>0</v>
      </c>
      <c r="E1815" t="s">
        <v>24</v>
      </c>
      <c r="F1815" t="s">
        <v>24</v>
      </c>
      <c r="G1815" t="str">
        <f>"2025-05-13 13:38:05.598"</f>
        <v>2025-05-13 13:38:05.598</v>
      </c>
      <c r="H1815" t="s">
        <v>22</v>
      </c>
    </row>
    <row r="1816" spans="1:10" x14ac:dyDescent="0.25">
      <c r="A1816" s="1">
        <v>856</v>
      </c>
      <c r="B1816" t="s">
        <v>19</v>
      </c>
      <c r="C1816">
        <v>706</v>
      </c>
      <c r="D1816">
        <v>4</v>
      </c>
      <c r="E1816" t="s">
        <v>20</v>
      </c>
      <c r="F1816" t="s">
        <v>21</v>
      </c>
      <c r="G1816" t="str">
        <f>"2025-05-13 07:36:06.647"</f>
        <v>2025-05-13 07:36:06.647</v>
      </c>
      <c r="H1816" t="s">
        <v>22</v>
      </c>
      <c r="I1816">
        <v>0</v>
      </c>
      <c r="J1816" t="s">
        <v>23</v>
      </c>
    </row>
    <row r="1817" spans="1:10" s="3" customFormat="1" x14ac:dyDescent="0.25">
      <c r="A1817" s="2">
        <v>857</v>
      </c>
      <c r="B1817" s="3" t="s">
        <v>26</v>
      </c>
      <c r="C1817" s="3">
        <v>647</v>
      </c>
      <c r="D1817" s="3">
        <v>1</v>
      </c>
      <c r="E1817" s="3" t="s">
        <v>27</v>
      </c>
      <c r="F1817" s="3" t="s">
        <v>28</v>
      </c>
      <c r="G1817" s="3" t="str">
        <f>"2025-05-10 05:23:36.702"</f>
        <v>2025-05-10 05:23:36.702</v>
      </c>
      <c r="H1817" s="3" t="s">
        <v>22</v>
      </c>
    </row>
    <row r="1818" spans="1:10" s="3" customFormat="1" x14ac:dyDescent="0.25">
      <c r="A1818" s="2">
        <v>858</v>
      </c>
      <c r="B1818" s="3" t="s">
        <v>29</v>
      </c>
      <c r="C1818" s="3">
        <v>647</v>
      </c>
      <c r="D1818" s="3">
        <v>1</v>
      </c>
      <c r="E1818" s="3" t="s">
        <v>27</v>
      </c>
      <c r="F1818" s="3" t="s">
        <v>28</v>
      </c>
      <c r="G1818" s="3" t="str">
        <f>"2025-05-10 05:23:30.902"</f>
        <v>2025-05-10 05:23:30.902</v>
      </c>
      <c r="H1818" s="3" t="s">
        <v>22</v>
      </c>
      <c r="I1818" s="3">
        <v>13.47</v>
      </c>
      <c r="J1818" s="3" t="s">
        <v>30</v>
      </c>
    </row>
    <row r="1819" spans="1:10" s="3" customFormat="1" x14ac:dyDescent="0.25">
      <c r="A1819" s="2">
        <v>859</v>
      </c>
      <c r="B1819" s="3" t="s">
        <v>26</v>
      </c>
      <c r="C1819" s="3">
        <v>647</v>
      </c>
      <c r="D1819" s="3">
        <v>1</v>
      </c>
      <c r="E1819" s="3" t="s">
        <v>27</v>
      </c>
      <c r="F1819" s="3" t="s">
        <v>28</v>
      </c>
      <c r="G1819" s="3" t="str">
        <f>"2025-05-09 06:17:25.003"</f>
        <v>2025-05-09 06:17:25.003</v>
      </c>
      <c r="H1819" s="3" t="s">
        <v>22</v>
      </c>
    </row>
    <row r="1820" spans="1:10" s="3" customFormat="1" x14ac:dyDescent="0.25">
      <c r="A1820" s="2">
        <v>860</v>
      </c>
      <c r="B1820" s="3" t="s">
        <v>29</v>
      </c>
      <c r="C1820" s="3">
        <v>647</v>
      </c>
      <c r="D1820" s="3">
        <v>1</v>
      </c>
      <c r="E1820" s="3" t="s">
        <v>27</v>
      </c>
      <c r="F1820" s="3" t="s">
        <v>28</v>
      </c>
      <c r="G1820" s="3" t="str">
        <f>"2025-05-09 06:17:23.902"</f>
        <v>2025-05-09 06:17:23.902</v>
      </c>
      <c r="H1820" s="3" t="s">
        <v>22</v>
      </c>
      <c r="I1820" s="3">
        <v>15.34</v>
      </c>
      <c r="J1820" s="3" t="s">
        <v>30</v>
      </c>
    </row>
    <row r="1821" spans="1:10" s="3" customFormat="1" x14ac:dyDescent="0.25">
      <c r="A1821" s="2">
        <v>861</v>
      </c>
      <c r="B1821" s="3" t="s">
        <v>26</v>
      </c>
      <c r="C1821" s="3">
        <v>647</v>
      </c>
      <c r="D1821" s="3">
        <v>1</v>
      </c>
      <c r="E1821" s="3" t="s">
        <v>27</v>
      </c>
      <c r="F1821" s="3" t="s">
        <v>28</v>
      </c>
      <c r="G1821" s="3" t="str">
        <f>"2025-05-08 22:45:26.503"</f>
        <v>2025-05-08 22:45:26.503</v>
      </c>
      <c r="H1821" s="3" t="s">
        <v>22</v>
      </c>
    </row>
    <row r="1822" spans="1:10" s="3" customFormat="1" x14ac:dyDescent="0.25">
      <c r="A1822" s="2">
        <v>862</v>
      </c>
      <c r="B1822" s="3" t="s">
        <v>29</v>
      </c>
      <c r="C1822" s="3">
        <v>647</v>
      </c>
      <c r="D1822" s="3">
        <v>1</v>
      </c>
      <c r="E1822" s="3" t="s">
        <v>27</v>
      </c>
      <c r="F1822" s="3" t="s">
        <v>28</v>
      </c>
      <c r="G1822" s="3" t="str">
        <f>"2025-05-08 22:45:15.503"</f>
        <v>2025-05-08 22:45:15.503</v>
      </c>
      <c r="H1822" s="3" t="s">
        <v>22</v>
      </c>
      <c r="I1822" s="3">
        <v>10.39</v>
      </c>
      <c r="J1822" s="3" t="s">
        <v>30</v>
      </c>
    </row>
    <row r="1823" spans="1:10" x14ac:dyDescent="0.25">
      <c r="A1823" s="1">
        <v>863</v>
      </c>
      <c r="B1823" t="s">
        <v>19</v>
      </c>
      <c r="C1823">
        <v>706</v>
      </c>
      <c r="D1823">
        <v>2</v>
      </c>
      <c r="E1823" t="s">
        <v>20</v>
      </c>
      <c r="F1823" t="s">
        <v>25</v>
      </c>
      <c r="G1823" t="str">
        <f>"2025-05-08 22:28:08.187"</f>
        <v>2025-05-08 22:28:08.187</v>
      </c>
      <c r="H1823" t="s">
        <v>22</v>
      </c>
      <c r="I1823">
        <v>0</v>
      </c>
      <c r="J1823" t="s">
        <v>23</v>
      </c>
    </row>
    <row r="1824" spans="1:10" x14ac:dyDescent="0.25">
      <c r="A1824" s="1">
        <v>864</v>
      </c>
      <c r="B1824" t="s">
        <v>19</v>
      </c>
      <c r="C1824">
        <v>700</v>
      </c>
      <c r="D1824">
        <v>0</v>
      </c>
      <c r="E1824" t="s">
        <v>24</v>
      </c>
      <c r="F1824" t="s">
        <v>24</v>
      </c>
      <c r="G1824" t="str">
        <f>"2025-05-08 21:22:22.837"</f>
        <v>2025-05-08 21:22:22.837</v>
      </c>
      <c r="H1824" t="s">
        <v>22</v>
      </c>
      <c r="I1824">
        <v>0</v>
      </c>
      <c r="J1824" t="s">
        <v>34</v>
      </c>
    </row>
    <row r="1825" spans="1:10" s="3" customFormat="1" x14ac:dyDescent="0.25">
      <c r="A1825" s="2">
        <v>865</v>
      </c>
      <c r="B1825" s="3" t="s">
        <v>26</v>
      </c>
      <c r="C1825" s="3">
        <v>647</v>
      </c>
      <c r="D1825" s="3">
        <v>1</v>
      </c>
      <c r="E1825" s="3" t="s">
        <v>27</v>
      </c>
      <c r="F1825" s="3" t="s">
        <v>28</v>
      </c>
      <c r="G1825" s="3" t="str">
        <f>"2025-05-08 10:46:21.354"</f>
        <v>2025-05-08 10:46:21.354</v>
      </c>
      <c r="H1825" s="3" t="s">
        <v>22</v>
      </c>
    </row>
    <row r="1826" spans="1:10" s="3" customFormat="1" x14ac:dyDescent="0.25">
      <c r="A1826" s="2">
        <v>866</v>
      </c>
      <c r="B1826" s="3" t="s">
        <v>29</v>
      </c>
      <c r="C1826" s="3">
        <v>647</v>
      </c>
      <c r="D1826" s="3">
        <v>1</v>
      </c>
      <c r="E1826" s="3" t="s">
        <v>27</v>
      </c>
      <c r="F1826" s="3" t="s">
        <v>28</v>
      </c>
      <c r="G1826" s="3" t="str">
        <f>"2025-05-08 10:46:17.654"</f>
        <v>2025-05-08 10:46:17.654</v>
      </c>
      <c r="H1826" s="3" t="s">
        <v>22</v>
      </c>
      <c r="I1826" s="3">
        <v>9.6999999999999993</v>
      </c>
      <c r="J1826" s="3" t="s">
        <v>30</v>
      </c>
    </row>
    <row r="1827" spans="1:10" s="3" customFormat="1" x14ac:dyDescent="0.25">
      <c r="A1827" s="2">
        <v>867</v>
      </c>
      <c r="B1827" s="3" t="s">
        <v>26</v>
      </c>
      <c r="C1827" s="3">
        <v>647</v>
      </c>
      <c r="D1827" s="3">
        <v>1</v>
      </c>
      <c r="E1827" s="3" t="s">
        <v>27</v>
      </c>
      <c r="F1827" s="3" t="s">
        <v>28</v>
      </c>
      <c r="G1827" s="3" t="str">
        <f>"2025-05-08 03:00:07.454"</f>
        <v>2025-05-08 03:00:07.454</v>
      </c>
      <c r="H1827" s="3" t="s">
        <v>22</v>
      </c>
    </row>
    <row r="1828" spans="1:10" s="3" customFormat="1" x14ac:dyDescent="0.25">
      <c r="A1828" s="2">
        <v>868</v>
      </c>
      <c r="B1828" s="3" t="s">
        <v>29</v>
      </c>
      <c r="C1828" s="3">
        <v>647</v>
      </c>
      <c r="D1828" s="3">
        <v>1</v>
      </c>
      <c r="E1828" s="3" t="s">
        <v>27</v>
      </c>
      <c r="F1828" s="3" t="s">
        <v>28</v>
      </c>
      <c r="G1828" s="3" t="str">
        <f>"2025-05-08 03:00:03.754"</f>
        <v>2025-05-08 03:00:03.754</v>
      </c>
      <c r="H1828" s="3" t="s">
        <v>22</v>
      </c>
      <c r="I1828" s="3">
        <v>10.119999999999999</v>
      </c>
      <c r="J1828" s="3" t="s">
        <v>30</v>
      </c>
    </row>
    <row r="1829" spans="1:10" x14ac:dyDescent="0.25">
      <c r="A1829" s="1">
        <v>869</v>
      </c>
      <c r="B1829" t="s">
        <v>19</v>
      </c>
      <c r="C1829">
        <v>706</v>
      </c>
      <c r="D1829">
        <v>4</v>
      </c>
      <c r="E1829" t="s">
        <v>20</v>
      </c>
      <c r="F1829" t="s">
        <v>21</v>
      </c>
      <c r="G1829" t="str">
        <f>"2025-05-08 02:50:18.639"</f>
        <v>2025-05-08 02:50:18.639</v>
      </c>
      <c r="H1829" t="s">
        <v>22</v>
      </c>
      <c r="I1829">
        <v>0</v>
      </c>
      <c r="J1829" t="s">
        <v>23</v>
      </c>
    </row>
    <row r="1830" spans="1:10" x14ac:dyDescent="0.25">
      <c r="A1830" s="1">
        <v>870</v>
      </c>
      <c r="B1830" t="s">
        <v>19</v>
      </c>
      <c r="C1830">
        <v>700</v>
      </c>
      <c r="D1830">
        <v>0</v>
      </c>
      <c r="E1830" t="s">
        <v>24</v>
      </c>
      <c r="F1830" t="s">
        <v>24</v>
      </c>
      <c r="G1830" t="str">
        <f>"2025-05-07 13:27:12.619"</f>
        <v>2025-05-07 13:27:12.619</v>
      </c>
      <c r="H1830" t="s">
        <v>22</v>
      </c>
      <c r="I1830">
        <v>0</v>
      </c>
      <c r="J1830" t="s">
        <v>34</v>
      </c>
    </row>
    <row r="1831" spans="1:10" x14ac:dyDescent="0.25">
      <c r="A1831" s="1">
        <v>871</v>
      </c>
      <c r="B1831" t="s">
        <v>19</v>
      </c>
      <c r="C1831">
        <v>700</v>
      </c>
      <c r="D1831">
        <v>0</v>
      </c>
      <c r="E1831" t="s">
        <v>24</v>
      </c>
      <c r="F1831" t="s">
        <v>24</v>
      </c>
      <c r="G1831" t="str">
        <f>"2025-05-07 09:18:51.591"</f>
        <v>2025-05-07 09:18:51.591</v>
      </c>
      <c r="H1831" t="s">
        <v>22</v>
      </c>
      <c r="I1831">
        <v>0</v>
      </c>
      <c r="J1831" t="s">
        <v>34</v>
      </c>
    </row>
    <row r="1832" spans="1:10" s="3" customFormat="1" x14ac:dyDescent="0.25">
      <c r="A1832" s="2">
        <v>872</v>
      </c>
      <c r="B1832" s="3" t="s">
        <v>26</v>
      </c>
      <c r="C1832" s="3">
        <v>647</v>
      </c>
      <c r="D1832" s="3">
        <v>1</v>
      </c>
      <c r="E1832" s="3" t="s">
        <v>27</v>
      </c>
      <c r="F1832" s="3" t="s">
        <v>28</v>
      </c>
      <c r="G1832" s="3" t="str">
        <f>"2025-05-05 05:55:16.494"</f>
        <v>2025-05-05 05:55:16.494</v>
      </c>
      <c r="H1832" s="3" t="s">
        <v>22</v>
      </c>
    </row>
    <row r="1833" spans="1:10" s="3" customFormat="1" x14ac:dyDescent="0.25">
      <c r="A1833" s="2">
        <v>873</v>
      </c>
      <c r="B1833" s="3" t="s">
        <v>29</v>
      </c>
      <c r="C1833" s="3">
        <v>647</v>
      </c>
      <c r="D1833" s="3">
        <v>1</v>
      </c>
      <c r="E1833" s="3" t="s">
        <v>27</v>
      </c>
      <c r="F1833" s="3" t="s">
        <v>28</v>
      </c>
      <c r="G1833" s="3" t="str">
        <f>"2025-05-05 05:55:13.994"</f>
        <v>2025-05-05 05:55:13.994</v>
      </c>
      <c r="H1833" s="3" t="s">
        <v>22</v>
      </c>
      <c r="I1833" s="3">
        <v>9.16</v>
      </c>
      <c r="J1833" s="3" t="s">
        <v>30</v>
      </c>
    </row>
    <row r="1834" spans="1:10" s="3" customFormat="1" x14ac:dyDescent="0.25">
      <c r="A1834" s="2">
        <v>874</v>
      </c>
      <c r="B1834" s="3" t="s">
        <v>26</v>
      </c>
      <c r="C1834" s="3">
        <v>647</v>
      </c>
      <c r="D1834" s="3">
        <v>1</v>
      </c>
      <c r="E1834" s="3" t="s">
        <v>27</v>
      </c>
      <c r="F1834" s="3" t="s">
        <v>28</v>
      </c>
      <c r="G1834" s="3" t="str">
        <f>"2025-05-05 03:46:26.294"</f>
        <v>2025-05-05 03:46:26.294</v>
      </c>
      <c r="H1834" s="3" t="s">
        <v>22</v>
      </c>
    </row>
    <row r="1835" spans="1:10" s="3" customFormat="1" x14ac:dyDescent="0.25">
      <c r="A1835" s="2">
        <v>875</v>
      </c>
      <c r="B1835" s="3" t="s">
        <v>29</v>
      </c>
      <c r="C1835" s="3">
        <v>647</v>
      </c>
      <c r="D1835" s="3">
        <v>1</v>
      </c>
      <c r="E1835" s="3" t="s">
        <v>27</v>
      </c>
      <c r="F1835" s="3" t="s">
        <v>28</v>
      </c>
      <c r="G1835" s="3" t="str">
        <f>"2025-05-05 03:46:18.194"</f>
        <v>2025-05-05 03:46:18.194</v>
      </c>
      <c r="H1835" s="3" t="s">
        <v>22</v>
      </c>
      <c r="I1835" s="3">
        <v>13.19</v>
      </c>
      <c r="J1835" s="3" t="s">
        <v>30</v>
      </c>
    </row>
    <row r="1836" spans="1:10" x14ac:dyDescent="0.25">
      <c r="A1836" s="1">
        <v>876</v>
      </c>
      <c r="B1836" t="s">
        <v>26</v>
      </c>
      <c r="C1836">
        <v>635</v>
      </c>
      <c r="D1836">
        <v>1</v>
      </c>
      <c r="E1836" t="s">
        <v>31</v>
      </c>
      <c r="F1836" t="s">
        <v>32</v>
      </c>
      <c r="G1836" t="str">
        <f>"2025-05-04 12:00:55.094"</f>
        <v>2025-05-04 12:00:55.094</v>
      </c>
      <c r="H1836" t="s">
        <v>22</v>
      </c>
    </row>
    <row r="1837" spans="1:10" x14ac:dyDescent="0.25">
      <c r="A1837" s="1">
        <v>877</v>
      </c>
      <c r="B1837" t="s">
        <v>29</v>
      </c>
      <c r="C1837">
        <v>635</v>
      </c>
      <c r="D1837">
        <v>1</v>
      </c>
      <c r="E1837" t="s">
        <v>31</v>
      </c>
      <c r="F1837" t="s">
        <v>32</v>
      </c>
      <c r="G1837" t="str">
        <f>"2025-05-04 11:54:34.094"</f>
        <v>2025-05-04 11:54:34.094</v>
      </c>
      <c r="H1837" t="s">
        <v>22</v>
      </c>
      <c r="I1837">
        <v>8.86</v>
      </c>
      <c r="J1837" t="s">
        <v>33</v>
      </c>
    </row>
    <row r="1838" spans="1:10" x14ac:dyDescent="0.25">
      <c r="A1838" s="1">
        <v>878</v>
      </c>
      <c r="B1838" t="s">
        <v>35</v>
      </c>
      <c r="C1838">
        <v>77</v>
      </c>
      <c r="D1838">
        <v>1</v>
      </c>
      <c r="E1838" t="s">
        <v>50</v>
      </c>
      <c r="F1838" t="s">
        <v>51</v>
      </c>
      <c r="G1838" t="str">
        <f>"2025-05-04 10:02:44.114"</f>
        <v>2025-05-04 10:02:44.114</v>
      </c>
      <c r="H1838" t="s">
        <v>42</v>
      </c>
    </row>
    <row r="1839" spans="1:10" x14ac:dyDescent="0.25">
      <c r="A1839" s="1">
        <v>879</v>
      </c>
      <c r="B1839" t="s">
        <v>39</v>
      </c>
      <c r="C1839">
        <v>77</v>
      </c>
      <c r="D1839">
        <v>1</v>
      </c>
      <c r="E1839" t="s">
        <v>50</v>
      </c>
      <c r="F1839" t="s">
        <v>51</v>
      </c>
      <c r="G1839" t="str">
        <f>"2025-05-04 10:02:39.025"</f>
        <v>2025-05-04 10:02:39.025</v>
      </c>
      <c r="H1839" t="s">
        <v>42</v>
      </c>
      <c r="I1839">
        <v>0</v>
      </c>
      <c r="J1839" t="s">
        <v>23</v>
      </c>
    </row>
    <row r="1840" spans="1:10" x14ac:dyDescent="0.25">
      <c r="A1840" s="1">
        <v>880</v>
      </c>
      <c r="B1840" t="s">
        <v>19</v>
      </c>
      <c r="C1840">
        <v>700</v>
      </c>
      <c r="D1840">
        <v>0</v>
      </c>
      <c r="E1840" t="s">
        <v>24</v>
      </c>
      <c r="F1840" t="s">
        <v>24</v>
      </c>
      <c r="G1840" t="str">
        <f>"2025-05-04 10:01:57.605"</f>
        <v>2025-05-04 10:01:57.605</v>
      </c>
      <c r="H1840" t="s">
        <v>22</v>
      </c>
      <c r="I1840">
        <v>0</v>
      </c>
      <c r="J1840" t="s">
        <v>34</v>
      </c>
    </row>
    <row r="1841" spans="1:10" s="3" customFormat="1" x14ac:dyDescent="0.25">
      <c r="A1841" s="2">
        <v>881</v>
      </c>
      <c r="B1841" s="3" t="s">
        <v>26</v>
      </c>
      <c r="C1841" s="3">
        <v>647</v>
      </c>
      <c r="D1841" s="3">
        <v>1</v>
      </c>
      <c r="E1841" s="3" t="s">
        <v>27</v>
      </c>
      <c r="F1841" s="3" t="s">
        <v>28</v>
      </c>
      <c r="G1841" s="3" t="str">
        <f>"2025-05-04 03:59:05.614"</f>
        <v>2025-05-04 03:59:05.614</v>
      </c>
      <c r="H1841" s="3" t="s">
        <v>22</v>
      </c>
    </row>
    <row r="1842" spans="1:10" s="3" customFormat="1" x14ac:dyDescent="0.25">
      <c r="A1842" s="2">
        <v>882</v>
      </c>
      <c r="B1842" s="3" t="s">
        <v>29</v>
      </c>
      <c r="C1842" s="3">
        <v>647</v>
      </c>
      <c r="D1842" s="3">
        <v>1</v>
      </c>
      <c r="E1842" s="3" t="s">
        <v>27</v>
      </c>
      <c r="F1842" s="3" t="s">
        <v>28</v>
      </c>
      <c r="G1842" s="3" t="str">
        <f>"2025-05-04 03:59:03.314"</f>
        <v>2025-05-04 03:59:03.314</v>
      </c>
      <c r="H1842" s="3" t="s">
        <v>22</v>
      </c>
      <c r="I1842" s="3">
        <v>10.33</v>
      </c>
      <c r="J1842" s="3" t="s">
        <v>30</v>
      </c>
    </row>
    <row r="1843" spans="1:10" s="3" customFormat="1" x14ac:dyDescent="0.25">
      <c r="A1843" s="2">
        <v>883</v>
      </c>
      <c r="B1843" s="3" t="s">
        <v>26</v>
      </c>
      <c r="C1843" s="3">
        <v>647</v>
      </c>
      <c r="D1843" s="3">
        <v>1</v>
      </c>
      <c r="E1843" s="3" t="s">
        <v>27</v>
      </c>
      <c r="F1843" s="3" t="s">
        <v>28</v>
      </c>
      <c r="G1843" s="3" t="str">
        <f>"2025-05-03 20:13:16.414"</f>
        <v>2025-05-03 20:13:16.414</v>
      </c>
      <c r="H1843" s="3" t="s">
        <v>22</v>
      </c>
    </row>
    <row r="1844" spans="1:10" s="3" customFormat="1" x14ac:dyDescent="0.25">
      <c r="A1844" s="2">
        <v>884</v>
      </c>
      <c r="B1844" s="3" t="s">
        <v>29</v>
      </c>
      <c r="C1844" s="3">
        <v>647</v>
      </c>
      <c r="D1844" s="3">
        <v>1</v>
      </c>
      <c r="E1844" s="3" t="s">
        <v>27</v>
      </c>
      <c r="F1844" s="3" t="s">
        <v>28</v>
      </c>
      <c r="G1844" s="3" t="str">
        <f>"2025-05-03 20:13:11.714"</f>
        <v>2025-05-03 20:13:11.714</v>
      </c>
      <c r="H1844" s="3" t="s">
        <v>22</v>
      </c>
      <c r="I1844" s="3">
        <v>11.64</v>
      </c>
      <c r="J1844" s="3" t="s">
        <v>30</v>
      </c>
    </row>
    <row r="1845" spans="1:10" x14ac:dyDescent="0.25">
      <c r="A1845" s="1">
        <v>885</v>
      </c>
      <c r="B1845" t="s">
        <v>19</v>
      </c>
      <c r="C1845">
        <v>706</v>
      </c>
      <c r="D1845">
        <v>3</v>
      </c>
      <c r="E1845" t="s">
        <v>20</v>
      </c>
      <c r="F1845" t="s">
        <v>49</v>
      </c>
      <c r="G1845" t="str">
        <f>"2025-05-02 15:53:49.382"</f>
        <v>2025-05-02 15:53:49.382</v>
      </c>
      <c r="H1845" t="s">
        <v>22</v>
      </c>
      <c r="I1845">
        <v>0</v>
      </c>
      <c r="J1845" t="s">
        <v>23</v>
      </c>
    </row>
    <row r="1846" spans="1:10" x14ac:dyDescent="0.25">
      <c r="A1846" s="1">
        <v>886</v>
      </c>
      <c r="B1846" t="s">
        <v>19</v>
      </c>
      <c r="C1846">
        <v>706</v>
      </c>
      <c r="D1846">
        <v>4</v>
      </c>
      <c r="E1846" t="s">
        <v>20</v>
      </c>
      <c r="F1846" t="s">
        <v>21</v>
      </c>
      <c r="G1846" t="str">
        <f>"2025-05-02 15:43:48.012"</f>
        <v>2025-05-02 15:43:48.012</v>
      </c>
      <c r="H1846" t="s">
        <v>22</v>
      </c>
      <c r="I1846">
        <v>0</v>
      </c>
      <c r="J1846" t="s">
        <v>23</v>
      </c>
    </row>
    <row r="1847" spans="1:10" x14ac:dyDescent="0.25">
      <c r="A1847" s="1">
        <v>887</v>
      </c>
      <c r="B1847" t="s">
        <v>19</v>
      </c>
      <c r="C1847">
        <v>700</v>
      </c>
      <c r="D1847">
        <v>0</v>
      </c>
      <c r="E1847" t="s">
        <v>24</v>
      </c>
      <c r="F1847" t="s">
        <v>24</v>
      </c>
      <c r="G1847" t="str">
        <f>"2025-05-02 15:40:53.562"</f>
        <v>2025-05-02 15:40:53.562</v>
      </c>
      <c r="H1847" t="s">
        <v>22</v>
      </c>
    </row>
    <row r="1848" spans="1:10" x14ac:dyDescent="0.25">
      <c r="A1848" s="1">
        <v>888</v>
      </c>
      <c r="B1848" t="s">
        <v>19</v>
      </c>
      <c r="C1848">
        <v>700</v>
      </c>
      <c r="D1848">
        <v>0</v>
      </c>
      <c r="E1848" t="s">
        <v>24</v>
      </c>
      <c r="F1848" t="s">
        <v>24</v>
      </c>
      <c r="G1848" t="str">
        <f>"2025-05-02 15:24:55.571"</f>
        <v>2025-05-02 15:24:55.571</v>
      </c>
      <c r="H1848" t="s">
        <v>22</v>
      </c>
      <c r="I1848">
        <v>0</v>
      </c>
      <c r="J1848" t="s">
        <v>34</v>
      </c>
    </row>
    <row r="1849" spans="1:10" x14ac:dyDescent="0.25">
      <c r="A1849" s="1">
        <v>889</v>
      </c>
      <c r="B1849" t="s">
        <v>19</v>
      </c>
      <c r="C1849">
        <v>700</v>
      </c>
      <c r="D1849">
        <v>0</v>
      </c>
      <c r="E1849" t="s">
        <v>24</v>
      </c>
      <c r="F1849" t="s">
        <v>24</v>
      </c>
      <c r="G1849" t="str">
        <f>"2025-05-02 15:12:56.673"</f>
        <v>2025-05-02 15:12:56.673</v>
      </c>
      <c r="H1849" t="s">
        <v>22</v>
      </c>
    </row>
    <row r="1850" spans="1:10" x14ac:dyDescent="0.25">
      <c r="A1850" s="1">
        <v>890</v>
      </c>
      <c r="B1850" t="s">
        <v>26</v>
      </c>
      <c r="C1850">
        <v>635</v>
      </c>
      <c r="D1850">
        <v>1</v>
      </c>
      <c r="E1850" t="s">
        <v>31</v>
      </c>
      <c r="F1850" t="s">
        <v>32</v>
      </c>
      <c r="G1850" t="str">
        <f>"2025-05-02 06:17:14.899"</f>
        <v>2025-05-02 06:17:14.899</v>
      </c>
      <c r="H1850" t="s">
        <v>22</v>
      </c>
    </row>
    <row r="1851" spans="1:10" x14ac:dyDescent="0.25">
      <c r="A1851" s="1">
        <v>891</v>
      </c>
      <c r="B1851" t="s">
        <v>29</v>
      </c>
      <c r="C1851">
        <v>635</v>
      </c>
      <c r="D1851">
        <v>1</v>
      </c>
      <c r="E1851" t="s">
        <v>31</v>
      </c>
      <c r="F1851" t="s">
        <v>32</v>
      </c>
      <c r="G1851" t="str">
        <f>"2025-05-02 06:01:46.000"</f>
        <v>2025-05-02 06:01:46.000</v>
      </c>
      <c r="H1851" t="s">
        <v>22</v>
      </c>
      <c r="I1851">
        <v>7.14</v>
      </c>
      <c r="J1851" t="s">
        <v>33</v>
      </c>
    </row>
    <row r="1852" spans="1:10" x14ac:dyDescent="0.25">
      <c r="A1852" s="1">
        <v>892</v>
      </c>
      <c r="B1852" t="s">
        <v>26</v>
      </c>
      <c r="C1852">
        <v>98</v>
      </c>
      <c r="D1852">
        <v>1</v>
      </c>
      <c r="E1852" t="s">
        <v>63</v>
      </c>
      <c r="F1852" t="s">
        <v>64</v>
      </c>
      <c r="G1852" t="str">
        <f>"2025-05-02 03:53:31.412"</f>
        <v>2025-05-02 03:53:31.412</v>
      </c>
      <c r="H1852" t="s">
        <v>22</v>
      </c>
    </row>
    <row r="1853" spans="1:10" x14ac:dyDescent="0.25">
      <c r="A1853" s="1">
        <v>893</v>
      </c>
      <c r="B1853" t="s">
        <v>29</v>
      </c>
      <c r="C1853">
        <v>98</v>
      </c>
      <c r="D1853">
        <v>1</v>
      </c>
      <c r="E1853" t="s">
        <v>63</v>
      </c>
      <c r="F1853" t="s">
        <v>64</v>
      </c>
      <c r="G1853" t="str">
        <f>"2025-05-02 03:53:30.412"</f>
        <v>2025-05-02 03:53:30.412</v>
      </c>
      <c r="H1853" t="s">
        <v>22</v>
      </c>
      <c r="I1853">
        <v>4.47</v>
      </c>
      <c r="J1853" t="s">
        <v>33</v>
      </c>
    </row>
    <row r="1854" spans="1:10" x14ac:dyDescent="0.25">
      <c r="A1854" s="1">
        <v>894</v>
      </c>
      <c r="B1854" t="s">
        <v>19</v>
      </c>
      <c r="C1854">
        <v>700</v>
      </c>
      <c r="D1854">
        <v>0</v>
      </c>
      <c r="E1854" t="s">
        <v>24</v>
      </c>
      <c r="F1854" t="s">
        <v>24</v>
      </c>
      <c r="G1854" t="str">
        <f>"2025-05-01 09:59:49.761"</f>
        <v>2025-05-01 09:59:49.761</v>
      </c>
      <c r="H1854" t="s">
        <v>22</v>
      </c>
    </row>
    <row r="1855" spans="1:10" x14ac:dyDescent="0.25">
      <c r="A1855" s="1">
        <v>895</v>
      </c>
      <c r="B1855" t="s">
        <v>19</v>
      </c>
      <c r="C1855">
        <v>700</v>
      </c>
      <c r="D1855">
        <v>0</v>
      </c>
      <c r="E1855" t="s">
        <v>24</v>
      </c>
      <c r="F1855" t="s">
        <v>24</v>
      </c>
      <c r="G1855" t="str">
        <f>"2025-04-30 19:51:01.574"</f>
        <v>2025-04-30 19:51:01.574</v>
      </c>
      <c r="H1855" t="s">
        <v>22</v>
      </c>
      <c r="I1855">
        <v>0</v>
      </c>
      <c r="J1855" t="s">
        <v>34</v>
      </c>
    </row>
    <row r="1856" spans="1:10" x14ac:dyDescent="0.25">
      <c r="A1856" s="1">
        <v>896</v>
      </c>
      <c r="B1856" t="s">
        <v>19</v>
      </c>
      <c r="C1856">
        <v>700</v>
      </c>
      <c r="D1856">
        <v>0</v>
      </c>
      <c r="E1856" t="s">
        <v>24</v>
      </c>
      <c r="F1856" t="s">
        <v>24</v>
      </c>
      <c r="G1856" t="str">
        <f>"2025-04-30 15:22:30.563"</f>
        <v>2025-04-30 15:22:30.563</v>
      </c>
      <c r="H1856" t="s">
        <v>22</v>
      </c>
      <c r="I1856">
        <v>0</v>
      </c>
      <c r="J1856" t="s">
        <v>34</v>
      </c>
    </row>
    <row r="1857" spans="1:10" x14ac:dyDescent="0.25">
      <c r="A1857" s="1">
        <v>897</v>
      </c>
      <c r="B1857" t="s">
        <v>19</v>
      </c>
      <c r="C1857">
        <v>700</v>
      </c>
      <c r="D1857">
        <v>0</v>
      </c>
      <c r="E1857" t="s">
        <v>24</v>
      </c>
      <c r="F1857" t="s">
        <v>24</v>
      </c>
      <c r="G1857" t="str">
        <f>"2025-04-30 14:39:33.650"</f>
        <v>2025-04-30 14:39:33.650</v>
      </c>
      <c r="H1857" t="s">
        <v>22</v>
      </c>
      <c r="I1857">
        <v>0</v>
      </c>
      <c r="J1857" t="s">
        <v>34</v>
      </c>
    </row>
    <row r="1858" spans="1:10" x14ac:dyDescent="0.25">
      <c r="A1858" s="1">
        <v>898</v>
      </c>
      <c r="B1858" t="s">
        <v>19</v>
      </c>
      <c r="C1858">
        <v>700</v>
      </c>
      <c r="D1858">
        <v>0</v>
      </c>
      <c r="E1858" t="s">
        <v>24</v>
      </c>
      <c r="F1858" t="s">
        <v>24</v>
      </c>
      <c r="G1858" t="str">
        <f>"2025-04-30 14:05:17.647"</f>
        <v>2025-04-30 14:05:17.647</v>
      </c>
      <c r="H1858" t="s">
        <v>22</v>
      </c>
      <c r="I1858">
        <v>0</v>
      </c>
      <c r="J1858" t="s">
        <v>34</v>
      </c>
    </row>
    <row r="1859" spans="1:10" x14ac:dyDescent="0.25">
      <c r="A1859" s="1">
        <v>899</v>
      </c>
      <c r="B1859" t="s">
        <v>19</v>
      </c>
      <c r="C1859">
        <v>700</v>
      </c>
      <c r="D1859">
        <v>0</v>
      </c>
      <c r="E1859" t="s">
        <v>24</v>
      </c>
      <c r="F1859" t="s">
        <v>24</v>
      </c>
      <c r="G1859" t="str">
        <f>"2025-04-30 13:41:36.570"</f>
        <v>2025-04-30 13:41:36.570</v>
      </c>
      <c r="H1859" t="s">
        <v>22</v>
      </c>
      <c r="I1859">
        <v>0</v>
      </c>
      <c r="J1859" t="s">
        <v>34</v>
      </c>
    </row>
    <row r="1860" spans="1:10" x14ac:dyDescent="0.25">
      <c r="A1860" s="1">
        <v>900</v>
      </c>
      <c r="B1860" t="s">
        <v>19</v>
      </c>
      <c r="C1860">
        <v>700</v>
      </c>
      <c r="D1860">
        <v>0</v>
      </c>
      <c r="E1860" t="s">
        <v>24</v>
      </c>
      <c r="F1860" t="s">
        <v>24</v>
      </c>
      <c r="G1860" t="str">
        <f>"2025-04-30 13:37:30.561"</f>
        <v>2025-04-30 13:37:30.561</v>
      </c>
      <c r="H1860" t="s">
        <v>22</v>
      </c>
      <c r="I1860">
        <v>0</v>
      </c>
      <c r="J1860" t="s">
        <v>34</v>
      </c>
    </row>
    <row r="1861" spans="1:10" x14ac:dyDescent="0.25">
      <c r="A1861" s="1">
        <v>901</v>
      </c>
      <c r="B1861" t="s">
        <v>19</v>
      </c>
      <c r="C1861">
        <v>700</v>
      </c>
      <c r="D1861">
        <v>0</v>
      </c>
      <c r="E1861" t="s">
        <v>24</v>
      </c>
      <c r="F1861" t="s">
        <v>24</v>
      </c>
      <c r="G1861" t="str">
        <f>"2025-04-30 13:33:11.568"</f>
        <v>2025-04-30 13:33:11.568</v>
      </c>
      <c r="H1861" t="s">
        <v>22</v>
      </c>
      <c r="I1861">
        <v>0</v>
      </c>
      <c r="J1861" t="s">
        <v>34</v>
      </c>
    </row>
    <row r="1862" spans="1:10" x14ac:dyDescent="0.25">
      <c r="A1862" s="1">
        <v>902</v>
      </c>
      <c r="B1862" t="s">
        <v>19</v>
      </c>
      <c r="C1862">
        <v>700</v>
      </c>
      <c r="D1862">
        <v>0</v>
      </c>
      <c r="E1862" t="s">
        <v>24</v>
      </c>
      <c r="F1862" t="s">
        <v>24</v>
      </c>
      <c r="G1862" t="str">
        <f>"2025-04-30 10:12:14.572"</f>
        <v>2025-04-30 10:12:14.572</v>
      </c>
      <c r="H1862" t="s">
        <v>22</v>
      </c>
      <c r="I1862">
        <v>0</v>
      </c>
      <c r="J1862" t="s">
        <v>34</v>
      </c>
    </row>
    <row r="1863" spans="1:10" x14ac:dyDescent="0.25">
      <c r="A1863" s="1">
        <v>903</v>
      </c>
      <c r="B1863" t="s">
        <v>19</v>
      </c>
      <c r="C1863">
        <v>700</v>
      </c>
      <c r="D1863">
        <v>0</v>
      </c>
      <c r="E1863" t="s">
        <v>24</v>
      </c>
      <c r="F1863" t="s">
        <v>24</v>
      </c>
      <c r="G1863" t="str">
        <f>"2025-04-30 07:56:46.579"</f>
        <v>2025-04-30 07:56:46.579</v>
      </c>
      <c r="H1863" t="s">
        <v>22</v>
      </c>
    </row>
    <row r="1864" spans="1:10" x14ac:dyDescent="0.25">
      <c r="A1864" s="1">
        <v>904</v>
      </c>
      <c r="B1864" t="s">
        <v>19</v>
      </c>
      <c r="C1864">
        <v>700</v>
      </c>
      <c r="D1864">
        <v>0</v>
      </c>
      <c r="E1864" t="s">
        <v>24</v>
      </c>
      <c r="F1864" t="s">
        <v>24</v>
      </c>
      <c r="G1864" t="str">
        <f>"2025-04-29 16:44:47.583"</f>
        <v>2025-04-29 16:44:47.583</v>
      </c>
      <c r="H1864" t="s">
        <v>22</v>
      </c>
      <c r="I1864">
        <v>0</v>
      </c>
      <c r="J1864" t="s">
        <v>34</v>
      </c>
    </row>
    <row r="1865" spans="1:10" x14ac:dyDescent="0.25">
      <c r="A1865" s="1">
        <v>905</v>
      </c>
      <c r="B1865" t="s">
        <v>19</v>
      </c>
      <c r="C1865">
        <v>700</v>
      </c>
      <c r="D1865">
        <v>0</v>
      </c>
      <c r="E1865" t="s">
        <v>24</v>
      </c>
      <c r="F1865" t="s">
        <v>24</v>
      </c>
      <c r="G1865" t="str">
        <f>"2025-04-29 13:47:03.569"</f>
        <v>2025-04-29 13:47:03.569</v>
      </c>
      <c r="H1865" t="s">
        <v>22</v>
      </c>
      <c r="I1865">
        <v>0</v>
      </c>
      <c r="J1865" t="s">
        <v>34</v>
      </c>
    </row>
    <row r="1866" spans="1:10" x14ac:dyDescent="0.25">
      <c r="A1866" s="1">
        <v>906</v>
      </c>
      <c r="B1866" t="s">
        <v>26</v>
      </c>
      <c r="C1866">
        <v>635</v>
      </c>
      <c r="D1866">
        <v>1</v>
      </c>
      <c r="E1866" t="s">
        <v>31</v>
      </c>
      <c r="F1866" t="s">
        <v>32</v>
      </c>
      <c r="G1866" t="str">
        <f>"2025-04-29 08:39:26.747"</f>
        <v>2025-04-29 08:39:26.747</v>
      </c>
      <c r="H1866" t="s">
        <v>22</v>
      </c>
    </row>
    <row r="1867" spans="1:10" x14ac:dyDescent="0.25">
      <c r="A1867" s="1">
        <v>907</v>
      </c>
      <c r="B1867" t="s">
        <v>29</v>
      </c>
      <c r="C1867">
        <v>635</v>
      </c>
      <c r="D1867">
        <v>1</v>
      </c>
      <c r="E1867" t="s">
        <v>31</v>
      </c>
      <c r="F1867" t="s">
        <v>32</v>
      </c>
      <c r="G1867" t="str">
        <f>"2025-04-29 08:32:20.747"</f>
        <v>2025-04-29 08:32:20.747</v>
      </c>
      <c r="H1867" t="s">
        <v>22</v>
      </c>
      <c r="I1867">
        <v>5.01</v>
      </c>
      <c r="J1867" t="s">
        <v>30</v>
      </c>
    </row>
    <row r="1868" spans="1:10" x14ac:dyDescent="0.25">
      <c r="A1868" s="1">
        <v>908</v>
      </c>
      <c r="B1868" t="s">
        <v>19</v>
      </c>
      <c r="C1868">
        <v>700</v>
      </c>
      <c r="D1868">
        <v>0</v>
      </c>
      <c r="E1868" t="s">
        <v>24</v>
      </c>
      <c r="F1868" t="s">
        <v>24</v>
      </c>
      <c r="G1868" t="str">
        <f>"2025-04-28 11:35:46.606"</f>
        <v>2025-04-28 11:35:46.606</v>
      </c>
      <c r="H1868" t="s">
        <v>22</v>
      </c>
      <c r="I1868">
        <v>0</v>
      </c>
      <c r="J1868" t="s">
        <v>34</v>
      </c>
    </row>
    <row r="1869" spans="1:10" x14ac:dyDescent="0.25">
      <c r="A1869" s="1">
        <v>909</v>
      </c>
      <c r="B1869" t="s">
        <v>19</v>
      </c>
      <c r="C1869">
        <v>706</v>
      </c>
      <c r="D1869">
        <v>4</v>
      </c>
      <c r="E1869" t="s">
        <v>20</v>
      </c>
      <c r="F1869" t="s">
        <v>21</v>
      </c>
      <c r="G1869" t="str">
        <f>"2025-04-27 19:56:03.381"</f>
        <v>2025-04-27 19:56:03.381</v>
      </c>
      <c r="H1869" t="s">
        <v>22</v>
      </c>
      <c r="I1869">
        <v>0</v>
      </c>
      <c r="J1869" t="s">
        <v>23</v>
      </c>
    </row>
    <row r="1870" spans="1:10" x14ac:dyDescent="0.25">
      <c r="A1870" s="1">
        <v>910</v>
      </c>
      <c r="B1870" t="s">
        <v>19</v>
      </c>
      <c r="C1870">
        <v>700</v>
      </c>
      <c r="D1870">
        <v>0</v>
      </c>
      <c r="E1870" t="s">
        <v>24</v>
      </c>
      <c r="F1870" t="s">
        <v>24</v>
      </c>
      <c r="G1870" t="str">
        <f>"2025-04-27 19:44:52.581"</f>
        <v>2025-04-27 19:44:52.581</v>
      </c>
      <c r="H1870" t="s">
        <v>22</v>
      </c>
    </row>
    <row r="1871" spans="1:10" x14ac:dyDescent="0.25">
      <c r="A1871" s="1">
        <v>911</v>
      </c>
      <c r="B1871" t="s">
        <v>19</v>
      </c>
      <c r="C1871">
        <v>706</v>
      </c>
      <c r="D1871">
        <v>2</v>
      </c>
      <c r="E1871" t="s">
        <v>20</v>
      </c>
      <c r="F1871" t="s">
        <v>25</v>
      </c>
      <c r="G1871" t="str">
        <f>"2025-04-27 10:57:09.447"</f>
        <v>2025-04-27 10:57:09.447</v>
      </c>
      <c r="H1871" t="s">
        <v>22</v>
      </c>
      <c r="I1871">
        <v>0</v>
      </c>
      <c r="J1871" t="s">
        <v>23</v>
      </c>
    </row>
    <row r="1872" spans="1:10" x14ac:dyDescent="0.25">
      <c r="A1872" s="1">
        <v>912</v>
      </c>
      <c r="B1872" t="s">
        <v>19</v>
      </c>
      <c r="C1872">
        <v>706</v>
      </c>
      <c r="D1872">
        <v>2</v>
      </c>
      <c r="E1872" t="s">
        <v>20</v>
      </c>
      <c r="F1872" t="s">
        <v>25</v>
      </c>
      <c r="G1872" t="str">
        <f>"2025-04-27 10:45:57.247"</f>
        <v>2025-04-27 10:45:57.247</v>
      </c>
      <c r="H1872" t="s">
        <v>22</v>
      </c>
      <c r="I1872">
        <v>0</v>
      </c>
      <c r="J1872" t="s">
        <v>23</v>
      </c>
    </row>
    <row r="1873" spans="1:10" x14ac:dyDescent="0.25">
      <c r="A1873" s="1">
        <v>913</v>
      </c>
      <c r="B1873" t="s">
        <v>19</v>
      </c>
      <c r="C1873">
        <v>700</v>
      </c>
      <c r="D1873">
        <v>0</v>
      </c>
      <c r="E1873" t="s">
        <v>24</v>
      </c>
      <c r="F1873" t="s">
        <v>24</v>
      </c>
      <c r="G1873" t="str">
        <f>"2025-04-27 10:29:50.567"</f>
        <v>2025-04-27 10:29:50.567</v>
      </c>
      <c r="H1873" t="s">
        <v>22</v>
      </c>
      <c r="I1873">
        <v>0</v>
      </c>
      <c r="J1873" t="s">
        <v>34</v>
      </c>
    </row>
    <row r="1874" spans="1:10" x14ac:dyDescent="0.25">
      <c r="A1874" s="1">
        <v>914</v>
      </c>
      <c r="B1874" t="s">
        <v>19</v>
      </c>
      <c r="C1874">
        <v>700</v>
      </c>
      <c r="D1874">
        <v>0</v>
      </c>
      <c r="E1874" t="s">
        <v>24</v>
      </c>
      <c r="F1874" t="s">
        <v>24</v>
      </c>
      <c r="G1874" t="str">
        <f>"2025-04-27 09:00:14.804"</f>
        <v>2025-04-27 09:00:14.804</v>
      </c>
      <c r="H1874" t="s">
        <v>22</v>
      </c>
      <c r="I1874">
        <v>0</v>
      </c>
      <c r="J1874" t="s">
        <v>34</v>
      </c>
    </row>
    <row r="1875" spans="1:10" x14ac:dyDescent="0.25">
      <c r="A1875" s="1">
        <v>915</v>
      </c>
      <c r="B1875" t="s">
        <v>19</v>
      </c>
      <c r="C1875">
        <v>700</v>
      </c>
      <c r="D1875">
        <v>0</v>
      </c>
      <c r="E1875" t="s">
        <v>24</v>
      </c>
      <c r="F1875" t="s">
        <v>24</v>
      </c>
      <c r="G1875" t="str">
        <f>"2025-04-27 07:50:10.578"</f>
        <v>2025-04-27 07:50:10.578</v>
      </c>
      <c r="H1875" t="s">
        <v>22</v>
      </c>
      <c r="I1875">
        <v>0</v>
      </c>
      <c r="J1875" t="s">
        <v>34</v>
      </c>
    </row>
    <row r="1876" spans="1:10" x14ac:dyDescent="0.25">
      <c r="A1876" s="1">
        <v>916</v>
      </c>
      <c r="B1876" t="s">
        <v>26</v>
      </c>
      <c r="C1876">
        <v>635</v>
      </c>
      <c r="D1876">
        <v>1</v>
      </c>
      <c r="E1876" t="s">
        <v>31</v>
      </c>
      <c r="F1876" t="s">
        <v>32</v>
      </c>
      <c r="G1876" t="str">
        <f>"2025-04-27 07:33:39.204"</f>
        <v>2025-04-27 07:33:39.204</v>
      </c>
      <c r="H1876" t="s">
        <v>22</v>
      </c>
    </row>
    <row r="1877" spans="1:10" x14ac:dyDescent="0.25">
      <c r="A1877" s="1">
        <v>917</v>
      </c>
      <c r="B1877" t="s">
        <v>29</v>
      </c>
      <c r="C1877">
        <v>635</v>
      </c>
      <c r="D1877">
        <v>1</v>
      </c>
      <c r="E1877" t="s">
        <v>31</v>
      </c>
      <c r="F1877" t="s">
        <v>32</v>
      </c>
      <c r="G1877" t="str">
        <f>"2025-04-27 07:29:28.704"</f>
        <v>2025-04-27 07:29:28.704</v>
      </c>
      <c r="H1877" t="s">
        <v>22</v>
      </c>
      <c r="I1877">
        <v>7.15</v>
      </c>
      <c r="J1877" t="s">
        <v>33</v>
      </c>
    </row>
    <row r="1878" spans="1:10" x14ac:dyDescent="0.25">
      <c r="A1878" s="1">
        <v>918</v>
      </c>
      <c r="B1878" t="s">
        <v>19</v>
      </c>
      <c r="C1878">
        <v>700</v>
      </c>
      <c r="D1878">
        <v>0</v>
      </c>
      <c r="E1878" t="s">
        <v>24</v>
      </c>
      <c r="F1878" t="s">
        <v>24</v>
      </c>
      <c r="G1878" t="str">
        <f>"2025-04-27 06:33:36.556"</f>
        <v>2025-04-27 06:33:36.556</v>
      </c>
      <c r="H1878" t="s">
        <v>22</v>
      </c>
    </row>
    <row r="1879" spans="1:10" x14ac:dyDescent="0.25">
      <c r="A1879" s="1">
        <v>919</v>
      </c>
      <c r="B1879" t="s">
        <v>19</v>
      </c>
      <c r="C1879">
        <v>700</v>
      </c>
      <c r="D1879">
        <v>0</v>
      </c>
      <c r="E1879" t="s">
        <v>24</v>
      </c>
      <c r="F1879" t="s">
        <v>24</v>
      </c>
      <c r="G1879" t="str">
        <f>"2025-04-26 13:42:13.545"</f>
        <v>2025-04-26 13:42:13.545</v>
      </c>
      <c r="H1879" t="s">
        <v>22</v>
      </c>
      <c r="I1879">
        <v>0</v>
      </c>
      <c r="J1879" t="s">
        <v>34</v>
      </c>
    </row>
    <row r="1880" spans="1:10" x14ac:dyDescent="0.25">
      <c r="A1880" s="1">
        <v>920</v>
      </c>
      <c r="B1880" t="s">
        <v>19</v>
      </c>
      <c r="C1880">
        <v>700</v>
      </c>
      <c r="D1880">
        <v>0</v>
      </c>
      <c r="E1880" t="s">
        <v>24</v>
      </c>
      <c r="F1880" t="s">
        <v>24</v>
      </c>
      <c r="G1880" t="str">
        <f>"2025-04-26 13:08:37.573"</f>
        <v>2025-04-26 13:08:37.573</v>
      </c>
      <c r="H1880" t="s">
        <v>22</v>
      </c>
    </row>
    <row r="1881" spans="1:10" x14ac:dyDescent="0.25">
      <c r="A1881" s="1">
        <v>921</v>
      </c>
      <c r="B1881" t="s">
        <v>19</v>
      </c>
      <c r="C1881">
        <v>700</v>
      </c>
      <c r="D1881">
        <v>0</v>
      </c>
      <c r="E1881" t="s">
        <v>24</v>
      </c>
      <c r="F1881" t="s">
        <v>24</v>
      </c>
      <c r="G1881" t="str">
        <f>"2025-04-26 07:51:53.752"</f>
        <v>2025-04-26 07:51:53.752</v>
      </c>
      <c r="H1881" t="s">
        <v>22</v>
      </c>
      <c r="I1881">
        <v>0</v>
      </c>
      <c r="J1881" t="s">
        <v>34</v>
      </c>
    </row>
    <row r="1882" spans="1:10" x14ac:dyDescent="0.25">
      <c r="A1882" s="1">
        <v>922</v>
      </c>
      <c r="B1882" t="s">
        <v>19</v>
      </c>
      <c r="C1882">
        <v>700</v>
      </c>
      <c r="D1882">
        <v>0</v>
      </c>
      <c r="E1882" t="s">
        <v>24</v>
      </c>
      <c r="F1882" t="s">
        <v>24</v>
      </c>
      <c r="G1882" t="str">
        <f>"2025-04-25 22:54:33.555"</f>
        <v>2025-04-25 22:54:33.555</v>
      </c>
      <c r="H1882" t="s">
        <v>22</v>
      </c>
      <c r="I1882">
        <v>0</v>
      </c>
      <c r="J1882" t="s">
        <v>34</v>
      </c>
    </row>
    <row r="1883" spans="1:10" x14ac:dyDescent="0.25">
      <c r="A1883" s="1">
        <v>923</v>
      </c>
      <c r="B1883" t="s">
        <v>19</v>
      </c>
      <c r="C1883">
        <v>700</v>
      </c>
      <c r="D1883">
        <v>0</v>
      </c>
      <c r="E1883" t="s">
        <v>24</v>
      </c>
      <c r="F1883" t="s">
        <v>24</v>
      </c>
      <c r="G1883" t="str">
        <f>"2025-04-25 22:50:43.560"</f>
        <v>2025-04-25 22:50:43.560</v>
      </c>
      <c r="H1883" t="s">
        <v>22</v>
      </c>
    </row>
    <row r="1884" spans="1:10" x14ac:dyDescent="0.25">
      <c r="A1884" s="1">
        <v>924</v>
      </c>
      <c r="B1884" t="s">
        <v>19</v>
      </c>
      <c r="C1884">
        <v>700</v>
      </c>
      <c r="D1884">
        <v>0</v>
      </c>
      <c r="E1884" t="s">
        <v>24</v>
      </c>
      <c r="F1884" t="s">
        <v>24</v>
      </c>
      <c r="G1884" t="str">
        <f>"2025-04-25 22:17:47.596"</f>
        <v>2025-04-25 22:17:47.596</v>
      </c>
      <c r="H1884" t="s">
        <v>22</v>
      </c>
    </row>
    <row r="1885" spans="1:10" x14ac:dyDescent="0.25">
      <c r="A1885" s="1">
        <v>925</v>
      </c>
      <c r="B1885" t="s">
        <v>19</v>
      </c>
      <c r="C1885">
        <v>706</v>
      </c>
      <c r="D1885">
        <v>4</v>
      </c>
      <c r="E1885" t="s">
        <v>20</v>
      </c>
      <c r="F1885" t="s">
        <v>21</v>
      </c>
      <c r="G1885" t="str">
        <f>"2025-04-25 20:43:42.458"</f>
        <v>2025-04-25 20:43:42.458</v>
      </c>
      <c r="H1885" t="s">
        <v>22</v>
      </c>
      <c r="I1885">
        <v>0</v>
      </c>
      <c r="J1885" t="s">
        <v>23</v>
      </c>
    </row>
    <row r="1886" spans="1:10" x14ac:dyDescent="0.25">
      <c r="A1886" s="1">
        <v>926</v>
      </c>
      <c r="B1886" t="s">
        <v>19</v>
      </c>
      <c r="C1886">
        <v>700</v>
      </c>
      <c r="D1886">
        <v>0</v>
      </c>
      <c r="E1886" t="s">
        <v>24</v>
      </c>
      <c r="F1886" t="s">
        <v>24</v>
      </c>
      <c r="G1886" t="str">
        <f>"2025-04-25 09:53:08.558"</f>
        <v>2025-04-25 09:53:08.558</v>
      </c>
      <c r="H1886" t="s">
        <v>22</v>
      </c>
    </row>
    <row r="1887" spans="1:10" x14ac:dyDescent="0.25">
      <c r="A1887" s="1">
        <v>927</v>
      </c>
      <c r="B1887" t="s">
        <v>19</v>
      </c>
      <c r="C1887">
        <v>706</v>
      </c>
      <c r="D1887">
        <v>2</v>
      </c>
      <c r="E1887" t="s">
        <v>20</v>
      </c>
      <c r="F1887" t="s">
        <v>25</v>
      </c>
      <c r="G1887" t="str">
        <f>"2025-04-25 08:09:04.526"</f>
        <v>2025-04-25 08:09:04.526</v>
      </c>
      <c r="H1887" t="s">
        <v>22</v>
      </c>
      <c r="I1887">
        <v>0</v>
      </c>
      <c r="J1887" t="s">
        <v>23</v>
      </c>
    </row>
    <row r="1888" spans="1:10" x14ac:dyDescent="0.25">
      <c r="A1888" s="1">
        <v>928</v>
      </c>
      <c r="B1888" t="s">
        <v>26</v>
      </c>
      <c r="C1888">
        <v>635</v>
      </c>
      <c r="D1888">
        <v>1</v>
      </c>
      <c r="E1888" t="s">
        <v>31</v>
      </c>
      <c r="F1888" t="s">
        <v>32</v>
      </c>
      <c r="G1888" t="str">
        <f>"2025-04-25 00:02:19.054"</f>
        <v>2025-04-25 00:02:19.054</v>
      </c>
      <c r="H1888" t="s">
        <v>22</v>
      </c>
    </row>
    <row r="1889" spans="1:10" x14ac:dyDescent="0.25">
      <c r="A1889" s="1">
        <v>929</v>
      </c>
      <c r="B1889" t="s">
        <v>29</v>
      </c>
      <c r="C1889">
        <v>635</v>
      </c>
      <c r="D1889">
        <v>1</v>
      </c>
      <c r="E1889" t="s">
        <v>31</v>
      </c>
      <c r="F1889" t="s">
        <v>32</v>
      </c>
      <c r="G1889" t="str">
        <f>"2025-04-24 23:58:35.554"</f>
        <v>2025-04-24 23:58:35.554</v>
      </c>
      <c r="H1889" t="s">
        <v>22</v>
      </c>
      <c r="I1889">
        <v>11.06</v>
      </c>
      <c r="J1889" t="s">
        <v>30</v>
      </c>
    </row>
    <row r="1890" spans="1:10" x14ac:dyDescent="0.25">
      <c r="A1890" s="1">
        <v>930</v>
      </c>
      <c r="B1890" t="s">
        <v>19</v>
      </c>
      <c r="C1890">
        <v>706</v>
      </c>
      <c r="D1890">
        <v>4</v>
      </c>
      <c r="E1890" t="s">
        <v>20</v>
      </c>
      <c r="F1890" t="s">
        <v>21</v>
      </c>
      <c r="G1890" t="str">
        <f>"2025-04-24 20:15:50.516"</f>
        <v>2025-04-24 20:15:50.516</v>
      </c>
      <c r="H1890" t="s">
        <v>22</v>
      </c>
      <c r="I1890">
        <v>0</v>
      </c>
      <c r="J1890" t="s">
        <v>23</v>
      </c>
    </row>
    <row r="1891" spans="1:10" x14ac:dyDescent="0.25">
      <c r="A1891" s="1">
        <v>931</v>
      </c>
      <c r="B1891" t="s">
        <v>19</v>
      </c>
      <c r="C1891">
        <v>700</v>
      </c>
      <c r="D1891">
        <v>0</v>
      </c>
      <c r="E1891" t="s">
        <v>24</v>
      </c>
      <c r="F1891" t="s">
        <v>24</v>
      </c>
      <c r="G1891" t="str">
        <f>"2025-04-24 13:28:21.756"</f>
        <v>2025-04-24 13:28:21.756</v>
      </c>
      <c r="H1891" t="s">
        <v>22</v>
      </c>
      <c r="I1891">
        <v>0</v>
      </c>
      <c r="J1891" t="s">
        <v>34</v>
      </c>
    </row>
    <row r="1892" spans="1:10" x14ac:dyDescent="0.25">
      <c r="A1892" s="1">
        <v>932</v>
      </c>
      <c r="B1892" t="s">
        <v>19</v>
      </c>
      <c r="C1892">
        <v>700</v>
      </c>
      <c r="D1892">
        <v>0</v>
      </c>
      <c r="E1892" t="s">
        <v>24</v>
      </c>
      <c r="F1892" t="s">
        <v>24</v>
      </c>
      <c r="G1892" t="str">
        <f>"2025-04-24 07:58:10.623"</f>
        <v>2025-04-24 07:58:10.623</v>
      </c>
      <c r="H1892" t="s">
        <v>22</v>
      </c>
    </row>
    <row r="1893" spans="1:10" x14ac:dyDescent="0.25">
      <c r="A1893" s="1">
        <v>933</v>
      </c>
      <c r="B1893" t="s">
        <v>19</v>
      </c>
      <c r="C1893">
        <v>706</v>
      </c>
      <c r="D1893">
        <v>4</v>
      </c>
      <c r="E1893" t="s">
        <v>20</v>
      </c>
      <c r="F1893" t="s">
        <v>21</v>
      </c>
      <c r="G1893" t="str">
        <f>"2025-04-24 05:24:46.194"</f>
        <v>2025-04-24 05:24:46.194</v>
      </c>
      <c r="H1893" t="s">
        <v>22</v>
      </c>
      <c r="I1893">
        <v>0</v>
      </c>
      <c r="J1893" t="s">
        <v>23</v>
      </c>
    </row>
    <row r="1894" spans="1:10" x14ac:dyDescent="0.25">
      <c r="A1894" s="1">
        <v>934</v>
      </c>
      <c r="B1894" t="s">
        <v>19</v>
      </c>
      <c r="C1894">
        <v>700</v>
      </c>
      <c r="D1894">
        <v>0</v>
      </c>
      <c r="E1894" t="s">
        <v>24</v>
      </c>
      <c r="F1894" t="s">
        <v>24</v>
      </c>
      <c r="G1894" t="str">
        <f>"2025-04-24 05:11:09.574"</f>
        <v>2025-04-24 05:11:09.574</v>
      </c>
      <c r="H1894" t="s">
        <v>22</v>
      </c>
    </row>
    <row r="1895" spans="1:10" x14ac:dyDescent="0.25">
      <c r="A1895" s="1">
        <v>935</v>
      </c>
      <c r="B1895" t="s">
        <v>26</v>
      </c>
      <c r="C1895">
        <v>635</v>
      </c>
      <c r="D1895">
        <v>1</v>
      </c>
      <c r="E1895" t="s">
        <v>31</v>
      </c>
      <c r="F1895" t="s">
        <v>32</v>
      </c>
      <c r="G1895" t="str">
        <f>"2025-04-23 09:15:31.709"</f>
        <v>2025-04-23 09:15:31.709</v>
      </c>
      <c r="H1895" t="s">
        <v>22</v>
      </c>
    </row>
    <row r="1896" spans="1:10" x14ac:dyDescent="0.25">
      <c r="A1896" s="1">
        <v>936</v>
      </c>
      <c r="B1896" t="s">
        <v>29</v>
      </c>
      <c r="C1896">
        <v>635</v>
      </c>
      <c r="D1896">
        <v>1</v>
      </c>
      <c r="E1896" t="s">
        <v>31</v>
      </c>
      <c r="F1896" t="s">
        <v>32</v>
      </c>
      <c r="G1896" t="str">
        <f>"2025-04-23 09:12:06.209"</f>
        <v>2025-04-23 09:12:06.209</v>
      </c>
      <c r="H1896" t="s">
        <v>22</v>
      </c>
      <c r="I1896">
        <v>1.34</v>
      </c>
      <c r="J1896" t="s">
        <v>33</v>
      </c>
    </row>
    <row r="1897" spans="1:10" x14ac:dyDescent="0.25">
      <c r="A1897" s="1">
        <v>937</v>
      </c>
      <c r="B1897" t="s">
        <v>26</v>
      </c>
      <c r="C1897">
        <v>635</v>
      </c>
      <c r="D1897">
        <v>1</v>
      </c>
      <c r="E1897" t="s">
        <v>31</v>
      </c>
      <c r="F1897" t="s">
        <v>32</v>
      </c>
      <c r="G1897" t="str">
        <f>"2025-04-23 04:14:00.209"</f>
        <v>2025-04-23 04:14:00.209</v>
      </c>
      <c r="H1897" t="s">
        <v>22</v>
      </c>
    </row>
    <row r="1898" spans="1:10" x14ac:dyDescent="0.25">
      <c r="A1898" s="1">
        <v>938</v>
      </c>
      <c r="B1898" t="s">
        <v>29</v>
      </c>
      <c r="C1898">
        <v>635</v>
      </c>
      <c r="D1898">
        <v>1</v>
      </c>
      <c r="E1898" t="s">
        <v>31</v>
      </c>
      <c r="F1898" t="s">
        <v>32</v>
      </c>
      <c r="G1898" t="str">
        <f>"2025-04-23 03:59:46.309"</f>
        <v>2025-04-23 03:59:46.309</v>
      </c>
      <c r="H1898" t="s">
        <v>22</v>
      </c>
      <c r="I1898">
        <v>7.61</v>
      </c>
      <c r="J1898" t="s">
        <v>30</v>
      </c>
    </row>
    <row r="1899" spans="1:10" x14ac:dyDescent="0.25">
      <c r="A1899" s="1">
        <v>939</v>
      </c>
      <c r="B1899" t="s">
        <v>19</v>
      </c>
      <c r="C1899">
        <v>706</v>
      </c>
      <c r="D1899">
        <v>2</v>
      </c>
      <c r="E1899" t="s">
        <v>20</v>
      </c>
      <c r="F1899" t="s">
        <v>25</v>
      </c>
      <c r="G1899" t="str">
        <f>"2025-04-22 23:57:31.809"</f>
        <v>2025-04-22 23:57:31.809</v>
      </c>
      <c r="H1899" t="s">
        <v>22</v>
      </c>
      <c r="I1899">
        <v>0</v>
      </c>
      <c r="J1899" t="s">
        <v>23</v>
      </c>
    </row>
    <row r="1900" spans="1:10" x14ac:dyDescent="0.25">
      <c r="A1900" s="1">
        <v>940</v>
      </c>
      <c r="B1900" t="s">
        <v>19</v>
      </c>
      <c r="C1900">
        <v>700</v>
      </c>
      <c r="D1900">
        <v>0</v>
      </c>
      <c r="E1900" t="s">
        <v>24</v>
      </c>
      <c r="F1900" t="s">
        <v>24</v>
      </c>
      <c r="G1900" t="str">
        <f>"2025-04-22 23:57:03.559"</f>
        <v>2025-04-22 23:57:03.559</v>
      </c>
      <c r="H1900" t="s">
        <v>22</v>
      </c>
      <c r="I1900">
        <v>0</v>
      </c>
      <c r="J1900" t="s">
        <v>34</v>
      </c>
    </row>
    <row r="1901" spans="1:10" x14ac:dyDescent="0.25">
      <c r="A1901" s="1">
        <v>941</v>
      </c>
      <c r="B1901" t="s">
        <v>19</v>
      </c>
      <c r="C1901">
        <v>700</v>
      </c>
      <c r="D1901">
        <v>0</v>
      </c>
      <c r="E1901" t="s">
        <v>24</v>
      </c>
      <c r="F1901" t="s">
        <v>24</v>
      </c>
      <c r="G1901" t="str">
        <f>"2025-04-22 23:53:22.553"</f>
        <v>2025-04-22 23:53:22.553</v>
      </c>
      <c r="H1901" t="s">
        <v>22</v>
      </c>
    </row>
    <row r="1902" spans="1:10" x14ac:dyDescent="0.25">
      <c r="A1902" s="1">
        <v>942</v>
      </c>
      <c r="B1902" t="s">
        <v>19</v>
      </c>
      <c r="C1902">
        <v>700</v>
      </c>
      <c r="D1902">
        <v>0</v>
      </c>
      <c r="E1902" t="s">
        <v>24</v>
      </c>
      <c r="F1902" t="s">
        <v>24</v>
      </c>
      <c r="G1902" t="str">
        <f>"2025-04-22 23:50:22.595"</f>
        <v>2025-04-22 23:50:22.595</v>
      </c>
      <c r="H1902" t="s">
        <v>22</v>
      </c>
    </row>
    <row r="1903" spans="1:10" x14ac:dyDescent="0.25">
      <c r="A1903" s="1">
        <v>943</v>
      </c>
      <c r="B1903" t="s">
        <v>19</v>
      </c>
      <c r="C1903">
        <v>700</v>
      </c>
      <c r="D1903">
        <v>0</v>
      </c>
      <c r="E1903" t="s">
        <v>24</v>
      </c>
      <c r="F1903" t="s">
        <v>24</v>
      </c>
      <c r="G1903" t="str">
        <f>"2025-04-22 13:31:43.556"</f>
        <v>2025-04-22 13:31:43.556</v>
      </c>
      <c r="H1903" t="s">
        <v>22</v>
      </c>
      <c r="I1903">
        <v>0</v>
      </c>
      <c r="J1903" t="s">
        <v>34</v>
      </c>
    </row>
    <row r="1904" spans="1:10" x14ac:dyDescent="0.25">
      <c r="A1904" s="1">
        <v>944</v>
      </c>
      <c r="B1904" t="s">
        <v>19</v>
      </c>
      <c r="C1904">
        <v>706</v>
      </c>
      <c r="D1904">
        <v>4</v>
      </c>
      <c r="E1904" t="s">
        <v>20</v>
      </c>
      <c r="F1904" t="s">
        <v>21</v>
      </c>
      <c r="G1904" t="str">
        <f>"2025-04-22 04:52:28.388"</f>
        <v>2025-04-22 04:52:28.388</v>
      </c>
      <c r="H1904" t="s">
        <v>22</v>
      </c>
      <c r="I1904">
        <v>0</v>
      </c>
      <c r="J1904" t="s">
        <v>23</v>
      </c>
    </row>
    <row r="1905" spans="1:10" x14ac:dyDescent="0.25">
      <c r="A1905" s="1">
        <v>945</v>
      </c>
      <c r="B1905" t="s">
        <v>19</v>
      </c>
      <c r="C1905">
        <v>700</v>
      </c>
      <c r="D1905">
        <v>0</v>
      </c>
      <c r="E1905" t="s">
        <v>24</v>
      </c>
      <c r="F1905" t="s">
        <v>24</v>
      </c>
      <c r="G1905" t="str">
        <f>"2025-04-22 04:38:48.598"</f>
        <v>2025-04-22 04:38:48.598</v>
      </c>
      <c r="H1905" t="s">
        <v>22</v>
      </c>
      <c r="I1905">
        <v>0</v>
      </c>
      <c r="J1905" t="s">
        <v>34</v>
      </c>
    </row>
    <row r="1906" spans="1:10" x14ac:dyDescent="0.25">
      <c r="A1906" s="1">
        <v>946</v>
      </c>
      <c r="B1906" t="s">
        <v>19</v>
      </c>
      <c r="C1906">
        <v>706</v>
      </c>
      <c r="D1906">
        <v>4</v>
      </c>
      <c r="E1906" t="s">
        <v>20</v>
      </c>
      <c r="F1906" t="s">
        <v>21</v>
      </c>
      <c r="G1906" t="str">
        <f>"2025-04-22 01:50:15.441"</f>
        <v>2025-04-22 01:50:15.441</v>
      </c>
      <c r="H1906" t="s">
        <v>22</v>
      </c>
      <c r="I1906">
        <v>0</v>
      </c>
      <c r="J1906" t="s">
        <v>23</v>
      </c>
    </row>
    <row r="1907" spans="1:10" x14ac:dyDescent="0.25">
      <c r="A1907" s="1">
        <v>947</v>
      </c>
      <c r="B1907" t="s">
        <v>19</v>
      </c>
      <c r="C1907">
        <v>706</v>
      </c>
      <c r="D1907">
        <v>4</v>
      </c>
      <c r="E1907" t="s">
        <v>20</v>
      </c>
      <c r="F1907" t="s">
        <v>21</v>
      </c>
      <c r="G1907" t="str">
        <f>"2025-04-21 20:45:50.011"</f>
        <v>2025-04-21 20:45:50.011</v>
      </c>
      <c r="H1907" t="s">
        <v>22</v>
      </c>
      <c r="I1907">
        <v>0</v>
      </c>
      <c r="J1907" t="s">
        <v>23</v>
      </c>
    </row>
    <row r="1908" spans="1:10" x14ac:dyDescent="0.25">
      <c r="A1908" s="1">
        <v>948</v>
      </c>
      <c r="B1908" t="s">
        <v>19</v>
      </c>
      <c r="C1908">
        <v>700</v>
      </c>
      <c r="D1908">
        <v>0</v>
      </c>
      <c r="E1908" t="s">
        <v>24</v>
      </c>
      <c r="F1908" t="s">
        <v>24</v>
      </c>
      <c r="G1908" t="str">
        <f>"2025-04-21 20:45:27.561"</f>
        <v>2025-04-21 20:45:27.561</v>
      </c>
      <c r="H1908" t="s">
        <v>22</v>
      </c>
      <c r="I1908">
        <v>0</v>
      </c>
      <c r="J1908" t="s">
        <v>34</v>
      </c>
    </row>
    <row r="1909" spans="1:10" x14ac:dyDescent="0.25">
      <c r="A1909" s="1">
        <v>949</v>
      </c>
      <c r="B1909" t="s">
        <v>19</v>
      </c>
      <c r="C1909">
        <v>700</v>
      </c>
      <c r="D1909">
        <v>0</v>
      </c>
      <c r="E1909" t="s">
        <v>24</v>
      </c>
      <c r="F1909" t="s">
        <v>24</v>
      </c>
      <c r="G1909" t="str">
        <f>"2025-04-21 20:28:56.771"</f>
        <v>2025-04-21 20:28:56.771</v>
      </c>
      <c r="H1909" t="s">
        <v>22</v>
      </c>
    </row>
    <row r="1910" spans="1:10" x14ac:dyDescent="0.25">
      <c r="A1910" s="1">
        <v>950</v>
      </c>
      <c r="B1910" t="s">
        <v>19</v>
      </c>
      <c r="C1910">
        <v>700</v>
      </c>
      <c r="D1910">
        <v>0</v>
      </c>
      <c r="E1910" t="s">
        <v>24</v>
      </c>
      <c r="F1910" t="s">
        <v>24</v>
      </c>
      <c r="G1910" t="str">
        <f>"2025-04-20 08:00:54.560"</f>
        <v>2025-04-20 08:00:54.560</v>
      </c>
      <c r="H1910" t="s">
        <v>22</v>
      </c>
    </row>
    <row r="1911" spans="1:10" x14ac:dyDescent="0.25">
      <c r="A1911" s="1">
        <v>951</v>
      </c>
      <c r="B1911" t="s">
        <v>19</v>
      </c>
      <c r="C1911">
        <v>706</v>
      </c>
      <c r="D1911">
        <v>4</v>
      </c>
      <c r="E1911" t="s">
        <v>20</v>
      </c>
      <c r="F1911" t="s">
        <v>21</v>
      </c>
      <c r="G1911" t="str">
        <f>"2025-04-20 03:30:04.012"</f>
        <v>2025-04-20 03:30:04.012</v>
      </c>
      <c r="H1911" t="s">
        <v>22</v>
      </c>
      <c r="I1911">
        <v>0</v>
      </c>
      <c r="J1911" t="s">
        <v>23</v>
      </c>
    </row>
    <row r="1912" spans="1:10" x14ac:dyDescent="0.25">
      <c r="A1912" s="1">
        <v>952</v>
      </c>
      <c r="B1912" t="s">
        <v>19</v>
      </c>
      <c r="C1912">
        <v>700</v>
      </c>
      <c r="D1912">
        <v>0</v>
      </c>
      <c r="E1912" t="s">
        <v>24</v>
      </c>
      <c r="F1912" t="s">
        <v>24</v>
      </c>
      <c r="G1912" t="str">
        <f>"2025-04-20 03:29:48.582"</f>
        <v>2025-04-20 03:29:48.582</v>
      </c>
      <c r="H1912" t="s">
        <v>22</v>
      </c>
    </row>
    <row r="1913" spans="1:10" x14ac:dyDescent="0.25">
      <c r="A1913" s="1">
        <v>953</v>
      </c>
      <c r="B1913" t="s">
        <v>19</v>
      </c>
      <c r="C1913">
        <v>700</v>
      </c>
      <c r="D1913">
        <v>0</v>
      </c>
      <c r="E1913" t="s">
        <v>24</v>
      </c>
      <c r="F1913" t="s">
        <v>24</v>
      </c>
      <c r="G1913" t="str">
        <f>"2025-04-19 19:38:29.554"</f>
        <v>2025-04-19 19:38:29.554</v>
      </c>
      <c r="H1913" t="s">
        <v>22</v>
      </c>
      <c r="I1913">
        <v>0</v>
      </c>
      <c r="J1913" t="s">
        <v>34</v>
      </c>
    </row>
    <row r="1914" spans="1:10" x14ac:dyDescent="0.25">
      <c r="A1914" s="1">
        <v>954</v>
      </c>
      <c r="B1914" t="s">
        <v>19</v>
      </c>
      <c r="C1914">
        <v>706</v>
      </c>
      <c r="D1914">
        <v>2</v>
      </c>
      <c r="E1914" t="s">
        <v>20</v>
      </c>
      <c r="F1914" t="s">
        <v>25</v>
      </c>
      <c r="G1914" t="str">
        <f>"2025-04-18 07:59:18.752"</f>
        <v>2025-04-18 07:59:18.752</v>
      </c>
      <c r="H1914" t="s">
        <v>22</v>
      </c>
      <c r="I1914">
        <v>0</v>
      </c>
      <c r="J1914" t="s">
        <v>23</v>
      </c>
    </row>
    <row r="1915" spans="1:10" x14ac:dyDescent="0.25">
      <c r="A1915" s="1">
        <v>955</v>
      </c>
      <c r="B1915" t="s">
        <v>19</v>
      </c>
      <c r="C1915">
        <v>706</v>
      </c>
      <c r="D1915">
        <v>2</v>
      </c>
      <c r="E1915" t="s">
        <v>20</v>
      </c>
      <c r="F1915" t="s">
        <v>25</v>
      </c>
      <c r="G1915" t="str">
        <f>"2025-04-17 14:11:19.252"</f>
        <v>2025-04-17 14:11:19.252</v>
      </c>
      <c r="H1915" t="s">
        <v>22</v>
      </c>
      <c r="I1915">
        <v>0</v>
      </c>
      <c r="J1915" t="s">
        <v>23</v>
      </c>
    </row>
    <row r="1916" spans="1:10" x14ac:dyDescent="0.25">
      <c r="A1916" s="1">
        <v>956</v>
      </c>
      <c r="B1916" t="s">
        <v>19</v>
      </c>
      <c r="C1916">
        <v>706</v>
      </c>
      <c r="D1916">
        <v>4</v>
      </c>
      <c r="E1916" t="s">
        <v>20</v>
      </c>
      <c r="F1916" t="s">
        <v>21</v>
      </c>
      <c r="G1916" t="str">
        <f>"2025-04-17 13:03:06.542"</f>
        <v>2025-04-17 13:03:06.542</v>
      </c>
      <c r="H1916" t="s">
        <v>22</v>
      </c>
      <c r="I1916">
        <v>0</v>
      </c>
      <c r="J1916" t="s">
        <v>23</v>
      </c>
    </row>
    <row r="1917" spans="1:10" x14ac:dyDescent="0.25">
      <c r="A1917" s="1">
        <v>957</v>
      </c>
      <c r="B1917" t="s">
        <v>19</v>
      </c>
      <c r="C1917">
        <v>706</v>
      </c>
      <c r="D1917">
        <v>4</v>
      </c>
      <c r="E1917" t="s">
        <v>20</v>
      </c>
      <c r="F1917" t="s">
        <v>21</v>
      </c>
      <c r="G1917" t="str">
        <f>"2025-04-17 12:27:27.812"</f>
        <v>2025-04-17 12:27:27.812</v>
      </c>
      <c r="H1917" t="s">
        <v>22</v>
      </c>
      <c r="I1917">
        <v>0</v>
      </c>
      <c r="J1917" t="s">
        <v>23</v>
      </c>
    </row>
    <row r="1918" spans="1:10" x14ac:dyDescent="0.25">
      <c r="A1918" s="1">
        <v>958</v>
      </c>
      <c r="B1918" t="s">
        <v>19</v>
      </c>
      <c r="C1918">
        <v>706</v>
      </c>
      <c r="D1918">
        <v>4</v>
      </c>
      <c r="E1918" t="s">
        <v>20</v>
      </c>
      <c r="F1918" t="s">
        <v>21</v>
      </c>
      <c r="G1918" t="str">
        <f>"2025-04-17 08:00:50.752"</f>
        <v>2025-04-17 08:00:50.752</v>
      </c>
      <c r="H1918" t="s">
        <v>22</v>
      </c>
      <c r="I1918">
        <v>0</v>
      </c>
      <c r="J1918" t="s">
        <v>23</v>
      </c>
    </row>
    <row r="1919" spans="1:10" x14ac:dyDescent="0.25">
      <c r="A1919" s="1">
        <v>959</v>
      </c>
      <c r="B1919" t="s">
        <v>19</v>
      </c>
      <c r="C1919">
        <v>706</v>
      </c>
      <c r="D1919">
        <v>4</v>
      </c>
      <c r="E1919" t="s">
        <v>20</v>
      </c>
      <c r="F1919" t="s">
        <v>21</v>
      </c>
      <c r="G1919" t="str">
        <f>"2025-04-16 18:06:07.142"</f>
        <v>2025-04-16 18:06:07.142</v>
      </c>
      <c r="H1919" t="s">
        <v>22</v>
      </c>
      <c r="I1919">
        <v>0</v>
      </c>
      <c r="J1919" t="s">
        <v>23</v>
      </c>
    </row>
    <row r="1920" spans="1:10" x14ac:dyDescent="0.25">
      <c r="A1920" s="1">
        <v>960</v>
      </c>
      <c r="B1920" t="s">
        <v>19</v>
      </c>
      <c r="C1920">
        <v>700</v>
      </c>
      <c r="D1920">
        <v>0</v>
      </c>
      <c r="E1920" t="s">
        <v>24</v>
      </c>
      <c r="F1920" t="s">
        <v>24</v>
      </c>
      <c r="G1920" t="str">
        <f>"2025-04-16 17:09:50.632"</f>
        <v>2025-04-16 17:09:50.632</v>
      </c>
      <c r="H1920" t="s">
        <v>22</v>
      </c>
    </row>
    <row r="1921" spans="1:10" x14ac:dyDescent="0.25">
      <c r="A1921" s="1">
        <v>961</v>
      </c>
      <c r="B1921" t="s">
        <v>19</v>
      </c>
      <c r="C1921">
        <v>700</v>
      </c>
      <c r="D1921">
        <v>0</v>
      </c>
      <c r="E1921" t="s">
        <v>24</v>
      </c>
      <c r="F1921" t="s">
        <v>24</v>
      </c>
      <c r="G1921" t="str">
        <f>"2025-04-16 16:14:38.561"</f>
        <v>2025-04-16 16:14:38.561</v>
      </c>
      <c r="H1921" t="s">
        <v>22</v>
      </c>
      <c r="I1921">
        <v>0</v>
      </c>
      <c r="J1921" t="s">
        <v>34</v>
      </c>
    </row>
    <row r="1922" spans="1:10" x14ac:dyDescent="0.25">
      <c r="A1922" s="1">
        <v>962</v>
      </c>
      <c r="B1922" t="s">
        <v>26</v>
      </c>
      <c r="C1922">
        <v>635</v>
      </c>
      <c r="D1922">
        <v>1</v>
      </c>
      <c r="E1922" t="s">
        <v>31</v>
      </c>
      <c r="F1922" t="s">
        <v>32</v>
      </c>
      <c r="G1922" t="str">
        <f>"2025-04-16 13:20:54.268"</f>
        <v>2025-04-16 13:20:54.268</v>
      </c>
      <c r="H1922" t="s">
        <v>22</v>
      </c>
    </row>
    <row r="1923" spans="1:10" x14ac:dyDescent="0.25">
      <c r="A1923" s="1">
        <v>963</v>
      </c>
      <c r="B1923" t="s">
        <v>29</v>
      </c>
      <c r="C1923">
        <v>635</v>
      </c>
      <c r="D1923">
        <v>1</v>
      </c>
      <c r="E1923" t="s">
        <v>31</v>
      </c>
      <c r="F1923" t="s">
        <v>32</v>
      </c>
      <c r="G1923" t="str">
        <f>"2025-04-16 13:15:43.269"</f>
        <v>2025-04-16 13:15:43.269</v>
      </c>
      <c r="H1923" t="s">
        <v>22</v>
      </c>
      <c r="I1923">
        <v>5.22</v>
      </c>
      <c r="J1923" t="s">
        <v>33</v>
      </c>
    </row>
    <row r="1924" spans="1:10" x14ac:dyDescent="0.25">
      <c r="A1924" s="1">
        <v>964</v>
      </c>
      <c r="B1924" t="s">
        <v>19</v>
      </c>
      <c r="C1924">
        <v>706</v>
      </c>
      <c r="D1924">
        <v>4</v>
      </c>
      <c r="E1924" t="s">
        <v>20</v>
      </c>
      <c r="F1924" t="s">
        <v>21</v>
      </c>
      <c r="G1924" t="str">
        <f>"2025-04-15 23:38:22.130"</f>
        <v>2025-04-15 23:38:22.130</v>
      </c>
      <c r="H1924" t="s">
        <v>22</v>
      </c>
      <c r="I1924">
        <v>0</v>
      </c>
      <c r="J1924" t="s">
        <v>23</v>
      </c>
    </row>
    <row r="1925" spans="1:10" x14ac:dyDescent="0.25">
      <c r="A1925" s="1">
        <v>965</v>
      </c>
      <c r="B1925" t="s">
        <v>19</v>
      </c>
      <c r="C1925">
        <v>706</v>
      </c>
      <c r="D1925">
        <v>3</v>
      </c>
      <c r="E1925" t="s">
        <v>20</v>
      </c>
      <c r="F1925" t="s">
        <v>49</v>
      </c>
      <c r="G1925" t="str">
        <f>"2025-04-15 23:38:11.410"</f>
        <v>2025-04-15 23:38:11.410</v>
      </c>
      <c r="H1925" t="s">
        <v>22</v>
      </c>
      <c r="I1925">
        <v>0</v>
      </c>
      <c r="J1925" t="s">
        <v>23</v>
      </c>
    </row>
    <row r="1926" spans="1:10" x14ac:dyDescent="0.25">
      <c r="A1926" s="1">
        <v>966</v>
      </c>
      <c r="B1926" t="s">
        <v>26</v>
      </c>
      <c r="C1926">
        <v>635</v>
      </c>
      <c r="D1926">
        <v>1</v>
      </c>
      <c r="E1926" t="s">
        <v>31</v>
      </c>
      <c r="F1926" t="s">
        <v>32</v>
      </c>
      <c r="G1926" t="str">
        <f>"2025-04-15 14:52:35.069"</f>
        <v>2025-04-15 14:52:35.069</v>
      </c>
      <c r="H1926" t="s">
        <v>22</v>
      </c>
    </row>
    <row r="1927" spans="1:10" x14ac:dyDescent="0.25">
      <c r="A1927" s="1">
        <v>967</v>
      </c>
      <c r="B1927" t="s">
        <v>29</v>
      </c>
      <c r="C1927">
        <v>635</v>
      </c>
      <c r="D1927">
        <v>1</v>
      </c>
      <c r="E1927" t="s">
        <v>31</v>
      </c>
      <c r="F1927" t="s">
        <v>32</v>
      </c>
      <c r="G1927" t="str">
        <f>"2025-04-15 14:47:03.169"</f>
        <v>2025-04-15 14:47:03.169</v>
      </c>
      <c r="H1927" t="s">
        <v>22</v>
      </c>
      <c r="I1927">
        <v>4.5199999999999996</v>
      </c>
      <c r="J1927" t="s">
        <v>52</v>
      </c>
    </row>
    <row r="1928" spans="1:10" x14ac:dyDescent="0.25">
      <c r="A1928" s="1">
        <v>968</v>
      </c>
      <c r="B1928" t="s">
        <v>19</v>
      </c>
      <c r="C1928">
        <v>706</v>
      </c>
      <c r="D1928">
        <v>2</v>
      </c>
      <c r="E1928" t="s">
        <v>20</v>
      </c>
      <c r="F1928" t="s">
        <v>25</v>
      </c>
      <c r="G1928" t="str">
        <f>"2025-04-15 08:03:49.640"</f>
        <v>2025-04-15 08:03:49.640</v>
      </c>
      <c r="H1928" t="s">
        <v>22</v>
      </c>
      <c r="I1928">
        <v>0</v>
      </c>
      <c r="J1928" t="s">
        <v>23</v>
      </c>
    </row>
    <row r="1929" spans="1:10" x14ac:dyDescent="0.25">
      <c r="A1929" s="1">
        <v>969</v>
      </c>
      <c r="B1929" t="s">
        <v>19</v>
      </c>
      <c r="C1929">
        <v>706</v>
      </c>
      <c r="D1929">
        <v>2</v>
      </c>
      <c r="E1929" t="s">
        <v>20</v>
      </c>
      <c r="F1929" t="s">
        <v>25</v>
      </c>
      <c r="G1929" t="str">
        <f>"2025-04-14 13:52:37.940"</f>
        <v>2025-04-14 13:52:37.940</v>
      </c>
      <c r="H1929" t="s">
        <v>22</v>
      </c>
      <c r="I1929">
        <v>0</v>
      </c>
      <c r="J1929" t="s">
        <v>23</v>
      </c>
    </row>
    <row r="1930" spans="1:10" x14ac:dyDescent="0.25">
      <c r="A1930" s="1">
        <v>970</v>
      </c>
      <c r="B1930" t="s">
        <v>35</v>
      </c>
      <c r="C1930">
        <v>215</v>
      </c>
      <c r="D1930">
        <v>6</v>
      </c>
      <c r="E1930" t="s">
        <v>36</v>
      </c>
      <c r="F1930" t="s">
        <v>37</v>
      </c>
      <c r="G1930" t="str">
        <f>"2025-04-14 11:19:58.298"</f>
        <v>2025-04-14 11:19:58.298</v>
      </c>
      <c r="H1930" t="s">
        <v>22</v>
      </c>
    </row>
    <row r="1931" spans="1:10" x14ac:dyDescent="0.25">
      <c r="A1931" s="1">
        <v>971</v>
      </c>
      <c r="B1931" t="s">
        <v>35</v>
      </c>
      <c r="C1931">
        <v>115</v>
      </c>
      <c r="D1931">
        <v>6</v>
      </c>
      <c r="E1931" t="s">
        <v>38</v>
      </c>
      <c r="F1931" t="s">
        <v>37</v>
      </c>
      <c r="G1931" t="str">
        <f>"2025-04-14 11:19:58.198"</f>
        <v>2025-04-14 11:19:58.198</v>
      </c>
      <c r="H1931" t="s">
        <v>22</v>
      </c>
    </row>
    <row r="1932" spans="1:10" x14ac:dyDescent="0.25">
      <c r="A1932" s="1">
        <v>972</v>
      </c>
      <c r="B1932" t="s">
        <v>39</v>
      </c>
      <c r="C1932">
        <v>215</v>
      </c>
      <c r="D1932">
        <v>6</v>
      </c>
      <c r="E1932" t="s">
        <v>36</v>
      </c>
      <c r="F1932" t="s">
        <v>37</v>
      </c>
      <c r="G1932" t="str">
        <f>"2025-04-14 11:19:53.122"</f>
        <v>2025-04-14 11:19:53.122</v>
      </c>
      <c r="H1932" t="s">
        <v>22</v>
      </c>
      <c r="I1932">
        <v>0</v>
      </c>
      <c r="J1932" t="s">
        <v>23</v>
      </c>
    </row>
    <row r="1933" spans="1:10" x14ac:dyDescent="0.25">
      <c r="A1933" s="1">
        <v>973</v>
      </c>
      <c r="B1933" t="s">
        <v>39</v>
      </c>
      <c r="C1933">
        <v>115</v>
      </c>
      <c r="D1933">
        <v>6</v>
      </c>
      <c r="E1933" t="s">
        <v>38</v>
      </c>
      <c r="F1933" t="s">
        <v>37</v>
      </c>
      <c r="G1933" t="str">
        <f>"2025-04-14 11:19:53.117"</f>
        <v>2025-04-14 11:19:53.117</v>
      </c>
      <c r="H1933" t="s">
        <v>22</v>
      </c>
      <c r="I1933">
        <v>0</v>
      </c>
      <c r="J1933" t="s">
        <v>23</v>
      </c>
    </row>
    <row r="1934" spans="1:10" x14ac:dyDescent="0.25">
      <c r="A1934" s="1">
        <v>974</v>
      </c>
      <c r="B1934" t="s">
        <v>26</v>
      </c>
      <c r="C1934">
        <v>6</v>
      </c>
      <c r="D1934">
        <v>1</v>
      </c>
      <c r="E1934" t="s">
        <v>40</v>
      </c>
      <c r="F1934" t="s">
        <v>41</v>
      </c>
      <c r="G1934" t="str">
        <f>"2025-04-14 11:19:53.001"</f>
        <v>2025-04-14 11:19:53.001</v>
      </c>
      <c r="H1934" t="s">
        <v>42</v>
      </c>
    </row>
    <row r="1935" spans="1:10" x14ac:dyDescent="0.25">
      <c r="A1935" s="1">
        <v>975</v>
      </c>
      <c r="B1935" t="s">
        <v>26</v>
      </c>
      <c r="C1935">
        <v>75</v>
      </c>
      <c r="D1935">
        <v>1</v>
      </c>
      <c r="E1935" t="s">
        <v>43</v>
      </c>
      <c r="F1935" t="s">
        <v>44</v>
      </c>
      <c r="G1935" t="str">
        <f>"2025-04-14 11:19:52.999"</f>
        <v>2025-04-14 11:19:52.999</v>
      </c>
      <c r="H1935" t="s">
        <v>45</v>
      </c>
    </row>
    <row r="1936" spans="1:10" x14ac:dyDescent="0.25">
      <c r="A1936" s="1">
        <v>976</v>
      </c>
      <c r="B1936" t="s">
        <v>26</v>
      </c>
      <c r="C1936">
        <v>74</v>
      </c>
      <c r="D1936">
        <v>1</v>
      </c>
      <c r="E1936" t="s">
        <v>46</v>
      </c>
      <c r="F1936" t="s">
        <v>47</v>
      </c>
      <c r="G1936" t="str">
        <f>"2025-04-14 11:19:52.998"</f>
        <v>2025-04-14 11:19:52.998</v>
      </c>
      <c r="H1936" t="s">
        <v>48</v>
      </c>
    </row>
    <row r="1937" spans="1:10" x14ac:dyDescent="0.25">
      <c r="A1937" s="1">
        <v>977</v>
      </c>
      <c r="B1937" t="s">
        <v>29</v>
      </c>
      <c r="C1937">
        <v>75</v>
      </c>
      <c r="D1937">
        <v>1</v>
      </c>
      <c r="E1937" t="s">
        <v>43</v>
      </c>
      <c r="F1937" t="s">
        <v>44</v>
      </c>
      <c r="G1937" t="str">
        <f>"2025-04-14 11:19:41.409"</f>
        <v>2025-04-14 11:19:41.409</v>
      </c>
      <c r="H1937" t="s">
        <v>45</v>
      </c>
      <c r="I1937">
        <v>0</v>
      </c>
      <c r="J1937" t="s">
        <v>23</v>
      </c>
    </row>
    <row r="1938" spans="1:10" x14ac:dyDescent="0.25">
      <c r="A1938" s="1">
        <v>978</v>
      </c>
      <c r="B1938" t="s">
        <v>29</v>
      </c>
      <c r="C1938">
        <v>74</v>
      </c>
      <c r="D1938">
        <v>1</v>
      </c>
      <c r="E1938" t="s">
        <v>46</v>
      </c>
      <c r="F1938" t="s">
        <v>47</v>
      </c>
      <c r="G1938" t="str">
        <f>"2025-04-14 11:19:41.403"</f>
        <v>2025-04-14 11:19:41.403</v>
      </c>
      <c r="H1938" t="s">
        <v>48</v>
      </c>
      <c r="I1938">
        <v>0</v>
      </c>
      <c r="J1938" t="s">
        <v>23</v>
      </c>
    </row>
    <row r="1939" spans="1:10" x14ac:dyDescent="0.25">
      <c r="A1939" s="1">
        <v>979</v>
      </c>
      <c r="B1939" t="s">
        <v>39</v>
      </c>
      <c r="C1939">
        <v>6</v>
      </c>
      <c r="D1939">
        <v>1</v>
      </c>
      <c r="E1939" t="s">
        <v>40</v>
      </c>
      <c r="F1939" t="s">
        <v>41</v>
      </c>
      <c r="G1939" t="str">
        <f>"2025-04-14 11:19:41.398"</f>
        <v>2025-04-14 11:19:41.398</v>
      </c>
      <c r="H1939" t="s">
        <v>42</v>
      </c>
      <c r="I1939">
        <v>0</v>
      </c>
      <c r="J1939" t="s">
        <v>23</v>
      </c>
    </row>
    <row r="1940" spans="1:10" x14ac:dyDescent="0.25">
      <c r="A1940" s="1">
        <v>984</v>
      </c>
      <c r="B1940" t="s">
        <v>19</v>
      </c>
      <c r="C1940">
        <v>706</v>
      </c>
      <c r="D1940">
        <v>2</v>
      </c>
      <c r="E1940" t="s">
        <v>20</v>
      </c>
      <c r="F1940" t="s">
        <v>25</v>
      </c>
      <c r="G1940" t="str">
        <f>"2025-04-14 10:49:01.940"</f>
        <v>2025-04-14 10:49:01.940</v>
      </c>
      <c r="H1940" t="s">
        <v>22</v>
      </c>
      <c r="I1940">
        <v>0</v>
      </c>
      <c r="J1940" t="s">
        <v>23</v>
      </c>
    </row>
    <row r="1941" spans="1:10" x14ac:dyDescent="0.25">
      <c r="A1941" s="1">
        <v>985</v>
      </c>
      <c r="B1941" t="s">
        <v>19</v>
      </c>
      <c r="C1941">
        <v>706</v>
      </c>
      <c r="D1941">
        <v>4</v>
      </c>
      <c r="E1941" t="s">
        <v>20</v>
      </c>
      <c r="F1941" t="s">
        <v>21</v>
      </c>
      <c r="G1941" t="str">
        <f>"2025-04-14 07:59:08.620"</f>
        <v>2025-04-14 07:59:08.620</v>
      </c>
      <c r="H1941" t="s">
        <v>22</v>
      </c>
      <c r="I1941">
        <v>0</v>
      </c>
      <c r="J1941" t="s">
        <v>23</v>
      </c>
    </row>
    <row r="1942" spans="1:10" x14ac:dyDescent="0.25">
      <c r="A1942" s="1">
        <v>986</v>
      </c>
      <c r="B1942" t="s">
        <v>19</v>
      </c>
      <c r="C1942">
        <v>706</v>
      </c>
      <c r="D1942">
        <v>4</v>
      </c>
      <c r="E1942" t="s">
        <v>20</v>
      </c>
      <c r="F1942" t="s">
        <v>21</v>
      </c>
      <c r="G1942" t="str">
        <f>"2025-04-14 00:26:17.630"</f>
        <v>2025-04-14 00:26:17.630</v>
      </c>
      <c r="H1942" t="s">
        <v>22</v>
      </c>
      <c r="I1942">
        <v>0</v>
      </c>
      <c r="J1942" t="s">
        <v>23</v>
      </c>
    </row>
    <row r="1943" spans="1:10" x14ac:dyDescent="0.25">
      <c r="A1943" s="1">
        <v>987</v>
      </c>
      <c r="B1943" t="s">
        <v>19</v>
      </c>
      <c r="C1943">
        <v>706</v>
      </c>
      <c r="D1943">
        <v>3</v>
      </c>
      <c r="E1943" t="s">
        <v>20</v>
      </c>
      <c r="F1943" t="s">
        <v>49</v>
      </c>
      <c r="G1943" t="str">
        <f>"2025-04-14 00:26:08.810"</f>
        <v>2025-04-14 00:26:08.810</v>
      </c>
      <c r="H1943" t="s">
        <v>22</v>
      </c>
      <c r="I1943">
        <v>0</v>
      </c>
      <c r="J1943" t="s">
        <v>23</v>
      </c>
    </row>
    <row r="1944" spans="1:10" x14ac:dyDescent="0.25">
      <c r="A1944" s="1">
        <v>988</v>
      </c>
      <c r="B1944" t="s">
        <v>19</v>
      </c>
      <c r="C1944">
        <v>706</v>
      </c>
      <c r="D1944">
        <v>4</v>
      </c>
      <c r="E1944" t="s">
        <v>20</v>
      </c>
      <c r="F1944" t="s">
        <v>21</v>
      </c>
      <c r="G1944" t="str">
        <f>"2025-04-13 08:05:50.830"</f>
        <v>2025-04-13 08:05:50.830</v>
      </c>
      <c r="H1944" t="s">
        <v>22</v>
      </c>
      <c r="I1944">
        <v>0</v>
      </c>
      <c r="J1944" t="s">
        <v>23</v>
      </c>
    </row>
    <row r="1945" spans="1:10" x14ac:dyDescent="0.25">
      <c r="A1945" s="1">
        <v>989</v>
      </c>
      <c r="B1945" t="s">
        <v>19</v>
      </c>
      <c r="C1945">
        <v>700</v>
      </c>
      <c r="D1945">
        <v>0</v>
      </c>
      <c r="E1945" t="s">
        <v>24</v>
      </c>
      <c r="F1945" t="s">
        <v>24</v>
      </c>
      <c r="G1945" t="str">
        <f>"2025-04-12 19:54:14.550"</f>
        <v>2025-04-12 19:54:14.550</v>
      </c>
      <c r="H1945" t="s">
        <v>22</v>
      </c>
      <c r="I1945">
        <v>0</v>
      </c>
      <c r="J1945" t="s">
        <v>34</v>
      </c>
    </row>
    <row r="1946" spans="1:10" s="3" customFormat="1" x14ac:dyDescent="0.25">
      <c r="A1946" s="2">
        <v>990</v>
      </c>
      <c r="B1946" s="3" t="s">
        <v>26</v>
      </c>
      <c r="C1946" s="3">
        <v>647</v>
      </c>
      <c r="D1946" s="3">
        <v>1</v>
      </c>
      <c r="E1946" s="3" t="s">
        <v>27</v>
      </c>
      <c r="F1946" s="3" t="s">
        <v>28</v>
      </c>
      <c r="G1946" s="3" t="str">
        <f>"2025-04-12 09:22:23.163"</f>
        <v>2025-04-12 09:22:23.163</v>
      </c>
      <c r="H1946" s="3" t="s">
        <v>22</v>
      </c>
    </row>
    <row r="1947" spans="1:10" s="3" customFormat="1" x14ac:dyDescent="0.25">
      <c r="A1947" s="2">
        <v>991</v>
      </c>
      <c r="B1947" s="3" t="s">
        <v>29</v>
      </c>
      <c r="C1947" s="3">
        <v>647</v>
      </c>
      <c r="D1947" s="3">
        <v>1</v>
      </c>
      <c r="E1947" s="3" t="s">
        <v>27</v>
      </c>
      <c r="F1947" s="3" t="s">
        <v>28</v>
      </c>
      <c r="G1947" s="3" t="str">
        <f>"2025-04-12 09:22:19.863"</f>
        <v>2025-04-12 09:22:19.863</v>
      </c>
      <c r="H1947" s="3" t="s">
        <v>22</v>
      </c>
      <c r="I1947" s="3">
        <v>10.39</v>
      </c>
      <c r="J1947" s="3" t="s">
        <v>30</v>
      </c>
    </row>
    <row r="1948" spans="1:10" x14ac:dyDescent="0.25">
      <c r="A1948" s="1">
        <v>992</v>
      </c>
      <c r="B1948" t="s">
        <v>19</v>
      </c>
      <c r="C1948">
        <v>706</v>
      </c>
      <c r="D1948">
        <v>4</v>
      </c>
      <c r="E1948" t="s">
        <v>20</v>
      </c>
      <c r="F1948" t="s">
        <v>21</v>
      </c>
      <c r="G1948" t="str">
        <f>"2025-04-12 08:00:06.291"</f>
        <v>2025-04-12 08:00:06.291</v>
      </c>
      <c r="H1948" t="s">
        <v>22</v>
      </c>
      <c r="I1948">
        <v>0</v>
      </c>
      <c r="J1948" t="s">
        <v>23</v>
      </c>
    </row>
    <row r="1949" spans="1:10" x14ac:dyDescent="0.25">
      <c r="A1949" s="1">
        <v>993</v>
      </c>
      <c r="B1949" t="s">
        <v>19</v>
      </c>
      <c r="C1949">
        <v>706</v>
      </c>
      <c r="D1949">
        <v>4</v>
      </c>
      <c r="E1949" t="s">
        <v>20</v>
      </c>
      <c r="F1949" t="s">
        <v>21</v>
      </c>
      <c r="G1949" t="str">
        <f>"2025-04-11 14:49:49.921"</f>
        <v>2025-04-11 14:49:49.921</v>
      </c>
      <c r="H1949" t="s">
        <v>22</v>
      </c>
      <c r="I1949">
        <v>0</v>
      </c>
      <c r="J1949" t="s">
        <v>23</v>
      </c>
    </row>
    <row r="1950" spans="1:10" x14ac:dyDescent="0.25">
      <c r="A1950" s="1">
        <v>994</v>
      </c>
      <c r="B1950" t="s">
        <v>19</v>
      </c>
      <c r="C1950">
        <v>706</v>
      </c>
      <c r="D1950">
        <v>2</v>
      </c>
      <c r="E1950" t="s">
        <v>20</v>
      </c>
      <c r="F1950" t="s">
        <v>25</v>
      </c>
      <c r="G1950" t="str">
        <f>"2025-04-11 13:48:54.941"</f>
        <v>2025-04-11 13:48:54.941</v>
      </c>
      <c r="H1950" t="s">
        <v>22</v>
      </c>
      <c r="I1950">
        <v>0</v>
      </c>
      <c r="J1950" t="s">
        <v>23</v>
      </c>
    </row>
    <row r="1951" spans="1:10" x14ac:dyDescent="0.25">
      <c r="A1951" s="1">
        <v>996</v>
      </c>
      <c r="B1951" t="s">
        <v>35</v>
      </c>
      <c r="C1951">
        <v>115</v>
      </c>
      <c r="D1951">
        <v>6</v>
      </c>
      <c r="E1951" t="s">
        <v>38</v>
      </c>
      <c r="F1951" t="s">
        <v>37</v>
      </c>
      <c r="G1951" t="str">
        <f>"2025-04-11 08:31:01.790"</f>
        <v>2025-04-11 08:31:01.790</v>
      </c>
      <c r="H1951" t="s">
        <v>22</v>
      </c>
    </row>
    <row r="1952" spans="1:10" x14ac:dyDescent="0.25">
      <c r="A1952" s="1">
        <v>997</v>
      </c>
      <c r="B1952" t="s">
        <v>35</v>
      </c>
      <c r="C1952">
        <v>215</v>
      </c>
      <c r="D1952">
        <v>6</v>
      </c>
      <c r="E1952" t="s">
        <v>36</v>
      </c>
      <c r="F1952" t="s">
        <v>37</v>
      </c>
      <c r="G1952" t="str">
        <f>"2025-04-11 08:31:01.690"</f>
        <v>2025-04-11 08:31:01.690</v>
      </c>
      <c r="H1952" t="s">
        <v>22</v>
      </c>
    </row>
    <row r="1953" spans="1:10" x14ac:dyDescent="0.25">
      <c r="A1953" s="1">
        <v>998</v>
      </c>
      <c r="B1953" t="s">
        <v>39</v>
      </c>
      <c r="C1953">
        <v>115</v>
      </c>
      <c r="D1953">
        <v>6</v>
      </c>
      <c r="E1953" t="s">
        <v>38</v>
      </c>
      <c r="F1953" t="s">
        <v>37</v>
      </c>
      <c r="G1953" t="str">
        <f>"2025-04-11 08:30:56.726"</f>
        <v>2025-04-11 08:30:56.726</v>
      </c>
      <c r="H1953" t="s">
        <v>22</v>
      </c>
      <c r="I1953">
        <v>0</v>
      </c>
      <c r="J1953" t="s">
        <v>23</v>
      </c>
    </row>
    <row r="1954" spans="1:10" x14ac:dyDescent="0.25">
      <c r="A1954" s="1">
        <v>999</v>
      </c>
      <c r="B1954" t="s">
        <v>39</v>
      </c>
      <c r="C1954">
        <v>215</v>
      </c>
      <c r="D1954">
        <v>6</v>
      </c>
      <c r="E1954" t="s">
        <v>36</v>
      </c>
      <c r="F1954" t="s">
        <v>37</v>
      </c>
      <c r="G1954" t="str">
        <f>"2025-04-11 08:30:56.666"</f>
        <v>2025-04-11 08:30:56.666</v>
      </c>
      <c r="H1954" t="s">
        <v>22</v>
      </c>
      <c r="I1954">
        <v>0</v>
      </c>
      <c r="J1954" t="s">
        <v>23</v>
      </c>
    </row>
    <row r="1955" spans="1:10" x14ac:dyDescent="0.25">
      <c r="A1955" s="1">
        <v>0</v>
      </c>
      <c r="B1955" t="s">
        <v>26</v>
      </c>
      <c r="C1955">
        <v>6</v>
      </c>
      <c r="D1955">
        <v>1</v>
      </c>
      <c r="E1955" t="s">
        <v>40</v>
      </c>
      <c r="F1955" t="s">
        <v>41</v>
      </c>
      <c r="G1955" t="str">
        <f>"2025-04-11 08:30:56.564"</f>
        <v>2025-04-11 08:30:56.564</v>
      </c>
      <c r="H1955" t="s">
        <v>42</v>
      </c>
    </row>
    <row r="1956" spans="1:10" x14ac:dyDescent="0.25">
      <c r="A1956" s="1">
        <v>1</v>
      </c>
      <c r="B1956" t="s">
        <v>26</v>
      </c>
      <c r="C1956">
        <v>75</v>
      </c>
      <c r="D1956">
        <v>1</v>
      </c>
      <c r="E1956" t="s">
        <v>43</v>
      </c>
      <c r="F1956" t="s">
        <v>44</v>
      </c>
      <c r="G1956" t="str">
        <f>"2025-04-11 08:30:56.563"</f>
        <v>2025-04-11 08:30:56.563</v>
      </c>
      <c r="H1956" t="s">
        <v>45</v>
      </c>
    </row>
    <row r="1957" spans="1:10" x14ac:dyDescent="0.25">
      <c r="A1957" s="1">
        <v>2</v>
      </c>
      <c r="B1957" t="s">
        <v>26</v>
      </c>
      <c r="C1957">
        <v>74</v>
      </c>
      <c r="D1957">
        <v>1</v>
      </c>
      <c r="E1957" t="s">
        <v>46</v>
      </c>
      <c r="F1957" t="s">
        <v>47</v>
      </c>
      <c r="G1957" t="str">
        <f>"2025-04-11 08:30:56.561"</f>
        <v>2025-04-11 08:30:56.561</v>
      </c>
      <c r="H1957" t="s">
        <v>48</v>
      </c>
    </row>
    <row r="1958" spans="1:10" x14ac:dyDescent="0.25">
      <c r="A1958" s="1">
        <v>3</v>
      </c>
      <c r="B1958" t="s">
        <v>29</v>
      </c>
      <c r="C1958">
        <v>75</v>
      </c>
      <c r="D1958">
        <v>1</v>
      </c>
      <c r="E1958" t="s">
        <v>43</v>
      </c>
      <c r="F1958" t="s">
        <v>44</v>
      </c>
      <c r="G1958" t="str">
        <f>"2025-04-11 08:30:44.372"</f>
        <v>2025-04-11 08:30:44.372</v>
      </c>
      <c r="H1958" t="s">
        <v>45</v>
      </c>
      <c r="I1958">
        <v>0</v>
      </c>
      <c r="J1958" t="s">
        <v>52</v>
      </c>
    </row>
    <row r="1959" spans="1:10" x14ac:dyDescent="0.25">
      <c r="A1959" s="1">
        <v>4</v>
      </c>
      <c r="B1959" t="s">
        <v>29</v>
      </c>
      <c r="C1959">
        <v>74</v>
      </c>
      <c r="D1959">
        <v>1</v>
      </c>
      <c r="E1959" t="s">
        <v>46</v>
      </c>
      <c r="F1959" t="s">
        <v>47</v>
      </c>
      <c r="G1959" t="str">
        <f>"2025-04-11 08:30:44.366"</f>
        <v>2025-04-11 08:30:44.366</v>
      </c>
      <c r="H1959" t="s">
        <v>48</v>
      </c>
      <c r="I1959">
        <v>0</v>
      </c>
      <c r="J1959" t="s">
        <v>52</v>
      </c>
    </row>
    <row r="1960" spans="1:10" x14ac:dyDescent="0.25">
      <c r="A1960" s="1">
        <v>5</v>
      </c>
      <c r="B1960" t="s">
        <v>39</v>
      </c>
      <c r="C1960">
        <v>6</v>
      </c>
      <c r="D1960">
        <v>1</v>
      </c>
      <c r="E1960" t="s">
        <v>40</v>
      </c>
      <c r="F1960" t="s">
        <v>41</v>
      </c>
      <c r="G1960" t="str">
        <f>"2025-04-11 08:30:44.361"</f>
        <v>2025-04-11 08:30:44.361</v>
      </c>
      <c r="H1960" t="s">
        <v>42</v>
      </c>
      <c r="I1960">
        <v>0</v>
      </c>
      <c r="J1960" t="s">
        <v>52</v>
      </c>
    </row>
    <row r="1961" spans="1:10" x14ac:dyDescent="0.25">
      <c r="A1961" s="1">
        <v>7</v>
      </c>
      <c r="B1961" t="s">
        <v>19</v>
      </c>
      <c r="C1961">
        <v>706</v>
      </c>
      <c r="D1961">
        <v>2</v>
      </c>
      <c r="E1961" t="s">
        <v>20</v>
      </c>
      <c r="F1961" t="s">
        <v>25</v>
      </c>
      <c r="G1961" t="str">
        <f>"2025-04-11 08:03:34.741"</f>
        <v>2025-04-11 08:03:34.741</v>
      </c>
      <c r="H1961" t="s">
        <v>22</v>
      </c>
      <c r="I1961">
        <v>0</v>
      </c>
      <c r="J1961" t="s">
        <v>23</v>
      </c>
    </row>
    <row r="1962" spans="1:10" x14ac:dyDescent="0.25">
      <c r="A1962" s="1">
        <v>8</v>
      </c>
      <c r="B1962" t="s">
        <v>26</v>
      </c>
      <c r="C1962">
        <v>635</v>
      </c>
      <c r="D1962">
        <v>1</v>
      </c>
      <c r="E1962" t="s">
        <v>31</v>
      </c>
      <c r="F1962" t="s">
        <v>32</v>
      </c>
      <c r="G1962" t="str">
        <f>"2025-04-11 05:59:50.859"</f>
        <v>2025-04-11 05:59:50.859</v>
      </c>
      <c r="H1962" t="s">
        <v>22</v>
      </c>
    </row>
    <row r="1963" spans="1:10" x14ac:dyDescent="0.25">
      <c r="A1963" s="1">
        <v>9</v>
      </c>
      <c r="B1963" t="s">
        <v>29</v>
      </c>
      <c r="C1963">
        <v>635</v>
      </c>
      <c r="D1963">
        <v>1</v>
      </c>
      <c r="E1963" t="s">
        <v>31</v>
      </c>
      <c r="F1963" t="s">
        <v>32</v>
      </c>
      <c r="G1963" t="str">
        <f>"2025-04-11 05:55:43.359"</f>
        <v>2025-04-11 05:55:43.359</v>
      </c>
      <c r="H1963" t="s">
        <v>22</v>
      </c>
      <c r="I1963">
        <v>7.83</v>
      </c>
      <c r="J1963" t="s">
        <v>33</v>
      </c>
    </row>
    <row r="1964" spans="1:10" x14ac:dyDescent="0.25">
      <c r="A1964" s="1">
        <v>10</v>
      </c>
      <c r="B1964" t="s">
        <v>26</v>
      </c>
      <c r="C1964">
        <v>635</v>
      </c>
      <c r="D1964">
        <v>1</v>
      </c>
      <c r="E1964" t="s">
        <v>31</v>
      </c>
      <c r="F1964" t="s">
        <v>32</v>
      </c>
      <c r="G1964" t="str">
        <f>"2025-04-11 00:28:01.059"</f>
        <v>2025-04-11 00:28:01.059</v>
      </c>
      <c r="H1964" t="s">
        <v>22</v>
      </c>
    </row>
    <row r="1965" spans="1:10" x14ac:dyDescent="0.25">
      <c r="A1965" s="1">
        <v>11</v>
      </c>
      <c r="B1965" t="s">
        <v>29</v>
      </c>
      <c r="C1965">
        <v>635</v>
      </c>
      <c r="D1965">
        <v>1</v>
      </c>
      <c r="E1965" t="s">
        <v>31</v>
      </c>
      <c r="F1965" t="s">
        <v>32</v>
      </c>
      <c r="G1965" t="str">
        <f>"2025-04-11 00:24:59.059"</f>
        <v>2025-04-11 00:24:59.059</v>
      </c>
      <c r="H1965" t="s">
        <v>22</v>
      </c>
      <c r="I1965">
        <v>2.5499999999999998</v>
      </c>
      <c r="J1965" t="s">
        <v>52</v>
      </c>
    </row>
    <row r="1966" spans="1:10" x14ac:dyDescent="0.25">
      <c r="A1966" s="1">
        <v>12</v>
      </c>
      <c r="B1966" t="s">
        <v>19</v>
      </c>
      <c r="C1966">
        <v>706</v>
      </c>
      <c r="D1966">
        <v>4</v>
      </c>
      <c r="E1966" t="s">
        <v>20</v>
      </c>
      <c r="F1966" t="s">
        <v>21</v>
      </c>
      <c r="G1966" t="str">
        <f>"2025-04-10 14:08:12.631"</f>
        <v>2025-04-10 14:08:12.631</v>
      </c>
      <c r="H1966" t="s">
        <v>22</v>
      </c>
      <c r="I1966">
        <v>0</v>
      </c>
      <c r="J1966" t="s">
        <v>23</v>
      </c>
    </row>
    <row r="1967" spans="1:10" x14ac:dyDescent="0.25">
      <c r="A1967" s="1">
        <v>13</v>
      </c>
      <c r="B1967" t="s">
        <v>19</v>
      </c>
      <c r="C1967">
        <v>706</v>
      </c>
      <c r="D1967">
        <v>4</v>
      </c>
      <c r="E1967" t="s">
        <v>20</v>
      </c>
      <c r="F1967" t="s">
        <v>21</v>
      </c>
      <c r="G1967" t="str">
        <f>"2025-04-10 07:53:47.791"</f>
        <v>2025-04-10 07:53:47.791</v>
      </c>
      <c r="H1967" t="s">
        <v>22</v>
      </c>
      <c r="I1967">
        <v>0</v>
      </c>
      <c r="J1967" t="s">
        <v>23</v>
      </c>
    </row>
    <row r="1968" spans="1:10" x14ac:dyDescent="0.25">
      <c r="A1968" s="1">
        <v>14</v>
      </c>
      <c r="B1968" t="s">
        <v>19</v>
      </c>
      <c r="C1968">
        <v>706</v>
      </c>
      <c r="D1968">
        <v>2</v>
      </c>
      <c r="E1968" t="s">
        <v>20</v>
      </c>
      <c r="F1968" t="s">
        <v>25</v>
      </c>
      <c r="G1968" t="str">
        <f>"2025-04-08 13:19:39.541"</f>
        <v>2025-04-08 13:19:39.541</v>
      </c>
      <c r="H1968" t="s">
        <v>22</v>
      </c>
      <c r="I1968">
        <v>0</v>
      </c>
      <c r="J1968" t="s">
        <v>23</v>
      </c>
    </row>
    <row r="1969" spans="1:10" x14ac:dyDescent="0.25">
      <c r="A1969" s="1">
        <v>15</v>
      </c>
      <c r="B1969" t="s">
        <v>19</v>
      </c>
      <c r="C1969">
        <v>700</v>
      </c>
      <c r="D1969">
        <v>0</v>
      </c>
      <c r="E1969" t="s">
        <v>24</v>
      </c>
      <c r="F1969" t="s">
        <v>24</v>
      </c>
      <c r="G1969" t="str">
        <f>"2025-04-08 08:42:07.531"</f>
        <v>2025-04-08 08:42:07.531</v>
      </c>
      <c r="H1969" t="s">
        <v>22</v>
      </c>
      <c r="I1969">
        <v>0</v>
      </c>
      <c r="J1969" t="s">
        <v>34</v>
      </c>
    </row>
    <row r="1970" spans="1:10" x14ac:dyDescent="0.25">
      <c r="A1970" s="1">
        <v>16</v>
      </c>
      <c r="B1970" t="s">
        <v>19</v>
      </c>
      <c r="C1970">
        <v>706</v>
      </c>
      <c r="D1970">
        <v>4</v>
      </c>
      <c r="E1970" t="s">
        <v>20</v>
      </c>
      <c r="F1970" t="s">
        <v>21</v>
      </c>
      <c r="G1970" t="str">
        <f>"2025-04-08 07:54:17.645"</f>
        <v>2025-04-08 07:54:17.645</v>
      </c>
      <c r="H1970" t="s">
        <v>22</v>
      </c>
      <c r="I1970">
        <v>0</v>
      </c>
      <c r="J1970" t="s">
        <v>23</v>
      </c>
    </row>
    <row r="1971" spans="1:10" x14ac:dyDescent="0.25">
      <c r="A1971" s="1">
        <v>17</v>
      </c>
      <c r="B1971" t="s">
        <v>26</v>
      </c>
      <c r="C1971">
        <v>635</v>
      </c>
      <c r="D1971">
        <v>1</v>
      </c>
      <c r="E1971" t="s">
        <v>31</v>
      </c>
      <c r="F1971" t="s">
        <v>32</v>
      </c>
      <c r="G1971" t="str">
        <f>"2025-04-07 14:49:59.006"</f>
        <v>2025-04-07 14:49:59.006</v>
      </c>
      <c r="H1971" t="s">
        <v>22</v>
      </c>
    </row>
    <row r="1972" spans="1:10" x14ac:dyDescent="0.25">
      <c r="A1972" s="1">
        <v>18</v>
      </c>
      <c r="B1972" t="s">
        <v>29</v>
      </c>
      <c r="C1972">
        <v>635</v>
      </c>
      <c r="D1972">
        <v>1</v>
      </c>
      <c r="E1972" t="s">
        <v>31</v>
      </c>
      <c r="F1972" t="s">
        <v>32</v>
      </c>
      <c r="G1972" t="str">
        <f>"2025-04-07 14:46:12.006"</f>
        <v>2025-04-07 14:46:12.006</v>
      </c>
      <c r="H1972" t="s">
        <v>22</v>
      </c>
      <c r="I1972">
        <v>5.83</v>
      </c>
      <c r="J1972" t="s">
        <v>33</v>
      </c>
    </row>
    <row r="1973" spans="1:10" x14ac:dyDescent="0.25">
      <c r="A1973" s="1">
        <v>19</v>
      </c>
      <c r="B1973" t="s">
        <v>26</v>
      </c>
      <c r="C1973">
        <v>635</v>
      </c>
      <c r="D1973">
        <v>1</v>
      </c>
      <c r="E1973" t="s">
        <v>31</v>
      </c>
      <c r="F1973" t="s">
        <v>32</v>
      </c>
      <c r="G1973" t="str">
        <f>"2025-04-07 11:11:14.906"</f>
        <v>2025-04-07 11:11:14.906</v>
      </c>
      <c r="H1973" t="s">
        <v>22</v>
      </c>
    </row>
    <row r="1974" spans="1:10" x14ac:dyDescent="0.25">
      <c r="A1974" s="1">
        <v>20</v>
      </c>
      <c r="B1974" t="s">
        <v>29</v>
      </c>
      <c r="C1974">
        <v>635</v>
      </c>
      <c r="D1974">
        <v>1</v>
      </c>
      <c r="E1974" t="s">
        <v>31</v>
      </c>
      <c r="F1974" t="s">
        <v>32</v>
      </c>
      <c r="G1974" t="str">
        <f>"2025-04-07 11:07:20.507"</f>
        <v>2025-04-07 11:07:20.507</v>
      </c>
      <c r="H1974" t="s">
        <v>22</v>
      </c>
      <c r="I1974">
        <v>2.04</v>
      </c>
      <c r="J1974" t="s">
        <v>52</v>
      </c>
    </row>
    <row r="1975" spans="1:10" x14ac:dyDescent="0.25">
      <c r="A1975" s="1">
        <v>21</v>
      </c>
      <c r="B1975" t="s">
        <v>19</v>
      </c>
      <c r="C1975">
        <v>706</v>
      </c>
      <c r="D1975">
        <v>4</v>
      </c>
      <c r="E1975" t="s">
        <v>20</v>
      </c>
      <c r="F1975" t="s">
        <v>21</v>
      </c>
      <c r="G1975" t="str">
        <f>"2025-04-07 07:55:08.635"</f>
        <v>2025-04-07 07:55:08.635</v>
      </c>
      <c r="H1975" t="s">
        <v>22</v>
      </c>
      <c r="I1975">
        <v>0</v>
      </c>
      <c r="J1975" t="s">
        <v>23</v>
      </c>
    </row>
    <row r="1976" spans="1:10" x14ac:dyDescent="0.25">
      <c r="A1976" s="1">
        <v>22</v>
      </c>
      <c r="B1976" t="s">
        <v>19</v>
      </c>
      <c r="C1976">
        <v>706</v>
      </c>
      <c r="D1976">
        <v>2</v>
      </c>
      <c r="E1976" t="s">
        <v>20</v>
      </c>
      <c r="F1976" t="s">
        <v>25</v>
      </c>
      <c r="G1976" t="str">
        <f>"2025-04-06 07:55:37.855"</f>
        <v>2025-04-06 07:55:37.855</v>
      </c>
      <c r="H1976" t="s">
        <v>22</v>
      </c>
      <c r="I1976">
        <v>0</v>
      </c>
      <c r="J1976" t="s">
        <v>23</v>
      </c>
    </row>
    <row r="1977" spans="1:10" x14ac:dyDescent="0.25">
      <c r="A1977" s="1">
        <v>23</v>
      </c>
      <c r="B1977" t="s">
        <v>19</v>
      </c>
      <c r="C1977">
        <v>706</v>
      </c>
      <c r="D1977">
        <v>2</v>
      </c>
      <c r="E1977" t="s">
        <v>20</v>
      </c>
      <c r="F1977" t="s">
        <v>25</v>
      </c>
      <c r="G1977" t="str">
        <f>"2025-04-05 23:40:28.255"</f>
        <v>2025-04-05 23:40:28.255</v>
      </c>
      <c r="H1977" t="s">
        <v>22</v>
      </c>
      <c r="I1977">
        <v>0</v>
      </c>
      <c r="J1977" t="s">
        <v>23</v>
      </c>
    </row>
    <row r="1978" spans="1:10" x14ac:dyDescent="0.25">
      <c r="A1978" s="1">
        <v>24</v>
      </c>
      <c r="B1978" t="s">
        <v>19</v>
      </c>
      <c r="C1978">
        <v>700</v>
      </c>
      <c r="D1978">
        <v>0</v>
      </c>
      <c r="E1978" t="s">
        <v>24</v>
      </c>
      <c r="F1978" t="s">
        <v>24</v>
      </c>
      <c r="G1978" t="str">
        <f>"2025-04-05 23:39:28.525"</f>
        <v>2025-04-05 23:39:28.525</v>
      </c>
      <c r="H1978" t="s">
        <v>22</v>
      </c>
      <c r="I1978">
        <v>0</v>
      </c>
      <c r="J1978" t="s">
        <v>34</v>
      </c>
    </row>
    <row r="1979" spans="1:10" x14ac:dyDescent="0.25">
      <c r="A1979" s="1">
        <v>25</v>
      </c>
      <c r="B1979" t="s">
        <v>19</v>
      </c>
      <c r="C1979">
        <v>706</v>
      </c>
      <c r="D1979">
        <v>2</v>
      </c>
      <c r="E1979" t="s">
        <v>20</v>
      </c>
      <c r="F1979" t="s">
        <v>25</v>
      </c>
      <c r="G1979" t="str">
        <f>"2025-04-05 23:33:09.945"</f>
        <v>2025-04-05 23:33:09.945</v>
      </c>
      <c r="H1979" t="s">
        <v>22</v>
      </c>
      <c r="I1979">
        <v>0</v>
      </c>
      <c r="J1979" t="s">
        <v>23</v>
      </c>
    </row>
    <row r="1980" spans="1:10" x14ac:dyDescent="0.25">
      <c r="A1980" s="1">
        <v>26</v>
      </c>
      <c r="B1980" t="s">
        <v>19</v>
      </c>
      <c r="C1980">
        <v>700</v>
      </c>
      <c r="D1980">
        <v>0</v>
      </c>
      <c r="E1980" t="s">
        <v>24</v>
      </c>
      <c r="F1980" t="s">
        <v>24</v>
      </c>
      <c r="G1980" t="str">
        <f>"2025-04-05 22:45:11.515"</f>
        <v>2025-04-05 22:45:11.515</v>
      </c>
      <c r="H1980" t="s">
        <v>22</v>
      </c>
      <c r="I1980">
        <v>0</v>
      </c>
      <c r="J1980" t="s">
        <v>34</v>
      </c>
    </row>
    <row r="1981" spans="1:10" x14ac:dyDescent="0.25">
      <c r="A1981" s="1">
        <v>27</v>
      </c>
      <c r="B1981" t="s">
        <v>19</v>
      </c>
      <c r="C1981">
        <v>700</v>
      </c>
      <c r="D1981">
        <v>0</v>
      </c>
      <c r="E1981" t="s">
        <v>24</v>
      </c>
      <c r="F1981" t="s">
        <v>24</v>
      </c>
      <c r="G1981" t="str">
        <f>"2025-04-05 21:19:58.763"</f>
        <v>2025-04-05 21:19:58.763</v>
      </c>
      <c r="H1981" t="s">
        <v>22</v>
      </c>
      <c r="I1981">
        <v>0</v>
      </c>
      <c r="J1981" t="s">
        <v>34</v>
      </c>
    </row>
    <row r="1982" spans="1:10" x14ac:dyDescent="0.25">
      <c r="A1982" s="1">
        <v>28</v>
      </c>
      <c r="B1982" t="s">
        <v>19</v>
      </c>
      <c r="C1982">
        <v>706</v>
      </c>
      <c r="D1982">
        <v>2</v>
      </c>
      <c r="E1982" t="s">
        <v>20</v>
      </c>
      <c r="F1982" t="s">
        <v>25</v>
      </c>
      <c r="G1982" t="str">
        <f>"2025-04-05 13:40:55.611"</f>
        <v>2025-04-05 13:40:55.611</v>
      </c>
      <c r="H1982" t="s">
        <v>22</v>
      </c>
      <c r="I1982">
        <v>0</v>
      </c>
      <c r="J1982" t="s">
        <v>23</v>
      </c>
    </row>
    <row r="1983" spans="1:10" x14ac:dyDescent="0.25">
      <c r="A1983" s="1">
        <v>29</v>
      </c>
      <c r="B1983" t="s">
        <v>19</v>
      </c>
      <c r="C1983">
        <v>706</v>
      </c>
      <c r="D1983">
        <v>2</v>
      </c>
      <c r="E1983" t="s">
        <v>20</v>
      </c>
      <c r="F1983" t="s">
        <v>25</v>
      </c>
      <c r="G1983" t="str">
        <f>"2025-04-05 07:55:27.711"</f>
        <v>2025-04-05 07:55:27.711</v>
      </c>
      <c r="H1983" t="s">
        <v>22</v>
      </c>
      <c r="I1983">
        <v>0</v>
      </c>
      <c r="J1983" t="s">
        <v>23</v>
      </c>
    </row>
    <row r="1984" spans="1:10" s="3" customFormat="1" x14ac:dyDescent="0.25">
      <c r="A1984" s="2">
        <v>30</v>
      </c>
      <c r="B1984" s="3" t="s">
        <v>26</v>
      </c>
      <c r="C1984" s="3">
        <v>647</v>
      </c>
      <c r="D1984" s="3">
        <v>1</v>
      </c>
      <c r="E1984" s="3" t="s">
        <v>27</v>
      </c>
      <c r="F1984" s="3" t="s">
        <v>28</v>
      </c>
      <c r="G1984" s="3" t="str">
        <f>"2025-04-04 12:10:48.502"</f>
        <v>2025-04-04 12:10:48.502</v>
      </c>
      <c r="H1984" s="3" t="s">
        <v>22</v>
      </c>
    </row>
    <row r="1985" spans="1:10" s="3" customFormat="1" x14ac:dyDescent="0.25">
      <c r="A1985" s="2">
        <v>31</v>
      </c>
      <c r="B1985" s="3" t="s">
        <v>29</v>
      </c>
      <c r="C1985" s="3">
        <v>647</v>
      </c>
      <c r="D1985" s="3">
        <v>1</v>
      </c>
      <c r="E1985" s="3" t="s">
        <v>27</v>
      </c>
      <c r="F1985" s="3" t="s">
        <v>28</v>
      </c>
      <c r="G1985" s="3" t="str">
        <f>"2025-04-04 12:10:45.002"</f>
        <v>2025-04-04 12:10:45.002</v>
      </c>
      <c r="H1985" s="3" t="s">
        <v>22</v>
      </c>
      <c r="I1985" s="3">
        <v>10.73</v>
      </c>
      <c r="J1985" s="3" t="s">
        <v>30</v>
      </c>
    </row>
    <row r="1986" spans="1:10" x14ac:dyDescent="0.25">
      <c r="A1986" s="1">
        <v>32</v>
      </c>
      <c r="B1986" t="s">
        <v>19</v>
      </c>
      <c r="C1986">
        <v>706</v>
      </c>
      <c r="D1986">
        <v>4</v>
      </c>
      <c r="E1986" t="s">
        <v>20</v>
      </c>
      <c r="F1986" t="s">
        <v>21</v>
      </c>
      <c r="G1986" t="str">
        <f>"2025-04-04 07:57:15.901"</f>
        <v>2025-04-04 07:57:15.901</v>
      </c>
      <c r="H1986" t="s">
        <v>22</v>
      </c>
      <c r="I1986">
        <v>0</v>
      </c>
      <c r="J1986" t="s">
        <v>23</v>
      </c>
    </row>
    <row r="1987" spans="1:10" x14ac:dyDescent="0.25">
      <c r="A1987" s="1">
        <v>33</v>
      </c>
      <c r="B1987" t="s">
        <v>19</v>
      </c>
      <c r="C1987">
        <v>706</v>
      </c>
      <c r="D1987">
        <v>4</v>
      </c>
      <c r="E1987" t="s">
        <v>20</v>
      </c>
      <c r="F1987" t="s">
        <v>21</v>
      </c>
      <c r="G1987" t="str">
        <f>"2025-04-03 13:30:08.401"</f>
        <v>2025-04-03 13:30:08.401</v>
      </c>
      <c r="H1987" t="s">
        <v>22</v>
      </c>
      <c r="I1987">
        <v>0</v>
      </c>
      <c r="J1987" t="s">
        <v>23</v>
      </c>
    </row>
    <row r="1988" spans="1:10" x14ac:dyDescent="0.25">
      <c r="A1988" s="1">
        <v>34</v>
      </c>
      <c r="B1988" t="s">
        <v>19</v>
      </c>
      <c r="C1988">
        <v>706</v>
      </c>
      <c r="D1988">
        <v>4</v>
      </c>
      <c r="E1988" t="s">
        <v>20</v>
      </c>
      <c r="F1988" t="s">
        <v>21</v>
      </c>
      <c r="G1988" t="str">
        <f>"2025-04-03 08:02:09.171"</f>
        <v>2025-04-03 08:02:09.171</v>
      </c>
      <c r="H1988" t="s">
        <v>22</v>
      </c>
      <c r="I1988">
        <v>0</v>
      </c>
      <c r="J1988" t="s">
        <v>23</v>
      </c>
    </row>
    <row r="1989" spans="1:10" x14ac:dyDescent="0.25">
      <c r="A1989" s="1">
        <v>35</v>
      </c>
      <c r="B1989" t="s">
        <v>26</v>
      </c>
      <c r="C1989">
        <v>635</v>
      </c>
      <c r="D1989">
        <v>1</v>
      </c>
      <c r="E1989" t="s">
        <v>31</v>
      </c>
      <c r="F1989" t="s">
        <v>32</v>
      </c>
      <c r="G1989" t="str">
        <f>"2025-04-02 16:04:14.353"</f>
        <v>2025-04-02 16:04:14.353</v>
      </c>
      <c r="H1989" t="s">
        <v>22</v>
      </c>
    </row>
    <row r="1990" spans="1:10" x14ac:dyDescent="0.25">
      <c r="A1990" s="1">
        <v>36</v>
      </c>
      <c r="B1990" t="s">
        <v>29</v>
      </c>
      <c r="C1990">
        <v>635</v>
      </c>
      <c r="D1990">
        <v>1</v>
      </c>
      <c r="E1990" t="s">
        <v>31</v>
      </c>
      <c r="F1990" t="s">
        <v>32</v>
      </c>
      <c r="G1990" t="str">
        <f>"2025-04-02 16:01:19.853"</f>
        <v>2025-04-02 16:01:19.853</v>
      </c>
      <c r="H1990" t="s">
        <v>22</v>
      </c>
      <c r="I1990">
        <v>5.83</v>
      </c>
      <c r="J1990" t="s">
        <v>52</v>
      </c>
    </row>
    <row r="1991" spans="1:10" x14ac:dyDescent="0.25">
      <c r="A1991" s="1">
        <v>37</v>
      </c>
      <c r="B1991" t="s">
        <v>19</v>
      </c>
      <c r="C1991">
        <v>706</v>
      </c>
      <c r="D1991">
        <v>2</v>
      </c>
      <c r="E1991" t="s">
        <v>20</v>
      </c>
      <c r="F1991" t="s">
        <v>25</v>
      </c>
      <c r="G1991" t="str">
        <f>"2025-04-02 07:37:14.711"</f>
        <v>2025-04-02 07:37:14.711</v>
      </c>
      <c r="H1991" t="s">
        <v>22</v>
      </c>
      <c r="I1991">
        <v>0</v>
      </c>
      <c r="J1991" t="s">
        <v>23</v>
      </c>
    </row>
    <row r="1992" spans="1:10" x14ac:dyDescent="0.25">
      <c r="A1992" s="1">
        <v>39</v>
      </c>
      <c r="B1992" t="s">
        <v>19</v>
      </c>
      <c r="C1992">
        <v>706</v>
      </c>
      <c r="D1992">
        <v>2</v>
      </c>
      <c r="E1992" t="s">
        <v>20</v>
      </c>
      <c r="F1992" t="s">
        <v>25</v>
      </c>
      <c r="G1992" t="str">
        <f>"2025-04-01 08:50:46.511"</f>
        <v>2025-04-01 08:50:46.511</v>
      </c>
      <c r="H1992" t="s">
        <v>22</v>
      </c>
      <c r="I1992">
        <v>0</v>
      </c>
      <c r="J1992" t="s">
        <v>23</v>
      </c>
    </row>
    <row r="1993" spans="1:10" x14ac:dyDescent="0.25">
      <c r="A1993" s="1">
        <v>40</v>
      </c>
      <c r="B1993" t="s">
        <v>19</v>
      </c>
      <c r="C1993">
        <v>706</v>
      </c>
      <c r="D1993">
        <v>4</v>
      </c>
      <c r="E1993" t="s">
        <v>20</v>
      </c>
      <c r="F1993" t="s">
        <v>21</v>
      </c>
      <c r="G1993" t="str">
        <f>"2025-04-01 07:37:25.901"</f>
        <v>2025-04-01 07:37:25.901</v>
      </c>
      <c r="H1993" t="s">
        <v>22</v>
      </c>
      <c r="I1993">
        <v>0</v>
      </c>
      <c r="J1993" t="s">
        <v>23</v>
      </c>
    </row>
    <row r="1994" spans="1:10" x14ac:dyDescent="0.25">
      <c r="A1994" s="1">
        <v>41</v>
      </c>
      <c r="B1994" t="s">
        <v>19</v>
      </c>
      <c r="C1994">
        <v>706</v>
      </c>
      <c r="D1994">
        <v>4</v>
      </c>
      <c r="E1994" t="s">
        <v>20</v>
      </c>
      <c r="F1994" t="s">
        <v>21</v>
      </c>
      <c r="G1994" t="str">
        <f>"2025-03-31 13:27:19.671"</f>
        <v>2025-03-31 13:27:19.671</v>
      </c>
      <c r="H1994" t="s">
        <v>22</v>
      </c>
      <c r="I1994">
        <v>0</v>
      </c>
      <c r="J1994" t="s">
        <v>23</v>
      </c>
    </row>
    <row r="1995" spans="1:10" x14ac:dyDescent="0.25">
      <c r="A1995" s="1">
        <v>42</v>
      </c>
      <c r="B1995" t="s">
        <v>26</v>
      </c>
      <c r="C1995">
        <v>635</v>
      </c>
      <c r="D1995">
        <v>1</v>
      </c>
      <c r="E1995" t="s">
        <v>31</v>
      </c>
      <c r="F1995" t="s">
        <v>32</v>
      </c>
      <c r="G1995" t="str">
        <f>"2025-03-30 14:04:50.053"</f>
        <v>2025-03-30 14:04:50.053</v>
      </c>
      <c r="H1995" t="s">
        <v>22</v>
      </c>
    </row>
    <row r="1996" spans="1:10" x14ac:dyDescent="0.25">
      <c r="A1996" s="1">
        <v>43</v>
      </c>
      <c r="B1996" t="s">
        <v>29</v>
      </c>
      <c r="C1996">
        <v>635</v>
      </c>
      <c r="D1996">
        <v>1</v>
      </c>
      <c r="E1996" t="s">
        <v>31</v>
      </c>
      <c r="F1996" t="s">
        <v>32</v>
      </c>
      <c r="G1996" t="str">
        <f>"2025-03-30 14:02:25.553"</f>
        <v>2025-03-30 14:02:25.553</v>
      </c>
      <c r="H1996" t="s">
        <v>22</v>
      </c>
      <c r="I1996">
        <v>3.87</v>
      </c>
      <c r="J1996" t="s">
        <v>33</v>
      </c>
    </row>
    <row r="1997" spans="1:10" x14ac:dyDescent="0.25">
      <c r="A1997" s="1">
        <v>44</v>
      </c>
      <c r="B1997" t="s">
        <v>19</v>
      </c>
      <c r="C1997">
        <v>700</v>
      </c>
      <c r="D1997">
        <v>0</v>
      </c>
      <c r="E1997" t="s">
        <v>24</v>
      </c>
      <c r="F1997" t="s">
        <v>24</v>
      </c>
      <c r="G1997" t="str">
        <f>"2025-03-30 07:32:59.611"</f>
        <v>2025-03-30 07:32:59.611</v>
      </c>
      <c r="H1997" t="s">
        <v>22</v>
      </c>
    </row>
    <row r="1998" spans="1:10" x14ac:dyDescent="0.25">
      <c r="A1998" s="1">
        <v>45</v>
      </c>
      <c r="B1998" t="s">
        <v>19</v>
      </c>
      <c r="C1998">
        <v>706</v>
      </c>
      <c r="D1998">
        <v>2</v>
      </c>
      <c r="E1998" t="s">
        <v>20</v>
      </c>
      <c r="F1998" t="s">
        <v>25</v>
      </c>
      <c r="G1998" t="str">
        <f>"2025-03-29 14:00:24.197"</f>
        <v>2025-03-29 14:00:24.197</v>
      </c>
      <c r="H1998" t="s">
        <v>22</v>
      </c>
      <c r="I1998">
        <v>0</v>
      </c>
      <c r="J1998" t="s">
        <v>23</v>
      </c>
    </row>
    <row r="1999" spans="1:10" x14ac:dyDescent="0.25">
      <c r="A1999" s="1">
        <v>46</v>
      </c>
      <c r="B1999" t="s">
        <v>26</v>
      </c>
      <c r="C1999">
        <v>635</v>
      </c>
      <c r="D1999">
        <v>1</v>
      </c>
      <c r="E1999" t="s">
        <v>31</v>
      </c>
      <c r="F1999" t="s">
        <v>32</v>
      </c>
      <c r="G1999" t="str">
        <f>"2025-03-28 21:54:13.519"</f>
        <v>2025-03-28 21:54:13.519</v>
      </c>
      <c r="H1999" t="s">
        <v>22</v>
      </c>
    </row>
    <row r="2000" spans="1:10" x14ac:dyDescent="0.25">
      <c r="A2000" s="1">
        <v>47</v>
      </c>
      <c r="B2000" t="s">
        <v>29</v>
      </c>
      <c r="C2000">
        <v>635</v>
      </c>
      <c r="D2000">
        <v>1</v>
      </c>
      <c r="E2000" t="s">
        <v>31</v>
      </c>
      <c r="F2000" t="s">
        <v>32</v>
      </c>
      <c r="G2000" t="str">
        <f>"2025-03-28 21:51:17.519"</f>
        <v>2025-03-28 21:51:17.519</v>
      </c>
      <c r="H2000" t="s">
        <v>22</v>
      </c>
      <c r="I2000">
        <v>2.02</v>
      </c>
      <c r="J2000" t="s">
        <v>33</v>
      </c>
    </row>
    <row r="2001" spans="1:10" x14ac:dyDescent="0.25">
      <c r="A2001" s="1">
        <v>48</v>
      </c>
      <c r="B2001" t="s">
        <v>19</v>
      </c>
      <c r="C2001">
        <v>706</v>
      </c>
      <c r="D2001">
        <v>2</v>
      </c>
      <c r="E2001" t="s">
        <v>20</v>
      </c>
      <c r="F2001" t="s">
        <v>25</v>
      </c>
      <c r="G2001" t="str">
        <f>"2025-03-28 07:38:46.197"</f>
        <v>2025-03-28 07:38:46.197</v>
      </c>
      <c r="H2001" t="s">
        <v>22</v>
      </c>
      <c r="I2001">
        <v>0</v>
      </c>
      <c r="J2001" t="s">
        <v>23</v>
      </c>
    </row>
    <row r="2002" spans="1:10" x14ac:dyDescent="0.25">
      <c r="A2002" s="1">
        <v>49</v>
      </c>
      <c r="B2002" t="s">
        <v>35</v>
      </c>
      <c r="C2002">
        <v>128</v>
      </c>
      <c r="D2002">
        <v>4</v>
      </c>
      <c r="E2002" t="s">
        <v>85</v>
      </c>
      <c r="F2002" t="s">
        <v>86</v>
      </c>
      <c r="G2002" t="str">
        <f>"2025-03-28 00:24:06.947"</f>
        <v>2025-03-28 00:24:06.947</v>
      </c>
      <c r="H2002" t="s">
        <v>48</v>
      </c>
    </row>
    <row r="2003" spans="1:10" x14ac:dyDescent="0.25">
      <c r="A2003" s="1">
        <v>50</v>
      </c>
      <c r="B2003" t="s">
        <v>39</v>
      </c>
      <c r="C2003">
        <v>128</v>
      </c>
      <c r="D2003">
        <v>4</v>
      </c>
      <c r="E2003" t="s">
        <v>85</v>
      </c>
      <c r="F2003" t="s">
        <v>86</v>
      </c>
      <c r="G2003" t="str">
        <f>"2025-03-28 00:24:01.855"</f>
        <v>2025-03-28 00:24:01.855</v>
      </c>
      <c r="H2003" t="s">
        <v>48</v>
      </c>
      <c r="I2003">
        <v>25.21</v>
      </c>
      <c r="J2003" t="s">
        <v>33</v>
      </c>
    </row>
    <row r="2004" spans="1:10" x14ac:dyDescent="0.25">
      <c r="A2004" s="1">
        <v>51</v>
      </c>
      <c r="B2004" t="s">
        <v>19</v>
      </c>
      <c r="C2004">
        <v>706</v>
      </c>
      <c r="D2004">
        <v>4</v>
      </c>
      <c r="E2004" t="s">
        <v>20</v>
      </c>
      <c r="F2004" t="s">
        <v>21</v>
      </c>
      <c r="G2004" t="str">
        <f>"2025-03-27 21:22:55.247"</f>
        <v>2025-03-27 21:22:55.247</v>
      </c>
      <c r="H2004" t="s">
        <v>22</v>
      </c>
      <c r="I2004">
        <v>0</v>
      </c>
      <c r="J2004" t="s">
        <v>23</v>
      </c>
    </row>
    <row r="2005" spans="1:10" x14ac:dyDescent="0.25">
      <c r="A2005" s="1">
        <v>52</v>
      </c>
      <c r="B2005" t="s">
        <v>19</v>
      </c>
      <c r="C2005">
        <v>700</v>
      </c>
      <c r="D2005">
        <v>0</v>
      </c>
      <c r="E2005" t="s">
        <v>24</v>
      </c>
      <c r="F2005" t="s">
        <v>24</v>
      </c>
      <c r="G2005" t="str">
        <f>"2025-03-27 19:58:48.667"</f>
        <v>2025-03-27 19:58:48.667</v>
      </c>
      <c r="H2005" t="s">
        <v>22</v>
      </c>
    </row>
    <row r="2006" spans="1:10" x14ac:dyDescent="0.25">
      <c r="A2006" s="1">
        <v>53</v>
      </c>
      <c r="B2006" t="s">
        <v>35</v>
      </c>
      <c r="C2006">
        <v>137</v>
      </c>
      <c r="D2006">
        <v>4</v>
      </c>
      <c r="E2006" t="s">
        <v>65</v>
      </c>
      <c r="F2006" t="s">
        <v>66</v>
      </c>
      <c r="G2006" t="str">
        <f>"2025-03-27 19:45:23.571"</f>
        <v>2025-03-27 19:45:23.571</v>
      </c>
      <c r="H2006" t="s">
        <v>48</v>
      </c>
    </row>
    <row r="2007" spans="1:10" x14ac:dyDescent="0.25">
      <c r="A2007" s="1">
        <v>54</v>
      </c>
      <c r="B2007" t="s">
        <v>39</v>
      </c>
      <c r="C2007">
        <v>137</v>
      </c>
      <c r="D2007">
        <v>4</v>
      </c>
      <c r="E2007" t="s">
        <v>65</v>
      </c>
      <c r="F2007" t="s">
        <v>66</v>
      </c>
      <c r="G2007" t="str">
        <f>"2025-03-27 19:45:18.497"</f>
        <v>2025-03-27 19:45:18.497</v>
      </c>
      <c r="H2007" t="s">
        <v>48</v>
      </c>
      <c r="I2007">
        <v>15.87</v>
      </c>
      <c r="J2007" t="s">
        <v>33</v>
      </c>
    </row>
    <row r="2008" spans="1:10" x14ac:dyDescent="0.25">
      <c r="A2008" s="1">
        <v>55</v>
      </c>
      <c r="B2008" t="s">
        <v>26</v>
      </c>
      <c r="C2008">
        <v>635</v>
      </c>
      <c r="D2008">
        <v>1</v>
      </c>
      <c r="E2008" t="s">
        <v>31</v>
      </c>
      <c r="F2008" t="s">
        <v>32</v>
      </c>
      <c r="G2008" t="str">
        <f>"2025-03-26 20:38:22.251"</f>
        <v>2025-03-26 20:38:22.251</v>
      </c>
      <c r="H2008" t="s">
        <v>22</v>
      </c>
    </row>
    <row r="2009" spans="1:10" x14ac:dyDescent="0.25">
      <c r="A2009" s="1">
        <v>56</v>
      </c>
      <c r="B2009" t="s">
        <v>29</v>
      </c>
      <c r="C2009">
        <v>635</v>
      </c>
      <c r="D2009">
        <v>1</v>
      </c>
      <c r="E2009" t="s">
        <v>31</v>
      </c>
      <c r="F2009" t="s">
        <v>32</v>
      </c>
      <c r="G2009" t="str">
        <f>"2025-03-26 20:33:39.251"</f>
        <v>2025-03-26 20:33:39.251</v>
      </c>
      <c r="H2009" t="s">
        <v>22</v>
      </c>
      <c r="I2009">
        <v>4.55</v>
      </c>
      <c r="J2009" t="s">
        <v>52</v>
      </c>
    </row>
    <row r="2010" spans="1:10" x14ac:dyDescent="0.25">
      <c r="A2010" s="1">
        <v>57</v>
      </c>
      <c r="B2010" t="s">
        <v>26</v>
      </c>
      <c r="C2010">
        <v>635</v>
      </c>
      <c r="D2010">
        <v>1</v>
      </c>
      <c r="E2010" t="s">
        <v>31</v>
      </c>
      <c r="F2010" t="s">
        <v>32</v>
      </c>
      <c r="G2010" t="str">
        <f>"2025-03-26 12:42:47.751"</f>
        <v>2025-03-26 12:42:47.751</v>
      </c>
      <c r="H2010" t="s">
        <v>22</v>
      </c>
    </row>
    <row r="2011" spans="1:10" x14ac:dyDescent="0.25">
      <c r="A2011" s="1">
        <v>58</v>
      </c>
      <c r="B2011" t="s">
        <v>29</v>
      </c>
      <c r="C2011">
        <v>635</v>
      </c>
      <c r="D2011">
        <v>1</v>
      </c>
      <c r="E2011" t="s">
        <v>31</v>
      </c>
      <c r="F2011" t="s">
        <v>32</v>
      </c>
      <c r="G2011" t="str">
        <f>"2025-03-26 12:39:20.251"</f>
        <v>2025-03-26 12:39:20.251</v>
      </c>
      <c r="H2011" t="s">
        <v>22</v>
      </c>
      <c r="I2011">
        <v>3.65</v>
      </c>
      <c r="J2011" t="s">
        <v>52</v>
      </c>
    </row>
    <row r="2012" spans="1:10" x14ac:dyDescent="0.25">
      <c r="A2012" s="1">
        <v>59</v>
      </c>
      <c r="B2012" t="s">
        <v>19</v>
      </c>
      <c r="C2012">
        <v>700</v>
      </c>
      <c r="D2012">
        <v>0</v>
      </c>
      <c r="E2012" t="s">
        <v>24</v>
      </c>
      <c r="F2012" t="s">
        <v>24</v>
      </c>
      <c r="G2012" t="str">
        <f>"2025-03-26 08:10:21.501"</f>
        <v>2025-03-26 08:10:21.501</v>
      </c>
      <c r="H2012" t="s">
        <v>22</v>
      </c>
    </row>
    <row r="2013" spans="1:10" x14ac:dyDescent="0.25">
      <c r="A2013" s="1">
        <v>60</v>
      </c>
      <c r="B2013" t="s">
        <v>19</v>
      </c>
      <c r="C2013">
        <v>706</v>
      </c>
      <c r="D2013">
        <v>2</v>
      </c>
      <c r="E2013" t="s">
        <v>20</v>
      </c>
      <c r="F2013" t="s">
        <v>25</v>
      </c>
      <c r="G2013" t="str">
        <f>"2025-03-26 06:15:35.459"</f>
        <v>2025-03-26 06:15:35.459</v>
      </c>
      <c r="H2013" t="s">
        <v>22</v>
      </c>
      <c r="I2013">
        <v>0</v>
      </c>
      <c r="J2013" t="s">
        <v>23</v>
      </c>
    </row>
    <row r="2014" spans="1:10" x14ac:dyDescent="0.25">
      <c r="A2014" s="1">
        <v>61</v>
      </c>
      <c r="B2014" t="s">
        <v>19</v>
      </c>
      <c r="C2014">
        <v>700</v>
      </c>
      <c r="D2014">
        <v>0</v>
      </c>
      <c r="E2014" t="s">
        <v>24</v>
      </c>
      <c r="F2014" t="s">
        <v>24</v>
      </c>
      <c r="G2014" t="str">
        <f>"2025-03-26 06:14:59.509"</f>
        <v>2025-03-26 06:14:59.509</v>
      </c>
      <c r="H2014" t="s">
        <v>22</v>
      </c>
    </row>
    <row r="2015" spans="1:10" x14ac:dyDescent="0.25">
      <c r="A2015" s="1">
        <v>62</v>
      </c>
      <c r="B2015" t="s">
        <v>19</v>
      </c>
      <c r="C2015">
        <v>719</v>
      </c>
      <c r="D2015">
        <v>5</v>
      </c>
      <c r="E2015" t="s">
        <v>74</v>
      </c>
      <c r="F2015" t="s">
        <v>75</v>
      </c>
      <c r="G2015" t="str">
        <f>"2025-03-26 05:34:00.151"</f>
        <v>2025-03-26 05:34:00.151</v>
      </c>
      <c r="H2015" t="s">
        <v>22</v>
      </c>
      <c r="I2015">
        <v>0</v>
      </c>
      <c r="J2015" t="s">
        <v>23</v>
      </c>
    </row>
    <row r="2016" spans="1:10" x14ac:dyDescent="0.25">
      <c r="A2016" s="1">
        <v>63</v>
      </c>
      <c r="B2016" t="s">
        <v>19</v>
      </c>
      <c r="C2016">
        <v>700</v>
      </c>
      <c r="D2016">
        <v>0</v>
      </c>
      <c r="E2016" t="s">
        <v>24</v>
      </c>
      <c r="F2016" t="s">
        <v>24</v>
      </c>
      <c r="G2016" t="str">
        <f>"2025-03-26 05:27:25.726"</f>
        <v>2025-03-26 05:27:25.726</v>
      </c>
      <c r="H2016" t="s">
        <v>22</v>
      </c>
      <c r="I2016">
        <v>0</v>
      </c>
      <c r="J2016" t="s">
        <v>34</v>
      </c>
    </row>
    <row r="2017" spans="1:10" x14ac:dyDescent="0.25">
      <c r="A2017" s="1">
        <v>64</v>
      </c>
      <c r="B2017" t="s">
        <v>19</v>
      </c>
      <c r="C2017">
        <v>706</v>
      </c>
      <c r="D2017">
        <v>2</v>
      </c>
      <c r="E2017" t="s">
        <v>20</v>
      </c>
      <c r="F2017" t="s">
        <v>25</v>
      </c>
      <c r="G2017" t="str">
        <f>"2025-03-26 04:41:19.970"</f>
        <v>2025-03-26 04:41:19.970</v>
      </c>
      <c r="H2017" t="s">
        <v>22</v>
      </c>
      <c r="I2017">
        <v>0</v>
      </c>
      <c r="J2017" t="s">
        <v>23</v>
      </c>
    </row>
    <row r="2018" spans="1:10" x14ac:dyDescent="0.25">
      <c r="A2018" s="1">
        <v>65</v>
      </c>
      <c r="B2018" t="s">
        <v>19</v>
      </c>
      <c r="C2018">
        <v>700</v>
      </c>
      <c r="D2018">
        <v>0</v>
      </c>
      <c r="E2018" t="s">
        <v>24</v>
      </c>
      <c r="F2018" t="s">
        <v>24</v>
      </c>
      <c r="G2018" t="str">
        <f>"2025-03-26 04:40:48.500"</f>
        <v>2025-03-26 04:40:48.500</v>
      </c>
      <c r="H2018" t="s">
        <v>22</v>
      </c>
      <c r="I2018">
        <v>0</v>
      </c>
      <c r="J2018" t="s">
        <v>34</v>
      </c>
    </row>
    <row r="2019" spans="1:10" x14ac:dyDescent="0.25">
      <c r="A2019" s="1">
        <v>66</v>
      </c>
      <c r="B2019" t="s">
        <v>19</v>
      </c>
      <c r="C2019">
        <v>700</v>
      </c>
      <c r="D2019">
        <v>0</v>
      </c>
      <c r="E2019" t="s">
        <v>24</v>
      </c>
      <c r="F2019" t="s">
        <v>24</v>
      </c>
      <c r="G2019" t="str">
        <f>"2025-03-26 04:04:18.492"</f>
        <v>2025-03-26 04:04:18.492</v>
      </c>
      <c r="H2019" t="s">
        <v>22</v>
      </c>
    </row>
    <row r="2020" spans="1:10" x14ac:dyDescent="0.25">
      <c r="A2020" s="1">
        <v>67</v>
      </c>
      <c r="B2020" t="s">
        <v>19</v>
      </c>
      <c r="C2020">
        <v>700</v>
      </c>
      <c r="D2020">
        <v>0</v>
      </c>
      <c r="E2020" t="s">
        <v>24</v>
      </c>
      <c r="F2020" t="s">
        <v>24</v>
      </c>
      <c r="G2020" t="str">
        <f>"2025-03-26 03:04:26.644"</f>
        <v>2025-03-26 03:04:26.644</v>
      </c>
      <c r="H2020" t="s">
        <v>22</v>
      </c>
    </row>
    <row r="2021" spans="1:10" x14ac:dyDescent="0.25">
      <c r="A2021" s="1">
        <v>68</v>
      </c>
      <c r="B2021" t="s">
        <v>26</v>
      </c>
      <c r="C2021">
        <v>635</v>
      </c>
      <c r="D2021">
        <v>1</v>
      </c>
      <c r="E2021" t="s">
        <v>31</v>
      </c>
      <c r="F2021" t="s">
        <v>32</v>
      </c>
      <c r="G2021" t="str">
        <f>"2025-03-25 22:56:27.284"</f>
        <v>2025-03-25 22:56:27.284</v>
      </c>
      <c r="H2021" t="s">
        <v>22</v>
      </c>
    </row>
    <row r="2022" spans="1:10" x14ac:dyDescent="0.25">
      <c r="A2022" s="1">
        <v>69</v>
      </c>
      <c r="B2022" t="s">
        <v>29</v>
      </c>
      <c r="C2022">
        <v>635</v>
      </c>
      <c r="D2022">
        <v>1</v>
      </c>
      <c r="E2022" t="s">
        <v>31</v>
      </c>
      <c r="F2022" t="s">
        <v>32</v>
      </c>
      <c r="G2022" t="str">
        <f>"2025-03-25 22:52:31.784"</f>
        <v>2025-03-25 22:52:31.784</v>
      </c>
      <c r="H2022" t="s">
        <v>22</v>
      </c>
      <c r="I2022">
        <v>2.23</v>
      </c>
      <c r="J2022" t="s">
        <v>33</v>
      </c>
    </row>
    <row r="2023" spans="1:10" x14ac:dyDescent="0.25">
      <c r="A2023" s="1">
        <v>70</v>
      </c>
      <c r="B2023" t="s">
        <v>35</v>
      </c>
      <c r="C2023">
        <v>137</v>
      </c>
      <c r="D2023">
        <v>7</v>
      </c>
      <c r="E2023" t="s">
        <v>65</v>
      </c>
      <c r="F2023" t="s">
        <v>87</v>
      </c>
      <c r="G2023" t="str">
        <f>"2025-03-25 21:53:50.759"</f>
        <v>2025-03-25 21:53:50.759</v>
      </c>
      <c r="H2023" t="s">
        <v>48</v>
      </c>
    </row>
    <row r="2024" spans="1:10" x14ac:dyDescent="0.25">
      <c r="A2024" s="1">
        <v>71</v>
      </c>
      <c r="B2024" t="s">
        <v>39</v>
      </c>
      <c r="C2024">
        <v>137</v>
      </c>
      <c r="D2024">
        <v>7</v>
      </c>
      <c r="E2024" t="s">
        <v>65</v>
      </c>
      <c r="F2024" t="s">
        <v>87</v>
      </c>
      <c r="G2024" t="str">
        <f>"2025-03-25 21:53:45.690"</f>
        <v>2025-03-25 21:53:45.690</v>
      </c>
      <c r="H2024" t="s">
        <v>48</v>
      </c>
      <c r="I2024">
        <v>0</v>
      </c>
      <c r="J2024" t="s">
        <v>52</v>
      </c>
    </row>
    <row r="2025" spans="1:10" x14ac:dyDescent="0.25">
      <c r="A2025" s="1">
        <v>72</v>
      </c>
      <c r="B2025" t="s">
        <v>35</v>
      </c>
      <c r="C2025">
        <v>137</v>
      </c>
      <c r="D2025">
        <v>7</v>
      </c>
      <c r="E2025" t="s">
        <v>65</v>
      </c>
      <c r="F2025" t="s">
        <v>87</v>
      </c>
      <c r="G2025" t="str">
        <f>"2025-03-25 12:27:05.759"</f>
        <v>2025-03-25 12:27:05.759</v>
      </c>
      <c r="H2025" t="s">
        <v>48</v>
      </c>
    </row>
    <row r="2026" spans="1:10" x14ac:dyDescent="0.25">
      <c r="A2026" s="1">
        <v>73</v>
      </c>
      <c r="B2026" t="s">
        <v>39</v>
      </c>
      <c r="C2026">
        <v>137</v>
      </c>
      <c r="D2026">
        <v>7</v>
      </c>
      <c r="E2026" t="s">
        <v>65</v>
      </c>
      <c r="F2026" t="s">
        <v>87</v>
      </c>
      <c r="G2026" t="str">
        <f>"2025-03-25 12:27:00.690"</f>
        <v>2025-03-25 12:27:00.690</v>
      </c>
      <c r="H2026" t="s">
        <v>48</v>
      </c>
      <c r="I2026">
        <v>7.37</v>
      </c>
      <c r="J2026" t="s">
        <v>33</v>
      </c>
    </row>
    <row r="2027" spans="1:10" x14ac:dyDescent="0.25">
      <c r="A2027" s="1">
        <v>74</v>
      </c>
      <c r="B2027" t="s">
        <v>19</v>
      </c>
      <c r="C2027">
        <v>706</v>
      </c>
      <c r="D2027">
        <v>4</v>
      </c>
      <c r="E2027" t="s">
        <v>20</v>
      </c>
      <c r="F2027" t="s">
        <v>21</v>
      </c>
      <c r="G2027" t="str">
        <f>"2025-03-25 07:30:33.770"</f>
        <v>2025-03-25 07:30:33.770</v>
      </c>
      <c r="H2027" t="s">
        <v>22</v>
      </c>
      <c r="I2027">
        <v>0</v>
      </c>
      <c r="J2027" t="s">
        <v>23</v>
      </c>
    </row>
    <row r="2028" spans="1:10" x14ac:dyDescent="0.25">
      <c r="A2028" s="1">
        <v>75</v>
      </c>
      <c r="B2028" t="s">
        <v>35</v>
      </c>
      <c r="C2028">
        <v>128</v>
      </c>
      <c r="D2028">
        <v>4</v>
      </c>
      <c r="E2028" t="s">
        <v>85</v>
      </c>
      <c r="F2028" t="s">
        <v>86</v>
      </c>
      <c r="G2028" t="str">
        <f>"2025-03-25 06:09:22.359"</f>
        <v>2025-03-25 06:09:22.359</v>
      </c>
      <c r="H2028" t="s">
        <v>48</v>
      </c>
    </row>
    <row r="2029" spans="1:10" x14ac:dyDescent="0.25">
      <c r="A2029" s="1">
        <v>76</v>
      </c>
      <c r="B2029" t="s">
        <v>39</v>
      </c>
      <c r="C2029">
        <v>128</v>
      </c>
      <c r="D2029">
        <v>4</v>
      </c>
      <c r="E2029" t="s">
        <v>85</v>
      </c>
      <c r="F2029" t="s">
        <v>86</v>
      </c>
      <c r="G2029" t="str">
        <f>"2025-03-25 06:09:17.290"</f>
        <v>2025-03-25 06:09:17.290</v>
      </c>
      <c r="H2029" t="s">
        <v>48</v>
      </c>
      <c r="I2029">
        <v>0</v>
      </c>
      <c r="J2029" t="s">
        <v>52</v>
      </c>
    </row>
    <row r="2030" spans="1:10" x14ac:dyDescent="0.25">
      <c r="A2030" s="1">
        <v>77</v>
      </c>
      <c r="B2030" t="s">
        <v>35</v>
      </c>
      <c r="C2030">
        <v>137</v>
      </c>
      <c r="D2030">
        <v>4</v>
      </c>
      <c r="E2030" t="s">
        <v>65</v>
      </c>
      <c r="F2030" t="s">
        <v>66</v>
      </c>
      <c r="G2030" t="str">
        <f>"2025-03-24 21:10:19.359"</f>
        <v>2025-03-24 21:10:19.359</v>
      </c>
      <c r="H2030" t="s">
        <v>48</v>
      </c>
    </row>
    <row r="2031" spans="1:10" x14ac:dyDescent="0.25">
      <c r="A2031" s="1">
        <v>78</v>
      </c>
      <c r="B2031" t="s">
        <v>39</v>
      </c>
      <c r="C2031">
        <v>137</v>
      </c>
      <c r="D2031">
        <v>4</v>
      </c>
      <c r="E2031" t="s">
        <v>65</v>
      </c>
      <c r="F2031" t="s">
        <v>66</v>
      </c>
      <c r="G2031" t="str">
        <f>"2025-03-24 21:10:14.310"</f>
        <v>2025-03-24 21:10:14.310</v>
      </c>
      <c r="H2031" t="s">
        <v>48</v>
      </c>
      <c r="I2031">
        <v>14.78</v>
      </c>
      <c r="J2031" t="s">
        <v>52</v>
      </c>
    </row>
    <row r="2032" spans="1:10" x14ac:dyDescent="0.25">
      <c r="A2032" s="1">
        <v>79</v>
      </c>
      <c r="B2032" t="s">
        <v>19</v>
      </c>
      <c r="C2032">
        <v>706</v>
      </c>
      <c r="D2032">
        <v>2</v>
      </c>
      <c r="E2032" t="s">
        <v>20</v>
      </c>
      <c r="F2032" t="s">
        <v>25</v>
      </c>
      <c r="G2032" t="str">
        <f>"2025-03-24 08:19:12.790"</f>
        <v>2025-03-24 08:19:12.790</v>
      </c>
      <c r="H2032" t="s">
        <v>22</v>
      </c>
      <c r="I2032">
        <v>0</v>
      </c>
      <c r="J2032" t="s">
        <v>23</v>
      </c>
    </row>
    <row r="2033" spans="1:10" x14ac:dyDescent="0.25">
      <c r="A2033" s="1">
        <v>80</v>
      </c>
      <c r="B2033" t="s">
        <v>19</v>
      </c>
      <c r="C2033">
        <v>700</v>
      </c>
      <c r="D2033">
        <v>0</v>
      </c>
      <c r="E2033" t="s">
        <v>24</v>
      </c>
      <c r="F2033" t="s">
        <v>24</v>
      </c>
      <c r="G2033" t="str">
        <f>"2025-03-24 07:58:53.590"</f>
        <v>2025-03-24 07:58:53.590</v>
      </c>
      <c r="H2033" t="s">
        <v>22</v>
      </c>
      <c r="I2033">
        <v>0</v>
      </c>
      <c r="J2033" t="s">
        <v>34</v>
      </c>
    </row>
    <row r="2034" spans="1:10" x14ac:dyDescent="0.25">
      <c r="A2034" s="1">
        <v>81</v>
      </c>
      <c r="B2034" t="s">
        <v>19</v>
      </c>
      <c r="C2034">
        <v>700</v>
      </c>
      <c r="D2034">
        <v>0</v>
      </c>
      <c r="E2034" t="s">
        <v>24</v>
      </c>
      <c r="F2034" t="s">
        <v>24</v>
      </c>
      <c r="G2034" t="str">
        <f>"2025-03-24 05:38:24.493"</f>
        <v>2025-03-24 05:38:24.493</v>
      </c>
      <c r="H2034" t="s">
        <v>22</v>
      </c>
      <c r="I2034">
        <v>0</v>
      </c>
      <c r="J2034" t="s">
        <v>34</v>
      </c>
    </row>
    <row r="2035" spans="1:10" x14ac:dyDescent="0.25">
      <c r="A2035" s="1">
        <v>82</v>
      </c>
      <c r="B2035" t="s">
        <v>39</v>
      </c>
      <c r="C2035">
        <v>117</v>
      </c>
      <c r="D2035">
        <v>2</v>
      </c>
      <c r="E2035" t="s">
        <v>88</v>
      </c>
      <c r="F2035" t="s">
        <v>89</v>
      </c>
      <c r="G2035" t="str">
        <f>"2025-03-24 05:37:10.152"</f>
        <v>2025-03-24 05:37:10.152</v>
      </c>
      <c r="H2035" t="s">
        <v>48</v>
      </c>
      <c r="I2035">
        <v>0</v>
      </c>
      <c r="J2035" t="s">
        <v>23</v>
      </c>
    </row>
    <row r="2036" spans="1:10" x14ac:dyDescent="0.25">
      <c r="A2036" s="1">
        <v>83</v>
      </c>
      <c r="B2036" t="s">
        <v>39</v>
      </c>
      <c r="C2036">
        <v>77</v>
      </c>
      <c r="D2036">
        <v>1</v>
      </c>
      <c r="E2036" t="s">
        <v>50</v>
      </c>
      <c r="F2036" t="s">
        <v>51</v>
      </c>
      <c r="G2036" t="str">
        <f>"2025-03-24 05:37:09.927"</f>
        <v>2025-03-24 05:37:09.927</v>
      </c>
      <c r="H2036" t="s">
        <v>42</v>
      </c>
      <c r="I2036">
        <v>0</v>
      </c>
      <c r="J2036" t="s">
        <v>23</v>
      </c>
    </row>
    <row r="2037" spans="1:10" x14ac:dyDescent="0.25">
      <c r="A2037" s="1">
        <v>84</v>
      </c>
      <c r="B2037" t="s">
        <v>39</v>
      </c>
      <c r="C2037">
        <v>118</v>
      </c>
      <c r="D2037">
        <v>6</v>
      </c>
      <c r="E2037" t="s">
        <v>90</v>
      </c>
      <c r="F2037" t="s">
        <v>91</v>
      </c>
      <c r="G2037" t="str">
        <f>"2025-03-24 05:37:08.232"</f>
        <v>2025-03-24 05:37:08.232</v>
      </c>
      <c r="H2037" t="s">
        <v>22</v>
      </c>
      <c r="I2037">
        <v>0</v>
      </c>
      <c r="J2037" t="s">
        <v>23</v>
      </c>
    </row>
    <row r="2038" spans="1:10" x14ac:dyDescent="0.25">
      <c r="A2038" s="1">
        <v>85</v>
      </c>
      <c r="B2038" t="s">
        <v>35</v>
      </c>
      <c r="C2038">
        <v>118</v>
      </c>
      <c r="D2038">
        <v>6</v>
      </c>
      <c r="E2038" t="s">
        <v>90</v>
      </c>
      <c r="F2038" t="s">
        <v>91</v>
      </c>
      <c r="G2038" t="str">
        <f>"2025-03-24 05:37:07.109"</f>
        <v>2025-03-24 05:37:07.109</v>
      </c>
      <c r="H2038" t="s">
        <v>22</v>
      </c>
    </row>
    <row r="2039" spans="1:10" x14ac:dyDescent="0.25">
      <c r="A2039" s="1">
        <v>86</v>
      </c>
      <c r="B2039" t="s">
        <v>35</v>
      </c>
      <c r="C2039">
        <v>117</v>
      </c>
      <c r="D2039">
        <v>2</v>
      </c>
      <c r="E2039" t="s">
        <v>88</v>
      </c>
      <c r="F2039" t="s">
        <v>89</v>
      </c>
      <c r="G2039" t="str">
        <f>"2025-03-24 05:37:06.008"</f>
        <v>2025-03-24 05:37:06.008</v>
      </c>
      <c r="H2039" t="s">
        <v>48</v>
      </c>
    </row>
    <row r="2040" spans="1:10" x14ac:dyDescent="0.25">
      <c r="A2040" s="1">
        <v>87</v>
      </c>
      <c r="B2040" t="s">
        <v>35</v>
      </c>
      <c r="C2040">
        <v>77</v>
      </c>
      <c r="D2040">
        <v>1</v>
      </c>
      <c r="E2040" t="s">
        <v>50</v>
      </c>
      <c r="F2040" t="s">
        <v>51</v>
      </c>
      <c r="G2040" t="str">
        <f>"2025-03-24 05:37:05.609"</f>
        <v>2025-03-24 05:37:05.609</v>
      </c>
      <c r="H2040" t="s">
        <v>42</v>
      </c>
    </row>
    <row r="2041" spans="1:10" x14ac:dyDescent="0.25">
      <c r="A2041" s="1">
        <v>88</v>
      </c>
      <c r="B2041" t="s">
        <v>39</v>
      </c>
      <c r="C2041">
        <v>118</v>
      </c>
      <c r="D2041">
        <v>6</v>
      </c>
      <c r="E2041" t="s">
        <v>90</v>
      </c>
      <c r="F2041" t="s">
        <v>91</v>
      </c>
      <c r="G2041" t="str">
        <f>"2025-03-24 05:37:02.072"</f>
        <v>2025-03-24 05:37:02.072</v>
      </c>
      <c r="H2041" t="s">
        <v>22</v>
      </c>
      <c r="I2041">
        <v>0</v>
      </c>
      <c r="J2041" t="s">
        <v>23</v>
      </c>
    </row>
    <row r="2042" spans="1:10" x14ac:dyDescent="0.25">
      <c r="A2042" s="1">
        <v>89</v>
      </c>
      <c r="B2042" t="s">
        <v>39</v>
      </c>
      <c r="C2042">
        <v>117</v>
      </c>
      <c r="D2042">
        <v>2</v>
      </c>
      <c r="E2042" t="s">
        <v>88</v>
      </c>
      <c r="F2042" t="s">
        <v>89</v>
      </c>
      <c r="G2042" t="str">
        <f>"2025-03-24 05:37:00.972"</f>
        <v>2025-03-24 05:37:00.972</v>
      </c>
      <c r="H2042" t="s">
        <v>48</v>
      </c>
      <c r="I2042">
        <v>0</v>
      </c>
      <c r="J2042" t="s">
        <v>23</v>
      </c>
    </row>
    <row r="2043" spans="1:10" x14ac:dyDescent="0.25">
      <c r="A2043" s="1">
        <v>90</v>
      </c>
      <c r="B2043" t="s">
        <v>39</v>
      </c>
      <c r="C2043">
        <v>77</v>
      </c>
      <c r="D2043">
        <v>1</v>
      </c>
      <c r="E2043" t="s">
        <v>50</v>
      </c>
      <c r="F2043" t="s">
        <v>51</v>
      </c>
      <c r="G2043" t="str">
        <f>"2025-03-24 05:37:00.527"</f>
        <v>2025-03-24 05:37:00.527</v>
      </c>
      <c r="H2043" t="s">
        <v>42</v>
      </c>
      <c r="I2043">
        <v>0</v>
      </c>
      <c r="J2043" t="s">
        <v>23</v>
      </c>
    </row>
    <row r="2044" spans="1:10" x14ac:dyDescent="0.25">
      <c r="A2044" s="1">
        <v>91</v>
      </c>
      <c r="B2044" t="s">
        <v>19</v>
      </c>
      <c r="C2044">
        <v>706</v>
      </c>
      <c r="D2044">
        <v>4</v>
      </c>
      <c r="E2044" t="s">
        <v>20</v>
      </c>
      <c r="F2044" t="s">
        <v>21</v>
      </c>
      <c r="G2044" t="str">
        <f>"2025-03-24 05:36:53.539"</f>
        <v>2025-03-24 05:36:53.539</v>
      </c>
      <c r="H2044" t="s">
        <v>22</v>
      </c>
      <c r="I2044">
        <v>0</v>
      </c>
      <c r="J2044" t="s">
        <v>23</v>
      </c>
    </row>
    <row r="2045" spans="1:10" x14ac:dyDescent="0.25">
      <c r="A2045" s="1">
        <v>92</v>
      </c>
      <c r="B2045" t="s">
        <v>19</v>
      </c>
      <c r="C2045">
        <v>700</v>
      </c>
      <c r="D2045">
        <v>0</v>
      </c>
      <c r="E2045" t="s">
        <v>24</v>
      </c>
      <c r="F2045" t="s">
        <v>24</v>
      </c>
      <c r="G2045" t="str">
        <f>"2025-03-24 05:36:16.489"</f>
        <v>2025-03-24 05:36:16.489</v>
      </c>
      <c r="H2045" t="s">
        <v>22</v>
      </c>
      <c r="I2045">
        <v>0</v>
      </c>
      <c r="J2045" t="s">
        <v>34</v>
      </c>
    </row>
    <row r="2046" spans="1:10" x14ac:dyDescent="0.25">
      <c r="A2046" s="1">
        <v>93</v>
      </c>
      <c r="B2046" t="s">
        <v>19</v>
      </c>
      <c r="C2046">
        <v>700</v>
      </c>
      <c r="D2046">
        <v>0</v>
      </c>
      <c r="E2046" t="s">
        <v>24</v>
      </c>
      <c r="F2046" t="s">
        <v>24</v>
      </c>
      <c r="G2046" t="str">
        <f>"2025-03-23 22:07:43.722"</f>
        <v>2025-03-23 22:07:43.722</v>
      </c>
      <c r="H2046" t="s">
        <v>22</v>
      </c>
    </row>
    <row r="2047" spans="1:10" x14ac:dyDescent="0.25">
      <c r="A2047" s="1">
        <v>94</v>
      </c>
      <c r="B2047" t="s">
        <v>19</v>
      </c>
      <c r="C2047">
        <v>700</v>
      </c>
      <c r="D2047">
        <v>0</v>
      </c>
      <c r="E2047" t="s">
        <v>24</v>
      </c>
      <c r="F2047" t="s">
        <v>24</v>
      </c>
      <c r="G2047" t="str">
        <f>"2025-03-23 22:00:28.506"</f>
        <v>2025-03-23 22:00:28.506</v>
      </c>
      <c r="H2047" t="s">
        <v>22</v>
      </c>
      <c r="I2047">
        <v>0</v>
      </c>
      <c r="J2047" t="s">
        <v>34</v>
      </c>
    </row>
    <row r="2048" spans="1:10" x14ac:dyDescent="0.25">
      <c r="A2048" s="1">
        <v>95</v>
      </c>
      <c r="B2048" t="s">
        <v>35</v>
      </c>
      <c r="C2048">
        <v>137</v>
      </c>
      <c r="D2048">
        <v>4</v>
      </c>
      <c r="E2048" t="s">
        <v>65</v>
      </c>
      <c r="F2048" t="s">
        <v>66</v>
      </c>
      <c r="G2048" t="str">
        <f>"2025-03-23 18:27:40.938"</f>
        <v>2025-03-23 18:27:40.938</v>
      </c>
      <c r="H2048" t="s">
        <v>48</v>
      </c>
    </row>
    <row r="2049" spans="1:10" x14ac:dyDescent="0.25">
      <c r="A2049" s="1">
        <v>96</v>
      </c>
      <c r="B2049" t="s">
        <v>39</v>
      </c>
      <c r="C2049">
        <v>137</v>
      </c>
      <c r="D2049">
        <v>4</v>
      </c>
      <c r="E2049" t="s">
        <v>65</v>
      </c>
      <c r="F2049" t="s">
        <v>66</v>
      </c>
      <c r="G2049" t="str">
        <f>"2025-03-23 18:27:35.901"</f>
        <v>2025-03-23 18:27:35.901</v>
      </c>
      <c r="H2049" t="s">
        <v>48</v>
      </c>
      <c r="I2049">
        <v>25.18</v>
      </c>
      <c r="J2049" t="s">
        <v>33</v>
      </c>
    </row>
    <row r="2050" spans="1:10" x14ac:dyDescent="0.25">
      <c r="A2050" s="1">
        <v>97</v>
      </c>
      <c r="B2050" t="s">
        <v>35</v>
      </c>
      <c r="C2050">
        <v>128</v>
      </c>
      <c r="D2050">
        <v>4</v>
      </c>
      <c r="E2050" t="s">
        <v>85</v>
      </c>
      <c r="F2050" t="s">
        <v>86</v>
      </c>
      <c r="G2050" t="str">
        <f>"2025-03-23 17:44:11.737"</f>
        <v>2025-03-23 17:44:11.737</v>
      </c>
      <c r="H2050" t="s">
        <v>48</v>
      </c>
    </row>
    <row r="2051" spans="1:10" x14ac:dyDescent="0.25">
      <c r="A2051" s="1">
        <v>98</v>
      </c>
      <c r="B2051" t="s">
        <v>39</v>
      </c>
      <c r="C2051">
        <v>128</v>
      </c>
      <c r="D2051">
        <v>4</v>
      </c>
      <c r="E2051" t="s">
        <v>85</v>
      </c>
      <c r="F2051" t="s">
        <v>86</v>
      </c>
      <c r="G2051" t="str">
        <f>"2025-03-23 17:44:06.641"</f>
        <v>2025-03-23 17:44:06.641</v>
      </c>
      <c r="H2051" t="s">
        <v>48</v>
      </c>
      <c r="I2051">
        <v>26.73</v>
      </c>
      <c r="J2051" t="s">
        <v>30</v>
      </c>
    </row>
    <row r="2052" spans="1:10" x14ac:dyDescent="0.25">
      <c r="A2052" s="1">
        <v>99</v>
      </c>
      <c r="B2052" t="s">
        <v>19</v>
      </c>
      <c r="C2052">
        <v>706</v>
      </c>
      <c r="D2052">
        <v>4</v>
      </c>
      <c r="E2052" t="s">
        <v>20</v>
      </c>
      <c r="F2052" t="s">
        <v>21</v>
      </c>
      <c r="G2052" t="str">
        <f>"2025-03-23 17:11:48.798"</f>
        <v>2025-03-23 17:11:48.798</v>
      </c>
      <c r="H2052" t="s">
        <v>22</v>
      </c>
      <c r="I2052">
        <v>0</v>
      </c>
      <c r="J2052" t="s">
        <v>23</v>
      </c>
    </row>
    <row r="2053" spans="1:10" x14ac:dyDescent="0.25">
      <c r="A2053" s="1">
        <v>100</v>
      </c>
      <c r="B2053" t="s">
        <v>19</v>
      </c>
      <c r="C2053">
        <v>700</v>
      </c>
      <c r="D2053">
        <v>0</v>
      </c>
      <c r="E2053" t="s">
        <v>24</v>
      </c>
      <c r="F2053" t="s">
        <v>24</v>
      </c>
      <c r="G2053" t="str">
        <f>"2025-03-23 17:05:39.518"</f>
        <v>2025-03-23 17:05:39.518</v>
      </c>
      <c r="H2053" t="s">
        <v>22</v>
      </c>
    </row>
    <row r="2054" spans="1:10" x14ac:dyDescent="0.25">
      <c r="A2054" s="1">
        <v>101</v>
      </c>
      <c r="B2054" t="s">
        <v>35</v>
      </c>
      <c r="C2054">
        <v>135</v>
      </c>
      <c r="D2054">
        <v>7</v>
      </c>
      <c r="E2054" t="s">
        <v>92</v>
      </c>
      <c r="F2054" t="s">
        <v>93</v>
      </c>
      <c r="G2054" t="str">
        <f>"2025-03-23 15:51:17.184"</f>
        <v>2025-03-23 15:51:17.184</v>
      </c>
      <c r="H2054" t="s">
        <v>48</v>
      </c>
    </row>
    <row r="2055" spans="1:10" x14ac:dyDescent="0.25">
      <c r="A2055" s="1">
        <v>102</v>
      </c>
      <c r="B2055" t="s">
        <v>39</v>
      </c>
      <c r="C2055">
        <v>135</v>
      </c>
      <c r="D2055">
        <v>7</v>
      </c>
      <c r="E2055" t="s">
        <v>92</v>
      </c>
      <c r="F2055" t="s">
        <v>93</v>
      </c>
      <c r="G2055" t="str">
        <f>"2025-03-23 15:51:12.163"</f>
        <v>2025-03-23 15:51:12.163</v>
      </c>
      <c r="H2055" t="s">
        <v>48</v>
      </c>
      <c r="I2055">
        <v>7.45</v>
      </c>
      <c r="J2055" t="s">
        <v>33</v>
      </c>
    </row>
    <row r="2056" spans="1:10" x14ac:dyDescent="0.25">
      <c r="A2056" s="1">
        <v>103</v>
      </c>
      <c r="B2056" t="s">
        <v>53</v>
      </c>
      <c r="C2056">
        <v>137</v>
      </c>
      <c r="D2056">
        <v>4</v>
      </c>
      <c r="E2056" t="s">
        <v>65</v>
      </c>
      <c r="F2056" t="s">
        <v>66</v>
      </c>
      <c r="G2056" t="str">
        <f>"2025-03-23 15:24:20.488"</f>
        <v>2025-03-23 15:24:20.488</v>
      </c>
      <c r="H2056" t="s">
        <v>48</v>
      </c>
    </row>
    <row r="2057" spans="1:10" x14ac:dyDescent="0.25">
      <c r="A2057" s="1">
        <v>104</v>
      </c>
      <c r="B2057" t="s">
        <v>39</v>
      </c>
      <c r="C2057">
        <v>137</v>
      </c>
      <c r="D2057">
        <v>4</v>
      </c>
      <c r="E2057" t="s">
        <v>65</v>
      </c>
      <c r="F2057" t="s">
        <v>66</v>
      </c>
      <c r="G2057" t="str">
        <f>"2025-03-23 15:24:15.703"</f>
        <v>2025-03-23 15:24:15.703</v>
      </c>
      <c r="H2057" t="s">
        <v>48</v>
      </c>
      <c r="I2057">
        <v>7.09</v>
      </c>
      <c r="J2057" t="s">
        <v>33</v>
      </c>
    </row>
    <row r="2058" spans="1:10" x14ac:dyDescent="0.25">
      <c r="A2058" s="1">
        <v>105</v>
      </c>
      <c r="B2058" t="s">
        <v>19</v>
      </c>
      <c r="C2058">
        <v>706</v>
      </c>
      <c r="D2058">
        <v>4</v>
      </c>
      <c r="E2058" t="s">
        <v>20</v>
      </c>
      <c r="F2058" t="s">
        <v>21</v>
      </c>
      <c r="G2058" t="str">
        <f>"2025-03-23 07:29:53.816"</f>
        <v>2025-03-23 07:29:53.816</v>
      </c>
      <c r="H2058" t="s">
        <v>22</v>
      </c>
      <c r="I2058">
        <v>0</v>
      </c>
      <c r="J2058" t="s">
        <v>23</v>
      </c>
    </row>
    <row r="2059" spans="1:10" x14ac:dyDescent="0.25">
      <c r="A2059" s="1">
        <v>106</v>
      </c>
      <c r="B2059" t="s">
        <v>19</v>
      </c>
      <c r="C2059">
        <v>700</v>
      </c>
      <c r="D2059">
        <v>0</v>
      </c>
      <c r="E2059" t="s">
        <v>24</v>
      </c>
      <c r="F2059" t="s">
        <v>24</v>
      </c>
      <c r="G2059" t="str">
        <f>"2025-03-22 18:00:20.496"</f>
        <v>2025-03-22 18:00:20.496</v>
      </c>
      <c r="H2059" t="s">
        <v>22</v>
      </c>
      <c r="I2059">
        <v>0</v>
      </c>
      <c r="J2059" t="s">
        <v>34</v>
      </c>
    </row>
    <row r="2060" spans="1:10" x14ac:dyDescent="0.25">
      <c r="A2060" s="1">
        <v>107</v>
      </c>
      <c r="B2060" t="s">
        <v>35</v>
      </c>
      <c r="C2060">
        <v>137</v>
      </c>
      <c r="D2060">
        <v>4</v>
      </c>
      <c r="E2060" t="s">
        <v>65</v>
      </c>
      <c r="F2060" t="s">
        <v>66</v>
      </c>
      <c r="G2060" t="str">
        <f>"2025-03-22 15:56:40.190"</f>
        <v>2025-03-22 15:56:40.190</v>
      </c>
      <c r="H2060" t="s">
        <v>48</v>
      </c>
    </row>
    <row r="2061" spans="1:10" x14ac:dyDescent="0.25">
      <c r="A2061" s="1">
        <v>108</v>
      </c>
      <c r="B2061" t="s">
        <v>39</v>
      </c>
      <c r="C2061">
        <v>137</v>
      </c>
      <c r="D2061">
        <v>4</v>
      </c>
      <c r="E2061" t="s">
        <v>65</v>
      </c>
      <c r="F2061" t="s">
        <v>66</v>
      </c>
      <c r="G2061" t="str">
        <f>"2025-03-22 15:56:35.113"</f>
        <v>2025-03-22 15:56:35.113</v>
      </c>
      <c r="H2061" t="s">
        <v>48</v>
      </c>
      <c r="I2061">
        <v>24.02</v>
      </c>
      <c r="J2061" t="s">
        <v>33</v>
      </c>
    </row>
    <row r="2062" spans="1:10" x14ac:dyDescent="0.25">
      <c r="A2062" s="1">
        <v>109</v>
      </c>
      <c r="B2062" t="s">
        <v>19</v>
      </c>
      <c r="C2062">
        <v>706</v>
      </c>
      <c r="D2062">
        <v>4</v>
      </c>
      <c r="E2062" t="s">
        <v>20</v>
      </c>
      <c r="F2062" t="s">
        <v>21</v>
      </c>
      <c r="G2062" t="str">
        <f>"2025-03-22 07:36:24.729"</f>
        <v>2025-03-22 07:36:24.729</v>
      </c>
      <c r="H2062" t="s">
        <v>22</v>
      </c>
      <c r="I2062">
        <v>0</v>
      </c>
      <c r="J2062" t="s">
        <v>23</v>
      </c>
    </row>
    <row r="2063" spans="1:10" x14ac:dyDescent="0.25">
      <c r="A2063" s="1">
        <v>110</v>
      </c>
      <c r="B2063" t="s">
        <v>35</v>
      </c>
      <c r="C2063">
        <v>135</v>
      </c>
      <c r="D2063">
        <v>7</v>
      </c>
      <c r="E2063" t="s">
        <v>92</v>
      </c>
      <c r="F2063" t="s">
        <v>93</v>
      </c>
      <c r="G2063" t="str">
        <f>"2025-03-22 06:57:48.390"</f>
        <v>2025-03-22 06:57:48.390</v>
      </c>
      <c r="H2063" t="s">
        <v>48</v>
      </c>
    </row>
    <row r="2064" spans="1:10" x14ac:dyDescent="0.25">
      <c r="A2064" s="1">
        <v>111</v>
      </c>
      <c r="B2064" t="s">
        <v>39</v>
      </c>
      <c r="C2064">
        <v>135</v>
      </c>
      <c r="D2064">
        <v>7</v>
      </c>
      <c r="E2064" t="s">
        <v>92</v>
      </c>
      <c r="F2064" t="s">
        <v>93</v>
      </c>
      <c r="G2064" t="str">
        <f>"2025-03-22 06:57:43.373"</f>
        <v>2025-03-22 06:57:43.373</v>
      </c>
      <c r="H2064" t="s">
        <v>48</v>
      </c>
      <c r="I2064">
        <v>10.4</v>
      </c>
      <c r="J2064" t="s">
        <v>33</v>
      </c>
    </row>
    <row r="2065" spans="1:10" x14ac:dyDescent="0.25">
      <c r="A2065" s="1">
        <v>112</v>
      </c>
      <c r="B2065" t="s">
        <v>35</v>
      </c>
      <c r="C2065">
        <v>228</v>
      </c>
      <c r="D2065">
        <v>4</v>
      </c>
      <c r="E2065" t="s">
        <v>94</v>
      </c>
      <c r="F2065" t="s">
        <v>86</v>
      </c>
      <c r="G2065" t="str">
        <f>"2025-03-22 06:20:16.690"</f>
        <v>2025-03-22 06:20:16.690</v>
      </c>
      <c r="H2065" t="s">
        <v>45</v>
      </c>
    </row>
    <row r="2066" spans="1:10" x14ac:dyDescent="0.25">
      <c r="A2066" s="1">
        <v>113</v>
      </c>
      <c r="B2066" t="s">
        <v>39</v>
      </c>
      <c r="C2066">
        <v>228</v>
      </c>
      <c r="D2066">
        <v>4</v>
      </c>
      <c r="E2066" t="s">
        <v>94</v>
      </c>
      <c r="F2066" t="s">
        <v>86</v>
      </c>
      <c r="G2066" t="str">
        <f>"2025-03-22 06:20:11.613"</f>
        <v>2025-03-22 06:20:11.613</v>
      </c>
      <c r="H2066" t="s">
        <v>45</v>
      </c>
      <c r="I2066">
        <v>18.53</v>
      </c>
      <c r="J2066" t="s">
        <v>30</v>
      </c>
    </row>
    <row r="2067" spans="1:10" x14ac:dyDescent="0.25">
      <c r="A2067" s="1">
        <v>114</v>
      </c>
      <c r="B2067" t="s">
        <v>35</v>
      </c>
      <c r="C2067">
        <v>137</v>
      </c>
      <c r="D2067">
        <v>4</v>
      </c>
      <c r="E2067" t="s">
        <v>65</v>
      </c>
      <c r="F2067" t="s">
        <v>66</v>
      </c>
      <c r="G2067" t="str">
        <f>"2025-03-22 04:26:24.290"</f>
        <v>2025-03-22 04:26:24.290</v>
      </c>
      <c r="H2067" t="s">
        <v>48</v>
      </c>
    </row>
    <row r="2068" spans="1:10" x14ac:dyDescent="0.25">
      <c r="A2068" s="1">
        <v>115</v>
      </c>
      <c r="B2068" t="s">
        <v>39</v>
      </c>
      <c r="C2068">
        <v>137</v>
      </c>
      <c r="D2068">
        <v>4</v>
      </c>
      <c r="E2068" t="s">
        <v>65</v>
      </c>
      <c r="F2068" t="s">
        <v>66</v>
      </c>
      <c r="G2068" t="str">
        <f>"2025-03-22 04:26:19.253"</f>
        <v>2025-03-22 04:26:19.253</v>
      </c>
      <c r="H2068" t="s">
        <v>48</v>
      </c>
      <c r="I2068">
        <v>30.24</v>
      </c>
      <c r="J2068" t="s">
        <v>52</v>
      </c>
    </row>
    <row r="2069" spans="1:10" x14ac:dyDescent="0.25">
      <c r="A2069" s="1">
        <v>116</v>
      </c>
      <c r="B2069" t="s">
        <v>35</v>
      </c>
      <c r="C2069">
        <v>228</v>
      </c>
      <c r="D2069">
        <v>4</v>
      </c>
      <c r="E2069" t="s">
        <v>94</v>
      </c>
      <c r="F2069" t="s">
        <v>86</v>
      </c>
      <c r="G2069" t="str">
        <f>"2025-03-22 04:25:04.189"</f>
        <v>2025-03-22 04:25:04.189</v>
      </c>
      <c r="H2069" t="s">
        <v>45</v>
      </c>
    </row>
    <row r="2070" spans="1:10" x14ac:dyDescent="0.25">
      <c r="A2070" s="1">
        <v>117</v>
      </c>
      <c r="B2070" t="s">
        <v>39</v>
      </c>
      <c r="C2070">
        <v>228</v>
      </c>
      <c r="D2070">
        <v>4</v>
      </c>
      <c r="E2070" t="s">
        <v>94</v>
      </c>
      <c r="F2070" t="s">
        <v>86</v>
      </c>
      <c r="G2070" t="str">
        <f>"2025-03-22 04:24:59.113"</f>
        <v>2025-03-22 04:24:59.113</v>
      </c>
      <c r="H2070" t="s">
        <v>45</v>
      </c>
      <c r="I2070">
        <v>33.090000000000003</v>
      </c>
      <c r="J2070" t="s">
        <v>30</v>
      </c>
    </row>
    <row r="2071" spans="1:10" s="3" customFormat="1" x14ac:dyDescent="0.25">
      <c r="A2071" s="2">
        <v>118</v>
      </c>
      <c r="B2071" s="3" t="s">
        <v>26</v>
      </c>
      <c r="C2071" s="3">
        <v>647</v>
      </c>
      <c r="D2071" s="3">
        <v>1</v>
      </c>
      <c r="E2071" s="3" t="s">
        <v>27</v>
      </c>
      <c r="F2071" s="3" t="s">
        <v>28</v>
      </c>
      <c r="G2071" s="3" t="str">
        <f>"2025-03-22 04:01:29.611"</f>
        <v>2025-03-22 04:01:29.611</v>
      </c>
      <c r="H2071" s="3" t="s">
        <v>22</v>
      </c>
    </row>
    <row r="2072" spans="1:10" s="3" customFormat="1" x14ac:dyDescent="0.25">
      <c r="A2072" s="2">
        <v>119</v>
      </c>
      <c r="B2072" s="3" t="s">
        <v>29</v>
      </c>
      <c r="C2072" s="3">
        <v>647</v>
      </c>
      <c r="D2072" s="3">
        <v>1</v>
      </c>
      <c r="E2072" s="3" t="s">
        <v>27</v>
      </c>
      <c r="F2072" s="3" t="s">
        <v>28</v>
      </c>
      <c r="G2072" s="3" t="str">
        <f>"2025-03-22 04:01:24.311"</f>
        <v>2025-03-22 04:01:24.311</v>
      </c>
      <c r="H2072" s="3" t="s">
        <v>22</v>
      </c>
      <c r="I2072" s="3">
        <v>11.37</v>
      </c>
      <c r="J2072" s="3" t="s">
        <v>30</v>
      </c>
    </row>
    <row r="2073" spans="1:10" x14ac:dyDescent="0.25">
      <c r="A2073" s="1">
        <v>120</v>
      </c>
      <c r="B2073" t="s">
        <v>35</v>
      </c>
      <c r="C2073">
        <v>128</v>
      </c>
      <c r="D2073">
        <v>4</v>
      </c>
      <c r="E2073" t="s">
        <v>85</v>
      </c>
      <c r="F2073" t="s">
        <v>86</v>
      </c>
      <c r="G2073" t="str">
        <f>"2025-03-22 03:53:45.390"</f>
        <v>2025-03-22 03:53:45.390</v>
      </c>
      <c r="H2073" t="s">
        <v>48</v>
      </c>
    </row>
    <row r="2074" spans="1:10" x14ac:dyDescent="0.25">
      <c r="A2074" s="1">
        <v>121</v>
      </c>
      <c r="B2074" t="s">
        <v>39</v>
      </c>
      <c r="C2074">
        <v>128</v>
      </c>
      <c r="D2074">
        <v>4</v>
      </c>
      <c r="E2074" t="s">
        <v>85</v>
      </c>
      <c r="F2074" t="s">
        <v>86</v>
      </c>
      <c r="G2074" t="str">
        <f>"2025-03-22 03:53:40.293"</f>
        <v>2025-03-22 03:53:40.293</v>
      </c>
      <c r="H2074" t="s">
        <v>48</v>
      </c>
      <c r="I2074">
        <v>14.77</v>
      </c>
      <c r="J2074" t="s">
        <v>30</v>
      </c>
    </row>
    <row r="2075" spans="1:10" x14ac:dyDescent="0.25">
      <c r="A2075" s="1">
        <v>122</v>
      </c>
      <c r="B2075" t="s">
        <v>35</v>
      </c>
      <c r="C2075">
        <v>228</v>
      </c>
      <c r="D2075">
        <v>4</v>
      </c>
      <c r="E2075" t="s">
        <v>94</v>
      </c>
      <c r="F2075" t="s">
        <v>86</v>
      </c>
      <c r="G2075" t="str">
        <f>"2025-03-21 18:48:52.590"</f>
        <v>2025-03-21 18:48:52.590</v>
      </c>
      <c r="H2075" t="s">
        <v>45</v>
      </c>
    </row>
    <row r="2076" spans="1:10" x14ac:dyDescent="0.25">
      <c r="A2076" s="1">
        <v>123</v>
      </c>
      <c r="B2076" t="s">
        <v>39</v>
      </c>
      <c r="C2076">
        <v>228</v>
      </c>
      <c r="D2076">
        <v>4</v>
      </c>
      <c r="E2076" t="s">
        <v>94</v>
      </c>
      <c r="F2076" t="s">
        <v>86</v>
      </c>
      <c r="G2076" t="str">
        <f>"2025-03-21 18:48:47.493"</f>
        <v>2025-03-21 18:48:47.493</v>
      </c>
      <c r="H2076" t="s">
        <v>45</v>
      </c>
      <c r="I2076">
        <v>10.89</v>
      </c>
      <c r="J2076" t="s">
        <v>33</v>
      </c>
    </row>
    <row r="2077" spans="1:10" x14ac:dyDescent="0.25">
      <c r="A2077" s="1">
        <v>124</v>
      </c>
      <c r="B2077" t="s">
        <v>19</v>
      </c>
      <c r="C2077">
        <v>776</v>
      </c>
      <c r="D2077">
        <v>1</v>
      </c>
      <c r="E2077" t="s">
        <v>95</v>
      </c>
      <c r="F2077" t="s">
        <v>96</v>
      </c>
      <c r="G2077" t="str">
        <f>"2025-03-21 17:35:26.073"</f>
        <v>2025-03-21 17:35:26.073</v>
      </c>
      <c r="H2077" t="s">
        <v>22</v>
      </c>
      <c r="I2077">
        <v>0</v>
      </c>
      <c r="J2077" t="s">
        <v>23</v>
      </c>
    </row>
    <row r="2078" spans="1:10" x14ac:dyDescent="0.25">
      <c r="A2078" s="1">
        <v>125</v>
      </c>
      <c r="B2078" t="s">
        <v>19</v>
      </c>
      <c r="C2078">
        <v>776</v>
      </c>
      <c r="D2078">
        <v>2</v>
      </c>
      <c r="E2078" t="s">
        <v>95</v>
      </c>
      <c r="F2078" t="s">
        <v>97</v>
      </c>
      <c r="G2078" t="str">
        <f>"2025-03-21 17:35:25.953"</f>
        <v>2025-03-21 17:35:25.953</v>
      </c>
      <c r="H2078" t="s">
        <v>22</v>
      </c>
      <c r="I2078">
        <v>0</v>
      </c>
      <c r="J2078" t="s">
        <v>23</v>
      </c>
    </row>
    <row r="2079" spans="1:10" x14ac:dyDescent="0.25">
      <c r="A2079" s="1">
        <v>126</v>
      </c>
      <c r="B2079" t="s">
        <v>19</v>
      </c>
      <c r="C2079">
        <v>700</v>
      </c>
      <c r="D2079">
        <v>0</v>
      </c>
      <c r="E2079" t="s">
        <v>24</v>
      </c>
      <c r="F2079" t="s">
        <v>24</v>
      </c>
      <c r="G2079" t="str">
        <f>"2025-03-21 17:35:15.459"</f>
        <v>2025-03-21 17:35:15.459</v>
      </c>
      <c r="H2079" t="s">
        <v>22</v>
      </c>
    </row>
    <row r="2080" spans="1:10" x14ac:dyDescent="0.25">
      <c r="A2080" s="1">
        <v>127</v>
      </c>
      <c r="B2080" t="s">
        <v>35</v>
      </c>
      <c r="C2080">
        <v>137</v>
      </c>
      <c r="D2080">
        <v>4</v>
      </c>
      <c r="E2080" t="s">
        <v>65</v>
      </c>
      <c r="F2080" t="s">
        <v>66</v>
      </c>
      <c r="G2080" t="str">
        <f>"2025-03-21 16:47:18.887"</f>
        <v>2025-03-21 16:47:18.887</v>
      </c>
      <c r="H2080" t="s">
        <v>48</v>
      </c>
    </row>
    <row r="2081" spans="1:10" x14ac:dyDescent="0.25">
      <c r="A2081" s="1">
        <v>128</v>
      </c>
      <c r="B2081" t="s">
        <v>39</v>
      </c>
      <c r="C2081">
        <v>137</v>
      </c>
      <c r="D2081">
        <v>4</v>
      </c>
      <c r="E2081" t="s">
        <v>65</v>
      </c>
      <c r="F2081" t="s">
        <v>66</v>
      </c>
      <c r="G2081" t="str">
        <f>"2025-03-21 16:47:13.851"</f>
        <v>2025-03-21 16:47:13.851</v>
      </c>
      <c r="H2081" t="s">
        <v>48</v>
      </c>
      <c r="I2081">
        <v>15.3</v>
      </c>
      <c r="J2081" t="s">
        <v>33</v>
      </c>
    </row>
    <row r="2082" spans="1:10" x14ac:dyDescent="0.25">
      <c r="A2082" s="1">
        <v>129</v>
      </c>
      <c r="B2082" t="s">
        <v>35</v>
      </c>
      <c r="C2082">
        <v>137</v>
      </c>
      <c r="D2082">
        <v>4</v>
      </c>
      <c r="E2082" t="s">
        <v>65</v>
      </c>
      <c r="F2082" t="s">
        <v>66</v>
      </c>
      <c r="G2082" t="str">
        <f>"2025-03-21 14:25:06.687"</f>
        <v>2025-03-21 14:25:06.687</v>
      </c>
      <c r="H2082" t="s">
        <v>48</v>
      </c>
    </row>
    <row r="2083" spans="1:10" x14ac:dyDescent="0.25">
      <c r="A2083" s="1">
        <v>130</v>
      </c>
      <c r="B2083" t="s">
        <v>39</v>
      </c>
      <c r="C2083">
        <v>137</v>
      </c>
      <c r="D2083">
        <v>4</v>
      </c>
      <c r="E2083" t="s">
        <v>65</v>
      </c>
      <c r="F2083" t="s">
        <v>66</v>
      </c>
      <c r="G2083" t="str">
        <f>"2025-03-21 14:25:01.671"</f>
        <v>2025-03-21 14:25:01.671</v>
      </c>
      <c r="H2083" t="s">
        <v>48</v>
      </c>
      <c r="I2083">
        <v>10.54</v>
      </c>
      <c r="J2083" t="s">
        <v>33</v>
      </c>
    </row>
    <row r="2084" spans="1:10" x14ac:dyDescent="0.25">
      <c r="A2084" s="1">
        <v>131</v>
      </c>
      <c r="B2084" t="s">
        <v>19</v>
      </c>
      <c r="C2084">
        <v>706</v>
      </c>
      <c r="D2084">
        <v>4</v>
      </c>
      <c r="E2084" t="s">
        <v>20</v>
      </c>
      <c r="F2084" t="s">
        <v>21</v>
      </c>
      <c r="G2084" t="str">
        <f>"2025-03-21 07:31:02.045"</f>
        <v>2025-03-21 07:31:02.045</v>
      </c>
      <c r="H2084" t="s">
        <v>22</v>
      </c>
      <c r="I2084">
        <v>0</v>
      </c>
      <c r="J2084" t="s">
        <v>23</v>
      </c>
    </row>
    <row r="2085" spans="1:10" x14ac:dyDescent="0.25">
      <c r="A2085" s="1">
        <v>132</v>
      </c>
      <c r="B2085" t="s">
        <v>35</v>
      </c>
      <c r="C2085">
        <v>137</v>
      </c>
      <c r="D2085">
        <v>4</v>
      </c>
      <c r="E2085" t="s">
        <v>65</v>
      </c>
      <c r="F2085" t="s">
        <v>66</v>
      </c>
      <c r="G2085" t="str">
        <f>"2025-03-21 05:57:54.487"</f>
        <v>2025-03-21 05:57:54.487</v>
      </c>
      <c r="H2085" t="s">
        <v>48</v>
      </c>
    </row>
    <row r="2086" spans="1:10" x14ac:dyDescent="0.25">
      <c r="A2086" s="1">
        <v>133</v>
      </c>
      <c r="B2086" t="s">
        <v>39</v>
      </c>
      <c r="C2086">
        <v>137</v>
      </c>
      <c r="D2086">
        <v>4</v>
      </c>
      <c r="E2086" t="s">
        <v>65</v>
      </c>
      <c r="F2086" t="s">
        <v>66</v>
      </c>
      <c r="G2086" t="str">
        <f>"2025-03-21 05:57:49.470"</f>
        <v>2025-03-21 05:57:49.470</v>
      </c>
      <c r="H2086" t="s">
        <v>48</v>
      </c>
      <c r="I2086">
        <v>31.1</v>
      </c>
      <c r="J2086" t="s">
        <v>30</v>
      </c>
    </row>
    <row r="2087" spans="1:10" x14ac:dyDescent="0.25">
      <c r="A2087" s="1">
        <v>134</v>
      </c>
      <c r="B2087" t="s">
        <v>35</v>
      </c>
      <c r="C2087">
        <v>137</v>
      </c>
      <c r="D2087">
        <v>4</v>
      </c>
      <c r="E2087" t="s">
        <v>65</v>
      </c>
      <c r="F2087" t="s">
        <v>66</v>
      </c>
      <c r="G2087" t="str">
        <f>"2025-03-20 23:47:49.188"</f>
        <v>2025-03-20 23:47:49.188</v>
      </c>
      <c r="H2087" t="s">
        <v>48</v>
      </c>
    </row>
    <row r="2088" spans="1:10" x14ac:dyDescent="0.25">
      <c r="A2088" s="1">
        <v>135</v>
      </c>
      <c r="B2088" t="s">
        <v>39</v>
      </c>
      <c r="C2088">
        <v>137</v>
      </c>
      <c r="D2088">
        <v>4</v>
      </c>
      <c r="E2088" t="s">
        <v>65</v>
      </c>
      <c r="F2088" t="s">
        <v>66</v>
      </c>
      <c r="G2088" t="str">
        <f>"2025-03-20 23:47:44.171"</f>
        <v>2025-03-20 23:47:44.171</v>
      </c>
      <c r="H2088" t="s">
        <v>48</v>
      </c>
      <c r="I2088">
        <v>14.18</v>
      </c>
      <c r="J2088" t="s">
        <v>33</v>
      </c>
    </row>
    <row r="2089" spans="1:10" x14ac:dyDescent="0.25">
      <c r="A2089" s="1">
        <v>136</v>
      </c>
      <c r="B2089" t="s">
        <v>19</v>
      </c>
      <c r="C2089">
        <v>700</v>
      </c>
      <c r="D2089">
        <v>0</v>
      </c>
      <c r="E2089" t="s">
        <v>24</v>
      </c>
      <c r="F2089" t="s">
        <v>24</v>
      </c>
      <c r="G2089" t="str">
        <f>"2025-03-20 19:24:33.485"</f>
        <v>2025-03-20 19:24:33.485</v>
      </c>
      <c r="H2089" t="s">
        <v>22</v>
      </c>
    </row>
    <row r="2090" spans="1:10" x14ac:dyDescent="0.25">
      <c r="A2090" s="1">
        <v>137</v>
      </c>
      <c r="B2090" t="s">
        <v>35</v>
      </c>
      <c r="C2090">
        <v>128</v>
      </c>
      <c r="D2090">
        <v>4</v>
      </c>
      <c r="E2090" t="s">
        <v>85</v>
      </c>
      <c r="F2090" t="s">
        <v>86</v>
      </c>
      <c r="G2090" t="str">
        <f>"2025-03-20 19:05:47.234"</f>
        <v>2025-03-20 19:05:47.234</v>
      </c>
      <c r="H2090" t="s">
        <v>48</v>
      </c>
    </row>
    <row r="2091" spans="1:10" x14ac:dyDescent="0.25">
      <c r="A2091" s="1">
        <v>138</v>
      </c>
      <c r="B2091" t="s">
        <v>39</v>
      </c>
      <c r="C2091">
        <v>128</v>
      </c>
      <c r="D2091">
        <v>4</v>
      </c>
      <c r="E2091" t="s">
        <v>85</v>
      </c>
      <c r="F2091" t="s">
        <v>86</v>
      </c>
      <c r="G2091" t="str">
        <f>"2025-03-20 19:05:42.140"</f>
        <v>2025-03-20 19:05:42.140</v>
      </c>
      <c r="H2091" t="s">
        <v>48</v>
      </c>
      <c r="I2091">
        <v>2.66</v>
      </c>
      <c r="J2091" t="s">
        <v>33</v>
      </c>
    </row>
    <row r="2092" spans="1:10" x14ac:dyDescent="0.25">
      <c r="A2092" s="1">
        <v>139</v>
      </c>
      <c r="B2092" t="s">
        <v>35</v>
      </c>
      <c r="C2092">
        <v>137</v>
      </c>
      <c r="D2092">
        <v>4</v>
      </c>
      <c r="E2092" t="s">
        <v>65</v>
      </c>
      <c r="F2092" t="s">
        <v>66</v>
      </c>
      <c r="G2092" t="str">
        <f>"2025-03-20 11:14:30.434"</f>
        <v>2025-03-20 11:14:30.434</v>
      </c>
      <c r="H2092" t="s">
        <v>48</v>
      </c>
    </row>
    <row r="2093" spans="1:10" x14ac:dyDescent="0.25">
      <c r="A2093" s="1">
        <v>140</v>
      </c>
      <c r="B2093" t="s">
        <v>39</v>
      </c>
      <c r="C2093">
        <v>137</v>
      </c>
      <c r="D2093">
        <v>4</v>
      </c>
      <c r="E2093" t="s">
        <v>65</v>
      </c>
      <c r="F2093" t="s">
        <v>66</v>
      </c>
      <c r="G2093" t="str">
        <f>"2025-03-20 11:14:25.420"</f>
        <v>2025-03-20 11:14:25.420</v>
      </c>
      <c r="H2093" t="s">
        <v>48</v>
      </c>
      <c r="I2093">
        <v>19.2</v>
      </c>
      <c r="J2093" t="s">
        <v>33</v>
      </c>
    </row>
    <row r="2094" spans="1:10" x14ac:dyDescent="0.25">
      <c r="A2094" s="1">
        <v>141</v>
      </c>
      <c r="B2094" t="s">
        <v>19</v>
      </c>
      <c r="C2094">
        <v>706</v>
      </c>
      <c r="D2094">
        <v>2</v>
      </c>
      <c r="E2094" t="s">
        <v>20</v>
      </c>
      <c r="F2094" t="s">
        <v>25</v>
      </c>
      <c r="G2094" t="str">
        <f>"2025-03-20 07:37:34.176"</f>
        <v>2025-03-20 07:37:34.176</v>
      </c>
      <c r="H2094" t="s">
        <v>22</v>
      </c>
      <c r="I2094">
        <v>0</v>
      </c>
      <c r="J2094" t="s">
        <v>23</v>
      </c>
    </row>
    <row r="2095" spans="1:10" x14ac:dyDescent="0.25">
      <c r="A2095" s="1">
        <v>142</v>
      </c>
      <c r="B2095" t="s">
        <v>35</v>
      </c>
      <c r="C2095">
        <v>128</v>
      </c>
      <c r="D2095">
        <v>4</v>
      </c>
      <c r="E2095" t="s">
        <v>85</v>
      </c>
      <c r="F2095" t="s">
        <v>86</v>
      </c>
      <c r="G2095" t="str">
        <f>"2025-03-20 00:38:50.334"</f>
        <v>2025-03-20 00:38:50.334</v>
      </c>
      <c r="H2095" t="s">
        <v>48</v>
      </c>
    </row>
    <row r="2096" spans="1:10" x14ac:dyDescent="0.25">
      <c r="A2096" s="1">
        <v>143</v>
      </c>
      <c r="B2096" t="s">
        <v>39</v>
      </c>
      <c r="C2096">
        <v>128</v>
      </c>
      <c r="D2096">
        <v>4</v>
      </c>
      <c r="E2096" t="s">
        <v>85</v>
      </c>
      <c r="F2096" t="s">
        <v>86</v>
      </c>
      <c r="G2096" t="str">
        <f>"2025-03-20 00:38:45.320"</f>
        <v>2025-03-20 00:38:45.320</v>
      </c>
      <c r="H2096" t="s">
        <v>48</v>
      </c>
      <c r="I2096">
        <v>9.93</v>
      </c>
      <c r="J2096" t="s">
        <v>30</v>
      </c>
    </row>
    <row r="2097" spans="1:10" x14ac:dyDescent="0.25">
      <c r="A2097" s="1">
        <v>144</v>
      </c>
      <c r="B2097" t="s">
        <v>19</v>
      </c>
      <c r="C2097">
        <v>700</v>
      </c>
      <c r="D2097">
        <v>0</v>
      </c>
      <c r="E2097" t="s">
        <v>24</v>
      </c>
      <c r="F2097" t="s">
        <v>24</v>
      </c>
      <c r="G2097" t="str">
        <f>"2025-03-19 19:44:26.446"</f>
        <v>2025-03-19 19:44:26.446</v>
      </c>
      <c r="H2097" t="s">
        <v>22</v>
      </c>
      <c r="I2097">
        <v>0</v>
      </c>
      <c r="J2097" t="s">
        <v>34</v>
      </c>
    </row>
    <row r="2098" spans="1:10" x14ac:dyDescent="0.25">
      <c r="A2098" s="1">
        <v>145</v>
      </c>
      <c r="B2098" t="s">
        <v>35</v>
      </c>
      <c r="C2098">
        <v>137</v>
      </c>
      <c r="D2098">
        <v>4</v>
      </c>
      <c r="E2098" t="s">
        <v>65</v>
      </c>
      <c r="F2098" t="s">
        <v>66</v>
      </c>
      <c r="G2098" t="str">
        <f>"2025-03-19 16:37:26.824"</f>
        <v>2025-03-19 16:37:26.824</v>
      </c>
      <c r="H2098" t="s">
        <v>48</v>
      </c>
    </row>
    <row r="2099" spans="1:10" x14ac:dyDescent="0.25">
      <c r="A2099" s="1">
        <v>146</v>
      </c>
      <c r="B2099" t="s">
        <v>39</v>
      </c>
      <c r="C2099">
        <v>137</v>
      </c>
      <c r="D2099">
        <v>4</v>
      </c>
      <c r="E2099" t="s">
        <v>65</v>
      </c>
      <c r="F2099" t="s">
        <v>66</v>
      </c>
      <c r="G2099" t="str">
        <f>"2025-03-19 16:37:21.771"</f>
        <v>2025-03-19 16:37:21.771</v>
      </c>
      <c r="H2099" t="s">
        <v>48</v>
      </c>
      <c r="I2099">
        <v>14.28</v>
      </c>
      <c r="J2099" t="s">
        <v>33</v>
      </c>
    </row>
    <row r="2100" spans="1:10" x14ac:dyDescent="0.25">
      <c r="A2100" s="1">
        <v>147</v>
      </c>
      <c r="B2100" t="s">
        <v>19</v>
      </c>
      <c r="C2100">
        <v>706</v>
      </c>
      <c r="D2100">
        <v>4</v>
      </c>
      <c r="E2100" t="s">
        <v>20</v>
      </c>
      <c r="F2100" t="s">
        <v>21</v>
      </c>
      <c r="G2100" t="str">
        <f>"2025-03-19 11:01:59.966"</f>
        <v>2025-03-19 11:01:59.966</v>
      </c>
      <c r="H2100" t="s">
        <v>22</v>
      </c>
      <c r="I2100">
        <v>0</v>
      </c>
      <c r="J2100" t="s">
        <v>23</v>
      </c>
    </row>
    <row r="2101" spans="1:10" x14ac:dyDescent="0.25">
      <c r="A2101" s="1">
        <v>148</v>
      </c>
      <c r="B2101" t="s">
        <v>35</v>
      </c>
      <c r="C2101">
        <v>137</v>
      </c>
      <c r="D2101">
        <v>4</v>
      </c>
      <c r="E2101" t="s">
        <v>65</v>
      </c>
      <c r="F2101" t="s">
        <v>66</v>
      </c>
      <c r="G2101" t="str">
        <f>"2025-03-19 09:48:06.724"</f>
        <v>2025-03-19 09:48:06.724</v>
      </c>
      <c r="H2101" t="s">
        <v>48</v>
      </c>
    </row>
    <row r="2102" spans="1:10" x14ac:dyDescent="0.25">
      <c r="A2102" s="1">
        <v>149</v>
      </c>
      <c r="B2102" t="s">
        <v>39</v>
      </c>
      <c r="C2102">
        <v>137</v>
      </c>
      <c r="D2102">
        <v>4</v>
      </c>
      <c r="E2102" t="s">
        <v>65</v>
      </c>
      <c r="F2102" t="s">
        <v>66</v>
      </c>
      <c r="G2102" t="str">
        <f>"2025-03-19 09:48:01.691"</f>
        <v>2025-03-19 09:48:01.691</v>
      </c>
      <c r="H2102" t="s">
        <v>48</v>
      </c>
      <c r="I2102">
        <v>12.13</v>
      </c>
      <c r="J2102" t="s">
        <v>33</v>
      </c>
    </row>
    <row r="2103" spans="1:10" x14ac:dyDescent="0.25">
      <c r="A2103" s="1">
        <v>150</v>
      </c>
      <c r="B2103" t="s">
        <v>35</v>
      </c>
      <c r="C2103">
        <v>137</v>
      </c>
      <c r="D2103">
        <v>4</v>
      </c>
      <c r="E2103" t="s">
        <v>65</v>
      </c>
      <c r="F2103" t="s">
        <v>66</v>
      </c>
      <c r="G2103" t="str">
        <f>"2025-03-18 21:35:30.724"</f>
        <v>2025-03-18 21:35:30.724</v>
      </c>
      <c r="H2103" t="s">
        <v>48</v>
      </c>
    </row>
    <row r="2104" spans="1:10" x14ac:dyDescent="0.25">
      <c r="A2104" s="1">
        <v>151</v>
      </c>
      <c r="B2104" t="s">
        <v>39</v>
      </c>
      <c r="C2104">
        <v>137</v>
      </c>
      <c r="D2104">
        <v>4</v>
      </c>
      <c r="E2104" t="s">
        <v>65</v>
      </c>
      <c r="F2104" t="s">
        <v>66</v>
      </c>
      <c r="G2104" t="str">
        <f>"2025-03-18 21:35:25.691"</f>
        <v>2025-03-18 21:35:25.691</v>
      </c>
      <c r="H2104" t="s">
        <v>48</v>
      </c>
      <c r="I2104">
        <v>9.75</v>
      </c>
      <c r="J2104" t="s">
        <v>33</v>
      </c>
    </row>
    <row r="2105" spans="1:10" x14ac:dyDescent="0.25">
      <c r="A2105" s="1">
        <v>152</v>
      </c>
      <c r="B2105" t="s">
        <v>35</v>
      </c>
      <c r="C2105">
        <v>128</v>
      </c>
      <c r="D2105">
        <v>4</v>
      </c>
      <c r="E2105" t="s">
        <v>85</v>
      </c>
      <c r="F2105" t="s">
        <v>86</v>
      </c>
      <c r="G2105" t="str">
        <f>"2025-03-18 21:11:18.124"</f>
        <v>2025-03-18 21:11:18.124</v>
      </c>
      <c r="H2105" t="s">
        <v>48</v>
      </c>
    </row>
    <row r="2106" spans="1:10" x14ac:dyDescent="0.25">
      <c r="A2106" s="1">
        <v>153</v>
      </c>
      <c r="B2106" t="s">
        <v>39</v>
      </c>
      <c r="C2106">
        <v>128</v>
      </c>
      <c r="D2106">
        <v>4</v>
      </c>
      <c r="E2106" t="s">
        <v>85</v>
      </c>
      <c r="F2106" t="s">
        <v>86</v>
      </c>
      <c r="G2106" t="str">
        <f>"2025-03-18 21:11:13.071"</f>
        <v>2025-03-18 21:11:13.071</v>
      </c>
      <c r="H2106" t="s">
        <v>48</v>
      </c>
      <c r="I2106">
        <v>14.31</v>
      </c>
      <c r="J2106" t="s">
        <v>33</v>
      </c>
    </row>
    <row r="2107" spans="1:10" x14ac:dyDescent="0.25">
      <c r="A2107" s="1">
        <v>154</v>
      </c>
      <c r="B2107" t="s">
        <v>19</v>
      </c>
      <c r="C2107">
        <v>706</v>
      </c>
      <c r="D2107">
        <v>4</v>
      </c>
      <c r="E2107" t="s">
        <v>20</v>
      </c>
      <c r="F2107" t="s">
        <v>21</v>
      </c>
      <c r="G2107" t="str">
        <f>"2025-03-18 13:44:13.906"</f>
        <v>2025-03-18 13:44:13.906</v>
      </c>
      <c r="H2107" t="s">
        <v>22</v>
      </c>
      <c r="I2107">
        <v>0</v>
      </c>
      <c r="J2107" t="s">
        <v>23</v>
      </c>
    </row>
    <row r="2108" spans="1:10" x14ac:dyDescent="0.25">
      <c r="A2108" s="1">
        <v>155</v>
      </c>
      <c r="B2108" t="s">
        <v>35</v>
      </c>
      <c r="C2108">
        <v>137</v>
      </c>
      <c r="D2108">
        <v>4</v>
      </c>
      <c r="E2108" t="s">
        <v>65</v>
      </c>
      <c r="F2108" t="s">
        <v>66</v>
      </c>
      <c r="G2108" t="str">
        <f>"2025-03-18 12:01:49.224"</f>
        <v>2025-03-18 12:01:49.224</v>
      </c>
      <c r="H2108" t="s">
        <v>48</v>
      </c>
    </row>
    <row r="2109" spans="1:10" x14ac:dyDescent="0.25">
      <c r="A2109" s="1">
        <v>156</v>
      </c>
      <c r="B2109" t="s">
        <v>39</v>
      </c>
      <c r="C2109">
        <v>137</v>
      </c>
      <c r="D2109">
        <v>4</v>
      </c>
      <c r="E2109" t="s">
        <v>65</v>
      </c>
      <c r="F2109" t="s">
        <v>66</v>
      </c>
      <c r="G2109" t="str">
        <f>"2025-03-18 12:01:44.131"</f>
        <v>2025-03-18 12:01:44.131</v>
      </c>
      <c r="H2109" t="s">
        <v>48</v>
      </c>
      <c r="I2109">
        <v>23.48</v>
      </c>
      <c r="J2109" t="s">
        <v>52</v>
      </c>
    </row>
    <row r="2110" spans="1:10" x14ac:dyDescent="0.25">
      <c r="A2110" s="1">
        <v>157</v>
      </c>
      <c r="B2110" t="s">
        <v>19</v>
      </c>
      <c r="C2110">
        <v>706</v>
      </c>
      <c r="D2110">
        <v>4</v>
      </c>
      <c r="E2110" t="s">
        <v>20</v>
      </c>
      <c r="F2110" t="s">
        <v>21</v>
      </c>
      <c r="G2110" t="str">
        <f>"2025-03-18 10:44:52.876"</f>
        <v>2025-03-18 10:44:52.876</v>
      </c>
      <c r="H2110" t="s">
        <v>22</v>
      </c>
      <c r="I2110">
        <v>0</v>
      </c>
      <c r="J2110" t="s">
        <v>23</v>
      </c>
    </row>
    <row r="2111" spans="1:10" x14ac:dyDescent="0.25">
      <c r="A2111" s="1">
        <v>158</v>
      </c>
      <c r="B2111" t="s">
        <v>35</v>
      </c>
      <c r="C2111">
        <v>137</v>
      </c>
      <c r="D2111">
        <v>4</v>
      </c>
      <c r="E2111" t="s">
        <v>65</v>
      </c>
      <c r="F2111" t="s">
        <v>66</v>
      </c>
      <c r="G2111" t="str">
        <f>"2025-03-18 07:47:55.624"</f>
        <v>2025-03-18 07:47:55.624</v>
      </c>
      <c r="H2111" t="s">
        <v>48</v>
      </c>
    </row>
    <row r="2112" spans="1:10" x14ac:dyDescent="0.25">
      <c r="A2112" s="1">
        <v>159</v>
      </c>
      <c r="B2112" t="s">
        <v>39</v>
      </c>
      <c r="C2112">
        <v>137</v>
      </c>
      <c r="D2112">
        <v>4</v>
      </c>
      <c r="E2112" t="s">
        <v>65</v>
      </c>
      <c r="F2112" t="s">
        <v>66</v>
      </c>
      <c r="G2112" t="str">
        <f>"2025-03-18 07:47:50.531"</f>
        <v>2025-03-18 07:47:50.531</v>
      </c>
      <c r="H2112" t="s">
        <v>48</v>
      </c>
      <c r="I2112">
        <v>10.36</v>
      </c>
      <c r="J2112" t="s">
        <v>33</v>
      </c>
    </row>
    <row r="2113" spans="1:10" x14ac:dyDescent="0.25">
      <c r="A2113" s="1">
        <v>160</v>
      </c>
      <c r="B2113" t="s">
        <v>35</v>
      </c>
      <c r="C2113">
        <v>128</v>
      </c>
      <c r="D2113">
        <v>4</v>
      </c>
      <c r="E2113" t="s">
        <v>85</v>
      </c>
      <c r="F2113" t="s">
        <v>86</v>
      </c>
      <c r="G2113" t="str">
        <f>"2025-03-18 07:00:44.124"</f>
        <v>2025-03-18 07:00:44.124</v>
      </c>
      <c r="H2113" t="s">
        <v>48</v>
      </c>
    </row>
    <row r="2114" spans="1:10" x14ac:dyDescent="0.25">
      <c r="A2114" s="1">
        <v>161</v>
      </c>
      <c r="B2114" t="s">
        <v>39</v>
      </c>
      <c r="C2114">
        <v>128</v>
      </c>
      <c r="D2114">
        <v>4</v>
      </c>
      <c r="E2114" t="s">
        <v>85</v>
      </c>
      <c r="F2114" t="s">
        <v>86</v>
      </c>
      <c r="G2114" t="str">
        <f>"2025-03-18 07:00:39.051"</f>
        <v>2025-03-18 07:00:39.051</v>
      </c>
      <c r="H2114" t="s">
        <v>48</v>
      </c>
      <c r="I2114">
        <v>12.82</v>
      </c>
      <c r="J2114" t="s">
        <v>33</v>
      </c>
    </row>
    <row r="2115" spans="1:10" x14ac:dyDescent="0.25">
      <c r="A2115" s="1">
        <v>162</v>
      </c>
      <c r="B2115" t="s">
        <v>26</v>
      </c>
      <c r="C2115">
        <v>98</v>
      </c>
      <c r="D2115">
        <v>1</v>
      </c>
      <c r="E2115" t="s">
        <v>63</v>
      </c>
      <c r="F2115" t="s">
        <v>64</v>
      </c>
      <c r="G2115" t="str">
        <f>"2025-03-18 04:46:39.656"</f>
        <v>2025-03-18 04:46:39.656</v>
      </c>
      <c r="H2115" t="s">
        <v>22</v>
      </c>
    </row>
    <row r="2116" spans="1:10" x14ac:dyDescent="0.25">
      <c r="A2116" s="1">
        <v>163</v>
      </c>
      <c r="B2116" t="s">
        <v>29</v>
      </c>
      <c r="C2116">
        <v>98</v>
      </c>
      <c r="D2116">
        <v>1</v>
      </c>
      <c r="E2116" t="s">
        <v>63</v>
      </c>
      <c r="F2116" t="s">
        <v>64</v>
      </c>
      <c r="G2116" t="str">
        <f>"2025-03-18 04:46:38.456"</f>
        <v>2025-03-18 04:46:38.456</v>
      </c>
      <c r="H2116" t="s">
        <v>22</v>
      </c>
      <c r="I2116">
        <v>0</v>
      </c>
      <c r="J2116" t="s">
        <v>52</v>
      </c>
    </row>
    <row r="2117" spans="1:10" x14ac:dyDescent="0.25">
      <c r="A2117" s="1">
        <v>164</v>
      </c>
      <c r="B2117" t="s">
        <v>26</v>
      </c>
      <c r="C2117">
        <v>98</v>
      </c>
      <c r="D2117">
        <v>1</v>
      </c>
      <c r="E2117" t="s">
        <v>63</v>
      </c>
      <c r="F2117" t="s">
        <v>64</v>
      </c>
      <c r="G2117" t="str">
        <f>"2025-03-18 04:46:38.256"</f>
        <v>2025-03-18 04:46:38.256</v>
      </c>
      <c r="H2117" t="s">
        <v>22</v>
      </c>
    </row>
    <row r="2118" spans="1:10" x14ac:dyDescent="0.25">
      <c r="A2118" s="1">
        <v>165</v>
      </c>
      <c r="B2118" t="s">
        <v>29</v>
      </c>
      <c r="C2118">
        <v>98</v>
      </c>
      <c r="D2118">
        <v>1</v>
      </c>
      <c r="E2118" t="s">
        <v>63</v>
      </c>
      <c r="F2118" t="s">
        <v>64</v>
      </c>
      <c r="G2118" t="str">
        <f>"2025-03-18 04:46:37.256"</f>
        <v>2025-03-18 04:46:37.256</v>
      </c>
      <c r="H2118" t="s">
        <v>22</v>
      </c>
      <c r="I2118">
        <v>0</v>
      </c>
      <c r="J2118" t="s">
        <v>52</v>
      </c>
    </row>
    <row r="2119" spans="1:10" x14ac:dyDescent="0.25">
      <c r="A2119" s="1">
        <v>166</v>
      </c>
      <c r="B2119" t="s">
        <v>26</v>
      </c>
      <c r="C2119">
        <v>98</v>
      </c>
      <c r="D2119">
        <v>1</v>
      </c>
      <c r="E2119" t="s">
        <v>63</v>
      </c>
      <c r="F2119" t="s">
        <v>64</v>
      </c>
      <c r="G2119" t="str">
        <f>"2025-03-18 04:46:36.056"</f>
        <v>2025-03-18 04:46:36.056</v>
      </c>
      <c r="H2119" t="s">
        <v>22</v>
      </c>
    </row>
    <row r="2120" spans="1:10" x14ac:dyDescent="0.25">
      <c r="A2120" s="1">
        <v>167</v>
      </c>
      <c r="B2120" t="s">
        <v>29</v>
      </c>
      <c r="C2120">
        <v>98</v>
      </c>
      <c r="D2120">
        <v>1</v>
      </c>
      <c r="E2120" t="s">
        <v>63</v>
      </c>
      <c r="F2120" t="s">
        <v>64</v>
      </c>
      <c r="G2120" t="str">
        <f>"2025-03-18 04:46:35.056"</f>
        <v>2025-03-18 04:46:35.056</v>
      </c>
      <c r="H2120" t="s">
        <v>22</v>
      </c>
      <c r="I2120">
        <v>0</v>
      </c>
      <c r="J2120" t="s">
        <v>52</v>
      </c>
    </row>
    <row r="2121" spans="1:10" x14ac:dyDescent="0.25">
      <c r="A2121" s="1">
        <v>168</v>
      </c>
      <c r="B2121" t="s">
        <v>35</v>
      </c>
      <c r="C2121">
        <v>135</v>
      </c>
      <c r="D2121">
        <v>7</v>
      </c>
      <c r="E2121" t="s">
        <v>92</v>
      </c>
      <c r="F2121" t="s">
        <v>93</v>
      </c>
      <c r="G2121" t="str">
        <f>"2025-03-18 04:20:49.024"</f>
        <v>2025-03-18 04:20:49.024</v>
      </c>
      <c r="H2121" t="s">
        <v>48</v>
      </c>
    </row>
    <row r="2122" spans="1:10" x14ac:dyDescent="0.25">
      <c r="A2122" s="1">
        <v>169</v>
      </c>
      <c r="B2122" t="s">
        <v>39</v>
      </c>
      <c r="C2122">
        <v>135</v>
      </c>
      <c r="D2122">
        <v>7</v>
      </c>
      <c r="E2122" t="s">
        <v>92</v>
      </c>
      <c r="F2122" t="s">
        <v>93</v>
      </c>
      <c r="G2122" t="str">
        <f>"2025-03-18 04:20:43.971"</f>
        <v>2025-03-18 04:20:43.971</v>
      </c>
      <c r="H2122" t="s">
        <v>48</v>
      </c>
      <c r="I2122">
        <v>7.22</v>
      </c>
      <c r="J2122" t="s">
        <v>33</v>
      </c>
    </row>
    <row r="2123" spans="1:10" x14ac:dyDescent="0.25">
      <c r="A2123" s="1">
        <v>170</v>
      </c>
      <c r="B2123" t="s">
        <v>35</v>
      </c>
      <c r="C2123">
        <v>137</v>
      </c>
      <c r="D2123">
        <v>4</v>
      </c>
      <c r="E2123" t="s">
        <v>65</v>
      </c>
      <c r="F2123" t="s">
        <v>66</v>
      </c>
      <c r="G2123" t="str">
        <f>"2025-03-18 03:52:19.724"</f>
        <v>2025-03-18 03:52:19.724</v>
      </c>
      <c r="H2123" t="s">
        <v>48</v>
      </c>
    </row>
    <row r="2124" spans="1:10" x14ac:dyDescent="0.25">
      <c r="A2124" s="1">
        <v>171</v>
      </c>
      <c r="B2124" t="s">
        <v>39</v>
      </c>
      <c r="C2124">
        <v>137</v>
      </c>
      <c r="D2124">
        <v>4</v>
      </c>
      <c r="E2124" t="s">
        <v>65</v>
      </c>
      <c r="F2124" t="s">
        <v>66</v>
      </c>
      <c r="G2124" t="str">
        <f>"2025-03-18 03:52:14.691"</f>
        <v>2025-03-18 03:52:14.691</v>
      </c>
      <c r="H2124" t="s">
        <v>48</v>
      </c>
      <c r="I2124">
        <v>8.94</v>
      </c>
      <c r="J2124" t="s">
        <v>33</v>
      </c>
    </row>
    <row r="2125" spans="1:10" x14ac:dyDescent="0.25">
      <c r="A2125" s="1">
        <v>172</v>
      </c>
      <c r="B2125" t="s">
        <v>35</v>
      </c>
      <c r="C2125">
        <v>128</v>
      </c>
      <c r="D2125">
        <v>4</v>
      </c>
      <c r="E2125" t="s">
        <v>85</v>
      </c>
      <c r="F2125" t="s">
        <v>86</v>
      </c>
      <c r="G2125" t="str">
        <f>"2025-03-18 02:21:25.624"</f>
        <v>2025-03-18 02:21:25.624</v>
      </c>
      <c r="H2125" t="s">
        <v>48</v>
      </c>
    </row>
    <row r="2126" spans="1:10" x14ac:dyDescent="0.25">
      <c r="A2126" s="1">
        <v>173</v>
      </c>
      <c r="B2126" t="s">
        <v>39</v>
      </c>
      <c r="C2126">
        <v>128</v>
      </c>
      <c r="D2126">
        <v>4</v>
      </c>
      <c r="E2126" t="s">
        <v>85</v>
      </c>
      <c r="F2126" t="s">
        <v>86</v>
      </c>
      <c r="G2126" t="str">
        <f>"2025-03-18 02:21:20.591"</f>
        <v>2025-03-18 02:21:20.591</v>
      </c>
      <c r="H2126" t="s">
        <v>48</v>
      </c>
      <c r="I2126">
        <v>18.899999999999999</v>
      </c>
      <c r="J2126" t="s">
        <v>33</v>
      </c>
    </row>
    <row r="2127" spans="1:10" x14ac:dyDescent="0.25">
      <c r="A2127" s="1">
        <v>174</v>
      </c>
      <c r="B2127" t="s">
        <v>26</v>
      </c>
      <c r="C2127">
        <v>98</v>
      </c>
      <c r="D2127">
        <v>1</v>
      </c>
      <c r="E2127" t="s">
        <v>63</v>
      </c>
      <c r="F2127" t="s">
        <v>64</v>
      </c>
      <c r="G2127" t="str">
        <f>"2025-03-18 02:01:19.156"</f>
        <v>2025-03-18 02:01:19.156</v>
      </c>
      <c r="H2127" t="s">
        <v>22</v>
      </c>
    </row>
    <row r="2128" spans="1:10" x14ac:dyDescent="0.25">
      <c r="A2128" s="1">
        <v>175</v>
      </c>
      <c r="B2128" t="s">
        <v>29</v>
      </c>
      <c r="C2128">
        <v>98</v>
      </c>
      <c r="D2128">
        <v>1</v>
      </c>
      <c r="E2128" t="s">
        <v>63</v>
      </c>
      <c r="F2128" t="s">
        <v>64</v>
      </c>
      <c r="G2128" t="str">
        <f>"2025-03-18 02:01:18.156"</f>
        <v>2025-03-18 02:01:18.156</v>
      </c>
      <c r="H2128" t="s">
        <v>22</v>
      </c>
      <c r="I2128">
        <v>0</v>
      </c>
      <c r="J2128" t="s">
        <v>52</v>
      </c>
    </row>
    <row r="2129" spans="1:10" x14ac:dyDescent="0.25">
      <c r="A2129" s="1">
        <v>176</v>
      </c>
      <c r="B2129" t="s">
        <v>26</v>
      </c>
      <c r="C2129">
        <v>98</v>
      </c>
      <c r="D2129">
        <v>1</v>
      </c>
      <c r="E2129" t="s">
        <v>63</v>
      </c>
      <c r="F2129" t="s">
        <v>64</v>
      </c>
      <c r="G2129" t="str">
        <f>"2025-03-18 02:01:17.356"</f>
        <v>2025-03-18 02:01:17.356</v>
      </c>
      <c r="H2129" t="s">
        <v>22</v>
      </c>
    </row>
    <row r="2130" spans="1:10" x14ac:dyDescent="0.25">
      <c r="A2130" s="1">
        <v>177</v>
      </c>
      <c r="B2130" t="s">
        <v>29</v>
      </c>
      <c r="C2130">
        <v>98</v>
      </c>
      <c r="D2130">
        <v>1</v>
      </c>
      <c r="E2130" t="s">
        <v>63</v>
      </c>
      <c r="F2130" t="s">
        <v>64</v>
      </c>
      <c r="G2130" t="str">
        <f>"2025-03-18 02:01:16.156"</f>
        <v>2025-03-18 02:01:16.156</v>
      </c>
      <c r="H2130" t="s">
        <v>22</v>
      </c>
      <c r="I2130">
        <v>0</v>
      </c>
      <c r="J2130" t="s">
        <v>52</v>
      </c>
    </row>
    <row r="2131" spans="1:10" x14ac:dyDescent="0.25">
      <c r="A2131" s="1">
        <v>178</v>
      </c>
      <c r="B2131" t="s">
        <v>26</v>
      </c>
      <c r="C2131">
        <v>98</v>
      </c>
      <c r="D2131">
        <v>1</v>
      </c>
      <c r="E2131" t="s">
        <v>63</v>
      </c>
      <c r="F2131" t="s">
        <v>64</v>
      </c>
      <c r="G2131" t="str">
        <f>"2025-03-18 02:01:14.156"</f>
        <v>2025-03-18 02:01:14.156</v>
      </c>
      <c r="H2131" t="s">
        <v>22</v>
      </c>
    </row>
    <row r="2132" spans="1:10" x14ac:dyDescent="0.25">
      <c r="A2132" s="1">
        <v>179</v>
      </c>
      <c r="B2132" t="s">
        <v>29</v>
      </c>
      <c r="C2132">
        <v>98</v>
      </c>
      <c r="D2132">
        <v>1</v>
      </c>
      <c r="E2132" t="s">
        <v>63</v>
      </c>
      <c r="F2132" t="s">
        <v>64</v>
      </c>
      <c r="G2132" t="str">
        <f>"2025-03-18 02:01:13.157"</f>
        <v>2025-03-18 02:01:13.157</v>
      </c>
      <c r="H2132" t="s">
        <v>22</v>
      </c>
      <c r="I2132">
        <v>0</v>
      </c>
      <c r="J2132" t="s">
        <v>52</v>
      </c>
    </row>
    <row r="2133" spans="1:10" x14ac:dyDescent="0.25">
      <c r="A2133" s="1">
        <v>180</v>
      </c>
      <c r="B2133" t="s">
        <v>19</v>
      </c>
      <c r="C2133">
        <v>706</v>
      </c>
      <c r="D2133">
        <v>4</v>
      </c>
      <c r="E2133" t="s">
        <v>20</v>
      </c>
      <c r="F2133" t="s">
        <v>21</v>
      </c>
      <c r="G2133" t="str">
        <f>"2025-03-17 16:04:57.906"</f>
        <v>2025-03-17 16:04:57.906</v>
      </c>
      <c r="H2133" t="s">
        <v>22</v>
      </c>
      <c r="I2133">
        <v>0</v>
      </c>
      <c r="J2133" t="s">
        <v>23</v>
      </c>
    </row>
    <row r="2134" spans="1:10" x14ac:dyDescent="0.25">
      <c r="A2134" s="1">
        <v>181</v>
      </c>
      <c r="B2134" t="s">
        <v>19</v>
      </c>
      <c r="C2134">
        <v>706</v>
      </c>
      <c r="D2134">
        <v>4</v>
      </c>
      <c r="E2134" t="s">
        <v>20</v>
      </c>
      <c r="F2134" t="s">
        <v>21</v>
      </c>
      <c r="G2134" t="str">
        <f>"2025-03-17 04:46:27.566"</f>
        <v>2025-03-17 04:46:27.566</v>
      </c>
      <c r="H2134" t="s">
        <v>22</v>
      </c>
      <c r="I2134">
        <v>0</v>
      </c>
      <c r="J2134" t="s">
        <v>23</v>
      </c>
    </row>
    <row r="2135" spans="1:10" s="3" customFormat="1" x14ac:dyDescent="0.25">
      <c r="A2135" s="2">
        <v>182</v>
      </c>
      <c r="B2135" s="3" t="s">
        <v>26</v>
      </c>
      <c r="C2135" s="3">
        <v>647</v>
      </c>
      <c r="D2135" s="3">
        <v>1</v>
      </c>
      <c r="E2135" s="3" t="s">
        <v>27</v>
      </c>
      <c r="F2135" s="3" t="s">
        <v>28</v>
      </c>
      <c r="G2135" s="3" t="str">
        <f>"2025-03-17 04:05:00.145"</f>
        <v>2025-03-17 04:05:00.145</v>
      </c>
      <c r="H2135" s="3" t="s">
        <v>22</v>
      </c>
    </row>
    <row r="2136" spans="1:10" s="3" customFormat="1" x14ac:dyDescent="0.25">
      <c r="A2136" s="2">
        <v>183</v>
      </c>
      <c r="B2136" s="3" t="s">
        <v>29</v>
      </c>
      <c r="C2136" s="3">
        <v>647</v>
      </c>
      <c r="D2136" s="3">
        <v>1</v>
      </c>
      <c r="E2136" s="3" t="s">
        <v>27</v>
      </c>
      <c r="F2136" s="3" t="s">
        <v>28</v>
      </c>
      <c r="G2136" s="3" t="str">
        <f>"2025-03-17 04:04:56.445"</f>
        <v>2025-03-17 04:04:56.445</v>
      </c>
      <c r="H2136" s="3" t="s">
        <v>22</v>
      </c>
      <c r="I2136" s="3">
        <v>14.04</v>
      </c>
      <c r="J2136" s="3" t="s">
        <v>30</v>
      </c>
    </row>
    <row r="2137" spans="1:10" x14ac:dyDescent="0.25">
      <c r="A2137" s="1">
        <v>184</v>
      </c>
      <c r="B2137" t="s">
        <v>35</v>
      </c>
      <c r="C2137">
        <v>128</v>
      </c>
      <c r="D2137">
        <v>4</v>
      </c>
      <c r="E2137" t="s">
        <v>85</v>
      </c>
      <c r="F2137" t="s">
        <v>86</v>
      </c>
      <c r="G2137" t="str">
        <f>"2025-03-16 10:03:55.324"</f>
        <v>2025-03-16 10:03:55.324</v>
      </c>
      <c r="H2137" t="s">
        <v>48</v>
      </c>
    </row>
    <row r="2138" spans="1:10" x14ac:dyDescent="0.25">
      <c r="A2138" s="1">
        <v>185</v>
      </c>
      <c r="B2138" t="s">
        <v>39</v>
      </c>
      <c r="C2138">
        <v>128</v>
      </c>
      <c r="D2138">
        <v>4</v>
      </c>
      <c r="E2138" t="s">
        <v>85</v>
      </c>
      <c r="F2138" t="s">
        <v>86</v>
      </c>
      <c r="G2138" t="str">
        <f>"2025-03-16 10:03:50.271"</f>
        <v>2025-03-16 10:03:50.271</v>
      </c>
      <c r="H2138" t="s">
        <v>48</v>
      </c>
      <c r="I2138">
        <v>17.23</v>
      </c>
      <c r="J2138" t="s">
        <v>33</v>
      </c>
    </row>
    <row r="2139" spans="1:10" x14ac:dyDescent="0.25">
      <c r="A2139" s="1">
        <v>186</v>
      </c>
      <c r="B2139" t="s">
        <v>35</v>
      </c>
      <c r="C2139">
        <v>228</v>
      </c>
      <c r="D2139">
        <v>4</v>
      </c>
      <c r="E2139" t="s">
        <v>94</v>
      </c>
      <c r="F2139" t="s">
        <v>86</v>
      </c>
      <c r="G2139" t="str">
        <f>"2025-03-16 07:02:19.724"</f>
        <v>2025-03-16 07:02:19.724</v>
      </c>
      <c r="H2139" t="s">
        <v>45</v>
      </c>
    </row>
    <row r="2140" spans="1:10" x14ac:dyDescent="0.25">
      <c r="A2140" s="1">
        <v>187</v>
      </c>
      <c r="B2140" t="s">
        <v>39</v>
      </c>
      <c r="C2140">
        <v>228</v>
      </c>
      <c r="D2140">
        <v>4</v>
      </c>
      <c r="E2140" t="s">
        <v>94</v>
      </c>
      <c r="F2140" t="s">
        <v>86</v>
      </c>
      <c r="G2140" t="str">
        <f>"2025-03-16 07:02:14.691"</f>
        <v>2025-03-16 07:02:14.691</v>
      </c>
      <c r="H2140" t="s">
        <v>45</v>
      </c>
      <c r="I2140">
        <v>13.75</v>
      </c>
      <c r="J2140" t="s">
        <v>33</v>
      </c>
    </row>
    <row r="2141" spans="1:10" x14ac:dyDescent="0.25">
      <c r="A2141" s="1">
        <v>188</v>
      </c>
      <c r="B2141" t="s">
        <v>19</v>
      </c>
      <c r="C2141">
        <v>700</v>
      </c>
      <c r="D2141">
        <v>0</v>
      </c>
      <c r="E2141" t="s">
        <v>24</v>
      </c>
      <c r="F2141" t="s">
        <v>24</v>
      </c>
      <c r="G2141" t="str">
        <f>"2025-03-15 06:30:24.426"</f>
        <v>2025-03-15 06:30:24.426</v>
      </c>
      <c r="H2141" t="s">
        <v>22</v>
      </c>
      <c r="I2141">
        <v>0</v>
      </c>
      <c r="J2141" t="s">
        <v>34</v>
      </c>
    </row>
    <row r="2142" spans="1:10" x14ac:dyDescent="0.25">
      <c r="A2142" s="1">
        <v>189</v>
      </c>
      <c r="B2142" t="s">
        <v>19</v>
      </c>
      <c r="C2142">
        <v>706</v>
      </c>
      <c r="D2142">
        <v>2</v>
      </c>
      <c r="E2142" t="s">
        <v>20</v>
      </c>
      <c r="F2142" t="s">
        <v>25</v>
      </c>
      <c r="G2142" t="str">
        <f>"2025-03-15 06:14:01.842"</f>
        <v>2025-03-15 06:14:01.842</v>
      </c>
      <c r="H2142" t="s">
        <v>22</v>
      </c>
      <c r="I2142">
        <v>0</v>
      </c>
      <c r="J2142" t="s">
        <v>23</v>
      </c>
    </row>
    <row r="2143" spans="1:10" x14ac:dyDescent="0.25">
      <c r="A2143" s="1">
        <v>190</v>
      </c>
      <c r="B2143" t="s">
        <v>19</v>
      </c>
      <c r="C2143">
        <v>700</v>
      </c>
      <c r="D2143">
        <v>0</v>
      </c>
      <c r="E2143" t="s">
        <v>24</v>
      </c>
      <c r="F2143" t="s">
        <v>24</v>
      </c>
      <c r="G2143" t="str">
        <f>"2025-03-15 06:08:01.422"</f>
        <v>2025-03-15 06:08:01.422</v>
      </c>
      <c r="H2143" t="s">
        <v>22</v>
      </c>
    </row>
    <row r="2144" spans="1:10" x14ac:dyDescent="0.25">
      <c r="A2144" s="1">
        <v>191</v>
      </c>
      <c r="B2144" t="s">
        <v>19</v>
      </c>
      <c r="C2144">
        <v>700</v>
      </c>
      <c r="D2144">
        <v>0</v>
      </c>
      <c r="E2144" t="s">
        <v>24</v>
      </c>
      <c r="F2144" t="s">
        <v>24</v>
      </c>
      <c r="G2144" t="str">
        <f>"2025-03-15 05:54:35.423"</f>
        <v>2025-03-15 05:54:35.423</v>
      </c>
      <c r="H2144" t="s">
        <v>22</v>
      </c>
    </row>
    <row r="2145" spans="1:10" x14ac:dyDescent="0.25">
      <c r="A2145" s="1">
        <v>192</v>
      </c>
      <c r="B2145" t="s">
        <v>19</v>
      </c>
      <c r="C2145">
        <v>700</v>
      </c>
      <c r="D2145">
        <v>0</v>
      </c>
      <c r="E2145" t="s">
        <v>24</v>
      </c>
      <c r="F2145" t="s">
        <v>24</v>
      </c>
      <c r="G2145" t="str">
        <f>"2025-03-15 05:46:08.430"</f>
        <v>2025-03-15 05:46:08.430</v>
      </c>
      <c r="H2145" t="s">
        <v>22</v>
      </c>
    </row>
    <row r="2146" spans="1:10" x14ac:dyDescent="0.25">
      <c r="A2146" s="1">
        <v>193</v>
      </c>
      <c r="B2146" t="s">
        <v>19</v>
      </c>
      <c r="C2146">
        <v>700</v>
      </c>
      <c r="D2146">
        <v>0</v>
      </c>
      <c r="E2146" t="s">
        <v>24</v>
      </c>
      <c r="F2146" t="s">
        <v>24</v>
      </c>
      <c r="G2146" t="str">
        <f>"2025-03-15 04:43:49.707"</f>
        <v>2025-03-15 04:43:49.707</v>
      </c>
      <c r="H2146" t="s">
        <v>22</v>
      </c>
      <c r="I2146">
        <v>0</v>
      </c>
      <c r="J2146" t="s">
        <v>34</v>
      </c>
    </row>
    <row r="2147" spans="1:10" x14ac:dyDescent="0.25">
      <c r="A2147" s="1">
        <v>194</v>
      </c>
      <c r="B2147" t="s">
        <v>19</v>
      </c>
      <c r="C2147">
        <v>700</v>
      </c>
      <c r="D2147">
        <v>0</v>
      </c>
      <c r="E2147" t="s">
        <v>24</v>
      </c>
      <c r="F2147" t="s">
        <v>24</v>
      </c>
      <c r="G2147" t="str">
        <f>"2025-03-14 19:45:03.424"</f>
        <v>2025-03-14 19:45:03.424</v>
      </c>
      <c r="H2147" t="s">
        <v>22</v>
      </c>
    </row>
    <row r="2148" spans="1:10" x14ac:dyDescent="0.25">
      <c r="A2148" s="1">
        <v>195</v>
      </c>
      <c r="B2148" t="s">
        <v>19</v>
      </c>
      <c r="C2148">
        <v>706</v>
      </c>
      <c r="D2148">
        <v>2</v>
      </c>
      <c r="E2148" t="s">
        <v>20</v>
      </c>
      <c r="F2148" t="s">
        <v>25</v>
      </c>
      <c r="G2148" t="str">
        <f>"2025-03-14 19:39:44.537"</f>
        <v>2025-03-14 19:39:44.537</v>
      </c>
      <c r="H2148" t="s">
        <v>22</v>
      </c>
      <c r="I2148">
        <v>0</v>
      </c>
      <c r="J2148" t="s">
        <v>23</v>
      </c>
    </row>
    <row r="2149" spans="1:10" x14ac:dyDescent="0.25">
      <c r="A2149" s="1">
        <v>196</v>
      </c>
      <c r="B2149" t="s">
        <v>19</v>
      </c>
      <c r="C2149">
        <v>706</v>
      </c>
      <c r="D2149">
        <v>2</v>
      </c>
      <c r="E2149" t="s">
        <v>20</v>
      </c>
      <c r="F2149" t="s">
        <v>25</v>
      </c>
      <c r="G2149" t="str">
        <f>"2025-03-14 14:54:04.537"</f>
        <v>2025-03-14 14:54:04.537</v>
      </c>
      <c r="H2149" t="s">
        <v>22</v>
      </c>
      <c r="I2149">
        <v>0</v>
      </c>
      <c r="J2149" t="s">
        <v>23</v>
      </c>
    </row>
    <row r="2150" spans="1:10" x14ac:dyDescent="0.25">
      <c r="A2150" s="1">
        <v>197</v>
      </c>
      <c r="B2150" t="s">
        <v>35</v>
      </c>
      <c r="C2150">
        <v>137</v>
      </c>
      <c r="D2150">
        <v>4</v>
      </c>
      <c r="E2150" t="s">
        <v>65</v>
      </c>
      <c r="F2150" t="s">
        <v>66</v>
      </c>
      <c r="G2150" t="str">
        <f>"2025-03-14 04:44:33.127"</f>
        <v>2025-03-14 04:44:33.127</v>
      </c>
      <c r="H2150" t="s">
        <v>48</v>
      </c>
    </row>
    <row r="2151" spans="1:10" x14ac:dyDescent="0.25">
      <c r="A2151" s="1">
        <v>198</v>
      </c>
      <c r="B2151" t="s">
        <v>39</v>
      </c>
      <c r="C2151">
        <v>137</v>
      </c>
      <c r="D2151">
        <v>4</v>
      </c>
      <c r="E2151" t="s">
        <v>65</v>
      </c>
      <c r="F2151" t="s">
        <v>66</v>
      </c>
      <c r="G2151" t="str">
        <f>"2025-03-14 04:44:28.091"</f>
        <v>2025-03-14 04:44:28.091</v>
      </c>
      <c r="H2151" t="s">
        <v>48</v>
      </c>
      <c r="I2151">
        <v>14.98</v>
      </c>
      <c r="J2151" t="s">
        <v>33</v>
      </c>
    </row>
    <row r="2152" spans="1:10" x14ac:dyDescent="0.25">
      <c r="A2152" s="1">
        <v>199</v>
      </c>
      <c r="B2152" t="s">
        <v>19</v>
      </c>
      <c r="C2152">
        <v>706</v>
      </c>
      <c r="D2152">
        <v>4</v>
      </c>
      <c r="E2152" t="s">
        <v>20</v>
      </c>
      <c r="F2152" t="s">
        <v>21</v>
      </c>
      <c r="G2152" t="str">
        <f>"2025-03-13 19:35:03.347"</f>
        <v>2025-03-13 19:35:03.347</v>
      </c>
      <c r="H2152" t="s">
        <v>22</v>
      </c>
      <c r="I2152">
        <v>0</v>
      </c>
      <c r="J2152" t="s">
        <v>23</v>
      </c>
    </row>
    <row r="2153" spans="1:10" x14ac:dyDescent="0.25">
      <c r="A2153" s="1">
        <v>200</v>
      </c>
      <c r="B2153" t="s">
        <v>19</v>
      </c>
      <c r="C2153">
        <v>706</v>
      </c>
      <c r="D2153">
        <v>2</v>
      </c>
      <c r="E2153" t="s">
        <v>20</v>
      </c>
      <c r="F2153" t="s">
        <v>25</v>
      </c>
      <c r="G2153" t="str">
        <f>"2025-03-13 13:26:04.437"</f>
        <v>2025-03-13 13:26:04.437</v>
      </c>
      <c r="H2153" t="s">
        <v>22</v>
      </c>
      <c r="I2153">
        <v>0</v>
      </c>
      <c r="J2153" t="s">
        <v>23</v>
      </c>
    </row>
    <row r="2154" spans="1:10" x14ac:dyDescent="0.25">
      <c r="A2154" s="1">
        <v>201</v>
      </c>
      <c r="B2154" t="s">
        <v>35</v>
      </c>
      <c r="C2154">
        <v>119</v>
      </c>
      <c r="D2154">
        <v>4</v>
      </c>
      <c r="E2154" t="s">
        <v>98</v>
      </c>
      <c r="F2154" t="s">
        <v>99</v>
      </c>
      <c r="G2154" t="str">
        <f>"2025-03-13 06:42:25.427"</f>
        <v>2025-03-13 06:42:25.427</v>
      </c>
      <c r="H2154" t="s">
        <v>48</v>
      </c>
    </row>
    <row r="2155" spans="1:10" x14ac:dyDescent="0.25">
      <c r="A2155" s="1">
        <v>202</v>
      </c>
      <c r="B2155" t="s">
        <v>39</v>
      </c>
      <c r="C2155">
        <v>119</v>
      </c>
      <c r="D2155">
        <v>4</v>
      </c>
      <c r="E2155" t="s">
        <v>98</v>
      </c>
      <c r="F2155" t="s">
        <v>99</v>
      </c>
      <c r="G2155" t="str">
        <f>"2025-03-13 06:42:20.351"</f>
        <v>2025-03-13 06:42:20.351</v>
      </c>
      <c r="H2155" t="s">
        <v>48</v>
      </c>
      <c r="I2155">
        <v>26.87</v>
      </c>
      <c r="J2155" t="s">
        <v>30</v>
      </c>
    </row>
    <row r="2156" spans="1:10" x14ac:dyDescent="0.25">
      <c r="A2156" s="1">
        <v>203</v>
      </c>
      <c r="B2156" t="s">
        <v>35</v>
      </c>
      <c r="C2156">
        <v>228</v>
      </c>
      <c r="D2156">
        <v>4</v>
      </c>
      <c r="E2156" t="s">
        <v>94</v>
      </c>
      <c r="F2156" t="s">
        <v>86</v>
      </c>
      <c r="G2156" t="str">
        <f>"2025-03-12 23:40:03.927"</f>
        <v>2025-03-12 23:40:03.927</v>
      </c>
      <c r="H2156" t="s">
        <v>45</v>
      </c>
    </row>
    <row r="2157" spans="1:10" x14ac:dyDescent="0.25">
      <c r="A2157" s="1">
        <v>204</v>
      </c>
      <c r="B2157" t="s">
        <v>39</v>
      </c>
      <c r="C2157">
        <v>228</v>
      </c>
      <c r="D2157">
        <v>4</v>
      </c>
      <c r="E2157" t="s">
        <v>94</v>
      </c>
      <c r="F2157" t="s">
        <v>86</v>
      </c>
      <c r="G2157" t="str">
        <f>"2025-03-12 23:39:58.851"</f>
        <v>2025-03-12 23:39:58.851</v>
      </c>
      <c r="H2157" t="s">
        <v>45</v>
      </c>
      <c r="I2157">
        <v>23.88</v>
      </c>
      <c r="J2157" t="s">
        <v>33</v>
      </c>
    </row>
    <row r="2158" spans="1:10" x14ac:dyDescent="0.25">
      <c r="A2158" s="1">
        <v>205</v>
      </c>
      <c r="B2158" t="s">
        <v>26</v>
      </c>
      <c r="C2158">
        <v>635</v>
      </c>
      <c r="D2158">
        <v>1</v>
      </c>
      <c r="E2158" t="s">
        <v>31</v>
      </c>
      <c r="F2158" t="s">
        <v>32</v>
      </c>
      <c r="G2158" t="str">
        <f>"2025-03-12 21:56:18.648"</f>
        <v>2025-03-12 21:56:18.648</v>
      </c>
      <c r="H2158" t="s">
        <v>22</v>
      </c>
    </row>
    <row r="2159" spans="1:10" x14ac:dyDescent="0.25">
      <c r="A2159" s="1">
        <v>206</v>
      </c>
      <c r="B2159" t="s">
        <v>29</v>
      </c>
      <c r="C2159">
        <v>635</v>
      </c>
      <c r="D2159">
        <v>1</v>
      </c>
      <c r="E2159" t="s">
        <v>31</v>
      </c>
      <c r="F2159" t="s">
        <v>32</v>
      </c>
      <c r="G2159" t="str">
        <f>"2025-03-12 21:50:41.148"</f>
        <v>2025-03-12 21:50:41.148</v>
      </c>
      <c r="H2159" t="s">
        <v>22</v>
      </c>
      <c r="I2159">
        <v>1.46</v>
      </c>
      <c r="J2159" t="s">
        <v>33</v>
      </c>
    </row>
    <row r="2160" spans="1:10" x14ac:dyDescent="0.25">
      <c r="A2160" s="1">
        <v>207</v>
      </c>
      <c r="B2160" t="s">
        <v>19</v>
      </c>
      <c r="C2160">
        <v>706</v>
      </c>
      <c r="D2160">
        <v>4</v>
      </c>
      <c r="E2160" t="s">
        <v>20</v>
      </c>
      <c r="F2160" t="s">
        <v>21</v>
      </c>
      <c r="G2160" t="str">
        <f>"2025-03-12 17:32:55.107"</f>
        <v>2025-03-12 17:32:55.107</v>
      </c>
      <c r="H2160" t="s">
        <v>22</v>
      </c>
      <c r="I2160">
        <v>0</v>
      </c>
      <c r="J2160" t="s">
        <v>23</v>
      </c>
    </row>
    <row r="2161" spans="1:10" x14ac:dyDescent="0.25">
      <c r="A2161" s="1">
        <v>208</v>
      </c>
      <c r="B2161" t="s">
        <v>35</v>
      </c>
      <c r="C2161">
        <v>228</v>
      </c>
      <c r="D2161">
        <v>4</v>
      </c>
      <c r="E2161" t="s">
        <v>94</v>
      </c>
      <c r="F2161" t="s">
        <v>86</v>
      </c>
      <c r="G2161" t="str">
        <f>"2025-03-12 06:05:27.227"</f>
        <v>2025-03-12 06:05:27.227</v>
      </c>
      <c r="H2161" t="s">
        <v>45</v>
      </c>
    </row>
    <row r="2162" spans="1:10" x14ac:dyDescent="0.25">
      <c r="A2162" s="1">
        <v>209</v>
      </c>
      <c r="B2162" t="s">
        <v>39</v>
      </c>
      <c r="C2162">
        <v>228</v>
      </c>
      <c r="D2162">
        <v>4</v>
      </c>
      <c r="E2162" t="s">
        <v>94</v>
      </c>
      <c r="F2162" t="s">
        <v>86</v>
      </c>
      <c r="G2162" t="str">
        <f>"2025-03-12 06:05:22.131"</f>
        <v>2025-03-12 06:05:22.131</v>
      </c>
      <c r="H2162" t="s">
        <v>45</v>
      </c>
      <c r="I2162">
        <v>15.17</v>
      </c>
      <c r="J2162" t="s">
        <v>33</v>
      </c>
    </row>
    <row r="2163" spans="1:10" x14ac:dyDescent="0.25">
      <c r="A2163" s="1">
        <v>210</v>
      </c>
      <c r="B2163" t="s">
        <v>35</v>
      </c>
      <c r="C2163">
        <v>228</v>
      </c>
      <c r="D2163">
        <v>4</v>
      </c>
      <c r="E2163" t="s">
        <v>94</v>
      </c>
      <c r="F2163" t="s">
        <v>86</v>
      </c>
      <c r="G2163" t="str">
        <f>"2025-03-12 03:12:18.927"</f>
        <v>2025-03-12 03:12:18.927</v>
      </c>
      <c r="H2163" t="s">
        <v>45</v>
      </c>
    </row>
    <row r="2164" spans="1:10" x14ac:dyDescent="0.25">
      <c r="A2164" s="1">
        <v>211</v>
      </c>
      <c r="B2164" t="s">
        <v>39</v>
      </c>
      <c r="C2164">
        <v>228</v>
      </c>
      <c r="D2164">
        <v>4</v>
      </c>
      <c r="E2164" t="s">
        <v>94</v>
      </c>
      <c r="F2164" t="s">
        <v>86</v>
      </c>
      <c r="G2164" t="str">
        <f>"2025-03-12 03:12:13.911"</f>
        <v>2025-03-12 03:12:13.911</v>
      </c>
      <c r="H2164" t="s">
        <v>45</v>
      </c>
      <c r="I2164">
        <v>4.72</v>
      </c>
      <c r="J2164" t="s">
        <v>33</v>
      </c>
    </row>
    <row r="2165" spans="1:10" x14ac:dyDescent="0.25">
      <c r="A2165" s="1">
        <v>212</v>
      </c>
      <c r="B2165" t="s">
        <v>19</v>
      </c>
      <c r="C2165">
        <v>706</v>
      </c>
      <c r="D2165">
        <v>4</v>
      </c>
      <c r="E2165" t="s">
        <v>20</v>
      </c>
      <c r="F2165" t="s">
        <v>21</v>
      </c>
      <c r="G2165" t="str">
        <f>"2025-03-11 19:33:55.947"</f>
        <v>2025-03-11 19:33:55.947</v>
      </c>
      <c r="H2165" t="s">
        <v>22</v>
      </c>
      <c r="I2165">
        <v>0</v>
      </c>
      <c r="J2165" t="s">
        <v>23</v>
      </c>
    </row>
    <row r="2166" spans="1:10" x14ac:dyDescent="0.25">
      <c r="A2166" s="1">
        <v>213</v>
      </c>
      <c r="B2166" t="s">
        <v>19</v>
      </c>
      <c r="C2166">
        <v>706</v>
      </c>
      <c r="D2166">
        <v>4</v>
      </c>
      <c r="E2166" t="s">
        <v>20</v>
      </c>
      <c r="F2166" t="s">
        <v>21</v>
      </c>
      <c r="G2166" t="str">
        <f>"2025-03-11 18:07:12.827"</f>
        <v>2025-03-11 18:07:12.827</v>
      </c>
      <c r="H2166" t="s">
        <v>22</v>
      </c>
      <c r="I2166">
        <v>0</v>
      </c>
      <c r="J2166" t="s">
        <v>23</v>
      </c>
    </row>
    <row r="2167" spans="1:10" x14ac:dyDescent="0.25">
      <c r="A2167" s="1">
        <v>214</v>
      </c>
      <c r="B2167" t="s">
        <v>35</v>
      </c>
      <c r="C2167">
        <v>228</v>
      </c>
      <c r="D2167">
        <v>4</v>
      </c>
      <c r="E2167" t="s">
        <v>94</v>
      </c>
      <c r="F2167" t="s">
        <v>86</v>
      </c>
      <c r="G2167" t="str">
        <f>"2025-03-11 05:49:27.727"</f>
        <v>2025-03-11 05:49:27.727</v>
      </c>
      <c r="H2167" t="s">
        <v>45</v>
      </c>
    </row>
    <row r="2168" spans="1:10" x14ac:dyDescent="0.25">
      <c r="A2168" s="1">
        <v>215</v>
      </c>
      <c r="B2168" t="s">
        <v>39</v>
      </c>
      <c r="C2168">
        <v>228</v>
      </c>
      <c r="D2168">
        <v>4</v>
      </c>
      <c r="E2168" t="s">
        <v>94</v>
      </c>
      <c r="F2168" t="s">
        <v>86</v>
      </c>
      <c r="G2168" t="str">
        <f>"2025-03-11 05:49:22.651"</f>
        <v>2025-03-11 05:49:22.651</v>
      </c>
      <c r="H2168" t="s">
        <v>45</v>
      </c>
      <c r="I2168">
        <v>0</v>
      </c>
      <c r="J2168" t="s">
        <v>52</v>
      </c>
    </row>
    <row r="2169" spans="1:10" x14ac:dyDescent="0.25">
      <c r="A2169" s="1">
        <v>216</v>
      </c>
      <c r="B2169" t="s">
        <v>19</v>
      </c>
      <c r="C2169">
        <v>706</v>
      </c>
      <c r="D2169">
        <v>4</v>
      </c>
      <c r="E2169" t="s">
        <v>20</v>
      </c>
      <c r="F2169" t="s">
        <v>21</v>
      </c>
      <c r="G2169" t="str">
        <f>"2025-03-10 19:31:19.457"</f>
        <v>2025-03-10 19:31:19.457</v>
      </c>
      <c r="H2169" t="s">
        <v>22</v>
      </c>
      <c r="I2169">
        <v>0</v>
      </c>
      <c r="J2169" t="s">
        <v>23</v>
      </c>
    </row>
    <row r="2170" spans="1:10" x14ac:dyDescent="0.25">
      <c r="A2170" s="1">
        <v>217</v>
      </c>
      <c r="B2170" t="s">
        <v>19</v>
      </c>
      <c r="C2170">
        <v>706</v>
      </c>
      <c r="D2170">
        <v>2</v>
      </c>
      <c r="E2170" t="s">
        <v>20</v>
      </c>
      <c r="F2170" t="s">
        <v>25</v>
      </c>
      <c r="G2170" t="str">
        <f>"2025-03-10 15:15:09.237"</f>
        <v>2025-03-10 15:15:09.237</v>
      </c>
      <c r="H2170" t="s">
        <v>22</v>
      </c>
      <c r="I2170">
        <v>0</v>
      </c>
      <c r="J2170" t="s">
        <v>23</v>
      </c>
    </row>
    <row r="2171" spans="1:10" x14ac:dyDescent="0.25">
      <c r="A2171" s="1">
        <v>218</v>
      </c>
      <c r="B2171" t="s">
        <v>35</v>
      </c>
      <c r="C2171">
        <v>228</v>
      </c>
      <c r="D2171">
        <v>4</v>
      </c>
      <c r="E2171" t="s">
        <v>94</v>
      </c>
      <c r="F2171" t="s">
        <v>86</v>
      </c>
      <c r="G2171" t="str">
        <f>"2025-03-09 21:21:00.627"</f>
        <v>2025-03-09 21:21:00.627</v>
      </c>
      <c r="H2171" t="s">
        <v>45</v>
      </c>
    </row>
    <row r="2172" spans="1:10" x14ac:dyDescent="0.25">
      <c r="A2172" s="1">
        <v>219</v>
      </c>
      <c r="B2172" t="s">
        <v>39</v>
      </c>
      <c r="C2172">
        <v>228</v>
      </c>
      <c r="D2172">
        <v>4</v>
      </c>
      <c r="E2172" t="s">
        <v>94</v>
      </c>
      <c r="F2172" t="s">
        <v>86</v>
      </c>
      <c r="G2172" t="str">
        <f>"2025-03-09 21:20:55.551"</f>
        <v>2025-03-09 21:20:55.551</v>
      </c>
      <c r="H2172" t="s">
        <v>45</v>
      </c>
      <c r="I2172">
        <v>18.59</v>
      </c>
      <c r="J2172" t="s">
        <v>33</v>
      </c>
    </row>
    <row r="2173" spans="1:10" x14ac:dyDescent="0.25">
      <c r="A2173" s="1">
        <v>220</v>
      </c>
      <c r="B2173" t="s">
        <v>19</v>
      </c>
      <c r="C2173">
        <v>706</v>
      </c>
      <c r="D2173">
        <v>4</v>
      </c>
      <c r="E2173" t="s">
        <v>20</v>
      </c>
      <c r="F2173" t="s">
        <v>21</v>
      </c>
      <c r="G2173" t="str">
        <f>"2025-03-09 15:36:09.877"</f>
        <v>2025-03-09 15:36:09.877</v>
      </c>
      <c r="H2173" t="s">
        <v>22</v>
      </c>
      <c r="I2173">
        <v>0</v>
      </c>
      <c r="J2173" t="s">
        <v>23</v>
      </c>
    </row>
    <row r="2174" spans="1:10" x14ac:dyDescent="0.25">
      <c r="A2174" s="1">
        <v>221</v>
      </c>
      <c r="B2174" t="s">
        <v>35</v>
      </c>
      <c r="C2174">
        <v>228</v>
      </c>
      <c r="D2174">
        <v>4</v>
      </c>
      <c r="E2174" t="s">
        <v>94</v>
      </c>
      <c r="F2174" t="s">
        <v>86</v>
      </c>
      <c r="G2174" t="str">
        <f>"2025-03-09 12:59:19.127"</f>
        <v>2025-03-09 12:59:19.127</v>
      </c>
      <c r="H2174" t="s">
        <v>45</v>
      </c>
    </row>
    <row r="2175" spans="1:10" x14ac:dyDescent="0.25">
      <c r="A2175" s="1">
        <v>222</v>
      </c>
      <c r="B2175" t="s">
        <v>39</v>
      </c>
      <c r="C2175">
        <v>228</v>
      </c>
      <c r="D2175">
        <v>4</v>
      </c>
      <c r="E2175" t="s">
        <v>94</v>
      </c>
      <c r="F2175" t="s">
        <v>86</v>
      </c>
      <c r="G2175" t="str">
        <f>"2025-03-09 12:59:14.091"</f>
        <v>2025-03-09 12:59:14.091</v>
      </c>
      <c r="H2175" t="s">
        <v>45</v>
      </c>
      <c r="I2175">
        <v>11.01</v>
      </c>
      <c r="J2175" t="s">
        <v>33</v>
      </c>
    </row>
    <row r="2176" spans="1:10" s="3" customFormat="1" x14ac:dyDescent="0.25">
      <c r="A2176" s="2">
        <v>223</v>
      </c>
      <c r="B2176" s="3" t="s">
        <v>26</v>
      </c>
      <c r="C2176" s="3">
        <v>647</v>
      </c>
      <c r="D2176" s="3">
        <v>1</v>
      </c>
      <c r="E2176" s="3" t="s">
        <v>27</v>
      </c>
      <c r="F2176" s="3" t="s">
        <v>28</v>
      </c>
      <c r="G2176" s="3" t="str">
        <f>"2025-03-09 03:44:39.449"</f>
        <v>2025-03-09 03:44:39.449</v>
      </c>
      <c r="H2176" s="3" t="s">
        <v>22</v>
      </c>
    </row>
    <row r="2177" spans="1:10" s="3" customFormat="1" x14ac:dyDescent="0.25">
      <c r="A2177" s="2">
        <v>224</v>
      </c>
      <c r="B2177" s="3" t="s">
        <v>29</v>
      </c>
      <c r="C2177" s="3">
        <v>647</v>
      </c>
      <c r="D2177" s="3">
        <v>1</v>
      </c>
      <c r="E2177" s="3" t="s">
        <v>27</v>
      </c>
      <c r="F2177" s="3" t="s">
        <v>28</v>
      </c>
      <c r="G2177" s="3" t="str">
        <f>"2025-03-09 03:44:37.949"</f>
        <v>2025-03-09 03:44:37.949</v>
      </c>
      <c r="H2177" s="3" t="s">
        <v>22</v>
      </c>
      <c r="I2177" s="3">
        <v>9.89</v>
      </c>
      <c r="J2177" s="3" t="s">
        <v>30</v>
      </c>
    </row>
    <row r="2178" spans="1:10" x14ac:dyDescent="0.25">
      <c r="A2178" s="1">
        <v>225</v>
      </c>
      <c r="B2178" t="s">
        <v>19</v>
      </c>
      <c r="C2178">
        <v>706</v>
      </c>
      <c r="D2178">
        <v>4</v>
      </c>
      <c r="E2178" t="s">
        <v>20</v>
      </c>
      <c r="F2178" t="s">
        <v>21</v>
      </c>
      <c r="G2178" t="str">
        <f>"2025-03-08 19:32:44.157"</f>
        <v>2025-03-08 19:32:44.157</v>
      </c>
      <c r="H2178" t="s">
        <v>22</v>
      </c>
      <c r="I2178">
        <v>0</v>
      </c>
      <c r="J2178" t="s">
        <v>23</v>
      </c>
    </row>
    <row r="2179" spans="1:10" x14ac:dyDescent="0.25">
      <c r="A2179" s="1">
        <v>226</v>
      </c>
      <c r="B2179" t="s">
        <v>19</v>
      </c>
      <c r="C2179">
        <v>706</v>
      </c>
      <c r="D2179">
        <v>2</v>
      </c>
      <c r="E2179" t="s">
        <v>20</v>
      </c>
      <c r="F2179" t="s">
        <v>25</v>
      </c>
      <c r="G2179" t="str">
        <f>"2025-03-08 12:52:01.337"</f>
        <v>2025-03-08 12:52:01.337</v>
      </c>
      <c r="H2179" t="s">
        <v>22</v>
      </c>
      <c r="I2179">
        <v>0</v>
      </c>
      <c r="J2179" t="s">
        <v>23</v>
      </c>
    </row>
    <row r="2180" spans="1:10" x14ac:dyDescent="0.25">
      <c r="A2180" s="1">
        <v>227</v>
      </c>
      <c r="B2180" t="s">
        <v>35</v>
      </c>
      <c r="C2180">
        <v>137</v>
      </c>
      <c r="D2180">
        <v>4</v>
      </c>
      <c r="E2180" t="s">
        <v>65</v>
      </c>
      <c r="F2180" t="s">
        <v>66</v>
      </c>
      <c r="G2180" t="str">
        <f>"2025-03-08 05:07:57.928"</f>
        <v>2025-03-08 05:07:57.928</v>
      </c>
      <c r="H2180" t="s">
        <v>48</v>
      </c>
    </row>
    <row r="2181" spans="1:10" x14ac:dyDescent="0.25">
      <c r="A2181" s="1">
        <v>228</v>
      </c>
      <c r="B2181" t="s">
        <v>39</v>
      </c>
      <c r="C2181">
        <v>137</v>
      </c>
      <c r="D2181">
        <v>4</v>
      </c>
      <c r="E2181" t="s">
        <v>65</v>
      </c>
      <c r="F2181" t="s">
        <v>66</v>
      </c>
      <c r="G2181" t="str">
        <f>"2025-03-08 05:07:52.871"</f>
        <v>2025-03-08 05:07:52.871</v>
      </c>
      <c r="H2181" t="s">
        <v>48</v>
      </c>
      <c r="I2181">
        <v>10.54</v>
      </c>
      <c r="J2181" t="s">
        <v>33</v>
      </c>
    </row>
    <row r="2182" spans="1:10" x14ac:dyDescent="0.25">
      <c r="A2182" s="1">
        <v>229</v>
      </c>
      <c r="B2182" t="s">
        <v>19</v>
      </c>
      <c r="C2182">
        <v>700</v>
      </c>
      <c r="D2182">
        <v>0</v>
      </c>
      <c r="E2182" t="s">
        <v>24</v>
      </c>
      <c r="F2182" t="s">
        <v>24</v>
      </c>
      <c r="G2182" t="str">
        <f>"2025-03-07 15:53:56.387"</f>
        <v>2025-03-07 15:53:56.387</v>
      </c>
      <c r="H2182" t="s">
        <v>22</v>
      </c>
    </row>
    <row r="2183" spans="1:10" x14ac:dyDescent="0.25">
      <c r="A2183" s="1">
        <v>230</v>
      </c>
      <c r="B2183" t="s">
        <v>19</v>
      </c>
      <c r="C2183">
        <v>700</v>
      </c>
      <c r="D2183">
        <v>0</v>
      </c>
      <c r="E2183" t="s">
        <v>24</v>
      </c>
      <c r="F2183" t="s">
        <v>24</v>
      </c>
      <c r="G2183" t="str">
        <f>"2025-03-07 15:39:34.398"</f>
        <v>2025-03-07 15:39:34.398</v>
      </c>
      <c r="H2183" t="s">
        <v>22</v>
      </c>
    </row>
    <row r="2184" spans="1:10" x14ac:dyDescent="0.25">
      <c r="A2184" s="1">
        <v>231</v>
      </c>
      <c r="B2184" t="s">
        <v>19</v>
      </c>
      <c r="C2184">
        <v>700</v>
      </c>
      <c r="D2184">
        <v>0</v>
      </c>
      <c r="E2184" t="s">
        <v>24</v>
      </c>
      <c r="F2184" t="s">
        <v>24</v>
      </c>
      <c r="G2184" t="str">
        <f>"2025-03-07 14:26:05.395"</f>
        <v>2025-03-07 14:26:05.395</v>
      </c>
      <c r="H2184" t="s">
        <v>22</v>
      </c>
      <c r="I2184">
        <v>0</v>
      </c>
      <c r="J2184" t="s">
        <v>34</v>
      </c>
    </row>
    <row r="2185" spans="1:10" x14ac:dyDescent="0.25">
      <c r="A2185" s="1">
        <v>232</v>
      </c>
      <c r="B2185" t="s">
        <v>19</v>
      </c>
      <c r="C2185">
        <v>700</v>
      </c>
      <c r="D2185">
        <v>0</v>
      </c>
      <c r="E2185" t="s">
        <v>24</v>
      </c>
      <c r="F2185" t="s">
        <v>24</v>
      </c>
      <c r="G2185" t="str">
        <f>"2025-03-07 14:12:32.399"</f>
        <v>2025-03-07 14:12:32.399</v>
      </c>
      <c r="H2185" t="s">
        <v>22</v>
      </c>
    </row>
    <row r="2186" spans="1:10" x14ac:dyDescent="0.25">
      <c r="A2186" s="1">
        <v>233</v>
      </c>
      <c r="B2186" t="s">
        <v>19</v>
      </c>
      <c r="C2186">
        <v>706</v>
      </c>
      <c r="D2186">
        <v>4</v>
      </c>
      <c r="E2186" t="s">
        <v>20</v>
      </c>
      <c r="F2186" t="s">
        <v>21</v>
      </c>
      <c r="G2186" t="str">
        <f>"2025-03-06 19:32:12.209"</f>
        <v>2025-03-06 19:32:12.209</v>
      </c>
      <c r="H2186" t="s">
        <v>22</v>
      </c>
      <c r="I2186">
        <v>0</v>
      </c>
      <c r="J2186" t="s">
        <v>23</v>
      </c>
    </row>
    <row r="2187" spans="1:10" x14ac:dyDescent="0.25">
      <c r="A2187" s="1">
        <v>234</v>
      </c>
      <c r="B2187" t="s">
        <v>19</v>
      </c>
      <c r="C2187">
        <v>706</v>
      </c>
      <c r="D2187">
        <v>2</v>
      </c>
      <c r="E2187" t="s">
        <v>20</v>
      </c>
      <c r="F2187" t="s">
        <v>25</v>
      </c>
      <c r="G2187" t="str">
        <f>"2025-03-05 17:01:11.739"</f>
        <v>2025-03-05 17:01:11.739</v>
      </c>
      <c r="H2187" t="s">
        <v>22</v>
      </c>
      <c r="I2187">
        <v>0</v>
      </c>
      <c r="J2187" t="s">
        <v>23</v>
      </c>
    </row>
    <row r="2188" spans="1:10" x14ac:dyDescent="0.25">
      <c r="A2188" s="1">
        <v>235</v>
      </c>
      <c r="B2188" t="s">
        <v>26</v>
      </c>
      <c r="C2188">
        <v>635</v>
      </c>
      <c r="D2188">
        <v>1</v>
      </c>
      <c r="E2188" t="s">
        <v>31</v>
      </c>
      <c r="F2188" t="s">
        <v>32</v>
      </c>
      <c r="G2188" t="str">
        <f>"2025-03-05 06:02:21.877"</f>
        <v>2025-03-05 06:02:21.877</v>
      </c>
      <c r="H2188" t="s">
        <v>22</v>
      </c>
    </row>
    <row r="2189" spans="1:10" x14ac:dyDescent="0.25">
      <c r="A2189" s="1">
        <v>236</v>
      </c>
      <c r="B2189" t="s">
        <v>29</v>
      </c>
      <c r="C2189">
        <v>635</v>
      </c>
      <c r="D2189">
        <v>1</v>
      </c>
      <c r="E2189" t="s">
        <v>31</v>
      </c>
      <c r="F2189" t="s">
        <v>32</v>
      </c>
      <c r="G2189" t="str">
        <f>"2025-03-05 05:58:10.877"</f>
        <v>2025-03-05 05:58:10.877</v>
      </c>
      <c r="H2189" t="s">
        <v>22</v>
      </c>
      <c r="I2189">
        <v>9.1199999999999992</v>
      </c>
      <c r="J2189" t="s">
        <v>33</v>
      </c>
    </row>
    <row r="2190" spans="1:10" x14ac:dyDescent="0.25">
      <c r="A2190" s="1">
        <v>237</v>
      </c>
      <c r="B2190" t="s">
        <v>35</v>
      </c>
      <c r="C2190">
        <v>128</v>
      </c>
      <c r="D2190">
        <v>4</v>
      </c>
      <c r="E2190" t="s">
        <v>85</v>
      </c>
      <c r="F2190" t="s">
        <v>86</v>
      </c>
      <c r="G2190" t="str">
        <f>"2025-03-05 02:13:29.814"</f>
        <v>2025-03-05 02:13:29.814</v>
      </c>
      <c r="H2190" t="s">
        <v>48</v>
      </c>
    </row>
    <row r="2191" spans="1:10" x14ac:dyDescent="0.25">
      <c r="A2191" s="1">
        <v>238</v>
      </c>
      <c r="B2191" t="s">
        <v>39</v>
      </c>
      <c r="C2191">
        <v>128</v>
      </c>
      <c r="D2191">
        <v>4</v>
      </c>
      <c r="E2191" t="s">
        <v>85</v>
      </c>
      <c r="F2191" t="s">
        <v>86</v>
      </c>
      <c r="G2191" t="str">
        <f>"2025-03-05 02:13:24.753"</f>
        <v>2025-03-05 02:13:24.753</v>
      </c>
      <c r="H2191" t="s">
        <v>48</v>
      </c>
      <c r="I2191">
        <v>13.61</v>
      </c>
      <c r="J2191" t="s">
        <v>33</v>
      </c>
    </row>
    <row r="2192" spans="1:10" x14ac:dyDescent="0.25">
      <c r="A2192" s="1">
        <v>239</v>
      </c>
      <c r="B2192" t="s">
        <v>35</v>
      </c>
      <c r="C2192">
        <v>137</v>
      </c>
      <c r="D2192">
        <v>4</v>
      </c>
      <c r="E2192" t="s">
        <v>65</v>
      </c>
      <c r="F2192" t="s">
        <v>66</v>
      </c>
      <c r="G2192" t="str">
        <f>"2025-03-04 15:26:45.615"</f>
        <v>2025-03-04 15:26:45.615</v>
      </c>
      <c r="H2192" t="s">
        <v>48</v>
      </c>
    </row>
    <row r="2193" spans="1:10" x14ac:dyDescent="0.25">
      <c r="A2193" s="1">
        <v>240</v>
      </c>
      <c r="B2193" t="s">
        <v>39</v>
      </c>
      <c r="C2193">
        <v>137</v>
      </c>
      <c r="D2193">
        <v>4</v>
      </c>
      <c r="E2193" t="s">
        <v>65</v>
      </c>
      <c r="F2193" t="s">
        <v>66</v>
      </c>
      <c r="G2193" t="str">
        <f>"2025-03-04 15:26:40.553"</f>
        <v>2025-03-04 15:26:40.553</v>
      </c>
      <c r="H2193" t="s">
        <v>48</v>
      </c>
      <c r="I2193">
        <v>9.93</v>
      </c>
      <c r="J2193" t="s">
        <v>33</v>
      </c>
    </row>
    <row r="2194" spans="1:10" x14ac:dyDescent="0.25">
      <c r="A2194" s="1">
        <v>243</v>
      </c>
      <c r="B2194" t="s">
        <v>19</v>
      </c>
      <c r="C2194">
        <v>706</v>
      </c>
      <c r="D2194">
        <v>4</v>
      </c>
      <c r="E2194" t="s">
        <v>20</v>
      </c>
      <c r="F2194" t="s">
        <v>21</v>
      </c>
      <c r="G2194" t="str">
        <f>"2025-03-04 11:53:50.949"</f>
        <v>2025-03-04 11:53:50.949</v>
      </c>
      <c r="H2194" t="s">
        <v>22</v>
      </c>
      <c r="I2194">
        <v>0</v>
      </c>
      <c r="J2194" t="s">
        <v>23</v>
      </c>
    </row>
    <row r="2195" spans="1:10" x14ac:dyDescent="0.25">
      <c r="A2195" s="1">
        <v>244</v>
      </c>
      <c r="B2195" t="s">
        <v>19</v>
      </c>
      <c r="C2195">
        <v>782</v>
      </c>
      <c r="D2195">
        <v>7</v>
      </c>
      <c r="E2195" t="s">
        <v>61</v>
      </c>
      <c r="F2195" t="s">
        <v>62</v>
      </c>
      <c r="G2195" t="str">
        <f>"2025-03-04 11:53:31.240"</f>
        <v>2025-03-04 11:53:31.240</v>
      </c>
      <c r="H2195" t="s">
        <v>22</v>
      </c>
      <c r="I2195">
        <v>0</v>
      </c>
      <c r="J2195" t="s">
        <v>23</v>
      </c>
    </row>
    <row r="2196" spans="1:10" x14ac:dyDescent="0.25">
      <c r="A2196" s="1">
        <v>247</v>
      </c>
      <c r="B2196" t="s">
        <v>26</v>
      </c>
      <c r="C2196">
        <v>127</v>
      </c>
      <c r="D2196">
        <v>6</v>
      </c>
      <c r="E2196" t="s">
        <v>100</v>
      </c>
      <c r="F2196" t="s">
        <v>101</v>
      </c>
      <c r="G2196" t="str">
        <f>"2025-03-04 11:53:31.234"</f>
        <v>2025-03-04 11:53:31.234</v>
      </c>
      <c r="H2196" t="s">
        <v>22</v>
      </c>
    </row>
    <row r="2197" spans="1:10" x14ac:dyDescent="0.25">
      <c r="A2197" s="1">
        <v>248</v>
      </c>
      <c r="B2197" t="s">
        <v>26</v>
      </c>
      <c r="C2197">
        <v>126</v>
      </c>
      <c r="D2197">
        <v>2</v>
      </c>
      <c r="E2197" t="s">
        <v>102</v>
      </c>
      <c r="F2197" t="s">
        <v>103</v>
      </c>
      <c r="G2197" t="str">
        <f>"2025-03-04 11:53:31.231"</f>
        <v>2025-03-04 11:53:31.231</v>
      </c>
      <c r="H2197" t="s">
        <v>48</v>
      </c>
    </row>
    <row r="2198" spans="1:10" x14ac:dyDescent="0.25">
      <c r="A2198" s="1">
        <v>249</v>
      </c>
      <c r="B2198" t="s">
        <v>19</v>
      </c>
      <c r="C2198">
        <v>782</v>
      </c>
      <c r="D2198">
        <v>7</v>
      </c>
      <c r="E2198" t="s">
        <v>61</v>
      </c>
      <c r="F2198" t="s">
        <v>62</v>
      </c>
      <c r="G2198" t="str">
        <f>"2025-03-04 11:53:31.230"</f>
        <v>2025-03-04 11:53:31.230</v>
      </c>
      <c r="H2198" t="s">
        <v>22</v>
      </c>
      <c r="I2198">
        <v>0</v>
      </c>
      <c r="J2198" t="s">
        <v>23</v>
      </c>
    </row>
    <row r="2199" spans="1:10" x14ac:dyDescent="0.25">
      <c r="A2199" s="1">
        <v>250</v>
      </c>
      <c r="B2199" t="s">
        <v>19</v>
      </c>
      <c r="C2199">
        <v>700</v>
      </c>
      <c r="D2199">
        <v>0</v>
      </c>
      <c r="E2199" t="s">
        <v>24</v>
      </c>
      <c r="F2199" t="s">
        <v>24</v>
      </c>
      <c r="G2199" t="str">
        <f>"2025-03-04 11:53:16.379"</f>
        <v>2025-03-04 11:53:16.379</v>
      </c>
      <c r="H2199" t="s">
        <v>22</v>
      </c>
    </row>
    <row r="2200" spans="1:10" x14ac:dyDescent="0.25">
      <c r="A2200" s="1">
        <v>251</v>
      </c>
      <c r="B2200" t="s">
        <v>35</v>
      </c>
      <c r="C2200">
        <v>77</v>
      </c>
      <c r="D2200">
        <v>1</v>
      </c>
      <c r="E2200" t="s">
        <v>50</v>
      </c>
      <c r="F2200" t="s">
        <v>51</v>
      </c>
      <c r="G2200" t="str">
        <f>"2025-03-04 11:37:58.659"</f>
        <v>2025-03-04 11:37:58.659</v>
      </c>
      <c r="H2200" t="s">
        <v>42</v>
      </c>
    </row>
    <row r="2201" spans="1:10" x14ac:dyDescent="0.25">
      <c r="A2201" s="1">
        <v>252</v>
      </c>
      <c r="B2201" t="s">
        <v>29</v>
      </c>
      <c r="C2201">
        <v>126</v>
      </c>
      <c r="D2201">
        <v>2</v>
      </c>
      <c r="E2201" t="s">
        <v>102</v>
      </c>
      <c r="F2201" t="s">
        <v>103</v>
      </c>
      <c r="G2201" t="str">
        <f>"2025-03-04 11:37:54.121"</f>
        <v>2025-03-04 11:37:54.121</v>
      </c>
      <c r="H2201" t="s">
        <v>48</v>
      </c>
      <c r="I2201">
        <v>0</v>
      </c>
      <c r="J2201" t="s">
        <v>23</v>
      </c>
    </row>
    <row r="2202" spans="1:10" x14ac:dyDescent="0.25">
      <c r="A2202" s="1">
        <v>253</v>
      </c>
      <c r="B2202" t="s">
        <v>39</v>
      </c>
      <c r="C2202">
        <v>77</v>
      </c>
      <c r="D2202">
        <v>1</v>
      </c>
      <c r="E2202" t="s">
        <v>50</v>
      </c>
      <c r="F2202" t="s">
        <v>51</v>
      </c>
      <c r="G2202" t="str">
        <f>"2025-03-04 11:37:53.564"</f>
        <v>2025-03-04 11:37:53.564</v>
      </c>
      <c r="H2202" t="s">
        <v>42</v>
      </c>
      <c r="I2202">
        <v>0</v>
      </c>
      <c r="J2202" t="s">
        <v>23</v>
      </c>
    </row>
    <row r="2203" spans="1:10" x14ac:dyDescent="0.25">
      <c r="A2203" s="1">
        <v>254</v>
      </c>
      <c r="B2203" t="s">
        <v>35</v>
      </c>
      <c r="C2203">
        <v>126</v>
      </c>
      <c r="D2203">
        <v>2</v>
      </c>
      <c r="E2203" t="s">
        <v>102</v>
      </c>
      <c r="F2203" t="s">
        <v>103</v>
      </c>
      <c r="G2203" t="str">
        <f>"2025-03-04 11:37:49.462"</f>
        <v>2025-03-04 11:37:49.462</v>
      </c>
      <c r="H2203" t="s">
        <v>48</v>
      </c>
    </row>
    <row r="2204" spans="1:10" x14ac:dyDescent="0.25">
      <c r="A2204" s="1">
        <v>255</v>
      </c>
      <c r="B2204" t="s">
        <v>35</v>
      </c>
      <c r="C2204">
        <v>77</v>
      </c>
      <c r="D2204">
        <v>1</v>
      </c>
      <c r="E2204" t="s">
        <v>50</v>
      </c>
      <c r="F2204" t="s">
        <v>51</v>
      </c>
      <c r="G2204" t="str">
        <f>"2025-03-04 11:37:49.259"</f>
        <v>2025-03-04 11:37:49.259</v>
      </c>
      <c r="H2204" t="s">
        <v>42</v>
      </c>
    </row>
    <row r="2205" spans="1:10" x14ac:dyDescent="0.25">
      <c r="A2205" s="1">
        <v>256</v>
      </c>
      <c r="B2205" t="s">
        <v>39</v>
      </c>
      <c r="C2205">
        <v>126</v>
      </c>
      <c r="D2205">
        <v>2</v>
      </c>
      <c r="E2205" t="s">
        <v>102</v>
      </c>
      <c r="F2205" t="s">
        <v>103</v>
      </c>
      <c r="G2205" t="str">
        <f>"2025-03-04 11:37:44.401"</f>
        <v>2025-03-04 11:37:44.401</v>
      </c>
      <c r="H2205" t="s">
        <v>48</v>
      </c>
      <c r="I2205">
        <v>0</v>
      </c>
      <c r="J2205" t="s">
        <v>23</v>
      </c>
    </row>
    <row r="2206" spans="1:10" x14ac:dyDescent="0.25">
      <c r="A2206" s="1">
        <v>257</v>
      </c>
      <c r="B2206" t="s">
        <v>39</v>
      </c>
      <c r="C2206">
        <v>77</v>
      </c>
      <c r="D2206">
        <v>1</v>
      </c>
      <c r="E2206" t="s">
        <v>50</v>
      </c>
      <c r="F2206" t="s">
        <v>51</v>
      </c>
      <c r="G2206" t="str">
        <f>"2025-03-04 11:37:44.164"</f>
        <v>2025-03-04 11:37:44.164</v>
      </c>
      <c r="H2206" t="s">
        <v>42</v>
      </c>
      <c r="I2206">
        <v>0</v>
      </c>
      <c r="J2206" t="s">
        <v>23</v>
      </c>
    </row>
    <row r="2207" spans="1:10" x14ac:dyDescent="0.25">
      <c r="A2207" s="1">
        <v>258</v>
      </c>
      <c r="B2207" t="s">
        <v>29</v>
      </c>
      <c r="C2207">
        <v>127</v>
      </c>
      <c r="D2207">
        <v>6</v>
      </c>
      <c r="E2207" t="s">
        <v>100</v>
      </c>
      <c r="F2207" t="s">
        <v>101</v>
      </c>
      <c r="G2207" t="str">
        <f>"2025-03-04 11:37:42.541"</f>
        <v>2025-03-04 11:37:42.541</v>
      </c>
      <c r="H2207" t="s">
        <v>22</v>
      </c>
      <c r="I2207">
        <v>0</v>
      </c>
      <c r="J2207" t="s">
        <v>23</v>
      </c>
    </row>
    <row r="2208" spans="1:10" x14ac:dyDescent="0.25">
      <c r="A2208" s="1">
        <v>259</v>
      </c>
      <c r="B2208" t="s">
        <v>35</v>
      </c>
      <c r="C2208">
        <v>127</v>
      </c>
      <c r="D2208">
        <v>6</v>
      </c>
      <c r="E2208" t="s">
        <v>100</v>
      </c>
      <c r="F2208" t="s">
        <v>101</v>
      </c>
      <c r="G2208" t="str">
        <f>"2025-03-04 11:37:42.359"</f>
        <v>2025-03-04 11:37:42.359</v>
      </c>
      <c r="H2208" t="s">
        <v>22</v>
      </c>
    </row>
    <row r="2209" spans="1:10" x14ac:dyDescent="0.25">
      <c r="A2209" s="1">
        <v>260</v>
      </c>
      <c r="B2209" t="s">
        <v>35</v>
      </c>
      <c r="C2209">
        <v>126</v>
      </c>
      <c r="D2209">
        <v>2</v>
      </c>
      <c r="E2209" t="s">
        <v>102</v>
      </c>
      <c r="F2209" t="s">
        <v>103</v>
      </c>
      <c r="G2209" t="str">
        <f>"2025-03-04 11:37:40.059"</f>
        <v>2025-03-04 11:37:40.059</v>
      </c>
      <c r="H2209" t="s">
        <v>48</v>
      </c>
    </row>
    <row r="2210" spans="1:10" x14ac:dyDescent="0.25">
      <c r="A2210" s="1">
        <v>261</v>
      </c>
      <c r="B2210" t="s">
        <v>35</v>
      </c>
      <c r="C2210">
        <v>77</v>
      </c>
      <c r="D2210">
        <v>1</v>
      </c>
      <c r="E2210" t="s">
        <v>50</v>
      </c>
      <c r="F2210" t="s">
        <v>51</v>
      </c>
      <c r="G2210" t="str">
        <f>"2025-03-04 11:37:39.859"</f>
        <v>2025-03-04 11:37:39.859</v>
      </c>
      <c r="H2210" t="s">
        <v>42</v>
      </c>
    </row>
    <row r="2211" spans="1:10" x14ac:dyDescent="0.25">
      <c r="A2211" s="1">
        <v>262</v>
      </c>
      <c r="B2211" t="s">
        <v>39</v>
      </c>
      <c r="C2211">
        <v>127</v>
      </c>
      <c r="D2211">
        <v>6</v>
      </c>
      <c r="E2211" t="s">
        <v>100</v>
      </c>
      <c r="F2211" t="s">
        <v>101</v>
      </c>
      <c r="G2211" t="str">
        <f>"2025-03-04 11:37:37.341"</f>
        <v>2025-03-04 11:37:37.341</v>
      </c>
      <c r="H2211" t="s">
        <v>22</v>
      </c>
      <c r="I2211">
        <v>0</v>
      </c>
      <c r="J2211" t="s">
        <v>23</v>
      </c>
    </row>
    <row r="2212" spans="1:10" x14ac:dyDescent="0.25">
      <c r="A2212" s="1">
        <v>263</v>
      </c>
      <c r="B2212" t="s">
        <v>35</v>
      </c>
      <c r="C2212">
        <v>127</v>
      </c>
      <c r="D2212">
        <v>6</v>
      </c>
      <c r="E2212" t="s">
        <v>100</v>
      </c>
      <c r="F2212" t="s">
        <v>101</v>
      </c>
      <c r="G2212" t="str">
        <f>"2025-03-04 11:37:37.159"</f>
        <v>2025-03-04 11:37:37.159</v>
      </c>
      <c r="H2212" t="s">
        <v>22</v>
      </c>
    </row>
    <row r="2213" spans="1:10" x14ac:dyDescent="0.25">
      <c r="A2213" s="1">
        <v>264</v>
      </c>
      <c r="B2213" t="s">
        <v>39</v>
      </c>
      <c r="C2213">
        <v>126</v>
      </c>
      <c r="D2213">
        <v>2</v>
      </c>
      <c r="E2213" t="s">
        <v>102</v>
      </c>
      <c r="F2213" t="s">
        <v>103</v>
      </c>
      <c r="G2213" t="str">
        <f>"2025-03-04 11:37:35.001"</f>
        <v>2025-03-04 11:37:35.001</v>
      </c>
      <c r="H2213" t="s">
        <v>48</v>
      </c>
      <c r="I2213">
        <v>0</v>
      </c>
      <c r="J2213" t="s">
        <v>23</v>
      </c>
    </row>
    <row r="2214" spans="1:10" x14ac:dyDescent="0.25">
      <c r="A2214" s="1">
        <v>265</v>
      </c>
      <c r="B2214" t="s">
        <v>39</v>
      </c>
      <c r="C2214">
        <v>77</v>
      </c>
      <c r="D2214">
        <v>1</v>
      </c>
      <c r="E2214" t="s">
        <v>50</v>
      </c>
      <c r="F2214" t="s">
        <v>51</v>
      </c>
      <c r="G2214" t="str">
        <f>"2025-03-04 11:37:34.764"</f>
        <v>2025-03-04 11:37:34.764</v>
      </c>
      <c r="H2214" t="s">
        <v>42</v>
      </c>
      <c r="I2214">
        <v>0</v>
      </c>
      <c r="J2214" t="s">
        <v>23</v>
      </c>
    </row>
    <row r="2215" spans="1:10" x14ac:dyDescent="0.25">
      <c r="A2215" s="1">
        <v>266</v>
      </c>
      <c r="B2215" t="s">
        <v>39</v>
      </c>
      <c r="C2215">
        <v>127</v>
      </c>
      <c r="D2215">
        <v>6</v>
      </c>
      <c r="E2215" t="s">
        <v>100</v>
      </c>
      <c r="F2215" t="s">
        <v>101</v>
      </c>
      <c r="G2215" t="str">
        <f>"2025-03-04 11:37:32.141"</f>
        <v>2025-03-04 11:37:32.141</v>
      </c>
      <c r="H2215" t="s">
        <v>22</v>
      </c>
      <c r="I2215">
        <v>0</v>
      </c>
      <c r="J2215" t="s">
        <v>23</v>
      </c>
    </row>
    <row r="2216" spans="1:10" x14ac:dyDescent="0.25">
      <c r="A2216" s="1">
        <v>267</v>
      </c>
      <c r="B2216" t="s">
        <v>35</v>
      </c>
      <c r="C2216">
        <v>127</v>
      </c>
      <c r="D2216">
        <v>6</v>
      </c>
      <c r="E2216" t="s">
        <v>100</v>
      </c>
      <c r="F2216" t="s">
        <v>101</v>
      </c>
      <c r="G2216" t="str">
        <f>"2025-03-04 11:37:31.959"</f>
        <v>2025-03-04 11:37:31.959</v>
      </c>
      <c r="H2216" t="s">
        <v>22</v>
      </c>
    </row>
    <row r="2217" spans="1:10" x14ac:dyDescent="0.25">
      <c r="A2217" s="1">
        <v>268</v>
      </c>
      <c r="B2217" t="s">
        <v>35</v>
      </c>
      <c r="C2217">
        <v>126</v>
      </c>
      <c r="D2217">
        <v>2</v>
      </c>
      <c r="E2217" t="s">
        <v>102</v>
      </c>
      <c r="F2217" t="s">
        <v>103</v>
      </c>
      <c r="G2217" t="str">
        <f>"2025-03-04 11:37:30.659"</f>
        <v>2025-03-04 11:37:30.659</v>
      </c>
      <c r="H2217" t="s">
        <v>48</v>
      </c>
    </row>
    <row r="2218" spans="1:10" x14ac:dyDescent="0.25">
      <c r="A2218" s="1">
        <v>269</v>
      </c>
      <c r="B2218" t="s">
        <v>35</v>
      </c>
      <c r="C2218">
        <v>77</v>
      </c>
      <c r="D2218">
        <v>1</v>
      </c>
      <c r="E2218" t="s">
        <v>50</v>
      </c>
      <c r="F2218" t="s">
        <v>51</v>
      </c>
      <c r="G2218" t="str">
        <f>"2025-03-04 11:37:30.459"</f>
        <v>2025-03-04 11:37:30.459</v>
      </c>
      <c r="H2218" t="s">
        <v>42</v>
      </c>
    </row>
    <row r="2219" spans="1:10" x14ac:dyDescent="0.25">
      <c r="A2219" s="1">
        <v>270</v>
      </c>
      <c r="B2219" t="s">
        <v>39</v>
      </c>
      <c r="C2219">
        <v>127</v>
      </c>
      <c r="D2219">
        <v>6</v>
      </c>
      <c r="E2219" t="s">
        <v>100</v>
      </c>
      <c r="F2219" t="s">
        <v>101</v>
      </c>
      <c r="G2219" t="str">
        <f>"2025-03-04 11:37:26.901"</f>
        <v>2025-03-04 11:37:26.901</v>
      </c>
      <c r="H2219" t="s">
        <v>22</v>
      </c>
      <c r="I2219">
        <v>0</v>
      </c>
      <c r="J2219" t="s">
        <v>23</v>
      </c>
    </row>
    <row r="2220" spans="1:10" x14ac:dyDescent="0.25">
      <c r="A2220" s="1">
        <v>271</v>
      </c>
      <c r="B2220" t="s">
        <v>39</v>
      </c>
      <c r="C2220">
        <v>126</v>
      </c>
      <c r="D2220">
        <v>2</v>
      </c>
      <c r="E2220" t="s">
        <v>102</v>
      </c>
      <c r="F2220" t="s">
        <v>103</v>
      </c>
      <c r="G2220" t="str">
        <f>"2025-03-04 11:37:25.621"</f>
        <v>2025-03-04 11:37:25.621</v>
      </c>
      <c r="H2220" t="s">
        <v>48</v>
      </c>
      <c r="I2220">
        <v>0</v>
      </c>
      <c r="J2220" t="s">
        <v>23</v>
      </c>
    </row>
    <row r="2221" spans="1:10" x14ac:dyDescent="0.25">
      <c r="A2221" s="1">
        <v>272</v>
      </c>
      <c r="B2221" t="s">
        <v>39</v>
      </c>
      <c r="C2221">
        <v>77</v>
      </c>
      <c r="D2221">
        <v>1</v>
      </c>
      <c r="E2221" t="s">
        <v>50</v>
      </c>
      <c r="F2221" t="s">
        <v>51</v>
      </c>
      <c r="G2221" t="str">
        <f>"2025-03-04 11:37:25.385"</f>
        <v>2025-03-04 11:37:25.385</v>
      </c>
      <c r="H2221" t="s">
        <v>42</v>
      </c>
      <c r="I2221">
        <v>0</v>
      </c>
      <c r="J2221" t="s">
        <v>23</v>
      </c>
    </row>
    <row r="2222" spans="1:10" x14ac:dyDescent="0.25">
      <c r="A2222" s="1">
        <v>273</v>
      </c>
      <c r="B2222" t="s">
        <v>19</v>
      </c>
      <c r="C2222">
        <v>706</v>
      </c>
      <c r="D2222">
        <v>2</v>
      </c>
      <c r="E2222" t="s">
        <v>20</v>
      </c>
      <c r="F2222" t="s">
        <v>25</v>
      </c>
      <c r="G2222" t="str">
        <f>"2025-03-04 11:37:17.707"</f>
        <v>2025-03-04 11:37:17.707</v>
      </c>
      <c r="H2222" t="s">
        <v>22</v>
      </c>
      <c r="I2222">
        <v>0</v>
      </c>
      <c r="J2222" t="s">
        <v>23</v>
      </c>
    </row>
    <row r="2223" spans="1:10" x14ac:dyDescent="0.25">
      <c r="A2223" s="1">
        <v>274</v>
      </c>
      <c r="B2223" t="s">
        <v>19</v>
      </c>
      <c r="C2223">
        <v>700</v>
      </c>
      <c r="D2223">
        <v>0</v>
      </c>
      <c r="E2223" t="s">
        <v>24</v>
      </c>
      <c r="F2223" t="s">
        <v>24</v>
      </c>
      <c r="G2223" t="str">
        <f>"2025-03-04 11:34:08.387"</f>
        <v>2025-03-04 11:34:08.387</v>
      </c>
      <c r="H2223" t="s">
        <v>22</v>
      </c>
    </row>
    <row r="2224" spans="1:10" x14ac:dyDescent="0.25">
      <c r="A2224" s="1">
        <v>275</v>
      </c>
      <c r="B2224" t="s">
        <v>19</v>
      </c>
      <c r="C2224">
        <v>700</v>
      </c>
      <c r="D2224">
        <v>0</v>
      </c>
      <c r="E2224" t="s">
        <v>24</v>
      </c>
      <c r="F2224" t="s">
        <v>24</v>
      </c>
      <c r="G2224" t="str">
        <f>"2025-03-04 09:46:34.476"</f>
        <v>2025-03-04 09:46:34.476</v>
      </c>
      <c r="H2224" t="s">
        <v>22</v>
      </c>
    </row>
    <row r="2225" spans="1:10" x14ac:dyDescent="0.25">
      <c r="A2225" s="1">
        <v>276</v>
      </c>
      <c r="B2225" t="s">
        <v>19</v>
      </c>
      <c r="C2225">
        <v>700</v>
      </c>
      <c r="D2225">
        <v>0</v>
      </c>
      <c r="E2225" t="s">
        <v>24</v>
      </c>
      <c r="F2225" t="s">
        <v>24</v>
      </c>
      <c r="G2225" t="str">
        <f>"2025-03-04 09:31:28.387"</f>
        <v>2025-03-04 09:31:28.387</v>
      </c>
      <c r="H2225" t="s">
        <v>22</v>
      </c>
      <c r="I2225">
        <v>0</v>
      </c>
      <c r="J2225" t="s">
        <v>34</v>
      </c>
    </row>
    <row r="2226" spans="1:10" x14ac:dyDescent="0.25">
      <c r="A2226" s="1">
        <v>277</v>
      </c>
      <c r="B2226" t="s">
        <v>35</v>
      </c>
      <c r="C2226">
        <v>228</v>
      </c>
      <c r="D2226">
        <v>4</v>
      </c>
      <c r="E2226" t="s">
        <v>94</v>
      </c>
      <c r="F2226" t="s">
        <v>86</v>
      </c>
      <c r="G2226" t="str">
        <f>"2025-03-04 02:19:30.864"</f>
        <v>2025-03-04 02:19:30.864</v>
      </c>
      <c r="H2226" t="s">
        <v>45</v>
      </c>
    </row>
    <row r="2227" spans="1:10" x14ac:dyDescent="0.25">
      <c r="A2227" s="1">
        <v>278</v>
      </c>
      <c r="B2227" t="s">
        <v>39</v>
      </c>
      <c r="C2227">
        <v>228</v>
      </c>
      <c r="D2227">
        <v>4</v>
      </c>
      <c r="E2227" t="s">
        <v>94</v>
      </c>
      <c r="F2227" t="s">
        <v>86</v>
      </c>
      <c r="G2227" t="str">
        <f>"2025-03-04 02:19:25.841"</f>
        <v>2025-03-04 02:19:25.841</v>
      </c>
      <c r="H2227" t="s">
        <v>45</v>
      </c>
      <c r="I2227">
        <v>6.48</v>
      </c>
      <c r="J2227" t="s">
        <v>33</v>
      </c>
    </row>
    <row r="2228" spans="1:10" x14ac:dyDescent="0.25">
      <c r="A2228" s="1">
        <v>279</v>
      </c>
      <c r="B2228" t="s">
        <v>26</v>
      </c>
      <c r="C2228">
        <v>635</v>
      </c>
      <c r="D2228">
        <v>1</v>
      </c>
      <c r="E2228" t="s">
        <v>31</v>
      </c>
      <c r="F2228" t="s">
        <v>32</v>
      </c>
      <c r="G2228" t="str">
        <f>"2025-03-04 01:50:27.809"</f>
        <v>2025-03-04 01:50:27.809</v>
      </c>
      <c r="H2228" t="s">
        <v>22</v>
      </c>
    </row>
    <row r="2229" spans="1:10" x14ac:dyDescent="0.25">
      <c r="A2229" s="1">
        <v>280</v>
      </c>
      <c r="B2229" t="s">
        <v>29</v>
      </c>
      <c r="C2229">
        <v>635</v>
      </c>
      <c r="D2229">
        <v>1</v>
      </c>
      <c r="E2229" t="s">
        <v>31</v>
      </c>
      <c r="F2229" t="s">
        <v>32</v>
      </c>
      <c r="G2229" t="str">
        <f>"2025-03-04 01:47:00.309"</f>
        <v>2025-03-04 01:47:00.309</v>
      </c>
      <c r="H2229" t="s">
        <v>22</v>
      </c>
      <c r="I2229">
        <v>6.14</v>
      </c>
      <c r="J2229" t="s">
        <v>52</v>
      </c>
    </row>
    <row r="2230" spans="1:10" x14ac:dyDescent="0.25">
      <c r="A2230" s="1">
        <v>281</v>
      </c>
      <c r="B2230" t="s">
        <v>19</v>
      </c>
      <c r="C2230">
        <v>706</v>
      </c>
      <c r="D2230">
        <v>2</v>
      </c>
      <c r="E2230" t="s">
        <v>20</v>
      </c>
      <c r="F2230" t="s">
        <v>25</v>
      </c>
      <c r="G2230" t="str">
        <f>"2025-03-03 19:35:45.777"</f>
        <v>2025-03-03 19:35:45.777</v>
      </c>
      <c r="H2230" t="s">
        <v>22</v>
      </c>
      <c r="I2230">
        <v>0</v>
      </c>
      <c r="J2230" t="s">
        <v>23</v>
      </c>
    </row>
    <row r="2231" spans="1:10" x14ac:dyDescent="0.25">
      <c r="A2231" s="1">
        <v>282</v>
      </c>
      <c r="B2231" t="s">
        <v>35</v>
      </c>
      <c r="C2231">
        <v>137</v>
      </c>
      <c r="D2231">
        <v>4</v>
      </c>
      <c r="E2231" t="s">
        <v>65</v>
      </c>
      <c r="F2231" t="s">
        <v>66</v>
      </c>
      <c r="G2231" t="str">
        <f>"2025-03-03 15:48:24.164"</f>
        <v>2025-03-03 15:48:24.164</v>
      </c>
      <c r="H2231" t="s">
        <v>48</v>
      </c>
    </row>
    <row r="2232" spans="1:10" x14ac:dyDescent="0.25">
      <c r="A2232" s="1">
        <v>283</v>
      </c>
      <c r="B2232" t="s">
        <v>39</v>
      </c>
      <c r="C2232">
        <v>137</v>
      </c>
      <c r="D2232">
        <v>4</v>
      </c>
      <c r="E2232" t="s">
        <v>65</v>
      </c>
      <c r="F2232" t="s">
        <v>66</v>
      </c>
      <c r="G2232" t="str">
        <f>"2025-03-03 15:48:19.080"</f>
        <v>2025-03-03 15:48:19.080</v>
      </c>
      <c r="H2232" t="s">
        <v>48</v>
      </c>
      <c r="I2232">
        <v>6.71</v>
      </c>
      <c r="J2232" t="s">
        <v>33</v>
      </c>
    </row>
    <row r="2233" spans="1:10" x14ac:dyDescent="0.25">
      <c r="A2233" s="1">
        <v>284</v>
      </c>
      <c r="B2233" t="s">
        <v>35</v>
      </c>
      <c r="C2233">
        <v>215</v>
      </c>
      <c r="D2233">
        <v>6</v>
      </c>
      <c r="E2233" t="s">
        <v>36</v>
      </c>
      <c r="F2233" t="s">
        <v>37</v>
      </c>
      <c r="G2233" t="str">
        <f>"2025-03-03 06:28:46.564"</f>
        <v>2025-03-03 06:28:46.564</v>
      </c>
      <c r="H2233" t="s">
        <v>22</v>
      </c>
    </row>
    <row r="2234" spans="1:10" x14ac:dyDescent="0.25">
      <c r="A2234" s="1">
        <v>285</v>
      </c>
      <c r="B2234" t="s">
        <v>35</v>
      </c>
      <c r="C2234">
        <v>115</v>
      </c>
      <c r="D2234">
        <v>6</v>
      </c>
      <c r="E2234" t="s">
        <v>38</v>
      </c>
      <c r="F2234" t="s">
        <v>37</v>
      </c>
      <c r="G2234" t="str">
        <f>"2025-03-03 06:28:46.464"</f>
        <v>2025-03-03 06:28:46.464</v>
      </c>
      <c r="H2234" t="s">
        <v>22</v>
      </c>
    </row>
    <row r="2235" spans="1:10" x14ac:dyDescent="0.25">
      <c r="A2235" s="1">
        <v>286</v>
      </c>
      <c r="B2235" t="s">
        <v>39</v>
      </c>
      <c r="C2235">
        <v>215</v>
      </c>
      <c r="D2235">
        <v>6</v>
      </c>
      <c r="E2235" t="s">
        <v>36</v>
      </c>
      <c r="F2235" t="s">
        <v>37</v>
      </c>
      <c r="G2235" t="str">
        <f>"2025-03-03 06:28:41.465"</f>
        <v>2025-03-03 06:28:41.465</v>
      </c>
      <c r="H2235" t="s">
        <v>22</v>
      </c>
      <c r="I2235">
        <v>0</v>
      </c>
      <c r="J2235" t="s">
        <v>23</v>
      </c>
    </row>
    <row r="2236" spans="1:10" x14ac:dyDescent="0.25">
      <c r="A2236" s="1">
        <v>287</v>
      </c>
      <c r="B2236" t="s">
        <v>39</v>
      </c>
      <c r="C2236">
        <v>115</v>
      </c>
      <c r="D2236">
        <v>6</v>
      </c>
      <c r="E2236" t="s">
        <v>38</v>
      </c>
      <c r="F2236" t="s">
        <v>37</v>
      </c>
      <c r="G2236" t="str">
        <f>"2025-03-03 06:28:41.461"</f>
        <v>2025-03-03 06:28:41.461</v>
      </c>
      <c r="H2236" t="s">
        <v>22</v>
      </c>
      <c r="I2236">
        <v>0</v>
      </c>
      <c r="J2236" t="s">
        <v>23</v>
      </c>
    </row>
    <row r="2237" spans="1:10" x14ac:dyDescent="0.25">
      <c r="A2237" s="1">
        <v>288</v>
      </c>
      <c r="B2237" t="s">
        <v>26</v>
      </c>
      <c r="C2237">
        <v>6</v>
      </c>
      <c r="D2237">
        <v>1</v>
      </c>
      <c r="E2237" t="s">
        <v>40</v>
      </c>
      <c r="F2237" t="s">
        <v>41</v>
      </c>
      <c r="G2237" t="str">
        <f>"2025-03-03 06:28:41.340"</f>
        <v>2025-03-03 06:28:41.340</v>
      </c>
      <c r="H2237" t="s">
        <v>42</v>
      </c>
    </row>
    <row r="2238" spans="1:10" x14ac:dyDescent="0.25">
      <c r="A2238" s="1">
        <v>289</v>
      </c>
      <c r="B2238" t="s">
        <v>26</v>
      </c>
      <c r="C2238">
        <v>75</v>
      </c>
      <c r="D2238">
        <v>1</v>
      </c>
      <c r="E2238" t="s">
        <v>43</v>
      </c>
      <c r="F2238" t="s">
        <v>44</v>
      </c>
      <c r="G2238" t="str">
        <f>"2025-03-03 06:28:41.339"</f>
        <v>2025-03-03 06:28:41.339</v>
      </c>
      <c r="H2238" t="s">
        <v>45</v>
      </c>
    </row>
    <row r="2239" spans="1:10" x14ac:dyDescent="0.25">
      <c r="A2239" s="1">
        <v>290</v>
      </c>
      <c r="B2239" t="s">
        <v>26</v>
      </c>
      <c r="C2239">
        <v>74</v>
      </c>
      <c r="D2239">
        <v>1</v>
      </c>
      <c r="E2239" t="s">
        <v>46</v>
      </c>
      <c r="F2239" t="s">
        <v>47</v>
      </c>
      <c r="G2239" t="str">
        <f>"2025-03-03 06:28:41.337"</f>
        <v>2025-03-03 06:28:41.337</v>
      </c>
      <c r="H2239" t="s">
        <v>48</v>
      </c>
    </row>
    <row r="2240" spans="1:10" x14ac:dyDescent="0.25">
      <c r="A2240" s="1">
        <v>291</v>
      </c>
      <c r="B2240" t="s">
        <v>29</v>
      </c>
      <c r="C2240">
        <v>75</v>
      </c>
      <c r="D2240">
        <v>1</v>
      </c>
      <c r="E2240" t="s">
        <v>43</v>
      </c>
      <c r="F2240" t="s">
        <v>44</v>
      </c>
      <c r="G2240" t="str">
        <f>"2025-03-03 06:28:29.749"</f>
        <v>2025-03-03 06:28:29.749</v>
      </c>
      <c r="H2240" t="s">
        <v>45</v>
      </c>
      <c r="I2240">
        <v>0</v>
      </c>
      <c r="J2240" t="s">
        <v>23</v>
      </c>
    </row>
    <row r="2241" spans="1:10" x14ac:dyDescent="0.25">
      <c r="A2241" s="1">
        <v>292</v>
      </c>
      <c r="B2241" t="s">
        <v>29</v>
      </c>
      <c r="C2241">
        <v>74</v>
      </c>
      <c r="D2241">
        <v>1</v>
      </c>
      <c r="E2241" t="s">
        <v>46</v>
      </c>
      <c r="F2241" t="s">
        <v>47</v>
      </c>
      <c r="G2241" t="str">
        <f>"2025-03-03 06:28:29.744"</f>
        <v>2025-03-03 06:28:29.744</v>
      </c>
      <c r="H2241" t="s">
        <v>48</v>
      </c>
      <c r="I2241">
        <v>0</v>
      </c>
      <c r="J2241" t="s">
        <v>23</v>
      </c>
    </row>
    <row r="2242" spans="1:10" x14ac:dyDescent="0.25">
      <c r="A2242" s="1">
        <v>293</v>
      </c>
      <c r="B2242" t="s">
        <v>39</v>
      </c>
      <c r="C2242">
        <v>6</v>
      </c>
      <c r="D2242">
        <v>1</v>
      </c>
      <c r="E2242" t="s">
        <v>40</v>
      </c>
      <c r="F2242" t="s">
        <v>41</v>
      </c>
      <c r="G2242" t="str">
        <f>"2025-03-03 06:28:29.738"</f>
        <v>2025-03-03 06:28:29.738</v>
      </c>
      <c r="H2242" t="s">
        <v>42</v>
      </c>
      <c r="I2242">
        <v>0</v>
      </c>
      <c r="J2242" t="s">
        <v>23</v>
      </c>
    </row>
    <row r="2243" spans="1:10" x14ac:dyDescent="0.25">
      <c r="A2243" s="1">
        <v>298</v>
      </c>
      <c r="B2243" t="s">
        <v>19</v>
      </c>
      <c r="C2243">
        <v>706</v>
      </c>
      <c r="D2243">
        <v>4</v>
      </c>
      <c r="E2243" t="s">
        <v>20</v>
      </c>
      <c r="F2243" t="s">
        <v>21</v>
      </c>
      <c r="G2243" t="str">
        <f>"2025-03-02 19:30:39.967"</f>
        <v>2025-03-02 19:30:39.967</v>
      </c>
      <c r="H2243" t="s">
        <v>22</v>
      </c>
      <c r="I2243">
        <v>0</v>
      </c>
      <c r="J2243" t="s">
        <v>23</v>
      </c>
    </row>
    <row r="2244" spans="1:10" x14ac:dyDescent="0.25">
      <c r="A2244" s="1">
        <v>299</v>
      </c>
      <c r="B2244" t="s">
        <v>35</v>
      </c>
      <c r="C2244">
        <v>228</v>
      </c>
      <c r="D2244">
        <v>4</v>
      </c>
      <c r="E2244" t="s">
        <v>94</v>
      </c>
      <c r="F2244" t="s">
        <v>86</v>
      </c>
      <c r="G2244" t="str">
        <f>"2025-03-02 04:13:29.064"</f>
        <v>2025-03-02 04:13:29.064</v>
      </c>
      <c r="H2244" t="s">
        <v>45</v>
      </c>
    </row>
    <row r="2245" spans="1:10" x14ac:dyDescent="0.25">
      <c r="A2245" s="1">
        <v>300</v>
      </c>
      <c r="B2245" t="s">
        <v>39</v>
      </c>
      <c r="C2245">
        <v>228</v>
      </c>
      <c r="D2245">
        <v>4</v>
      </c>
      <c r="E2245" t="s">
        <v>94</v>
      </c>
      <c r="F2245" t="s">
        <v>86</v>
      </c>
      <c r="G2245" t="str">
        <f>"2025-03-02 04:13:23.983"</f>
        <v>2025-03-02 04:13:23.983</v>
      </c>
      <c r="H2245" t="s">
        <v>45</v>
      </c>
      <c r="I2245">
        <v>22.49</v>
      </c>
      <c r="J2245" t="s">
        <v>33</v>
      </c>
    </row>
    <row r="2246" spans="1:10" x14ac:dyDescent="0.25">
      <c r="A2246" s="1">
        <v>301</v>
      </c>
      <c r="B2246" t="s">
        <v>35</v>
      </c>
      <c r="C2246">
        <v>137</v>
      </c>
      <c r="D2246">
        <v>4</v>
      </c>
      <c r="E2246" t="s">
        <v>65</v>
      </c>
      <c r="F2246" t="s">
        <v>66</v>
      </c>
      <c r="G2246" t="str">
        <f>"2025-03-02 03:48:21.164"</f>
        <v>2025-03-02 03:48:21.164</v>
      </c>
      <c r="H2246" t="s">
        <v>48</v>
      </c>
    </row>
    <row r="2247" spans="1:10" x14ac:dyDescent="0.25">
      <c r="A2247" s="1">
        <v>302</v>
      </c>
      <c r="B2247" t="s">
        <v>39</v>
      </c>
      <c r="C2247">
        <v>137</v>
      </c>
      <c r="D2247">
        <v>4</v>
      </c>
      <c r="E2247" t="s">
        <v>65</v>
      </c>
      <c r="F2247" t="s">
        <v>66</v>
      </c>
      <c r="G2247" t="str">
        <f>"2025-03-02 03:48:16.103"</f>
        <v>2025-03-02 03:48:16.103</v>
      </c>
      <c r="H2247" t="s">
        <v>48</v>
      </c>
      <c r="I2247">
        <v>19.28</v>
      </c>
      <c r="J2247" t="s">
        <v>33</v>
      </c>
    </row>
    <row r="2248" spans="1:10" x14ac:dyDescent="0.25">
      <c r="A2248" s="1">
        <v>303</v>
      </c>
      <c r="B2248" t="s">
        <v>35</v>
      </c>
      <c r="C2248">
        <v>128</v>
      </c>
      <c r="D2248">
        <v>4</v>
      </c>
      <c r="E2248" t="s">
        <v>85</v>
      </c>
      <c r="F2248" t="s">
        <v>86</v>
      </c>
      <c r="G2248" t="str">
        <f>"2025-03-02 03:02:07.664"</f>
        <v>2025-03-02 03:02:07.664</v>
      </c>
      <c r="H2248" t="s">
        <v>48</v>
      </c>
    </row>
    <row r="2249" spans="1:10" x14ac:dyDescent="0.25">
      <c r="A2249" s="1">
        <v>304</v>
      </c>
      <c r="B2249" t="s">
        <v>39</v>
      </c>
      <c r="C2249">
        <v>128</v>
      </c>
      <c r="D2249">
        <v>4</v>
      </c>
      <c r="E2249" t="s">
        <v>85</v>
      </c>
      <c r="F2249" t="s">
        <v>86</v>
      </c>
      <c r="G2249" t="str">
        <f>"2025-03-02 03:02:02.583"</f>
        <v>2025-03-02 03:02:02.583</v>
      </c>
      <c r="H2249" t="s">
        <v>48</v>
      </c>
      <c r="I2249">
        <v>8.75</v>
      </c>
      <c r="J2249" t="s">
        <v>33</v>
      </c>
    </row>
    <row r="2250" spans="1:10" x14ac:dyDescent="0.25">
      <c r="A2250" s="1">
        <v>305</v>
      </c>
      <c r="B2250" t="s">
        <v>19</v>
      </c>
      <c r="C2250">
        <v>706</v>
      </c>
      <c r="D2250">
        <v>2</v>
      </c>
      <c r="E2250" t="s">
        <v>20</v>
      </c>
      <c r="F2250" t="s">
        <v>25</v>
      </c>
      <c r="G2250" t="str">
        <f>"2025-03-01 19:30:35.177"</f>
        <v>2025-03-01 19:30:35.177</v>
      </c>
      <c r="H2250" t="s">
        <v>22</v>
      </c>
      <c r="I2250">
        <v>0</v>
      </c>
      <c r="J2250" t="s">
        <v>23</v>
      </c>
    </row>
    <row r="2251" spans="1:10" x14ac:dyDescent="0.25">
      <c r="A2251" s="1">
        <v>307</v>
      </c>
      <c r="B2251" t="s">
        <v>19</v>
      </c>
      <c r="C2251">
        <v>700</v>
      </c>
      <c r="D2251">
        <v>0</v>
      </c>
      <c r="E2251" t="s">
        <v>24</v>
      </c>
      <c r="F2251" t="s">
        <v>24</v>
      </c>
      <c r="G2251" t="str">
        <f>"2025-03-01 16:01:30.397"</f>
        <v>2025-03-01 16:01:30.397</v>
      </c>
      <c r="H2251" t="s">
        <v>22</v>
      </c>
    </row>
    <row r="2252" spans="1:10" x14ac:dyDescent="0.25">
      <c r="A2252" s="1">
        <v>308</v>
      </c>
      <c r="B2252" t="s">
        <v>39</v>
      </c>
      <c r="C2252">
        <v>47</v>
      </c>
      <c r="D2252">
        <v>2</v>
      </c>
      <c r="E2252" t="s">
        <v>104</v>
      </c>
      <c r="F2252" t="s">
        <v>105</v>
      </c>
      <c r="G2252" t="str">
        <f>"2025-03-01 16:00:06.533"</f>
        <v>2025-03-01 16:00:06.533</v>
      </c>
      <c r="H2252" t="s">
        <v>42</v>
      </c>
      <c r="I2252">
        <v>0</v>
      </c>
      <c r="J2252" t="s">
        <v>52</v>
      </c>
    </row>
    <row r="2253" spans="1:10" x14ac:dyDescent="0.25">
      <c r="A2253" s="1">
        <v>310</v>
      </c>
      <c r="B2253" t="s">
        <v>19</v>
      </c>
      <c r="C2253">
        <v>706</v>
      </c>
      <c r="D2253">
        <v>2</v>
      </c>
      <c r="E2253" t="s">
        <v>20</v>
      </c>
      <c r="F2253" t="s">
        <v>25</v>
      </c>
      <c r="G2253" t="str">
        <f>"2025-03-01 09:42:50.329"</f>
        <v>2025-03-01 09:42:50.329</v>
      </c>
      <c r="H2253" t="s">
        <v>22</v>
      </c>
      <c r="I2253">
        <v>0</v>
      </c>
      <c r="J2253" t="s">
        <v>23</v>
      </c>
    </row>
    <row r="2254" spans="1:10" x14ac:dyDescent="0.25">
      <c r="A2254" s="1">
        <v>311</v>
      </c>
      <c r="B2254" t="s">
        <v>35</v>
      </c>
      <c r="C2254">
        <v>228</v>
      </c>
      <c r="D2254">
        <v>4</v>
      </c>
      <c r="E2254" t="s">
        <v>94</v>
      </c>
      <c r="F2254" t="s">
        <v>86</v>
      </c>
      <c r="G2254" t="str">
        <f>"2025-02-28 23:19:17.811"</f>
        <v>2025-02-28 23:19:17.811</v>
      </c>
      <c r="H2254" t="s">
        <v>45</v>
      </c>
    </row>
    <row r="2255" spans="1:10" x14ac:dyDescent="0.25">
      <c r="A2255" s="1">
        <v>312</v>
      </c>
      <c r="B2255" t="s">
        <v>39</v>
      </c>
      <c r="C2255">
        <v>228</v>
      </c>
      <c r="D2255">
        <v>4</v>
      </c>
      <c r="E2255" t="s">
        <v>94</v>
      </c>
      <c r="F2255" t="s">
        <v>86</v>
      </c>
      <c r="G2255" t="str">
        <f>"2025-02-28 23:19:12.736"</f>
        <v>2025-02-28 23:19:12.736</v>
      </c>
      <c r="H2255" t="s">
        <v>45</v>
      </c>
      <c r="I2255">
        <v>15.5</v>
      </c>
      <c r="J2255" t="s">
        <v>33</v>
      </c>
    </row>
    <row r="2256" spans="1:10" x14ac:dyDescent="0.25">
      <c r="A2256" s="1">
        <v>313</v>
      </c>
      <c r="B2256" t="s">
        <v>19</v>
      </c>
      <c r="C2256">
        <v>706</v>
      </c>
      <c r="D2256">
        <v>4</v>
      </c>
      <c r="E2256" t="s">
        <v>20</v>
      </c>
      <c r="F2256" t="s">
        <v>21</v>
      </c>
      <c r="G2256" t="str">
        <f>"2025-02-28 19:39:29.869"</f>
        <v>2025-02-28 19:39:29.869</v>
      </c>
      <c r="H2256" t="s">
        <v>22</v>
      </c>
      <c r="I2256">
        <v>0</v>
      </c>
      <c r="J2256" t="s">
        <v>23</v>
      </c>
    </row>
    <row r="2257" spans="1:10" x14ac:dyDescent="0.25">
      <c r="A2257" s="1">
        <v>314</v>
      </c>
      <c r="B2257" t="s">
        <v>26</v>
      </c>
      <c r="C2257">
        <v>635</v>
      </c>
      <c r="D2257">
        <v>1</v>
      </c>
      <c r="E2257" t="s">
        <v>31</v>
      </c>
      <c r="F2257" t="s">
        <v>32</v>
      </c>
      <c r="G2257" t="str">
        <f>"2025-02-28 03:36:49.632"</f>
        <v>2025-02-28 03:36:49.632</v>
      </c>
      <c r="H2257" t="s">
        <v>22</v>
      </c>
    </row>
    <row r="2258" spans="1:10" x14ac:dyDescent="0.25">
      <c r="A2258" s="1">
        <v>315</v>
      </c>
      <c r="B2258" t="s">
        <v>29</v>
      </c>
      <c r="C2258">
        <v>635</v>
      </c>
      <c r="D2258">
        <v>1</v>
      </c>
      <c r="E2258" t="s">
        <v>31</v>
      </c>
      <c r="F2258" t="s">
        <v>32</v>
      </c>
      <c r="G2258" t="str">
        <f>"2025-02-28 03:32:53.632"</f>
        <v>2025-02-28 03:32:53.632</v>
      </c>
      <c r="H2258" t="s">
        <v>22</v>
      </c>
      <c r="I2258">
        <v>7.81</v>
      </c>
      <c r="J2258" t="s">
        <v>33</v>
      </c>
    </row>
    <row r="2259" spans="1:10" x14ac:dyDescent="0.25">
      <c r="A2259" s="1">
        <v>316</v>
      </c>
      <c r="B2259" t="s">
        <v>35</v>
      </c>
      <c r="C2259">
        <v>228</v>
      </c>
      <c r="D2259">
        <v>4</v>
      </c>
      <c r="E2259" t="s">
        <v>94</v>
      </c>
      <c r="F2259" t="s">
        <v>86</v>
      </c>
      <c r="G2259" t="str">
        <f>"2025-02-28 00:39:36.311"</f>
        <v>2025-02-28 00:39:36.311</v>
      </c>
      <c r="H2259" t="s">
        <v>45</v>
      </c>
    </row>
    <row r="2260" spans="1:10" x14ac:dyDescent="0.25">
      <c r="A2260" s="1">
        <v>317</v>
      </c>
      <c r="B2260" t="s">
        <v>39</v>
      </c>
      <c r="C2260">
        <v>228</v>
      </c>
      <c r="D2260">
        <v>4</v>
      </c>
      <c r="E2260" t="s">
        <v>94</v>
      </c>
      <c r="F2260" t="s">
        <v>86</v>
      </c>
      <c r="G2260" t="str">
        <f>"2025-02-28 00:39:31.256"</f>
        <v>2025-02-28 00:39:31.256</v>
      </c>
      <c r="H2260" t="s">
        <v>45</v>
      </c>
      <c r="I2260">
        <v>10.28</v>
      </c>
      <c r="J2260" t="s">
        <v>33</v>
      </c>
    </row>
    <row r="2261" spans="1:10" x14ac:dyDescent="0.25">
      <c r="A2261" s="1">
        <v>318</v>
      </c>
      <c r="B2261" t="s">
        <v>19</v>
      </c>
      <c r="C2261">
        <v>706</v>
      </c>
      <c r="D2261">
        <v>4</v>
      </c>
      <c r="E2261" t="s">
        <v>20</v>
      </c>
      <c r="F2261" t="s">
        <v>21</v>
      </c>
      <c r="G2261" t="str">
        <f>"2025-02-27 11:54:31.149"</f>
        <v>2025-02-27 11:54:31.149</v>
      </c>
      <c r="H2261" t="s">
        <v>22</v>
      </c>
      <c r="I2261">
        <v>0</v>
      </c>
      <c r="J2261" t="s">
        <v>23</v>
      </c>
    </row>
    <row r="2262" spans="1:10" x14ac:dyDescent="0.25">
      <c r="A2262" s="1">
        <v>319</v>
      </c>
      <c r="B2262" t="s">
        <v>35</v>
      </c>
      <c r="C2262">
        <v>228</v>
      </c>
      <c r="D2262">
        <v>4</v>
      </c>
      <c r="E2262" t="s">
        <v>94</v>
      </c>
      <c r="F2262" t="s">
        <v>86</v>
      </c>
      <c r="G2262" t="str">
        <f>"2025-02-27 00:53:55.611"</f>
        <v>2025-02-27 00:53:55.611</v>
      </c>
      <c r="H2262" t="s">
        <v>45</v>
      </c>
    </row>
    <row r="2263" spans="1:10" x14ac:dyDescent="0.25">
      <c r="A2263" s="1">
        <v>320</v>
      </c>
      <c r="B2263" t="s">
        <v>39</v>
      </c>
      <c r="C2263">
        <v>228</v>
      </c>
      <c r="D2263">
        <v>4</v>
      </c>
      <c r="E2263" t="s">
        <v>94</v>
      </c>
      <c r="F2263" t="s">
        <v>86</v>
      </c>
      <c r="G2263" t="str">
        <f>"2025-02-27 00:53:50.596"</f>
        <v>2025-02-27 00:53:50.596</v>
      </c>
      <c r="H2263" t="s">
        <v>45</v>
      </c>
      <c r="I2263">
        <v>0</v>
      </c>
      <c r="J2263" t="s">
        <v>52</v>
      </c>
    </row>
    <row r="2264" spans="1:10" x14ac:dyDescent="0.25">
      <c r="A2264" s="1">
        <v>321</v>
      </c>
      <c r="B2264" t="s">
        <v>35</v>
      </c>
      <c r="C2264">
        <v>137</v>
      </c>
      <c r="D2264">
        <v>4</v>
      </c>
      <c r="E2264" t="s">
        <v>65</v>
      </c>
      <c r="F2264" t="s">
        <v>66</v>
      </c>
      <c r="G2264" t="str">
        <f>"2025-02-27 00:50:37.412"</f>
        <v>2025-02-27 00:50:37.412</v>
      </c>
      <c r="H2264" t="s">
        <v>48</v>
      </c>
    </row>
    <row r="2265" spans="1:10" x14ac:dyDescent="0.25">
      <c r="A2265" s="1">
        <v>322</v>
      </c>
      <c r="B2265" t="s">
        <v>39</v>
      </c>
      <c r="C2265">
        <v>137</v>
      </c>
      <c r="D2265">
        <v>4</v>
      </c>
      <c r="E2265" t="s">
        <v>65</v>
      </c>
      <c r="F2265" t="s">
        <v>66</v>
      </c>
      <c r="G2265" t="str">
        <f>"2025-02-27 00:50:32.316"</f>
        <v>2025-02-27 00:50:32.316</v>
      </c>
      <c r="H2265" t="s">
        <v>48</v>
      </c>
      <c r="I2265">
        <v>18.079999999999998</v>
      </c>
      <c r="J2265" t="s">
        <v>33</v>
      </c>
    </row>
    <row r="2266" spans="1:10" x14ac:dyDescent="0.25">
      <c r="A2266" s="1">
        <v>323</v>
      </c>
      <c r="B2266" t="s">
        <v>19</v>
      </c>
      <c r="C2266">
        <v>706</v>
      </c>
      <c r="D2266">
        <v>4</v>
      </c>
      <c r="E2266" t="s">
        <v>20</v>
      </c>
      <c r="F2266" t="s">
        <v>21</v>
      </c>
      <c r="G2266" t="str">
        <f>"2025-02-26 23:39:36.749"</f>
        <v>2025-02-26 23:39:36.749</v>
      </c>
      <c r="H2266" t="s">
        <v>22</v>
      </c>
      <c r="I2266">
        <v>0</v>
      </c>
      <c r="J2266" t="s">
        <v>23</v>
      </c>
    </row>
    <row r="2267" spans="1:10" x14ac:dyDescent="0.25">
      <c r="A2267" s="1">
        <v>324</v>
      </c>
      <c r="B2267" t="s">
        <v>19</v>
      </c>
      <c r="C2267">
        <v>700</v>
      </c>
      <c r="D2267">
        <v>0</v>
      </c>
      <c r="E2267" t="s">
        <v>24</v>
      </c>
      <c r="F2267" t="s">
        <v>24</v>
      </c>
      <c r="G2267" t="str">
        <f>"2025-02-26 23:29:48.359"</f>
        <v>2025-02-26 23:29:48.359</v>
      </c>
      <c r="H2267" t="s">
        <v>22</v>
      </c>
      <c r="I2267">
        <v>0</v>
      </c>
      <c r="J2267" t="s">
        <v>34</v>
      </c>
    </row>
    <row r="2268" spans="1:10" x14ac:dyDescent="0.25">
      <c r="A2268" s="1">
        <v>325</v>
      </c>
      <c r="B2268" t="s">
        <v>19</v>
      </c>
      <c r="C2268">
        <v>700</v>
      </c>
      <c r="D2268">
        <v>0</v>
      </c>
      <c r="E2268" t="s">
        <v>24</v>
      </c>
      <c r="F2268" t="s">
        <v>24</v>
      </c>
      <c r="G2268" t="str">
        <f>"2025-02-26 22:56:35.365"</f>
        <v>2025-02-26 22:56:35.365</v>
      </c>
      <c r="H2268" t="s">
        <v>22</v>
      </c>
      <c r="I2268">
        <v>0</v>
      </c>
      <c r="J2268" t="s">
        <v>34</v>
      </c>
    </row>
    <row r="2269" spans="1:10" x14ac:dyDescent="0.25">
      <c r="A2269" s="1">
        <v>326</v>
      </c>
      <c r="B2269" t="s">
        <v>19</v>
      </c>
      <c r="C2269">
        <v>706</v>
      </c>
      <c r="D2269">
        <v>4</v>
      </c>
      <c r="E2269" t="s">
        <v>20</v>
      </c>
      <c r="F2269" t="s">
        <v>21</v>
      </c>
      <c r="G2269" t="str">
        <f>"2025-02-26 19:39:36.723"</f>
        <v>2025-02-26 19:39:36.723</v>
      </c>
      <c r="H2269" t="s">
        <v>22</v>
      </c>
      <c r="I2269">
        <v>0</v>
      </c>
      <c r="J2269" t="s">
        <v>23</v>
      </c>
    </row>
    <row r="2270" spans="1:10" x14ac:dyDescent="0.25">
      <c r="A2270" s="1">
        <v>327</v>
      </c>
      <c r="B2270" t="s">
        <v>19</v>
      </c>
      <c r="C2270">
        <v>706</v>
      </c>
      <c r="D2270">
        <v>2</v>
      </c>
      <c r="E2270" t="s">
        <v>20</v>
      </c>
      <c r="F2270" t="s">
        <v>25</v>
      </c>
      <c r="G2270" t="str">
        <f>"2025-02-25 19:38:37.123"</f>
        <v>2025-02-25 19:38:37.123</v>
      </c>
      <c r="H2270" t="s">
        <v>22</v>
      </c>
      <c r="I2270">
        <v>0</v>
      </c>
      <c r="J2270" t="s">
        <v>23</v>
      </c>
    </row>
    <row r="2271" spans="1:10" s="3" customFormat="1" x14ac:dyDescent="0.25">
      <c r="A2271" s="2">
        <v>328</v>
      </c>
      <c r="B2271" s="3" t="s">
        <v>26</v>
      </c>
      <c r="C2271" s="3">
        <v>647</v>
      </c>
      <c r="D2271" s="3">
        <v>1</v>
      </c>
      <c r="E2271" s="3" t="s">
        <v>27</v>
      </c>
      <c r="F2271" s="3" t="s">
        <v>28</v>
      </c>
      <c r="G2271" s="3" t="str">
        <f>"2025-02-24 21:00:08.841"</f>
        <v>2025-02-24 21:00:08.841</v>
      </c>
      <c r="H2271" s="3" t="s">
        <v>22</v>
      </c>
    </row>
    <row r="2272" spans="1:10" s="3" customFormat="1" x14ac:dyDescent="0.25">
      <c r="A2272" s="2">
        <v>329</v>
      </c>
      <c r="B2272" s="3" t="s">
        <v>29</v>
      </c>
      <c r="C2272" s="3">
        <v>647</v>
      </c>
      <c r="D2272" s="3">
        <v>1</v>
      </c>
      <c r="E2272" s="3" t="s">
        <v>27</v>
      </c>
      <c r="F2272" s="3" t="s">
        <v>28</v>
      </c>
      <c r="G2272" s="3" t="str">
        <f>"2025-02-24 21:00:04.741"</f>
        <v>2025-02-24 21:00:04.741</v>
      </c>
      <c r="H2272" s="3" t="s">
        <v>22</v>
      </c>
      <c r="I2272" s="3">
        <v>21.03</v>
      </c>
      <c r="J2272" s="3" t="s">
        <v>30</v>
      </c>
    </row>
    <row r="2273" spans="1:10" x14ac:dyDescent="0.25">
      <c r="A2273" s="1">
        <v>330</v>
      </c>
      <c r="B2273" t="s">
        <v>26</v>
      </c>
      <c r="C2273">
        <v>635</v>
      </c>
      <c r="D2273">
        <v>1</v>
      </c>
      <c r="E2273" t="s">
        <v>31</v>
      </c>
      <c r="F2273" t="s">
        <v>32</v>
      </c>
      <c r="G2273" t="str">
        <f>"2025-02-24 10:18:04.140"</f>
        <v>2025-02-24 10:18:04.140</v>
      </c>
      <c r="H2273" t="s">
        <v>22</v>
      </c>
    </row>
    <row r="2274" spans="1:10" x14ac:dyDescent="0.25">
      <c r="A2274" s="1">
        <v>331</v>
      </c>
      <c r="B2274" t="s">
        <v>29</v>
      </c>
      <c r="C2274">
        <v>635</v>
      </c>
      <c r="D2274">
        <v>1</v>
      </c>
      <c r="E2274" t="s">
        <v>31</v>
      </c>
      <c r="F2274" t="s">
        <v>32</v>
      </c>
      <c r="G2274" t="str">
        <f>"2025-02-24 10:08:28.141"</f>
        <v>2025-02-24 10:08:28.141</v>
      </c>
      <c r="H2274" t="s">
        <v>22</v>
      </c>
      <c r="I2274">
        <v>1.96</v>
      </c>
      <c r="J2274" t="s">
        <v>33</v>
      </c>
    </row>
    <row r="2275" spans="1:10" x14ac:dyDescent="0.25">
      <c r="A2275" s="1">
        <v>332</v>
      </c>
      <c r="B2275" t="s">
        <v>19</v>
      </c>
      <c r="C2275">
        <v>706</v>
      </c>
      <c r="D2275">
        <v>4</v>
      </c>
      <c r="E2275" t="s">
        <v>20</v>
      </c>
      <c r="F2275" t="s">
        <v>21</v>
      </c>
      <c r="G2275" t="str">
        <f>"2025-02-23 20:50:49.593"</f>
        <v>2025-02-23 20:50:49.593</v>
      </c>
      <c r="H2275" t="s">
        <v>22</v>
      </c>
      <c r="I2275">
        <v>0</v>
      </c>
      <c r="J2275" t="s">
        <v>23</v>
      </c>
    </row>
    <row r="2276" spans="1:10" x14ac:dyDescent="0.25">
      <c r="A2276" s="1">
        <v>333</v>
      </c>
      <c r="B2276" t="s">
        <v>19</v>
      </c>
      <c r="C2276">
        <v>700</v>
      </c>
      <c r="D2276">
        <v>0</v>
      </c>
      <c r="E2276" t="s">
        <v>24</v>
      </c>
      <c r="F2276" t="s">
        <v>24</v>
      </c>
      <c r="G2276" t="str">
        <f>"2025-02-23 10:16:01.563"</f>
        <v>2025-02-23 10:16:01.563</v>
      </c>
      <c r="H2276" t="s">
        <v>22</v>
      </c>
      <c r="I2276">
        <v>0</v>
      </c>
      <c r="J2276" t="s">
        <v>34</v>
      </c>
    </row>
    <row r="2277" spans="1:10" x14ac:dyDescent="0.25">
      <c r="A2277" s="1">
        <v>334</v>
      </c>
      <c r="B2277" t="s">
        <v>35</v>
      </c>
      <c r="C2277">
        <v>137</v>
      </c>
      <c r="D2277">
        <v>4</v>
      </c>
      <c r="E2277" t="s">
        <v>65</v>
      </c>
      <c r="F2277" t="s">
        <v>66</v>
      </c>
      <c r="G2277" t="str">
        <f>"2025-02-23 09:09:27.137"</f>
        <v>2025-02-23 09:09:27.137</v>
      </c>
      <c r="H2277" t="s">
        <v>48</v>
      </c>
    </row>
    <row r="2278" spans="1:10" x14ac:dyDescent="0.25">
      <c r="A2278" s="1">
        <v>335</v>
      </c>
      <c r="B2278" t="s">
        <v>39</v>
      </c>
      <c r="C2278">
        <v>137</v>
      </c>
      <c r="D2278">
        <v>4</v>
      </c>
      <c r="E2278" t="s">
        <v>65</v>
      </c>
      <c r="F2278" t="s">
        <v>66</v>
      </c>
      <c r="G2278" t="str">
        <f>"2025-02-23 09:09:22.095"</f>
        <v>2025-02-23 09:09:22.095</v>
      </c>
      <c r="H2278" t="s">
        <v>48</v>
      </c>
      <c r="I2278">
        <v>14.66</v>
      </c>
      <c r="J2278" t="s">
        <v>33</v>
      </c>
    </row>
    <row r="2279" spans="1:10" x14ac:dyDescent="0.25">
      <c r="A2279" s="1">
        <v>336</v>
      </c>
      <c r="B2279" t="s">
        <v>19</v>
      </c>
      <c r="C2279">
        <v>700</v>
      </c>
      <c r="D2279">
        <v>0</v>
      </c>
      <c r="E2279" t="s">
        <v>24</v>
      </c>
      <c r="F2279" t="s">
        <v>24</v>
      </c>
      <c r="G2279" t="str">
        <f>"2025-02-22 18:57:20.382"</f>
        <v>2025-02-22 18:57:20.382</v>
      </c>
      <c r="H2279" t="s">
        <v>22</v>
      </c>
      <c r="I2279">
        <v>0</v>
      </c>
      <c r="J2279" t="s">
        <v>34</v>
      </c>
    </row>
    <row r="2280" spans="1:10" x14ac:dyDescent="0.25">
      <c r="A2280" s="1">
        <v>337</v>
      </c>
      <c r="B2280" t="s">
        <v>19</v>
      </c>
      <c r="C2280">
        <v>706</v>
      </c>
      <c r="D2280">
        <v>2</v>
      </c>
      <c r="E2280" t="s">
        <v>20</v>
      </c>
      <c r="F2280" t="s">
        <v>25</v>
      </c>
      <c r="G2280" t="str">
        <f>"2025-02-22 12:39:31.030"</f>
        <v>2025-02-22 12:39:31.030</v>
      </c>
      <c r="H2280" t="s">
        <v>22</v>
      </c>
      <c r="I2280">
        <v>0</v>
      </c>
      <c r="J2280" t="s">
        <v>23</v>
      </c>
    </row>
    <row r="2281" spans="1:10" x14ac:dyDescent="0.25">
      <c r="A2281" s="1">
        <v>338</v>
      </c>
      <c r="B2281" t="s">
        <v>19</v>
      </c>
      <c r="C2281">
        <v>706</v>
      </c>
      <c r="D2281">
        <v>2</v>
      </c>
      <c r="E2281" t="s">
        <v>20</v>
      </c>
      <c r="F2281" t="s">
        <v>25</v>
      </c>
      <c r="G2281" t="str">
        <f>"2025-02-22 12:39:01.230"</f>
        <v>2025-02-22 12:39:01.230</v>
      </c>
      <c r="H2281" t="s">
        <v>22</v>
      </c>
      <c r="I2281">
        <v>0</v>
      </c>
      <c r="J2281" t="s">
        <v>23</v>
      </c>
    </row>
    <row r="2282" spans="1:10" x14ac:dyDescent="0.25">
      <c r="A2282" s="1">
        <v>339</v>
      </c>
      <c r="B2282" t="s">
        <v>19</v>
      </c>
      <c r="C2282">
        <v>706</v>
      </c>
      <c r="D2282">
        <v>4</v>
      </c>
      <c r="E2282" t="s">
        <v>20</v>
      </c>
      <c r="F2282" t="s">
        <v>21</v>
      </c>
      <c r="G2282" t="str">
        <f>"2025-02-21 18:52:53.860"</f>
        <v>2025-02-21 18:52:53.860</v>
      </c>
      <c r="H2282" t="s">
        <v>22</v>
      </c>
      <c r="I2282">
        <v>0</v>
      </c>
      <c r="J2282" t="s">
        <v>23</v>
      </c>
    </row>
    <row r="2283" spans="1:10" x14ac:dyDescent="0.25">
      <c r="A2283" s="1">
        <v>340</v>
      </c>
      <c r="B2283" t="s">
        <v>26</v>
      </c>
      <c r="C2283">
        <v>47</v>
      </c>
      <c r="D2283">
        <v>2</v>
      </c>
      <c r="E2283" t="s">
        <v>104</v>
      </c>
      <c r="F2283" t="s">
        <v>105</v>
      </c>
      <c r="G2283" t="str">
        <f>"2025-02-21 18:34:58.234"</f>
        <v>2025-02-21 18:34:58.234</v>
      </c>
      <c r="H2283" t="s">
        <v>42</v>
      </c>
    </row>
    <row r="2284" spans="1:10" x14ac:dyDescent="0.25">
      <c r="A2284" s="1">
        <v>341</v>
      </c>
      <c r="B2284" t="s">
        <v>26</v>
      </c>
      <c r="C2284">
        <v>49</v>
      </c>
      <c r="D2284">
        <v>1</v>
      </c>
      <c r="E2284" t="s">
        <v>106</v>
      </c>
      <c r="F2284" t="s">
        <v>107</v>
      </c>
      <c r="G2284" t="str">
        <f>"2025-02-21 18:33:38.534"</f>
        <v>2025-02-21 18:33:38.534</v>
      </c>
      <c r="H2284" t="s">
        <v>108</v>
      </c>
    </row>
    <row r="2285" spans="1:10" x14ac:dyDescent="0.25">
      <c r="A2285" s="1">
        <v>343</v>
      </c>
      <c r="B2285" t="s">
        <v>19</v>
      </c>
      <c r="C2285">
        <v>706</v>
      </c>
      <c r="D2285">
        <v>3</v>
      </c>
      <c r="E2285" t="s">
        <v>20</v>
      </c>
      <c r="F2285" t="s">
        <v>49</v>
      </c>
      <c r="G2285" t="str">
        <f>"2025-02-21 18:33:05.790"</f>
        <v>2025-02-21 18:33:05.790</v>
      </c>
      <c r="H2285" t="s">
        <v>22</v>
      </c>
      <c r="I2285">
        <v>0</v>
      </c>
      <c r="J2285" t="s">
        <v>109</v>
      </c>
    </row>
    <row r="2286" spans="1:10" x14ac:dyDescent="0.25">
      <c r="A2286" s="1">
        <v>344</v>
      </c>
      <c r="B2286" t="s">
        <v>39</v>
      </c>
      <c r="C2286">
        <v>47</v>
      </c>
      <c r="D2286">
        <v>2</v>
      </c>
      <c r="E2286" t="s">
        <v>104</v>
      </c>
      <c r="F2286" t="s">
        <v>105</v>
      </c>
      <c r="G2286" t="str">
        <f>"2025-02-21 18:32:38.634"</f>
        <v>2025-02-21 18:32:38.634</v>
      </c>
      <c r="H2286" t="s">
        <v>42</v>
      </c>
      <c r="I2286">
        <v>0</v>
      </c>
      <c r="J2286" t="s">
        <v>109</v>
      </c>
    </row>
    <row r="2287" spans="1:10" x14ac:dyDescent="0.25">
      <c r="A2287" s="1">
        <v>345</v>
      </c>
      <c r="B2287" t="s">
        <v>19</v>
      </c>
      <c r="C2287">
        <v>706</v>
      </c>
      <c r="D2287">
        <v>4</v>
      </c>
      <c r="E2287" t="s">
        <v>20</v>
      </c>
      <c r="F2287" t="s">
        <v>21</v>
      </c>
      <c r="G2287" t="str">
        <f>"2025-02-21 18:29:37.920"</f>
        <v>2025-02-21 18:29:37.920</v>
      </c>
      <c r="H2287" t="s">
        <v>22</v>
      </c>
      <c r="I2287">
        <v>0</v>
      </c>
      <c r="J2287" t="s">
        <v>109</v>
      </c>
    </row>
    <row r="2288" spans="1:10" x14ac:dyDescent="0.25">
      <c r="A2288" s="1">
        <v>346</v>
      </c>
      <c r="B2288" t="s">
        <v>29</v>
      </c>
      <c r="C2288">
        <v>49</v>
      </c>
      <c r="D2288">
        <v>1</v>
      </c>
      <c r="E2288" t="s">
        <v>106</v>
      </c>
      <c r="F2288" t="s">
        <v>107</v>
      </c>
      <c r="G2288" t="str">
        <f>"2025-02-21 18:09:59.134"</f>
        <v>2025-02-21 18:09:59.134</v>
      </c>
      <c r="H2288" t="s">
        <v>108</v>
      </c>
      <c r="I2288">
        <v>0</v>
      </c>
      <c r="J2288" t="s">
        <v>109</v>
      </c>
    </row>
    <row r="2289" spans="1:10" x14ac:dyDescent="0.25">
      <c r="A2289" s="1">
        <v>348</v>
      </c>
      <c r="B2289" t="s">
        <v>19</v>
      </c>
      <c r="C2289">
        <v>700</v>
      </c>
      <c r="D2289">
        <v>0</v>
      </c>
      <c r="E2289" t="s">
        <v>24</v>
      </c>
      <c r="F2289" t="s">
        <v>24</v>
      </c>
      <c r="G2289" t="str">
        <f>"2025-02-21 18:08:39.350"</f>
        <v>2025-02-21 18:08:39.350</v>
      </c>
      <c r="H2289" t="s">
        <v>22</v>
      </c>
    </row>
    <row r="2290" spans="1:10" x14ac:dyDescent="0.25">
      <c r="A2290" s="1">
        <v>349</v>
      </c>
      <c r="B2290" t="s">
        <v>19</v>
      </c>
      <c r="C2290">
        <v>700</v>
      </c>
      <c r="D2290">
        <v>0</v>
      </c>
      <c r="E2290" t="s">
        <v>24</v>
      </c>
      <c r="F2290" t="s">
        <v>24</v>
      </c>
      <c r="G2290" t="str">
        <f>"2025-02-21 15:41:38.583"</f>
        <v>2025-02-21 15:41:38.583</v>
      </c>
      <c r="H2290" t="s">
        <v>22</v>
      </c>
    </row>
    <row r="2291" spans="1:10" x14ac:dyDescent="0.25">
      <c r="A2291" s="1">
        <v>350</v>
      </c>
      <c r="B2291" t="s">
        <v>19</v>
      </c>
      <c r="C2291">
        <v>700</v>
      </c>
      <c r="D2291">
        <v>0</v>
      </c>
      <c r="E2291" t="s">
        <v>24</v>
      </c>
      <c r="F2291" t="s">
        <v>24</v>
      </c>
      <c r="G2291" t="str">
        <f>"2025-02-20 22:09:15.347"</f>
        <v>2025-02-20 22:09:15.347</v>
      </c>
      <c r="H2291" t="s">
        <v>22</v>
      </c>
      <c r="I2291">
        <v>0</v>
      </c>
      <c r="J2291" t="s">
        <v>34</v>
      </c>
    </row>
    <row r="2292" spans="1:10" x14ac:dyDescent="0.25">
      <c r="A2292" s="1">
        <v>351</v>
      </c>
      <c r="B2292" t="s">
        <v>19</v>
      </c>
      <c r="C2292">
        <v>700</v>
      </c>
      <c r="D2292">
        <v>0</v>
      </c>
      <c r="E2292" t="s">
        <v>24</v>
      </c>
      <c r="F2292" t="s">
        <v>24</v>
      </c>
      <c r="G2292" t="str">
        <f>"2025-02-20 22:06:39.371"</f>
        <v>2025-02-20 22:06:39.371</v>
      </c>
      <c r="H2292" t="s">
        <v>22</v>
      </c>
      <c r="I2292">
        <v>0</v>
      </c>
      <c r="J2292" t="s">
        <v>34</v>
      </c>
    </row>
    <row r="2293" spans="1:10" x14ac:dyDescent="0.25">
      <c r="A2293" s="1">
        <v>352</v>
      </c>
      <c r="B2293" t="s">
        <v>19</v>
      </c>
      <c r="C2293">
        <v>706</v>
      </c>
      <c r="D2293">
        <v>4</v>
      </c>
      <c r="E2293" t="s">
        <v>20</v>
      </c>
      <c r="F2293" t="s">
        <v>21</v>
      </c>
      <c r="G2293" t="str">
        <f>"2025-02-20 21:29:02.862"</f>
        <v>2025-02-20 21:29:02.862</v>
      </c>
      <c r="H2293" t="s">
        <v>22</v>
      </c>
      <c r="I2293">
        <v>0</v>
      </c>
      <c r="J2293" t="s">
        <v>23</v>
      </c>
    </row>
    <row r="2294" spans="1:10" x14ac:dyDescent="0.25">
      <c r="A2294" s="1">
        <v>353</v>
      </c>
      <c r="B2294" t="s">
        <v>19</v>
      </c>
      <c r="C2294">
        <v>706</v>
      </c>
      <c r="D2294">
        <v>2</v>
      </c>
      <c r="E2294" t="s">
        <v>20</v>
      </c>
      <c r="F2294" t="s">
        <v>25</v>
      </c>
      <c r="G2294" t="str">
        <f>"2025-02-20 11:15:11.462"</f>
        <v>2025-02-20 11:15:11.462</v>
      </c>
      <c r="H2294" t="s">
        <v>22</v>
      </c>
      <c r="I2294">
        <v>0</v>
      </c>
      <c r="J2294" t="s">
        <v>23</v>
      </c>
    </row>
    <row r="2295" spans="1:10" x14ac:dyDescent="0.25">
      <c r="A2295" s="1">
        <v>354</v>
      </c>
      <c r="B2295" t="s">
        <v>26</v>
      </c>
      <c r="C2295">
        <v>635</v>
      </c>
      <c r="D2295">
        <v>1</v>
      </c>
      <c r="E2295" t="s">
        <v>31</v>
      </c>
      <c r="F2295" t="s">
        <v>32</v>
      </c>
      <c r="G2295" t="str">
        <f>"2025-02-20 10:54:40.163"</f>
        <v>2025-02-20 10:54:40.163</v>
      </c>
      <c r="H2295" t="s">
        <v>22</v>
      </c>
    </row>
    <row r="2296" spans="1:10" x14ac:dyDescent="0.25">
      <c r="A2296" s="1">
        <v>355</v>
      </c>
      <c r="B2296" t="s">
        <v>29</v>
      </c>
      <c r="C2296">
        <v>635</v>
      </c>
      <c r="D2296">
        <v>1</v>
      </c>
      <c r="E2296" t="s">
        <v>31</v>
      </c>
      <c r="F2296" t="s">
        <v>32</v>
      </c>
      <c r="G2296" t="str">
        <f>"2025-02-20 10:44:08.663"</f>
        <v>2025-02-20 10:44:08.663</v>
      </c>
      <c r="H2296" t="s">
        <v>22</v>
      </c>
      <c r="I2296">
        <v>1.54</v>
      </c>
      <c r="J2296" t="s">
        <v>30</v>
      </c>
    </row>
    <row r="2297" spans="1:10" s="3" customFormat="1" x14ac:dyDescent="0.25">
      <c r="A2297" s="2">
        <v>356</v>
      </c>
      <c r="B2297" s="3" t="s">
        <v>26</v>
      </c>
      <c r="C2297" s="3">
        <v>647</v>
      </c>
      <c r="D2297" s="3">
        <v>1</v>
      </c>
      <c r="E2297" s="3" t="s">
        <v>27</v>
      </c>
      <c r="F2297" s="3" t="s">
        <v>28</v>
      </c>
      <c r="G2297" s="3" t="str">
        <f>"2025-02-19 01:39:46.964"</f>
        <v>2025-02-19 01:39:46.964</v>
      </c>
      <c r="H2297" s="3" t="s">
        <v>22</v>
      </c>
    </row>
    <row r="2298" spans="1:10" s="3" customFormat="1" x14ac:dyDescent="0.25">
      <c r="A2298" s="2">
        <v>357</v>
      </c>
      <c r="B2298" s="3" t="s">
        <v>29</v>
      </c>
      <c r="C2298" s="3">
        <v>647</v>
      </c>
      <c r="D2298" s="3">
        <v>1</v>
      </c>
      <c r="E2298" s="3" t="s">
        <v>27</v>
      </c>
      <c r="F2298" s="3" t="s">
        <v>28</v>
      </c>
      <c r="G2298" s="3" t="str">
        <f>"2025-02-19 01:39:45.664"</f>
        <v>2025-02-19 01:39:45.664</v>
      </c>
      <c r="H2298" s="3" t="s">
        <v>22</v>
      </c>
      <c r="I2298" s="3">
        <v>13.64</v>
      </c>
      <c r="J2298" s="3" t="s">
        <v>30</v>
      </c>
    </row>
    <row r="2299" spans="1:10" x14ac:dyDescent="0.25">
      <c r="A2299" s="1">
        <v>358</v>
      </c>
      <c r="B2299" t="s">
        <v>19</v>
      </c>
      <c r="C2299">
        <v>706</v>
      </c>
      <c r="D2299">
        <v>4</v>
      </c>
      <c r="E2299" t="s">
        <v>20</v>
      </c>
      <c r="F2299" t="s">
        <v>21</v>
      </c>
      <c r="G2299" t="str">
        <f>"2025-02-18 19:49:02.422"</f>
        <v>2025-02-18 19:49:02.422</v>
      </c>
      <c r="H2299" t="s">
        <v>22</v>
      </c>
      <c r="I2299">
        <v>0</v>
      </c>
      <c r="J2299" t="s">
        <v>23</v>
      </c>
    </row>
    <row r="2300" spans="1:10" s="3" customFormat="1" x14ac:dyDescent="0.25">
      <c r="A2300" s="2">
        <v>359</v>
      </c>
      <c r="B2300" s="3" t="s">
        <v>26</v>
      </c>
      <c r="C2300" s="3">
        <v>647</v>
      </c>
      <c r="D2300" s="3">
        <v>1</v>
      </c>
      <c r="E2300" s="3" t="s">
        <v>27</v>
      </c>
      <c r="F2300" s="3" t="s">
        <v>28</v>
      </c>
      <c r="G2300" s="3" t="str">
        <f>"2025-02-18 10:02:12.764"</f>
        <v>2025-02-18 10:02:12.764</v>
      </c>
      <c r="H2300" s="3" t="s">
        <v>22</v>
      </c>
    </row>
    <row r="2301" spans="1:10" s="3" customFormat="1" x14ac:dyDescent="0.25">
      <c r="A2301" s="2">
        <v>360</v>
      </c>
      <c r="B2301" s="3" t="s">
        <v>29</v>
      </c>
      <c r="C2301" s="3">
        <v>647</v>
      </c>
      <c r="D2301" s="3">
        <v>1</v>
      </c>
      <c r="E2301" s="3" t="s">
        <v>27</v>
      </c>
      <c r="F2301" s="3" t="s">
        <v>28</v>
      </c>
      <c r="G2301" s="3" t="str">
        <f>"2025-02-18 10:02:10.864"</f>
        <v>2025-02-18 10:02:10.864</v>
      </c>
      <c r="H2301" s="3" t="s">
        <v>22</v>
      </c>
      <c r="I2301" s="3">
        <v>23.01</v>
      </c>
      <c r="J2301" s="3" t="s">
        <v>30</v>
      </c>
    </row>
    <row r="2302" spans="1:10" x14ac:dyDescent="0.25">
      <c r="A2302" s="1">
        <v>361</v>
      </c>
      <c r="B2302" t="s">
        <v>19</v>
      </c>
      <c r="C2302">
        <v>700</v>
      </c>
      <c r="D2302">
        <v>0</v>
      </c>
      <c r="E2302" t="s">
        <v>24</v>
      </c>
      <c r="F2302" t="s">
        <v>24</v>
      </c>
      <c r="G2302" t="str">
        <f>"2025-02-18 07:17:11.372"</f>
        <v>2025-02-18 07:17:11.372</v>
      </c>
      <c r="H2302" t="s">
        <v>22</v>
      </c>
    </row>
    <row r="2303" spans="1:10" x14ac:dyDescent="0.25">
      <c r="A2303" s="1">
        <v>362</v>
      </c>
      <c r="B2303" t="s">
        <v>26</v>
      </c>
      <c r="C2303">
        <v>635</v>
      </c>
      <c r="D2303">
        <v>1</v>
      </c>
      <c r="E2303" t="s">
        <v>31</v>
      </c>
      <c r="F2303" t="s">
        <v>32</v>
      </c>
      <c r="G2303" t="str">
        <f>"2025-02-17 23:21:04.771"</f>
        <v>2025-02-17 23:21:04.771</v>
      </c>
      <c r="H2303" t="s">
        <v>22</v>
      </c>
    </row>
    <row r="2304" spans="1:10" x14ac:dyDescent="0.25">
      <c r="A2304" s="1">
        <v>363</v>
      </c>
      <c r="B2304" t="s">
        <v>29</v>
      </c>
      <c r="C2304">
        <v>635</v>
      </c>
      <c r="D2304">
        <v>1</v>
      </c>
      <c r="E2304" t="s">
        <v>31</v>
      </c>
      <c r="F2304" t="s">
        <v>32</v>
      </c>
      <c r="G2304" t="str">
        <f>"2025-02-17 23:15:55.771"</f>
        <v>2025-02-17 23:15:55.771</v>
      </c>
      <c r="H2304" t="s">
        <v>22</v>
      </c>
      <c r="I2304">
        <v>5.51</v>
      </c>
      <c r="J2304" t="s">
        <v>33</v>
      </c>
    </row>
    <row r="2305" spans="1:10" x14ac:dyDescent="0.25">
      <c r="A2305" s="1">
        <v>364</v>
      </c>
      <c r="B2305" t="s">
        <v>19</v>
      </c>
      <c r="C2305">
        <v>700</v>
      </c>
      <c r="D2305">
        <v>0</v>
      </c>
      <c r="E2305" t="s">
        <v>24</v>
      </c>
      <c r="F2305" t="s">
        <v>24</v>
      </c>
      <c r="G2305" t="str">
        <f>"2025-02-16 18:22:50.476"</f>
        <v>2025-02-16 18:22:50.476</v>
      </c>
      <c r="H2305" t="s">
        <v>22</v>
      </c>
    </row>
    <row r="2306" spans="1:10" x14ac:dyDescent="0.25">
      <c r="A2306" s="1">
        <v>365</v>
      </c>
      <c r="B2306" t="s">
        <v>26</v>
      </c>
      <c r="C2306">
        <v>98</v>
      </c>
      <c r="D2306">
        <v>1</v>
      </c>
      <c r="E2306" t="s">
        <v>63</v>
      </c>
      <c r="F2306" t="s">
        <v>64</v>
      </c>
      <c r="G2306" t="str">
        <f>"2025-02-16 02:15:26.518"</f>
        <v>2025-02-16 02:15:26.518</v>
      </c>
      <c r="H2306" t="s">
        <v>22</v>
      </c>
    </row>
    <row r="2307" spans="1:10" x14ac:dyDescent="0.25">
      <c r="A2307" s="1">
        <v>366</v>
      </c>
      <c r="B2307" t="s">
        <v>29</v>
      </c>
      <c r="C2307">
        <v>98</v>
      </c>
      <c r="D2307">
        <v>1</v>
      </c>
      <c r="E2307" t="s">
        <v>63</v>
      </c>
      <c r="F2307" t="s">
        <v>64</v>
      </c>
      <c r="G2307" t="str">
        <f>"2025-02-16 02:15:25.519"</f>
        <v>2025-02-16 02:15:25.519</v>
      </c>
      <c r="H2307" t="s">
        <v>22</v>
      </c>
      <c r="I2307">
        <v>0</v>
      </c>
      <c r="J2307" t="s">
        <v>52</v>
      </c>
    </row>
    <row r="2308" spans="1:10" x14ac:dyDescent="0.25">
      <c r="A2308" s="1">
        <v>367</v>
      </c>
      <c r="B2308" t="s">
        <v>19</v>
      </c>
      <c r="C2308">
        <v>706</v>
      </c>
      <c r="D2308">
        <v>4</v>
      </c>
      <c r="E2308" t="s">
        <v>20</v>
      </c>
      <c r="F2308" t="s">
        <v>21</v>
      </c>
      <c r="G2308" t="str">
        <f>"2025-02-14 17:30:06.918"</f>
        <v>2025-02-14 17:30:06.918</v>
      </c>
      <c r="H2308" t="s">
        <v>22</v>
      </c>
      <c r="I2308">
        <v>0</v>
      </c>
      <c r="J2308" t="s">
        <v>23</v>
      </c>
    </row>
    <row r="2309" spans="1:10" x14ac:dyDescent="0.25">
      <c r="A2309" s="1">
        <v>368</v>
      </c>
      <c r="B2309" t="s">
        <v>19</v>
      </c>
      <c r="C2309">
        <v>700</v>
      </c>
      <c r="D2309">
        <v>0</v>
      </c>
      <c r="E2309" t="s">
        <v>24</v>
      </c>
      <c r="F2309" t="s">
        <v>24</v>
      </c>
      <c r="G2309" t="str">
        <f>"2025-02-14 17:29:36.468"</f>
        <v>2025-02-14 17:29:36.468</v>
      </c>
      <c r="H2309" t="s">
        <v>22</v>
      </c>
    </row>
    <row r="2310" spans="1:10" x14ac:dyDescent="0.25">
      <c r="A2310" s="1">
        <v>369</v>
      </c>
      <c r="B2310" t="s">
        <v>19</v>
      </c>
      <c r="C2310">
        <v>706</v>
      </c>
      <c r="D2310">
        <v>2</v>
      </c>
      <c r="E2310" t="s">
        <v>20</v>
      </c>
      <c r="F2310" t="s">
        <v>25</v>
      </c>
      <c r="G2310" t="str">
        <f>"2025-02-14 05:09:16.445"</f>
        <v>2025-02-14 05:09:16.445</v>
      </c>
      <c r="H2310" t="s">
        <v>22</v>
      </c>
      <c r="I2310">
        <v>0</v>
      </c>
      <c r="J2310" t="s">
        <v>23</v>
      </c>
    </row>
    <row r="2311" spans="1:10" x14ac:dyDescent="0.25">
      <c r="A2311" s="1">
        <v>371</v>
      </c>
      <c r="B2311" t="s">
        <v>19</v>
      </c>
      <c r="C2311">
        <v>706</v>
      </c>
      <c r="D2311">
        <v>2</v>
      </c>
      <c r="E2311" t="s">
        <v>20</v>
      </c>
      <c r="F2311" t="s">
        <v>25</v>
      </c>
      <c r="G2311" t="str">
        <f>"2025-02-12 04:46:07.845"</f>
        <v>2025-02-12 04:46:07.845</v>
      </c>
      <c r="H2311" t="s">
        <v>22</v>
      </c>
      <c r="I2311">
        <v>0</v>
      </c>
      <c r="J2311" t="s">
        <v>23</v>
      </c>
    </row>
    <row r="2312" spans="1:10" x14ac:dyDescent="0.25">
      <c r="A2312" s="1">
        <v>372</v>
      </c>
      <c r="B2312" t="s">
        <v>19</v>
      </c>
      <c r="C2312">
        <v>700</v>
      </c>
      <c r="D2312">
        <v>0</v>
      </c>
      <c r="E2312" t="s">
        <v>24</v>
      </c>
      <c r="F2312" t="s">
        <v>24</v>
      </c>
      <c r="G2312" t="str">
        <f>"2025-02-12 03:40:13.385"</f>
        <v>2025-02-12 03:40:13.385</v>
      </c>
      <c r="H2312" t="s">
        <v>22</v>
      </c>
      <c r="I2312">
        <v>0</v>
      </c>
      <c r="J2312" t="s">
        <v>34</v>
      </c>
    </row>
    <row r="2313" spans="1:10" x14ac:dyDescent="0.25">
      <c r="A2313" s="1">
        <v>373</v>
      </c>
      <c r="B2313" t="s">
        <v>35</v>
      </c>
      <c r="C2313">
        <v>228</v>
      </c>
      <c r="D2313">
        <v>4</v>
      </c>
      <c r="E2313" t="s">
        <v>94</v>
      </c>
      <c r="F2313" t="s">
        <v>86</v>
      </c>
      <c r="G2313" t="str">
        <f>"2025-02-11 11:40:34.208"</f>
        <v>2025-02-11 11:40:34.208</v>
      </c>
      <c r="H2313" t="s">
        <v>45</v>
      </c>
    </row>
    <row r="2314" spans="1:10" x14ac:dyDescent="0.25">
      <c r="A2314" s="1">
        <v>374</v>
      </c>
      <c r="B2314" t="s">
        <v>39</v>
      </c>
      <c r="C2314">
        <v>228</v>
      </c>
      <c r="D2314">
        <v>4</v>
      </c>
      <c r="E2314" t="s">
        <v>94</v>
      </c>
      <c r="F2314" t="s">
        <v>86</v>
      </c>
      <c r="G2314" t="str">
        <f>"2025-02-11 11:40:29.173"</f>
        <v>2025-02-11 11:40:29.173</v>
      </c>
      <c r="H2314" t="s">
        <v>45</v>
      </c>
      <c r="I2314">
        <v>15.2</v>
      </c>
      <c r="J2314" t="s">
        <v>33</v>
      </c>
    </row>
    <row r="2315" spans="1:10" s="3" customFormat="1" x14ac:dyDescent="0.25">
      <c r="A2315" s="2">
        <v>375</v>
      </c>
      <c r="B2315" s="3" t="s">
        <v>26</v>
      </c>
      <c r="C2315" s="3">
        <v>647</v>
      </c>
      <c r="D2315" s="3">
        <v>1</v>
      </c>
      <c r="E2315" s="3" t="s">
        <v>27</v>
      </c>
      <c r="F2315" s="3" t="s">
        <v>28</v>
      </c>
      <c r="G2315" s="3" t="str">
        <f>"2025-02-11 08:01:06.427"</f>
        <v>2025-02-11 08:01:06.427</v>
      </c>
      <c r="H2315" s="3" t="s">
        <v>22</v>
      </c>
    </row>
    <row r="2316" spans="1:10" s="3" customFormat="1" x14ac:dyDescent="0.25">
      <c r="A2316" s="2">
        <v>376</v>
      </c>
      <c r="B2316" s="3" t="s">
        <v>29</v>
      </c>
      <c r="C2316" s="3">
        <v>647</v>
      </c>
      <c r="D2316" s="3">
        <v>1</v>
      </c>
      <c r="E2316" s="3" t="s">
        <v>27</v>
      </c>
      <c r="F2316" s="3" t="s">
        <v>28</v>
      </c>
      <c r="G2316" s="3" t="str">
        <f>"2025-02-11 08:01:01.927"</f>
        <v>2025-02-11 08:01:01.927</v>
      </c>
      <c r="H2316" s="3" t="s">
        <v>22</v>
      </c>
      <c r="I2316" s="3">
        <v>11.44</v>
      </c>
      <c r="J2316" s="3" t="s">
        <v>30</v>
      </c>
    </row>
    <row r="2317" spans="1:10" x14ac:dyDescent="0.25">
      <c r="A2317" s="1">
        <v>377</v>
      </c>
      <c r="B2317" t="s">
        <v>26</v>
      </c>
      <c r="C2317">
        <v>635</v>
      </c>
      <c r="D2317">
        <v>1</v>
      </c>
      <c r="E2317" t="s">
        <v>31</v>
      </c>
      <c r="F2317" t="s">
        <v>32</v>
      </c>
      <c r="G2317" t="str">
        <f>"2025-02-11 03:49:00.527"</f>
        <v>2025-02-11 03:49:00.527</v>
      </c>
      <c r="H2317" t="s">
        <v>22</v>
      </c>
    </row>
    <row r="2318" spans="1:10" x14ac:dyDescent="0.25">
      <c r="A2318" s="1">
        <v>378</v>
      </c>
      <c r="B2318" t="s">
        <v>29</v>
      </c>
      <c r="C2318">
        <v>635</v>
      </c>
      <c r="D2318">
        <v>1</v>
      </c>
      <c r="E2318" t="s">
        <v>31</v>
      </c>
      <c r="F2318" t="s">
        <v>32</v>
      </c>
      <c r="G2318" t="str">
        <f>"2025-02-11 03:44:00.027"</f>
        <v>2025-02-11 03:44:00.027</v>
      </c>
      <c r="H2318" t="s">
        <v>22</v>
      </c>
      <c r="I2318">
        <v>2.97</v>
      </c>
      <c r="J2318" t="s">
        <v>33</v>
      </c>
    </row>
    <row r="2319" spans="1:10" x14ac:dyDescent="0.25">
      <c r="A2319" s="1">
        <v>379</v>
      </c>
      <c r="B2319" t="s">
        <v>35</v>
      </c>
      <c r="C2319">
        <v>228</v>
      </c>
      <c r="D2319">
        <v>4</v>
      </c>
      <c r="E2319" t="s">
        <v>94</v>
      </c>
      <c r="F2319" t="s">
        <v>86</v>
      </c>
      <c r="G2319" t="str">
        <f>"2025-02-11 02:27:17.108"</f>
        <v>2025-02-11 02:27:17.108</v>
      </c>
      <c r="H2319" t="s">
        <v>45</v>
      </c>
    </row>
    <row r="2320" spans="1:10" x14ac:dyDescent="0.25">
      <c r="A2320" s="1">
        <v>380</v>
      </c>
      <c r="B2320" t="s">
        <v>39</v>
      </c>
      <c r="C2320">
        <v>228</v>
      </c>
      <c r="D2320">
        <v>4</v>
      </c>
      <c r="E2320" t="s">
        <v>94</v>
      </c>
      <c r="F2320" t="s">
        <v>86</v>
      </c>
      <c r="G2320" t="str">
        <f>"2025-02-11 02:27:12.093"</f>
        <v>2025-02-11 02:27:12.093</v>
      </c>
      <c r="H2320" t="s">
        <v>45</v>
      </c>
      <c r="I2320">
        <v>0</v>
      </c>
      <c r="J2320" t="s">
        <v>52</v>
      </c>
    </row>
    <row r="2321" spans="1:10" x14ac:dyDescent="0.25">
      <c r="A2321" s="1">
        <v>381</v>
      </c>
      <c r="B2321" t="s">
        <v>19</v>
      </c>
      <c r="C2321">
        <v>706</v>
      </c>
      <c r="D2321">
        <v>4</v>
      </c>
      <c r="E2321" t="s">
        <v>20</v>
      </c>
      <c r="F2321" t="s">
        <v>21</v>
      </c>
      <c r="G2321" t="str">
        <f>"2025-02-10 04:58:08.269"</f>
        <v>2025-02-10 04:58:08.269</v>
      </c>
      <c r="H2321" t="s">
        <v>22</v>
      </c>
      <c r="I2321">
        <v>0</v>
      </c>
      <c r="J2321" t="s">
        <v>23</v>
      </c>
    </row>
    <row r="2322" spans="1:10" s="3" customFormat="1" x14ac:dyDescent="0.25">
      <c r="A2322" s="2">
        <v>382</v>
      </c>
      <c r="B2322" s="3" t="s">
        <v>26</v>
      </c>
      <c r="C2322" s="3">
        <v>647</v>
      </c>
      <c r="D2322" s="3">
        <v>1</v>
      </c>
      <c r="E2322" s="3" t="s">
        <v>27</v>
      </c>
      <c r="F2322" s="3" t="s">
        <v>28</v>
      </c>
      <c r="G2322" s="3" t="str">
        <f>"2025-02-09 08:45:05.327"</f>
        <v>2025-02-09 08:45:05.327</v>
      </c>
      <c r="H2322" s="3" t="s">
        <v>22</v>
      </c>
    </row>
    <row r="2323" spans="1:10" s="3" customFormat="1" x14ac:dyDescent="0.25">
      <c r="A2323" s="2">
        <v>383</v>
      </c>
      <c r="B2323" s="3" t="s">
        <v>29</v>
      </c>
      <c r="C2323" s="3">
        <v>647</v>
      </c>
      <c r="D2323" s="3">
        <v>1</v>
      </c>
      <c r="E2323" s="3" t="s">
        <v>27</v>
      </c>
      <c r="F2323" s="3" t="s">
        <v>28</v>
      </c>
      <c r="G2323" s="3" t="str">
        <f>"2025-02-09 08:45:03.227"</f>
        <v>2025-02-09 08:45:03.227</v>
      </c>
      <c r="H2323" s="3" t="s">
        <v>22</v>
      </c>
      <c r="I2323" s="3">
        <v>17.190000000000001</v>
      </c>
      <c r="J2323" s="3" t="s">
        <v>30</v>
      </c>
    </row>
    <row r="2324" spans="1:10" s="3" customFormat="1" x14ac:dyDescent="0.25">
      <c r="A2324" s="2">
        <v>384</v>
      </c>
      <c r="B2324" s="3" t="s">
        <v>26</v>
      </c>
      <c r="C2324" s="3">
        <v>647</v>
      </c>
      <c r="D2324" s="3">
        <v>1</v>
      </c>
      <c r="E2324" s="3" t="s">
        <v>27</v>
      </c>
      <c r="F2324" s="3" t="s">
        <v>28</v>
      </c>
      <c r="G2324" s="3" t="str">
        <f>"2025-02-08 17:17:10.627"</f>
        <v>2025-02-08 17:17:10.627</v>
      </c>
      <c r="H2324" s="3" t="s">
        <v>22</v>
      </c>
    </row>
    <row r="2325" spans="1:10" s="3" customFormat="1" x14ac:dyDescent="0.25">
      <c r="A2325" s="2">
        <v>385</v>
      </c>
      <c r="B2325" s="3" t="s">
        <v>29</v>
      </c>
      <c r="C2325" s="3">
        <v>647</v>
      </c>
      <c r="D2325" s="3">
        <v>1</v>
      </c>
      <c r="E2325" s="3" t="s">
        <v>27</v>
      </c>
      <c r="F2325" s="3" t="s">
        <v>28</v>
      </c>
      <c r="G2325" s="3" t="str">
        <f>"2025-02-08 17:17:09.327"</f>
        <v>2025-02-08 17:17:09.327</v>
      </c>
      <c r="H2325" s="3" t="s">
        <v>22</v>
      </c>
      <c r="I2325" s="3">
        <v>12.79</v>
      </c>
      <c r="J2325" s="3" t="s">
        <v>30</v>
      </c>
    </row>
    <row r="2326" spans="1:10" s="3" customFormat="1" x14ac:dyDescent="0.25">
      <c r="A2326" s="2">
        <v>386</v>
      </c>
      <c r="B2326" s="3" t="s">
        <v>26</v>
      </c>
      <c r="C2326" s="3">
        <v>647</v>
      </c>
      <c r="D2326" s="3">
        <v>1</v>
      </c>
      <c r="E2326" s="3" t="s">
        <v>27</v>
      </c>
      <c r="F2326" s="3" t="s">
        <v>28</v>
      </c>
      <c r="G2326" s="3" t="str">
        <f>"2025-02-08 09:10:45.027"</f>
        <v>2025-02-08 09:10:45.027</v>
      </c>
      <c r="H2326" s="3" t="s">
        <v>22</v>
      </c>
    </row>
    <row r="2327" spans="1:10" s="3" customFormat="1" x14ac:dyDescent="0.25">
      <c r="A2327" s="2">
        <v>387</v>
      </c>
      <c r="B2327" s="3" t="s">
        <v>29</v>
      </c>
      <c r="C2327" s="3">
        <v>647</v>
      </c>
      <c r="D2327" s="3">
        <v>1</v>
      </c>
      <c r="E2327" s="3" t="s">
        <v>27</v>
      </c>
      <c r="F2327" s="3" t="s">
        <v>28</v>
      </c>
      <c r="G2327" s="3" t="str">
        <f>"2025-02-08 09:10:43.727"</f>
        <v>2025-02-08 09:10:43.727</v>
      </c>
      <c r="H2327" s="3" t="s">
        <v>22</v>
      </c>
      <c r="I2327" s="3">
        <v>15.78</v>
      </c>
      <c r="J2327" s="3" t="s">
        <v>30</v>
      </c>
    </row>
    <row r="2328" spans="1:10" s="3" customFormat="1" x14ac:dyDescent="0.25">
      <c r="A2328" s="2">
        <v>388</v>
      </c>
      <c r="B2328" s="3" t="s">
        <v>26</v>
      </c>
      <c r="C2328" s="3">
        <v>647</v>
      </c>
      <c r="D2328" s="3">
        <v>1</v>
      </c>
      <c r="E2328" s="3" t="s">
        <v>27</v>
      </c>
      <c r="F2328" s="3" t="s">
        <v>28</v>
      </c>
      <c r="G2328" s="3" t="str">
        <f>"2025-02-08 08:17:32.927"</f>
        <v>2025-02-08 08:17:32.927</v>
      </c>
      <c r="H2328" s="3" t="s">
        <v>22</v>
      </c>
    </row>
    <row r="2329" spans="1:10" s="3" customFormat="1" x14ac:dyDescent="0.25">
      <c r="A2329" s="2">
        <v>389</v>
      </c>
      <c r="B2329" s="3" t="s">
        <v>29</v>
      </c>
      <c r="C2329" s="3">
        <v>647</v>
      </c>
      <c r="D2329" s="3">
        <v>1</v>
      </c>
      <c r="E2329" s="3" t="s">
        <v>27</v>
      </c>
      <c r="F2329" s="3" t="s">
        <v>28</v>
      </c>
      <c r="G2329" s="3" t="str">
        <f>"2025-02-08 08:17:30.027"</f>
        <v>2025-02-08 08:17:30.027</v>
      </c>
      <c r="H2329" s="3" t="s">
        <v>22</v>
      </c>
      <c r="I2329" s="3">
        <v>16.93</v>
      </c>
      <c r="J2329" s="3" t="s">
        <v>30</v>
      </c>
    </row>
    <row r="2330" spans="1:10" x14ac:dyDescent="0.25">
      <c r="A2330" s="1">
        <v>390</v>
      </c>
      <c r="B2330" t="s">
        <v>19</v>
      </c>
      <c r="C2330">
        <v>706</v>
      </c>
      <c r="D2330">
        <v>2</v>
      </c>
      <c r="E2330" t="s">
        <v>20</v>
      </c>
      <c r="F2330" t="s">
        <v>25</v>
      </c>
      <c r="G2330" t="str">
        <f>"2025-02-06 22:12:03.009"</f>
        <v>2025-02-06 22:12:03.009</v>
      </c>
      <c r="H2330" t="s">
        <v>22</v>
      </c>
      <c r="I2330">
        <v>0</v>
      </c>
      <c r="J2330" t="s">
        <v>23</v>
      </c>
    </row>
    <row r="2331" spans="1:10" s="3" customFormat="1" x14ac:dyDescent="0.25">
      <c r="A2331" s="2">
        <v>391</v>
      </c>
      <c r="B2331" s="3" t="s">
        <v>26</v>
      </c>
      <c r="C2331" s="3">
        <v>647</v>
      </c>
      <c r="D2331" s="3">
        <v>1</v>
      </c>
      <c r="E2331" s="3" t="s">
        <v>27</v>
      </c>
      <c r="F2331" s="3" t="s">
        <v>28</v>
      </c>
      <c r="G2331" s="3" t="str">
        <f>"2025-02-06 17:03:39.826"</f>
        <v>2025-02-06 17:03:39.826</v>
      </c>
      <c r="H2331" s="3" t="s">
        <v>22</v>
      </c>
    </row>
    <row r="2332" spans="1:10" s="3" customFormat="1" x14ac:dyDescent="0.25">
      <c r="A2332" s="2">
        <v>392</v>
      </c>
      <c r="B2332" s="3" t="s">
        <v>29</v>
      </c>
      <c r="C2332" s="3">
        <v>647</v>
      </c>
      <c r="D2332" s="3">
        <v>1</v>
      </c>
      <c r="E2332" s="3" t="s">
        <v>27</v>
      </c>
      <c r="F2332" s="3" t="s">
        <v>28</v>
      </c>
      <c r="G2332" s="3" t="str">
        <f>"2025-02-06 17:03:38.326"</f>
        <v>2025-02-06 17:03:38.326</v>
      </c>
      <c r="H2332" s="3" t="s">
        <v>22</v>
      </c>
      <c r="I2332" s="3">
        <v>8.6300000000000008</v>
      </c>
      <c r="J2332" s="3" t="s">
        <v>30</v>
      </c>
    </row>
    <row r="2333" spans="1:10" s="3" customFormat="1" x14ac:dyDescent="0.25">
      <c r="A2333" s="2">
        <v>393</v>
      </c>
      <c r="B2333" s="3" t="s">
        <v>26</v>
      </c>
      <c r="C2333" s="3">
        <v>647</v>
      </c>
      <c r="D2333" s="3">
        <v>1</v>
      </c>
      <c r="E2333" s="3" t="s">
        <v>27</v>
      </c>
      <c r="F2333" s="3" t="s">
        <v>28</v>
      </c>
      <c r="G2333" s="3" t="str">
        <f>"2025-02-06 07:36:19.227"</f>
        <v>2025-02-06 07:36:19.227</v>
      </c>
      <c r="H2333" s="3" t="s">
        <v>22</v>
      </c>
    </row>
    <row r="2334" spans="1:10" s="3" customFormat="1" x14ac:dyDescent="0.25">
      <c r="A2334" s="2">
        <v>394</v>
      </c>
      <c r="B2334" s="3" t="s">
        <v>29</v>
      </c>
      <c r="C2334" s="3">
        <v>647</v>
      </c>
      <c r="D2334" s="3">
        <v>1</v>
      </c>
      <c r="E2334" s="3" t="s">
        <v>27</v>
      </c>
      <c r="F2334" s="3" t="s">
        <v>28</v>
      </c>
      <c r="G2334" s="3" t="str">
        <f>"2025-02-06 07:36:16.927"</f>
        <v>2025-02-06 07:36:16.927</v>
      </c>
      <c r="H2334" s="3" t="s">
        <v>22</v>
      </c>
      <c r="I2334" s="3">
        <v>10.92</v>
      </c>
      <c r="J2334" s="3" t="s">
        <v>30</v>
      </c>
    </row>
    <row r="2335" spans="1:10" s="3" customFormat="1" x14ac:dyDescent="0.25">
      <c r="A2335" s="2">
        <v>395</v>
      </c>
      <c r="B2335" s="3" t="s">
        <v>26</v>
      </c>
      <c r="C2335" s="3">
        <v>647</v>
      </c>
      <c r="D2335" s="3">
        <v>1</v>
      </c>
      <c r="E2335" s="3" t="s">
        <v>27</v>
      </c>
      <c r="F2335" s="3" t="s">
        <v>28</v>
      </c>
      <c r="G2335" s="3" t="str">
        <f>"2025-02-05 18:45:36.927"</f>
        <v>2025-02-05 18:45:36.927</v>
      </c>
      <c r="H2335" s="3" t="s">
        <v>22</v>
      </c>
    </row>
    <row r="2336" spans="1:10" s="3" customFormat="1" x14ac:dyDescent="0.25">
      <c r="A2336" s="2">
        <v>396</v>
      </c>
      <c r="B2336" s="3" t="s">
        <v>29</v>
      </c>
      <c r="C2336" s="3">
        <v>647</v>
      </c>
      <c r="D2336" s="3">
        <v>1</v>
      </c>
      <c r="E2336" s="3" t="s">
        <v>27</v>
      </c>
      <c r="F2336" s="3" t="s">
        <v>28</v>
      </c>
      <c r="G2336" s="3" t="str">
        <f>"2025-02-05 18:45:32.327"</f>
        <v>2025-02-05 18:45:32.327</v>
      </c>
      <c r="H2336" s="3" t="s">
        <v>22</v>
      </c>
      <c r="I2336" s="3">
        <v>14.23</v>
      </c>
      <c r="J2336" s="3" t="s">
        <v>30</v>
      </c>
    </row>
    <row r="2337" spans="1:10" s="3" customFormat="1" x14ac:dyDescent="0.25">
      <c r="A2337" s="2">
        <v>397</v>
      </c>
      <c r="B2337" s="3" t="s">
        <v>26</v>
      </c>
      <c r="C2337" s="3">
        <v>647</v>
      </c>
      <c r="D2337" s="3">
        <v>1</v>
      </c>
      <c r="E2337" s="3" t="s">
        <v>27</v>
      </c>
      <c r="F2337" s="3" t="s">
        <v>28</v>
      </c>
      <c r="G2337" s="3" t="str">
        <f>"2025-02-05 10:43:12.827"</f>
        <v>2025-02-05 10:43:12.827</v>
      </c>
      <c r="H2337" s="3" t="s">
        <v>22</v>
      </c>
    </row>
    <row r="2338" spans="1:10" s="3" customFormat="1" x14ac:dyDescent="0.25">
      <c r="A2338" s="2">
        <v>398</v>
      </c>
      <c r="B2338" s="3" t="s">
        <v>29</v>
      </c>
      <c r="C2338" s="3">
        <v>647</v>
      </c>
      <c r="D2338" s="3">
        <v>1</v>
      </c>
      <c r="E2338" s="3" t="s">
        <v>27</v>
      </c>
      <c r="F2338" s="3" t="s">
        <v>28</v>
      </c>
      <c r="G2338" s="3" t="str">
        <f>"2025-02-05 10:43:07.728"</f>
        <v>2025-02-05 10:43:07.728</v>
      </c>
      <c r="H2338" s="3" t="s">
        <v>22</v>
      </c>
      <c r="I2338" s="3">
        <v>17.739999999999998</v>
      </c>
      <c r="J2338" s="3" t="s">
        <v>30</v>
      </c>
    </row>
    <row r="2339" spans="1:10" x14ac:dyDescent="0.25">
      <c r="A2339" s="1">
        <v>399</v>
      </c>
      <c r="B2339" t="s">
        <v>19</v>
      </c>
      <c r="C2339">
        <v>700</v>
      </c>
      <c r="D2339">
        <v>0</v>
      </c>
      <c r="E2339" t="s">
        <v>24</v>
      </c>
      <c r="F2339" t="s">
        <v>24</v>
      </c>
      <c r="G2339" t="str">
        <f>"2025-02-04 08:23:44.319"</f>
        <v>2025-02-04 08:23:44.319</v>
      </c>
      <c r="H2339" t="s">
        <v>22</v>
      </c>
    </row>
    <row r="2340" spans="1:10" s="3" customFormat="1" x14ac:dyDescent="0.25">
      <c r="A2340" s="2">
        <v>400</v>
      </c>
      <c r="B2340" s="3" t="s">
        <v>26</v>
      </c>
      <c r="C2340" s="3">
        <v>647</v>
      </c>
      <c r="D2340" s="3">
        <v>1</v>
      </c>
      <c r="E2340" s="3" t="s">
        <v>27</v>
      </c>
      <c r="F2340" s="3" t="s">
        <v>28</v>
      </c>
      <c r="G2340" s="3" t="str">
        <f>"2025-02-03 11:16:27.551"</f>
        <v>2025-02-03 11:16:27.551</v>
      </c>
      <c r="H2340" s="3" t="s">
        <v>22</v>
      </c>
    </row>
    <row r="2341" spans="1:10" s="3" customFormat="1" x14ac:dyDescent="0.25">
      <c r="A2341" s="2">
        <v>401</v>
      </c>
      <c r="B2341" s="3" t="s">
        <v>29</v>
      </c>
      <c r="C2341" s="3">
        <v>647</v>
      </c>
      <c r="D2341" s="3">
        <v>1</v>
      </c>
      <c r="E2341" s="3" t="s">
        <v>27</v>
      </c>
      <c r="F2341" s="3" t="s">
        <v>28</v>
      </c>
      <c r="G2341" s="3" t="str">
        <f>"2025-02-03 11:16:24.251"</f>
        <v>2025-02-03 11:16:24.251</v>
      </c>
      <c r="H2341" s="3" t="s">
        <v>22</v>
      </c>
      <c r="I2341" s="3">
        <v>10.72</v>
      </c>
      <c r="J2341" s="3" t="s">
        <v>30</v>
      </c>
    </row>
    <row r="2342" spans="1:10" x14ac:dyDescent="0.25">
      <c r="A2342" s="1">
        <v>402</v>
      </c>
      <c r="B2342" t="s">
        <v>19</v>
      </c>
      <c r="C2342">
        <v>706</v>
      </c>
      <c r="D2342">
        <v>4</v>
      </c>
      <c r="E2342" t="s">
        <v>20</v>
      </c>
      <c r="F2342" t="s">
        <v>21</v>
      </c>
      <c r="G2342" t="str">
        <f>"2025-02-02 22:00:34.962"</f>
        <v>2025-02-02 22:00:34.962</v>
      </c>
      <c r="H2342" t="s">
        <v>22</v>
      </c>
      <c r="I2342">
        <v>0</v>
      </c>
      <c r="J2342" t="s">
        <v>23</v>
      </c>
    </row>
    <row r="2343" spans="1:10" x14ac:dyDescent="0.25">
      <c r="A2343" s="1">
        <v>403</v>
      </c>
      <c r="B2343" t="s">
        <v>19</v>
      </c>
      <c r="C2343">
        <v>706</v>
      </c>
      <c r="D2343">
        <v>4</v>
      </c>
      <c r="E2343" t="s">
        <v>20</v>
      </c>
      <c r="F2343" t="s">
        <v>21</v>
      </c>
      <c r="G2343" t="str">
        <f>"2025-02-02 21:59:48.372"</f>
        <v>2025-02-02 21:59:48.372</v>
      </c>
      <c r="H2343" t="s">
        <v>22</v>
      </c>
      <c r="I2343">
        <v>0</v>
      </c>
      <c r="J2343" t="s">
        <v>23</v>
      </c>
    </row>
    <row r="2344" spans="1:10" s="3" customFormat="1" x14ac:dyDescent="0.25">
      <c r="A2344" s="2">
        <v>404</v>
      </c>
      <c r="B2344" s="3" t="s">
        <v>26</v>
      </c>
      <c r="C2344" s="3">
        <v>647</v>
      </c>
      <c r="D2344" s="3">
        <v>1</v>
      </c>
      <c r="E2344" s="3" t="s">
        <v>27</v>
      </c>
      <c r="F2344" s="3" t="s">
        <v>28</v>
      </c>
      <c r="G2344" s="3" t="str">
        <f>"2025-02-02 11:21:14.551"</f>
        <v>2025-02-02 11:21:14.551</v>
      </c>
      <c r="H2344" s="3" t="s">
        <v>22</v>
      </c>
    </row>
    <row r="2345" spans="1:10" s="3" customFormat="1" x14ac:dyDescent="0.25">
      <c r="A2345" s="2">
        <v>405</v>
      </c>
      <c r="B2345" s="3" t="s">
        <v>29</v>
      </c>
      <c r="C2345" s="3">
        <v>647</v>
      </c>
      <c r="D2345" s="3">
        <v>1</v>
      </c>
      <c r="E2345" s="3" t="s">
        <v>27</v>
      </c>
      <c r="F2345" s="3" t="s">
        <v>28</v>
      </c>
      <c r="G2345" s="3" t="str">
        <f>"2025-02-02 11:21:10.451"</f>
        <v>2025-02-02 11:21:10.451</v>
      </c>
      <c r="H2345" s="3" t="s">
        <v>22</v>
      </c>
      <c r="I2345" s="3">
        <v>13.33</v>
      </c>
      <c r="J2345" s="3" t="s">
        <v>30</v>
      </c>
    </row>
    <row r="2346" spans="1:10" s="3" customFormat="1" x14ac:dyDescent="0.25">
      <c r="A2346" s="2">
        <v>406</v>
      </c>
      <c r="B2346" s="3" t="s">
        <v>26</v>
      </c>
      <c r="C2346" s="3">
        <v>647</v>
      </c>
      <c r="D2346" s="3">
        <v>1</v>
      </c>
      <c r="E2346" s="3" t="s">
        <v>27</v>
      </c>
      <c r="F2346" s="3" t="s">
        <v>28</v>
      </c>
      <c r="G2346" s="3" t="str">
        <f>"2025-02-01 17:01:11.051"</f>
        <v>2025-02-01 17:01:11.051</v>
      </c>
      <c r="H2346" s="3" t="s">
        <v>22</v>
      </c>
    </row>
    <row r="2347" spans="1:10" s="3" customFormat="1" x14ac:dyDescent="0.25">
      <c r="A2347" s="2">
        <v>407</v>
      </c>
      <c r="B2347" s="3" t="s">
        <v>29</v>
      </c>
      <c r="C2347" s="3">
        <v>647</v>
      </c>
      <c r="D2347" s="3">
        <v>1</v>
      </c>
      <c r="E2347" s="3" t="s">
        <v>27</v>
      </c>
      <c r="F2347" s="3" t="s">
        <v>28</v>
      </c>
      <c r="G2347" s="3" t="str">
        <f>"2025-02-01 17:01:05.752"</f>
        <v>2025-02-01 17:01:05.752</v>
      </c>
      <c r="H2347" s="3" t="s">
        <v>22</v>
      </c>
      <c r="I2347" s="3">
        <v>9.1</v>
      </c>
      <c r="J2347" s="3" t="s">
        <v>30</v>
      </c>
    </row>
    <row r="2348" spans="1:10" x14ac:dyDescent="0.25">
      <c r="A2348" s="1">
        <v>408</v>
      </c>
      <c r="B2348" t="s">
        <v>19</v>
      </c>
      <c r="C2348">
        <v>700</v>
      </c>
      <c r="D2348">
        <v>0</v>
      </c>
      <c r="E2348" t="s">
        <v>24</v>
      </c>
      <c r="F2348" t="s">
        <v>24</v>
      </c>
      <c r="G2348" t="str">
        <f>"2025-01-31 12:39:34.312"</f>
        <v>2025-01-31 12:39:34.312</v>
      </c>
      <c r="H2348" t="s">
        <v>22</v>
      </c>
      <c r="I2348">
        <v>0</v>
      </c>
      <c r="J2348" t="s">
        <v>34</v>
      </c>
    </row>
    <row r="2349" spans="1:10" x14ac:dyDescent="0.25">
      <c r="A2349" s="1">
        <v>409</v>
      </c>
      <c r="B2349" t="s">
        <v>26</v>
      </c>
      <c r="C2349">
        <v>619</v>
      </c>
      <c r="D2349">
        <v>1</v>
      </c>
      <c r="E2349" t="s">
        <v>83</v>
      </c>
      <c r="F2349" t="s">
        <v>32</v>
      </c>
      <c r="G2349" t="str">
        <f>"2025-01-31 12:36:39.412"</f>
        <v>2025-01-31 12:36:39.412</v>
      </c>
      <c r="H2349" t="s">
        <v>84</v>
      </c>
    </row>
    <row r="2350" spans="1:10" x14ac:dyDescent="0.25">
      <c r="A2350" s="1">
        <v>410</v>
      </c>
      <c r="B2350" t="s">
        <v>29</v>
      </c>
      <c r="C2350">
        <v>619</v>
      </c>
      <c r="D2350">
        <v>1</v>
      </c>
      <c r="E2350" t="s">
        <v>83</v>
      </c>
      <c r="F2350" t="s">
        <v>32</v>
      </c>
      <c r="G2350" t="str">
        <f>"2025-01-31 12:35:46.260"</f>
        <v>2025-01-31 12:35:46.260</v>
      </c>
      <c r="H2350" t="s">
        <v>84</v>
      </c>
      <c r="I2350">
        <v>0</v>
      </c>
      <c r="J2350" t="s">
        <v>23</v>
      </c>
    </row>
    <row r="2351" spans="1:10" x14ac:dyDescent="0.25">
      <c r="A2351" s="1">
        <v>411</v>
      </c>
      <c r="B2351" t="s">
        <v>19</v>
      </c>
      <c r="C2351">
        <v>706</v>
      </c>
      <c r="D2351">
        <v>2</v>
      </c>
      <c r="E2351" t="s">
        <v>20</v>
      </c>
      <c r="F2351" t="s">
        <v>25</v>
      </c>
      <c r="G2351" t="str">
        <f>"2025-01-31 12:35:39.975"</f>
        <v>2025-01-31 12:35:39.975</v>
      </c>
      <c r="H2351" t="s">
        <v>22</v>
      </c>
      <c r="I2351">
        <v>0</v>
      </c>
      <c r="J2351" t="s">
        <v>23</v>
      </c>
    </row>
    <row r="2352" spans="1:10" x14ac:dyDescent="0.25">
      <c r="A2352" s="1">
        <v>412</v>
      </c>
      <c r="B2352" t="s">
        <v>19</v>
      </c>
      <c r="C2352">
        <v>700</v>
      </c>
      <c r="D2352">
        <v>0</v>
      </c>
      <c r="E2352" t="s">
        <v>24</v>
      </c>
      <c r="F2352" t="s">
        <v>24</v>
      </c>
      <c r="G2352" t="str">
        <f>"2025-01-31 11:03:21.515"</f>
        <v>2025-01-31 11:03:21.515</v>
      </c>
      <c r="H2352" t="s">
        <v>22</v>
      </c>
      <c r="I2352">
        <v>0</v>
      </c>
      <c r="J2352" t="s">
        <v>34</v>
      </c>
    </row>
    <row r="2353" spans="1:10" x14ac:dyDescent="0.25">
      <c r="A2353" s="1">
        <v>413</v>
      </c>
      <c r="B2353" t="s">
        <v>19</v>
      </c>
      <c r="C2353">
        <v>700</v>
      </c>
      <c r="D2353">
        <v>0</v>
      </c>
      <c r="E2353" t="s">
        <v>24</v>
      </c>
      <c r="F2353" t="s">
        <v>24</v>
      </c>
      <c r="G2353" t="str">
        <f>"2025-01-30 10:51:19.314"</f>
        <v>2025-01-30 10:51:19.314</v>
      </c>
      <c r="H2353" t="s">
        <v>22</v>
      </c>
      <c r="I2353">
        <v>0</v>
      </c>
      <c r="J2353" t="s">
        <v>34</v>
      </c>
    </row>
    <row r="2354" spans="1:10" x14ac:dyDescent="0.25">
      <c r="A2354" s="1">
        <v>414</v>
      </c>
      <c r="B2354" t="s">
        <v>19</v>
      </c>
      <c r="C2354">
        <v>706</v>
      </c>
      <c r="D2354">
        <v>4</v>
      </c>
      <c r="E2354" t="s">
        <v>20</v>
      </c>
      <c r="F2354" t="s">
        <v>21</v>
      </c>
      <c r="G2354" t="str">
        <f>"2025-01-30 10:50:27.368"</f>
        <v>2025-01-30 10:50:27.368</v>
      </c>
      <c r="H2354" t="s">
        <v>22</v>
      </c>
      <c r="I2354">
        <v>0</v>
      </c>
      <c r="J2354" t="s">
        <v>23</v>
      </c>
    </row>
    <row r="2355" spans="1:10" x14ac:dyDescent="0.25">
      <c r="A2355" s="1">
        <v>415</v>
      </c>
      <c r="B2355" t="s">
        <v>26</v>
      </c>
      <c r="C2355">
        <v>635</v>
      </c>
      <c r="D2355">
        <v>1</v>
      </c>
      <c r="E2355" t="s">
        <v>31</v>
      </c>
      <c r="F2355" t="s">
        <v>32</v>
      </c>
      <c r="G2355" t="str">
        <f>"2025-01-28 11:27:33.008"</f>
        <v>2025-01-28 11:27:33.008</v>
      </c>
      <c r="H2355" t="s">
        <v>22</v>
      </c>
    </row>
    <row r="2356" spans="1:10" x14ac:dyDescent="0.25">
      <c r="A2356" s="1">
        <v>416</v>
      </c>
      <c r="B2356" t="s">
        <v>29</v>
      </c>
      <c r="C2356">
        <v>635</v>
      </c>
      <c r="D2356">
        <v>1</v>
      </c>
      <c r="E2356" t="s">
        <v>31</v>
      </c>
      <c r="F2356" t="s">
        <v>32</v>
      </c>
      <c r="G2356" t="str">
        <f>"2025-01-28 11:14:04.008"</f>
        <v>2025-01-28 11:14:04.008</v>
      </c>
      <c r="H2356" t="s">
        <v>22</v>
      </c>
      <c r="I2356">
        <v>5.96</v>
      </c>
      <c r="J2356" t="s">
        <v>33</v>
      </c>
    </row>
    <row r="2357" spans="1:10" x14ac:dyDescent="0.25">
      <c r="A2357" s="1">
        <v>417</v>
      </c>
      <c r="B2357" t="s">
        <v>26</v>
      </c>
      <c r="C2357">
        <v>635</v>
      </c>
      <c r="D2357">
        <v>1</v>
      </c>
      <c r="E2357" t="s">
        <v>31</v>
      </c>
      <c r="F2357" t="s">
        <v>32</v>
      </c>
      <c r="G2357" t="str">
        <f>"2025-01-28 08:39:26.909"</f>
        <v>2025-01-28 08:39:26.909</v>
      </c>
      <c r="H2357" t="s">
        <v>22</v>
      </c>
    </row>
    <row r="2358" spans="1:10" x14ac:dyDescent="0.25">
      <c r="A2358" s="1">
        <v>418</v>
      </c>
      <c r="B2358" t="s">
        <v>29</v>
      </c>
      <c r="C2358">
        <v>635</v>
      </c>
      <c r="D2358">
        <v>1</v>
      </c>
      <c r="E2358" t="s">
        <v>31</v>
      </c>
      <c r="F2358" t="s">
        <v>32</v>
      </c>
      <c r="G2358" t="str">
        <f>"2025-01-28 08:34:56.408"</f>
        <v>2025-01-28 08:34:56.408</v>
      </c>
      <c r="H2358" t="s">
        <v>22</v>
      </c>
      <c r="I2358">
        <v>4.9800000000000004</v>
      </c>
      <c r="J2358" t="s">
        <v>33</v>
      </c>
    </row>
    <row r="2359" spans="1:10" x14ac:dyDescent="0.25">
      <c r="A2359" s="1">
        <v>419</v>
      </c>
      <c r="B2359" t="s">
        <v>19</v>
      </c>
      <c r="C2359">
        <v>706</v>
      </c>
      <c r="D2359">
        <v>2</v>
      </c>
      <c r="E2359" t="s">
        <v>20</v>
      </c>
      <c r="F2359" t="s">
        <v>25</v>
      </c>
      <c r="G2359" t="str">
        <f>"2025-01-27 22:45:09.178"</f>
        <v>2025-01-27 22:45:09.178</v>
      </c>
      <c r="H2359" t="s">
        <v>22</v>
      </c>
      <c r="I2359">
        <v>0</v>
      </c>
      <c r="J2359" t="s">
        <v>23</v>
      </c>
    </row>
    <row r="2360" spans="1:10" x14ac:dyDescent="0.25">
      <c r="A2360" s="1">
        <v>420</v>
      </c>
      <c r="B2360" t="s">
        <v>26</v>
      </c>
      <c r="C2360">
        <v>635</v>
      </c>
      <c r="D2360">
        <v>1</v>
      </c>
      <c r="E2360" t="s">
        <v>31</v>
      </c>
      <c r="F2360" t="s">
        <v>32</v>
      </c>
      <c r="G2360" t="str">
        <f>"2025-01-27 12:41:11.008"</f>
        <v>2025-01-27 12:41:11.008</v>
      </c>
      <c r="H2360" t="s">
        <v>22</v>
      </c>
    </row>
    <row r="2361" spans="1:10" x14ac:dyDescent="0.25">
      <c r="A2361" s="1">
        <v>421</v>
      </c>
      <c r="B2361" t="s">
        <v>29</v>
      </c>
      <c r="C2361">
        <v>635</v>
      </c>
      <c r="D2361">
        <v>1</v>
      </c>
      <c r="E2361" t="s">
        <v>31</v>
      </c>
      <c r="F2361" t="s">
        <v>32</v>
      </c>
      <c r="G2361" t="str">
        <f>"2025-01-27 12:27:21.009"</f>
        <v>2025-01-27 12:27:21.009</v>
      </c>
      <c r="H2361" t="s">
        <v>22</v>
      </c>
      <c r="I2361">
        <v>9.66</v>
      </c>
      <c r="J2361" t="s">
        <v>30</v>
      </c>
    </row>
    <row r="2362" spans="1:10" x14ac:dyDescent="0.25">
      <c r="A2362" s="1">
        <v>422</v>
      </c>
      <c r="B2362" t="s">
        <v>26</v>
      </c>
      <c r="C2362">
        <v>635</v>
      </c>
      <c r="D2362">
        <v>1</v>
      </c>
      <c r="E2362" t="s">
        <v>31</v>
      </c>
      <c r="F2362" t="s">
        <v>32</v>
      </c>
      <c r="G2362" t="str">
        <f>"2025-01-27 03:55:58.708"</f>
        <v>2025-01-27 03:55:58.708</v>
      </c>
      <c r="H2362" t="s">
        <v>22</v>
      </c>
    </row>
    <row r="2363" spans="1:10" x14ac:dyDescent="0.25">
      <c r="A2363" s="1">
        <v>423</v>
      </c>
      <c r="B2363" t="s">
        <v>29</v>
      </c>
      <c r="C2363">
        <v>635</v>
      </c>
      <c r="D2363">
        <v>1</v>
      </c>
      <c r="E2363" t="s">
        <v>31</v>
      </c>
      <c r="F2363" t="s">
        <v>32</v>
      </c>
      <c r="G2363" t="str">
        <f>"2025-01-27 03:51:20.709"</f>
        <v>2025-01-27 03:51:20.709</v>
      </c>
      <c r="H2363" t="s">
        <v>22</v>
      </c>
      <c r="I2363">
        <v>4.91</v>
      </c>
      <c r="J2363" t="s">
        <v>33</v>
      </c>
    </row>
    <row r="2364" spans="1:10" x14ac:dyDescent="0.25">
      <c r="A2364" s="1">
        <v>424</v>
      </c>
      <c r="B2364" t="s">
        <v>19</v>
      </c>
      <c r="C2364">
        <v>706</v>
      </c>
      <c r="D2364">
        <v>4</v>
      </c>
      <c r="E2364" t="s">
        <v>20</v>
      </c>
      <c r="F2364" t="s">
        <v>21</v>
      </c>
      <c r="G2364" t="str">
        <f>"2025-01-26 22:38:13.308"</f>
        <v>2025-01-26 22:38:13.308</v>
      </c>
      <c r="H2364" t="s">
        <v>22</v>
      </c>
      <c r="I2364">
        <v>0</v>
      </c>
      <c r="J2364" t="s">
        <v>23</v>
      </c>
    </row>
    <row r="2365" spans="1:10" x14ac:dyDescent="0.25">
      <c r="A2365" s="1">
        <v>425</v>
      </c>
      <c r="B2365" t="s">
        <v>53</v>
      </c>
      <c r="C2365">
        <v>215</v>
      </c>
      <c r="D2365">
        <v>6</v>
      </c>
      <c r="E2365" t="s">
        <v>36</v>
      </c>
      <c r="F2365" t="s">
        <v>37</v>
      </c>
      <c r="G2365" t="str">
        <f>"2025-01-26 04:59:43.359"</f>
        <v>2025-01-26 04:59:43.359</v>
      </c>
      <c r="H2365" t="s">
        <v>22</v>
      </c>
    </row>
    <row r="2366" spans="1:10" x14ac:dyDescent="0.25">
      <c r="A2366" s="1">
        <v>426</v>
      </c>
      <c r="B2366" t="s">
        <v>53</v>
      </c>
      <c r="C2366">
        <v>115</v>
      </c>
      <c r="D2366">
        <v>6</v>
      </c>
      <c r="E2366" t="s">
        <v>38</v>
      </c>
      <c r="F2366" t="s">
        <v>37</v>
      </c>
      <c r="G2366" t="str">
        <f>"2025-01-26 04:59:43.357"</f>
        <v>2025-01-26 04:59:43.357</v>
      </c>
      <c r="H2366" t="s">
        <v>22</v>
      </c>
    </row>
    <row r="2367" spans="1:10" x14ac:dyDescent="0.25">
      <c r="A2367" s="1">
        <v>427</v>
      </c>
      <c r="B2367" t="s">
        <v>39</v>
      </c>
      <c r="C2367">
        <v>215</v>
      </c>
      <c r="D2367">
        <v>6</v>
      </c>
      <c r="E2367" t="s">
        <v>36</v>
      </c>
      <c r="F2367" t="s">
        <v>37</v>
      </c>
      <c r="G2367" t="str">
        <f>"2025-01-26 04:59:40.820"</f>
        <v>2025-01-26 04:59:40.820</v>
      </c>
      <c r="H2367" t="s">
        <v>22</v>
      </c>
      <c r="I2367">
        <v>0</v>
      </c>
      <c r="J2367" t="s">
        <v>23</v>
      </c>
    </row>
    <row r="2368" spans="1:10" x14ac:dyDescent="0.25">
      <c r="A2368" s="1">
        <v>428</v>
      </c>
      <c r="B2368" t="s">
        <v>39</v>
      </c>
      <c r="C2368">
        <v>115</v>
      </c>
      <c r="D2368">
        <v>6</v>
      </c>
      <c r="E2368" t="s">
        <v>38</v>
      </c>
      <c r="F2368" t="s">
        <v>37</v>
      </c>
      <c r="G2368" t="str">
        <f>"2025-01-26 04:59:40.816"</f>
        <v>2025-01-26 04:59:40.816</v>
      </c>
      <c r="H2368" t="s">
        <v>22</v>
      </c>
      <c r="I2368">
        <v>0</v>
      </c>
      <c r="J2368" t="s">
        <v>23</v>
      </c>
    </row>
    <row r="2369" spans="1:10" x14ac:dyDescent="0.25">
      <c r="A2369" s="1">
        <v>429</v>
      </c>
      <c r="B2369" t="s">
        <v>26</v>
      </c>
      <c r="C2369">
        <v>75</v>
      </c>
      <c r="D2369">
        <v>1</v>
      </c>
      <c r="E2369" t="s">
        <v>43</v>
      </c>
      <c r="F2369" t="s">
        <v>44</v>
      </c>
      <c r="G2369" t="str">
        <f>"2025-01-26 04:59:40.700"</f>
        <v>2025-01-26 04:59:40.700</v>
      </c>
      <c r="H2369" t="s">
        <v>45</v>
      </c>
    </row>
    <row r="2370" spans="1:10" x14ac:dyDescent="0.25">
      <c r="A2370" s="1">
        <v>430</v>
      </c>
      <c r="B2370" t="s">
        <v>26</v>
      </c>
      <c r="C2370">
        <v>74</v>
      </c>
      <c r="D2370">
        <v>1</v>
      </c>
      <c r="E2370" t="s">
        <v>46</v>
      </c>
      <c r="F2370" t="s">
        <v>47</v>
      </c>
      <c r="G2370" t="str">
        <f>"2025-01-26 04:59:40.699"</f>
        <v>2025-01-26 04:59:40.699</v>
      </c>
      <c r="H2370" t="s">
        <v>48</v>
      </c>
    </row>
    <row r="2371" spans="1:10" x14ac:dyDescent="0.25">
      <c r="A2371" s="1">
        <v>431</v>
      </c>
      <c r="B2371" t="s">
        <v>53</v>
      </c>
      <c r="C2371">
        <v>6</v>
      </c>
      <c r="D2371">
        <v>1</v>
      </c>
      <c r="E2371" t="s">
        <v>40</v>
      </c>
      <c r="F2371" t="s">
        <v>41</v>
      </c>
      <c r="G2371" t="str">
        <f>"2025-01-26 04:59:37.447"</f>
        <v>2025-01-26 04:59:37.447</v>
      </c>
      <c r="H2371" t="s">
        <v>42</v>
      </c>
    </row>
    <row r="2372" spans="1:10" x14ac:dyDescent="0.25">
      <c r="A2372" s="1">
        <v>432</v>
      </c>
      <c r="B2372" t="s">
        <v>29</v>
      </c>
      <c r="C2372">
        <v>75</v>
      </c>
      <c r="D2372">
        <v>1</v>
      </c>
      <c r="E2372" t="s">
        <v>43</v>
      </c>
      <c r="F2372" t="s">
        <v>44</v>
      </c>
      <c r="G2372" t="str">
        <f>"2025-01-26 04:59:28.957"</f>
        <v>2025-01-26 04:59:28.957</v>
      </c>
      <c r="H2372" t="s">
        <v>45</v>
      </c>
      <c r="I2372">
        <v>0</v>
      </c>
      <c r="J2372" t="s">
        <v>23</v>
      </c>
    </row>
    <row r="2373" spans="1:10" x14ac:dyDescent="0.25">
      <c r="A2373" s="1">
        <v>433</v>
      </c>
      <c r="B2373" t="s">
        <v>29</v>
      </c>
      <c r="C2373">
        <v>74</v>
      </c>
      <c r="D2373">
        <v>1</v>
      </c>
      <c r="E2373" t="s">
        <v>46</v>
      </c>
      <c r="F2373" t="s">
        <v>47</v>
      </c>
      <c r="G2373" t="str">
        <f>"2025-01-26 04:59:28.951"</f>
        <v>2025-01-26 04:59:28.951</v>
      </c>
      <c r="H2373" t="s">
        <v>48</v>
      </c>
      <c r="I2373">
        <v>0</v>
      </c>
      <c r="J2373" t="s">
        <v>23</v>
      </c>
    </row>
    <row r="2374" spans="1:10" x14ac:dyDescent="0.25">
      <c r="A2374" s="1">
        <v>434</v>
      </c>
      <c r="B2374" t="s">
        <v>39</v>
      </c>
      <c r="C2374">
        <v>6</v>
      </c>
      <c r="D2374">
        <v>1</v>
      </c>
      <c r="E2374" t="s">
        <v>40</v>
      </c>
      <c r="F2374" t="s">
        <v>41</v>
      </c>
      <c r="G2374" t="str">
        <f>"2025-01-26 04:59:28.947"</f>
        <v>2025-01-26 04:59:28.947</v>
      </c>
      <c r="H2374" t="s">
        <v>42</v>
      </c>
      <c r="I2374">
        <v>0</v>
      </c>
      <c r="J2374" t="s">
        <v>23</v>
      </c>
    </row>
    <row r="2375" spans="1:10" x14ac:dyDescent="0.25">
      <c r="A2375" s="1">
        <v>438</v>
      </c>
      <c r="B2375" t="s">
        <v>19</v>
      </c>
      <c r="C2375">
        <v>706</v>
      </c>
      <c r="D2375">
        <v>4</v>
      </c>
      <c r="E2375" t="s">
        <v>20</v>
      </c>
      <c r="F2375" t="s">
        <v>21</v>
      </c>
      <c r="G2375" t="str">
        <f>"2025-01-25 19:29:12.168"</f>
        <v>2025-01-25 19:29:12.168</v>
      </c>
      <c r="H2375" t="s">
        <v>22</v>
      </c>
      <c r="I2375">
        <v>0</v>
      </c>
      <c r="J2375" t="s">
        <v>23</v>
      </c>
    </row>
    <row r="2376" spans="1:10" x14ac:dyDescent="0.25">
      <c r="A2376" s="1">
        <v>439</v>
      </c>
      <c r="B2376" t="s">
        <v>26</v>
      </c>
      <c r="C2376">
        <v>61</v>
      </c>
      <c r="D2376">
        <v>2</v>
      </c>
      <c r="E2376" t="s">
        <v>59</v>
      </c>
      <c r="F2376" t="s">
        <v>60</v>
      </c>
      <c r="G2376" t="str">
        <f>"2025-01-25 15:18:31.400"</f>
        <v>2025-01-25 15:18:31.400</v>
      </c>
      <c r="H2376" t="s">
        <v>22</v>
      </c>
    </row>
    <row r="2377" spans="1:10" x14ac:dyDescent="0.25">
      <c r="A2377" s="1">
        <v>440</v>
      </c>
      <c r="B2377" t="s">
        <v>39</v>
      </c>
      <c r="C2377">
        <v>61</v>
      </c>
      <c r="D2377">
        <v>2</v>
      </c>
      <c r="E2377" t="s">
        <v>59</v>
      </c>
      <c r="F2377" t="s">
        <v>60</v>
      </c>
      <c r="G2377" t="str">
        <f>"2025-01-25 15:18:03.100"</f>
        <v>2025-01-25 15:18:03.100</v>
      </c>
      <c r="H2377" t="s">
        <v>22</v>
      </c>
      <c r="I2377">
        <v>30.79</v>
      </c>
      <c r="J2377" t="s">
        <v>30</v>
      </c>
    </row>
    <row r="2378" spans="1:10" x14ac:dyDescent="0.25">
      <c r="A2378" s="1">
        <v>441</v>
      </c>
      <c r="B2378" t="s">
        <v>26</v>
      </c>
      <c r="C2378">
        <v>635</v>
      </c>
      <c r="D2378">
        <v>1</v>
      </c>
      <c r="E2378" t="s">
        <v>31</v>
      </c>
      <c r="F2378" t="s">
        <v>32</v>
      </c>
      <c r="G2378" t="str">
        <f>"2025-01-25 09:51:25.499"</f>
        <v>2025-01-25 09:51:25.499</v>
      </c>
      <c r="H2378" t="s">
        <v>22</v>
      </c>
    </row>
    <row r="2379" spans="1:10" x14ac:dyDescent="0.25">
      <c r="A2379" s="1">
        <v>442</v>
      </c>
      <c r="B2379" t="s">
        <v>29</v>
      </c>
      <c r="C2379">
        <v>635</v>
      </c>
      <c r="D2379">
        <v>1</v>
      </c>
      <c r="E2379" t="s">
        <v>31</v>
      </c>
      <c r="F2379" t="s">
        <v>32</v>
      </c>
      <c r="G2379" t="str">
        <f>"2025-01-25 09:22:52.099"</f>
        <v>2025-01-25 09:22:52.099</v>
      </c>
      <c r="H2379" t="s">
        <v>22</v>
      </c>
      <c r="I2379">
        <v>9.14</v>
      </c>
      <c r="J2379" t="s">
        <v>33</v>
      </c>
    </row>
    <row r="2380" spans="1:10" x14ac:dyDescent="0.25">
      <c r="A2380" s="1">
        <v>443</v>
      </c>
      <c r="B2380" t="s">
        <v>19</v>
      </c>
      <c r="C2380">
        <v>706</v>
      </c>
      <c r="D2380">
        <v>4</v>
      </c>
      <c r="E2380" t="s">
        <v>20</v>
      </c>
      <c r="F2380" t="s">
        <v>21</v>
      </c>
      <c r="G2380" t="str">
        <f>"2025-01-25 08:25:40.708"</f>
        <v>2025-01-25 08:25:40.708</v>
      </c>
      <c r="H2380" t="s">
        <v>22</v>
      </c>
      <c r="I2380">
        <v>0</v>
      </c>
      <c r="J2380" t="s">
        <v>23</v>
      </c>
    </row>
    <row r="2381" spans="1:10" x14ac:dyDescent="0.25">
      <c r="A2381" s="1">
        <v>444</v>
      </c>
      <c r="B2381" t="s">
        <v>26</v>
      </c>
      <c r="C2381">
        <v>635</v>
      </c>
      <c r="D2381">
        <v>1</v>
      </c>
      <c r="E2381" t="s">
        <v>31</v>
      </c>
      <c r="F2381" t="s">
        <v>32</v>
      </c>
      <c r="G2381" t="str">
        <f>"2025-01-25 05:56:56.999"</f>
        <v>2025-01-25 05:56:56.999</v>
      </c>
      <c r="H2381" t="s">
        <v>22</v>
      </c>
    </row>
    <row r="2382" spans="1:10" x14ac:dyDescent="0.25">
      <c r="A2382" s="1">
        <v>445</v>
      </c>
      <c r="B2382" t="s">
        <v>29</v>
      </c>
      <c r="C2382">
        <v>635</v>
      </c>
      <c r="D2382">
        <v>1</v>
      </c>
      <c r="E2382" t="s">
        <v>31</v>
      </c>
      <c r="F2382" t="s">
        <v>32</v>
      </c>
      <c r="G2382" t="str">
        <f>"2025-01-25 05:51:55.499"</f>
        <v>2025-01-25 05:51:55.499</v>
      </c>
      <c r="H2382" t="s">
        <v>22</v>
      </c>
      <c r="I2382">
        <v>5.87</v>
      </c>
      <c r="J2382" t="s">
        <v>30</v>
      </c>
    </row>
    <row r="2383" spans="1:10" x14ac:dyDescent="0.25">
      <c r="A2383" s="1">
        <v>446</v>
      </c>
      <c r="B2383" t="s">
        <v>19</v>
      </c>
      <c r="C2383">
        <v>706</v>
      </c>
      <c r="D2383">
        <v>2</v>
      </c>
      <c r="E2383" t="s">
        <v>20</v>
      </c>
      <c r="F2383" t="s">
        <v>25</v>
      </c>
      <c r="G2383" t="str">
        <f>"2025-01-25 02:12:23.188"</f>
        <v>2025-01-25 02:12:23.188</v>
      </c>
      <c r="H2383" t="s">
        <v>22</v>
      </c>
      <c r="I2383">
        <v>0</v>
      </c>
      <c r="J2383" t="s">
        <v>23</v>
      </c>
    </row>
    <row r="2384" spans="1:10" x14ac:dyDescent="0.25">
      <c r="A2384" s="1">
        <v>447</v>
      </c>
      <c r="B2384" t="s">
        <v>35</v>
      </c>
      <c r="C2384">
        <v>128</v>
      </c>
      <c r="D2384">
        <v>4</v>
      </c>
      <c r="E2384" t="s">
        <v>85</v>
      </c>
      <c r="F2384" t="s">
        <v>86</v>
      </c>
      <c r="G2384" t="str">
        <f>"2025-01-24 20:58:30.279"</f>
        <v>2025-01-24 20:58:30.279</v>
      </c>
      <c r="H2384" t="s">
        <v>48</v>
      </c>
    </row>
    <row r="2385" spans="1:10" x14ac:dyDescent="0.25">
      <c r="A2385" s="1">
        <v>448</v>
      </c>
      <c r="B2385" t="s">
        <v>39</v>
      </c>
      <c r="C2385">
        <v>128</v>
      </c>
      <c r="D2385">
        <v>4</v>
      </c>
      <c r="E2385" t="s">
        <v>85</v>
      </c>
      <c r="F2385" t="s">
        <v>86</v>
      </c>
      <c r="G2385" t="str">
        <f>"2025-01-24 20:58:25.182"</f>
        <v>2025-01-24 20:58:25.182</v>
      </c>
      <c r="H2385" t="s">
        <v>48</v>
      </c>
      <c r="I2385">
        <v>9</v>
      </c>
      <c r="J2385" t="s">
        <v>33</v>
      </c>
    </row>
    <row r="2386" spans="1:10" x14ac:dyDescent="0.25">
      <c r="A2386" s="1">
        <v>449</v>
      </c>
      <c r="B2386" t="s">
        <v>19</v>
      </c>
      <c r="C2386">
        <v>700</v>
      </c>
      <c r="D2386">
        <v>0</v>
      </c>
      <c r="E2386" t="s">
        <v>24</v>
      </c>
      <c r="F2386" t="s">
        <v>24</v>
      </c>
      <c r="G2386" t="str">
        <f>"2025-01-24 16:06:21.258"</f>
        <v>2025-01-24 16:06:21.258</v>
      </c>
      <c r="H2386" t="s">
        <v>22</v>
      </c>
    </row>
    <row r="2387" spans="1:10" x14ac:dyDescent="0.25">
      <c r="A2387" s="1">
        <v>450</v>
      </c>
      <c r="B2387" t="s">
        <v>19</v>
      </c>
      <c r="C2387">
        <v>706</v>
      </c>
      <c r="D2387">
        <v>2</v>
      </c>
      <c r="E2387" t="s">
        <v>20</v>
      </c>
      <c r="F2387" t="s">
        <v>25</v>
      </c>
      <c r="G2387" t="str">
        <f>"2025-01-24 16:05:15.464"</f>
        <v>2025-01-24 16:05:15.464</v>
      </c>
      <c r="H2387" t="s">
        <v>22</v>
      </c>
      <c r="I2387">
        <v>0</v>
      </c>
      <c r="J2387" t="s">
        <v>23</v>
      </c>
    </row>
    <row r="2388" spans="1:10" x14ac:dyDescent="0.25">
      <c r="A2388" s="1">
        <v>451</v>
      </c>
      <c r="B2388" t="s">
        <v>35</v>
      </c>
      <c r="C2388">
        <v>228</v>
      </c>
      <c r="D2388">
        <v>4</v>
      </c>
      <c r="E2388" t="s">
        <v>94</v>
      </c>
      <c r="F2388" t="s">
        <v>86</v>
      </c>
      <c r="G2388" t="str">
        <f>"2025-01-24 07:35:33.567"</f>
        <v>2025-01-24 07:35:33.567</v>
      </c>
      <c r="H2388" t="s">
        <v>45</v>
      </c>
    </row>
    <row r="2389" spans="1:10" x14ac:dyDescent="0.25">
      <c r="A2389" s="1">
        <v>452</v>
      </c>
      <c r="B2389" t="s">
        <v>39</v>
      </c>
      <c r="C2389">
        <v>228</v>
      </c>
      <c r="D2389">
        <v>4</v>
      </c>
      <c r="E2389" t="s">
        <v>94</v>
      </c>
      <c r="F2389" t="s">
        <v>86</v>
      </c>
      <c r="G2389" t="str">
        <f>"2025-01-24 07:35:28.517"</f>
        <v>2025-01-24 07:35:28.517</v>
      </c>
      <c r="H2389" t="s">
        <v>45</v>
      </c>
      <c r="I2389">
        <v>24.68</v>
      </c>
      <c r="J2389" t="s">
        <v>33</v>
      </c>
    </row>
    <row r="2390" spans="1:10" x14ac:dyDescent="0.25">
      <c r="A2390" s="1">
        <v>454</v>
      </c>
      <c r="B2390" t="s">
        <v>35</v>
      </c>
      <c r="C2390">
        <v>128</v>
      </c>
      <c r="D2390">
        <v>4</v>
      </c>
      <c r="E2390" t="s">
        <v>85</v>
      </c>
      <c r="F2390" t="s">
        <v>86</v>
      </c>
      <c r="G2390" t="str">
        <f>"2025-01-23 23:10:05.789"</f>
        <v>2025-01-23 23:10:05.789</v>
      </c>
      <c r="H2390" t="s">
        <v>48</v>
      </c>
    </row>
    <row r="2391" spans="1:10" x14ac:dyDescent="0.25">
      <c r="A2391" s="1">
        <v>455</v>
      </c>
      <c r="B2391" t="s">
        <v>39</v>
      </c>
      <c r="C2391">
        <v>128</v>
      </c>
      <c r="D2391">
        <v>4</v>
      </c>
      <c r="E2391" t="s">
        <v>85</v>
      </c>
      <c r="F2391" t="s">
        <v>86</v>
      </c>
      <c r="G2391" t="str">
        <f>"2025-01-23 23:10:00.777"</f>
        <v>2025-01-23 23:10:00.777</v>
      </c>
      <c r="H2391" t="s">
        <v>48</v>
      </c>
      <c r="I2391">
        <v>18.21</v>
      </c>
      <c r="J2391" t="s">
        <v>30</v>
      </c>
    </row>
    <row r="2392" spans="1:10" x14ac:dyDescent="0.25">
      <c r="A2392" s="1">
        <v>457</v>
      </c>
      <c r="B2392" t="s">
        <v>26</v>
      </c>
      <c r="C2392">
        <v>635</v>
      </c>
      <c r="D2392">
        <v>1</v>
      </c>
      <c r="E2392" t="s">
        <v>31</v>
      </c>
      <c r="F2392" t="s">
        <v>32</v>
      </c>
      <c r="G2392" t="str">
        <f>"2025-01-22 11:14:19.571"</f>
        <v>2025-01-22 11:14:19.571</v>
      </c>
      <c r="H2392" t="s">
        <v>22</v>
      </c>
    </row>
    <row r="2393" spans="1:10" x14ac:dyDescent="0.25">
      <c r="A2393" s="1">
        <v>458</v>
      </c>
      <c r="B2393" t="s">
        <v>29</v>
      </c>
      <c r="C2393">
        <v>635</v>
      </c>
      <c r="D2393">
        <v>1</v>
      </c>
      <c r="E2393" t="s">
        <v>31</v>
      </c>
      <c r="F2393" t="s">
        <v>32</v>
      </c>
      <c r="G2393" t="str">
        <f>"2025-01-22 10:59:52.171"</f>
        <v>2025-01-22 10:59:52.171</v>
      </c>
      <c r="H2393" t="s">
        <v>22</v>
      </c>
      <c r="I2393">
        <v>3.42</v>
      </c>
      <c r="J2393" t="s">
        <v>33</v>
      </c>
    </row>
    <row r="2394" spans="1:10" x14ac:dyDescent="0.25">
      <c r="A2394" s="1">
        <v>462</v>
      </c>
      <c r="B2394" t="s">
        <v>19</v>
      </c>
      <c r="C2394">
        <v>700</v>
      </c>
      <c r="D2394">
        <v>0</v>
      </c>
      <c r="E2394" t="s">
        <v>24</v>
      </c>
      <c r="F2394" t="s">
        <v>24</v>
      </c>
      <c r="G2394" t="str">
        <f>"2025-01-21 18:05:34.364"</f>
        <v>2025-01-21 18:05:34.364</v>
      </c>
      <c r="H2394" t="s">
        <v>22</v>
      </c>
      <c r="I2394">
        <v>0</v>
      </c>
      <c r="J2394" t="s">
        <v>34</v>
      </c>
    </row>
    <row r="2395" spans="1:10" x14ac:dyDescent="0.25">
      <c r="A2395" s="1">
        <v>463</v>
      </c>
      <c r="B2395" t="s">
        <v>19</v>
      </c>
      <c r="C2395">
        <v>706</v>
      </c>
      <c r="D2395">
        <v>4</v>
      </c>
      <c r="E2395" t="s">
        <v>20</v>
      </c>
      <c r="F2395" t="s">
        <v>21</v>
      </c>
      <c r="G2395" t="str">
        <f>"2025-01-21 18:02:50.539"</f>
        <v>2025-01-21 18:02:50.539</v>
      </c>
      <c r="H2395" t="s">
        <v>22</v>
      </c>
      <c r="I2395">
        <v>0</v>
      </c>
      <c r="J2395" t="s">
        <v>23</v>
      </c>
    </row>
    <row r="2396" spans="1:10" x14ac:dyDescent="0.25">
      <c r="A2396" s="1">
        <v>464</v>
      </c>
      <c r="B2396" t="s">
        <v>19</v>
      </c>
      <c r="C2396">
        <v>700</v>
      </c>
      <c r="D2396">
        <v>0</v>
      </c>
      <c r="E2396" t="s">
        <v>24</v>
      </c>
      <c r="F2396" t="s">
        <v>24</v>
      </c>
      <c r="G2396" t="str">
        <f>"2025-01-21 18:00:42.309"</f>
        <v>2025-01-21 18:00:42.309</v>
      </c>
      <c r="H2396" t="s">
        <v>22</v>
      </c>
    </row>
    <row r="2397" spans="1:10" x14ac:dyDescent="0.25">
      <c r="A2397" s="1">
        <v>465</v>
      </c>
      <c r="B2397" t="s">
        <v>19</v>
      </c>
      <c r="C2397">
        <v>700</v>
      </c>
      <c r="D2397">
        <v>0</v>
      </c>
      <c r="E2397" t="s">
        <v>24</v>
      </c>
      <c r="F2397" t="s">
        <v>24</v>
      </c>
      <c r="G2397" t="str">
        <f>"2025-01-21 17:57:32.260"</f>
        <v>2025-01-21 17:57:32.260</v>
      </c>
      <c r="H2397" t="s">
        <v>22</v>
      </c>
      <c r="I2397">
        <v>0</v>
      </c>
      <c r="J2397" t="s">
        <v>34</v>
      </c>
    </row>
    <row r="2398" spans="1:10" x14ac:dyDescent="0.25">
      <c r="A2398" s="1">
        <v>466</v>
      </c>
      <c r="B2398" t="s">
        <v>19</v>
      </c>
      <c r="C2398">
        <v>700</v>
      </c>
      <c r="D2398">
        <v>0</v>
      </c>
      <c r="E2398" t="s">
        <v>24</v>
      </c>
      <c r="F2398" t="s">
        <v>24</v>
      </c>
      <c r="G2398" t="str">
        <f>"2025-01-21 17:55:52.272"</f>
        <v>2025-01-21 17:55:52.272</v>
      </c>
      <c r="H2398" t="s">
        <v>22</v>
      </c>
      <c r="I2398">
        <v>0</v>
      </c>
      <c r="J2398" t="s">
        <v>34</v>
      </c>
    </row>
    <row r="2399" spans="1:10" x14ac:dyDescent="0.25">
      <c r="A2399" s="1">
        <v>467</v>
      </c>
      <c r="B2399" t="s">
        <v>19</v>
      </c>
      <c r="C2399">
        <v>700</v>
      </c>
      <c r="D2399">
        <v>0</v>
      </c>
      <c r="E2399" t="s">
        <v>24</v>
      </c>
      <c r="F2399" t="s">
        <v>24</v>
      </c>
      <c r="G2399" t="str">
        <f>"2025-01-21 17:36:38.256"</f>
        <v>2025-01-21 17:36:38.256</v>
      </c>
      <c r="H2399" t="s">
        <v>22</v>
      </c>
      <c r="I2399">
        <v>0</v>
      </c>
      <c r="J2399" t="s">
        <v>34</v>
      </c>
    </row>
    <row r="2400" spans="1:10" x14ac:dyDescent="0.25">
      <c r="A2400" s="1">
        <v>468</v>
      </c>
      <c r="B2400" t="s">
        <v>19</v>
      </c>
      <c r="C2400">
        <v>700</v>
      </c>
      <c r="D2400">
        <v>0</v>
      </c>
      <c r="E2400" t="s">
        <v>24</v>
      </c>
      <c r="F2400" t="s">
        <v>24</v>
      </c>
      <c r="G2400" t="str">
        <f>"2025-01-21 17:33:04.246"</f>
        <v>2025-01-21 17:33:04.246</v>
      </c>
      <c r="H2400" t="s">
        <v>22</v>
      </c>
    </row>
    <row r="2401" spans="1:10" x14ac:dyDescent="0.25">
      <c r="A2401" s="1">
        <v>469</v>
      </c>
      <c r="B2401" t="s">
        <v>19</v>
      </c>
      <c r="C2401">
        <v>700</v>
      </c>
      <c r="D2401">
        <v>0</v>
      </c>
      <c r="E2401" t="s">
        <v>24</v>
      </c>
      <c r="F2401" t="s">
        <v>24</v>
      </c>
      <c r="G2401" t="str">
        <f>"2025-01-21 16:30:52.247"</f>
        <v>2025-01-21 16:30:52.247</v>
      </c>
      <c r="H2401" t="s">
        <v>22</v>
      </c>
      <c r="I2401">
        <v>0</v>
      </c>
      <c r="J2401" t="s">
        <v>34</v>
      </c>
    </row>
    <row r="2402" spans="1:10" s="3" customFormat="1" x14ac:dyDescent="0.25">
      <c r="A2402" s="2">
        <v>470</v>
      </c>
      <c r="B2402" s="3" t="s">
        <v>26</v>
      </c>
      <c r="C2402" s="3">
        <v>647</v>
      </c>
      <c r="D2402" s="3">
        <v>1</v>
      </c>
      <c r="E2402" s="3" t="s">
        <v>27</v>
      </c>
      <c r="F2402" s="3" t="s">
        <v>28</v>
      </c>
      <c r="G2402" s="3" t="str">
        <f>"2025-01-21 14:16:42.739"</f>
        <v>2025-01-21 14:16:42.739</v>
      </c>
      <c r="H2402" s="3" t="s">
        <v>22</v>
      </c>
    </row>
    <row r="2403" spans="1:10" s="3" customFormat="1" x14ac:dyDescent="0.25">
      <c r="A2403" s="2">
        <v>471</v>
      </c>
      <c r="B2403" s="3" t="s">
        <v>29</v>
      </c>
      <c r="C2403" s="3">
        <v>647</v>
      </c>
      <c r="D2403" s="3">
        <v>1</v>
      </c>
      <c r="E2403" s="3" t="s">
        <v>27</v>
      </c>
      <c r="F2403" s="3" t="s">
        <v>28</v>
      </c>
      <c r="G2403" s="3" t="str">
        <f>"2025-01-21 14:16:40.439"</f>
        <v>2025-01-21 14:16:40.439</v>
      </c>
      <c r="H2403" s="3" t="s">
        <v>22</v>
      </c>
      <c r="I2403" s="3">
        <v>10.29</v>
      </c>
      <c r="J2403" s="3" t="s">
        <v>52</v>
      </c>
    </row>
    <row r="2404" spans="1:10" x14ac:dyDescent="0.25">
      <c r="A2404" s="1">
        <v>472</v>
      </c>
      <c r="B2404" t="s">
        <v>35</v>
      </c>
      <c r="C2404">
        <v>128</v>
      </c>
      <c r="D2404">
        <v>4</v>
      </c>
      <c r="E2404" t="s">
        <v>85</v>
      </c>
      <c r="F2404" t="s">
        <v>86</v>
      </c>
      <c r="G2404" t="str">
        <f>"2025-01-20 10:10:21.178"</f>
        <v>2025-01-20 10:10:21.178</v>
      </c>
      <c r="H2404" t="s">
        <v>48</v>
      </c>
    </row>
    <row r="2405" spans="1:10" x14ac:dyDescent="0.25">
      <c r="A2405" s="1">
        <v>473</v>
      </c>
      <c r="B2405" t="s">
        <v>39</v>
      </c>
      <c r="C2405">
        <v>128</v>
      </c>
      <c r="D2405">
        <v>4</v>
      </c>
      <c r="E2405" t="s">
        <v>85</v>
      </c>
      <c r="F2405" t="s">
        <v>86</v>
      </c>
      <c r="G2405" t="str">
        <f>"2025-01-20 10:10:16.081"</f>
        <v>2025-01-20 10:10:16.081</v>
      </c>
      <c r="H2405" t="s">
        <v>48</v>
      </c>
      <c r="I2405">
        <v>9.68</v>
      </c>
      <c r="J2405" t="s">
        <v>30</v>
      </c>
    </row>
    <row r="2406" spans="1:10" x14ac:dyDescent="0.25">
      <c r="A2406" s="1">
        <v>474</v>
      </c>
      <c r="B2406" t="s">
        <v>26</v>
      </c>
      <c r="C2406">
        <v>635</v>
      </c>
      <c r="D2406">
        <v>1</v>
      </c>
      <c r="E2406" t="s">
        <v>31</v>
      </c>
      <c r="F2406" t="s">
        <v>32</v>
      </c>
      <c r="G2406" t="str">
        <f>"2025-01-20 06:30:53.538"</f>
        <v>2025-01-20 06:30:53.538</v>
      </c>
      <c r="H2406" t="s">
        <v>22</v>
      </c>
    </row>
    <row r="2407" spans="1:10" x14ac:dyDescent="0.25">
      <c r="A2407" s="1">
        <v>475</v>
      </c>
      <c r="B2407" t="s">
        <v>29</v>
      </c>
      <c r="C2407">
        <v>635</v>
      </c>
      <c r="D2407">
        <v>1</v>
      </c>
      <c r="E2407" t="s">
        <v>31</v>
      </c>
      <c r="F2407" t="s">
        <v>32</v>
      </c>
      <c r="G2407" t="str">
        <f>"2025-01-20 06:11:12.638"</f>
        <v>2025-01-20 06:11:12.638</v>
      </c>
      <c r="H2407" t="s">
        <v>22</v>
      </c>
      <c r="I2407">
        <v>9.59</v>
      </c>
      <c r="J2407" t="s">
        <v>33</v>
      </c>
    </row>
    <row r="2408" spans="1:10" s="3" customFormat="1" x14ac:dyDescent="0.25">
      <c r="A2408" s="2">
        <v>476</v>
      </c>
      <c r="B2408" s="3" t="s">
        <v>26</v>
      </c>
      <c r="C2408" s="3">
        <v>647</v>
      </c>
      <c r="D2408" s="3">
        <v>1</v>
      </c>
      <c r="E2408" s="3" t="s">
        <v>27</v>
      </c>
      <c r="F2408" s="3" t="s">
        <v>28</v>
      </c>
      <c r="G2408" s="3" t="str">
        <f>"2025-01-19 10:24:12.938"</f>
        <v>2025-01-19 10:24:12.938</v>
      </c>
      <c r="H2408" s="3" t="s">
        <v>22</v>
      </c>
    </row>
    <row r="2409" spans="1:10" s="3" customFormat="1" x14ac:dyDescent="0.25">
      <c r="A2409" s="2">
        <v>477</v>
      </c>
      <c r="B2409" s="3" t="s">
        <v>29</v>
      </c>
      <c r="C2409" s="3">
        <v>647</v>
      </c>
      <c r="D2409" s="3">
        <v>1</v>
      </c>
      <c r="E2409" s="3" t="s">
        <v>27</v>
      </c>
      <c r="F2409" s="3" t="s">
        <v>28</v>
      </c>
      <c r="G2409" s="3" t="str">
        <f>"2025-01-19 10:24:09.238"</f>
        <v>2025-01-19 10:24:09.238</v>
      </c>
      <c r="H2409" s="3" t="s">
        <v>22</v>
      </c>
      <c r="I2409" s="3">
        <v>15.55</v>
      </c>
      <c r="J2409" s="3" t="s">
        <v>30</v>
      </c>
    </row>
    <row r="2410" spans="1:10" x14ac:dyDescent="0.25">
      <c r="A2410" s="1">
        <v>478</v>
      </c>
      <c r="B2410" t="s">
        <v>19</v>
      </c>
      <c r="C2410">
        <v>706</v>
      </c>
      <c r="D2410">
        <v>2</v>
      </c>
      <c r="E2410" t="s">
        <v>20</v>
      </c>
      <c r="F2410" t="s">
        <v>25</v>
      </c>
      <c r="G2410" t="str">
        <f>"2025-01-18 21:13:25.504"</f>
        <v>2025-01-18 21:13:25.504</v>
      </c>
      <c r="H2410" t="s">
        <v>22</v>
      </c>
      <c r="I2410">
        <v>0</v>
      </c>
      <c r="J2410" t="s">
        <v>23</v>
      </c>
    </row>
    <row r="2411" spans="1:10" x14ac:dyDescent="0.25">
      <c r="A2411" s="1">
        <v>479</v>
      </c>
      <c r="B2411" t="s">
        <v>26</v>
      </c>
      <c r="C2411">
        <v>61</v>
      </c>
      <c r="D2411">
        <v>2</v>
      </c>
      <c r="E2411" t="s">
        <v>59</v>
      </c>
      <c r="F2411" t="s">
        <v>60</v>
      </c>
      <c r="G2411" t="str">
        <f>"2025-01-18 02:07:35.938"</f>
        <v>2025-01-18 02:07:35.938</v>
      </c>
      <c r="H2411" t="s">
        <v>22</v>
      </c>
    </row>
    <row r="2412" spans="1:10" x14ac:dyDescent="0.25">
      <c r="A2412" s="1">
        <v>480</v>
      </c>
      <c r="B2412" t="s">
        <v>39</v>
      </c>
      <c r="C2412">
        <v>61</v>
      </c>
      <c r="D2412">
        <v>2</v>
      </c>
      <c r="E2412" t="s">
        <v>59</v>
      </c>
      <c r="F2412" t="s">
        <v>60</v>
      </c>
      <c r="G2412" t="str">
        <f>"2025-01-18 02:07:28.538"</f>
        <v>2025-01-18 02:07:28.538</v>
      </c>
      <c r="H2412" t="s">
        <v>22</v>
      </c>
      <c r="I2412">
        <v>30.25</v>
      </c>
      <c r="J2412" t="s">
        <v>30</v>
      </c>
    </row>
    <row r="2413" spans="1:10" x14ac:dyDescent="0.25">
      <c r="A2413" s="1">
        <v>481</v>
      </c>
      <c r="B2413" t="s">
        <v>26</v>
      </c>
      <c r="C2413">
        <v>635</v>
      </c>
      <c r="D2413">
        <v>1</v>
      </c>
      <c r="E2413" t="s">
        <v>31</v>
      </c>
      <c r="F2413" t="s">
        <v>32</v>
      </c>
      <c r="G2413" t="str">
        <f>"2025-01-18 00:15:00.138"</f>
        <v>2025-01-18 00:15:00.138</v>
      </c>
      <c r="H2413" t="s">
        <v>22</v>
      </c>
    </row>
    <row r="2414" spans="1:10" x14ac:dyDescent="0.25">
      <c r="A2414" s="1">
        <v>482</v>
      </c>
      <c r="B2414" t="s">
        <v>29</v>
      </c>
      <c r="C2414">
        <v>635</v>
      </c>
      <c r="D2414">
        <v>1</v>
      </c>
      <c r="E2414" t="s">
        <v>31</v>
      </c>
      <c r="F2414" t="s">
        <v>32</v>
      </c>
      <c r="G2414" t="str">
        <f>"2025-01-17 23:58:01.738"</f>
        <v>2025-01-17 23:58:01.738</v>
      </c>
      <c r="H2414" t="s">
        <v>22</v>
      </c>
      <c r="I2414">
        <v>7.73</v>
      </c>
      <c r="J2414" t="s">
        <v>33</v>
      </c>
    </row>
    <row r="2415" spans="1:10" x14ac:dyDescent="0.25">
      <c r="A2415" s="1">
        <v>483</v>
      </c>
      <c r="B2415" t="s">
        <v>26</v>
      </c>
      <c r="C2415">
        <v>61</v>
      </c>
      <c r="D2415">
        <v>2</v>
      </c>
      <c r="E2415" t="s">
        <v>59</v>
      </c>
      <c r="F2415" t="s">
        <v>60</v>
      </c>
      <c r="G2415" t="str">
        <f>"2025-01-17 23:05:01.738"</f>
        <v>2025-01-17 23:05:01.738</v>
      </c>
      <c r="H2415" t="s">
        <v>22</v>
      </c>
    </row>
    <row r="2416" spans="1:10" x14ac:dyDescent="0.25">
      <c r="A2416" s="1">
        <v>484</v>
      </c>
      <c r="B2416" t="s">
        <v>39</v>
      </c>
      <c r="C2416">
        <v>61</v>
      </c>
      <c r="D2416">
        <v>2</v>
      </c>
      <c r="E2416" t="s">
        <v>59</v>
      </c>
      <c r="F2416" t="s">
        <v>60</v>
      </c>
      <c r="G2416" t="str">
        <f>"2025-01-17 23:04:33.439"</f>
        <v>2025-01-17 23:04:33.439</v>
      </c>
      <c r="H2416" t="s">
        <v>22</v>
      </c>
      <c r="I2416">
        <v>32.409999999999997</v>
      </c>
      <c r="J2416" t="s">
        <v>30</v>
      </c>
    </row>
    <row r="2417" spans="1:10" x14ac:dyDescent="0.25">
      <c r="A2417" s="1">
        <v>485</v>
      </c>
      <c r="B2417" t="s">
        <v>26</v>
      </c>
      <c r="C2417">
        <v>61</v>
      </c>
      <c r="D2417">
        <v>2</v>
      </c>
      <c r="E2417" t="s">
        <v>59</v>
      </c>
      <c r="F2417" t="s">
        <v>60</v>
      </c>
      <c r="G2417" t="str">
        <f>"2025-01-17 21:06:32.838"</f>
        <v>2025-01-17 21:06:32.838</v>
      </c>
      <c r="H2417" t="s">
        <v>22</v>
      </c>
    </row>
    <row r="2418" spans="1:10" x14ac:dyDescent="0.25">
      <c r="A2418" s="1">
        <v>486</v>
      </c>
      <c r="B2418" t="s">
        <v>39</v>
      </c>
      <c r="C2418">
        <v>61</v>
      </c>
      <c r="D2418">
        <v>2</v>
      </c>
      <c r="E2418" t="s">
        <v>59</v>
      </c>
      <c r="F2418" t="s">
        <v>60</v>
      </c>
      <c r="G2418" t="str">
        <f>"2025-01-17 21:06:26.038"</f>
        <v>2025-01-17 21:06:26.038</v>
      </c>
      <c r="H2418" t="s">
        <v>22</v>
      </c>
      <c r="I2418">
        <v>29.32</v>
      </c>
      <c r="J2418" t="s">
        <v>30</v>
      </c>
    </row>
    <row r="2419" spans="1:10" x14ac:dyDescent="0.25">
      <c r="A2419" s="1">
        <v>487</v>
      </c>
      <c r="B2419" t="s">
        <v>26</v>
      </c>
      <c r="C2419">
        <v>61</v>
      </c>
      <c r="D2419">
        <v>2</v>
      </c>
      <c r="E2419" t="s">
        <v>59</v>
      </c>
      <c r="F2419" t="s">
        <v>60</v>
      </c>
      <c r="G2419" t="str">
        <f>"2025-01-17 20:41:11.538"</f>
        <v>2025-01-17 20:41:11.538</v>
      </c>
      <c r="H2419" t="s">
        <v>22</v>
      </c>
    </row>
    <row r="2420" spans="1:10" x14ac:dyDescent="0.25">
      <c r="A2420" s="1">
        <v>488</v>
      </c>
      <c r="B2420" t="s">
        <v>39</v>
      </c>
      <c r="C2420">
        <v>61</v>
      </c>
      <c r="D2420">
        <v>2</v>
      </c>
      <c r="E2420" t="s">
        <v>59</v>
      </c>
      <c r="F2420" t="s">
        <v>60</v>
      </c>
      <c r="G2420" t="str">
        <f>"2025-01-17 20:40:38.538"</f>
        <v>2025-01-17 20:40:38.538</v>
      </c>
      <c r="H2420" t="s">
        <v>22</v>
      </c>
      <c r="I2420">
        <v>30.46</v>
      </c>
      <c r="J2420" t="s">
        <v>30</v>
      </c>
    </row>
    <row r="2421" spans="1:10" x14ac:dyDescent="0.25">
      <c r="A2421" s="1">
        <v>489</v>
      </c>
      <c r="B2421" t="s">
        <v>26</v>
      </c>
      <c r="C2421">
        <v>98</v>
      </c>
      <c r="D2421">
        <v>1</v>
      </c>
      <c r="E2421" t="s">
        <v>63</v>
      </c>
      <c r="F2421" t="s">
        <v>64</v>
      </c>
      <c r="G2421" t="str">
        <f>"2025-01-17 15:14:08.638"</f>
        <v>2025-01-17 15:14:08.638</v>
      </c>
      <c r="H2421" t="s">
        <v>22</v>
      </c>
    </row>
    <row r="2422" spans="1:10" x14ac:dyDescent="0.25">
      <c r="A2422" s="1">
        <v>490</v>
      </c>
      <c r="B2422" t="s">
        <v>29</v>
      </c>
      <c r="C2422">
        <v>98</v>
      </c>
      <c r="D2422">
        <v>1</v>
      </c>
      <c r="E2422" t="s">
        <v>63</v>
      </c>
      <c r="F2422" t="s">
        <v>64</v>
      </c>
      <c r="G2422" t="str">
        <f>"2025-01-17 15:14:07.639"</f>
        <v>2025-01-17 15:14:07.639</v>
      </c>
      <c r="H2422" t="s">
        <v>22</v>
      </c>
      <c r="I2422">
        <v>0</v>
      </c>
      <c r="J2422" t="s">
        <v>52</v>
      </c>
    </row>
    <row r="2423" spans="1:10" x14ac:dyDescent="0.25">
      <c r="A2423" s="1">
        <v>491</v>
      </c>
      <c r="B2423" t="s">
        <v>19</v>
      </c>
      <c r="C2423">
        <v>700</v>
      </c>
      <c r="D2423">
        <v>0</v>
      </c>
      <c r="E2423" t="s">
        <v>24</v>
      </c>
      <c r="F2423" t="s">
        <v>24</v>
      </c>
      <c r="G2423" t="str">
        <f>"2025-01-17 11:27:33.224"</f>
        <v>2025-01-17 11:27:33.224</v>
      </c>
      <c r="H2423" t="s">
        <v>22</v>
      </c>
    </row>
    <row r="2424" spans="1:10" s="3" customFormat="1" x14ac:dyDescent="0.25">
      <c r="A2424" s="2">
        <v>492</v>
      </c>
      <c r="B2424" s="3" t="s">
        <v>26</v>
      </c>
      <c r="C2424" s="3">
        <v>647</v>
      </c>
      <c r="D2424" s="3">
        <v>1</v>
      </c>
      <c r="E2424" s="3" t="s">
        <v>27</v>
      </c>
      <c r="F2424" s="3" t="s">
        <v>28</v>
      </c>
      <c r="G2424" s="3" t="str">
        <f>"2025-01-16 22:25:44.927"</f>
        <v>2025-01-16 22:25:44.927</v>
      </c>
      <c r="H2424" s="3" t="s">
        <v>22</v>
      </c>
    </row>
    <row r="2425" spans="1:10" s="3" customFormat="1" x14ac:dyDescent="0.25">
      <c r="A2425" s="2">
        <v>493</v>
      </c>
      <c r="B2425" s="3" t="s">
        <v>29</v>
      </c>
      <c r="C2425" s="3">
        <v>647</v>
      </c>
      <c r="D2425" s="3">
        <v>1</v>
      </c>
      <c r="E2425" s="3" t="s">
        <v>27</v>
      </c>
      <c r="F2425" s="3" t="s">
        <v>28</v>
      </c>
      <c r="G2425" s="3" t="str">
        <f>"2025-01-16 22:25:40.828"</f>
        <v>2025-01-16 22:25:40.828</v>
      </c>
      <c r="H2425" s="3" t="s">
        <v>22</v>
      </c>
      <c r="I2425" s="3">
        <v>11.12</v>
      </c>
      <c r="J2425" s="3" t="s">
        <v>52</v>
      </c>
    </row>
    <row r="2426" spans="1:10" x14ac:dyDescent="0.25">
      <c r="A2426" s="1">
        <v>494</v>
      </c>
      <c r="B2426" t="s">
        <v>26</v>
      </c>
      <c r="C2426">
        <v>61</v>
      </c>
      <c r="D2426">
        <v>2</v>
      </c>
      <c r="E2426" t="s">
        <v>59</v>
      </c>
      <c r="F2426" t="s">
        <v>60</v>
      </c>
      <c r="G2426" t="str">
        <f>"2025-01-16 21:29:28.720"</f>
        <v>2025-01-16 21:29:28.720</v>
      </c>
      <c r="H2426" t="s">
        <v>22</v>
      </c>
    </row>
    <row r="2427" spans="1:10" x14ac:dyDescent="0.25">
      <c r="A2427" s="1">
        <v>495</v>
      </c>
      <c r="B2427" t="s">
        <v>39</v>
      </c>
      <c r="C2427">
        <v>61</v>
      </c>
      <c r="D2427">
        <v>2</v>
      </c>
      <c r="E2427" t="s">
        <v>59</v>
      </c>
      <c r="F2427" t="s">
        <v>60</v>
      </c>
      <c r="G2427" t="str">
        <f>"2025-01-16 21:29:00.420"</f>
        <v>2025-01-16 21:29:00.420</v>
      </c>
      <c r="H2427" t="s">
        <v>22</v>
      </c>
      <c r="I2427">
        <v>31.11</v>
      </c>
      <c r="J2427" t="s">
        <v>30</v>
      </c>
    </row>
    <row r="2428" spans="1:10" x14ac:dyDescent="0.25">
      <c r="A2428" s="1">
        <v>496</v>
      </c>
      <c r="B2428" t="s">
        <v>26</v>
      </c>
      <c r="C2428">
        <v>61</v>
      </c>
      <c r="D2428">
        <v>2</v>
      </c>
      <c r="E2428" t="s">
        <v>59</v>
      </c>
      <c r="F2428" t="s">
        <v>60</v>
      </c>
      <c r="G2428" t="str">
        <f>"2025-01-16 20:50:54.820"</f>
        <v>2025-01-16 20:50:54.820</v>
      </c>
      <c r="H2428" t="s">
        <v>22</v>
      </c>
    </row>
    <row r="2429" spans="1:10" x14ac:dyDescent="0.25">
      <c r="A2429" s="1">
        <v>497</v>
      </c>
      <c r="B2429" t="s">
        <v>39</v>
      </c>
      <c r="C2429">
        <v>61</v>
      </c>
      <c r="D2429">
        <v>2</v>
      </c>
      <c r="E2429" t="s">
        <v>59</v>
      </c>
      <c r="F2429" t="s">
        <v>60</v>
      </c>
      <c r="G2429" t="str">
        <f>"2025-01-16 20:50:26.120"</f>
        <v>2025-01-16 20:50:26.120</v>
      </c>
      <c r="H2429" t="s">
        <v>22</v>
      </c>
      <c r="I2429">
        <v>30.04</v>
      </c>
      <c r="J2429" t="s">
        <v>30</v>
      </c>
    </row>
    <row r="2430" spans="1:10" x14ac:dyDescent="0.25">
      <c r="A2430" s="1">
        <v>498</v>
      </c>
      <c r="B2430" t="s">
        <v>19</v>
      </c>
      <c r="C2430">
        <v>700</v>
      </c>
      <c r="D2430">
        <v>0</v>
      </c>
      <c r="E2430" t="s">
        <v>24</v>
      </c>
      <c r="F2430" t="s">
        <v>24</v>
      </c>
      <c r="G2430" t="str">
        <f>"2025-01-16 20:28:14.259"</f>
        <v>2025-01-16 20:28:14.259</v>
      </c>
      <c r="H2430" t="s">
        <v>22</v>
      </c>
    </row>
    <row r="2431" spans="1:10" x14ac:dyDescent="0.25">
      <c r="A2431" s="1">
        <v>499</v>
      </c>
      <c r="B2431" t="s">
        <v>19</v>
      </c>
      <c r="C2431">
        <v>706</v>
      </c>
      <c r="D2431">
        <v>4</v>
      </c>
      <c r="E2431" t="s">
        <v>20</v>
      </c>
      <c r="F2431" t="s">
        <v>21</v>
      </c>
      <c r="G2431" t="str">
        <f>"2025-01-16 20:27:10.690"</f>
        <v>2025-01-16 20:27:10.690</v>
      </c>
      <c r="H2431" t="s">
        <v>22</v>
      </c>
      <c r="I2431">
        <v>0</v>
      </c>
      <c r="J2431" t="s">
        <v>23</v>
      </c>
    </row>
    <row r="2432" spans="1:10" x14ac:dyDescent="0.25">
      <c r="A2432" s="1">
        <v>500</v>
      </c>
      <c r="B2432" t="s">
        <v>19</v>
      </c>
      <c r="C2432">
        <v>700</v>
      </c>
      <c r="D2432">
        <v>0</v>
      </c>
      <c r="E2432" t="s">
        <v>24</v>
      </c>
      <c r="F2432" t="s">
        <v>24</v>
      </c>
      <c r="G2432" t="str">
        <f>"2025-01-16 13:27:35.240"</f>
        <v>2025-01-16 13:27:35.240</v>
      </c>
      <c r="H2432" t="s">
        <v>22</v>
      </c>
      <c r="I2432">
        <v>0</v>
      </c>
      <c r="J2432" t="s">
        <v>34</v>
      </c>
    </row>
    <row r="2433" spans="1:10" x14ac:dyDescent="0.25">
      <c r="A2433" s="1">
        <v>501</v>
      </c>
      <c r="B2433" t="s">
        <v>19</v>
      </c>
      <c r="C2433">
        <v>700</v>
      </c>
      <c r="D2433">
        <v>0</v>
      </c>
      <c r="E2433" t="s">
        <v>24</v>
      </c>
      <c r="F2433" t="s">
        <v>24</v>
      </c>
      <c r="G2433" t="str">
        <f>"2025-01-16 10:36:08.228"</f>
        <v>2025-01-16 10:36:08.228</v>
      </c>
      <c r="H2433" t="s">
        <v>22</v>
      </c>
      <c r="I2433">
        <v>0</v>
      </c>
      <c r="J2433" t="s">
        <v>34</v>
      </c>
    </row>
    <row r="2434" spans="1:10" x14ac:dyDescent="0.25">
      <c r="A2434" s="1">
        <v>502</v>
      </c>
      <c r="B2434" t="s">
        <v>19</v>
      </c>
      <c r="C2434">
        <v>706</v>
      </c>
      <c r="D2434">
        <v>2</v>
      </c>
      <c r="E2434" t="s">
        <v>20</v>
      </c>
      <c r="F2434" t="s">
        <v>25</v>
      </c>
      <c r="G2434" t="str">
        <f>"2025-01-16 09:45:50.921"</f>
        <v>2025-01-16 09:45:50.921</v>
      </c>
      <c r="H2434" t="s">
        <v>22</v>
      </c>
      <c r="I2434">
        <v>0</v>
      </c>
      <c r="J2434" t="s">
        <v>23</v>
      </c>
    </row>
    <row r="2435" spans="1:10" x14ac:dyDescent="0.25">
      <c r="A2435" s="1">
        <v>503</v>
      </c>
      <c r="B2435" t="s">
        <v>19</v>
      </c>
      <c r="C2435">
        <v>700</v>
      </c>
      <c r="D2435">
        <v>0</v>
      </c>
      <c r="E2435" t="s">
        <v>24</v>
      </c>
      <c r="F2435" t="s">
        <v>24</v>
      </c>
      <c r="G2435" t="str">
        <f>"2025-01-16 09:45:33.231"</f>
        <v>2025-01-16 09:45:33.231</v>
      </c>
      <c r="H2435" t="s">
        <v>22</v>
      </c>
    </row>
    <row r="2436" spans="1:10" x14ac:dyDescent="0.25">
      <c r="A2436" s="1">
        <v>504</v>
      </c>
      <c r="B2436" t="s">
        <v>26</v>
      </c>
      <c r="C2436">
        <v>635</v>
      </c>
      <c r="D2436">
        <v>1</v>
      </c>
      <c r="E2436" t="s">
        <v>31</v>
      </c>
      <c r="F2436" t="s">
        <v>32</v>
      </c>
      <c r="G2436" t="str">
        <f>"2025-01-16 09:23:22.010"</f>
        <v>2025-01-16 09:23:22.010</v>
      </c>
      <c r="H2436" t="s">
        <v>22</v>
      </c>
    </row>
    <row r="2437" spans="1:10" x14ac:dyDescent="0.25">
      <c r="A2437" s="1">
        <v>505</v>
      </c>
      <c r="B2437" t="s">
        <v>29</v>
      </c>
      <c r="C2437">
        <v>635</v>
      </c>
      <c r="D2437">
        <v>1</v>
      </c>
      <c r="E2437" t="s">
        <v>31</v>
      </c>
      <c r="F2437" t="s">
        <v>32</v>
      </c>
      <c r="G2437" t="str">
        <f>"2025-01-16 09:09:08.510"</f>
        <v>2025-01-16 09:09:08.510</v>
      </c>
      <c r="H2437" t="s">
        <v>22</v>
      </c>
      <c r="I2437">
        <v>7.77</v>
      </c>
      <c r="J2437" t="s">
        <v>33</v>
      </c>
    </row>
    <row r="2438" spans="1:10" x14ac:dyDescent="0.25">
      <c r="A2438" s="1">
        <v>506</v>
      </c>
      <c r="B2438" t="s">
        <v>26</v>
      </c>
      <c r="C2438">
        <v>635</v>
      </c>
      <c r="D2438">
        <v>1</v>
      </c>
      <c r="E2438" t="s">
        <v>31</v>
      </c>
      <c r="F2438" t="s">
        <v>32</v>
      </c>
      <c r="G2438" t="str">
        <f>"2025-01-16 05:31:51.010"</f>
        <v>2025-01-16 05:31:51.010</v>
      </c>
      <c r="H2438" t="s">
        <v>22</v>
      </c>
    </row>
    <row r="2439" spans="1:10" x14ac:dyDescent="0.25">
      <c r="A2439" s="1">
        <v>507</v>
      </c>
      <c r="B2439" t="s">
        <v>29</v>
      </c>
      <c r="C2439">
        <v>635</v>
      </c>
      <c r="D2439">
        <v>1</v>
      </c>
      <c r="E2439" t="s">
        <v>31</v>
      </c>
      <c r="F2439" t="s">
        <v>32</v>
      </c>
      <c r="G2439" t="str">
        <f>"2025-01-16 05:17:08.510"</f>
        <v>2025-01-16 05:17:08.510</v>
      </c>
      <c r="H2439" t="s">
        <v>22</v>
      </c>
      <c r="I2439">
        <v>9.16</v>
      </c>
      <c r="J2439" t="s">
        <v>30</v>
      </c>
    </row>
    <row r="2440" spans="1:10" x14ac:dyDescent="0.25">
      <c r="A2440" s="1">
        <v>508</v>
      </c>
      <c r="B2440" t="s">
        <v>26</v>
      </c>
      <c r="C2440">
        <v>635</v>
      </c>
      <c r="D2440">
        <v>1</v>
      </c>
      <c r="E2440" t="s">
        <v>31</v>
      </c>
      <c r="F2440" t="s">
        <v>32</v>
      </c>
      <c r="G2440" t="str">
        <f>"2025-01-16 04:26:53.110"</f>
        <v>2025-01-16 04:26:53.110</v>
      </c>
      <c r="H2440" t="s">
        <v>22</v>
      </c>
    </row>
    <row r="2441" spans="1:10" x14ac:dyDescent="0.25">
      <c r="A2441" s="1">
        <v>509</v>
      </c>
      <c r="B2441" t="s">
        <v>29</v>
      </c>
      <c r="C2441">
        <v>635</v>
      </c>
      <c r="D2441">
        <v>1</v>
      </c>
      <c r="E2441" t="s">
        <v>31</v>
      </c>
      <c r="F2441" t="s">
        <v>32</v>
      </c>
      <c r="G2441" t="str">
        <f>"2025-01-16 04:23:01.111"</f>
        <v>2025-01-16 04:23:01.111</v>
      </c>
      <c r="H2441" t="s">
        <v>22</v>
      </c>
      <c r="I2441">
        <v>7.72</v>
      </c>
      <c r="J2441" t="s">
        <v>33</v>
      </c>
    </row>
    <row r="2442" spans="1:10" x14ac:dyDescent="0.25">
      <c r="A2442" s="1">
        <v>510</v>
      </c>
      <c r="B2442" t="s">
        <v>19</v>
      </c>
      <c r="C2442">
        <v>700</v>
      </c>
      <c r="D2442">
        <v>0</v>
      </c>
      <c r="E2442" t="s">
        <v>24</v>
      </c>
      <c r="F2442" t="s">
        <v>24</v>
      </c>
      <c r="G2442" t="str">
        <f>"2025-01-16 03:25:48.209"</f>
        <v>2025-01-16 03:25:48.209</v>
      </c>
      <c r="H2442" t="s">
        <v>22</v>
      </c>
    </row>
    <row r="2443" spans="1:10" x14ac:dyDescent="0.25">
      <c r="A2443" s="1">
        <v>511</v>
      </c>
      <c r="B2443" t="s">
        <v>19</v>
      </c>
      <c r="C2443">
        <v>700</v>
      </c>
      <c r="D2443">
        <v>0</v>
      </c>
      <c r="E2443" t="s">
        <v>24</v>
      </c>
      <c r="F2443" t="s">
        <v>24</v>
      </c>
      <c r="G2443" t="str">
        <f>"2025-01-16 03:24:08.230"</f>
        <v>2025-01-16 03:24:08.230</v>
      </c>
      <c r="H2443" t="s">
        <v>22</v>
      </c>
    </row>
    <row r="2444" spans="1:10" s="3" customFormat="1" x14ac:dyDescent="0.25">
      <c r="A2444" s="2">
        <v>512</v>
      </c>
      <c r="B2444" s="3" t="s">
        <v>26</v>
      </c>
      <c r="C2444" s="3">
        <v>647</v>
      </c>
      <c r="D2444" s="3">
        <v>1</v>
      </c>
      <c r="E2444" s="3" t="s">
        <v>27</v>
      </c>
      <c r="F2444" s="3" t="s">
        <v>28</v>
      </c>
      <c r="G2444" s="3" t="str">
        <f>"2025-01-15 20:40:36.184"</f>
        <v>2025-01-15 20:40:36.184</v>
      </c>
      <c r="H2444" s="3" t="s">
        <v>22</v>
      </c>
    </row>
    <row r="2445" spans="1:10" s="3" customFormat="1" x14ac:dyDescent="0.25">
      <c r="A2445" s="2">
        <v>513</v>
      </c>
      <c r="B2445" s="3" t="s">
        <v>29</v>
      </c>
      <c r="C2445" s="3">
        <v>647</v>
      </c>
      <c r="D2445" s="3">
        <v>1</v>
      </c>
      <c r="E2445" s="3" t="s">
        <v>27</v>
      </c>
      <c r="F2445" s="3" t="s">
        <v>28</v>
      </c>
      <c r="G2445" s="3" t="str">
        <f>"2025-01-15 20:40:34.284"</f>
        <v>2025-01-15 20:40:34.284</v>
      </c>
      <c r="H2445" s="3" t="s">
        <v>22</v>
      </c>
      <c r="I2445" s="3">
        <v>10.83</v>
      </c>
      <c r="J2445" s="3" t="s">
        <v>30</v>
      </c>
    </row>
    <row r="2446" spans="1:10" x14ac:dyDescent="0.25">
      <c r="A2446" s="1">
        <v>514</v>
      </c>
      <c r="B2446" t="s">
        <v>19</v>
      </c>
      <c r="C2446">
        <v>700</v>
      </c>
      <c r="D2446">
        <v>0</v>
      </c>
      <c r="E2446" t="s">
        <v>24</v>
      </c>
      <c r="F2446" t="s">
        <v>24</v>
      </c>
      <c r="G2446" t="str">
        <f>"2025-01-15 17:15:38.202"</f>
        <v>2025-01-15 17:15:38.202</v>
      </c>
      <c r="H2446" t="s">
        <v>22</v>
      </c>
    </row>
    <row r="2447" spans="1:10" x14ac:dyDescent="0.25">
      <c r="A2447" s="1">
        <v>515</v>
      </c>
      <c r="B2447" t="s">
        <v>26</v>
      </c>
      <c r="C2447">
        <v>98</v>
      </c>
      <c r="D2447">
        <v>1</v>
      </c>
      <c r="E2447" t="s">
        <v>63</v>
      </c>
      <c r="F2447" t="s">
        <v>64</v>
      </c>
      <c r="G2447" t="str">
        <f>"2025-01-15 10:04:34.811"</f>
        <v>2025-01-15 10:04:34.811</v>
      </c>
      <c r="H2447" t="s">
        <v>22</v>
      </c>
    </row>
    <row r="2448" spans="1:10" x14ac:dyDescent="0.25">
      <c r="A2448" s="1">
        <v>516</v>
      </c>
      <c r="B2448" t="s">
        <v>29</v>
      </c>
      <c r="C2448">
        <v>98</v>
      </c>
      <c r="D2448">
        <v>1</v>
      </c>
      <c r="E2448" t="s">
        <v>63</v>
      </c>
      <c r="F2448" t="s">
        <v>64</v>
      </c>
      <c r="G2448" t="str">
        <f>"2025-01-15 10:04:33.812"</f>
        <v>2025-01-15 10:04:33.812</v>
      </c>
      <c r="H2448" t="s">
        <v>22</v>
      </c>
      <c r="I2448">
        <v>0</v>
      </c>
      <c r="J2448" t="s">
        <v>52</v>
      </c>
    </row>
    <row r="2449" spans="1:10" x14ac:dyDescent="0.25">
      <c r="A2449" s="1">
        <v>517</v>
      </c>
      <c r="B2449" t="s">
        <v>19</v>
      </c>
      <c r="C2449">
        <v>700</v>
      </c>
      <c r="D2449">
        <v>0</v>
      </c>
      <c r="E2449" t="s">
        <v>24</v>
      </c>
      <c r="F2449" t="s">
        <v>24</v>
      </c>
      <c r="G2449" t="str">
        <f>"2025-01-15 07:55:43.230"</f>
        <v>2025-01-15 07:55:43.230</v>
      </c>
      <c r="H2449" t="s">
        <v>22</v>
      </c>
      <c r="I2449">
        <v>0</v>
      </c>
      <c r="J2449" t="s">
        <v>34</v>
      </c>
    </row>
    <row r="2450" spans="1:10" x14ac:dyDescent="0.25">
      <c r="A2450" s="1">
        <v>518</v>
      </c>
      <c r="B2450" t="s">
        <v>26</v>
      </c>
      <c r="C2450">
        <v>42</v>
      </c>
      <c r="D2450">
        <v>1</v>
      </c>
      <c r="E2450" t="s">
        <v>71</v>
      </c>
      <c r="F2450" t="s">
        <v>72</v>
      </c>
      <c r="G2450" t="str">
        <f>"2025-01-14 21:03:16.157"</f>
        <v>2025-01-14 21:03:16.157</v>
      </c>
      <c r="H2450" t="s">
        <v>73</v>
      </c>
    </row>
    <row r="2451" spans="1:10" x14ac:dyDescent="0.25">
      <c r="A2451" s="1">
        <v>519</v>
      </c>
      <c r="B2451" t="s">
        <v>29</v>
      </c>
      <c r="C2451">
        <v>42</v>
      </c>
      <c r="D2451">
        <v>1</v>
      </c>
      <c r="E2451" t="s">
        <v>71</v>
      </c>
      <c r="F2451" t="s">
        <v>72</v>
      </c>
      <c r="G2451" t="str">
        <f>"2025-01-14 21:03:08.438"</f>
        <v>2025-01-14 21:03:08.438</v>
      </c>
      <c r="H2451" t="s">
        <v>73</v>
      </c>
      <c r="I2451">
        <v>0</v>
      </c>
      <c r="J2451" t="s">
        <v>23</v>
      </c>
    </row>
    <row r="2452" spans="1:10" x14ac:dyDescent="0.25">
      <c r="A2452" s="1">
        <v>520</v>
      </c>
      <c r="B2452" t="s">
        <v>19</v>
      </c>
      <c r="C2452">
        <v>706</v>
      </c>
      <c r="D2452">
        <v>4</v>
      </c>
      <c r="E2452" t="s">
        <v>20</v>
      </c>
      <c r="F2452" t="s">
        <v>21</v>
      </c>
      <c r="G2452" t="str">
        <f>"2025-01-14 20:48:52.108"</f>
        <v>2025-01-14 20:48:52.108</v>
      </c>
      <c r="H2452" t="s">
        <v>22</v>
      </c>
      <c r="I2452">
        <v>0</v>
      </c>
      <c r="J2452" t="s">
        <v>23</v>
      </c>
    </row>
    <row r="2453" spans="1:10" x14ac:dyDescent="0.25">
      <c r="A2453" s="1">
        <v>521</v>
      </c>
      <c r="B2453" t="s">
        <v>19</v>
      </c>
      <c r="C2453">
        <v>700</v>
      </c>
      <c r="D2453">
        <v>0</v>
      </c>
      <c r="E2453" t="s">
        <v>24</v>
      </c>
      <c r="F2453" t="s">
        <v>24</v>
      </c>
      <c r="G2453" t="str">
        <f>"2025-01-14 20:28:48.298"</f>
        <v>2025-01-14 20:28:48.298</v>
      </c>
      <c r="H2453" t="s">
        <v>22</v>
      </c>
      <c r="I2453">
        <v>0</v>
      </c>
      <c r="J2453" t="s">
        <v>34</v>
      </c>
    </row>
    <row r="2454" spans="1:10" x14ac:dyDescent="0.25">
      <c r="A2454" s="1">
        <v>522</v>
      </c>
      <c r="B2454" t="s">
        <v>19</v>
      </c>
      <c r="C2454">
        <v>700</v>
      </c>
      <c r="D2454">
        <v>0</v>
      </c>
      <c r="E2454" t="s">
        <v>24</v>
      </c>
      <c r="F2454" t="s">
        <v>24</v>
      </c>
      <c r="G2454" t="str">
        <f>"2025-01-14 20:17:46.201"</f>
        <v>2025-01-14 20:17:46.201</v>
      </c>
      <c r="H2454" t="s">
        <v>22</v>
      </c>
    </row>
    <row r="2455" spans="1:10" x14ac:dyDescent="0.25">
      <c r="A2455" s="1">
        <v>523</v>
      </c>
      <c r="B2455" t="s">
        <v>19</v>
      </c>
      <c r="C2455">
        <v>700</v>
      </c>
      <c r="D2455">
        <v>0</v>
      </c>
      <c r="E2455" t="s">
        <v>24</v>
      </c>
      <c r="F2455" t="s">
        <v>24</v>
      </c>
      <c r="G2455" t="str">
        <f>"2025-01-14 19:08:15.223"</f>
        <v>2025-01-14 19:08:15.223</v>
      </c>
      <c r="H2455" t="s">
        <v>22</v>
      </c>
      <c r="I2455">
        <v>0</v>
      </c>
      <c r="J2455" t="s">
        <v>34</v>
      </c>
    </row>
    <row r="2456" spans="1:10" x14ac:dyDescent="0.25">
      <c r="A2456" s="1">
        <v>524</v>
      </c>
      <c r="B2456" t="s">
        <v>19</v>
      </c>
      <c r="C2456">
        <v>700</v>
      </c>
      <c r="D2456">
        <v>0</v>
      </c>
      <c r="E2456" t="s">
        <v>24</v>
      </c>
      <c r="F2456" t="s">
        <v>24</v>
      </c>
      <c r="G2456" t="str">
        <f>"2025-01-14 17:38:26.207"</f>
        <v>2025-01-14 17:38:26.207</v>
      </c>
      <c r="H2456" t="s">
        <v>22</v>
      </c>
      <c r="I2456">
        <v>0</v>
      </c>
      <c r="J2456" t="s">
        <v>34</v>
      </c>
    </row>
    <row r="2457" spans="1:10" x14ac:dyDescent="0.25">
      <c r="A2457" s="1">
        <v>525</v>
      </c>
      <c r="B2457" t="s">
        <v>19</v>
      </c>
      <c r="C2457">
        <v>700</v>
      </c>
      <c r="D2457">
        <v>0</v>
      </c>
      <c r="E2457" t="s">
        <v>24</v>
      </c>
      <c r="F2457" t="s">
        <v>24</v>
      </c>
      <c r="G2457" t="str">
        <f>"2025-01-14 17:11:43.196"</f>
        <v>2025-01-14 17:11:43.196</v>
      </c>
      <c r="H2457" t="s">
        <v>22</v>
      </c>
    </row>
    <row r="2458" spans="1:10" x14ac:dyDescent="0.25">
      <c r="A2458" s="1">
        <v>526</v>
      </c>
      <c r="B2458" t="s">
        <v>26</v>
      </c>
      <c r="C2458">
        <v>61</v>
      </c>
      <c r="D2458">
        <v>2</v>
      </c>
      <c r="E2458" t="s">
        <v>59</v>
      </c>
      <c r="F2458" t="s">
        <v>60</v>
      </c>
      <c r="G2458" t="str">
        <f>"2025-01-14 06:20:17.503"</f>
        <v>2025-01-14 06:20:17.503</v>
      </c>
      <c r="H2458" t="s">
        <v>22</v>
      </c>
    </row>
    <row r="2459" spans="1:10" x14ac:dyDescent="0.25">
      <c r="A2459" s="1">
        <v>527</v>
      </c>
      <c r="B2459" t="s">
        <v>39</v>
      </c>
      <c r="C2459">
        <v>61</v>
      </c>
      <c r="D2459">
        <v>2</v>
      </c>
      <c r="E2459" t="s">
        <v>59</v>
      </c>
      <c r="F2459" t="s">
        <v>60</v>
      </c>
      <c r="G2459" t="str">
        <f>"2025-01-14 06:19:48.803"</f>
        <v>2025-01-14 06:19:48.803</v>
      </c>
      <c r="H2459" t="s">
        <v>22</v>
      </c>
      <c r="I2459">
        <v>29.8</v>
      </c>
      <c r="J2459" t="s">
        <v>30</v>
      </c>
    </row>
    <row r="2460" spans="1:10" x14ac:dyDescent="0.25">
      <c r="A2460" s="1">
        <v>528</v>
      </c>
      <c r="B2460" t="s">
        <v>26</v>
      </c>
      <c r="C2460">
        <v>61</v>
      </c>
      <c r="D2460">
        <v>2</v>
      </c>
      <c r="E2460" t="s">
        <v>59</v>
      </c>
      <c r="F2460" t="s">
        <v>60</v>
      </c>
      <c r="G2460" t="str">
        <f>"2025-01-14 04:43:55.703"</f>
        <v>2025-01-14 04:43:55.703</v>
      </c>
      <c r="H2460" t="s">
        <v>22</v>
      </c>
    </row>
    <row r="2461" spans="1:10" x14ac:dyDescent="0.25">
      <c r="A2461" s="1">
        <v>529</v>
      </c>
      <c r="B2461" t="s">
        <v>39</v>
      </c>
      <c r="C2461">
        <v>61</v>
      </c>
      <c r="D2461">
        <v>2</v>
      </c>
      <c r="E2461" t="s">
        <v>59</v>
      </c>
      <c r="F2461" t="s">
        <v>60</v>
      </c>
      <c r="G2461" t="str">
        <f>"2025-01-14 04:43:48.303"</f>
        <v>2025-01-14 04:43:48.303</v>
      </c>
      <c r="H2461" t="s">
        <v>22</v>
      </c>
      <c r="I2461">
        <v>29.86</v>
      </c>
      <c r="J2461" t="s">
        <v>30</v>
      </c>
    </row>
    <row r="2462" spans="1:10" x14ac:dyDescent="0.25">
      <c r="A2462" s="1">
        <v>530</v>
      </c>
      <c r="B2462" t="s">
        <v>26</v>
      </c>
      <c r="C2462">
        <v>61</v>
      </c>
      <c r="D2462">
        <v>2</v>
      </c>
      <c r="E2462" t="s">
        <v>59</v>
      </c>
      <c r="F2462" t="s">
        <v>60</v>
      </c>
      <c r="G2462" t="str">
        <f>"2025-01-14 03:31:58.303"</f>
        <v>2025-01-14 03:31:58.303</v>
      </c>
      <c r="H2462" t="s">
        <v>22</v>
      </c>
    </row>
    <row r="2463" spans="1:10" x14ac:dyDescent="0.25">
      <c r="A2463" s="1">
        <v>531</v>
      </c>
      <c r="B2463" t="s">
        <v>39</v>
      </c>
      <c r="C2463">
        <v>61</v>
      </c>
      <c r="D2463">
        <v>2</v>
      </c>
      <c r="E2463" t="s">
        <v>59</v>
      </c>
      <c r="F2463" t="s">
        <v>60</v>
      </c>
      <c r="G2463" t="str">
        <f>"2025-01-14 03:31:28.403"</f>
        <v>2025-01-14 03:31:28.403</v>
      </c>
      <c r="H2463" t="s">
        <v>22</v>
      </c>
      <c r="I2463">
        <v>29.68</v>
      </c>
      <c r="J2463" t="s">
        <v>30</v>
      </c>
    </row>
    <row r="2464" spans="1:10" x14ac:dyDescent="0.25">
      <c r="A2464" s="1">
        <v>532</v>
      </c>
      <c r="B2464" t="s">
        <v>26</v>
      </c>
      <c r="C2464">
        <v>61</v>
      </c>
      <c r="D2464">
        <v>2</v>
      </c>
      <c r="E2464" t="s">
        <v>59</v>
      </c>
      <c r="F2464" t="s">
        <v>60</v>
      </c>
      <c r="G2464" t="str">
        <f>"2025-01-14 02:51:55.203"</f>
        <v>2025-01-14 02:51:55.203</v>
      </c>
      <c r="H2464" t="s">
        <v>22</v>
      </c>
    </row>
    <row r="2465" spans="1:10" x14ac:dyDescent="0.25">
      <c r="A2465" s="1">
        <v>533</v>
      </c>
      <c r="B2465" t="s">
        <v>39</v>
      </c>
      <c r="C2465">
        <v>61</v>
      </c>
      <c r="D2465">
        <v>2</v>
      </c>
      <c r="E2465" t="s">
        <v>59</v>
      </c>
      <c r="F2465" t="s">
        <v>60</v>
      </c>
      <c r="G2465" t="str">
        <f>"2025-01-14 02:51:36.703"</f>
        <v>2025-01-14 02:51:36.703</v>
      </c>
      <c r="H2465" t="s">
        <v>22</v>
      </c>
      <c r="I2465">
        <v>29.7</v>
      </c>
      <c r="J2465" t="s">
        <v>30</v>
      </c>
    </row>
    <row r="2466" spans="1:10" x14ac:dyDescent="0.25">
      <c r="A2466" s="1">
        <v>534</v>
      </c>
      <c r="B2466" t="s">
        <v>26</v>
      </c>
      <c r="C2466">
        <v>61</v>
      </c>
      <c r="D2466">
        <v>2</v>
      </c>
      <c r="E2466" t="s">
        <v>59</v>
      </c>
      <c r="F2466" t="s">
        <v>60</v>
      </c>
      <c r="G2466" t="str">
        <f>"2025-01-14 01:53:40.703"</f>
        <v>2025-01-14 01:53:40.703</v>
      </c>
      <c r="H2466" t="s">
        <v>22</v>
      </c>
    </row>
    <row r="2467" spans="1:10" x14ac:dyDescent="0.25">
      <c r="A2467" s="1">
        <v>535</v>
      </c>
      <c r="B2467" t="s">
        <v>39</v>
      </c>
      <c r="C2467">
        <v>61</v>
      </c>
      <c r="D2467">
        <v>2</v>
      </c>
      <c r="E2467" t="s">
        <v>59</v>
      </c>
      <c r="F2467" t="s">
        <v>60</v>
      </c>
      <c r="G2467" t="str">
        <f>"2025-01-14 01:53:08.703"</f>
        <v>2025-01-14 01:53:08.703</v>
      </c>
      <c r="H2467" t="s">
        <v>22</v>
      </c>
      <c r="I2467">
        <v>29.93</v>
      </c>
      <c r="J2467" t="s">
        <v>30</v>
      </c>
    </row>
    <row r="2468" spans="1:10" x14ac:dyDescent="0.25">
      <c r="A2468" s="1">
        <v>536</v>
      </c>
      <c r="B2468" t="s">
        <v>26</v>
      </c>
      <c r="C2468">
        <v>61</v>
      </c>
      <c r="D2468">
        <v>2</v>
      </c>
      <c r="E2468" t="s">
        <v>59</v>
      </c>
      <c r="F2468" t="s">
        <v>60</v>
      </c>
      <c r="G2468" t="str">
        <f>"2025-01-14 00:31:29.203"</f>
        <v>2025-01-14 00:31:29.203</v>
      </c>
      <c r="H2468" t="s">
        <v>22</v>
      </c>
    </row>
    <row r="2469" spans="1:10" x14ac:dyDescent="0.25">
      <c r="A2469" s="1">
        <v>537</v>
      </c>
      <c r="B2469" t="s">
        <v>39</v>
      </c>
      <c r="C2469">
        <v>61</v>
      </c>
      <c r="D2469">
        <v>2</v>
      </c>
      <c r="E2469" t="s">
        <v>59</v>
      </c>
      <c r="F2469" t="s">
        <v>60</v>
      </c>
      <c r="G2469" t="str">
        <f>"2025-01-14 00:31:15.503"</f>
        <v>2025-01-14 00:31:15.503</v>
      </c>
      <c r="H2469" t="s">
        <v>22</v>
      </c>
      <c r="I2469">
        <v>29.52</v>
      </c>
      <c r="J2469" t="s">
        <v>30</v>
      </c>
    </row>
    <row r="2470" spans="1:10" x14ac:dyDescent="0.25">
      <c r="A2470" s="1">
        <v>538</v>
      </c>
      <c r="B2470" t="s">
        <v>26</v>
      </c>
      <c r="C2470">
        <v>61</v>
      </c>
      <c r="D2470">
        <v>2</v>
      </c>
      <c r="E2470" t="s">
        <v>59</v>
      </c>
      <c r="F2470" t="s">
        <v>60</v>
      </c>
      <c r="G2470" t="str">
        <f>"2025-01-13 22:04:26.503"</f>
        <v>2025-01-13 22:04:26.503</v>
      </c>
      <c r="H2470" t="s">
        <v>22</v>
      </c>
    </row>
    <row r="2471" spans="1:10" x14ac:dyDescent="0.25">
      <c r="A2471" s="1">
        <v>539</v>
      </c>
      <c r="B2471" t="s">
        <v>39</v>
      </c>
      <c r="C2471">
        <v>61</v>
      </c>
      <c r="D2471">
        <v>2</v>
      </c>
      <c r="E2471" t="s">
        <v>59</v>
      </c>
      <c r="F2471" t="s">
        <v>60</v>
      </c>
      <c r="G2471" t="str">
        <f>"2025-01-13 22:03:57.603"</f>
        <v>2025-01-13 22:03:57.603</v>
      </c>
      <c r="H2471" t="s">
        <v>22</v>
      </c>
      <c r="I2471">
        <v>29.95</v>
      </c>
      <c r="J2471" t="s">
        <v>30</v>
      </c>
    </row>
    <row r="2472" spans="1:10" x14ac:dyDescent="0.25">
      <c r="A2472" s="1">
        <v>540</v>
      </c>
      <c r="B2472" t="s">
        <v>35</v>
      </c>
      <c r="C2472">
        <v>137</v>
      </c>
      <c r="D2472">
        <v>7</v>
      </c>
      <c r="E2472" t="s">
        <v>65</v>
      </c>
      <c r="F2472" t="s">
        <v>87</v>
      </c>
      <c r="G2472" t="str">
        <f>"2025-01-13 22:02:55.771"</f>
        <v>2025-01-13 22:02:55.771</v>
      </c>
      <c r="H2472" t="s">
        <v>48</v>
      </c>
    </row>
    <row r="2473" spans="1:10" x14ac:dyDescent="0.25">
      <c r="A2473" s="1">
        <v>541</v>
      </c>
      <c r="B2473" t="s">
        <v>39</v>
      </c>
      <c r="C2473">
        <v>137</v>
      </c>
      <c r="D2473">
        <v>7</v>
      </c>
      <c r="E2473" t="s">
        <v>65</v>
      </c>
      <c r="F2473" t="s">
        <v>87</v>
      </c>
      <c r="G2473" t="str">
        <f>"2025-01-13 22:02:50.736"</f>
        <v>2025-01-13 22:02:50.736</v>
      </c>
      <c r="H2473" t="s">
        <v>48</v>
      </c>
      <c r="I2473">
        <v>12.51</v>
      </c>
      <c r="J2473" t="s">
        <v>33</v>
      </c>
    </row>
    <row r="2474" spans="1:10" x14ac:dyDescent="0.25">
      <c r="A2474" s="1">
        <v>542</v>
      </c>
      <c r="B2474" t="s">
        <v>19</v>
      </c>
      <c r="C2474">
        <v>700</v>
      </c>
      <c r="D2474">
        <v>0</v>
      </c>
      <c r="E2474" t="s">
        <v>24</v>
      </c>
      <c r="F2474" t="s">
        <v>24</v>
      </c>
      <c r="G2474" t="str">
        <f>"2025-01-13 14:10:33.181"</f>
        <v>2025-01-13 14:10:33.181</v>
      </c>
      <c r="H2474" t="s">
        <v>22</v>
      </c>
    </row>
    <row r="2475" spans="1:10" x14ac:dyDescent="0.25">
      <c r="A2475" s="1">
        <v>543</v>
      </c>
      <c r="B2475" t="s">
        <v>19</v>
      </c>
      <c r="C2475">
        <v>706</v>
      </c>
      <c r="D2475">
        <v>4</v>
      </c>
      <c r="E2475" t="s">
        <v>20</v>
      </c>
      <c r="F2475" t="s">
        <v>21</v>
      </c>
      <c r="G2475" t="str">
        <f>"2025-01-13 14:02:59.545"</f>
        <v>2025-01-13 14:02:59.545</v>
      </c>
      <c r="H2475" t="s">
        <v>22</v>
      </c>
      <c r="I2475">
        <v>0</v>
      </c>
      <c r="J2475" t="s">
        <v>23</v>
      </c>
    </row>
    <row r="2476" spans="1:10" x14ac:dyDescent="0.25">
      <c r="A2476" s="1">
        <v>544</v>
      </c>
      <c r="B2476" t="s">
        <v>19</v>
      </c>
      <c r="C2476">
        <v>700</v>
      </c>
      <c r="D2476">
        <v>0</v>
      </c>
      <c r="E2476" t="s">
        <v>24</v>
      </c>
      <c r="F2476" t="s">
        <v>24</v>
      </c>
      <c r="G2476" t="str">
        <f>"2025-01-13 13:59:17.275"</f>
        <v>2025-01-13 13:59:17.275</v>
      </c>
      <c r="H2476" t="s">
        <v>22</v>
      </c>
    </row>
    <row r="2477" spans="1:10" x14ac:dyDescent="0.25">
      <c r="A2477" s="1">
        <v>545</v>
      </c>
      <c r="B2477" t="s">
        <v>26</v>
      </c>
      <c r="C2477">
        <v>97</v>
      </c>
      <c r="D2477">
        <v>1</v>
      </c>
      <c r="E2477" t="s">
        <v>110</v>
      </c>
      <c r="F2477" t="s">
        <v>111</v>
      </c>
      <c r="G2477" t="str">
        <f>"2025-01-13 11:58:56.567"</f>
        <v>2025-01-13 11:58:56.567</v>
      </c>
      <c r="H2477" t="s">
        <v>22</v>
      </c>
    </row>
    <row r="2478" spans="1:10" x14ac:dyDescent="0.25">
      <c r="A2478" s="1">
        <v>546</v>
      </c>
      <c r="B2478" t="s">
        <v>29</v>
      </c>
      <c r="C2478">
        <v>97</v>
      </c>
      <c r="D2478">
        <v>1</v>
      </c>
      <c r="E2478" t="s">
        <v>110</v>
      </c>
      <c r="F2478" t="s">
        <v>111</v>
      </c>
      <c r="G2478" t="str">
        <f>"2025-01-13 10:33:58.367"</f>
        <v>2025-01-13 10:33:58.367</v>
      </c>
      <c r="H2478" t="s">
        <v>22</v>
      </c>
      <c r="I2478">
        <v>0</v>
      </c>
      <c r="J2478" t="s">
        <v>52</v>
      </c>
    </row>
    <row r="2479" spans="1:10" s="3" customFormat="1" x14ac:dyDescent="0.25">
      <c r="A2479" s="2">
        <v>547</v>
      </c>
      <c r="B2479" s="3" t="s">
        <v>26</v>
      </c>
      <c r="C2479" s="3">
        <v>647</v>
      </c>
      <c r="D2479" s="3">
        <v>1</v>
      </c>
      <c r="E2479" s="3" t="s">
        <v>27</v>
      </c>
      <c r="F2479" s="3" t="s">
        <v>28</v>
      </c>
      <c r="G2479" s="3" t="str">
        <f>"2025-01-12 21:09:40.988"</f>
        <v>2025-01-12 21:09:40.988</v>
      </c>
      <c r="H2479" s="3" t="s">
        <v>22</v>
      </c>
    </row>
    <row r="2480" spans="1:10" s="3" customFormat="1" x14ac:dyDescent="0.25">
      <c r="A2480" s="2">
        <v>548</v>
      </c>
      <c r="B2480" s="3" t="s">
        <v>29</v>
      </c>
      <c r="C2480" s="3">
        <v>647</v>
      </c>
      <c r="D2480" s="3">
        <v>1</v>
      </c>
      <c r="E2480" s="3" t="s">
        <v>27</v>
      </c>
      <c r="F2480" s="3" t="s">
        <v>28</v>
      </c>
      <c r="G2480" s="3" t="str">
        <f>"2025-01-12 21:09:35.788"</f>
        <v>2025-01-12 21:09:35.788</v>
      </c>
      <c r="H2480" s="3" t="s">
        <v>22</v>
      </c>
      <c r="I2480" s="3">
        <v>8.8000000000000007</v>
      </c>
      <c r="J2480" s="3" t="s">
        <v>30</v>
      </c>
    </row>
    <row r="2481" spans="1:10" x14ac:dyDescent="0.25">
      <c r="A2481" s="1">
        <v>549</v>
      </c>
      <c r="B2481" t="s">
        <v>19</v>
      </c>
      <c r="C2481">
        <v>706</v>
      </c>
      <c r="D2481">
        <v>4</v>
      </c>
      <c r="E2481" t="s">
        <v>20</v>
      </c>
      <c r="F2481" t="s">
        <v>21</v>
      </c>
      <c r="G2481" t="str">
        <f>"2025-01-12 14:19:50.424"</f>
        <v>2025-01-12 14:19:50.424</v>
      </c>
      <c r="H2481" t="s">
        <v>22</v>
      </c>
      <c r="I2481">
        <v>0</v>
      </c>
      <c r="J2481" t="s">
        <v>23</v>
      </c>
    </row>
    <row r="2482" spans="1:10" x14ac:dyDescent="0.25">
      <c r="A2482" s="1">
        <v>550</v>
      </c>
      <c r="B2482" t="s">
        <v>19</v>
      </c>
      <c r="C2482">
        <v>700</v>
      </c>
      <c r="D2482">
        <v>0</v>
      </c>
      <c r="E2482" t="s">
        <v>24</v>
      </c>
      <c r="F2482" t="s">
        <v>24</v>
      </c>
      <c r="G2482" t="str">
        <f>"2025-01-12 14:09:34.174"</f>
        <v>2025-01-12 14:09:34.174</v>
      </c>
      <c r="H2482" t="s">
        <v>22</v>
      </c>
    </row>
    <row r="2483" spans="1:10" x14ac:dyDescent="0.25">
      <c r="A2483" s="1">
        <v>551</v>
      </c>
      <c r="B2483" t="s">
        <v>19</v>
      </c>
      <c r="C2483">
        <v>706</v>
      </c>
      <c r="D2483">
        <v>4</v>
      </c>
      <c r="E2483" t="s">
        <v>20</v>
      </c>
      <c r="F2483" t="s">
        <v>21</v>
      </c>
      <c r="G2483" t="str">
        <f>"2025-01-12 11:13:17.353"</f>
        <v>2025-01-12 11:13:17.353</v>
      </c>
      <c r="H2483" t="s">
        <v>22</v>
      </c>
      <c r="I2483">
        <v>0</v>
      </c>
      <c r="J2483" t="s">
        <v>23</v>
      </c>
    </row>
    <row r="2484" spans="1:10" x14ac:dyDescent="0.25">
      <c r="A2484" s="1">
        <v>552</v>
      </c>
      <c r="B2484" t="s">
        <v>19</v>
      </c>
      <c r="C2484">
        <v>700</v>
      </c>
      <c r="D2484">
        <v>0</v>
      </c>
      <c r="E2484" t="s">
        <v>24</v>
      </c>
      <c r="F2484" t="s">
        <v>24</v>
      </c>
      <c r="G2484" t="str">
        <f>"2025-01-12 11:11:08.173"</f>
        <v>2025-01-12 11:11:08.173</v>
      </c>
      <c r="H2484" t="s">
        <v>22</v>
      </c>
      <c r="I2484">
        <v>0</v>
      </c>
      <c r="J2484" t="s">
        <v>34</v>
      </c>
    </row>
    <row r="2485" spans="1:10" x14ac:dyDescent="0.25">
      <c r="A2485" s="1">
        <v>553</v>
      </c>
      <c r="B2485" t="s">
        <v>19</v>
      </c>
      <c r="C2485">
        <v>706</v>
      </c>
      <c r="D2485">
        <v>4</v>
      </c>
      <c r="E2485" t="s">
        <v>20</v>
      </c>
      <c r="F2485" t="s">
        <v>21</v>
      </c>
      <c r="G2485" t="str">
        <f>"2025-01-12 10:29:01.321"</f>
        <v>2025-01-12 10:29:01.321</v>
      </c>
      <c r="H2485" t="s">
        <v>22</v>
      </c>
      <c r="I2485">
        <v>0</v>
      </c>
      <c r="J2485" t="s">
        <v>23</v>
      </c>
    </row>
    <row r="2486" spans="1:10" x14ac:dyDescent="0.25">
      <c r="A2486" s="1">
        <v>554</v>
      </c>
      <c r="B2486" t="s">
        <v>19</v>
      </c>
      <c r="C2486">
        <v>700</v>
      </c>
      <c r="D2486">
        <v>0</v>
      </c>
      <c r="E2486" t="s">
        <v>24</v>
      </c>
      <c r="F2486" t="s">
        <v>24</v>
      </c>
      <c r="G2486" t="str">
        <f>"2025-01-12 10:18:58.181"</f>
        <v>2025-01-12 10:18:58.181</v>
      </c>
      <c r="H2486" t="s">
        <v>22</v>
      </c>
    </row>
    <row r="2487" spans="1:10" x14ac:dyDescent="0.25">
      <c r="A2487" s="1">
        <v>555</v>
      </c>
      <c r="B2487" t="s">
        <v>19</v>
      </c>
      <c r="C2487">
        <v>700</v>
      </c>
      <c r="D2487">
        <v>0</v>
      </c>
      <c r="E2487" t="s">
        <v>24</v>
      </c>
      <c r="F2487" t="s">
        <v>24</v>
      </c>
      <c r="G2487" t="str">
        <f>"2025-01-11 10:53:40.220"</f>
        <v>2025-01-11 10:53:40.220</v>
      </c>
      <c r="H2487" t="s">
        <v>22</v>
      </c>
      <c r="I2487">
        <v>0</v>
      </c>
      <c r="J2487" t="s">
        <v>34</v>
      </c>
    </row>
    <row r="2488" spans="1:10" x14ac:dyDescent="0.25">
      <c r="A2488" s="1">
        <v>556</v>
      </c>
      <c r="B2488" t="s">
        <v>26</v>
      </c>
      <c r="C2488">
        <v>98</v>
      </c>
      <c r="D2488">
        <v>1</v>
      </c>
      <c r="E2488" t="s">
        <v>63</v>
      </c>
      <c r="F2488" t="s">
        <v>64</v>
      </c>
      <c r="G2488" t="str">
        <f>"2025-01-11 07:52:50.564"</f>
        <v>2025-01-11 07:52:50.564</v>
      </c>
      <c r="H2488" t="s">
        <v>22</v>
      </c>
    </row>
    <row r="2489" spans="1:10" x14ac:dyDescent="0.25">
      <c r="A2489" s="1">
        <v>557</v>
      </c>
      <c r="B2489" t="s">
        <v>29</v>
      </c>
      <c r="C2489">
        <v>98</v>
      </c>
      <c r="D2489">
        <v>1</v>
      </c>
      <c r="E2489" t="s">
        <v>63</v>
      </c>
      <c r="F2489" t="s">
        <v>64</v>
      </c>
      <c r="G2489" t="str">
        <f>"2025-01-11 07:52:46.164"</f>
        <v>2025-01-11 07:52:46.164</v>
      </c>
      <c r="H2489" t="s">
        <v>22</v>
      </c>
      <c r="I2489">
        <v>0</v>
      </c>
      <c r="J2489" t="s">
        <v>52</v>
      </c>
    </row>
    <row r="2490" spans="1:10" x14ac:dyDescent="0.25">
      <c r="A2490" s="1">
        <v>558</v>
      </c>
      <c r="B2490" t="s">
        <v>26</v>
      </c>
      <c r="C2490">
        <v>98</v>
      </c>
      <c r="D2490">
        <v>1</v>
      </c>
      <c r="E2490" t="s">
        <v>63</v>
      </c>
      <c r="F2490" t="s">
        <v>64</v>
      </c>
      <c r="G2490" t="str">
        <f>"2025-01-11 07:52:34.464"</f>
        <v>2025-01-11 07:52:34.464</v>
      </c>
      <c r="H2490" t="s">
        <v>22</v>
      </c>
    </row>
    <row r="2491" spans="1:10" x14ac:dyDescent="0.25">
      <c r="A2491" s="1">
        <v>559</v>
      </c>
      <c r="B2491" t="s">
        <v>29</v>
      </c>
      <c r="C2491">
        <v>98</v>
      </c>
      <c r="D2491">
        <v>1</v>
      </c>
      <c r="E2491" t="s">
        <v>63</v>
      </c>
      <c r="F2491" t="s">
        <v>64</v>
      </c>
      <c r="G2491" t="str">
        <f>"2025-01-11 07:52:33.364"</f>
        <v>2025-01-11 07:52:33.364</v>
      </c>
      <c r="H2491" t="s">
        <v>22</v>
      </c>
      <c r="I2491">
        <v>0</v>
      </c>
      <c r="J2491" t="s">
        <v>52</v>
      </c>
    </row>
    <row r="2492" spans="1:10" x14ac:dyDescent="0.25">
      <c r="A2492" s="1">
        <v>560</v>
      </c>
      <c r="B2492" t="s">
        <v>26</v>
      </c>
      <c r="C2492">
        <v>98</v>
      </c>
      <c r="D2492">
        <v>1</v>
      </c>
      <c r="E2492" t="s">
        <v>63</v>
      </c>
      <c r="F2492" t="s">
        <v>64</v>
      </c>
      <c r="G2492" t="str">
        <f>"2025-01-11 07:52:32.264"</f>
        <v>2025-01-11 07:52:32.264</v>
      </c>
      <c r="H2492" t="s">
        <v>22</v>
      </c>
    </row>
    <row r="2493" spans="1:10" x14ac:dyDescent="0.25">
      <c r="A2493" s="1">
        <v>561</v>
      </c>
      <c r="B2493" t="s">
        <v>29</v>
      </c>
      <c r="C2493">
        <v>98</v>
      </c>
      <c r="D2493">
        <v>1</v>
      </c>
      <c r="E2493" t="s">
        <v>63</v>
      </c>
      <c r="F2493" t="s">
        <v>64</v>
      </c>
      <c r="G2493" t="str">
        <f>"2025-01-11 07:52:31.165"</f>
        <v>2025-01-11 07:52:31.165</v>
      </c>
      <c r="H2493" t="s">
        <v>22</v>
      </c>
      <c r="I2493">
        <v>0</v>
      </c>
      <c r="J2493" t="s">
        <v>52</v>
      </c>
    </row>
    <row r="2494" spans="1:10" x14ac:dyDescent="0.25">
      <c r="A2494" s="1">
        <v>562</v>
      </c>
      <c r="B2494" t="s">
        <v>19</v>
      </c>
      <c r="C2494">
        <v>706</v>
      </c>
      <c r="D2494">
        <v>2</v>
      </c>
      <c r="E2494" t="s">
        <v>20</v>
      </c>
      <c r="F2494" t="s">
        <v>25</v>
      </c>
      <c r="G2494" t="str">
        <f>"2025-01-10 20:51:46.545"</f>
        <v>2025-01-10 20:51:46.545</v>
      </c>
      <c r="H2494" t="s">
        <v>22</v>
      </c>
      <c r="I2494">
        <v>0</v>
      </c>
      <c r="J2494" t="s">
        <v>23</v>
      </c>
    </row>
    <row r="2495" spans="1:10" x14ac:dyDescent="0.25">
      <c r="A2495" s="1">
        <v>563</v>
      </c>
      <c r="B2495" t="s">
        <v>19</v>
      </c>
      <c r="C2495">
        <v>700</v>
      </c>
      <c r="D2495">
        <v>0</v>
      </c>
      <c r="E2495" t="s">
        <v>24</v>
      </c>
      <c r="F2495" t="s">
        <v>24</v>
      </c>
      <c r="G2495" t="str">
        <f>"2025-01-10 20:24:28.115"</f>
        <v>2025-01-10 20:24:28.115</v>
      </c>
      <c r="H2495" t="s">
        <v>22</v>
      </c>
    </row>
    <row r="2496" spans="1:10" x14ac:dyDescent="0.25">
      <c r="A2496" s="1">
        <v>564</v>
      </c>
      <c r="B2496" t="s">
        <v>19</v>
      </c>
      <c r="C2496">
        <v>700</v>
      </c>
      <c r="D2496">
        <v>0</v>
      </c>
      <c r="E2496" t="s">
        <v>24</v>
      </c>
      <c r="F2496" t="s">
        <v>24</v>
      </c>
      <c r="G2496" t="str">
        <f>"2025-01-10 17:06:26.136"</f>
        <v>2025-01-10 17:06:26.136</v>
      </c>
      <c r="H2496" t="s">
        <v>22</v>
      </c>
    </row>
    <row r="2497" spans="1:10" x14ac:dyDescent="0.25">
      <c r="A2497" s="1">
        <v>565</v>
      </c>
      <c r="B2497" t="s">
        <v>19</v>
      </c>
      <c r="C2497">
        <v>706</v>
      </c>
      <c r="D2497">
        <v>4</v>
      </c>
      <c r="E2497" t="s">
        <v>20</v>
      </c>
      <c r="F2497" t="s">
        <v>21</v>
      </c>
      <c r="G2497" t="str">
        <f>"2025-01-10 14:26:41.764"</f>
        <v>2025-01-10 14:26:41.764</v>
      </c>
      <c r="H2497" t="s">
        <v>22</v>
      </c>
      <c r="I2497">
        <v>0</v>
      </c>
      <c r="J2497" t="s">
        <v>23</v>
      </c>
    </row>
    <row r="2498" spans="1:10" x14ac:dyDescent="0.25">
      <c r="A2498" s="1">
        <v>566</v>
      </c>
      <c r="B2498" t="s">
        <v>19</v>
      </c>
      <c r="C2498">
        <v>700</v>
      </c>
      <c r="D2498">
        <v>0</v>
      </c>
      <c r="E2498" t="s">
        <v>24</v>
      </c>
      <c r="F2498" t="s">
        <v>24</v>
      </c>
      <c r="G2498" t="str">
        <f>"2025-01-10 14:25:23.074"</f>
        <v>2025-01-10 14:25:23.074</v>
      </c>
      <c r="H2498" t="s">
        <v>22</v>
      </c>
    </row>
    <row r="2499" spans="1:10" x14ac:dyDescent="0.25">
      <c r="A2499" s="1">
        <v>567</v>
      </c>
      <c r="B2499" t="s">
        <v>19</v>
      </c>
      <c r="C2499">
        <v>700</v>
      </c>
      <c r="D2499">
        <v>0</v>
      </c>
      <c r="E2499" t="s">
        <v>24</v>
      </c>
      <c r="F2499" t="s">
        <v>24</v>
      </c>
      <c r="G2499" t="str">
        <f>"2025-01-10 11:15:08.090"</f>
        <v>2025-01-10 11:15:08.090</v>
      </c>
      <c r="H2499" t="s">
        <v>22</v>
      </c>
    </row>
    <row r="2500" spans="1:10" x14ac:dyDescent="0.25">
      <c r="A2500" s="1">
        <v>568</v>
      </c>
      <c r="B2500" t="s">
        <v>19</v>
      </c>
      <c r="C2500">
        <v>706</v>
      </c>
      <c r="D2500">
        <v>2</v>
      </c>
      <c r="E2500" t="s">
        <v>20</v>
      </c>
      <c r="F2500" t="s">
        <v>25</v>
      </c>
      <c r="G2500" t="str">
        <f>"2025-01-10 10:26:45.357"</f>
        <v>2025-01-10 10:26:45.357</v>
      </c>
      <c r="H2500" t="s">
        <v>22</v>
      </c>
      <c r="I2500">
        <v>0</v>
      </c>
      <c r="J2500" t="s">
        <v>23</v>
      </c>
    </row>
    <row r="2501" spans="1:10" x14ac:dyDescent="0.25">
      <c r="A2501" s="1">
        <v>569</v>
      </c>
      <c r="B2501" t="s">
        <v>19</v>
      </c>
      <c r="C2501">
        <v>706</v>
      </c>
      <c r="D2501">
        <v>2</v>
      </c>
      <c r="E2501" t="s">
        <v>20</v>
      </c>
      <c r="F2501" t="s">
        <v>25</v>
      </c>
      <c r="G2501" t="str">
        <f>"2025-01-10 10:18:28.357"</f>
        <v>2025-01-10 10:18:28.357</v>
      </c>
      <c r="H2501" t="s">
        <v>22</v>
      </c>
      <c r="I2501">
        <v>0</v>
      </c>
      <c r="J2501" t="s">
        <v>23</v>
      </c>
    </row>
    <row r="2502" spans="1:10" x14ac:dyDescent="0.25">
      <c r="A2502" s="1">
        <v>570</v>
      </c>
      <c r="B2502" t="s">
        <v>19</v>
      </c>
      <c r="C2502">
        <v>700</v>
      </c>
      <c r="D2502">
        <v>0</v>
      </c>
      <c r="E2502" t="s">
        <v>24</v>
      </c>
      <c r="F2502" t="s">
        <v>24</v>
      </c>
      <c r="G2502" t="str">
        <f>"2025-01-10 10:10:41.097"</f>
        <v>2025-01-10 10:10:41.097</v>
      </c>
      <c r="H2502" t="s">
        <v>22</v>
      </c>
      <c r="I2502">
        <v>0</v>
      </c>
      <c r="J2502" t="s">
        <v>34</v>
      </c>
    </row>
    <row r="2503" spans="1:10" x14ac:dyDescent="0.25">
      <c r="A2503" s="1">
        <v>571</v>
      </c>
      <c r="B2503" t="s">
        <v>19</v>
      </c>
      <c r="C2503">
        <v>700</v>
      </c>
      <c r="D2503">
        <v>0</v>
      </c>
      <c r="E2503" t="s">
        <v>24</v>
      </c>
      <c r="F2503" t="s">
        <v>24</v>
      </c>
      <c r="G2503" t="str">
        <f>"2025-01-10 10:04:27.087"</f>
        <v>2025-01-10 10:04:27.087</v>
      </c>
      <c r="H2503" t="s">
        <v>22</v>
      </c>
      <c r="I2503">
        <v>0</v>
      </c>
      <c r="J2503" t="s">
        <v>34</v>
      </c>
    </row>
    <row r="2504" spans="1:10" x14ac:dyDescent="0.25">
      <c r="A2504" s="1">
        <v>572</v>
      </c>
      <c r="B2504" t="s">
        <v>19</v>
      </c>
      <c r="C2504">
        <v>706</v>
      </c>
      <c r="D2504">
        <v>2</v>
      </c>
      <c r="E2504" t="s">
        <v>20</v>
      </c>
      <c r="F2504" t="s">
        <v>25</v>
      </c>
      <c r="G2504" t="str">
        <f>"2025-01-10 09:49:46.635"</f>
        <v>2025-01-10 09:49:46.635</v>
      </c>
      <c r="H2504" t="s">
        <v>22</v>
      </c>
      <c r="I2504">
        <v>0</v>
      </c>
      <c r="J2504" t="s">
        <v>23</v>
      </c>
    </row>
    <row r="2505" spans="1:10" x14ac:dyDescent="0.25">
      <c r="A2505" s="1">
        <v>573</v>
      </c>
      <c r="B2505" t="s">
        <v>19</v>
      </c>
      <c r="C2505">
        <v>700</v>
      </c>
      <c r="D2505">
        <v>0</v>
      </c>
      <c r="E2505" t="s">
        <v>24</v>
      </c>
      <c r="F2505" t="s">
        <v>24</v>
      </c>
      <c r="G2505" t="str">
        <f>"2025-01-10 09:48:56.085"</f>
        <v>2025-01-10 09:48:56.085</v>
      </c>
      <c r="H2505" t="s">
        <v>22</v>
      </c>
    </row>
    <row r="2506" spans="1:10" x14ac:dyDescent="0.25">
      <c r="A2506" s="1">
        <v>574</v>
      </c>
      <c r="B2506" t="s">
        <v>19</v>
      </c>
      <c r="C2506">
        <v>700</v>
      </c>
      <c r="D2506">
        <v>0</v>
      </c>
      <c r="E2506" t="s">
        <v>24</v>
      </c>
      <c r="F2506" t="s">
        <v>24</v>
      </c>
      <c r="G2506" t="str">
        <f>"2025-01-10 09:44:42.079"</f>
        <v>2025-01-10 09:44:42.079</v>
      </c>
      <c r="H2506" t="s">
        <v>22</v>
      </c>
    </row>
    <row r="2507" spans="1:10" x14ac:dyDescent="0.25">
      <c r="A2507" s="1">
        <v>575</v>
      </c>
      <c r="B2507" t="s">
        <v>19</v>
      </c>
      <c r="C2507">
        <v>700</v>
      </c>
      <c r="D2507">
        <v>0</v>
      </c>
      <c r="E2507" t="s">
        <v>24</v>
      </c>
      <c r="F2507" t="s">
        <v>24</v>
      </c>
      <c r="G2507" t="str">
        <f>"2025-01-10 09:39:02.092"</f>
        <v>2025-01-10 09:39:02.092</v>
      </c>
      <c r="H2507" t="s">
        <v>22</v>
      </c>
      <c r="I2507">
        <v>0</v>
      </c>
      <c r="J2507" t="s">
        <v>34</v>
      </c>
    </row>
    <row r="2508" spans="1:10" x14ac:dyDescent="0.25">
      <c r="A2508" s="1">
        <v>576</v>
      </c>
      <c r="B2508" t="s">
        <v>19</v>
      </c>
      <c r="C2508">
        <v>706</v>
      </c>
      <c r="D2508">
        <v>2</v>
      </c>
      <c r="E2508" t="s">
        <v>20</v>
      </c>
      <c r="F2508" t="s">
        <v>25</v>
      </c>
      <c r="G2508" t="str">
        <f>"2025-01-09 11:39:30.842"</f>
        <v>2025-01-09 11:39:30.842</v>
      </c>
      <c r="H2508" t="s">
        <v>22</v>
      </c>
      <c r="I2508">
        <v>0</v>
      </c>
      <c r="J2508" t="s">
        <v>23</v>
      </c>
    </row>
    <row r="2509" spans="1:10" x14ac:dyDescent="0.25">
      <c r="A2509" s="1">
        <v>577</v>
      </c>
      <c r="B2509" t="s">
        <v>19</v>
      </c>
      <c r="C2509">
        <v>700</v>
      </c>
      <c r="D2509">
        <v>0</v>
      </c>
      <c r="E2509" t="s">
        <v>24</v>
      </c>
      <c r="F2509" t="s">
        <v>24</v>
      </c>
      <c r="G2509" t="str">
        <f>"2025-01-09 11:38:42.082"</f>
        <v>2025-01-09 11:38:42.082</v>
      </c>
      <c r="H2509" t="s">
        <v>22</v>
      </c>
      <c r="I2509">
        <v>0</v>
      </c>
      <c r="J2509" t="s">
        <v>34</v>
      </c>
    </row>
    <row r="2510" spans="1:10" x14ac:dyDescent="0.25">
      <c r="A2510" s="1">
        <v>578</v>
      </c>
      <c r="B2510" t="s">
        <v>19</v>
      </c>
      <c r="C2510">
        <v>700</v>
      </c>
      <c r="D2510">
        <v>0</v>
      </c>
      <c r="E2510" t="s">
        <v>24</v>
      </c>
      <c r="F2510" t="s">
        <v>24</v>
      </c>
      <c r="G2510" t="str">
        <f>"2025-01-09 11:23:13.072"</f>
        <v>2025-01-09 11:23:13.072</v>
      </c>
      <c r="H2510" t="s">
        <v>22</v>
      </c>
      <c r="I2510">
        <v>0</v>
      </c>
      <c r="J2510" t="s">
        <v>34</v>
      </c>
    </row>
    <row r="2511" spans="1:10" x14ac:dyDescent="0.25">
      <c r="A2511" s="1">
        <v>579</v>
      </c>
      <c r="B2511" t="s">
        <v>19</v>
      </c>
      <c r="C2511">
        <v>700</v>
      </c>
      <c r="D2511">
        <v>0</v>
      </c>
      <c r="E2511" t="s">
        <v>24</v>
      </c>
      <c r="F2511" t="s">
        <v>24</v>
      </c>
      <c r="G2511" t="str">
        <f>"2025-01-09 11:14:01.086"</f>
        <v>2025-01-09 11:14:01.086</v>
      </c>
      <c r="H2511" t="s">
        <v>22</v>
      </c>
    </row>
    <row r="2512" spans="1:10" x14ac:dyDescent="0.25">
      <c r="A2512" s="1">
        <v>580</v>
      </c>
      <c r="B2512" t="s">
        <v>19</v>
      </c>
      <c r="C2512">
        <v>700</v>
      </c>
      <c r="D2512">
        <v>0</v>
      </c>
      <c r="E2512" t="s">
        <v>24</v>
      </c>
      <c r="F2512" t="s">
        <v>24</v>
      </c>
      <c r="G2512" t="str">
        <f>"2025-01-09 10:10:13.073"</f>
        <v>2025-01-09 10:10:13.073</v>
      </c>
      <c r="H2512" t="s">
        <v>22</v>
      </c>
      <c r="I2512">
        <v>0</v>
      </c>
      <c r="J2512" t="s">
        <v>34</v>
      </c>
    </row>
    <row r="2513" spans="1:10" x14ac:dyDescent="0.25">
      <c r="A2513" s="1">
        <v>581</v>
      </c>
      <c r="B2513" t="s">
        <v>19</v>
      </c>
      <c r="C2513">
        <v>706</v>
      </c>
      <c r="D2513">
        <v>4</v>
      </c>
      <c r="E2513" t="s">
        <v>20</v>
      </c>
      <c r="F2513" t="s">
        <v>21</v>
      </c>
      <c r="G2513" t="str">
        <f>"2025-01-09 09:37:19.239"</f>
        <v>2025-01-09 09:37:19.239</v>
      </c>
      <c r="H2513" t="s">
        <v>22</v>
      </c>
      <c r="I2513">
        <v>0</v>
      </c>
      <c r="J2513" t="s">
        <v>23</v>
      </c>
    </row>
    <row r="2514" spans="1:10" x14ac:dyDescent="0.25">
      <c r="A2514" s="1">
        <v>582</v>
      </c>
      <c r="B2514" t="s">
        <v>19</v>
      </c>
      <c r="C2514">
        <v>700</v>
      </c>
      <c r="D2514">
        <v>0</v>
      </c>
      <c r="E2514" t="s">
        <v>24</v>
      </c>
      <c r="F2514" t="s">
        <v>24</v>
      </c>
      <c r="G2514" t="str">
        <f>"2025-01-09 09:36:36.079"</f>
        <v>2025-01-09 09:36:36.079</v>
      </c>
      <c r="H2514" t="s">
        <v>22</v>
      </c>
    </row>
    <row r="2515" spans="1:10" x14ac:dyDescent="0.25">
      <c r="A2515" s="1">
        <v>583</v>
      </c>
      <c r="B2515" t="s">
        <v>19</v>
      </c>
      <c r="C2515">
        <v>700</v>
      </c>
      <c r="D2515">
        <v>0</v>
      </c>
      <c r="E2515" t="s">
        <v>24</v>
      </c>
      <c r="F2515" t="s">
        <v>24</v>
      </c>
      <c r="G2515" t="str">
        <f>"2025-01-09 09:20:39.073"</f>
        <v>2025-01-09 09:20:39.073</v>
      </c>
      <c r="H2515" t="s">
        <v>22</v>
      </c>
    </row>
    <row r="2516" spans="1:10" x14ac:dyDescent="0.25">
      <c r="A2516" s="1">
        <v>584</v>
      </c>
      <c r="B2516" t="s">
        <v>19</v>
      </c>
      <c r="C2516">
        <v>706</v>
      </c>
      <c r="D2516">
        <v>2</v>
      </c>
      <c r="E2516" t="s">
        <v>20</v>
      </c>
      <c r="F2516" t="s">
        <v>25</v>
      </c>
      <c r="G2516" t="str">
        <f>"2025-01-09 09:04:09.175"</f>
        <v>2025-01-09 09:04:09.175</v>
      </c>
      <c r="H2516" t="s">
        <v>22</v>
      </c>
      <c r="I2516">
        <v>0</v>
      </c>
      <c r="J2516" t="s">
        <v>23</v>
      </c>
    </row>
    <row r="2517" spans="1:10" x14ac:dyDescent="0.25">
      <c r="A2517" s="1">
        <v>585</v>
      </c>
      <c r="B2517" t="s">
        <v>19</v>
      </c>
      <c r="C2517">
        <v>700</v>
      </c>
      <c r="D2517">
        <v>0</v>
      </c>
      <c r="E2517" t="s">
        <v>24</v>
      </c>
      <c r="F2517" t="s">
        <v>24</v>
      </c>
      <c r="G2517" t="str">
        <f>"2025-01-09 09:03:46.085"</f>
        <v>2025-01-09 09:03:46.085</v>
      </c>
      <c r="H2517" t="s">
        <v>22</v>
      </c>
      <c r="I2517">
        <v>0</v>
      </c>
      <c r="J2517" t="s">
        <v>34</v>
      </c>
    </row>
    <row r="2518" spans="1:10" x14ac:dyDescent="0.25">
      <c r="A2518" s="1">
        <v>586</v>
      </c>
      <c r="B2518" t="s">
        <v>19</v>
      </c>
      <c r="C2518">
        <v>700</v>
      </c>
      <c r="D2518">
        <v>0</v>
      </c>
      <c r="E2518" t="s">
        <v>24</v>
      </c>
      <c r="F2518" t="s">
        <v>24</v>
      </c>
      <c r="G2518" t="str">
        <f>"2025-01-09 04:05:07.079"</f>
        <v>2025-01-09 04:05:07.079</v>
      </c>
      <c r="H2518" t="s">
        <v>22</v>
      </c>
      <c r="I2518">
        <v>0</v>
      </c>
      <c r="J2518" t="s">
        <v>34</v>
      </c>
    </row>
    <row r="2519" spans="1:10" x14ac:dyDescent="0.25">
      <c r="A2519" s="1">
        <v>587</v>
      </c>
      <c r="B2519" t="s">
        <v>19</v>
      </c>
      <c r="C2519">
        <v>700</v>
      </c>
      <c r="D2519">
        <v>0</v>
      </c>
      <c r="E2519" t="s">
        <v>24</v>
      </c>
      <c r="F2519" t="s">
        <v>24</v>
      </c>
      <c r="G2519" t="str">
        <f>"2025-01-08 17:31:19.074"</f>
        <v>2025-01-08 17:31:19.074</v>
      </c>
      <c r="H2519" t="s">
        <v>22</v>
      </c>
      <c r="I2519">
        <v>0</v>
      </c>
      <c r="J2519" t="s">
        <v>34</v>
      </c>
    </row>
    <row r="2520" spans="1:10" x14ac:dyDescent="0.25">
      <c r="A2520" s="1">
        <v>588</v>
      </c>
      <c r="B2520" t="s">
        <v>19</v>
      </c>
      <c r="C2520">
        <v>700</v>
      </c>
      <c r="D2520">
        <v>0</v>
      </c>
      <c r="E2520" t="s">
        <v>24</v>
      </c>
      <c r="F2520" t="s">
        <v>24</v>
      </c>
      <c r="G2520" t="str">
        <f>"2025-01-08 17:20:55.081"</f>
        <v>2025-01-08 17:20:55.081</v>
      </c>
      <c r="H2520" t="s">
        <v>22</v>
      </c>
      <c r="I2520">
        <v>0</v>
      </c>
      <c r="J2520" t="s">
        <v>34</v>
      </c>
    </row>
    <row r="2521" spans="1:10" x14ac:dyDescent="0.25">
      <c r="A2521" s="1">
        <v>589</v>
      </c>
      <c r="B2521" t="s">
        <v>19</v>
      </c>
      <c r="C2521">
        <v>700</v>
      </c>
      <c r="D2521">
        <v>0</v>
      </c>
      <c r="E2521" t="s">
        <v>24</v>
      </c>
      <c r="F2521" t="s">
        <v>24</v>
      </c>
      <c r="G2521" t="str">
        <f>"2025-01-08 16:57:33.086"</f>
        <v>2025-01-08 16:57:33.086</v>
      </c>
      <c r="H2521" t="s">
        <v>22</v>
      </c>
    </row>
    <row r="2522" spans="1:10" x14ac:dyDescent="0.25">
      <c r="A2522" s="1">
        <v>590</v>
      </c>
      <c r="B2522" t="s">
        <v>19</v>
      </c>
      <c r="C2522">
        <v>700</v>
      </c>
      <c r="D2522">
        <v>0</v>
      </c>
      <c r="E2522" t="s">
        <v>24</v>
      </c>
      <c r="F2522" t="s">
        <v>24</v>
      </c>
      <c r="G2522" t="str">
        <f>"2025-01-08 16:25:07.075"</f>
        <v>2025-01-08 16:25:07.075</v>
      </c>
      <c r="H2522" t="s">
        <v>22</v>
      </c>
      <c r="I2522">
        <v>0</v>
      </c>
      <c r="J2522" t="s">
        <v>34</v>
      </c>
    </row>
    <row r="2523" spans="1:10" x14ac:dyDescent="0.25">
      <c r="A2523" s="1">
        <v>591</v>
      </c>
      <c r="B2523" t="s">
        <v>19</v>
      </c>
      <c r="C2523">
        <v>700</v>
      </c>
      <c r="D2523">
        <v>0</v>
      </c>
      <c r="E2523" t="s">
        <v>24</v>
      </c>
      <c r="F2523" t="s">
        <v>24</v>
      </c>
      <c r="G2523" t="str">
        <f>"2025-01-08 15:32:44.078"</f>
        <v>2025-01-08 15:32:44.078</v>
      </c>
      <c r="H2523" t="s">
        <v>22</v>
      </c>
    </row>
    <row r="2524" spans="1:10" x14ac:dyDescent="0.25">
      <c r="A2524" s="1">
        <v>592</v>
      </c>
      <c r="B2524" t="s">
        <v>19</v>
      </c>
      <c r="C2524">
        <v>700</v>
      </c>
      <c r="D2524">
        <v>0</v>
      </c>
      <c r="E2524" t="s">
        <v>24</v>
      </c>
      <c r="F2524" t="s">
        <v>24</v>
      </c>
      <c r="G2524" t="str">
        <f>"2025-01-08 14:47:23.071"</f>
        <v>2025-01-08 14:47:23.071</v>
      </c>
      <c r="H2524" t="s">
        <v>22</v>
      </c>
      <c r="I2524">
        <v>0</v>
      </c>
      <c r="J2524" t="s">
        <v>34</v>
      </c>
    </row>
    <row r="2525" spans="1:10" x14ac:dyDescent="0.25">
      <c r="A2525" s="1">
        <v>593</v>
      </c>
      <c r="B2525" t="s">
        <v>19</v>
      </c>
      <c r="C2525">
        <v>700</v>
      </c>
      <c r="D2525">
        <v>0</v>
      </c>
      <c r="E2525" t="s">
        <v>24</v>
      </c>
      <c r="F2525" t="s">
        <v>24</v>
      </c>
      <c r="G2525" t="str">
        <f>"2025-01-08 14:06:52.071"</f>
        <v>2025-01-08 14:06:52.071</v>
      </c>
      <c r="H2525" t="s">
        <v>22</v>
      </c>
      <c r="I2525">
        <v>0</v>
      </c>
      <c r="J2525" t="s">
        <v>34</v>
      </c>
    </row>
    <row r="2526" spans="1:10" x14ac:dyDescent="0.25">
      <c r="A2526" s="1">
        <v>594</v>
      </c>
      <c r="B2526" t="s">
        <v>19</v>
      </c>
      <c r="C2526">
        <v>706</v>
      </c>
      <c r="D2526">
        <v>2</v>
      </c>
      <c r="E2526" t="s">
        <v>20</v>
      </c>
      <c r="F2526" t="s">
        <v>25</v>
      </c>
      <c r="G2526" t="str">
        <f>"2025-01-08 13:47:18.827"</f>
        <v>2025-01-08 13:47:18.827</v>
      </c>
      <c r="H2526" t="s">
        <v>22</v>
      </c>
      <c r="I2526">
        <v>0</v>
      </c>
      <c r="J2526" t="s">
        <v>23</v>
      </c>
    </row>
    <row r="2527" spans="1:10" x14ac:dyDescent="0.25">
      <c r="A2527" s="1">
        <v>595</v>
      </c>
      <c r="B2527" t="s">
        <v>19</v>
      </c>
      <c r="C2527">
        <v>700</v>
      </c>
      <c r="D2527">
        <v>0</v>
      </c>
      <c r="E2527" t="s">
        <v>24</v>
      </c>
      <c r="F2527" t="s">
        <v>24</v>
      </c>
      <c r="G2527" t="str">
        <f>"2025-01-08 13:46:50.077"</f>
        <v>2025-01-08 13:46:50.077</v>
      </c>
      <c r="H2527" t="s">
        <v>22</v>
      </c>
      <c r="I2527">
        <v>0</v>
      </c>
      <c r="J2527" t="s">
        <v>34</v>
      </c>
    </row>
    <row r="2528" spans="1:10" x14ac:dyDescent="0.25">
      <c r="A2528" s="1">
        <v>596</v>
      </c>
      <c r="B2528" t="s">
        <v>19</v>
      </c>
      <c r="C2528">
        <v>700</v>
      </c>
      <c r="D2528">
        <v>0</v>
      </c>
      <c r="E2528" t="s">
        <v>24</v>
      </c>
      <c r="F2528" t="s">
        <v>24</v>
      </c>
      <c r="G2528" t="str">
        <f>"2025-01-08 09:09:18.078"</f>
        <v>2025-01-08 09:09:18.078</v>
      </c>
      <c r="H2528" t="s">
        <v>22</v>
      </c>
      <c r="I2528">
        <v>0</v>
      </c>
      <c r="J2528" t="s">
        <v>34</v>
      </c>
    </row>
    <row r="2529" spans="1:10" x14ac:dyDescent="0.25">
      <c r="A2529" s="1">
        <v>597</v>
      </c>
      <c r="B2529" t="s">
        <v>19</v>
      </c>
      <c r="C2529">
        <v>700</v>
      </c>
      <c r="D2529">
        <v>0</v>
      </c>
      <c r="E2529" t="s">
        <v>24</v>
      </c>
      <c r="F2529" t="s">
        <v>24</v>
      </c>
      <c r="G2529" t="str">
        <f>"2025-01-08 09:02:28.073"</f>
        <v>2025-01-08 09:02:28.073</v>
      </c>
      <c r="H2529" t="s">
        <v>22</v>
      </c>
      <c r="I2529">
        <v>0</v>
      </c>
      <c r="J2529" t="s">
        <v>34</v>
      </c>
    </row>
    <row r="2530" spans="1:10" x14ac:dyDescent="0.25">
      <c r="A2530" s="1">
        <v>598</v>
      </c>
      <c r="B2530" t="s">
        <v>19</v>
      </c>
      <c r="C2530">
        <v>700</v>
      </c>
      <c r="D2530">
        <v>0</v>
      </c>
      <c r="E2530" t="s">
        <v>24</v>
      </c>
      <c r="F2530" t="s">
        <v>24</v>
      </c>
      <c r="G2530" t="str">
        <f>"2025-01-08 08:31:48.075"</f>
        <v>2025-01-08 08:31:48.075</v>
      </c>
      <c r="H2530" t="s">
        <v>22</v>
      </c>
    </row>
    <row r="2531" spans="1:10" x14ac:dyDescent="0.25">
      <c r="A2531" s="1">
        <v>599</v>
      </c>
      <c r="B2531" t="s">
        <v>19</v>
      </c>
      <c r="C2531">
        <v>700</v>
      </c>
      <c r="D2531">
        <v>0</v>
      </c>
      <c r="E2531" t="s">
        <v>24</v>
      </c>
      <c r="F2531" t="s">
        <v>24</v>
      </c>
      <c r="G2531" t="str">
        <f>"2025-01-08 03:42:12.066"</f>
        <v>2025-01-08 03:42:12.066</v>
      </c>
      <c r="H2531" t="s">
        <v>22</v>
      </c>
      <c r="I2531">
        <v>0</v>
      </c>
      <c r="J2531" t="s">
        <v>34</v>
      </c>
    </row>
    <row r="2532" spans="1:10" x14ac:dyDescent="0.25">
      <c r="A2532" s="1">
        <v>600</v>
      </c>
      <c r="B2532" t="s">
        <v>19</v>
      </c>
      <c r="C2532">
        <v>706</v>
      </c>
      <c r="D2532">
        <v>3</v>
      </c>
      <c r="E2532" t="s">
        <v>20</v>
      </c>
      <c r="F2532" t="s">
        <v>49</v>
      </c>
      <c r="G2532" t="str">
        <f>"2025-01-08 03:19:44.212"</f>
        <v>2025-01-08 03:19:44.212</v>
      </c>
      <c r="H2532" t="s">
        <v>22</v>
      </c>
      <c r="I2532">
        <v>0</v>
      </c>
      <c r="J2532" t="s">
        <v>23</v>
      </c>
    </row>
    <row r="2533" spans="1:10" x14ac:dyDescent="0.25">
      <c r="A2533" s="1">
        <v>601</v>
      </c>
      <c r="B2533" t="s">
        <v>19</v>
      </c>
      <c r="C2533">
        <v>700</v>
      </c>
      <c r="D2533">
        <v>0</v>
      </c>
      <c r="E2533" t="s">
        <v>24</v>
      </c>
      <c r="F2533" t="s">
        <v>24</v>
      </c>
      <c r="G2533" t="str">
        <f>"2025-01-08 03:08:47.062"</f>
        <v>2025-01-08 03:08:47.062</v>
      </c>
      <c r="H2533" t="s">
        <v>22</v>
      </c>
    </row>
    <row r="2534" spans="1:10" x14ac:dyDescent="0.25">
      <c r="A2534" s="1">
        <v>602</v>
      </c>
      <c r="B2534" t="s">
        <v>19</v>
      </c>
      <c r="C2534">
        <v>700</v>
      </c>
      <c r="D2534">
        <v>0</v>
      </c>
      <c r="E2534" t="s">
        <v>24</v>
      </c>
      <c r="F2534" t="s">
        <v>24</v>
      </c>
      <c r="G2534" t="str">
        <f>"2025-01-07 23:41:03.072"</f>
        <v>2025-01-07 23:41:03.072</v>
      </c>
      <c r="H2534" t="s">
        <v>22</v>
      </c>
      <c r="I2534">
        <v>0</v>
      </c>
      <c r="J2534" t="s">
        <v>34</v>
      </c>
    </row>
    <row r="2535" spans="1:10" x14ac:dyDescent="0.25">
      <c r="A2535" s="1">
        <v>603</v>
      </c>
      <c r="B2535" t="s">
        <v>19</v>
      </c>
      <c r="C2535">
        <v>700</v>
      </c>
      <c r="D2535">
        <v>0</v>
      </c>
      <c r="E2535" t="s">
        <v>24</v>
      </c>
      <c r="F2535" t="s">
        <v>24</v>
      </c>
      <c r="G2535" t="str">
        <f>"2025-01-07 16:24:36.067"</f>
        <v>2025-01-07 16:24:36.067</v>
      </c>
      <c r="H2535" t="s">
        <v>22</v>
      </c>
      <c r="I2535">
        <v>0</v>
      </c>
      <c r="J2535" t="s">
        <v>34</v>
      </c>
    </row>
    <row r="2536" spans="1:10" x14ac:dyDescent="0.25">
      <c r="A2536" s="1">
        <v>604</v>
      </c>
      <c r="B2536" t="s">
        <v>19</v>
      </c>
      <c r="C2536">
        <v>700</v>
      </c>
      <c r="D2536">
        <v>0</v>
      </c>
      <c r="E2536" t="s">
        <v>24</v>
      </c>
      <c r="F2536" t="s">
        <v>24</v>
      </c>
      <c r="G2536" t="str">
        <f>"2025-01-07 15:55:43.097"</f>
        <v>2025-01-07 15:55:43.097</v>
      </c>
      <c r="H2536" t="s">
        <v>22</v>
      </c>
    </row>
    <row r="2537" spans="1:10" x14ac:dyDescent="0.25">
      <c r="A2537" s="1">
        <v>605</v>
      </c>
      <c r="B2537" t="s">
        <v>19</v>
      </c>
      <c r="C2537">
        <v>706</v>
      </c>
      <c r="D2537">
        <v>4</v>
      </c>
      <c r="E2537" t="s">
        <v>20</v>
      </c>
      <c r="F2537" t="s">
        <v>21</v>
      </c>
      <c r="G2537" t="str">
        <f>"2025-01-07 12:52:31.553"</f>
        <v>2025-01-07 12:52:31.553</v>
      </c>
      <c r="H2537" t="s">
        <v>22</v>
      </c>
      <c r="I2537">
        <v>0</v>
      </c>
      <c r="J2537" t="s">
        <v>23</v>
      </c>
    </row>
    <row r="2538" spans="1:10" x14ac:dyDescent="0.25">
      <c r="A2538" s="1">
        <v>606</v>
      </c>
      <c r="B2538" t="s">
        <v>19</v>
      </c>
      <c r="C2538">
        <v>700</v>
      </c>
      <c r="D2538">
        <v>0</v>
      </c>
      <c r="E2538" t="s">
        <v>24</v>
      </c>
      <c r="F2538" t="s">
        <v>24</v>
      </c>
      <c r="G2538" t="str">
        <f>"2025-01-07 12:52:02.053"</f>
        <v>2025-01-07 12:52:02.053</v>
      </c>
      <c r="H2538" t="s">
        <v>22</v>
      </c>
      <c r="I2538">
        <v>0</v>
      </c>
      <c r="J2538" t="s">
        <v>34</v>
      </c>
    </row>
    <row r="2539" spans="1:10" x14ac:dyDescent="0.25">
      <c r="A2539" s="1">
        <v>607</v>
      </c>
      <c r="B2539" t="s">
        <v>19</v>
      </c>
      <c r="C2539">
        <v>700</v>
      </c>
      <c r="D2539">
        <v>0</v>
      </c>
      <c r="E2539" t="s">
        <v>24</v>
      </c>
      <c r="F2539" t="s">
        <v>24</v>
      </c>
      <c r="G2539" t="str">
        <f>"2025-01-07 08:58:36.050"</f>
        <v>2025-01-07 08:58:36.050</v>
      </c>
      <c r="H2539" t="s">
        <v>22</v>
      </c>
    </row>
    <row r="2540" spans="1:10" x14ac:dyDescent="0.25">
      <c r="A2540" s="1">
        <v>608</v>
      </c>
      <c r="B2540" t="s">
        <v>19</v>
      </c>
      <c r="C2540">
        <v>700</v>
      </c>
      <c r="D2540">
        <v>0</v>
      </c>
      <c r="E2540" t="s">
        <v>24</v>
      </c>
      <c r="F2540" t="s">
        <v>24</v>
      </c>
      <c r="G2540" t="str">
        <f>"2025-01-07 03:03:15.059"</f>
        <v>2025-01-07 03:03:15.059</v>
      </c>
      <c r="H2540" t="s">
        <v>22</v>
      </c>
      <c r="I2540">
        <v>0</v>
      </c>
      <c r="J2540" t="s">
        <v>34</v>
      </c>
    </row>
    <row r="2541" spans="1:10" x14ac:dyDescent="0.25">
      <c r="A2541" s="1">
        <v>609</v>
      </c>
      <c r="B2541" t="s">
        <v>26</v>
      </c>
      <c r="C2541">
        <v>98</v>
      </c>
      <c r="D2541">
        <v>1</v>
      </c>
      <c r="E2541" t="s">
        <v>63</v>
      </c>
      <c r="F2541" t="s">
        <v>64</v>
      </c>
      <c r="G2541" t="str">
        <f>"2025-01-07 03:00:06.768"</f>
        <v>2025-01-07 03:00:06.768</v>
      </c>
      <c r="H2541" t="s">
        <v>22</v>
      </c>
    </row>
    <row r="2542" spans="1:10" x14ac:dyDescent="0.25">
      <c r="A2542" s="1">
        <v>610</v>
      </c>
      <c r="B2542" t="s">
        <v>29</v>
      </c>
      <c r="C2542">
        <v>98</v>
      </c>
      <c r="D2542">
        <v>1</v>
      </c>
      <c r="E2542" t="s">
        <v>63</v>
      </c>
      <c r="F2542" t="s">
        <v>64</v>
      </c>
      <c r="G2542" t="str">
        <f>"2025-01-07 03:00:05.769"</f>
        <v>2025-01-07 03:00:05.769</v>
      </c>
      <c r="H2542" t="s">
        <v>22</v>
      </c>
      <c r="I2542">
        <v>0</v>
      </c>
      <c r="J2542" t="s">
        <v>23</v>
      </c>
    </row>
    <row r="2543" spans="1:10" x14ac:dyDescent="0.25">
      <c r="A2543" s="1">
        <v>611</v>
      </c>
      <c r="B2543" t="s">
        <v>19</v>
      </c>
      <c r="C2543">
        <v>700</v>
      </c>
      <c r="D2543">
        <v>0</v>
      </c>
      <c r="E2543" t="s">
        <v>24</v>
      </c>
      <c r="F2543" t="s">
        <v>24</v>
      </c>
      <c r="G2543" t="str">
        <f>"2025-01-07 02:36:15.068"</f>
        <v>2025-01-07 02:36:15.068</v>
      </c>
      <c r="H2543" t="s">
        <v>22</v>
      </c>
      <c r="I2543">
        <v>0</v>
      </c>
      <c r="J2543" t="s">
        <v>34</v>
      </c>
    </row>
    <row r="2544" spans="1:10" x14ac:dyDescent="0.25">
      <c r="A2544" s="1">
        <v>612</v>
      </c>
      <c r="B2544" t="s">
        <v>19</v>
      </c>
      <c r="C2544">
        <v>706</v>
      </c>
      <c r="D2544">
        <v>4</v>
      </c>
      <c r="E2544" t="s">
        <v>20</v>
      </c>
      <c r="F2544" t="s">
        <v>21</v>
      </c>
      <c r="G2544" t="str">
        <f>"2025-01-06 15:59:40.350"</f>
        <v>2025-01-06 15:59:40.350</v>
      </c>
      <c r="H2544" t="s">
        <v>22</v>
      </c>
      <c r="I2544">
        <v>0</v>
      </c>
      <c r="J2544" t="s">
        <v>23</v>
      </c>
    </row>
    <row r="2545" spans="1:10" x14ac:dyDescent="0.25">
      <c r="A2545" s="1">
        <v>613</v>
      </c>
      <c r="B2545" t="s">
        <v>19</v>
      </c>
      <c r="C2545">
        <v>700</v>
      </c>
      <c r="D2545">
        <v>0</v>
      </c>
      <c r="E2545" t="s">
        <v>24</v>
      </c>
      <c r="F2545" t="s">
        <v>24</v>
      </c>
      <c r="G2545" t="str">
        <f>"2025-01-06 15:58:38.040"</f>
        <v>2025-01-06 15:58:38.040</v>
      </c>
      <c r="H2545" t="s">
        <v>22</v>
      </c>
    </row>
    <row r="2546" spans="1:10" x14ac:dyDescent="0.25">
      <c r="A2546" s="1">
        <v>614</v>
      </c>
      <c r="B2546" t="s">
        <v>19</v>
      </c>
      <c r="C2546">
        <v>700</v>
      </c>
      <c r="D2546">
        <v>0</v>
      </c>
      <c r="E2546" t="s">
        <v>24</v>
      </c>
      <c r="F2546" t="s">
        <v>24</v>
      </c>
      <c r="G2546" t="str">
        <f>"2025-01-06 14:35:10.073"</f>
        <v>2025-01-06 14:35:10.073</v>
      </c>
      <c r="H2546" t="s">
        <v>22</v>
      </c>
    </row>
    <row r="2547" spans="1:10" x14ac:dyDescent="0.25">
      <c r="A2547" s="1">
        <v>615</v>
      </c>
      <c r="B2547" t="s">
        <v>19</v>
      </c>
      <c r="C2547">
        <v>700</v>
      </c>
      <c r="D2547">
        <v>0</v>
      </c>
      <c r="E2547" t="s">
        <v>24</v>
      </c>
      <c r="F2547" t="s">
        <v>24</v>
      </c>
      <c r="G2547" t="str">
        <f>"2025-01-06 10:19:31.046"</f>
        <v>2025-01-06 10:19:31.046</v>
      </c>
      <c r="H2547" t="s">
        <v>22</v>
      </c>
      <c r="I2547">
        <v>0</v>
      </c>
      <c r="J2547" t="s">
        <v>34</v>
      </c>
    </row>
    <row r="2548" spans="1:10" x14ac:dyDescent="0.25">
      <c r="A2548" s="1">
        <v>616</v>
      </c>
      <c r="B2548" t="s">
        <v>19</v>
      </c>
      <c r="C2548">
        <v>700</v>
      </c>
      <c r="D2548">
        <v>0</v>
      </c>
      <c r="E2548" t="s">
        <v>24</v>
      </c>
      <c r="F2548" t="s">
        <v>24</v>
      </c>
      <c r="G2548" t="str">
        <f>"2025-01-06 09:45:50.039"</f>
        <v>2025-01-06 09:45:50.039</v>
      </c>
      <c r="H2548" t="s">
        <v>22</v>
      </c>
    </row>
    <row r="2549" spans="1:10" x14ac:dyDescent="0.25">
      <c r="A2549" s="1">
        <v>617</v>
      </c>
      <c r="B2549" t="s">
        <v>19</v>
      </c>
      <c r="C2549">
        <v>700</v>
      </c>
      <c r="D2549">
        <v>0</v>
      </c>
      <c r="E2549" t="s">
        <v>24</v>
      </c>
      <c r="F2549" t="s">
        <v>24</v>
      </c>
      <c r="G2549" t="str">
        <f>"2025-01-06 09:12:49.046"</f>
        <v>2025-01-06 09:12:49.046</v>
      </c>
      <c r="H2549" t="s">
        <v>22</v>
      </c>
    </row>
    <row r="2550" spans="1:10" x14ac:dyDescent="0.25">
      <c r="A2550" s="1">
        <v>618</v>
      </c>
      <c r="B2550" t="s">
        <v>19</v>
      </c>
      <c r="C2550">
        <v>700</v>
      </c>
      <c r="D2550">
        <v>0</v>
      </c>
      <c r="E2550" t="s">
        <v>24</v>
      </c>
      <c r="F2550" t="s">
        <v>24</v>
      </c>
      <c r="G2550" t="str">
        <f>"2025-01-05 15:23:16.017"</f>
        <v>2025-01-05 15:23:16.017</v>
      </c>
      <c r="H2550" t="s">
        <v>22</v>
      </c>
    </row>
    <row r="2551" spans="1:10" x14ac:dyDescent="0.25">
      <c r="A2551" s="1">
        <v>619</v>
      </c>
      <c r="B2551" t="s">
        <v>39</v>
      </c>
      <c r="C2551">
        <v>89</v>
      </c>
      <c r="D2551">
        <v>3</v>
      </c>
      <c r="E2551" t="s">
        <v>69</v>
      </c>
      <c r="F2551" t="s">
        <v>70</v>
      </c>
      <c r="G2551" t="str">
        <f>"2025-01-05 15:20:37.989"</f>
        <v>2025-01-05 15:20:37.989</v>
      </c>
      <c r="H2551" t="s">
        <v>22</v>
      </c>
      <c r="I2551">
        <v>0.2</v>
      </c>
      <c r="J2551" t="s">
        <v>33</v>
      </c>
    </row>
    <row r="2552" spans="1:10" x14ac:dyDescent="0.25">
      <c r="A2552" s="1">
        <v>620</v>
      </c>
      <c r="B2552" t="s">
        <v>19</v>
      </c>
      <c r="C2552">
        <v>706</v>
      </c>
      <c r="D2552">
        <v>4</v>
      </c>
      <c r="E2552" t="s">
        <v>20</v>
      </c>
      <c r="F2552" t="s">
        <v>21</v>
      </c>
      <c r="G2552" t="str">
        <f>"2025-01-05 15:19:02.948"</f>
        <v>2025-01-05 15:19:02.948</v>
      </c>
      <c r="H2552" t="s">
        <v>22</v>
      </c>
      <c r="I2552">
        <v>0</v>
      </c>
      <c r="J2552" t="s">
        <v>23</v>
      </c>
    </row>
    <row r="2553" spans="1:10" x14ac:dyDescent="0.25">
      <c r="A2553" s="1">
        <v>621</v>
      </c>
      <c r="B2553" t="s">
        <v>19</v>
      </c>
      <c r="C2553">
        <v>700</v>
      </c>
      <c r="D2553">
        <v>0</v>
      </c>
      <c r="E2553" t="s">
        <v>24</v>
      </c>
      <c r="F2553" t="s">
        <v>24</v>
      </c>
      <c r="G2553" t="str">
        <f>"2025-01-05 15:18:26.008"</f>
        <v>2025-01-05 15:18:26.008</v>
      </c>
      <c r="H2553" t="s">
        <v>22</v>
      </c>
    </row>
    <row r="2554" spans="1:10" x14ac:dyDescent="0.25">
      <c r="A2554" s="1">
        <v>622</v>
      </c>
      <c r="B2554" t="s">
        <v>19</v>
      </c>
      <c r="C2554">
        <v>700</v>
      </c>
      <c r="D2554">
        <v>0</v>
      </c>
      <c r="E2554" t="s">
        <v>24</v>
      </c>
      <c r="F2554" t="s">
        <v>24</v>
      </c>
      <c r="G2554" t="str">
        <f>"2025-01-04 16:02:11.020"</f>
        <v>2025-01-04 16:02:11.020</v>
      </c>
      <c r="H2554" t="s">
        <v>22</v>
      </c>
    </row>
    <row r="2555" spans="1:10" x14ac:dyDescent="0.25">
      <c r="A2555" s="1">
        <v>625</v>
      </c>
      <c r="B2555" t="s">
        <v>19</v>
      </c>
      <c r="C2555">
        <v>782</v>
      </c>
      <c r="D2555">
        <v>7</v>
      </c>
      <c r="E2555" t="s">
        <v>61</v>
      </c>
      <c r="F2555" t="s">
        <v>62</v>
      </c>
      <c r="G2555" t="str">
        <f>"2025-01-04 14:34:23.682"</f>
        <v>2025-01-04 14:34:23.682</v>
      </c>
      <c r="H2555" t="s">
        <v>22</v>
      </c>
      <c r="I2555">
        <v>0</v>
      </c>
      <c r="J2555" t="s">
        <v>109</v>
      </c>
    </row>
    <row r="2556" spans="1:10" x14ac:dyDescent="0.25">
      <c r="A2556" s="1">
        <v>628</v>
      </c>
      <c r="B2556" t="s">
        <v>26</v>
      </c>
      <c r="C2556">
        <v>12</v>
      </c>
      <c r="D2556">
        <v>2</v>
      </c>
      <c r="E2556" t="s">
        <v>112</v>
      </c>
      <c r="F2556" t="s">
        <v>113</v>
      </c>
      <c r="G2556" t="str">
        <f>"2025-01-04 14:34:23.678"</f>
        <v>2025-01-04 14:34:23.678</v>
      </c>
      <c r="H2556" t="s">
        <v>22</v>
      </c>
    </row>
    <row r="2557" spans="1:10" x14ac:dyDescent="0.25">
      <c r="A2557" s="1">
        <v>629</v>
      </c>
      <c r="B2557" t="s">
        <v>26</v>
      </c>
      <c r="C2557">
        <v>12</v>
      </c>
      <c r="D2557">
        <v>1</v>
      </c>
      <c r="E2557" t="s">
        <v>112</v>
      </c>
      <c r="F2557" t="s">
        <v>114</v>
      </c>
      <c r="G2557" t="str">
        <f>"2025-01-04 14:34:23.677"</f>
        <v>2025-01-04 14:34:23.677</v>
      </c>
      <c r="H2557" t="s">
        <v>22</v>
      </c>
    </row>
    <row r="2558" spans="1:10" x14ac:dyDescent="0.25">
      <c r="A2558" s="1">
        <v>630</v>
      </c>
      <c r="B2558" t="s">
        <v>19</v>
      </c>
      <c r="C2558">
        <v>782</v>
      </c>
      <c r="D2558">
        <v>7</v>
      </c>
      <c r="E2558" t="s">
        <v>61</v>
      </c>
      <c r="F2558" t="s">
        <v>62</v>
      </c>
      <c r="G2558" t="str">
        <f>"2025-01-04 14:34:23.676"</f>
        <v>2025-01-04 14:34:23.676</v>
      </c>
      <c r="H2558" t="s">
        <v>22</v>
      </c>
      <c r="I2558">
        <v>0</v>
      </c>
      <c r="J2558" t="s">
        <v>109</v>
      </c>
    </row>
    <row r="2559" spans="1:10" x14ac:dyDescent="0.25">
      <c r="A2559" s="1">
        <v>631</v>
      </c>
      <c r="B2559" t="s">
        <v>19</v>
      </c>
      <c r="C2559">
        <v>700</v>
      </c>
      <c r="D2559">
        <v>0</v>
      </c>
      <c r="E2559" t="s">
        <v>24</v>
      </c>
      <c r="F2559" t="s">
        <v>24</v>
      </c>
      <c r="G2559" t="str">
        <f>"2025-01-04 14:33:30.007"</f>
        <v>2025-01-04 14:33:30.007</v>
      </c>
      <c r="H2559" t="s">
        <v>22</v>
      </c>
      <c r="I2559">
        <v>0</v>
      </c>
      <c r="J2559" t="s">
        <v>34</v>
      </c>
    </row>
    <row r="2560" spans="1:10" x14ac:dyDescent="0.25">
      <c r="A2560" s="1">
        <v>632</v>
      </c>
      <c r="B2560" t="s">
        <v>39</v>
      </c>
      <c r="C2560">
        <v>89</v>
      </c>
      <c r="D2560">
        <v>4</v>
      </c>
      <c r="E2560" t="s">
        <v>69</v>
      </c>
      <c r="F2560" t="s">
        <v>115</v>
      </c>
      <c r="G2560" t="str">
        <f>"2025-01-04 14:25:21.522"</f>
        <v>2025-01-04 14:25:21.522</v>
      </c>
      <c r="H2560" t="s">
        <v>22</v>
      </c>
      <c r="I2560">
        <v>0</v>
      </c>
      <c r="J2560" t="s">
        <v>109</v>
      </c>
    </row>
    <row r="2561" spans="1:10" x14ac:dyDescent="0.25">
      <c r="A2561" s="1">
        <v>633</v>
      </c>
      <c r="B2561" t="s">
        <v>19</v>
      </c>
      <c r="C2561">
        <v>700</v>
      </c>
      <c r="D2561">
        <v>0</v>
      </c>
      <c r="E2561" t="s">
        <v>24</v>
      </c>
      <c r="F2561" t="s">
        <v>24</v>
      </c>
      <c r="G2561" t="str">
        <f>"2025-01-04 14:25:10.012"</f>
        <v>2025-01-04 14:25:10.012</v>
      </c>
      <c r="H2561" t="s">
        <v>22</v>
      </c>
      <c r="I2561">
        <v>0</v>
      </c>
      <c r="J2561" t="s">
        <v>34</v>
      </c>
    </row>
    <row r="2562" spans="1:10" x14ac:dyDescent="0.25">
      <c r="A2562" s="1">
        <v>634</v>
      </c>
      <c r="B2562" t="s">
        <v>19</v>
      </c>
      <c r="C2562">
        <v>700</v>
      </c>
      <c r="D2562">
        <v>0</v>
      </c>
      <c r="E2562" t="s">
        <v>24</v>
      </c>
      <c r="F2562" t="s">
        <v>24</v>
      </c>
      <c r="G2562" t="str">
        <f>"2025-01-04 14:22:33.011"</f>
        <v>2025-01-04 14:22:33.011</v>
      </c>
      <c r="H2562" t="s">
        <v>22</v>
      </c>
      <c r="I2562">
        <v>0</v>
      </c>
      <c r="J2562" t="s">
        <v>34</v>
      </c>
    </row>
    <row r="2563" spans="1:10" x14ac:dyDescent="0.25">
      <c r="A2563" s="1">
        <v>635</v>
      </c>
      <c r="B2563" t="s">
        <v>19</v>
      </c>
      <c r="C2563">
        <v>700</v>
      </c>
      <c r="D2563">
        <v>0</v>
      </c>
      <c r="E2563" t="s">
        <v>24</v>
      </c>
      <c r="F2563" t="s">
        <v>24</v>
      </c>
      <c r="G2563" t="str">
        <f>"2025-01-04 14:21:08.019"</f>
        <v>2025-01-04 14:21:08.019</v>
      </c>
      <c r="H2563" t="s">
        <v>22</v>
      </c>
      <c r="I2563">
        <v>0</v>
      </c>
      <c r="J2563" t="s">
        <v>34</v>
      </c>
    </row>
    <row r="2564" spans="1:10" x14ac:dyDescent="0.25">
      <c r="A2564" s="1">
        <v>636</v>
      </c>
      <c r="B2564" t="s">
        <v>26</v>
      </c>
      <c r="C2564">
        <v>4</v>
      </c>
      <c r="D2564">
        <v>1</v>
      </c>
      <c r="E2564" t="s">
        <v>80</v>
      </c>
      <c r="F2564" t="s">
        <v>81</v>
      </c>
      <c r="G2564" t="str">
        <f>"2025-01-04 14:17:18.020"</f>
        <v>2025-01-04 14:17:18.020</v>
      </c>
      <c r="H2564" t="s">
        <v>82</v>
      </c>
    </row>
    <row r="2565" spans="1:10" x14ac:dyDescent="0.25">
      <c r="A2565" s="1">
        <v>637</v>
      </c>
      <c r="B2565" t="s">
        <v>39</v>
      </c>
      <c r="C2565">
        <v>89</v>
      </c>
      <c r="D2565">
        <v>4</v>
      </c>
      <c r="E2565" t="s">
        <v>69</v>
      </c>
      <c r="F2565" t="s">
        <v>115</v>
      </c>
      <c r="G2565" t="str">
        <f>"2025-01-04 14:16:59.643"</f>
        <v>2025-01-04 14:16:59.643</v>
      </c>
      <c r="H2565" t="s">
        <v>22</v>
      </c>
      <c r="I2565">
        <v>0</v>
      </c>
      <c r="J2565" t="s">
        <v>109</v>
      </c>
    </row>
    <row r="2566" spans="1:10" x14ac:dyDescent="0.25">
      <c r="A2566" s="1">
        <v>638</v>
      </c>
      <c r="B2566" t="s">
        <v>19</v>
      </c>
      <c r="C2566">
        <v>706</v>
      </c>
      <c r="D2566">
        <v>2</v>
      </c>
      <c r="E2566" t="s">
        <v>20</v>
      </c>
      <c r="F2566" t="s">
        <v>25</v>
      </c>
      <c r="G2566" t="str">
        <f>"2025-01-04 14:16:45.931"</f>
        <v>2025-01-04 14:16:45.931</v>
      </c>
      <c r="H2566" t="s">
        <v>22</v>
      </c>
      <c r="I2566">
        <v>0</v>
      </c>
      <c r="J2566" t="s">
        <v>109</v>
      </c>
    </row>
    <row r="2567" spans="1:10" x14ac:dyDescent="0.25">
      <c r="A2567" s="1">
        <v>639</v>
      </c>
      <c r="B2567" t="s">
        <v>19</v>
      </c>
      <c r="C2567">
        <v>719</v>
      </c>
      <c r="D2567">
        <v>1</v>
      </c>
      <c r="E2567" t="s">
        <v>74</v>
      </c>
      <c r="F2567" t="s">
        <v>116</v>
      </c>
      <c r="G2567" t="str">
        <f>"2025-01-04 14:14:00.064"</f>
        <v>2025-01-04 14:14:00.064</v>
      </c>
      <c r="H2567" t="s">
        <v>22</v>
      </c>
      <c r="I2567">
        <v>0</v>
      </c>
      <c r="J2567" t="s">
        <v>23</v>
      </c>
    </row>
    <row r="2568" spans="1:10" x14ac:dyDescent="0.25">
      <c r="A2568" s="1">
        <v>640</v>
      </c>
      <c r="B2568" t="s">
        <v>26</v>
      </c>
      <c r="C2568">
        <v>650</v>
      </c>
      <c r="D2568">
        <v>4</v>
      </c>
      <c r="E2568" t="s">
        <v>117</v>
      </c>
      <c r="F2568" t="s">
        <v>118</v>
      </c>
      <c r="G2568" t="str">
        <f>"2025-01-04 11:13:11.944"</f>
        <v>2025-01-04 11:13:11.944</v>
      </c>
      <c r="H2568" t="s">
        <v>22</v>
      </c>
    </row>
    <row r="2569" spans="1:10" x14ac:dyDescent="0.25">
      <c r="A2569" s="1">
        <v>641</v>
      </c>
      <c r="B2569" t="s">
        <v>26</v>
      </c>
      <c r="C2569">
        <v>98</v>
      </c>
      <c r="D2569">
        <v>1</v>
      </c>
      <c r="E2569" t="s">
        <v>63</v>
      </c>
      <c r="F2569" t="s">
        <v>64</v>
      </c>
      <c r="G2569" t="str">
        <f>"2025-01-04 11:12:48.143"</f>
        <v>2025-01-04 11:12:48.143</v>
      </c>
      <c r="H2569" t="s">
        <v>22</v>
      </c>
    </row>
    <row r="2570" spans="1:10" x14ac:dyDescent="0.25">
      <c r="A2570" s="1">
        <v>642</v>
      </c>
      <c r="B2570" t="s">
        <v>29</v>
      </c>
      <c r="C2570">
        <v>98</v>
      </c>
      <c r="D2570">
        <v>1</v>
      </c>
      <c r="E2570" t="s">
        <v>63</v>
      </c>
      <c r="F2570" t="s">
        <v>64</v>
      </c>
      <c r="G2570" t="str">
        <f>"2025-01-04 11:12:47.043"</f>
        <v>2025-01-04 11:12:47.043</v>
      </c>
      <c r="H2570" t="s">
        <v>22</v>
      </c>
      <c r="I2570">
        <v>0</v>
      </c>
      <c r="J2570" t="s">
        <v>23</v>
      </c>
    </row>
    <row r="2571" spans="1:10" x14ac:dyDescent="0.25">
      <c r="A2571" s="1">
        <v>643</v>
      </c>
      <c r="B2571" t="s">
        <v>26</v>
      </c>
      <c r="C2571">
        <v>98</v>
      </c>
      <c r="D2571">
        <v>1</v>
      </c>
      <c r="E2571" t="s">
        <v>63</v>
      </c>
      <c r="F2571" t="s">
        <v>64</v>
      </c>
      <c r="G2571" t="str">
        <f>"2025-01-04 11:12:16.543"</f>
        <v>2025-01-04 11:12:16.543</v>
      </c>
      <c r="H2571" t="s">
        <v>22</v>
      </c>
    </row>
    <row r="2572" spans="1:10" x14ac:dyDescent="0.25">
      <c r="A2572" s="1">
        <v>644</v>
      </c>
      <c r="B2572" t="s">
        <v>29</v>
      </c>
      <c r="C2572">
        <v>98</v>
      </c>
      <c r="D2572">
        <v>1</v>
      </c>
      <c r="E2572" t="s">
        <v>63</v>
      </c>
      <c r="F2572" t="s">
        <v>64</v>
      </c>
      <c r="G2572" t="str">
        <f>"2025-01-04 11:12:15.444"</f>
        <v>2025-01-04 11:12:15.444</v>
      </c>
      <c r="H2572" t="s">
        <v>22</v>
      </c>
      <c r="I2572">
        <v>0</v>
      </c>
      <c r="J2572" t="s">
        <v>23</v>
      </c>
    </row>
    <row r="2573" spans="1:10" x14ac:dyDescent="0.25">
      <c r="A2573" s="1">
        <v>645</v>
      </c>
      <c r="B2573" t="s">
        <v>19</v>
      </c>
      <c r="C2573">
        <v>700</v>
      </c>
      <c r="D2573">
        <v>0</v>
      </c>
      <c r="E2573" t="s">
        <v>24</v>
      </c>
      <c r="F2573" t="s">
        <v>24</v>
      </c>
      <c r="G2573" t="str">
        <f>"2025-01-04 11:11:32.011"</f>
        <v>2025-01-04 11:11:32.011</v>
      </c>
      <c r="H2573" t="s">
        <v>22</v>
      </c>
    </row>
    <row r="2574" spans="1:10" x14ac:dyDescent="0.25">
      <c r="A2574" s="1">
        <v>648</v>
      </c>
      <c r="B2574" t="s">
        <v>19</v>
      </c>
      <c r="C2574">
        <v>753</v>
      </c>
      <c r="D2574">
        <v>1</v>
      </c>
      <c r="E2574" t="s">
        <v>119</v>
      </c>
      <c r="F2574" t="s">
        <v>120</v>
      </c>
      <c r="G2574" t="str">
        <f>"2025-01-04 11:06:20.481"</f>
        <v>2025-01-04 11:06:20.481</v>
      </c>
      <c r="H2574" t="s">
        <v>22</v>
      </c>
      <c r="I2574">
        <v>0</v>
      </c>
      <c r="J2574" t="s">
        <v>23</v>
      </c>
    </row>
    <row r="2575" spans="1:10" x14ac:dyDescent="0.25">
      <c r="A2575" s="1">
        <v>649</v>
      </c>
      <c r="B2575" t="s">
        <v>39</v>
      </c>
      <c r="C2575">
        <v>641</v>
      </c>
      <c r="D2575">
        <v>1</v>
      </c>
      <c r="E2575" t="s">
        <v>121</v>
      </c>
      <c r="F2575" t="s">
        <v>113</v>
      </c>
      <c r="G2575" t="str">
        <f>"2025-01-04 11:06:14.927"</f>
        <v>2025-01-04 11:06:14.927</v>
      </c>
      <c r="H2575" t="s">
        <v>22</v>
      </c>
      <c r="I2575">
        <v>0</v>
      </c>
      <c r="J2575" t="s">
        <v>23</v>
      </c>
    </row>
    <row r="2576" spans="1:10" x14ac:dyDescent="0.25">
      <c r="A2576" s="1">
        <v>650</v>
      </c>
      <c r="B2576" t="s">
        <v>39</v>
      </c>
      <c r="C2576">
        <v>640</v>
      </c>
      <c r="D2576">
        <v>1</v>
      </c>
      <c r="E2576" t="s">
        <v>122</v>
      </c>
      <c r="F2576" t="s">
        <v>114</v>
      </c>
      <c r="G2576" t="str">
        <f>"2025-01-04 11:06:14.921"</f>
        <v>2025-01-04 11:06:14.921</v>
      </c>
      <c r="H2576" t="s">
        <v>84</v>
      </c>
      <c r="I2576">
        <v>0</v>
      </c>
      <c r="J2576" t="s">
        <v>23</v>
      </c>
    </row>
    <row r="2577" spans="1:10" x14ac:dyDescent="0.25">
      <c r="A2577" s="1">
        <v>651</v>
      </c>
      <c r="B2577" t="s">
        <v>29</v>
      </c>
      <c r="C2577">
        <v>4</v>
      </c>
      <c r="D2577">
        <v>1</v>
      </c>
      <c r="E2577" t="s">
        <v>80</v>
      </c>
      <c r="F2577" t="s">
        <v>81</v>
      </c>
      <c r="G2577" t="str">
        <f>"2025-01-04 11:06:09.580"</f>
        <v>2025-01-04 11:06:09.580</v>
      </c>
      <c r="H2577" t="s">
        <v>82</v>
      </c>
      <c r="I2577">
        <v>0</v>
      </c>
      <c r="J2577" t="s">
        <v>123</v>
      </c>
    </row>
    <row r="2578" spans="1:10" x14ac:dyDescent="0.25">
      <c r="A2578" s="1">
        <v>652</v>
      </c>
      <c r="B2578" t="s">
        <v>29</v>
      </c>
      <c r="C2578">
        <v>12</v>
      </c>
      <c r="D2578">
        <v>1</v>
      </c>
      <c r="E2578" t="s">
        <v>112</v>
      </c>
      <c r="F2578" t="s">
        <v>114</v>
      </c>
      <c r="G2578" t="str">
        <f>"2025-01-04 11:06:08.742"</f>
        <v>2025-01-04 11:06:08.742</v>
      </c>
      <c r="H2578" t="s">
        <v>22</v>
      </c>
      <c r="I2578">
        <v>0</v>
      </c>
      <c r="J2578" t="s">
        <v>123</v>
      </c>
    </row>
    <row r="2579" spans="1:10" x14ac:dyDescent="0.25">
      <c r="A2579" s="1">
        <v>653</v>
      </c>
      <c r="B2579" t="s">
        <v>29</v>
      </c>
      <c r="C2579">
        <v>12</v>
      </c>
      <c r="D2579">
        <v>2</v>
      </c>
      <c r="E2579" t="s">
        <v>112</v>
      </c>
      <c r="F2579" t="s">
        <v>113</v>
      </c>
      <c r="G2579" t="str">
        <f>"2025-01-04 11:06:08.642"</f>
        <v>2025-01-04 11:06:08.642</v>
      </c>
      <c r="H2579" t="s">
        <v>22</v>
      </c>
      <c r="I2579">
        <v>0</v>
      </c>
      <c r="J2579" t="s">
        <v>123</v>
      </c>
    </row>
    <row r="2580" spans="1:10" x14ac:dyDescent="0.25">
      <c r="A2580" s="1">
        <v>654</v>
      </c>
      <c r="B2580" t="s">
        <v>29</v>
      </c>
      <c r="C2580">
        <v>650</v>
      </c>
      <c r="D2580">
        <v>4</v>
      </c>
      <c r="E2580" t="s">
        <v>117</v>
      </c>
      <c r="F2580" t="s">
        <v>118</v>
      </c>
      <c r="G2580" t="str">
        <f>"2025-01-04 11:06:07.327"</f>
        <v>2025-01-04 11:06:07.327</v>
      </c>
      <c r="H2580" t="s">
        <v>22</v>
      </c>
      <c r="I2580">
        <v>0</v>
      </c>
      <c r="J2580" t="s">
        <v>34</v>
      </c>
    </row>
    <row r="2581" spans="1:10" x14ac:dyDescent="0.25">
      <c r="A2581" s="1">
        <v>655</v>
      </c>
      <c r="B2581" t="s">
        <v>19</v>
      </c>
      <c r="C2581">
        <v>700</v>
      </c>
      <c r="D2581">
        <v>0</v>
      </c>
      <c r="E2581" t="s">
        <v>24</v>
      </c>
      <c r="F2581" t="s">
        <v>24</v>
      </c>
      <c r="G2581" t="str">
        <f>"2025-01-04 11:06:04.591"</f>
        <v>2025-01-04 11:06:04.591</v>
      </c>
      <c r="H2581" t="s">
        <v>22</v>
      </c>
    </row>
  </sheetData>
  <autoFilter ref="A9:J2581" xr:uid="{A21DD8C8-C4B3-40BE-A6F7-C47BE644F0C2}"/>
  <conditionalFormatting sqref="C1:C1048576">
    <cfRule type="cellIs" dxfId="0" priority="1" operator="equal">
      <formula>647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2087D87-9CA0-468A-87D3-CDCB0D1AA8D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events_ru_67_20260505-111735 02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2026-05-05T06:50:19Z</dcterms:modified>
</cp:coreProperties>
</file>